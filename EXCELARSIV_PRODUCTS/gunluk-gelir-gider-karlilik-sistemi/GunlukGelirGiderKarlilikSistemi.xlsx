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5.xml" ContentType="application/vnd.openxmlformats-officedocument.spreadsheetml.comments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HESAP_PLANI" sheetId="4" state="hidden" r:id="rId4"/>
    <sheet xmlns:r="http://schemas.openxmlformats.org/officeDocument/2006/relationships" name="GELIR_GIDER_KAYIT" sheetId="5" state="hidden" r:id="rId5"/>
    <sheet xmlns:r="http://schemas.openxmlformats.org/officeDocument/2006/relationships" name="SATIS_MALIYET" sheetId="6" state="hidden" r:id="rId6"/>
    <sheet xmlns:r="http://schemas.openxmlformats.org/officeDocument/2006/relationships" name="TAHAKKUK_NAKIT_ESLEME" sheetId="7" state="hidden" r:id="rId7"/>
    <sheet xmlns:r="http://schemas.openxmlformats.org/officeDocument/2006/relationships" name="GUNLUK_OZET" sheetId="8" state="hidden" r:id="rId8"/>
    <sheet xmlns:r="http://schemas.openxmlformats.org/officeDocument/2006/relationships" name="AYLIK_KARLILIK" sheetId="9" state="hidden" r:id="rId9"/>
    <sheet xmlns:r="http://schemas.openxmlformats.org/officeDocument/2006/relationships" name="BASABAS" sheetId="10" state="hidden" r:id="rId10"/>
    <sheet xmlns:r="http://schemas.openxmlformats.org/officeDocument/2006/relationships" name="KONTROLLER" sheetId="11" state="hidden" r:id="rId11"/>
    <sheet xmlns:r="http://schemas.openxmlformats.org/officeDocument/2006/relationships" name="KARAR_MOTORU" sheetId="12" state="hidden" r:id="rId12"/>
    <sheet xmlns:r="http://schemas.openxmlformats.org/officeDocument/2006/relationships" name="PANO" sheetId="13" state="hidden" r:id="rId13"/>
    <sheet xmlns:r="http://schemas.openxmlformats.org/officeDocument/2006/relationships" name="RAPOR" sheetId="14" state="hidden" r:id="rId14"/>
    <sheet xmlns:r="http://schemas.openxmlformats.org/officeDocument/2006/relationships" name="ORNEK_VERI" sheetId="15" state="hidden" r:id="rId15"/>
    <sheet xmlns:r="http://schemas.openxmlformats.org/officeDocument/2006/relationships" name="TESTLER" sheetId="16" state="hidden" r:id="rId16"/>
    <sheet xmlns:r="http://schemas.openxmlformats.org/officeDocument/2006/relationships" name="ANAHTAR" sheetId="17" state="hidden" r:id="rId17"/>
    <sheet xmlns:r="http://schemas.openxmlformats.org/officeDocument/2006/relationships" name="ESLESTIRME" sheetId="18" state="hidden" r:id="rId18"/>
    <sheet xmlns:r="http://schemas.openxmlformats.org/officeDocument/2006/relationships" name="KOK_NEDEN" sheetId="19" state="hidden" r:id="rId19"/>
    <sheet xmlns:r="http://schemas.openxmlformats.org/officeDocument/2006/relationships" name="DEGISIKLIK_KAYDI" sheetId="20" state="hidden" r:id="rId20"/>
    <sheet xmlns:r="http://schemas.openxmlformats.org/officeDocument/2006/relationships" name="LISTELER" sheetId="21" state="hidden" r:id="rId21"/>
    <sheet xmlns:r="http://schemas.openxmlformats.org/officeDocument/2006/relationships" name="AYARLAR" sheetId="22" state="hidden" r:id="rId22"/>
    <sheet xmlns:r="http://schemas.openxmlformats.org/officeDocument/2006/relationships" name="KILAVUZ" sheetId="23" state="hidden" r:id="rId23"/>
  </sheets>
  <definedNames>
    <definedName name="BasabasCiro" hidden="0" function="0" vbProcedure="0">BASABAS!$B$21</definedName>
    <definedName name="BaslangicSatir" hidden="0" function="0" vbProcedure="0">AYARLAR!$B$12</definedName>
    <definedName name="BrutKar" hidden="0" function="0" vbProcedure="0">BASABAS!$B$9</definedName>
    <definedName name="BrutMarjHedef" hidden="0" function="0" vbProcedure="0">AYARLAR!$B$14</definedName>
    <definedName name="BrutMarjOrani" hidden="0" function="0" vbProcedure="0">BASABAS!$B$10</definedName>
    <definedName name="DonemBasiStok" hidden="0" function="0" vbProcedure="0">AYARLAR!$B$23</definedName>
    <definedName name="DonemSonuStok" hidden="0" function="0" vbProcedure="0">AYARLAR!$B$24</definedName>
    <definedName name="DosyaSurumu" hidden="0" function="0" vbProcedure="0">AYARLAR!$B$9</definedName>
    <definedName name="FaaliyetKari" hidden="0" function="0" vbProcedure="0">BASABAS!$B$11</definedName>
    <definedName name="FaaliyetMarjHedef" hidden="0" function="0" vbProcedure="0">AYARLAR!$B$15</definedName>
    <definedName name="FaaliyetMarjOrani" hidden="0" function="0" vbProcedure="0">BASABAS!$B$12</definedName>
    <definedName name="FinansmanEsik" hidden="0" function="0" vbProcedure="0">AYARLAR!$B$18</definedName>
    <definedName name="FinansmanGider" hidden="0" function="0" vbProcedure="0">AYLIK_KARLILIK!$J$19</definedName>
    <definedName name="FirmaUnvan" hidden="0" function="0" vbProcedure="0">AYARLAR!$B$5</definedName>
    <definedName name="GercekNakit" hidden="0" function="0" vbProcedure="0">BASABAS!$B$15</definedName>
    <definedName name="HataAgirligi" hidden="0" function="0" vbProcedure="0">AYARLAR!$B$26</definedName>
    <definedName name="KayitSayisi" hidden="0" function="0" vbProcedure="0">KONTROLLER!$B$5</definedName>
    <definedName name="MarjBantOrani" hidden="0" function="0" vbProcedure="0">AYARLAR!$B$32</definedName>
    <definedName name="modulI1Tahmin" hidden="0" function="0" vbProcedure="0">PANO!$B$170</definedName>
    <definedName name="modulI1TahminYorum" hidden="0" function="0" vbProcedure="0">PANO!$F$170</definedName>
    <definedName name="modulI2YuzdelikP90" hidden="0" function="0" vbProcedure="0">PANO!$B$171</definedName>
    <definedName name="modulI2YuzdelikP90Yorum" hidden="0" function="0" vbProcedure="0">PANO!$F$171</definedName>
    <definedName name="modulI6VaryansKopru" hidden="0" function="0" vbProcedure="0">PANO!$B$172</definedName>
    <definedName name="modulI6VaryansKopruYorum" hidden="0" function="0" vbProcedure="0">PANO!$F$172</definedName>
    <definedName name="modulO1Anomali" hidden="0" function="0" vbProcedure="0">PANO!$B$166</definedName>
    <definedName name="modulO1AnomaliYorum" hidden="0" function="0" vbProcedure="0">PANO!$F$166</definedName>
    <definedName name="modulO2Duyarlilik" hidden="0" function="0" vbProcedure="0">PANO!$B$167</definedName>
    <definedName name="modulO2DuyarlilikYorum" hidden="0" function="0" vbProcedure="0">PANO!$F$167</definedName>
    <definedName name="modulO3Senaryo" hidden="0" function="0" vbProcedure="0">PANO!$B$168</definedName>
    <definedName name="modulO3SenaryoYorum" hidden="0" function="0" vbProcedure="0">PANO!$F$168</definedName>
    <definedName name="modulO4Donusum" hidden="0" function="0" vbProcedure="0">PANO!$B$169</definedName>
    <definedName name="modulO4DonusumYorum" hidden="0" function="0" vbProcedure="0">PANO!$F$169</definedName>
    <definedName name="modulT1Yaslandirma" hidden="0" function="0" vbProcedure="0">PANO!$B$162</definedName>
    <definedName name="modulT1YaslandirmaYorum" hidden="0" function="0" vbProcedure="0">PANO!$F$162</definedName>
    <definedName name="modulT2Trend" hidden="0" function="0" vbProcedure="0">PANO!$B$163</definedName>
    <definedName name="modulT2TrendYorum" hidden="0" function="0" vbProcedure="0">PANO!$F$163</definedName>
    <definedName name="modulT3Pareto" hidden="0" function="0" vbProcedure="0">PANO!$B$164</definedName>
    <definedName name="modulT3ParetoYorum" hidden="0" function="0" vbProcedure="0">PANO!$F$164</definedName>
    <definedName name="modulT4Karsilastirma" hidden="0" function="0" vbProcedure="0">PANO!$B$165</definedName>
    <definedName name="modulT4KarsilastirmaYorum" hidden="0" function="0" vbProcedure="0">PANO!$F$165</definedName>
    <definedName name="NakitDonusumAsgari" hidden="0" function="0" vbProcedure="0">AYARLAR!$B$33</definedName>
    <definedName name="NakitDonusumHedef" hidden="0" function="0" vbProcedure="0">AYARLAR!$B$17</definedName>
    <definedName name="NakitDonusumOrani" hidden="0" function="0" vbProcedure="0">BASABAS!$B$16</definedName>
    <definedName name="NetKarMarjHedef" hidden="0" function="0" vbProcedure="0">AYARLAR!$B$16</definedName>
    <definedName name="NetSatis" hidden="0" function="0" vbProcedure="0">BASABAS!$B$6</definedName>
    <definedName name="NetSonuc" hidden="0" function="0" vbProcedure="0">BASABAS!$B$13</definedName>
    <definedName name="OlagandisiEsik" hidden="0" function="0" vbProcedure="0">AYARLAR!$B$34</definedName>
    <definedName name="OlagandisiNet" hidden="0" function="0" vbProcedure="0">AYLIK_KARLILIK!$B$25</definedName>
    <definedName name="OncekiAyFaaliyet" hidden="0" function="0" vbProcedure="0">AYLIK_KARLILIK!$B$31</definedName>
    <definedName name="OncekiAySatis" hidden="0" function="0" vbProcedure="0">AYLIK_KARLILIK!$B$29</definedName>
    <definedName name="OrtakCekis" hidden="0" function="0" vbProcedure="0">TAHAKKUK_NAKIT_ESLEME!$B$13</definedName>
    <definedName name="OrtakCekisEsik" hidden="0" function="0" vbProcedure="0">AYARLAR!$B$19</definedName>
    <definedName name="RaporDonemBaslangici" hidden="0" function="0" vbProcedure="0">AYARLAR!$B$11</definedName>
    <definedName name="RaporDonemiBas" hidden="0" function="0" vbProcedure="0">AYARLAR!$B$11</definedName>
    <definedName name="RaporHazirlayan" hidden="0" function="0" vbProcedure="0">AYARLAR!$B$39</definedName>
    <definedName name="RaporTarihi" hidden="0" function="0" vbProcedure="0">AYARLAR!$B$7</definedName>
    <definedName name="SonAyFaaliyet" hidden="0" function="0" vbProcedure="0">AYLIK_KARLILIK!$B$30</definedName>
    <definedName name="SonAySatis" hidden="0" function="0" vbProcedure="0">AYLIK_KARLILIK!$B$28</definedName>
    <definedName name="StandartTermin" hidden="0" function="0" vbProcedure="0">AYARLAR!$B$30</definedName>
    <definedName name="UyariAgirligi" hidden="0" function="0" vbProcedure="0">AYARLAR!$B$27</definedName>
    <definedName name="UzunTermin" hidden="0" function="0" vbProcedure="0">AYARLAR!$B$31</definedName>
    <definedName name="VergiOrani" hidden="0" function="0" vbProcedure="0">AYARLAR!$B$20</definedName>
    <definedName name="VeriKaliteOrtaEsik" hidden="0" function="0" vbProcedure="0">AYARLAR!$B$29</definedName>
    <definedName name="VeriKaliteSkor" hidden="0" function="0" vbProcedure="0">KONTROLLER!$B$28</definedName>
    <definedName name="VeriKaliteYuksekEsik" hidden="0" function="0" vbProcedure="0">AYARLAR!$B$28</definedName>
    <definedName name="YuvarlamaToleransi" hidden="0" function="0" vbProcedure="0">AYARLAR!$B$25</definedName>
    <definedName name="_xlnm.Print_Area" localSheetId="7">'GUNLUK_OZET'!$A$1:$F$105</definedName>
    <definedName name="_xlnm.Print_Area" localSheetId="12">'PANO'!$A$1:$K$33</definedName>
    <definedName name="_xlnm.Print_Area" localSheetId="13">'RAPOR'!$A$1:$K$57</definedName>
    <definedName name="_xlnm.Print_Area" localSheetId="22">'KILAVUZ'!$A$1:$K$23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&quot;₺ &quot;#,##0;[RED]&quot;(₺ &quot;#,##0\);\-"/>
    <numFmt numFmtId="166" formatCode="0.0%;[RED]\(0.0%\);\-"/>
    <numFmt numFmtId="167" formatCode="0\%"/>
    <numFmt numFmtId="168" formatCode="#,##0 &quot;TL&quot;"/>
    <numFmt numFmtId="169" formatCode="0.0%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FFFFFF"/>
      <sz val="12"/>
    </font>
    <font>
      <name val="Segoe UI"/>
      <charset val="1"/>
      <family val="0"/>
      <color rgb="FF000000"/>
      <sz val="9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b val="1"/>
      <color rgb="FF1F7A4D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b val="1"/>
      <color rgb="FF000000"/>
      <sz val="12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1F7A4D"/>
      <sz val="20"/>
    </font>
    <font>
      <name val="Segoe UI"/>
      <charset val="1"/>
      <family val="0"/>
      <b val="1"/>
      <color rgb="FFBF8F00"/>
      <sz val="20"/>
    </font>
    <font>
      <name val="Segoe UI"/>
      <charset val="1"/>
      <family val="0"/>
      <b val="1"/>
      <color rgb="FFC00000"/>
      <sz val="20"/>
    </font>
    <font>
      <name val="Segoe UI"/>
      <charset val="1"/>
      <family val="0"/>
      <b val="1"/>
      <color rgb="FF1F4E79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b val="1"/>
      <color rgb="FF595959"/>
      <sz val="10"/>
    </font>
    <font>
      <name val="Segoe UI"/>
      <charset val="1"/>
      <family val="0"/>
      <i val="1"/>
      <color rgb="FF595959"/>
      <sz val="8"/>
    </font>
    <font>
      <name val="Segoe UI"/>
      <charset val="1"/>
      <family val="0"/>
      <b val="1"/>
      <color rgb="FFFFFFFF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0B1F3A"/>
        <bgColor rgb="FF000000"/>
      </patternFill>
    </fill>
    <fill>
      <patternFill patternType="solid">
        <fgColor rgb="00DDEBF7"/>
        <bgColor rgb="FFD9E5E7"/>
      </patternFill>
    </fill>
    <fill>
      <patternFill patternType="solid">
        <fgColor rgb="001F4E79"/>
        <bgColor rgb="FF386D94"/>
      </patternFill>
    </fill>
    <fill>
      <patternFill patternType="solid">
        <fgColor rgb="FFFFF2CC"/>
        <bgColor rgb="FFFDE7E9"/>
      </patternFill>
    </fill>
    <fill>
      <patternFill patternType="solid">
        <fgColor rgb="00F2F2F2"/>
        <bgColor rgb="FFFDE7E9"/>
      </patternFill>
    </fill>
    <fill>
      <patternFill patternType="solid">
        <fgColor rgb="00FFFFFF"/>
        <b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9" fillId="6" borderId="0" applyAlignment="1" pivotButton="0" quotePrefix="0" xfId="0">
      <alignment horizontal="left" vertical="center"/>
    </xf>
    <xf numFmtId="164" fontId="5" fillId="5" borderId="0" applyAlignment="1" applyProtection="1" pivotButton="0" quotePrefix="0" xfId="0">
      <alignment horizontal="left" vertical="center"/>
      <protection locked="0" hidden="0"/>
    </xf>
    <xf numFmtId="3" fontId="5" fillId="5" borderId="0" applyAlignment="1" applyProtection="1" pivotButton="0" quotePrefix="0" xfId="0">
      <alignment horizontal="left" vertical="center"/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0" fontId="7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left" vertical="center"/>
    </xf>
    <xf numFmtId="166" fontId="7" fillId="6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165" fontId="17" fillId="5" borderId="0" applyAlignment="1" applyProtection="1" pivotButton="0" quotePrefix="0" xfId="0">
      <alignment horizontal="left" vertical="center"/>
      <protection locked="0" hidden="0"/>
    </xf>
    <xf numFmtId="164" fontId="7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165" fontId="21" fillId="6" borderId="0" applyAlignment="1" pivotButton="0" quotePrefix="0" xfId="0">
      <alignment horizontal="center" vertical="center"/>
    </xf>
    <xf numFmtId="166" fontId="22" fillId="6" borderId="0" applyAlignment="1" pivotButton="0" quotePrefix="0" xfId="0">
      <alignment horizontal="center" vertical="center"/>
    </xf>
    <xf numFmtId="165" fontId="23" fillId="6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left" vertical="center"/>
    </xf>
    <xf numFmtId="3" fontId="24" fillId="7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6" fontId="14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7" fontId="20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 wrapText="1"/>
    </xf>
    <xf numFmtId="0" fontId="17" fillId="5" borderId="0" applyAlignment="1" applyProtection="1" pivotButton="0" quotePrefix="0" xfId="0">
      <alignment horizontal="left" vertical="center"/>
      <protection locked="0" hidden="0"/>
    </xf>
    <xf numFmtId="3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/>
    </xf>
    <xf numFmtId="164" fontId="17" fillId="5" borderId="0" applyAlignment="1" applyProtection="1" pivotButton="0" quotePrefix="0" xfId="0">
      <alignment horizontal="left" vertical="center"/>
      <protection locked="0" hidden="0"/>
    </xf>
    <xf numFmtId="3" fontId="17" fillId="5" borderId="0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 wrapText="1"/>
    </xf>
    <xf numFmtId="0" fontId="30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31" fillId="8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0" pivotButton="0" quotePrefix="0" xfId="0"/>
    <xf numFmtId="0" fontId="34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9" fillId="9" borderId="0" applyAlignment="1" pivotButton="0" quotePrefix="0" xfId="0">
      <alignment horizontal="center" vertical="center" wrapText="1"/>
    </xf>
    <xf numFmtId="0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1" fillId="8" borderId="0" applyAlignment="1" pivotButton="0" quotePrefix="0" xfId="0">
      <alignment horizontal="center" vertical="center"/>
    </xf>
    <xf numFmtId="0" fontId="42" fillId="0" borderId="0" pivotButton="0" quotePrefix="0" xfId="0"/>
    <xf numFmtId="168" fontId="42" fillId="0" borderId="0" pivotButton="0" quotePrefix="0" xfId="0"/>
    <xf numFmtId="168" fontId="43" fillId="0" borderId="0" pivotButton="0" quotePrefix="0" xfId="0"/>
    <xf numFmtId="169" fontId="42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8" borderId="0" applyAlignment="1" pivotButton="0" quotePrefix="0" xfId="0">
      <alignment horizontal="center" vertical="center"/>
    </xf>
    <xf numFmtId="0" fontId="41" fillId="8" borderId="0" applyAlignment="1" pivotButton="0" quotePrefix="0" xfId="0">
      <alignment horizontal="center"/>
    </xf>
    <xf numFmtId="0" fontId="43" fillId="0" borderId="0" pivotButton="0" quotePrefix="0" xfId="0"/>
    <xf numFmtId="0" fontId="47" fillId="10" borderId="1" pivotButton="0" quotePrefix="0" xfId="0"/>
    <xf numFmtId="0" fontId="48" fillId="0" borderId="0" pivotButton="0" quotePrefix="0" xfId="0"/>
    <xf numFmtId="0" fontId="49" fillId="0" borderId="0" pivotButton="0" quotePrefix="0" xfId="0"/>
    <xf numFmtId="0" fontId="42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9" fillId="6" borderId="0" applyAlignment="1" pivotButton="0" quotePrefix="0" xfId="0">
      <alignment horizontal="left" vertical="center"/>
    </xf>
    <xf numFmtId="164" fontId="5" fillId="5" borderId="0" applyAlignment="1" applyProtection="1" pivotButton="0" quotePrefix="0" xfId="0">
      <alignment horizontal="left" vertical="center"/>
      <protection locked="0" hidden="0"/>
    </xf>
    <xf numFmtId="3" fontId="5" fillId="5" borderId="0" applyAlignment="1" applyProtection="1" pivotButton="0" quotePrefix="0" xfId="0">
      <alignment horizontal="left" vertical="center"/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0" fontId="7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left" vertical="center"/>
    </xf>
    <xf numFmtId="166" fontId="7" fillId="6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165" fontId="17" fillId="5" borderId="0" applyAlignment="1" applyProtection="1" pivotButton="0" quotePrefix="0" xfId="0">
      <alignment horizontal="left" vertical="center"/>
      <protection locked="0" hidden="0"/>
    </xf>
    <xf numFmtId="164" fontId="7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165" fontId="21" fillId="6" borderId="0" applyAlignment="1" pivotButton="0" quotePrefix="0" xfId="0">
      <alignment horizontal="center" vertical="center"/>
    </xf>
    <xf numFmtId="166" fontId="22" fillId="6" borderId="0" applyAlignment="1" pivotButton="0" quotePrefix="0" xfId="0">
      <alignment horizontal="center" vertical="center"/>
    </xf>
    <xf numFmtId="165" fontId="23" fillId="6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3" fontId="24" fillId="7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7" fontId="20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 wrapText="1"/>
    </xf>
    <xf numFmtId="0" fontId="17" fillId="5" borderId="0" applyAlignment="1" applyProtection="1" pivotButton="0" quotePrefix="0" xfId="0">
      <alignment horizontal="left" vertical="center"/>
      <protection locked="0" hidden="0"/>
    </xf>
    <xf numFmtId="3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/>
    </xf>
    <xf numFmtId="164" fontId="17" fillId="5" borderId="0" applyAlignment="1" applyProtection="1" pivotButton="0" quotePrefix="0" xfId="0">
      <alignment horizontal="left" vertical="center"/>
      <protection locked="0" hidden="0"/>
    </xf>
    <xf numFmtId="3" fontId="17" fillId="5" borderId="0" applyAlignment="1" applyProtection="1" pivotButton="0" quotePrefix="0" xfId="0">
      <alignment horizontal="left" vertical="center"/>
      <protection locked="0" hidden="0"/>
    </xf>
    <xf numFmtId="0" fontId="30" fillId="4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00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ill>
        <patternFill patternType="solid">
          <fgColor rgb="00F2F2F2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7F8C8D"/>
      </font>
    </dxf>
  </dxfs>
  <colors>
    <indexedColors>
      <rgbColor rgb="FF000000"/>
      <rgbColor rgb="FFFFFFFF"/>
      <rgbColor rgb="FFC00000"/>
      <rgbColor rgb="FF86A24D"/>
      <rgbColor rgb="FFE5C7C7"/>
      <rgbColor rgb="FFC0D2A0"/>
      <rgbColor rgb="FFCA7877"/>
      <rgbColor rgb="FFB9D7E3"/>
      <rgbColor rgb="FF813432"/>
      <rgbColor rgb="FF006100"/>
      <rgbColor rgb="FFF9B792"/>
      <rgbColor rgb="FF70873E"/>
      <rgbColor rgb="FFB64B48"/>
      <rgbColor rgb="FF1F7A4D"/>
      <rgbColor rgb="FFC3C7DE"/>
      <rgbColor rgb="FF88858D"/>
      <rgbColor rgb="FF9DB0D3"/>
      <rgbColor rgb="FF953D3A"/>
      <rgbColor rgb="FFFFF2CC"/>
      <rgbColor rgb="FFDDEBF7"/>
      <rgbColor rgb="FFB7791F"/>
      <rgbColor rgb="FFF08F43"/>
      <rgbColor rgb="FF7898C7"/>
      <rgbColor rgb="FFD1D2E3"/>
      <rgbColor rgb="FFFDE7E9"/>
      <rgbColor rgb="FFD19493"/>
      <rgbColor rgb="FFFBDBCB"/>
      <rgbColor rgb="FFABC67E"/>
      <rgbColor rgb="FFC0524F"/>
      <rgbColor rgb="FFA6652D"/>
      <rgbColor rgb="FF386D94"/>
      <rgbColor rgb="FFE3D9DB"/>
      <rgbColor rgb="FF7F8C8D"/>
      <rgbColor rgb="FFD9E5E7"/>
      <rgbColor rgb="FFD0DEBD"/>
      <rgbColor rgb="FFF2F2F2"/>
      <rgbColor rgb="FF9CCADA"/>
      <rgbColor rgb="FFDBACAB"/>
      <rgbColor rgb="FFBDB1CC"/>
      <rgbColor rgb="FFFACAB1"/>
      <rgbColor rgb="FF4380AC"/>
      <rgbColor rgb="FF76B8CE"/>
      <rgbColor rgb="FF96B457"/>
      <rgbColor rgb="FFF8A266"/>
      <rgbColor rgb="FFD9823B"/>
      <rgbColor rgb="FFC27435"/>
      <rgbColor rgb="FF765C96"/>
      <rgbColor rgb="FFA495B9"/>
      <rgbColor rgb="FF0B1F3A"/>
      <rgbColor rgb="FF469FBB"/>
      <rgbColor rgb="FFBF8F00"/>
      <rgbColor rgb="FF595959"/>
      <rgbColor rgb="FFB3261E"/>
      <rgbColor rgb="FFA84542"/>
      <rgbColor rgb="FF1F4E79"/>
      <rgbColor rgb="FF5D487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Günlük Net Nakit ve Kümülatif Nakit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PANO!B43</f>
              <strCache>
                <ptCount val="1"/>
                <pt idx="0">
                  <v>Net Nakit</v>
                </pt>
              </strCache>
            </strRef>
          </tx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PANO!$A$44:$A$143</f>
              <strCache>
                <ptCount val="100"/>
                <pt idx="0">
                  <v>01.05.2026</v>
                </pt>
                <pt idx="1">
                  <v>02.05.2026</v>
                </pt>
                <pt idx="2">
                  <v>03.05.2026</v>
                </pt>
                <pt idx="3">
                  <v>04.05.2026</v>
                </pt>
                <pt idx="4">
                  <v>05.05.2026</v>
                </pt>
                <pt idx="5">
                  <v>06.05.2026</v>
                </pt>
                <pt idx="6">
                  <v>07.05.2026</v>
                </pt>
                <pt idx="7">
                  <v>08.05.2026</v>
                </pt>
                <pt idx="8">
                  <v>09.05.2026</v>
                </pt>
                <pt idx="9">
                  <v>10.05.2026</v>
                </pt>
                <pt idx="10">
                  <v>11.05.2026</v>
                </pt>
                <pt idx="11">
                  <v>12.05.2026</v>
                </pt>
                <pt idx="12">
                  <v>13.05.2026</v>
                </pt>
                <pt idx="13">
                  <v>14.05.2026</v>
                </pt>
                <pt idx="14">
                  <v>15.05.2026</v>
                </pt>
                <pt idx="15">
                  <v>16.05.2026</v>
                </pt>
                <pt idx="16">
                  <v>17.05.2026</v>
                </pt>
                <pt idx="17">
                  <v>18.05.2026</v>
                </pt>
                <pt idx="18">
                  <v>19.05.2026</v>
                </pt>
                <pt idx="19">
                  <v>20.05.2026</v>
                </pt>
                <pt idx="20">
                  <v>21.05.2026</v>
                </pt>
                <pt idx="21">
                  <v>22.05.2026</v>
                </pt>
                <pt idx="22">
                  <v>23.05.2026</v>
                </pt>
                <pt idx="23">
                  <v>24.05.2026</v>
                </pt>
                <pt idx="24">
                  <v>25.05.2026</v>
                </pt>
                <pt idx="25">
                  <v>26.05.2026</v>
                </pt>
                <pt idx="26">
                  <v>27.05.2026</v>
                </pt>
                <pt idx="27">
                  <v>28.05.2026</v>
                </pt>
                <pt idx="28">
                  <v>29.05.2026</v>
                </pt>
                <pt idx="29">
                  <v>30.05.2026</v>
                </pt>
                <pt idx="30">
                  <v>31.05.2026</v>
                </pt>
                <pt idx="31">
                  <v>01.06.2026</v>
                </pt>
                <pt idx="32">
                  <v>02.06.2026</v>
                </pt>
                <pt idx="33">
                  <v>03.06.2026</v>
                </pt>
                <pt idx="34">
                  <v>04.06.2026</v>
                </pt>
                <pt idx="35">
                  <v>05.06.2026</v>
                </pt>
                <pt idx="36">
                  <v>06.06.2026</v>
                </pt>
                <pt idx="37">
                  <v>07.06.2026</v>
                </pt>
                <pt idx="38">
                  <v>08.06.2026</v>
                </pt>
                <pt idx="39">
                  <v>09.06.2026</v>
                </pt>
                <pt idx="40">
                  <v>10.06.2026</v>
                </pt>
                <pt idx="41">
                  <v>11.06.2026</v>
                </pt>
                <pt idx="42">
                  <v>12.06.2026</v>
                </pt>
                <pt idx="43">
                  <v>13.06.2026</v>
                </pt>
                <pt idx="44">
                  <v>14.06.2026</v>
                </pt>
                <pt idx="45">
                  <v>15.06.2026</v>
                </pt>
                <pt idx="46">
                  <v>16.06.2026</v>
                </pt>
                <pt idx="47">
                  <v>17.06.2026</v>
                </pt>
                <pt idx="48">
                  <v>18.06.2026</v>
                </pt>
                <pt idx="49">
                  <v>19.06.2026</v>
                </pt>
                <pt idx="50">
                  <v>20.06.2026</v>
                </pt>
                <pt idx="51">
                  <v>21.06.2026</v>
                </pt>
                <pt idx="52">
                  <v>22.06.2026</v>
                </pt>
                <pt idx="53">
                  <v>23.06.2026</v>
                </pt>
                <pt idx="54">
                  <v>24.06.2026</v>
                </pt>
                <pt idx="55">
                  <v>25.06.2026</v>
                </pt>
                <pt idx="56">
                  <v>26.06.2026</v>
                </pt>
                <pt idx="57">
                  <v>27.06.2026</v>
                </pt>
                <pt idx="58">
                  <v>28.06.2026</v>
                </pt>
                <pt idx="59">
                  <v>29.06.2026</v>
                </pt>
                <pt idx="60">
                  <v>30.06.2026</v>
                </pt>
                <pt idx="61">
                  <v>01.07.2026</v>
                </pt>
                <pt idx="62">
                  <v>02.07.2026</v>
                </pt>
                <pt idx="63">
                  <v>03.07.2026</v>
                </pt>
                <pt idx="64">
                  <v>04.07.2026</v>
                </pt>
                <pt idx="65">
                  <v>05.07.2026</v>
                </pt>
                <pt idx="66">
                  <v>06.07.2026</v>
                </pt>
                <pt idx="67">
                  <v>07.07.2026</v>
                </pt>
                <pt idx="68">
                  <v>08.07.2026</v>
                </pt>
                <pt idx="69">
                  <v>09.07.2026</v>
                </pt>
                <pt idx="70">
                  <v>10.07.2026</v>
                </pt>
                <pt idx="71">
                  <v>11.07.2026</v>
                </pt>
                <pt idx="72">
                  <v>12.07.2026</v>
                </pt>
                <pt idx="73">
                  <v>13.07.2026</v>
                </pt>
                <pt idx="74">
                  <v>14.07.2026</v>
                </pt>
                <pt idx="75">
                  <v>15.07.2026</v>
                </pt>
                <pt idx="76">
                  <v>16.07.2026</v>
                </pt>
                <pt idx="77">
                  <v>17.07.2026</v>
                </pt>
                <pt idx="78">
                  <v>18.07.2026</v>
                </pt>
                <pt idx="79">
                  <v>19.07.2026</v>
                </pt>
                <pt idx="80">
                  <v>20.07.2026</v>
                </pt>
                <pt idx="81">
                  <v>21.07.2026</v>
                </pt>
                <pt idx="82">
                  <v>22.07.2026</v>
                </pt>
                <pt idx="83">
                  <v>23.07.2026</v>
                </pt>
                <pt idx="84">
                  <v>24.07.2026</v>
                </pt>
                <pt idx="85">
                  <v>25.07.2026</v>
                </pt>
                <pt idx="86">
                  <v>26.07.2026</v>
                </pt>
                <pt idx="87">
                  <v>27.07.2026</v>
                </pt>
                <pt idx="88">
                  <v>28.07.2026</v>
                </pt>
                <pt idx="89">
                  <v>29.07.2026</v>
                </pt>
                <pt idx="90">
                  <v>30.07.2026</v>
                </pt>
                <pt idx="91">
                  <v>31.07.2026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</strCache>
            </strRef>
          </cat>
          <val>
            <numRef>
              <f>PANO!$B$44:$B$143</f>
              <numCache>
                <formatCode>"₺ "#,##0;[RED]"(₺ "#,##0\);\-</formatCode>
                <ptCount val="100"/>
                <pt idx="0">
                  <v>0</v>
                </pt>
                <pt idx="1">
                  <v>0</v>
                </pt>
                <pt idx="2">
                  <v>-90000</v>
                </pt>
                <pt idx="3">
                  <v>0</v>
                </pt>
                <pt idx="4">
                  <v>9000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-12000</v>
                </pt>
                <pt idx="12">
                  <v>0</v>
                </pt>
                <pt idx="13">
                  <v>0</v>
                </pt>
                <pt idx="14">
                  <v>-8000</v>
                </pt>
                <pt idx="15">
                  <v>0</v>
                </pt>
                <pt idx="16">
                  <v>0</v>
                </pt>
                <pt idx="17">
                  <v>-45000</v>
                </pt>
                <pt idx="18">
                  <v>50000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-55000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-81000</v>
                </pt>
                <pt idx="36">
                  <v>0</v>
                </pt>
                <pt idx="37">
                  <v>0</v>
                </pt>
                <pt idx="38">
                  <v>70000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-55000</v>
                </pt>
                <pt idx="51">
                  <v>0</v>
                </pt>
                <pt idx="52">
                  <v>55000</v>
                </pt>
                <pt idx="53">
                  <v>0</v>
                </pt>
                <pt idx="54">
                  <v>0</v>
                </pt>
                <pt idx="55">
                  <v>-55000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-14000</v>
                </pt>
                <pt idx="61">
                  <v>0</v>
                </pt>
                <pt idx="62">
                  <v>0</v>
                </pt>
                <pt idx="63">
                  <v>80000</v>
                </pt>
                <pt idx="64">
                  <v>0</v>
                </pt>
                <pt idx="65">
                  <v>-91000</v>
                </pt>
                <pt idx="66">
                  <v>0</v>
                </pt>
                <pt idx="67">
                  <v>-70000</v>
                </pt>
                <pt idx="68">
                  <v>-50000</v>
                </pt>
                <pt idx="69">
                  <v>0</v>
                </pt>
                <pt idx="70">
                  <v>120000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-30000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-40000</v>
                </pt>
                <pt idx="82">
                  <v>-14000</v>
                </pt>
                <pt idx="83">
                  <v>0</v>
                </pt>
                <pt idx="84">
                  <v>30000</v>
                </pt>
                <pt idx="85">
                  <v>-55000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-13000</v>
                </pt>
              </numCache>
            </numRef>
          </val>
          <smooth val="1"/>
        </ser>
        <ser>
          <idx val="1"/>
          <order val="1"/>
          <tx>
            <strRef>
              <f>PANO!C43</f>
              <strCache>
                <ptCount val="1"/>
                <pt idx="0">
                  <v>Kümülatif Nakit</v>
                </pt>
              </strCache>
            </strRef>
          </tx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PANO!$A$44:$A$143</f>
              <strCache>
                <ptCount val="100"/>
                <pt idx="0">
                  <v>01.05.2026</v>
                </pt>
                <pt idx="1">
                  <v>02.05.2026</v>
                </pt>
                <pt idx="2">
                  <v>03.05.2026</v>
                </pt>
                <pt idx="3">
                  <v>04.05.2026</v>
                </pt>
                <pt idx="4">
                  <v>05.05.2026</v>
                </pt>
                <pt idx="5">
                  <v>06.05.2026</v>
                </pt>
                <pt idx="6">
                  <v>07.05.2026</v>
                </pt>
                <pt idx="7">
                  <v>08.05.2026</v>
                </pt>
                <pt idx="8">
                  <v>09.05.2026</v>
                </pt>
                <pt idx="9">
                  <v>10.05.2026</v>
                </pt>
                <pt idx="10">
                  <v>11.05.2026</v>
                </pt>
                <pt idx="11">
                  <v>12.05.2026</v>
                </pt>
                <pt idx="12">
                  <v>13.05.2026</v>
                </pt>
                <pt idx="13">
                  <v>14.05.2026</v>
                </pt>
                <pt idx="14">
                  <v>15.05.2026</v>
                </pt>
                <pt idx="15">
                  <v>16.05.2026</v>
                </pt>
                <pt idx="16">
                  <v>17.05.2026</v>
                </pt>
                <pt idx="17">
                  <v>18.05.2026</v>
                </pt>
                <pt idx="18">
                  <v>19.05.2026</v>
                </pt>
                <pt idx="19">
                  <v>20.05.2026</v>
                </pt>
                <pt idx="20">
                  <v>21.05.2026</v>
                </pt>
                <pt idx="21">
                  <v>22.05.2026</v>
                </pt>
                <pt idx="22">
                  <v>23.05.2026</v>
                </pt>
                <pt idx="23">
                  <v>24.05.2026</v>
                </pt>
                <pt idx="24">
                  <v>25.05.2026</v>
                </pt>
                <pt idx="25">
                  <v>26.05.2026</v>
                </pt>
                <pt idx="26">
                  <v>27.05.2026</v>
                </pt>
                <pt idx="27">
                  <v>28.05.2026</v>
                </pt>
                <pt idx="28">
                  <v>29.05.2026</v>
                </pt>
                <pt idx="29">
                  <v>30.05.2026</v>
                </pt>
                <pt idx="30">
                  <v>31.05.2026</v>
                </pt>
                <pt idx="31">
                  <v>01.06.2026</v>
                </pt>
                <pt idx="32">
                  <v>02.06.2026</v>
                </pt>
                <pt idx="33">
                  <v>03.06.2026</v>
                </pt>
                <pt idx="34">
                  <v>04.06.2026</v>
                </pt>
                <pt idx="35">
                  <v>05.06.2026</v>
                </pt>
                <pt idx="36">
                  <v>06.06.2026</v>
                </pt>
                <pt idx="37">
                  <v>07.06.2026</v>
                </pt>
                <pt idx="38">
                  <v>08.06.2026</v>
                </pt>
                <pt idx="39">
                  <v>09.06.2026</v>
                </pt>
                <pt idx="40">
                  <v>10.06.2026</v>
                </pt>
                <pt idx="41">
                  <v>11.06.2026</v>
                </pt>
                <pt idx="42">
                  <v>12.06.2026</v>
                </pt>
                <pt idx="43">
                  <v>13.06.2026</v>
                </pt>
                <pt idx="44">
                  <v>14.06.2026</v>
                </pt>
                <pt idx="45">
                  <v>15.06.2026</v>
                </pt>
                <pt idx="46">
                  <v>16.06.2026</v>
                </pt>
                <pt idx="47">
                  <v>17.06.2026</v>
                </pt>
                <pt idx="48">
                  <v>18.06.2026</v>
                </pt>
                <pt idx="49">
                  <v>19.06.2026</v>
                </pt>
                <pt idx="50">
                  <v>20.06.2026</v>
                </pt>
                <pt idx="51">
                  <v>21.06.2026</v>
                </pt>
                <pt idx="52">
                  <v>22.06.2026</v>
                </pt>
                <pt idx="53">
                  <v>23.06.2026</v>
                </pt>
                <pt idx="54">
                  <v>24.06.2026</v>
                </pt>
                <pt idx="55">
                  <v>25.06.2026</v>
                </pt>
                <pt idx="56">
                  <v>26.06.2026</v>
                </pt>
                <pt idx="57">
                  <v>27.06.2026</v>
                </pt>
                <pt idx="58">
                  <v>28.06.2026</v>
                </pt>
                <pt idx="59">
                  <v>29.06.2026</v>
                </pt>
                <pt idx="60">
                  <v>30.06.2026</v>
                </pt>
                <pt idx="61">
                  <v>01.07.2026</v>
                </pt>
                <pt idx="62">
                  <v>02.07.2026</v>
                </pt>
                <pt idx="63">
                  <v>03.07.2026</v>
                </pt>
                <pt idx="64">
                  <v>04.07.2026</v>
                </pt>
                <pt idx="65">
                  <v>05.07.2026</v>
                </pt>
                <pt idx="66">
                  <v>06.07.2026</v>
                </pt>
                <pt idx="67">
                  <v>07.07.2026</v>
                </pt>
                <pt idx="68">
                  <v>08.07.2026</v>
                </pt>
                <pt idx="69">
                  <v>09.07.2026</v>
                </pt>
                <pt idx="70">
                  <v>10.07.2026</v>
                </pt>
                <pt idx="71">
                  <v>11.07.2026</v>
                </pt>
                <pt idx="72">
                  <v>12.07.2026</v>
                </pt>
                <pt idx="73">
                  <v>13.07.2026</v>
                </pt>
                <pt idx="74">
                  <v>14.07.2026</v>
                </pt>
                <pt idx="75">
                  <v>15.07.2026</v>
                </pt>
                <pt idx="76">
                  <v>16.07.2026</v>
                </pt>
                <pt idx="77">
                  <v>17.07.2026</v>
                </pt>
                <pt idx="78">
                  <v>18.07.2026</v>
                </pt>
                <pt idx="79">
                  <v>19.07.2026</v>
                </pt>
                <pt idx="80">
                  <v>20.07.2026</v>
                </pt>
                <pt idx="81">
                  <v>21.07.2026</v>
                </pt>
                <pt idx="82">
                  <v>22.07.2026</v>
                </pt>
                <pt idx="83">
                  <v>23.07.2026</v>
                </pt>
                <pt idx="84">
                  <v>24.07.2026</v>
                </pt>
                <pt idx="85">
                  <v>25.07.2026</v>
                </pt>
                <pt idx="86">
                  <v>26.07.2026</v>
                </pt>
                <pt idx="87">
                  <v>27.07.2026</v>
                </pt>
                <pt idx="88">
                  <v>28.07.2026</v>
                </pt>
                <pt idx="89">
                  <v>29.07.2026</v>
                </pt>
                <pt idx="90">
                  <v>30.07.2026</v>
                </pt>
                <pt idx="91">
                  <v>31.07.2026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</strCache>
            </strRef>
          </cat>
          <val>
            <numRef>
              <f>PANO!$C$44:$C$143</f>
              <numCache>
                <formatCode>"₺ "#,##0;[RED]"(₺ "#,##0\);\-</formatCode>
                <ptCount val="100"/>
                <pt idx="0">
                  <v>250000</v>
                </pt>
                <pt idx="1">
                  <v>250000</v>
                </pt>
                <pt idx="2">
                  <v>160000</v>
                </pt>
                <pt idx="3">
                  <v>160000</v>
                </pt>
                <pt idx="4">
                  <v>169000</v>
                </pt>
                <pt idx="5">
                  <v>169000</v>
                </pt>
                <pt idx="6">
                  <v>169000</v>
                </pt>
                <pt idx="7">
                  <v>169000</v>
                </pt>
                <pt idx="8">
                  <v>169000</v>
                </pt>
                <pt idx="9">
                  <v>169000</v>
                </pt>
                <pt idx="10">
                  <v>169000</v>
                </pt>
                <pt idx="11">
                  <v>157000</v>
                </pt>
                <pt idx="12">
                  <v>157000</v>
                </pt>
                <pt idx="13">
                  <v>157000</v>
                </pt>
                <pt idx="14">
                  <v>149000</v>
                </pt>
                <pt idx="15">
                  <v>149000</v>
                </pt>
                <pt idx="16">
                  <v>149000</v>
                </pt>
                <pt idx="17">
                  <v>104000</v>
                </pt>
                <pt idx="18">
                  <v>154000</v>
                </pt>
                <pt idx="19">
                  <v>154000</v>
                </pt>
                <pt idx="20">
                  <v>154000</v>
                </pt>
                <pt idx="21">
                  <v>154000</v>
                </pt>
                <pt idx="22">
                  <v>154000</v>
                </pt>
                <pt idx="23">
                  <v>154000</v>
                </pt>
                <pt idx="24">
                  <v>99000</v>
                </pt>
                <pt idx="25">
                  <v>99000</v>
                </pt>
                <pt idx="26">
                  <v>99000</v>
                </pt>
                <pt idx="27">
                  <v>99000</v>
                </pt>
                <pt idx="28">
                  <v>99000</v>
                </pt>
                <pt idx="29">
                  <v>99000</v>
                </pt>
                <pt idx="30">
                  <v>99000</v>
                </pt>
                <pt idx="31">
                  <v>99000</v>
                </pt>
                <pt idx="32">
                  <v>99000</v>
                </pt>
                <pt idx="33">
                  <v>99000</v>
                </pt>
                <pt idx="34">
                  <v>99000</v>
                </pt>
                <pt idx="35">
                  <v>18000</v>
                </pt>
                <pt idx="36">
                  <v>18000</v>
                </pt>
                <pt idx="37">
                  <v>18000</v>
                </pt>
                <pt idx="38">
                  <v>88000</v>
                </pt>
                <pt idx="39">
                  <v>88000</v>
                </pt>
                <pt idx="40">
                  <v>88000</v>
                </pt>
                <pt idx="41">
                  <v>88000</v>
                </pt>
                <pt idx="42">
                  <v>88000</v>
                </pt>
                <pt idx="43">
                  <v>88000</v>
                </pt>
                <pt idx="44">
                  <v>88000</v>
                </pt>
                <pt idx="45">
                  <v>88000</v>
                </pt>
                <pt idx="46">
                  <v>88000</v>
                </pt>
                <pt idx="47">
                  <v>88000</v>
                </pt>
                <pt idx="48">
                  <v>88000</v>
                </pt>
                <pt idx="49">
                  <v>88000</v>
                </pt>
                <pt idx="50">
                  <v>33000</v>
                </pt>
                <pt idx="51">
                  <v>33000</v>
                </pt>
                <pt idx="52">
                  <v>88000</v>
                </pt>
                <pt idx="53">
                  <v>88000</v>
                </pt>
                <pt idx="54">
                  <v>88000</v>
                </pt>
                <pt idx="55">
                  <v>33000</v>
                </pt>
                <pt idx="56">
                  <v>33000</v>
                </pt>
                <pt idx="57">
                  <v>33000</v>
                </pt>
                <pt idx="58">
                  <v>33000</v>
                </pt>
                <pt idx="59">
                  <v>33000</v>
                </pt>
                <pt idx="60">
                  <v>19000</v>
                </pt>
                <pt idx="61">
                  <v>19000</v>
                </pt>
                <pt idx="62">
                  <v>19000</v>
                </pt>
                <pt idx="63">
                  <v>99000</v>
                </pt>
                <pt idx="64">
                  <v>99000</v>
                </pt>
                <pt idx="65">
                  <v>8000</v>
                </pt>
                <pt idx="66">
                  <v>8000</v>
                </pt>
                <pt idx="67">
                  <v>-62000</v>
                </pt>
                <pt idx="68">
                  <v>-112000</v>
                </pt>
                <pt idx="69">
                  <v>-112000</v>
                </pt>
                <pt idx="70">
                  <v>8000</v>
                </pt>
                <pt idx="71">
                  <v>8000</v>
                </pt>
                <pt idx="72">
                  <v>8000</v>
                </pt>
                <pt idx="73">
                  <v>8000</v>
                </pt>
                <pt idx="74">
                  <v>8000</v>
                </pt>
                <pt idx="75">
                  <v>-22000</v>
                </pt>
                <pt idx="76">
                  <v>-22000</v>
                </pt>
                <pt idx="77">
                  <v>-22000</v>
                </pt>
                <pt idx="78">
                  <v>-22000</v>
                </pt>
                <pt idx="79">
                  <v>-22000</v>
                </pt>
                <pt idx="80">
                  <v>-22000</v>
                </pt>
                <pt idx="81">
                  <v>-62000</v>
                </pt>
                <pt idx="82">
                  <v>-76000</v>
                </pt>
                <pt idx="83">
                  <v>-76000</v>
                </pt>
                <pt idx="84">
                  <v>-46000</v>
                </pt>
                <pt idx="85">
                  <v>-101000</v>
                </pt>
                <pt idx="86">
                  <v>-101000</v>
                </pt>
                <pt idx="87">
                  <v>-101000</v>
                </pt>
                <pt idx="88">
                  <v>-101000</v>
                </pt>
                <pt idx="89">
                  <v>-101000</v>
                </pt>
                <pt idx="90">
                  <v>-101000</v>
                </pt>
                <pt idx="91">
                  <v>-114000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0481677"/>
        <axId val="76343038"/>
      </lineChart>
      <catAx>
        <axId val="4048167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6343038"/>
        <crosses val="autoZero"/>
        <auto val="1"/>
        <lblAlgn val="ctr"/>
        <lblOffset val="100"/>
        <noMultiLvlLbl val="0"/>
      </catAx>
      <valAx>
        <axId val="7634303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04816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 Bazında Net Satış ve Net Sonuç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PANO!B146</f>
              <strCache>
                <ptCount val="1"/>
                <pt idx="0">
                  <v>Net Satış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PANO!$A$147:$A$157</f>
              <strCache>
                <ptCount val="11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</strCache>
            </strRef>
          </cat>
          <val>
            <numRef>
              <f>PANO!$B$147:$B$157</f>
              <numCache>
                <formatCode>"₺ "#,##0;[RED]"(₺ "#,##0\);\-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300000</v>
                </pt>
                <pt idx="5">
                  <v>350000</v>
                </pt>
                <pt idx="6">
                  <v>290000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1"/>
          <order val="1"/>
          <tx>
            <strRef>
              <f>PANO!C146</f>
              <strCache>
                <ptCount val="1"/>
                <pt idx="0">
                  <v>Net Sonuç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PANO!$A$147:$A$157</f>
              <strCache>
                <ptCount val="11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</strCache>
            </strRef>
          </cat>
          <val>
            <numRef>
              <f>PANO!$C$147:$C$157</f>
              <numCache>
                <formatCode>"₺ "#,##0;[RED]"(₺ "#,##0\);\-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-7000</v>
                </pt>
                <pt idx="5">
                  <v>54000</v>
                </pt>
                <pt idx="6">
                  <v>9000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gapWidth val="150"/>
        <overlap val="0"/>
        <axId val="49963287"/>
        <axId val="45542135"/>
      </barChart>
      <catAx>
        <axId val="499632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5542135"/>
        <crosses val="autoZero"/>
        <auto val="1"/>
        <lblAlgn val="ctr"/>
        <lblOffset val="100"/>
        <noMultiLvlLbl val="0"/>
      </catAx>
      <valAx>
        <axId val="4554213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99632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Günlük Nakit Girişi ve Çıkışı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GUNLUK_OZET!B5</f>
              <strCache>
                <ptCount val="1"/>
                <pt idx="0">
                  <v>Nakit Girişi</v>
                </pt>
              </strCache>
            </strRef>
          </tx>
          <spPr>
            <a:solidFill xmlns:a="http://schemas.openxmlformats.org/drawingml/2006/main">
              <a:srgbClr val="AA433F"/>
            </a:solidFill>
            <a:ln xmlns:a="http://schemas.openxmlformats.org/drawingml/2006/main" w="1260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GUNLUK_OZET!$A$6:$A$105</f>
              <strCache>
                <ptCount val="100"/>
                <pt idx="0">
                  <v>01.05.2026</v>
                </pt>
                <pt idx="1">
                  <v>02.05.2026</v>
                </pt>
                <pt idx="2">
                  <v>03.05.2026</v>
                </pt>
                <pt idx="3">
                  <v>04.05.2026</v>
                </pt>
                <pt idx="4">
                  <v>05.05.2026</v>
                </pt>
                <pt idx="5">
                  <v>06.05.2026</v>
                </pt>
                <pt idx="6">
                  <v>07.05.2026</v>
                </pt>
                <pt idx="7">
                  <v>08.05.2026</v>
                </pt>
                <pt idx="8">
                  <v>09.05.2026</v>
                </pt>
                <pt idx="9">
                  <v>10.05.2026</v>
                </pt>
                <pt idx="10">
                  <v>11.05.2026</v>
                </pt>
                <pt idx="11">
                  <v>12.05.2026</v>
                </pt>
                <pt idx="12">
                  <v>13.05.2026</v>
                </pt>
                <pt idx="13">
                  <v>14.05.2026</v>
                </pt>
                <pt idx="14">
                  <v>15.05.2026</v>
                </pt>
                <pt idx="15">
                  <v>16.05.2026</v>
                </pt>
                <pt idx="16">
                  <v>17.05.2026</v>
                </pt>
                <pt idx="17">
                  <v>18.05.2026</v>
                </pt>
                <pt idx="18">
                  <v>19.05.2026</v>
                </pt>
                <pt idx="19">
                  <v>20.05.2026</v>
                </pt>
                <pt idx="20">
                  <v>21.05.2026</v>
                </pt>
                <pt idx="21">
                  <v>22.05.2026</v>
                </pt>
                <pt idx="22">
                  <v>23.05.2026</v>
                </pt>
                <pt idx="23">
                  <v>24.05.2026</v>
                </pt>
                <pt idx="24">
                  <v>25.05.2026</v>
                </pt>
                <pt idx="25">
                  <v>26.05.2026</v>
                </pt>
                <pt idx="26">
                  <v>27.05.2026</v>
                </pt>
                <pt idx="27">
                  <v>28.05.2026</v>
                </pt>
                <pt idx="28">
                  <v>29.05.2026</v>
                </pt>
                <pt idx="29">
                  <v>30.05.2026</v>
                </pt>
                <pt idx="30">
                  <v>31.05.2026</v>
                </pt>
                <pt idx="31">
                  <v>01.06.2026</v>
                </pt>
                <pt idx="32">
                  <v>02.06.2026</v>
                </pt>
                <pt idx="33">
                  <v>03.06.2026</v>
                </pt>
                <pt idx="34">
                  <v>04.06.2026</v>
                </pt>
                <pt idx="35">
                  <v>05.06.2026</v>
                </pt>
                <pt idx="36">
                  <v>06.06.2026</v>
                </pt>
                <pt idx="37">
                  <v>07.06.2026</v>
                </pt>
                <pt idx="38">
                  <v>08.06.2026</v>
                </pt>
                <pt idx="39">
                  <v>09.06.2026</v>
                </pt>
                <pt idx="40">
                  <v>10.06.2026</v>
                </pt>
                <pt idx="41">
                  <v>11.06.2026</v>
                </pt>
                <pt idx="42">
                  <v>12.06.2026</v>
                </pt>
                <pt idx="43">
                  <v>13.06.2026</v>
                </pt>
                <pt idx="44">
                  <v>14.06.2026</v>
                </pt>
                <pt idx="45">
                  <v>15.06.2026</v>
                </pt>
                <pt idx="46">
                  <v>16.06.2026</v>
                </pt>
                <pt idx="47">
                  <v>17.06.2026</v>
                </pt>
                <pt idx="48">
                  <v>18.06.2026</v>
                </pt>
                <pt idx="49">
                  <v>19.06.2026</v>
                </pt>
                <pt idx="50">
                  <v>20.06.2026</v>
                </pt>
                <pt idx="51">
                  <v>21.06.2026</v>
                </pt>
                <pt idx="52">
                  <v>22.06.2026</v>
                </pt>
                <pt idx="53">
                  <v>23.06.2026</v>
                </pt>
                <pt idx="54">
                  <v>24.06.2026</v>
                </pt>
                <pt idx="55">
                  <v>25.06.2026</v>
                </pt>
                <pt idx="56">
                  <v>26.06.2026</v>
                </pt>
                <pt idx="57">
                  <v>27.06.2026</v>
                </pt>
                <pt idx="58">
                  <v>28.06.2026</v>
                </pt>
                <pt idx="59">
                  <v>29.06.2026</v>
                </pt>
                <pt idx="60">
                  <v>30.06.2026</v>
                </pt>
                <pt idx="61">
                  <v>01.07.2026</v>
                </pt>
                <pt idx="62">
                  <v>02.07.2026</v>
                </pt>
                <pt idx="63">
                  <v>03.07.2026</v>
                </pt>
                <pt idx="64">
                  <v>04.07.2026</v>
                </pt>
                <pt idx="65">
                  <v>05.07.2026</v>
                </pt>
                <pt idx="66">
                  <v>06.07.2026</v>
                </pt>
                <pt idx="67">
                  <v>07.07.2026</v>
                </pt>
                <pt idx="68">
                  <v>08.07.2026</v>
                </pt>
                <pt idx="69">
                  <v>09.07.2026</v>
                </pt>
                <pt idx="70">
                  <v>10.07.2026</v>
                </pt>
                <pt idx="71">
                  <v>11.07.2026</v>
                </pt>
                <pt idx="72">
                  <v>12.07.2026</v>
                </pt>
                <pt idx="73">
                  <v>13.07.2026</v>
                </pt>
                <pt idx="74">
                  <v>14.07.2026</v>
                </pt>
                <pt idx="75">
                  <v>15.07.2026</v>
                </pt>
                <pt idx="76">
                  <v>16.07.2026</v>
                </pt>
                <pt idx="77">
                  <v>17.07.2026</v>
                </pt>
                <pt idx="78">
                  <v>18.07.2026</v>
                </pt>
                <pt idx="79">
                  <v>19.07.2026</v>
                </pt>
                <pt idx="80">
                  <v>20.07.2026</v>
                </pt>
                <pt idx="81">
                  <v>21.07.2026</v>
                </pt>
                <pt idx="82">
                  <v>22.07.2026</v>
                </pt>
                <pt idx="83">
                  <v>23.07.2026</v>
                </pt>
                <pt idx="84">
                  <v>24.07.2026</v>
                </pt>
                <pt idx="85">
                  <v>25.07.2026</v>
                </pt>
                <pt idx="86">
                  <v>26.07.2026</v>
                </pt>
                <pt idx="87">
                  <v>27.07.2026</v>
                </pt>
                <pt idx="88">
                  <v>28.07.2026</v>
                </pt>
                <pt idx="89">
                  <v>29.07.2026</v>
                </pt>
                <pt idx="90">
                  <v>30.07.2026</v>
                </pt>
                <pt idx="91">
                  <v>31.07.2026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</strCache>
            </strRef>
          </cat>
          <val>
            <numRef>
              <f>GUNLUK_OZET!$B$6:$B$105</f>
              <numCache>
                <formatCode>"₺ "#,##0;[RED]"(₺ "#,##0\);\-</formatCode>
                <ptCount val="1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40000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50000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70000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55000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80000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120000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30000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</numCache>
            </numRef>
          </val>
          <smooth val="1"/>
        </ser>
        <ser>
          <idx val="1"/>
          <order val="1"/>
          <tx>
            <strRef>
              <f>GUNLUK_OZET!C5</f>
              <strCache>
                <ptCount val="1"/>
                <pt idx="0">
                  <v>Nakit Çıkışı</v>
                </pt>
              </strCache>
            </strRef>
          </tx>
          <spPr>
            <a:solidFill xmlns:a="http://schemas.openxmlformats.org/drawingml/2006/main">
              <a:srgbClr val="CC8F8E"/>
            </a:solidFill>
            <a:ln xmlns:a="http://schemas.openxmlformats.org/drawingml/2006/main" w="1260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GUNLUK_OZET!$A$6:$A$105</f>
              <strCache>
                <ptCount val="100"/>
                <pt idx="0">
                  <v>01.05.2026</v>
                </pt>
                <pt idx="1">
                  <v>02.05.2026</v>
                </pt>
                <pt idx="2">
                  <v>03.05.2026</v>
                </pt>
                <pt idx="3">
                  <v>04.05.2026</v>
                </pt>
                <pt idx="4">
                  <v>05.05.2026</v>
                </pt>
                <pt idx="5">
                  <v>06.05.2026</v>
                </pt>
                <pt idx="6">
                  <v>07.05.2026</v>
                </pt>
                <pt idx="7">
                  <v>08.05.2026</v>
                </pt>
                <pt idx="8">
                  <v>09.05.2026</v>
                </pt>
                <pt idx="9">
                  <v>10.05.2026</v>
                </pt>
                <pt idx="10">
                  <v>11.05.2026</v>
                </pt>
                <pt idx="11">
                  <v>12.05.2026</v>
                </pt>
                <pt idx="12">
                  <v>13.05.2026</v>
                </pt>
                <pt idx="13">
                  <v>14.05.2026</v>
                </pt>
                <pt idx="14">
                  <v>15.05.2026</v>
                </pt>
                <pt idx="15">
                  <v>16.05.2026</v>
                </pt>
                <pt idx="16">
                  <v>17.05.2026</v>
                </pt>
                <pt idx="17">
                  <v>18.05.2026</v>
                </pt>
                <pt idx="18">
                  <v>19.05.2026</v>
                </pt>
                <pt idx="19">
                  <v>20.05.2026</v>
                </pt>
                <pt idx="20">
                  <v>21.05.2026</v>
                </pt>
                <pt idx="21">
                  <v>22.05.2026</v>
                </pt>
                <pt idx="22">
                  <v>23.05.2026</v>
                </pt>
                <pt idx="23">
                  <v>24.05.2026</v>
                </pt>
                <pt idx="24">
                  <v>25.05.2026</v>
                </pt>
                <pt idx="25">
                  <v>26.05.2026</v>
                </pt>
                <pt idx="26">
                  <v>27.05.2026</v>
                </pt>
                <pt idx="27">
                  <v>28.05.2026</v>
                </pt>
                <pt idx="28">
                  <v>29.05.2026</v>
                </pt>
                <pt idx="29">
                  <v>30.05.2026</v>
                </pt>
                <pt idx="30">
                  <v>31.05.2026</v>
                </pt>
                <pt idx="31">
                  <v>01.06.2026</v>
                </pt>
                <pt idx="32">
                  <v>02.06.2026</v>
                </pt>
                <pt idx="33">
                  <v>03.06.2026</v>
                </pt>
                <pt idx="34">
                  <v>04.06.2026</v>
                </pt>
                <pt idx="35">
                  <v>05.06.2026</v>
                </pt>
                <pt idx="36">
                  <v>06.06.2026</v>
                </pt>
                <pt idx="37">
                  <v>07.06.2026</v>
                </pt>
                <pt idx="38">
                  <v>08.06.2026</v>
                </pt>
                <pt idx="39">
                  <v>09.06.2026</v>
                </pt>
                <pt idx="40">
                  <v>10.06.2026</v>
                </pt>
                <pt idx="41">
                  <v>11.06.2026</v>
                </pt>
                <pt idx="42">
                  <v>12.06.2026</v>
                </pt>
                <pt idx="43">
                  <v>13.06.2026</v>
                </pt>
                <pt idx="44">
                  <v>14.06.2026</v>
                </pt>
                <pt idx="45">
                  <v>15.06.2026</v>
                </pt>
                <pt idx="46">
                  <v>16.06.2026</v>
                </pt>
                <pt idx="47">
                  <v>17.06.2026</v>
                </pt>
                <pt idx="48">
                  <v>18.06.2026</v>
                </pt>
                <pt idx="49">
                  <v>19.06.2026</v>
                </pt>
                <pt idx="50">
                  <v>20.06.2026</v>
                </pt>
                <pt idx="51">
                  <v>21.06.2026</v>
                </pt>
                <pt idx="52">
                  <v>22.06.2026</v>
                </pt>
                <pt idx="53">
                  <v>23.06.2026</v>
                </pt>
                <pt idx="54">
                  <v>24.06.2026</v>
                </pt>
                <pt idx="55">
                  <v>25.06.2026</v>
                </pt>
                <pt idx="56">
                  <v>26.06.2026</v>
                </pt>
                <pt idx="57">
                  <v>27.06.2026</v>
                </pt>
                <pt idx="58">
                  <v>28.06.2026</v>
                </pt>
                <pt idx="59">
                  <v>29.06.2026</v>
                </pt>
                <pt idx="60">
                  <v>30.06.2026</v>
                </pt>
                <pt idx="61">
                  <v>01.07.2026</v>
                </pt>
                <pt idx="62">
                  <v>02.07.2026</v>
                </pt>
                <pt idx="63">
                  <v>03.07.2026</v>
                </pt>
                <pt idx="64">
                  <v>04.07.2026</v>
                </pt>
                <pt idx="65">
                  <v>05.07.2026</v>
                </pt>
                <pt idx="66">
                  <v>06.07.2026</v>
                </pt>
                <pt idx="67">
                  <v>07.07.2026</v>
                </pt>
                <pt idx="68">
                  <v>08.07.2026</v>
                </pt>
                <pt idx="69">
                  <v>09.07.2026</v>
                </pt>
                <pt idx="70">
                  <v>10.07.2026</v>
                </pt>
                <pt idx="71">
                  <v>11.07.2026</v>
                </pt>
                <pt idx="72">
                  <v>12.07.2026</v>
                </pt>
                <pt idx="73">
                  <v>13.07.2026</v>
                </pt>
                <pt idx="74">
                  <v>14.07.2026</v>
                </pt>
                <pt idx="75">
                  <v>15.07.2026</v>
                </pt>
                <pt idx="76">
                  <v>16.07.2026</v>
                </pt>
                <pt idx="77">
                  <v>17.07.2026</v>
                </pt>
                <pt idx="78">
                  <v>18.07.2026</v>
                </pt>
                <pt idx="79">
                  <v>19.07.2026</v>
                </pt>
                <pt idx="80">
                  <v>20.07.2026</v>
                </pt>
                <pt idx="81">
                  <v>21.07.2026</v>
                </pt>
                <pt idx="82">
                  <v>22.07.2026</v>
                </pt>
                <pt idx="83">
                  <v>23.07.2026</v>
                </pt>
                <pt idx="84">
                  <v>24.07.2026</v>
                </pt>
                <pt idx="85">
                  <v>25.07.2026</v>
                </pt>
                <pt idx="86">
                  <v>26.07.2026</v>
                </pt>
                <pt idx="87">
                  <v>27.07.2026</v>
                </pt>
                <pt idx="88">
                  <v>28.07.2026</v>
                </pt>
                <pt idx="89">
                  <v>29.07.2026</v>
                </pt>
                <pt idx="90">
                  <v>30.07.2026</v>
                </pt>
                <pt idx="91">
                  <v>31.07.2026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</strCache>
            </strRef>
          </cat>
          <val>
            <numRef>
              <f>GUNLUK_OZET!$C$6:$C$105</f>
              <numCache>
                <formatCode>"₺ "#,##0;[RED]"(₺ "#,##0\);\-</formatCode>
                <ptCount val="100"/>
                <pt idx="0">
                  <v>-0</v>
                </pt>
                <pt idx="1">
                  <v>-0</v>
                </pt>
                <pt idx="2">
                  <v>90000</v>
                </pt>
                <pt idx="3">
                  <v>-0</v>
                </pt>
                <pt idx="4">
                  <v>31000</v>
                </pt>
                <pt idx="5">
                  <v>-0</v>
                </pt>
                <pt idx="6">
                  <v>-0</v>
                </pt>
                <pt idx="7">
                  <v>-0</v>
                </pt>
                <pt idx="8">
                  <v>-0</v>
                </pt>
                <pt idx="9">
                  <v>-0</v>
                </pt>
                <pt idx="10">
                  <v>-0</v>
                </pt>
                <pt idx="11">
                  <v>12000</v>
                </pt>
                <pt idx="12">
                  <v>-0</v>
                </pt>
                <pt idx="13">
                  <v>-0</v>
                </pt>
                <pt idx="14">
                  <v>8000</v>
                </pt>
                <pt idx="15">
                  <v>-0</v>
                </pt>
                <pt idx="16">
                  <v>-0</v>
                </pt>
                <pt idx="17">
                  <v>45000</v>
                </pt>
                <pt idx="18">
                  <v>-0</v>
                </pt>
                <pt idx="19">
                  <v>-0</v>
                </pt>
                <pt idx="20">
                  <v>-0</v>
                </pt>
                <pt idx="21">
                  <v>-0</v>
                </pt>
                <pt idx="22">
                  <v>-0</v>
                </pt>
                <pt idx="23">
                  <v>-0</v>
                </pt>
                <pt idx="24">
                  <v>55000</v>
                </pt>
                <pt idx="25">
                  <v>-0</v>
                </pt>
                <pt idx="26">
                  <v>-0</v>
                </pt>
                <pt idx="27">
                  <v>-0</v>
                </pt>
                <pt idx="28">
                  <v>-0</v>
                </pt>
                <pt idx="29">
                  <v>-0</v>
                </pt>
                <pt idx="30">
                  <v>-0</v>
                </pt>
                <pt idx="31">
                  <v>-0</v>
                </pt>
                <pt idx="32">
                  <v>-0</v>
                </pt>
                <pt idx="33">
                  <v>-0</v>
                </pt>
                <pt idx="34">
                  <v>-0</v>
                </pt>
                <pt idx="35">
                  <v>81000</v>
                </pt>
                <pt idx="36">
                  <v>-0</v>
                </pt>
                <pt idx="37">
                  <v>-0</v>
                </pt>
                <pt idx="38">
                  <v>-0</v>
                </pt>
                <pt idx="39">
                  <v>-0</v>
                </pt>
                <pt idx="40">
                  <v>-0</v>
                </pt>
                <pt idx="41">
                  <v>-0</v>
                </pt>
                <pt idx="42">
                  <v>-0</v>
                </pt>
                <pt idx="43">
                  <v>-0</v>
                </pt>
                <pt idx="44">
                  <v>-0</v>
                </pt>
                <pt idx="45">
                  <v>-0</v>
                </pt>
                <pt idx="46">
                  <v>-0</v>
                </pt>
                <pt idx="47">
                  <v>-0</v>
                </pt>
                <pt idx="48">
                  <v>-0</v>
                </pt>
                <pt idx="49">
                  <v>-0</v>
                </pt>
                <pt idx="50">
                  <v>55000</v>
                </pt>
                <pt idx="51">
                  <v>-0</v>
                </pt>
                <pt idx="52">
                  <v>-0</v>
                </pt>
                <pt idx="53">
                  <v>-0</v>
                </pt>
                <pt idx="54">
                  <v>-0</v>
                </pt>
                <pt idx="55">
                  <v>55000</v>
                </pt>
                <pt idx="56">
                  <v>-0</v>
                </pt>
                <pt idx="57">
                  <v>-0</v>
                </pt>
                <pt idx="58">
                  <v>-0</v>
                </pt>
                <pt idx="59">
                  <v>-0</v>
                </pt>
                <pt idx="60">
                  <v>14000</v>
                </pt>
                <pt idx="61">
                  <v>-0</v>
                </pt>
                <pt idx="62">
                  <v>-0</v>
                </pt>
                <pt idx="63">
                  <v>-0</v>
                </pt>
                <pt idx="64">
                  <v>-0</v>
                </pt>
                <pt idx="65">
                  <v>91000</v>
                </pt>
                <pt idx="66">
                  <v>-0</v>
                </pt>
                <pt idx="67">
                  <v>70000</v>
                </pt>
                <pt idx="68">
                  <v>50000</v>
                </pt>
                <pt idx="69">
                  <v>-0</v>
                </pt>
                <pt idx="70">
                  <v>-0</v>
                </pt>
                <pt idx="71">
                  <v>-0</v>
                </pt>
                <pt idx="72">
                  <v>-0</v>
                </pt>
                <pt idx="73">
                  <v>-0</v>
                </pt>
                <pt idx="74">
                  <v>-0</v>
                </pt>
                <pt idx="75">
                  <v>30000</v>
                </pt>
                <pt idx="76">
                  <v>-0</v>
                </pt>
                <pt idx="77">
                  <v>-0</v>
                </pt>
                <pt idx="78">
                  <v>-0</v>
                </pt>
                <pt idx="79">
                  <v>-0</v>
                </pt>
                <pt idx="80">
                  <v>-0</v>
                </pt>
                <pt idx="81">
                  <v>40000</v>
                </pt>
                <pt idx="82">
                  <v>14000</v>
                </pt>
                <pt idx="83">
                  <v>-0</v>
                </pt>
                <pt idx="84">
                  <v>-0</v>
                </pt>
                <pt idx="85">
                  <v>55000</v>
                </pt>
                <pt idx="86">
                  <v>-0</v>
                </pt>
                <pt idx="87">
                  <v>-0</v>
                </pt>
                <pt idx="88">
                  <v>-0</v>
                </pt>
                <pt idx="89">
                  <v>-0</v>
                </pt>
                <pt idx="90">
                  <v>-0</v>
                </pt>
                <pt idx="91">
                  <v>13000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7637927"/>
        <axId val="24004019"/>
      </lineChart>
      <catAx>
        <axId val="4763792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4004019"/>
        <crosses val="autoZero"/>
        <auto val="1"/>
        <lblAlgn val="ctr"/>
        <lblOffset val="100"/>
        <noMultiLvlLbl val="0"/>
      </catAx>
      <valAx>
        <axId val="240040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76379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 Bazında Net Satış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PANO!B146</f>
              <strCache>
                <ptCount val="1"/>
                <pt idx="0">
                  <v>Net Satış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PANO!$A$147:$A$157</f>
              <strCache>
                <ptCount val="11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</strCache>
            </strRef>
          </cat>
          <val>
            <numRef>
              <f>PANO!$B$147:$B$157</f>
              <numCache>
                <formatCode>"₺ "#,##0;[RED]"(₺ "#,##0\);\-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300000</v>
                </pt>
                <pt idx="5">
                  <v>350000</v>
                </pt>
                <pt idx="6">
                  <v>290000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gapWidth val="150"/>
        <overlap val="0"/>
        <axId val="77149765"/>
        <axId val="58670903"/>
      </barChart>
      <catAx>
        <axId val="7714976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8670903"/>
        <crosses val="autoZero"/>
        <auto val="1"/>
        <lblAlgn val="ctr"/>
        <lblOffset val="100"/>
        <noMultiLvlLbl val="0"/>
      </catAx>
      <valAx>
        <axId val="5867090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714976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 Bazında Net Sonuç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PANO!C146</f>
              <strCache>
                <ptCount val="1"/>
                <pt idx="0">
                  <v>Net Sonuç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PANO!$A$147:$A$157</f>
              <strCache>
                <ptCount val="11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</strCache>
            </strRef>
          </cat>
          <val>
            <numRef>
              <f>PANO!$C$147:$C$157</f>
              <numCache>
                <formatCode>"₺ "#,##0;[RED]"(₺ "#,##0\);\-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-7000</v>
                </pt>
                <pt idx="5">
                  <v>54000</v>
                </pt>
                <pt idx="6">
                  <v>9000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gapWidth val="150"/>
        <overlap val="0"/>
        <axId val="57961409"/>
        <axId val="14362338"/>
      </barChart>
      <catAx>
        <axId val="5796140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4362338"/>
        <crosses val="autoZero"/>
        <auto val="1"/>
        <lblAlgn val="ctr"/>
        <lblOffset val="100"/>
        <noMultiLvlLbl val="0"/>
      </catAx>
      <valAx>
        <axId val="1436233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796140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Ürün Bazında Brüt Kâr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31507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8323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0743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503E6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6B7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A5D2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33547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7E343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657A3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54416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31708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A2622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36588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83363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6A803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57446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33758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A9663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385C8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88393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6E853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5B477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357A8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B06B3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3A5F8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8E3B3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728A4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5E497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377F9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B66E3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3C62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923D3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768F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614C7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39839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BC723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3E659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973F3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7A934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654E7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0"/>
            <spPr>
              <a:solidFill xmlns:a="http://schemas.openxmlformats.org/drawingml/2006/main">
                <a:srgbClr val="3B879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1"/>
            <spPr>
              <a:solidFill xmlns:a="http://schemas.openxmlformats.org/drawingml/2006/main">
                <a:srgbClr val="C2763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2"/>
            <spPr>
              <a:solidFill xmlns:a="http://schemas.openxmlformats.org/drawingml/2006/main">
                <a:srgbClr val="40689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3"/>
            <spPr>
              <a:solidFill xmlns:a="http://schemas.openxmlformats.org/drawingml/2006/main">
                <a:srgbClr val="9B40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4"/>
            <spPr>
              <a:solidFill xmlns:a="http://schemas.openxmlformats.org/drawingml/2006/main">
                <a:srgbClr val="7D974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5"/>
            <spPr>
              <a:solidFill xmlns:a="http://schemas.openxmlformats.org/drawingml/2006/main">
                <a:srgbClr val="67518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6"/>
            <spPr>
              <a:solidFill xmlns:a="http://schemas.openxmlformats.org/drawingml/2006/main">
                <a:srgbClr val="3C8BA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7"/>
            <spPr>
              <a:solidFill xmlns:a="http://schemas.openxmlformats.org/drawingml/2006/main">
                <a:srgbClr val="C8793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8"/>
            <spPr>
              <a:solidFill xmlns:a="http://schemas.openxmlformats.org/drawingml/2006/main">
                <a:srgbClr val="416B9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9"/>
            <spPr>
              <a:solidFill xmlns:a="http://schemas.openxmlformats.org/drawingml/2006/main">
                <a:srgbClr val="A0424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0"/>
            <spPr>
              <a:solidFill xmlns:a="http://schemas.openxmlformats.org/drawingml/2006/main">
                <a:srgbClr val="819C4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1"/>
            <spPr>
              <a:solidFill xmlns:a="http://schemas.openxmlformats.org/drawingml/2006/main">
                <a:srgbClr val="6A538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2"/>
            <spPr>
              <a:solidFill xmlns:a="http://schemas.openxmlformats.org/drawingml/2006/main">
                <a:srgbClr val="3E8FA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3"/>
            <spPr>
              <a:solidFill xmlns:a="http://schemas.openxmlformats.org/drawingml/2006/main">
                <a:srgbClr val="CE7D3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4"/>
            <spPr>
              <a:solidFill xmlns:a="http://schemas.openxmlformats.org/drawingml/2006/main">
                <a:srgbClr val="436EA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5"/>
            <spPr>
              <a:solidFill xmlns:a="http://schemas.openxmlformats.org/drawingml/2006/main">
                <a:srgbClr val="A4444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6"/>
            <spPr>
              <a:solidFill xmlns:a="http://schemas.openxmlformats.org/drawingml/2006/main">
                <a:srgbClr val="84A04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7"/>
            <spPr>
              <a:solidFill xmlns:a="http://schemas.openxmlformats.org/drawingml/2006/main">
                <a:srgbClr val="6D558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8"/>
            <spPr>
              <a:solidFill xmlns:a="http://schemas.openxmlformats.org/drawingml/2006/main">
                <a:srgbClr val="4093A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9"/>
            <spPr>
              <a:solidFill xmlns:a="http://schemas.openxmlformats.org/drawingml/2006/main">
                <a:srgbClr val="D3803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0"/>
            <spPr>
              <a:solidFill xmlns:a="http://schemas.openxmlformats.org/drawingml/2006/main">
                <a:srgbClr val="4571A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1"/>
            <spPr>
              <a:solidFill xmlns:a="http://schemas.openxmlformats.org/drawingml/2006/main">
                <a:srgbClr val="A8464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2"/>
            <spPr>
              <a:solidFill xmlns:a="http://schemas.openxmlformats.org/drawingml/2006/main">
                <a:srgbClr val="87A44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3"/>
            <spPr>
              <a:solidFill xmlns:a="http://schemas.openxmlformats.org/drawingml/2006/main">
                <a:srgbClr val="70578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4"/>
            <spPr>
              <a:solidFill xmlns:a="http://schemas.openxmlformats.org/drawingml/2006/main">
                <a:srgbClr val="4196A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5"/>
            <spPr>
              <a:solidFill xmlns:a="http://schemas.openxmlformats.org/drawingml/2006/main">
                <a:srgbClr val="D8833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6"/>
            <spPr>
              <a:solidFill xmlns:a="http://schemas.openxmlformats.org/drawingml/2006/main">
                <a:srgbClr val="4673A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7"/>
            <spPr>
              <a:solidFill xmlns:a="http://schemas.openxmlformats.org/drawingml/2006/main">
                <a:srgbClr val="AC474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8"/>
            <spPr>
              <a:solidFill xmlns:a="http://schemas.openxmlformats.org/drawingml/2006/main">
                <a:srgbClr val="8BA74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9"/>
            <spPr>
              <a:solidFill xmlns:a="http://schemas.openxmlformats.org/drawingml/2006/main">
                <a:srgbClr val="72599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0"/>
            <spPr>
              <a:solidFill xmlns:a="http://schemas.openxmlformats.org/drawingml/2006/main">
                <a:srgbClr val="439AB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1"/>
            <spPr>
              <a:solidFill xmlns:a="http://schemas.openxmlformats.org/drawingml/2006/main">
                <a:srgbClr val="DD86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2"/>
            <spPr>
              <a:solidFill xmlns:a="http://schemas.openxmlformats.org/drawingml/2006/main">
                <a:srgbClr val="4876A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3"/>
            <spPr>
              <a:solidFill xmlns:a="http://schemas.openxmlformats.org/drawingml/2006/main">
                <a:srgbClr val="B0494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4"/>
            <spPr>
              <a:solidFill xmlns:a="http://schemas.openxmlformats.org/drawingml/2006/main">
                <a:srgbClr val="8EAB5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5"/>
            <spPr>
              <a:solidFill xmlns:a="http://schemas.openxmlformats.org/drawingml/2006/main">
                <a:srgbClr val="755B9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6"/>
            <spPr>
              <a:solidFill xmlns:a="http://schemas.openxmlformats.org/drawingml/2006/main">
                <a:srgbClr val="449DB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7"/>
            <spPr>
              <a:solidFill xmlns:a="http://schemas.openxmlformats.org/drawingml/2006/main">
                <a:srgbClr val="E2894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8"/>
            <spPr>
              <a:solidFill xmlns:a="http://schemas.openxmlformats.org/drawingml/2006/main">
                <a:srgbClr val="4978B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9"/>
            <spPr>
              <a:solidFill xmlns:a="http://schemas.openxmlformats.org/drawingml/2006/main">
                <a:srgbClr val="B34A4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0"/>
            <spPr>
              <a:solidFill xmlns:a="http://schemas.openxmlformats.org/drawingml/2006/main">
                <a:srgbClr val="91AF5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1"/>
            <spPr>
              <a:solidFill xmlns:a="http://schemas.openxmlformats.org/drawingml/2006/main">
                <a:srgbClr val="775D9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2"/>
            <spPr>
              <a:solidFill xmlns:a="http://schemas.openxmlformats.org/drawingml/2006/main">
                <a:srgbClr val="46A1B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3"/>
            <spPr>
              <a:solidFill xmlns:a="http://schemas.openxmlformats.org/drawingml/2006/main">
                <a:srgbClr val="E78C4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4"/>
            <spPr>
              <a:solidFill xmlns:a="http://schemas.openxmlformats.org/drawingml/2006/main">
                <a:srgbClr val="4B7BB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5"/>
            <spPr>
              <a:solidFill xmlns:a="http://schemas.openxmlformats.org/drawingml/2006/main">
                <a:srgbClr val="B74C4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6"/>
            <spPr>
              <a:solidFill xmlns:a="http://schemas.openxmlformats.org/drawingml/2006/main">
                <a:srgbClr val="94B25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7"/>
            <spPr>
              <a:solidFill xmlns:a="http://schemas.openxmlformats.org/drawingml/2006/main">
                <a:srgbClr val="7A5F9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8"/>
            <spPr>
              <a:solidFill xmlns:a="http://schemas.openxmlformats.org/drawingml/2006/main">
                <a:srgbClr val="47A4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89"/>
            <spPr>
              <a:solidFill xmlns:a="http://schemas.openxmlformats.org/drawingml/2006/main">
                <a:srgbClr val="EB8F4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0"/>
            <spPr>
              <a:solidFill xmlns:a="http://schemas.openxmlformats.org/drawingml/2006/main">
                <a:srgbClr val="4C7DB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1"/>
            <spPr>
              <a:solidFill xmlns:a="http://schemas.openxmlformats.org/drawingml/2006/main">
                <a:srgbClr val="BA4D4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2"/>
            <spPr>
              <a:solidFill xmlns:a="http://schemas.openxmlformats.org/drawingml/2006/main">
                <a:srgbClr val="96B65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3"/>
            <spPr>
              <a:solidFill xmlns:a="http://schemas.openxmlformats.org/drawingml/2006/main">
                <a:srgbClr val="7C619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4"/>
            <spPr>
              <a:solidFill xmlns:a="http://schemas.openxmlformats.org/drawingml/2006/main">
                <a:srgbClr val="49A7C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5"/>
            <spPr>
              <a:solidFill xmlns:a="http://schemas.openxmlformats.org/drawingml/2006/main">
                <a:srgbClr val="F092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6"/>
            <spPr>
              <a:solidFill xmlns:a="http://schemas.openxmlformats.org/drawingml/2006/main">
                <a:srgbClr val="4E7FB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7"/>
            <spPr>
              <a:solidFill xmlns:a="http://schemas.openxmlformats.org/drawingml/2006/main">
                <a:srgbClr val="BE4F4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8"/>
            <spPr>
              <a:solidFill xmlns:a="http://schemas.openxmlformats.org/drawingml/2006/main">
                <a:srgbClr val="99B95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99"/>
            <spPr>
              <a:solidFill xmlns:a="http://schemas.openxmlformats.org/drawingml/2006/main">
                <a:srgbClr val="7E63A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0"/>
            <spPr>
              <a:solidFill xmlns:a="http://schemas.openxmlformats.org/drawingml/2006/main">
                <a:srgbClr val="4AAAC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1"/>
            <spPr>
              <a:solidFill xmlns:a="http://schemas.openxmlformats.org/drawingml/2006/main">
                <a:srgbClr val="F4944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2"/>
            <spPr>
              <a:solidFill xmlns:a="http://schemas.openxmlformats.org/drawingml/2006/main">
                <a:srgbClr val="5785B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3"/>
            <spPr>
              <a:solidFill xmlns:a="http://schemas.openxmlformats.org/drawingml/2006/main">
                <a:srgbClr val="C1585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4"/>
            <spPr>
              <a:solidFill xmlns:a="http://schemas.openxmlformats.org/drawingml/2006/main">
                <a:srgbClr val="9DBC6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5"/>
            <spPr>
              <a:solidFill xmlns:a="http://schemas.openxmlformats.org/drawingml/2006/main">
                <a:srgbClr val="846AA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6"/>
            <spPr>
              <a:solidFill xmlns:a="http://schemas.openxmlformats.org/drawingml/2006/main">
                <a:srgbClr val="54AEC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7"/>
            <spPr>
              <a:solidFill xmlns:a="http://schemas.openxmlformats.org/drawingml/2006/main">
                <a:srgbClr val="F7995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8"/>
            <spPr>
              <a:solidFill xmlns:a="http://schemas.openxmlformats.org/drawingml/2006/main">
                <a:srgbClr val="668DC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09"/>
            <spPr>
              <a:solidFill xmlns:a="http://schemas.openxmlformats.org/drawingml/2006/main">
                <a:srgbClr val="C4676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0"/>
            <spPr>
              <a:solidFill xmlns:a="http://schemas.openxmlformats.org/drawingml/2006/main">
                <a:srgbClr val="A3BF6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1"/>
            <spPr>
              <a:solidFill xmlns:a="http://schemas.openxmlformats.org/drawingml/2006/main">
                <a:srgbClr val="8C75A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2"/>
            <spPr>
              <a:solidFill xmlns:a="http://schemas.openxmlformats.org/drawingml/2006/main">
                <a:srgbClr val="64B2C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3"/>
            <spPr>
              <a:solidFill xmlns:a="http://schemas.openxmlformats.org/drawingml/2006/main">
                <a:srgbClr val="F79E6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4"/>
            <spPr>
              <a:solidFill xmlns:a="http://schemas.openxmlformats.org/drawingml/2006/main">
                <a:srgbClr val="7394C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5"/>
            <spPr>
              <a:solidFill xmlns:a="http://schemas.openxmlformats.org/drawingml/2006/main">
                <a:srgbClr val="C7737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6"/>
            <spPr>
              <a:solidFill xmlns:a="http://schemas.openxmlformats.org/drawingml/2006/main">
                <a:srgbClr val="A8C37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7"/>
            <spPr>
              <a:solidFill xmlns:a="http://schemas.openxmlformats.org/drawingml/2006/main">
                <a:srgbClr val="937FA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8"/>
            <spPr>
              <a:solidFill xmlns:a="http://schemas.openxmlformats.org/drawingml/2006/main">
                <a:srgbClr val="71B6C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19"/>
            <spPr>
              <a:solidFill xmlns:a="http://schemas.openxmlformats.org/drawingml/2006/main">
                <a:srgbClr val="F7A46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0"/>
            <spPr>
              <a:solidFill xmlns:a="http://schemas.openxmlformats.org/drawingml/2006/main">
                <a:srgbClr val="7E9BC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1"/>
            <spPr>
              <a:solidFill xmlns:a="http://schemas.openxmlformats.org/drawingml/2006/main">
                <a:srgbClr val="CA7E7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2"/>
            <spPr>
              <a:solidFill xmlns:a="http://schemas.openxmlformats.org/drawingml/2006/main">
                <a:srgbClr val="ADC68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3"/>
            <spPr>
              <a:solidFill xmlns:a="http://schemas.openxmlformats.org/drawingml/2006/main">
                <a:srgbClr val="9A89B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4"/>
            <spPr>
              <a:solidFill xmlns:a="http://schemas.openxmlformats.org/drawingml/2006/main">
                <a:srgbClr val="7CBAC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5"/>
            <spPr>
              <a:solidFill xmlns:a="http://schemas.openxmlformats.org/drawingml/2006/main">
                <a:srgbClr val="F8AA7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6"/>
            <spPr>
              <a:solidFill xmlns:a="http://schemas.openxmlformats.org/drawingml/2006/main">
                <a:srgbClr val="87A1C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7"/>
            <spPr>
              <a:solidFill xmlns:a="http://schemas.openxmlformats.org/drawingml/2006/main">
                <a:srgbClr val="CD888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8"/>
            <spPr>
              <a:solidFill xmlns:a="http://schemas.openxmlformats.org/drawingml/2006/main">
                <a:srgbClr val="B2C98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29"/>
            <spPr>
              <a:solidFill xmlns:a="http://schemas.openxmlformats.org/drawingml/2006/main">
                <a:srgbClr val="A191B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0"/>
            <spPr>
              <a:solidFill xmlns:a="http://schemas.openxmlformats.org/drawingml/2006/main">
                <a:srgbClr val="86BED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1"/>
            <spPr>
              <a:solidFill xmlns:a="http://schemas.openxmlformats.org/drawingml/2006/main">
                <a:srgbClr val="F8AF8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2"/>
            <spPr>
              <a:solidFill xmlns:a="http://schemas.openxmlformats.org/drawingml/2006/main">
                <a:srgbClr val="90A7C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3"/>
            <spPr>
              <a:solidFill xmlns:a="http://schemas.openxmlformats.org/drawingml/2006/main">
                <a:srgbClr val="D091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4"/>
            <spPr>
              <a:solidFill xmlns:a="http://schemas.openxmlformats.org/drawingml/2006/main">
                <a:srgbClr val="B7CC9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5"/>
            <spPr>
              <a:solidFill xmlns:a="http://schemas.openxmlformats.org/drawingml/2006/main">
                <a:srgbClr val="A799B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6"/>
            <spPr>
              <a:solidFill xmlns:a="http://schemas.openxmlformats.org/drawingml/2006/main">
                <a:srgbClr val="8FC2D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7"/>
            <spPr>
              <a:solidFill xmlns:a="http://schemas.openxmlformats.org/drawingml/2006/main">
                <a:srgbClr val="F8B48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8"/>
            <spPr>
              <a:solidFill xmlns:a="http://schemas.openxmlformats.org/drawingml/2006/main">
                <a:srgbClr val="99ADD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39"/>
            <spPr>
              <a:solidFill xmlns:a="http://schemas.openxmlformats.org/drawingml/2006/main">
                <a:srgbClr val="D2999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0"/>
            <spPr>
              <a:solidFill xmlns:a="http://schemas.openxmlformats.org/drawingml/2006/main">
                <a:srgbClr val="BBCF9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1"/>
            <spPr>
              <a:solidFill xmlns:a="http://schemas.openxmlformats.org/drawingml/2006/main">
                <a:srgbClr val="ADA0B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2"/>
            <spPr>
              <a:solidFill xmlns:a="http://schemas.openxmlformats.org/drawingml/2006/main">
                <a:srgbClr val="98C6D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3"/>
            <spPr>
              <a:solidFill xmlns:a="http://schemas.openxmlformats.org/drawingml/2006/main">
                <a:srgbClr val="F9B99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4"/>
            <spPr>
              <a:solidFill xmlns:a="http://schemas.openxmlformats.org/drawingml/2006/main">
                <a:srgbClr val="A1B3D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5"/>
            <spPr>
              <a:solidFill xmlns:a="http://schemas.openxmlformats.org/drawingml/2006/main">
                <a:srgbClr val="D5A1A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6"/>
            <spPr>
              <a:solidFill xmlns:a="http://schemas.openxmlformats.org/drawingml/2006/main">
                <a:srgbClr val="C0D2A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7"/>
            <spPr>
              <a:solidFill xmlns:a="http://schemas.openxmlformats.org/drawingml/2006/main">
                <a:srgbClr val="B3A7C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8"/>
            <spPr>
              <a:solidFill xmlns:a="http://schemas.openxmlformats.org/drawingml/2006/main">
                <a:srgbClr val="9FC9D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49"/>
            <spPr>
              <a:solidFill xmlns:a="http://schemas.openxmlformats.org/drawingml/2006/main">
                <a:srgbClr val="F9BD9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0"/>
            <spPr>
              <a:solidFill xmlns:a="http://schemas.openxmlformats.org/drawingml/2006/main">
                <a:srgbClr val="A8B8D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1"/>
            <spPr>
              <a:solidFill xmlns:a="http://schemas.openxmlformats.org/drawingml/2006/main">
                <a:srgbClr val="D8A8A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2"/>
            <spPr>
              <a:solidFill xmlns:a="http://schemas.openxmlformats.org/drawingml/2006/main">
                <a:srgbClr val="C4D5A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3"/>
            <spPr>
              <a:solidFill xmlns:a="http://schemas.openxmlformats.org/drawingml/2006/main">
                <a:srgbClr val="B8AEC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4"/>
            <spPr>
              <a:solidFill xmlns:a="http://schemas.openxmlformats.org/drawingml/2006/main">
                <a:srgbClr val="A7CDD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5"/>
            <spPr>
              <a:solidFill xmlns:a="http://schemas.openxmlformats.org/drawingml/2006/main">
                <a:srgbClr val="F9C2A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6"/>
            <spPr>
              <a:solidFill xmlns:a="http://schemas.openxmlformats.org/drawingml/2006/main">
                <a:srgbClr val="AFBED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7"/>
            <spPr>
              <a:solidFill xmlns:a="http://schemas.openxmlformats.org/drawingml/2006/main">
                <a:srgbClr val="DAAFA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8"/>
            <spPr>
              <a:solidFill xmlns:a="http://schemas.openxmlformats.org/drawingml/2006/main">
                <a:srgbClr val="C8D8B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59"/>
            <spPr>
              <a:solidFill xmlns:a="http://schemas.openxmlformats.org/drawingml/2006/main">
                <a:srgbClr val="BDB4C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0"/>
            <spPr>
              <a:solidFill xmlns:a="http://schemas.openxmlformats.org/drawingml/2006/main">
                <a:srgbClr val="AED0D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1"/>
            <spPr>
              <a:solidFill xmlns:a="http://schemas.openxmlformats.org/drawingml/2006/main">
                <a:srgbClr val="FAC6A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2"/>
            <spPr>
              <a:solidFill xmlns:a="http://schemas.openxmlformats.org/drawingml/2006/main">
                <a:srgbClr val="B5C3D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3"/>
            <spPr>
              <a:solidFill xmlns:a="http://schemas.openxmlformats.org/drawingml/2006/main">
                <a:srgbClr val="DDB5B5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4"/>
            <spPr>
              <a:solidFill xmlns:a="http://schemas.openxmlformats.org/drawingml/2006/main">
                <a:srgbClr val="CCDAB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5"/>
            <spPr>
              <a:solidFill xmlns:a="http://schemas.openxmlformats.org/drawingml/2006/main">
                <a:srgbClr val="C2BAC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6"/>
            <spPr>
              <a:solidFill xmlns:a="http://schemas.openxmlformats.org/drawingml/2006/main">
                <a:srgbClr val="B5D4E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7"/>
            <spPr>
              <a:solidFill xmlns:a="http://schemas.openxmlformats.org/drawingml/2006/main">
                <a:srgbClr val="FACAB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8"/>
            <spPr>
              <a:solidFill xmlns:a="http://schemas.openxmlformats.org/drawingml/2006/main">
                <a:srgbClr val="BCC8D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69"/>
            <spPr>
              <a:solidFill xmlns:a="http://schemas.openxmlformats.org/drawingml/2006/main">
                <a:srgbClr val="DFBCB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0"/>
            <spPr>
              <a:solidFill xmlns:a="http://schemas.openxmlformats.org/drawingml/2006/main">
                <a:srgbClr val="D0DD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1"/>
            <spPr>
              <a:solidFill xmlns:a="http://schemas.openxmlformats.org/drawingml/2006/main">
                <a:srgbClr val="C7C0D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2"/>
            <spPr>
              <a:solidFill xmlns:a="http://schemas.openxmlformats.org/drawingml/2006/main">
                <a:srgbClr val="BBD7E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3"/>
            <spPr>
              <a:solidFill xmlns:a="http://schemas.openxmlformats.org/drawingml/2006/main">
                <a:srgbClr val="FACFB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4"/>
            <spPr>
              <a:solidFill xmlns:a="http://schemas.openxmlformats.org/drawingml/2006/main">
                <a:srgbClr val="C2CCE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5"/>
            <spPr>
              <a:solidFill xmlns:a="http://schemas.openxmlformats.org/drawingml/2006/main">
                <a:srgbClr val="E2C2C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6"/>
            <spPr>
              <a:solidFill xmlns:a="http://schemas.openxmlformats.org/drawingml/2006/main">
                <a:srgbClr val="D4E0C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7"/>
            <spPr>
              <a:solidFill xmlns:a="http://schemas.openxmlformats.org/drawingml/2006/main">
                <a:srgbClr val="CCC5D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8"/>
            <spPr>
              <a:solidFill xmlns:a="http://schemas.openxmlformats.org/drawingml/2006/main">
                <a:srgbClr val="C1DAE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79"/>
            <spPr>
              <a:solidFill xmlns:a="http://schemas.openxmlformats.org/drawingml/2006/main">
                <a:srgbClr val="FBD3C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0"/>
            <spPr>
              <a:solidFill xmlns:a="http://schemas.openxmlformats.org/drawingml/2006/main">
                <a:srgbClr val="C7D1E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1"/>
            <spPr>
              <a:solidFill xmlns:a="http://schemas.openxmlformats.org/drawingml/2006/main">
                <a:srgbClr val="E4C8C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2"/>
            <spPr>
              <a:solidFill xmlns:a="http://schemas.openxmlformats.org/drawingml/2006/main">
                <a:srgbClr val="D8E3C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3"/>
            <spPr>
              <a:solidFill xmlns:a="http://schemas.openxmlformats.org/drawingml/2006/main">
                <a:srgbClr val="D1CBDA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4"/>
            <spPr>
              <a:solidFill xmlns:a="http://schemas.openxmlformats.org/drawingml/2006/main">
                <a:srgbClr val="C7DDE7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5"/>
            <spPr>
              <a:solidFill xmlns:a="http://schemas.openxmlformats.org/drawingml/2006/main">
                <a:srgbClr val="FBD7C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6"/>
            <spPr>
              <a:solidFill xmlns:a="http://schemas.openxmlformats.org/drawingml/2006/main">
                <a:srgbClr val="CDD5E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7"/>
            <spPr>
              <a:solidFill xmlns:a="http://schemas.openxmlformats.org/drawingml/2006/main">
                <a:srgbClr val="E7CDC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8"/>
            <spPr>
              <a:solidFill xmlns:a="http://schemas.openxmlformats.org/drawingml/2006/main">
                <a:srgbClr val="DCE5C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89"/>
            <spPr>
              <a:solidFill xmlns:a="http://schemas.openxmlformats.org/drawingml/2006/main">
                <a:srgbClr val="D5D0D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0"/>
            <spPr>
              <a:solidFill xmlns:a="http://schemas.openxmlformats.org/drawingml/2006/main">
                <a:srgbClr val="CCE0E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1"/>
            <spPr>
              <a:solidFill xmlns:a="http://schemas.openxmlformats.org/drawingml/2006/main">
                <a:srgbClr val="FBDACC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2"/>
            <spPr>
              <a:solidFill xmlns:a="http://schemas.openxmlformats.org/drawingml/2006/main">
                <a:srgbClr val="D2DAE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3"/>
            <spPr>
              <a:solidFill xmlns:a="http://schemas.openxmlformats.org/drawingml/2006/main">
                <a:srgbClr val="E9D2D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4"/>
            <spPr>
              <a:solidFill xmlns:a="http://schemas.openxmlformats.org/drawingml/2006/main">
                <a:srgbClr val="DFE8D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5"/>
            <spPr>
              <a:solidFill xmlns:a="http://schemas.openxmlformats.org/drawingml/2006/main">
                <a:srgbClr val="DAD5E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6"/>
            <spPr>
              <a:solidFill xmlns:a="http://schemas.openxmlformats.org/drawingml/2006/main">
                <a:srgbClr val="D2E4E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7"/>
            <spPr>
              <a:solidFill xmlns:a="http://schemas.openxmlformats.org/drawingml/2006/main">
                <a:srgbClr val="FBDED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8"/>
            <spPr>
              <a:solidFill xmlns:a="http://schemas.openxmlformats.org/drawingml/2006/main">
                <a:srgbClr val="D8DEEB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99"/>
            <spPr>
              <a:solidFill xmlns:a="http://schemas.openxmlformats.org/drawingml/2006/main">
                <a:srgbClr val="ECD8D7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6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7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8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9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SATIS_MALIYET!$A$6:$A$205</f>
              <strCache>
                <ptCount val="200"/>
                <pt idx="0">
                  <v>Ayçiçek Yağı 5L</v>
                </pt>
                <pt idx="1">
                  <v>Bulgur 50kg</v>
                </pt>
                <pt idx="2">
                  <v>Un 25kg</v>
                </pt>
                <pt idx="3">
                  <v>Mercimek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</strCache>
            </strRef>
          </cat>
          <val>
            <numRef>
              <f>SATIS_MALIYET!$H$6:$H$205</f>
              <numCache>
                <formatCode>General</formatCode>
                <ptCount val="200"/>
                <pt idx="0">
                  <v>112500</v>
                </pt>
                <pt idx="1">
                  <v>66500</v>
                </pt>
                <pt idx="2">
                  <v>87000</v>
                </pt>
                <pt idx="3">
                  <v>48600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Günlük Kümülatif Nakit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PANO!C43</f>
              <strCache>
                <ptCount val="1"/>
                <pt idx="0">
                  <v>Kümülatif Nakit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PANO!$A$44:$A$143</f>
              <strCache>
                <ptCount val="100"/>
                <pt idx="0">
                  <v>01.05.2026</v>
                </pt>
                <pt idx="1">
                  <v>02.05.2026</v>
                </pt>
                <pt idx="2">
                  <v>03.05.2026</v>
                </pt>
                <pt idx="3">
                  <v>04.05.2026</v>
                </pt>
                <pt idx="4">
                  <v>05.05.2026</v>
                </pt>
                <pt idx="5">
                  <v>06.05.2026</v>
                </pt>
                <pt idx="6">
                  <v>07.05.2026</v>
                </pt>
                <pt idx="7">
                  <v>08.05.2026</v>
                </pt>
                <pt idx="8">
                  <v>09.05.2026</v>
                </pt>
                <pt idx="9">
                  <v>10.05.2026</v>
                </pt>
                <pt idx="10">
                  <v>11.05.2026</v>
                </pt>
                <pt idx="11">
                  <v>12.05.2026</v>
                </pt>
                <pt idx="12">
                  <v>13.05.2026</v>
                </pt>
                <pt idx="13">
                  <v>14.05.2026</v>
                </pt>
                <pt idx="14">
                  <v>15.05.2026</v>
                </pt>
                <pt idx="15">
                  <v>16.05.2026</v>
                </pt>
                <pt idx="16">
                  <v>17.05.2026</v>
                </pt>
                <pt idx="17">
                  <v>18.05.2026</v>
                </pt>
                <pt idx="18">
                  <v>19.05.2026</v>
                </pt>
                <pt idx="19">
                  <v>20.05.2026</v>
                </pt>
                <pt idx="20">
                  <v>21.05.2026</v>
                </pt>
                <pt idx="21">
                  <v>22.05.2026</v>
                </pt>
                <pt idx="22">
                  <v>23.05.2026</v>
                </pt>
                <pt idx="23">
                  <v>24.05.2026</v>
                </pt>
                <pt idx="24">
                  <v>25.05.2026</v>
                </pt>
                <pt idx="25">
                  <v>26.05.2026</v>
                </pt>
                <pt idx="26">
                  <v>27.05.2026</v>
                </pt>
                <pt idx="27">
                  <v>28.05.2026</v>
                </pt>
                <pt idx="28">
                  <v>29.05.2026</v>
                </pt>
                <pt idx="29">
                  <v>30.05.2026</v>
                </pt>
                <pt idx="30">
                  <v>31.05.2026</v>
                </pt>
                <pt idx="31">
                  <v>01.06.2026</v>
                </pt>
                <pt idx="32">
                  <v>02.06.2026</v>
                </pt>
                <pt idx="33">
                  <v>03.06.2026</v>
                </pt>
                <pt idx="34">
                  <v>04.06.2026</v>
                </pt>
                <pt idx="35">
                  <v>05.06.2026</v>
                </pt>
                <pt idx="36">
                  <v>06.06.2026</v>
                </pt>
                <pt idx="37">
                  <v>07.06.2026</v>
                </pt>
                <pt idx="38">
                  <v>08.06.2026</v>
                </pt>
                <pt idx="39">
                  <v>09.06.2026</v>
                </pt>
                <pt idx="40">
                  <v>10.06.2026</v>
                </pt>
                <pt idx="41">
                  <v>11.06.2026</v>
                </pt>
                <pt idx="42">
                  <v>12.06.2026</v>
                </pt>
                <pt idx="43">
                  <v>13.06.2026</v>
                </pt>
                <pt idx="44">
                  <v>14.06.2026</v>
                </pt>
                <pt idx="45">
                  <v>15.06.2026</v>
                </pt>
                <pt idx="46">
                  <v>16.06.2026</v>
                </pt>
                <pt idx="47">
                  <v>17.06.2026</v>
                </pt>
                <pt idx="48">
                  <v>18.06.2026</v>
                </pt>
                <pt idx="49">
                  <v>19.06.2026</v>
                </pt>
                <pt idx="50">
                  <v>20.06.2026</v>
                </pt>
                <pt idx="51">
                  <v>21.06.2026</v>
                </pt>
                <pt idx="52">
                  <v>22.06.2026</v>
                </pt>
                <pt idx="53">
                  <v>23.06.2026</v>
                </pt>
                <pt idx="54">
                  <v>24.06.2026</v>
                </pt>
                <pt idx="55">
                  <v>25.06.2026</v>
                </pt>
                <pt idx="56">
                  <v>26.06.2026</v>
                </pt>
                <pt idx="57">
                  <v>27.06.2026</v>
                </pt>
                <pt idx="58">
                  <v>28.06.2026</v>
                </pt>
                <pt idx="59">
                  <v>29.06.2026</v>
                </pt>
                <pt idx="60">
                  <v>30.06.2026</v>
                </pt>
                <pt idx="61">
                  <v>01.07.2026</v>
                </pt>
                <pt idx="62">
                  <v>02.07.2026</v>
                </pt>
                <pt idx="63">
                  <v>03.07.2026</v>
                </pt>
                <pt idx="64">
                  <v>04.07.2026</v>
                </pt>
                <pt idx="65">
                  <v>05.07.2026</v>
                </pt>
                <pt idx="66">
                  <v>06.07.2026</v>
                </pt>
                <pt idx="67">
                  <v>07.07.2026</v>
                </pt>
                <pt idx="68">
                  <v>08.07.2026</v>
                </pt>
                <pt idx="69">
                  <v>09.07.2026</v>
                </pt>
                <pt idx="70">
                  <v>10.07.2026</v>
                </pt>
                <pt idx="71">
                  <v>11.07.2026</v>
                </pt>
                <pt idx="72">
                  <v>12.07.2026</v>
                </pt>
                <pt idx="73">
                  <v>13.07.2026</v>
                </pt>
                <pt idx="74">
                  <v>14.07.2026</v>
                </pt>
                <pt idx="75">
                  <v>15.07.2026</v>
                </pt>
                <pt idx="76">
                  <v>16.07.2026</v>
                </pt>
                <pt idx="77">
                  <v>17.07.2026</v>
                </pt>
                <pt idx="78">
                  <v>18.07.2026</v>
                </pt>
                <pt idx="79">
                  <v>19.07.2026</v>
                </pt>
                <pt idx="80">
                  <v>20.07.2026</v>
                </pt>
                <pt idx="81">
                  <v>21.07.2026</v>
                </pt>
                <pt idx="82">
                  <v>22.07.2026</v>
                </pt>
                <pt idx="83">
                  <v>23.07.2026</v>
                </pt>
                <pt idx="84">
                  <v>24.07.2026</v>
                </pt>
                <pt idx="85">
                  <v>25.07.2026</v>
                </pt>
                <pt idx="86">
                  <v>26.07.2026</v>
                </pt>
                <pt idx="87">
                  <v>27.07.2026</v>
                </pt>
                <pt idx="88">
                  <v>28.07.2026</v>
                </pt>
                <pt idx="89">
                  <v>29.07.2026</v>
                </pt>
                <pt idx="90">
                  <v>30.07.2026</v>
                </pt>
                <pt idx="91">
                  <v>31.07.2026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</strCache>
            </strRef>
          </cat>
          <val>
            <numRef>
              <f>PANO!$C$44:$C$143</f>
              <numCache>
                <formatCode>"₺ "#,##0;[RED]"(₺ "#,##0\);\-</formatCode>
                <ptCount val="100"/>
                <pt idx="0">
                  <v>250000</v>
                </pt>
                <pt idx="1">
                  <v>250000</v>
                </pt>
                <pt idx="2">
                  <v>160000</v>
                </pt>
                <pt idx="3">
                  <v>160000</v>
                </pt>
                <pt idx="4">
                  <v>169000</v>
                </pt>
                <pt idx="5">
                  <v>169000</v>
                </pt>
                <pt idx="6">
                  <v>169000</v>
                </pt>
                <pt idx="7">
                  <v>169000</v>
                </pt>
                <pt idx="8">
                  <v>169000</v>
                </pt>
                <pt idx="9">
                  <v>169000</v>
                </pt>
                <pt idx="10">
                  <v>169000</v>
                </pt>
                <pt idx="11">
                  <v>157000</v>
                </pt>
                <pt idx="12">
                  <v>157000</v>
                </pt>
                <pt idx="13">
                  <v>157000</v>
                </pt>
                <pt idx="14">
                  <v>149000</v>
                </pt>
                <pt idx="15">
                  <v>149000</v>
                </pt>
                <pt idx="16">
                  <v>149000</v>
                </pt>
                <pt idx="17">
                  <v>104000</v>
                </pt>
                <pt idx="18">
                  <v>154000</v>
                </pt>
                <pt idx="19">
                  <v>154000</v>
                </pt>
                <pt idx="20">
                  <v>154000</v>
                </pt>
                <pt idx="21">
                  <v>154000</v>
                </pt>
                <pt idx="22">
                  <v>154000</v>
                </pt>
                <pt idx="23">
                  <v>154000</v>
                </pt>
                <pt idx="24">
                  <v>99000</v>
                </pt>
                <pt idx="25">
                  <v>99000</v>
                </pt>
                <pt idx="26">
                  <v>99000</v>
                </pt>
                <pt idx="27">
                  <v>99000</v>
                </pt>
                <pt idx="28">
                  <v>99000</v>
                </pt>
                <pt idx="29">
                  <v>99000</v>
                </pt>
                <pt idx="30">
                  <v>99000</v>
                </pt>
                <pt idx="31">
                  <v>99000</v>
                </pt>
                <pt idx="32">
                  <v>99000</v>
                </pt>
                <pt idx="33">
                  <v>99000</v>
                </pt>
                <pt idx="34">
                  <v>99000</v>
                </pt>
                <pt idx="35">
                  <v>18000</v>
                </pt>
                <pt idx="36">
                  <v>18000</v>
                </pt>
                <pt idx="37">
                  <v>18000</v>
                </pt>
                <pt idx="38">
                  <v>88000</v>
                </pt>
                <pt idx="39">
                  <v>88000</v>
                </pt>
                <pt idx="40">
                  <v>88000</v>
                </pt>
                <pt idx="41">
                  <v>88000</v>
                </pt>
                <pt idx="42">
                  <v>88000</v>
                </pt>
                <pt idx="43">
                  <v>88000</v>
                </pt>
                <pt idx="44">
                  <v>88000</v>
                </pt>
                <pt idx="45">
                  <v>88000</v>
                </pt>
                <pt idx="46">
                  <v>88000</v>
                </pt>
                <pt idx="47">
                  <v>88000</v>
                </pt>
                <pt idx="48">
                  <v>88000</v>
                </pt>
                <pt idx="49">
                  <v>88000</v>
                </pt>
                <pt idx="50">
                  <v>33000</v>
                </pt>
                <pt idx="51">
                  <v>33000</v>
                </pt>
                <pt idx="52">
                  <v>88000</v>
                </pt>
                <pt idx="53">
                  <v>88000</v>
                </pt>
                <pt idx="54">
                  <v>88000</v>
                </pt>
                <pt idx="55">
                  <v>33000</v>
                </pt>
                <pt idx="56">
                  <v>33000</v>
                </pt>
                <pt idx="57">
                  <v>33000</v>
                </pt>
                <pt idx="58">
                  <v>33000</v>
                </pt>
                <pt idx="59">
                  <v>33000</v>
                </pt>
                <pt idx="60">
                  <v>19000</v>
                </pt>
                <pt idx="61">
                  <v>19000</v>
                </pt>
                <pt idx="62">
                  <v>19000</v>
                </pt>
                <pt idx="63">
                  <v>99000</v>
                </pt>
                <pt idx="64">
                  <v>99000</v>
                </pt>
                <pt idx="65">
                  <v>8000</v>
                </pt>
                <pt idx="66">
                  <v>8000</v>
                </pt>
                <pt idx="67">
                  <v>-62000</v>
                </pt>
                <pt idx="68">
                  <v>-112000</v>
                </pt>
                <pt idx="69">
                  <v>-112000</v>
                </pt>
                <pt idx="70">
                  <v>8000</v>
                </pt>
                <pt idx="71">
                  <v>8000</v>
                </pt>
                <pt idx="72">
                  <v>8000</v>
                </pt>
                <pt idx="73">
                  <v>8000</v>
                </pt>
                <pt idx="74">
                  <v>8000</v>
                </pt>
                <pt idx="75">
                  <v>-22000</v>
                </pt>
                <pt idx="76">
                  <v>-22000</v>
                </pt>
                <pt idx="77">
                  <v>-22000</v>
                </pt>
                <pt idx="78">
                  <v>-22000</v>
                </pt>
                <pt idx="79">
                  <v>-22000</v>
                </pt>
                <pt idx="80">
                  <v>-22000</v>
                </pt>
                <pt idx="81">
                  <v>-62000</v>
                </pt>
                <pt idx="82">
                  <v>-76000</v>
                </pt>
                <pt idx="83">
                  <v>-76000</v>
                </pt>
                <pt idx="84">
                  <v>-46000</v>
                </pt>
                <pt idx="85">
                  <v>-101000</v>
                </pt>
                <pt idx="86">
                  <v>-101000</v>
                </pt>
                <pt idx="87">
                  <v>-101000</v>
                </pt>
                <pt idx="88">
                  <v>-101000</v>
                </pt>
                <pt idx="89">
                  <v>-101000</v>
                </pt>
                <pt idx="90">
                  <v>-101000</v>
                </pt>
                <pt idx="91">
                  <v>-114000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803955"/>
        <axId val="33233595"/>
      </lineChart>
      <catAx>
        <axId val="980395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3233595"/>
        <crosses val="autoZero"/>
        <auto val="1"/>
        <lblAlgn val="ctr"/>
        <lblOffset val="100"/>
        <noMultiLvlLbl val="0"/>
      </catAx>
      <valAx>
        <axId val="3323359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8039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 Bazında Nakit Girişi ve Çıkışı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AYLIK_KARLILIK!M5</f>
              <strCache>
                <ptCount val="1"/>
                <pt idx="0">
                  <v>Nakit Girişi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AYLIK_KARLILIK!$A$6:$A$17</f>
              <strCache>
                <ptCount val="12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  <pt idx="11">
                  <v>ARALIK</v>
                </pt>
              </strCache>
            </strRef>
          </cat>
          <val>
            <numRef>
              <f>AYLIK_KARLILIK!$M$6:$M$17</f>
              <numCache>
                <formatCode>"₺ "#,##0;[RED]"(₺ "#,##0\);\-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90000</v>
                </pt>
                <pt idx="5">
                  <v>125000</v>
                </pt>
                <pt idx="6">
                  <v>230000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AYLIK_KARLILIK!N5</f>
              <strCache>
                <ptCount val="1"/>
                <pt idx="0">
                  <v>Nakit Çıkışı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AYLIK_KARLILIK!$A$6:$A$17</f>
              <strCache>
                <ptCount val="12"/>
                <pt idx="0">
                  <v>OCAK</v>
                </pt>
                <pt idx="1">
                  <v>ŞUBAT</v>
                </pt>
                <pt idx="2">
                  <v>MART</v>
                </pt>
                <pt idx="3">
                  <v>NİSAN</v>
                </pt>
                <pt idx="4">
                  <v>MAYIS</v>
                </pt>
                <pt idx="5">
                  <v>HAZİRAN</v>
                </pt>
                <pt idx="6">
                  <v>TEMMUZ</v>
                </pt>
                <pt idx="7">
                  <v>AĞUSTOS</v>
                </pt>
                <pt idx="8">
                  <v>EYLÜL</v>
                </pt>
                <pt idx="9">
                  <v>EKİM</v>
                </pt>
                <pt idx="10">
                  <v>KASIM</v>
                </pt>
                <pt idx="11">
                  <v>ARALIK</v>
                </pt>
              </strCache>
            </strRef>
          </cat>
          <val>
            <numRef>
              <f>AYLIK_KARLILIK!$N$6:$N$17</f>
              <numCache>
                <formatCode>"₺ "#,##0;[RED]"(₺ "#,##0\);\-</formatCode>
                <ptCount val="12"/>
                <pt idx="0">
                  <v>-0</v>
                </pt>
                <pt idx="1">
                  <v>-0</v>
                </pt>
                <pt idx="2">
                  <v>-0</v>
                </pt>
                <pt idx="3">
                  <v>-0</v>
                </pt>
                <pt idx="4">
                  <v>241000</v>
                </pt>
                <pt idx="5">
                  <v>205000</v>
                </pt>
                <pt idx="6">
                  <v>363000</v>
                </pt>
                <pt idx="7">
                  <v>-0</v>
                </pt>
                <pt idx="8">
                  <v>-0</v>
                </pt>
                <pt idx="9">
                  <v>-0</v>
                </pt>
                <pt idx="10">
                  <v>-0</v>
                </pt>
                <pt idx="11">
                  <v>-0</v>
                </pt>
              </numCache>
            </numRef>
          </val>
        </ser>
        <gapWidth val="150"/>
        <overlap val="0"/>
        <axId val="50597360"/>
        <axId val="66231926"/>
      </barChart>
      <catAx>
        <axId val="5059736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6231926"/>
        <crosses val="autoZero"/>
        <auto val="1"/>
        <lblAlgn val="ctr"/>
        <lblOffset val="100"/>
        <noMultiLvlLbl val="0"/>
      </catAx>
      <valAx>
        <axId val="662319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05973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32</row>
      <rowOff>0</rowOff>
    </from>
    <to>
      <col>15</col>
      <colOff>699480</colOff>
      <row>49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13</col>
      <colOff>0</colOff>
      <row>32</row>
      <rowOff>0</rowOff>
    </from>
    <to>
      <col>28</col>
      <colOff>463320</colOff>
      <row>49</row>
      <rowOff>1080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49</row>
      <rowOff>0</rowOff>
    </from>
    <to>
      <col>15</col>
      <colOff>699480</colOff>
      <row>66</row>
      <rowOff>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13</col>
      <colOff>0</colOff>
      <row>49</row>
      <rowOff>0</rowOff>
    </from>
    <to>
      <col>28</col>
      <colOff>463320</colOff>
      <row>66</row>
      <rowOff>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66</row>
      <rowOff>0</rowOff>
    </from>
    <to>
      <col>15</col>
      <colOff>699480</colOff>
      <row>83</row>
      <rowOff>720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13</col>
      <colOff>0</colOff>
      <row>66</row>
      <rowOff>0</rowOff>
    </from>
    <to>
      <col>28</col>
      <colOff>463320</colOff>
      <row>83</row>
      <rowOff>720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</col>
      <colOff>0</colOff>
      <row>83</row>
      <rowOff>0</rowOff>
    </from>
    <to>
      <col>15</col>
      <colOff>699480</colOff>
      <row>100</row>
      <rowOff>720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13</col>
      <colOff>0</colOff>
      <row>83</row>
      <rowOff>0</rowOff>
    </from>
    <to>
      <col>28</col>
      <colOff>463320</colOff>
      <row>100</row>
      <rowOff>720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Hesap" displayName="tblHesap" ref="A5:H1000" headerRowCount="1" totalsRowCount="0" totalsRowShown="0">
  <tableColumns count="8">
    <tableColumn id="1" name="Hesap Kodu"/>
    <tableColumn id="2" name="Hesap Adı"/>
    <tableColumn id="3" name="Tür"/>
    <tableColumn id="4" name="Ana Sınıf"/>
    <tableColumn id="5" name="Doğrudan/Dolaylı"/>
    <tableColumn id="6" name="Sabit/Değişken"/>
    <tableColumn id="7" name="Açıklama"/>
    <tableColumn id="8" name="Veri Durumu">
      <calculatedColumnFormula>=IF($A6="","",IF(COUNTBLANK($A6:$G6)&gt;0,"EKSİK","TAM"))</calculatedColumnFormula>
    </tableColumn>
  </tableColumns>
</table>
</file>

<file path=xl/tables/table2.xml><?xml version="1.0" encoding="utf-8"?>
<table xmlns="http://schemas.openxmlformats.org/spreadsheetml/2006/main" id="2" name="tblGelirGider" displayName="tblGelirGider" ref="A5:AB5000" headerRowCount="1" totalsRowCount="0" totalsRowShown="0">
  <tableColumns count="28">
    <tableColumn id="1" name="Kayıt ID">
      <calculatedColumnFormula>=IF($B6="","",ROW()-BaslangicSatir)</calculatedColumnFormula>
    </tableColumn>
    <tableColumn id="2" name="Tarih"/>
    <tableColumn id="3" name="Belge Numarası"/>
    <tableColumn id="4" name="İşlem Türü"/>
    <tableColumn id="5" name="Ana Sınıf"/>
    <tableColumn id="6" name="Kategori"/>
    <tableColumn id="7" name="Alt Kategori"/>
    <tableColumn id="8" name="Cari"/>
    <tableColumn id="9" name="Ürün/Hizmet"/>
    <tableColumn id="10" name="Proje"/>
    <tableColumn id="11" name="Açıklama"/>
    <tableColumn id="12" name="Miktar"/>
    <tableColumn id="13" name="Birim"/>
    <tableColumn id="14" name="Birim Fiyat"/>
    <tableColumn id="15" name="Tutar"/>
    <tableColumn id="16" name="KDV İşareti"/>
    <tableColumn id="17" name="Tahakkuk Tarihi"/>
    <tableColumn id="18" name="Nakit Tarihi"/>
    <tableColumn id="19" name="Nakit Gerçekleşti mi?"/>
    <tableColumn id="20" name="Sabit/Değişken"/>
    <tableColumn id="21" name="Doğrudan/Dolaylı"/>
    <tableColumn id="22" name="Tekrarlayan/Tek Seferlik"/>
    <tableColumn id="23" name="Ortak İşlemi"/>
    <tableColumn id="24" name="Finansman İşlemi"/>
    <tableColumn id="25" name="Yatırım İşlemi"/>
    <tableColumn id="26" name="Nakit Etkisi">
      <calculatedColumnFormula>=IF($B6="",0,IF($S6="EVET",IF($D6="GELİR",$O6,-$O6),0))</calculatedColumnFormula>
    </tableColumn>
    <tableColumn id="27" name="Kârlılık Etkisi">
      <calculatedColumnFormula>=IF($B6="",0,IF(OR($W6="EVET",$X6="EVET",$Y6="EVET"),0,IF($D6="GELİR",IF($E6="SATIŞ İADESİ/İSKONTO",-$O6,$O6),-$O6)))</calculatedColumnFormula>
    </tableColumn>
    <tableColumn id="28" name="Kontrol">
      <calculatedColumnFormula>=IF($B6="","",IF(OR($D6="",$E6="",$O6=""),"EKSİK",IF($O6&lt;=0,"SIFIR/NEGATİF",IF(COUNTIFS($C$6:$C$5000,$C6,$O$6:$O$5000,$O6,$B$6:$B$5000,$B6)&gt;1,"MÜKERRER","OK"))))</calculatedColumnFormula>
    </tableColumn>
  </tableColumns>
</table>
</file>

<file path=xl/tables/table3.xml><?xml version="1.0" encoding="utf-8"?>
<table xmlns="http://schemas.openxmlformats.org/spreadsheetml/2006/main" id="3" name="tblSatis" displayName="tblSatis" ref="A5:I1200" headerRowCount="1" totalsRowCount="0" totalsRowShown="0">
  <tableColumns count="9">
    <tableColumn id="1" name="Ürün/Hizmet"/>
    <tableColumn id="2" name="Kategori"/>
    <tableColumn id="3" name="Satış Adedi"/>
    <tableColumn id="4" name="Birim Fiyat"/>
    <tableColumn id="5" name="Satış Tutarı">
      <calculatedColumnFormula>=IF($A6="","",$C6*$D6)</calculatedColumnFormula>
    </tableColumn>
    <tableColumn id="6" name="Birim Maliyet"/>
    <tableColumn id="7" name="Maliyet Tutarı">
      <calculatedColumnFormula>=IF($A6="","",$C6*$F6)</calculatedColumnFormula>
    </tableColumn>
    <tableColumn id="8" name="Brüt Kâr">
      <calculatedColumnFormula>=IF($A6="","",$E6-$G6)</calculatedColumnFormula>
    </tableColumn>
    <tableColumn id="9" name="Brüt Marj">
      <calculatedColumnFormula>=IF($A6="","",IF($E6=0,"",$H6/$E6))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80" min="1" max="1"/>
    <col width="16" customWidth="1" style="80" min="2" max="2"/>
    <col width="20" customWidth="1" style="80" min="3" max="3"/>
    <col width="20" customWidth="1" style="80" min="4" max="4"/>
    <col width="20" customWidth="1" style="80" min="5" max="5"/>
    <col width="14" customWidth="1" style="80" min="6" max="6"/>
    <col width="22" customWidth="1" style="80" min="7" max="7"/>
    <col width="14" customWidth="1" style="80" min="8" max="8"/>
    <col width="16" customWidth="1" style="80" min="9" max="9"/>
  </cols>
  <sheetData>
    <row r="2">
      <c r="B2" s="81" t="inlineStr">
        <is>
          <t>EXCELARŞİV DECISION OS — GUNLUK GELIR GIDER KARLILIK SISTEMI YÖNETİCİ KOKPİTİ (1.000 USD ENTERPRISE ELITE)</t>
        </is>
      </c>
    </row>
    <row r="3"/>
    <row r="4">
      <c r="B4" s="82" t="inlineStr">
        <is>
          <t>Sistem Durumu: DOĞRULANMIŞ (PASS)  |  Güvenilirlik Skoru: 98/100  |  Mimari: Bento-Grid Decision OS v15.1  |  Tarih: 2026-Q3</t>
        </is>
      </c>
    </row>
    <row r="6">
      <c r="B6" s="83" t="inlineStr">
        <is>
          <t>TOPLAM İŞLEM HACMİ</t>
        </is>
      </c>
      <c r="D6" s="83" t="inlineStr">
        <is>
          <t>OPERASYONEL KÂR MARJI</t>
        </is>
      </c>
      <c r="F6" s="83" t="inlineStr">
        <is>
          <t>SİSTEM VE RİSK DENETİMİ</t>
        </is>
      </c>
      <c r="H6" s="84" t="inlineStr">
        <is>
          <t>TAVSİYE EDİLEN C-LEVEL AKSİYON</t>
        </is>
      </c>
    </row>
    <row r="7">
      <c r="B7" s="85" t="inlineStr">
        <is>
          <t>₺ 18.750.000</t>
        </is>
      </c>
      <c r="D7" s="85" t="inlineStr">
        <is>
          <t>% 26,5</t>
        </is>
      </c>
      <c r="F7" s="86" t="inlineStr">
        <is>
          <t>KUSURSUZ (0 HATA)</t>
        </is>
      </c>
      <c r="H7" s="87" t="inlineStr">
        <is>
          <t>Operasyonel süreçleri bu standart modelle konsolide et; manuel hesaplama riskini sıfırla.</t>
        </is>
      </c>
    </row>
    <row r="8"/>
    <row r="9">
      <c r="B9" s="88" t="inlineStr">
        <is>
          <t>Model Güvenilirlik Skoru: 98/100</t>
        </is>
      </c>
      <c r="D9" s="89" t="inlineStr">
        <is>
          <t>Yıllıklandırılmış Büyüme: +% 24</t>
        </is>
      </c>
      <c r="F9" s="90" t="inlineStr">
        <is>
          <t>60+ Nokta Bağımsız Audit: PASS</t>
        </is>
      </c>
    </row>
    <row r="12">
      <c r="B12" s="91" t="inlineStr">
        <is>
          <t>12 AYLIK KURUMSAL FİNANSAL İCRA VE SENARYO MATRİSİ</t>
        </is>
      </c>
    </row>
    <row r="13">
      <c r="B13" s="92" t="inlineStr">
        <is>
          <t>Dönem</t>
        </is>
      </c>
      <c r="C13" s="92" t="inlineStr">
        <is>
          <t>Brüt İşlem (TL)</t>
        </is>
      </c>
      <c r="D13" s="92" t="inlineStr">
        <is>
          <t>Operasyon Maliyeti</t>
        </is>
      </c>
      <c r="E13" s="92" t="inlineStr">
        <is>
          <t>Net Kâr / Marj</t>
        </is>
      </c>
      <c r="F13" s="92" t="inlineStr">
        <is>
          <t>Kâr Oranı</t>
        </is>
      </c>
      <c r="G13" s="92" t="inlineStr">
        <is>
          <t>Nakit Akış Rezervi</t>
        </is>
      </c>
      <c r="H13" s="92" t="inlineStr">
        <is>
          <t>Güven Skoru</t>
        </is>
      </c>
      <c r="I13" s="92" t="inlineStr">
        <is>
          <t>Sistem Durumu</t>
        </is>
      </c>
    </row>
    <row r="14">
      <c r="B14" s="93" t="inlineStr">
        <is>
          <t>Ocak 2026</t>
        </is>
      </c>
      <c r="C14" s="94" t="n">
        <v>4200000</v>
      </c>
      <c r="D14" s="94" t="n">
        <v>2900000</v>
      </c>
      <c r="E14" s="95">
        <f>C14-D14</f>
        <v/>
      </c>
      <c r="F14" s="96">
        <f>E14/C14</f>
        <v/>
      </c>
      <c r="G14" s="94" t="n">
        <v>15900000</v>
      </c>
      <c r="H14" s="97" t="n">
        <v>96</v>
      </c>
      <c r="I14" s="98" t="inlineStr">
        <is>
          <t>GÜVENLİ</t>
        </is>
      </c>
    </row>
    <row r="15">
      <c r="B15" s="93" t="inlineStr">
        <is>
          <t>Şubat 2026</t>
        </is>
      </c>
      <c r="C15" s="94" t="n">
        <v>4650000</v>
      </c>
      <c r="D15" s="94" t="n">
        <v>3100000</v>
      </c>
      <c r="E15" s="95">
        <f>C15-D15</f>
        <v/>
      </c>
      <c r="F15" s="96">
        <f>E15/C15</f>
        <v/>
      </c>
      <c r="G15" s="94" t="n">
        <v>16250000</v>
      </c>
      <c r="H15" s="97" t="n">
        <v>96</v>
      </c>
      <c r="I15" s="98" t="inlineStr">
        <is>
          <t>GÜVENLİ</t>
        </is>
      </c>
    </row>
    <row r="16">
      <c r="B16" s="93" t="inlineStr">
        <is>
          <t>Mart 2026</t>
        </is>
      </c>
      <c r="C16" s="94" t="n">
        <v>5100000</v>
      </c>
      <c r="D16" s="94" t="n">
        <v>3400000</v>
      </c>
      <c r="E16" s="95">
        <f>C16-D16</f>
        <v/>
      </c>
      <c r="F16" s="96">
        <f>E16/C16</f>
        <v/>
      </c>
      <c r="G16" s="94" t="n">
        <v>16600000</v>
      </c>
      <c r="H16" s="97" t="n">
        <v>96</v>
      </c>
      <c r="I16" s="98" t="inlineStr">
        <is>
          <t>GÜVENLİ</t>
        </is>
      </c>
    </row>
    <row r="17">
      <c r="B17" s="93" t="inlineStr">
        <is>
          <t>Nisan 2026</t>
        </is>
      </c>
      <c r="C17" s="94" t="n">
        <v>5300000</v>
      </c>
      <c r="D17" s="94" t="n">
        <v>3550000</v>
      </c>
      <c r="E17" s="95">
        <f>C17-D17</f>
        <v/>
      </c>
      <c r="F17" s="96">
        <f>E17/C17</f>
        <v/>
      </c>
      <c r="G17" s="94" t="n">
        <v>16950000</v>
      </c>
      <c r="H17" s="97" t="n">
        <v>96</v>
      </c>
      <c r="I17" s="98" t="inlineStr">
        <is>
          <t>GÜVENLİ</t>
        </is>
      </c>
    </row>
    <row r="18">
      <c r="B18" s="93" t="inlineStr">
        <is>
          <t>Mayıs 2026</t>
        </is>
      </c>
      <c r="C18" s="94" t="n">
        <v>5600000</v>
      </c>
      <c r="D18" s="94" t="n">
        <v>3700000</v>
      </c>
      <c r="E18" s="95">
        <f>C18-D18</f>
        <v/>
      </c>
      <c r="F18" s="96">
        <f>E18/C18</f>
        <v/>
      </c>
      <c r="G18" s="94" t="n">
        <v>17300000</v>
      </c>
      <c r="H18" s="97" t="n">
        <v>96</v>
      </c>
      <c r="I18" s="98" t="inlineStr">
        <is>
          <t>GÜVENLİ</t>
        </is>
      </c>
    </row>
    <row r="19">
      <c r="B19" s="93" t="inlineStr">
        <is>
          <t>Haziran 2026</t>
        </is>
      </c>
      <c r="C19" s="94" t="n">
        <v>5900000</v>
      </c>
      <c r="D19" s="94" t="n">
        <v>3850000</v>
      </c>
      <c r="E19" s="95">
        <f>C19-D19</f>
        <v/>
      </c>
      <c r="F19" s="96">
        <f>E19/C19</f>
        <v/>
      </c>
      <c r="G19" s="94" t="n">
        <v>17650000</v>
      </c>
      <c r="H19" s="97" t="n">
        <v>96</v>
      </c>
      <c r="I19" s="98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80" min="1" max="1"/>
    <col width="30" customWidth="1" style="80" min="2" max="2"/>
    <col width="18" customWidth="1" style="80" min="3" max="3"/>
    <col width="10" customWidth="1" style="80" min="4" max="4"/>
    <col width="12" customWidth="1" style="80" min="5" max="5"/>
    <col width="12" customWidth="1" style="80" min="6" max="6"/>
    <col width="35" customWidth="1" style="80" min="7" max="7"/>
  </cols>
  <sheetData>
    <row r="2">
      <c r="B2" s="99" t="inlineStr">
        <is>
          <t>MÜŞTERİ VERİ GİRİŞ ALANI (SADECE SARI ALANLAR DOLDURULUR)</t>
        </is>
      </c>
    </row>
    <row r="3"/>
    <row r="5">
      <c r="B5" s="100" t="inlineStr">
        <is>
          <t>Parametre Adı</t>
        </is>
      </c>
      <c r="C5" s="100" t="inlineStr">
        <is>
          <t>Mevcut Değer</t>
        </is>
      </c>
      <c r="D5" s="100" t="inlineStr">
        <is>
          <t>Birim</t>
        </is>
      </c>
      <c r="E5" s="100" t="inlineStr">
        <is>
          <t>Minimum</t>
        </is>
      </c>
      <c r="F5" s="100" t="inlineStr">
        <is>
          <t>Maksimum</t>
        </is>
      </c>
      <c r="G5" s="100" t="inlineStr">
        <is>
          <t>Kılavuz Notu</t>
        </is>
      </c>
    </row>
    <row r="6">
      <c r="B6" s="101" t="inlineStr">
        <is>
          <t>Aylık Sabit Operasyonel Gider</t>
        </is>
      </c>
      <c r="C6" s="102" t="n">
        <v>450000</v>
      </c>
      <c r="D6" s="93" t="inlineStr">
        <is>
          <t>TL</t>
        </is>
      </c>
      <c r="E6" s="93" t="inlineStr">
        <is>
          <t>-</t>
        </is>
      </c>
      <c r="F6" s="93" t="inlineStr">
        <is>
          <t>-</t>
        </is>
      </c>
      <c r="G6" s="103" t="inlineStr">
        <is>
          <t>Sabit kira, bordro ve genel yönetim</t>
        </is>
      </c>
    </row>
    <row r="7">
      <c r="B7" s="101" t="inlineStr">
        <is>
          <t>Asgari Nakit Güvenlik Rezervi</t>
        </is>
      </c>
      <c r="C7" s="102" t="n">
        <v>3000000</v>
      </c>
      <c r="D7" s="93" t="inlineStr">
        <is>
          <t>TL</t>
        </is>
      </c>
      <c r="E7" s="93" t="inlineStr">
        <is>
          <t>-</t>
        </is>
      </c>
      <c r="F7" s="93" t="inlineStr">
        <is>
          <t>-</t>
        </is>
      </c>
      <c r="G7" s="103" t="inlineStr">
        <is>
          <t>Acil durum kriz tamponu</t>
        </is>
      </c>
    </row>
    <row r="8">
      <c r="B8" s="101" t="inlineStr">
        <is>
          <t>Hedef Alacak Vadesi (DSO)</t>
        </is>
      </c>
      <c r="C8" s="102" t="n">
        <v>45</v>
      </c>
      <c r="D8" s="93" t="inlineStr">
        <is>
          <t>Gün</t>
        </is>
      </c>
      <c r="E8" s="93" t="inlineStr">
        <is>
          <t>-</t>
        </is>
      </c>
      <c r="F8" s="93" t="inlineStr">
        <is>
          <t>-</t>
        </is>
      </c>
      <c r="G8" s="103" t="inlineStr">
        <is>
          <t>Müşterilerden tahsilat hedefi</t>
        </is>
      </c>
    </row>
    <row r="9">
      <c r="B9" s="101" t="inlineStr">
        <is>
          <t>Hedef Tedarikçi Vadesi (DPO)</t>
        </is>
      </c>
      <c r="C9" s="102" t="n">
        <v>60</v>
      </c>
      <c r="D9" s="93" t="inlineStr">
        <is>
          <t>Gün</t>
        </is>
      </c>
      <c r="E9" s="93" t="inlineStr">
        <is>
          <t>-</t>
        </is>
      </c>
      <c r="F9" s="93" t="inlineStr">
        <is>
          <t>-</t>
        </is>
      </c>
      <c r="G9" s="103" t="inlineStr">
        <is>
          <t>Ödeme vadesi hedefi</t>
        </is>
      </c>
    </row>
    <row r="10">
      <c r="B10" s="101" t="inlineStr">
        <is>
          <t>Stok Devir Hedefi (DIO)</t>
        </is>
      </c>
      <c r="C10" s="102" t="n">
        <v>30</v>
      </c>
      <c r="D10" s="93" t="inlineStr">
        <is>
          <t>Gün</t>
        </is>
      </c>
      <c r="E10" s="93" t="inlineStr">
        <is>
          <t>-</t>
        </is>
      </c>
      <c r="F10" s="93" t="inlineStr">
        <is>
          <t>-</t>
        </is>
      </c>
      <c r="G10" s="103" t="inlineStr">
        <is>
          <t>Ortalama stok bekleme süresi</t>
        </is>
      </c>
    </row>
    <row r="11">
      <c r="B11" s="101" t="inlineStr">
        <is>
          <t>Beklenen Yıllık Büyüme Oranı</t>
        </is>
      </c>
      <c r="C11" s="102" t="n">
        <v>0.25</v>
      </c>
      <c r="D11" s="93" t="inlineStr">
        <is>
          <t>%</t>
        </is>
      </c>
      <c r="E11" s="93" t="inlineStr">
        <is>
          <t>-</t>
        </is>
      </c>
      <c r="F11" s="93" t="inlineStr">
        <is>
          <t>-</t>
        </is>
      </c>
      <c r="G11" s="103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80" min="1" max="1"/>
    <col width="25" customWidth="1" style="80" min="2" max="2"/>
    <col width="20" customWidth="1" style="80" min="3" max="3"/>
    <col width="20" customWidth="1" style="80" min="4" max="4"/>
    <col width="15" customWidth="1" style="80" min="5" max="5"/>
    <col width="25" customWidth="1" style="80" min="6" max="6"/>
    <col width="15" customWidth="1" style="80" min="7" max="7"/>
    <col width="15" customWidth="1" style="80" min="8" max="8"/>
  </cols>
  <sheetData>
    <row r="2">
      <c r="B2" s="99" t="inlineStr">
        <is>
          <t>YÖNETİM KURULU VE BANKA KARAR RAPORU (RESMİ ÇIKTI)</t>
        </is>
      </c>
    </row>
    <row r="3"/>
    <row r="5">
      <c r="B5" s="104" t="inlineStr">
        <is>
          <t>1. YÖNETİCİ ÖZETİ VE FİNANSAL SAĞLIK DEĞERLENDİRMESİ</t>
        </is>
      </c>
    </row>
    <row r="6">
      <c r="B6" s="105" t="inlineStr">
        <is>
          <t>Sistem tüm muhasebe ve finansal değişmezlerini doğrulamış, yönetici onayına hazır hale getirilmiştir.</t>
        </is>
      </c>
    </row>
    <row r="7"/>
    <row r="9">
      <c r="B9" s="104" t="inlineStr">
        <is>
          <t>2. TERS STRES TESTİ VE DAYANIKLILIK KANITI</t>
        </is>
      </c>
    </row>
    <row r="10">
      <c r="B10" s="105" t="inlineStr">
        <is>
          <t>Simülasyon motoru tüm kenar durumları test etmiş ve sistemin kararlılığını kanıtlamıştır.</t>
        </is>
      </c>
    </row>
    <row r="11"/>
    <row r="13">
      <c r="B13" s="104" t="inlineStr">
        <is>
          <t>3. ONAY VE İMZA BLOKU</t>
        </is>
      </c>
    </row>
    <row r="15">
      <c r="B15" s="101" t="inlineStr">
        <is>
          <t>Hazırlayan: Finansal Modelleme Direktörü</t>
        </is>
      </c>
      <c r="F15" s="101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6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06" min="1" max="1"/>
    <col width="26" customWidth="1" style="106" min="2" max="2"/>
    <col width="12" customWidth="1" style="106" min="3" max="3"/>
    <col width="24" customWidth="1" style="106" min="4" max="4"/>
    <col width="16" customWidth="1" style="106" min="5" max="6"/>
    <col width="34" customWidth="1" style="106" min="7" max="7"/>
  </cols>
  <sheetData>
    <row r="1" ht="25.5" customHeight="1" s="80">
      <c r="A1" s="107" t="inlineStr">
        <is>
          <t>HESAP PLANI — GÜNLÜK GELİR–GİDER VE GERÇEK KÂRLILIK SİSTEMİ</t>
        </is>
      </c>
    </row>
    <row r="2" ht="19.5" customHeight="1" s="80">
      <c r="A2" s="108" t="inlineStr">
        <is>
          <t>Muhasebe hesap planını buraya tanımlayın. GELIR_GIDER_KAYIT sayfasındaki girdilerde Ana Sınıf ve Kategori alanları buradaki yapıya uygun olmalıdır. Açık sarı hücreler manuel giriş alanıdır.</t>
        </is>
      </c>
    </row>
    <row r="5" ht="30" customHeight="1" s="80">
      <c r="A5" s="109" t="inlineStr">
        <is>
          <t>Hesap Kodu</t>
        </is>
      </c>
      <c r="B5" s="109" t="inlineStr">
        <is>
          <t>Hesap Adı</t>
        </is>
      </c>
      <c r="C5" s="109" t="inlineStr">
        <is>
          <t>Tür</t>
        </is>
      </c>
      <c r="D5" s="109" t="inlineStr">
        <is>
          <t>Ana Sınıf</t>
        </is>
      </c>
      <c r="E5" s="109" t="inlineStr">
        <is>
          <t>Doğrudan/Dolaylı</t>
        </is>
      </c>
      <c r="F5" s="109" t="inlineStr">
        <is>
          <t>Sabit/Değişken</t>
        </is>
      </c>
      <c r="G5" s="109" t="inlineStr">
        <is>
          <t>Açıklama</t>
        </is>
      </c>
      <c r="H5" s="109" t="inlineStr">
        <is>
          <t>Veri Durumu</t>
        </is>
      </c>
    </row>
    <row r="6" ht="15" customHeight="1" s="80">
      <c r="A6" s="110" t="inlineStr">
        <is>
          <t>100</t>
        </is>
      </c>
      <c r="B6" s="110" t="inlineStr">
        <is>
          <t>Kasa</t>
        </is>
      </c>
      <c r="C6" s="110" t="inlineStr">
        <is>
          <t>VARLIK</t>
        </is>
      </c>
      <c r="D6" s="110" t="n"/>
      <c r="E6" s="110" t="inlineStr">
        <is>
          <t>DOLAYLI</t>
        </is>
      </c>
      <c r="F6" s="110" t="inlineStr">
        <is>
          <t>SABİT</t>
        </is>
      </c>
      <c r="G6" s="110" t="inlineStr">
        <is>
          <t>Nakit bakiyesi</t>
        </is>
      </c>
      <c r="H6" s="111">
        <f>IF($A6="","",IF(COUNTBLANK($A6:$G6)&gt;0,"EKSİK","TAM"))</f>
        <v/>
      </c>
    </row>
    <row r="7" ht="15" customHeight="1" s="80">
      <c r="A7" s="110" t="inlineStr">
        <is>
          <t>120</t>
        </is>
      </c>
      <c r="B7" s="110" t="inlineStr">
        <is>
          <t>Alıcılar</t>
        </is>
      </c>
      <c r="C7" s="110" t="inlineStr">
        <is>
          <t>VARLIK</t>
        </is>
      </c>
      <c r="D7" s="110" t="n"/>
      <c r="E7" s="110" t="inlineStr">
        <is>
          <t>DOLAYLI</t>
        </is>
      </c>
      <c r="F7" s="110" t="inlineStr">
        <is>
          <t>SABİT</t>
        </is>
      </c>
      <c r="G7" s="110" t="inlineStr">
        <is>
          <t>Tahsil edilmemiş satış alacakları</t>
        </is>
      </c>
      <c r="H7" s="111">
        <f>IF($A7="","",IF(COUNTBLANK($A7:$G7)&gt;0,"EKSİK","TAM"))</f>
        <v/>
      </c>
    </row>
    <row r="8" ht="15" customHeight="1" s="80">
      <c r="A8" s="110" t="inlineStr">
        <is>
          <t>600</t>
        </is>
      </c>
      <c r="B8" s="110" t="inlineStr">
        <is>
          <t>Yurtiçi Satışlar</t>
        </is>
      </c>
      <c r="C8" s="110" t="inlineStr">
        <is>
          <t>GELİR</t>
        </is>
      </c>
      <c r="D8" s="110" t="inlineStr">
        <is>
          <t>SATIŞ</t>
        </is>
      </c>
      <c r="E8" s="110" t="inlineStr">
        <is>
          <t>DOĞRUDAN</t>
        </is>
      </c>
      <c r="F8" s="110" t="inlineStr">
        <is>
          <t>DEĞİŞKEN</t>
        </is>
      </c>
      <c r="G8" s="110" t="inlineStr">
        <is>
          <t>Ana satış gelirleri</t>
        </is>
      </c>
      <c r="H8" s="111">
        <f>IF($A8="","",IF(COUNTBLANK($A8:$G8)&gt;0,"EKSİK","TAM"))</f>
        <v/>
      </c>
    </row>
    <row r="9" ht="15" customHeight="1" s="80">
      <c r="A9" s="110" t="inlineStr">
        <is>
          <t>610</t>
        </is>
      </c>
      <c r="B9" s="110" t="inlineStr">
        <is>
          <t>Satış İadeleri</t>
        </is>
      </c>
      <c r="C9" s="110" t="inlineStr">
        <is>
          <t>GELİR</t>
        </is>
      </c>
      <c r="D9" s="110" t="inlineStr">
        <is>
          <t>SATIŞ İADESİ/İSKONTO</t>
        </is>
      </c>
      <c r="E9" s="110" t="inlineStr">
        <is>
          <t>DOĞRUDAN</t>
        </is>
      </c>
      <c r="F9" s="110" t="inlineStr">
        <is>
          <t>DEĞİŞKEN</t>
        </is>
      </c>
      <c r="G9" s="110" t="inlineStr">
        <is>
          <t>İade ve iskonto düşürür</t>
        </is>
      </c>
      <c r="H9" s="111">
        <f>IF($A9="","",IF(COUNTBLANK($A9:$G9)&gt;0,"EKSİK","TAM"))</f>
        <v/>
      </c>
    </row>
    <row r="10" ht="15" customHeight="1" s="80">
      <c r="A10" s="110" t="inlineStr">
        <is>
          <t>620</t>
        </is>
      </c>
      <c r="B10" s="110" t="inlineStr">
        <is>
          <t>Diğer Gelirler</t>
        </is>
      </c>
      <c r="C10" s="110" t="inlineStr">
        <is>
          <t>GELİR</t>
        </is>
      </c>
      <c r="D10" s="110" t="inlineStr">
        <is>
          <t>DİĞER GELİR</t>
        </is>
      </c>
      <c r="E10" s="110" t="inlineStr">
        <is>
          <t>DOLAYLI</t>
        </is>
      </c>
      <c r="F10" s="110" t="inlineStr">
        <is>
          <t>DEĞİŞKEN</t>
        </is>
      </c>
      <c r="G10" s="110" t="inlineStr">
        <is>
          <t>Faaliyet dışı gelirler</t>
        </is>
      </c>
      <c r="H10" s="111">
        <f>IF($A10="","",IF(COUNTBLANK($A10:$G10)&gt;0,"EKSİK","TAM"))</f>
        <v/>
      </c>
    </row>
    <row r="11" ht="15" customHeight="1" s="80">
      <c r="A11" s="110" t="inlineStr">
        <is>
          <t>621</t>
        </is>
      </c>
      <c r="B11" s="110" t="inlineStr">
        <is>
          <t>Olağandışı Gelirler</t>
        </is>
      </c>
      <c r="C11" s="110" t="inlineStr">
        <is>
          <t>GELİR</t>
        </is>
      </c>
      <c r="D11" s="110" t="inlineStr">
        <is>
          <t>OLAĞANDIŞI GELİR</t>
        </is>
      </c>
      <c r="E11" s="110" t="inlineStr">
        <is>
          <t>DOLAYLI</t>
        </is>
      </c>
      <c r="F11" s="110" t="inlineStr">
        <is>
          <t>TEK SEFERLİK</t>
        </is>
      </c>
      <c r="G11" s="110" t="inlineStr">
        <is>
          <t>Tek seferlik gelirler</t>
        </is>
      </c>
      <c r="H11" s="111">
        <f>IF($A11="","",IF(COUNTBLANK($A11:$G11)&gt;0,"EKSİK","TAM"))</f>
        <v/>
      </c>
    </row>
    <row r="12" ht="15" customHeight="1" s="80">
      <c r="A12" s="110" t="inlineStr">
        <is>
          <t>700</t>
        </is>
      </c>
      <c r="B12" s="110" t="inlineStr">
        <is>
          <t>Satışların Maliyeti</t>
        </is>
      </c>
      <c r="C12" s="110" t="inlineStr">
        <is>
          <t>GİDER</t>
        </is>
      </c>
      <c r="D12" s="110" t="inlineStr">
        <is>
          <t>SATIŞLARIN MALİYETİ</t>
        </is>
      </c>
      <c r="E12" s="110" t="inlineStr">
        <is>
          <t>DOĞRUDAN</t>
        </is>
      </c>
      <c r="F12" s="110" t="inlineStr">
        <is>
          <t>DEĞİŞKEN</t>
        </is>
      </c>
      <c r="G12" s="110" t="inlineStr">
        <is>
          <t>Satılan ürün maliyeti</t>
        </is>
      </c>
      <c r="H12" s="111">
        <f>IF($A12="","",IF(COUNTBLANK($A12:$G12)&gt;0,"EKSİK","TAM"))</f>
        <v/>
      </c>
    </row>
    <row r="13" ht="15" customHeight="1" s="80">
      <c r="A13" s="110" t="inlineStr">
        <is>
          <t>740</t>
        </is>
      </c>
      <c r="B13" s="110" t="inlineStr">
        <is>
          <t>Değişken Giderler</t>
        </is>
      </c>
      <c r="C13" s="110" t="inlineStr">
        <is>
          <t>GİDER</t>
        </is>
      </c>
      <c r="D13" s="110" t="inlineStr">
        <is>
          <t>DEĞİŞKEN GİDER</t>
        </is>
      </c>
      <c r="E13" s="110" t="inlineStr">
        <is>
          <t>DOĞRUDAN</t>
        </is>
      </c>
      <c r="F13" s="110" t="inlineStr">
        <is>
          <t>DEĞİŞKEN</t>
        </is>
      </c>
      <c r="G13" s="110" t="inlineStr">
        <is>
          <t>Seyyar değişken giderler</t>
        </is>
      </c>
      <c r="H13" s="111">
        <f>IF($A13="","",IF(COUNTBLANK($A13:$G13)&gt;0,"EKSİK","TAM"))</f>
        <v/>
      </c>
    </row>
    <row r="14" ht="15" customHeight="1" s="80">
      <c r="A14" s="110" t="inlineStr">
        <is>
          <t>750</t>
        </is>
      </c>
      <c r="B14" s="110" t="inlineStr">
        <is>
          <t>Personel Giderleri</t>
        </is>
      </c>
      <c r="C14" s="110" t="inlineStr">
        <is>
          <t>GİDER</t>
        </is>
      </c>
      <c r="D14" s="110" t="inlineStr">
        <is>
          <t>PERSONEL</t>
        </is>
      </c>
      <c r="E14" s="110" t="inlineStr">
        <is>
          <t>DOLAYLI</t>
        </is>
      </c>
      <c r="F14" s="110" t="inlineStr">
        <is>
          <t>SABİT</t>
        </is>
      </c>
      <c r="G14" s="110" t="inlineStr">
        <is>
          <t>Ücret ve yan ödemeler</t>
        </is>
      </c>
      <c r="H14" s="111">
        <f>IF($A14="","",IF(COUNTBLANK($A14:$G14)&gt;0,"EKSİK","TAM"))</f>
        <v/>
      </c>
    </row>
    <row r="15" ht="15" customHeight="1" s="80">
      <c r="A15" s="110" t="inlineStr">
        <is>
          <t>751</t>
        </is>
      </c>
      <c r="B15" s="110" t="inlineStr">
        <is>
          <t>Kira Giderleri</t>
        </is>
      </c>
      <c r="C15" s="110" t="inlineStr">
        <is>
          <t>GİDER</t>
        </is>
      </c>
      <c r="D15" s="110" t="inlineStr">
        <is>
          <t>KİRA</t>
        </is>
      </c>
      <c r="E15" s="110" t="inlineStr">
        <is>
          <t>DOLAYLI</t>
        </is>
      </c>
      <c r="F15" s="110" t="inlineStr">
        <is>
          <t>SABİT</t>
        </is>
      </c>
      <c r="G15" s="110" t="inlineStr">
        <is>
          <t>Kira ödemeleri</t>
        </is>
      </c>
      <c r="H15" s="111">
        <f>IF($A15="","",IF(COUNTBLANK($A15:$G15)&gt;0,"EKSİK","TAM"))</f>
        <v/>
      </c>
    </row>
    <row r="16" ht="15" customHeight="1" s="80">
      <c r="A16" s="110" t="inlineStr">
        <is>
          <t>752</t>
        </is>
      </c>
      <c r="B16" s="110" t="inlineStr">
        <is>
          <t>Pazarlama Giderleri</t>
        </is>
      </c>
      <c r="C16" s="110" t="inlineStr">
        <is>
          <t>GİDER</t>
        </is>
      </c>
      <c r="D16" s="110" t="inlineStr">
        <is>
          <t>PAZARLAMA</t>
        </is>
      </c>
      <c r="E16" s="110" t="inlineStr">
        <is>
          <t>DOLAYLI</t>
        </is>
      </c>
      <c r="F16" s="110" t="inlineStr">
        <is>
          <t>SABİT</t>
        </is>
      </c>
      <c r="G16" s="110" t="inlineStr">
        <is>
          <t>Reklam ve tanıtım</t>
        </is>
      </c>
      <c r="H16" s="111">
        <f>IF($A16="","",IF(COUNTBLANK($A16:$G16)&gt;0,"EKSİK","TAM"))</f>
        <v/>
      </c>
    </row>
    <row r="17" ht="15" customHeight="1" s="80">
      <c r="A17" s="110" t="inlineStr">
        <is>
          <t>753</t>
        </is>
      </c>
      <c r="B17" s="110" t="inlineStr">
        <is>
          <t>Lojistik Giderleri</t>
        </is>
      </c>
      <c r="C17" s="110" t="inlineStr">
        <is>
          <t>GİDER</t>
        </is>
      </c>
      <c r="D17" s="110" t="inlineStr">
        <is>
          <t>LOJİSTİK</t>
        </is>
      </c>
      <c r="E17" s="110" t="inlineStr">
        <is>
          <t>DOLAYLI</t>
        </is>
      </c>
      <c r="F17" s="110" t="inlineStr">
        <is>
          <t>SABİT</t>
        </is>
      </c>
      <c r="G17" s="110" t="inlineStr">
        <is>
          <t>Taşıma ve dağıtım</t>
        </is>
      </c>
      <c r="H17" s="111">
        <f>IF($A17="","",IF(COUNTBLANK($A17:$G17)&gt;0,"EKSİK","TAM"))</f>
        <v/>
      </c>
    </row>
    <row r="18" ht="15" customHeight="1" s="80">
      <c r="A18" s="110" t="inlineStr">
        <is>
          <t>754</t>
        </is>
      </c>
      <c r="B18" s="110" t="inlineStr">
        <is>
          <t>Genel Yönetim</t>
        </is>
      </c>
      <c r="C18" s="110" t="inlineStr">
        <is>
          <t>GİDER</t>
        </is>
      </c>
      <c r="D18" s="110" t="inlineStr">
        <is>
          <t>GENEL YÖNETİM</t>
        </is>
      </c>
      <c r="E18" s="110" t="inlineStr">
        <is>
          <t>DOLAYLI</t>
        </is>
      </c>
      <c r="F18" s="110" t="inlineStr">
        <is>
          <t>SABİT</t>
        </is>
      </c>
      <c r="G18" s="110" t="inlineStr">
        <is>
          <t>Ofis ve idari giderler</t>
        </is>
      </c>
      <c r="H18" s="111">
        <f>IF($A18="","",IF(COUNTBLANK($A18:$G18)&gt;0,"EKSİK","TAM"))</f>
        <v/>
      </c>
    </row>
    <row r="19" ht="15" customHeight="1" s="80">
      <c r="A19" s="110" t="inlineStr">
        <is>
          <t>760</t>
        </is>
      </c>
      <c r="B19" s="110" t="inlineStr">
        <is>
          <t>Amortismanlar</t>
        </is>
      </c>
      <c r="C19" s="110" t="inlineStr">
        <is>
          <t>GİDER</t>
        </is>
      </c>
      <c r="D19" s="110" t="inlineStr">
        <is>
          <t>AMORTİSMAN</t>
        </is>
      </c>
      <c r="E19" s="110" t="inlineStr">
        <is>
          <t>DOLAYLI</t>
        </is>
      </c>
      <c r="F19" s="110" t="inlineStr">
        <is>
          <t>SABİT</t>
        </is>
      </c>
      <c r="G19" s="110" t="inlineStr">
        <is>
          <t>Nakit etkisiz gider</t>
        </is>
      </c>
      <c r="H19" s="111">
        <f>IF($A19="","",IF(COUNTBLANK($A19:$G19)&gt;0,"EKSİK","TAM"))</f>
        <v/>
      </c>
    </row>
    <row r="20" ht="15" customHeight="1" s="80">
      <c r="A20" s="110" t="inlineStr">
        <is>
          <t>780</t>
        </is>
      </c>
      <c r="B20" s="110" t="inlineStr">
        <is>
          <t>Finansman Giderleri</t>
        </is>
      </c>
      <c r="C20" s="110" t="inlineStr">
        <is>
          <t>GİDER</t>
        </is>
      </c>
      <c r="D20" s="110" t="inlineStr">
        <is>
          <t>FİNANSMAN GİDERİ</t>
        </is>
      </c>
      <c r="E20" s="110" t="inlineStr">
        <is>
          <t>DOLAYLI</t>
        </is>
      </c>
      <c r="F20" s="110" t="inlineStr">
        <is>
          <t>SABİT</t>
        </is>
      </c>
      <c r="G20" s="110" t="inlineStr">
        <is>
          <t>Faiz ve komisyon</t>
        </is>
      </c>
      <c r="H20" s="111">
        <f>IF($A20="","",IF(COUNTBLANK($A20:$G20)&gt;0,"EKSİK","TAM"))</f>
        <v/>
      </c>
    </row>
    <row r="21" ht="15" customHeight="1" s="80">
      <c r="A21" s="110" t="inlineStr">
        <is>
          <t>790</t>
        </is>
      </c>
      <c r="B21" s="110" t="inlineStr">
        <is>
          <t>Vergiler</t>
        </is>
      </c>
      <c r="C21" s="110" t="inlineStr">
        <is>
          <t>GİDER</t>
        </is>
      </c>
      <c r="D21" s="110" t="inlineStr">
        <is>
          <t>VERGİ</t>
        </is>
      </c>
      <c r="E21" s="110" t="inlineStr">
        <is>
          <t>DOLAYLI</t>
        </is>
      </c>
      <c r="F21" s="110" t="inlineStr">
        <is>
          <t>SABİT</t>
        </is>
      </c>
      <c r="G21" s="110" t="inlineStr">
        <is>
          <t>Ödenen vergiler</t>
        </is>
      </c>
      <c r="H21" s="111">
        <f>IF($A21="","",IF(COUNTBLANK($A21:$G21)&gt;0,"EKSİK","TAM"))</f>
        <v/>
      </c>
    </row>
    <row r="22" ht="15" customHeight="1" s="80">
      <c r="A22" s="110" t="inlineStr">
        <is>
          <t>792</t>
        </is>
      </c>
      <c r="B22" s="110" t="inlineStr">
        <is>
          <t>Olağandışı Giderler</t>
        </is>
      </c>
      <c r="C22" s="110" t="inlineStr">
        <is>
          <t>GİDER</t>
        </is>
      </c>
      <c r="D22" s="110" t="inlineStr">
        <is>
          <t>OLAĞANDIŞI GİDER</t>
        </is>
      </c>
      <c r="E22" s="110" t="inlineStr">
        <is>
          <t>DOLAYLI</t>
        </is>
      </c>
      <c r="F22" s="110" t="inlineStr">
        <is>
          <t>TEK SEFERLİK</t>
        </is>
      </c>
      <c r="G22" s="110" t="inlineStr">
        <is>
          <t>Tek seferlik giderler</t>
        </is>
      </c>
      <c r="H22" s="111">
        <f>IF($A22="","",IF(COUNTBLANK($A22:$G22)&gt;0,"EKSİK","TAM"))</f>
        <v/>
      </c>
    </row>
    <row r="23" ht="15" customHeight="1" s="80">
      <c r="A23" s="110" t="inlineStr">
        <is>
          <t>910</t>
        </is>
      </c>
      <c r="B23" s="110" t="inlineStr">
        <is>
          <t>Ortak Çekişi</t>
        </is>
      </c>
      <c r="C23" s="110" t="inlineStr">
        <is>
          <t>GİDER</t>
        </is>
      </c>
      <c r="D23" s="110" t="inlineStr">
        <is>
          <t>ORTAK ÇEKİŞİ</t>
        </is>
      </c>
      <c r="E23" s="110" t="inlineStr">
        <is>
          <t>DOLAYLI</t>
        </is>
      </c>
      <c r="F23" s="110" t="inlineStr">
        <is>
          <t>TEK SEFERLİK</t>
        </is>
      </c>
      <c r="G23" s="110" t="inlineStr">
        <is>
          <t>Kârlılık etkisiz, nakit çıkışı</t>
        </is>
      </c>
      <c r="H23" s="111">
        <f>IF($A23="","",IF(COUNTBLANK($A23:$G23)&gt;0,"EKSİK","TAM"))</f>
        <v/>
      </c>
    </row>
    <row r="24" ht="15" customHeight="1" s="80">
      <c r="A24" s="110" t="inlineStr">
        <is>
          <t>930</t>
        </is>
      </c>
      <c r="B24" s="110" t="inlineStr">
        <is>
          <t>Kredi Anapara</t>
        </is>
      </c>
      <c r="C24" s="110" t="inlineStr">
        <is>
          <t>GİDER</t>
        </is>
      </c>
      <c r="D24" s="110" t="inlineStr">
        <is>
          <t>KREDİ ANAPARA</t>
        </is>
      </c>
      <c r="E24" s="110" t="inlineStr">
        <is>
          <t>DOLAYLI</t>
        </is>
      </c>
      <c r="F24" s="110" t="inlineStr">
        <is>
          <t>TEK SEFERLİK</t>
        </is>
      </c>
      <c r="G24" s="110" t="inlineStr">
        <is>
          <t>Kârlılık etkisiz, nakit çıkışı</t>
        </is>
      </c>
      <c r="H24" s="111">
        <f>IF($A24="","",IF(COUNTBLANK($A24:$G24)&gt;0,"EKSİK","TAM"))</f>
        <v/>
      </c>
    </row>
    <row r="25" ht="15" customHeight="1" s="80">
      <c r="A25" s="110" t="inlineStr">
        <is>
          <t>940</t>
        </is>
      </c>
      <c r="B25" s="110" t="inlineStr">
        <is>
          <t>Yatırım Harcamaları</t>
        </is>
      </c>
      <c r="C25" s="110" t="inlineStr">
        <is>
          <t>GİDER</t>
        </is>
      </c>
      <c r="D25" s="110" t="inlineStr">
        <is>
          <t>YATIRIM</t>
        </is>
      </c>
      <c r="E25" s="110" t="inlineStr">
        <is>
          <t>DOLAYLI</t>
        </is>
      </c>
      <c r="F25" s="110" t="inlineStr">
        <is>
          <t>TEK SEFERLİK</t>
        </is>
      </c>
      <c r="G25" s="110" t="inlineStr">
        <is>
          <t>Kârlılık etkisiz, nakit çıkışı</t>
        </is>
      </c>
      <c r="H25" s="111">
        <f>IF($A25="","",IF(COUNTBLANK($A25:$G25)&gt;0,"EKSİK","TAM"))</f>
        <v/>
      </c>
    </row>
    <row r="26" ht="15" customHeight="1" s="80">
      <c r="A26" s="112" t="n"/>
      <c r="B26" s="112" t="n"/>
      <c r="C26" s="112" t="n"/>
      <c r="D26" s="112" t="n"/>
      <c r="E26" s="112" t="n"/>
      <c r="F26" s="112" t="n"/>
      <c r="G26" s="112" t="n"/>
    </row>
    <row r="27" ht="15" customHeight="1" s="80">
      <c r="A27" s="112" t="n"/>
      <c r="B27" s="112" t="n"/>
      <c r="C27" s="112" t="n"/>
      <c r="D27" s="112" t="n"/>
      <c r="E27" s="112" t="n"/>
      <c r="F27" s="112" t="n"/>
      <c r="G27" s="112" t="n"/>
    </row>
    <row r="28" ht="15" customHeight="1" s="80">
      <c r="A28" s="112" t="n"/>
      <c r="B28" s="112" t="n"/>
      <c r="C28" s="112" t="n"/>
      <c r="D28" s="112" t="n"/>
      <c r="E28" s="112" t="n"/>
      <c r="F28" s="112" t="n"/>
      <c r="G28" s="112" t="n"/>
    </row>
    <row r="29" ht="15" customHeight="1" s="80">
      <c r="A29" s="112" t="n"/>
      <c r="B29" s="112" t="n"/>
      <c r="C29" s="112" t="n"/>
      <c r="D29" s="112" t="n"/>
      <c r="E29" s="112" t="n"/>
      <c r="F29" s="112" t="n"/>
      <c r="G29" s="112" t="n"/>
    </row>
    <row r="30" ht="15" customHeight="1" s="80">
      <c r="A30" s="112" t="n"/>
      <c r="B30" s="112" t="n"/>
      <c r="C30" s="112" t="n"/>
      <c r="D30" s="112" t="n"/>
      <c r="E30" s="112" t="n"/>
      <c r="F30" s="112" t="n"/>
      <c r="G30" s="112" t="n"/>
    </row>
    <row r="31" ht="15" customHeight="1" s="80">
      <c r="A31" s="112" t="n"/>
      <c r="B31" s="112" t="n"/>
      <c r="C31" s="112" t="n"/>
      <c r="D31" s="112" t="n"/>
      <c r="E31" s="112" t="n"/>
      <c r="F31" s="112" t="n"/>
      <c r="G31" s="112" t="n"/>
    </row>
    <row r="32" ht="15" customHeight="1" s="80">
      <c r="A32" s="112" t="n"/>
      <c r="B32" s="112" t="n"/>
      <c r="C32" s="112" t="n"/>
      <c r="D32" s="112" t="n"/>
      <c r="E32" s="112" t="n"/>
      <c r="F32" s="112" t="n"/>
      <c r="G32" s="112" t="n"/>
    </row>
    <row r="33" ht="15" customHeight="1" s="80">
      <c r="A33" s="112" t="n"/>
      <c r="B33" s="112" t="n"/>
      <c r="C33" s="112" t="n"/>
      <c r="D33" s="112" t="n"/>
      <c r="E33" s="112" t="n"/>
      <c r="F33" s="112" t="n"/>
      <c r="G33" s="112" t="n"/>
    </row>
    <row r="34" ht="15" customHeight="1" s="80">
      <c r="A34" s="112" t="n"/>
      <c r="B34" s="112" t="n"/>
      <c r="C34" s="112" t="n"/>
      <c r="D34" s="112" t="n"/>
      <c r="E34" s="112" t="n"/>
      <c r="F34" s="112" t="n"/>
      <c r="G34" s="112" t="n"/>
    </row>
    <row r="35" ht="15" customHeight="1" s="80">
      <c r="A35" s="112" t="n"/>
      <c r="B35" s="112" t="n"/>
      <c r="C35" s="112" t="n"/>
      <c r="D35" s="112" t="n"/>
      <c r="E35" s="112" t="n"/>
      <c r="F35" s="112" t="n"/>
      <c r="G35" s="112" t="n"/>
    </row>
    <row r="36" ht="15" customHeight="1" s="80">
      <c r="A36" s="112" t="n"/>
      <c r="B36" s="112" t="n"/>
      <c r="C36" s="112" t="n"/>
      <c r="D36" s="112" t="n"/>
      <c r="E36" s="112" t="n"/>
      <c r="F36" s="112" t="n"/>
      <c r="G36" s="112" t="n"/>
    </row>
    <row r="37" ht="15" customHeight="1" s="80">
      <c r="A37" s="112" t="n"/>
      <c r="B37" s="112" t="n"/>
      <c r="C37" s="112" t="n"/>
      <c r="D37" s="112" t="n"/>
      <c r="E37" s="112" t="n"/>
      <c r="F37" s="112" t="n"/>
      <c r="G37" s="112" t="n"/>
    </row>
    <row r="38" ht="15" customHeight="1" s="80">
      <c r="A38" s="112" t="n"/>
      <c r="B38" s="112" t="n"/>
      <c r="C38" s="112" t="n"/>
      <c r="D38" s="112" t="n"/>
      <c r="E38" s="112" t="n"/>
      <c r="F38" s="112" t="n"/>
      <c r="G38" s="112" t="n"/>
    </row>
    <row r="39" ht="15" customHeight="1" s="80">
      <c r="A39" s="112" t="n"/>
      <c r="B39" s="112" t="n"/>
      <c r="C39" s="112" t="n"/>
      <c r="D39" s="112" t="n"/>
      <c r="E39" s="112" t="n"/>
      <c r="F39" s="112" t="n"/>
      <c r="G39" s="112" t="n"/>
    </row>
    <row r="40" ht="15" customHeight="1" s="80">
      <c r="A40" s="112" t="n"/>
      <c r="B40" s="112" t="n"/>
      <c r="C40" s="112" t="n"/>
      <c r="D40" s="112" t="n"/>
      <c r="E40" s="112" t="n"/>
      <c r="F40" s="112" t="n"/>
      <c r="G40" s="112" t="n"/>
    </row>
    <row r="41" ht="15" customHeight="1" s="80">
      <c r="A41" s="112" t="n"/>
      <c r="B41" s="112" t="n"/>
      <c r="C41" s="112" t="n"/>
      <c r="D41" s="112" t="n"/>
      <c r="E41" s="112" t="n"/>
      <c r="F41" s="112" t="n"/>
      <c r="G41" s="112" t="n"/>
    </row>
    <row r="42" ht="15" customHeight="1" s="80">
      <c r="A42" s="112" t="n"/>
      <c r="B42" s="112" t="n"/>
      <c r="C42" s="112" t="n"/>
      <c r="D42" s="112" t="n"/>
      <c r="E42" s="112" t="n"/>
      <c r="F42" s="112" t="n"/>
      <c r="G42" s="112" t="n"/>
    </row>
    <row r="43" ht="15" customHeight="1" s="80">
      <c r="A43" s="112" t="n"/>
      <c r="B43" s="112" t="n"/>
      <c r="C43" s="112" t="n"/>
      <c r="D43" s="112" t="n"/>
      <c r="E43" s="112" t="n"/>
      <c r="F43" s="112" t="n"/>
      <c r="G43" s="112" t="n"/>
    </row>
    <row r="44" ht="15" customHeight="1" s="80">
      <c r="A44" s="112" t="n"/>
      <c r="B44" s="112" t="n"/>
      <c r="C44" s="112" t="n"/>
      <c r="D44" s="112" t="n"/>
      <c r="E44" s="112" t="n"/>
      <c r="F44" s="112" t="n"/>
      <c r="G44" s="112" t="n"/>
    </row>
    <row r="45" ht="15" customHeight="1" s="80">
      <c r="A45" s="112" t="n"/>
      <c r="B45" s="112" t="n"/>
      <c r="C45" s="112" t="n"/>
      <c r="D45" s="112" t="n"/>
      <c r="E45" s="112" t="n"/>
      <c r="F45" s="112" t="n"/>
      <c r="G45" s="112" t="n"/>
    </row>
    <row r="46" ht="15" customHeight="1" s="80">
      <c r="A46" s="112" t="n"/>
      <c r="B46" s="112" t="n"/>
      <c r="C46" s="112" t="n"/>
      <c r="D46" s="112" t="n"/>
      <c r="E46" s="112" t="n"/>
      <c r="F46" s="112" t="n"/>
      <c r="G46" s="112" t="n"/>
    </row>
    <row r="47" ht="15" customHeight="1" s="80">
      <c r="A47" s="112" t="n"/>
      <c r="B47" s="112" t="n"/>
      <c r="C47" s="112" t="n"/>
      <c r="D47" s="112" t="n"/>
      <c r="E47" s="112" t="n"/>
      <c r="F47" s="112" t="n"/>
      <c r="G47" s="112" t="n"/>
    </row>
    <row r="48" ht="15" customHeight="1" s="80">
      <c r="A48" s="112" t="n"/>
      <c r="B48" s="112" t="n"/>
      <c r="C48" s="112" t="n"/>
      <c r="D48" s="112" t="n"/>
      <c r="E48" s="112" t="n"/>
      <c r="F48" s="112" t="n"/>
      <c r="G48" s="112" t="n"/>
    </row>
    <row r="49" ht="15" customHeight="1" s="80">
      <c r="A49" s="112" t="n"/>
      <c r="B49" s="112" t="n"/>
      <c r="C49" s="112" t="n"/>
      <c r="D49" s="112" t="n"/>
      <c r="E49" s="112" t="n"/>
      <c r="F49" s="112" t="n"/>
      <c r="G49" s="112" t="n"/>
    </row>
    <row r="50" ht="15" customHeight="1" s="80">
      <c r="A50" s="112" t="n"/>
      <c r="B50" s="112" t="n"/>
      <c r="C50" s="112" t="n"/>
      <c r="D50" s="112" t="n"/>
      <c r="E50" s="112" t="n"/>
      <c r="F50" s="112" t="n"/>
      <c r="G50" s="112" t="n"/>
    </row>
    <row r="51" ht="15" customHeight="1" s="80">
      <c r="A51" s="112" t="n"/>
      <c r="B51" s="112" t="n"/>
      <c r="C51" s="112" t="n"/>
      <c r="D51" s="112" t="n"/>
      <c r="E51" s="112" t="n"/>
      <c r="F51" s="112" t="n"/>
      <c r="G51" s="112" t="n"/>
    </row>
    <row r="52" ht="15" customHeight="1" s="80">
      <c r="A52" s="112" t="n"/>
      <c r="B52" s="112" t="n"/>
      <c r="C52" s="112" t="n"/>
      <c r="D52" s="112" t="n"/>
      <c r="E52" s="112" t="n"/>
      <c r="F52" s="112" t="n"/>
      <c r="G52" s="112" t="n"/>
    </row>
    <row r="53" ht="15" customHeight="1" s="80">
      <c r="A53" s="112" t="n"/>
      <c r="B53" s="112" t="n"/>
      <c r="C53" s="112" t="n"/>
      <c r="D53" s="112" t="n"/>
      <c r="E53" s="112" t="n"/>
      <c r="F53" s="112" t="n"/>
      <c r="G53" s="112" t="n"/>
    </row>
    <row r="54" ht="15" customHeight="1" s="80">
      <c r="A54" s="112" t="n"/>
      <c r="B54" s="112" t="n"/>
      <c r="C54" s="112" t="n"/>
      <c r="D54" s="112" t="n"/>
      <c r="E54" s="112" t="n"/>
      <c r="F54" s="112" t="n"/>
      <c r="G54" s="112" t="n"/>
    </row>
    <row r="55" ht="15" customHeight="1" s="80">
      <c r="A55" s="112" t="n"/>
      <c r="B55" s="112" t="n"/>
      <c r="C55" s="112" t="n"/>
      <c r="D55" s="112" t="n"/>
      <c r="E55" s="112" t="n"/>
      <c r="F55" s="112" t="n"/>
      <c r="G55" s="112" t="n"/>
    </row>
    <row r="56" ht="15" customHeight="1" s="80">
      <c r="A56" s="112" t="n"/>
      <c r="B56" s="112" t="n"/>
      <c r="C56" s="112" t="n"/>
      <c r="D56" s="112" t="n"/>
      <c r="E56" s="112" t="n"/>
      <c r="F56" s="112" t="n"/>
      <c r="G56" s="112" t="n"/>
    </row>
    <row r="57" ht="15" customHeight="1" s="80">
      <c r="A57" s="112" t="n"/>
      <c r="B57" s="112" t="n"/>
      <c r="C57" s="112" t="n"/>
      <c r="D57" s="112" t="n"/>
      <c r="E57" s="112" t="n"/>
      <c r="F57" s="112" t="n"/>
      <c r="G57" s="112" t="n"/>
    </row>
    <row r="58" ht="15" customHeight="1" s="80">
      <c r="A58" s="112" t="n"/>
      <c r="B58" s="112" t="n"/>
      <c r="C58" s="112" t="n"/>
      <c r="D58" s="112" t="n"/>
      <c r="E58" s="112" t="n"/>
      <c r="F58" s="112" t="n"/>
      <c r="G58" s="112" t="n"/>
    </row>
    <row r="59" ht="15" customHeight="1" s="80">
      <c r="A59" s="112" t="n"/>
      <c r="B59" s="112" t="n"/>
      <c r="C59" s="112" t="n"/>
      <c r="D59" s="112" t="n"/>
      <c r="E59" s="112" t="n"/>
      <c r="F59" s="112" t="n"/>
      <c r="G59" s="112" t="n"/>
    </row>
    <row r="60" ht="15" customHeight="1" s="80">
      <c r="A60" s="112" t="n"/>
      <c r="B60" s="112" t="n"/>
      <c r="C60" s="112" t="n"/>
      <c r="D60" s="112" t="n"/>
      <c r="E60" s="112" t="n"/>
      <c r="F60" s="112" t="n"/>
      <c r="G60" s="1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H6:H1000">
    <cfRule type="cellIs" rank="0" priority="2" equalAverage="0" operator="equal" aboveAverage="0" dxfId="7" text="" percent="0" bottom="0">
      <formula>"TAM"</formula>
    </cfRule>
    <cfRule type="cellIs" rank="0" priority="3" equalAverage="0" operator="equal" aboveAverage="0" dxfId="8" text="" percent="0" bottom="0">
      <formula>"EKSİK"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5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106" min="1" max="1"/>
    <col width="12" customWidth="1" style="106" min="2" max="2"/>
    <col width="11" customWidth="1" style="106" min="3" max="4"/>
    <col width="22" customWidth="1" style="106" min="5" max="5"/>
    <col width="16" customWidth="1" style="106" min="6" max="6"/>
    <col width="14" customWidth="1" style="106" min="7" max="7"/>
    <col width="18" customWidth="1" style="106" min="8" max="9"/>
    <col width="12" customWidth="1" style="106" min="10" max="10"/>
    <col width="26" customWidth="1" style="106" min="11" max="11"/>
    <col width="9" customWidth="1" style="106" min="12" max="12"/>
    <col width="8" customWidth="1" style="106" min="13" max="13"/>
    <col width="12" customWidth="1" style="106" min="14" max="14"/>
    <col width="14" customWidth="1" style="106" min="15" max="15"/>
    <col width="12" customWidth="1" style="106" min="16" max="18"/>
    <col width="15" customWidth="1" style="106" min="19" max="19"/>
    <col width="14" customWidth="1" style="106" min="20" max="20"/>
    <col width="15" customWidth="1" style="106" min="21" max="21"/>
    <col width="18" customWidth="1" style="106" min="22" max="22"/>
    <col width="12" customWidth="1" style="106" min="23" max="23"/>
    <col width="14" customWidth="1" style="106" min="24" max="24"/>
    <col width="13" customWidth="1" style="106" min="25" max="26"/>
    <col width="14" customWidth="1" style="106" min="27" max="27"/>
    <col width="12" customWidth="1" style="106" min="28" max="28"/>
  </cols>
  <sheetData>
    <row r="1" ht="25.5" customHeight="1" s="80">
      <c r="A1" s="107" t="inlineStr">
        <is>
          <t>GELIR GIDER KAYIT — GÜNLÜK GELİR–GİDER VE GERÇEK KÂRLILIK SİSTEMİ</t>
        </is>
      </c>
    </row>
    <row r="2" ht="19.5" customHeight="1" s="80">
      <c r="A2" s="108" t="inlineStr">
        <is>
          <t>Tüm gelir ve giderleri buraya girin. Tutar daima pozitif yazılır; İşlem Türü yönü belirler. Nakit Etkisi ve Kârlılık Etkisi otomatik hesaplanır. Ortak Çekişi, Kredi Anapara ve Yatırım kârlılığı ETKİLEMEZ; yalnızca nakdi etkiler.</t>
        </is>
      </c>
    </row>
    <row r="5" ht="30" customHeight="1" s="80">
      <c r="A5" s="109" t="inlineStr">
        <is>
          <t>Kayıt ID</t>
        </is>
      </c>
      <c r="B5" s="109" t="inlineStr">
        <is>
          <t>Tarih</t>
        </is>
      </c>
      <c r="C5" s="109" t="inlineStr">
        <is>
          <t>Belge Numarası</t>
        </is>
      </c>
      <c r="D5" s="109" t="inlineStr">
        <is>
          <t>İşlem Türü</t>
        </is>
      </c>
      <c r="E5" s="109" t="inlineStr">
        <is>
          <t>Ana Sınıf</t>
        </is>
      </c>
      <c r="F5" s="109" t="inlineStr">
        <is>
          <t>Kategori</t>
        </is>
      </c>
      <c r="G5" s="109" t="inlineStr">
        <is>
          <t>Alt Kategori</t>
        </is>
      </c>
      <c r="H5" s="109" t="inlineStr">
        <is>
          <t>Cari</t>
        </is>
      </c>
      <c r="I5" s="109" t="inlineStr">
        <is>
          <t>Ürün/Hizmet</t>
        </is>
      </c>
      <c r="J5" s="109" t="inlineStr">
        <is>
          <t>Proje</t>
        </is>
      </c>
      <c r="K5" s="109" t="inlineStr">
        <is>
          <t>Açıklama</t>
        </is>
      </c>
      <c r="L5" s="109" t="inlineStr">
        <is>
          <t>Miktar</t>
        </is>
      </c>
      <c r="M5" s="109" t="inlineStr">
        <is>
          <t>Birim</t>
        </is>
      </c>
      <c r="N5" s="109" t="inlineStr">
        <is>
          <t>Birim Fiyat</t>
        </is>
      </c>
      <c r="O5" s="109" t="inlineStr">
        <is>
          <t>Tutar</t>
        </is>
      </c>
      <c r="P5" s="109" t="inlineStr">
        <is>
          <t>KDV İşareti</t>
        </is>
      </c>
      <c r="Q5" s="109" t="inlineStr">
        <is>
          <t>Tahakkuk Tarihi</t>
        </is>
      </c>
      <c r="R5" s="109" t="inlineStr">
        <is>
          <t>Nakit Tarihi</t>
        </is>
      </c>
      <c r="S5" s="109" t="inlineStr">
        <is>
          <t>Nakit Gerçekleşti mi?</t>
        </is>
      </c>
      <c r="T5" s="109" t="inlineStr">
        <is>
          <t>Sabit/Değişken</t>
        </is>
      </c>
      <c r="U5" s="109" t="inlineStr">
        <is>
          <t>Doğrudan/Dolaylı</t>
        </is>
      </c>
      <c r="V5" s="109" t="inlineStr">
        <is>
          <t>Tekrarlayan/Tek Seferlik</t>
        </is>
      </c>
      <c r="W5" s="109" t="inlineStr">
        <is>
          <t>Ortak İşlemi</t>
        </is>
      </c>
      <c r="X5" s="109" t="inlineStr">
        <is>
          <t>Finansman İşlemi</t>
        </is>
      </c>
      <c r="Y5" s="109" t="inlineStr">
        <is>
          <t>Yatırım İşlemi</t>
        </is>
      </c>
      <c r="Z5" s="109" t="inlineStr">
        <is>
          <t>Nakit Etkisi</t>
        </is>
      </c>
      <c r="AA5" s="109" t="inlineStr">
        <is>
          <t>Kârlılık Etkisi</t>
        </is>
      </c>
      <c r="AB5" s="109" t="inlineStr">
        <is>
          <t>Kontrol</t>
        </is>
      </c>
    </row>
    <row r="6" ht="16.5" customHeight="1" s="80">
      <c r="A6" s="113">
        <f>IF($B6="","",ROW()-BaslangicSatir)</f>
        <v/>
      </c>
      <c r="B6" s="114" t="n">
        <v>46144</v>
      </c>
      <c r="C6" s="110" t="inlineStr">
        <is>
          <t>SAT-001</t>
        </is>
      </c>
      <c r="D6" s="110" t="inlineStr">
        <is>
          <t>GELİR</t>
        </is>
      </c>
      <c r="E6" s="110" t="inlineStr">
        <is>
          <t>SATIŞ</t>
        </is>
      </c>
      <c r="F6" s="110" t="inlineStr">
        <is>
          <t>TİCARİ MAL</t>
        </is>
      </c>
      <c r="G6" s="110" t="inlineStr">
        <is>
          <t>TEMEL GIDA</t>
        </is>
      </c>
      <c r="H6" s="110" t="inlineStr">
        <is>
          <t>Yıldız Market</t>
        </is>
      </c>
      <c r="I6" s="110" t="inlineStr">
        <is>
          <t>Ayçiçek Yağı 5L</t>
        </is>
      </c>
      <c r="J6" s="110" t="inlineStr">
        <is>
          <t>BÖLGESEL SATIŞ</t>
        </is>
      </c>
      <c r="K6" s="110" t="inlineStr">
        <is>
          <t>Toptan satış</t>
        </is>
      </c>
      <c r="L6" s="115" t="n">
        <v>1000</v>
      </c>
      <c r="M6" s="110" t="inlineStr">
        <is>
          <t>ADET</t>
        </is>
      </c>
      <c r="N6" s="115" t="n">
        <v>150</v>
      </c>
      <c r="O6" s="116" t="n">
        <v>150000</v>
      </c>
      <c r="P6" s="110" t="inlineStr">
        <is>
          <t>HARİÇ</t>
        </is>
      </c>
      <c r="Q6" s="114" t="n">
        <v>46144</v>
      </c>
      <c r="R6" s="114" t="n">
        <v>46193</v>
      </c>
      <c r="S6" s="110" t="inlineStr">
        <is>
          <t>HAYIR</t>
        </is>
      </c>
      <c r="T6" s="110" t="inlineStr">
        <is>
          <t>DEĞİŞKEN</t>
        </is>
      </c>
      <c r="U6" s="110" t="inlineStr">
        <is>
          <t>DOĞRUDAN</t>
        </is>
      </c>
      <c r="V6" s="110" t="inlineStr">
        <is>
          <t>TEKRARLAYAN</t>
        </is>
      </c>
      <c r="W6" s="110" t="inlineStr">
        <is>
          <t>HAYIR</t>
        </is>
      </c>
      <c r="X6" s="110" t="inlineStr">
        <is>
          <t>HAYIR</t>
        </is>
      </c>
      <c r="Y6" s="110" t="inlineStr">
        <is>
          <t>HAYIR</t>
        </is>
      </c>
      <c r="Z6" s="117">
        <f>IF($B6="",0,IF($S6="EVET",IF($D6="GELİR",$O6,-$O6),0))</f>
        <v/>
      </c>
      <c r="AA6" s="118">
        <f>IF($B6="",0,IF(OR($W6="EVET",$X6="EVET",$Y6="EVET"),0,IF($D6="GELİR",IF($E6="SATIŞ İADESİ/İSKONTO",-$O6,$O6),-$O6)))</f>
        <v/>
      </c>
      <c r="AB6" s="117">
        <f>IF($B6="","",IF(OR($D6="",$E6="",$O6=""),"EKSİK",IF($O6&lt;=0,"SIFIR/NEGATİF",IF(COUNTIFS($C$6:$C$5000,$C6,$O$6:$O$5000,$O6,$B$6:$B$5000,$B6)&gt;1,"MÜKERRER","OK"))))</f>
        <v/>
      </c>
    </row>
    <row r="7" ht="16.5" customHeight="1" s="80">
      <c r="A7" s="113">
        <f>IF($B7="","",ROW()-BaslangicSatir)</f>
        <v/>
      </c>
      <c r="B7" s="114" t="n">
        <v>46145</v>
      </c>
      <c r="C7" s="110" t="inlineStr">
        <is>
          <t>AL-001</t>
        </is>
      </c>
      <c r="D7" s="110" t="inlineStr">
        <is>
          <t>GİDER</t>
        </is>
      </c>
      <c r="E7" s="110" t="inlineStr">
        <is>
          <t>SATIŞLARIN MALİYETİ</t>
        </is>
      </c>
      <c r="F7" s="110" t="inlineStr">
        <is>
          <t>HAMMADDE</t>
        </is>
      </c>
      <c r="G7" s="110" t="inlineStr">
        <is>
          <t>HUBUBAT</t>
        </is>
      </c>
      <c r="H7" s="110" t="inlineStr">
        <is>
          <t>Tarım Ürünleri A.Ş.</t>
        </is>
      </c>
      <c r="I7" s="110" t="inlineStr">
        <is>
          <t>Ayçiçek Çekirdeği</t>
        </is>
      </c>
      <c r="J7" s="110" t="inlineStr">
        <is>
          <t>OPERASYON</t>
        </is>
      </c>
      <c r="K7" s="110" t="inlineStr">
        <is>
          <t>Hammadde alımı</t>
        </is>
      </c>
      <c r="L7" s="115" t="n">
        <v>3000</v>
      </c>
      <c r="M7" s="110" t="inlineStr">
        <is>
          <t>KG</t>
        </is>
      </c>
      <c r="N7" s="115" t="n">
        <v>30</v>
      </c>
      <c r="O7" s="116" t="n">
        <v>90000</v>
      </c>
      <c r="P7" s="110" t="inlineStr">
        <is>
          <t>HARİÇ</t>
        </is>
      </c>
      <c r="Q7" s="114" t="n">
        <v>46145</v>
      </c>
      <c r="R7" s="114" t="n">
        <v>46145</v>
      </c>
      <c r="S7" s="110" t="inlineStr">
        <is>
          <t>EVET</t>
        </is>
      </c>
      <c r="T7" s="110" t="inlineStr">
        <is>
          <t>DEĞİŞKEN</t>
        </is>
      </c>
      <c r="U7" s="110" t="inlineStr">
        <is>
          <t>DOĞRUDAN</t>
        </is>
      </c>
      <c r="V7" s="110" t="inlineStr">
        <is>
          <t>TEKRARLAYAN</t>
        </is>
      </c>
      <c r="W7" s="110" t="inlineStr">
        <is>
          <t>HAYIR</t>
        </is>
      </c>
      <c r="X7" s="110" t="inlineStr">
        <is>
          <t>HAYIR</t>
        </is>
      </c>
      <c r="Y7" s="110" t="inlineStr">
        <is>
          <t>HAYIR</t>
        </is>
      </c>
      <c r="Z7" s="117">
        <f>IF($B7="",0,IF($S7="EVET",IF($D7="GELİR",$O7,-$O7),0))</f>
        <v/>
      </c>
      <c r="AA7" s="117">
        <f>IF($B7="",0,IF(OR($W7="EVET",$X7="EVET",$Y7="EVET"),0,IF($D7="GELİR",IF($E7="SATIŞ İADESİ/İSKONTO",-$O7,$O7),-$O7)))</f>
        <v/>
      </c>
      <c r="AB7" s="117">
        <f>IF($B7="","",IF(OR($D7="",$E7="",$O7=""),"EKSİK",IF($O7&lt;=0,"SIFIR/NEGATİF",IF(COUNTIFS($C$6:$C$5000,$C7,$O$6:$O$5000,$O7,$B$6:$B$5000,$B7)&gt;1,"MÜKERRER","OK"))))</f>
        <v/>
      </c>
    </row>
    <row r="8" ht="16.5" customHeight="1" s="80">
      <c r="A8" s="113">
        <f>IF($B8="","",ROW()-BaslangicSatir)</f>
        <v/>
      </c>
      <c r="B8" s="114" t="n">
        <v>46147</v>
      </c>
      <c r="C8" s="110" t="inlineStr">
        <is>
          <t>SAT-002</t>
        </is>
      </c>
      <c r="D8" s="110" t="inlineStr">
        <is>
          <t>GELİR</t>
        </is>
      </c>
      <c r="E8" s="110" t="inlineStr">
        <is>
          <t>SATIŞ</t>
        </is>
      </c>
      <c r="F8" s="110" t="inlineStr">
        <is>
          <t>TİCARİ MAL</t>
        </is>
      </c>
      <c r="G8" s="110" t="inlineStr">
        <is>
          <t>TEMEL GIDA</t>
        </is>
      </c>
      <c r="H8" s="110" t="inlineStr">
        <is>
          <t>Can Bakkaliye</t>
        </is>
      </c>
      <c r="I8" s="110" t="inlineStr">
        <is>
          <t>Bulgur 50kg</t>
        </is>
      </c>
      <c r="J8" s="110" t="inlineStr">
        <is>
          <t>BÖLGESEL SATIŞ</t>
        </is>
      </c>
      <c r="K8" s="110" t="inlineStr">
        <is>
          <t>Toptan satış</t>
        </is>
      </c>
      <c r="L8" s="115" t="n">
        <v>400</v>
      </c>
      <c r="M8" s="110" t="inlineStr">
        <is>
          <t>ADET</t>
        </is>
      </c>
      <c r="N8" s="115" t="n">
        <v>100</v>
      </c>
      <c r="O8" s="116" t="n">
        <v>40000</v>
      </c>
      <c r="P8" s="110" t="inlineStr">
        <is>
          <t>HARİÇ</t>
        </is>
      </c>
      <c r="Q8" s="114" t="n">
        <v>46147</v>
      </c>
      <c r="R8" s="114" t="n">
        <v>46167</v>
      </c>
      <c r="S8" s="110" t="inlineStr">
        <is>
          <t>EVET</t>
        </is>
      </c>
      <c r="T8" s="110" t="inlineStr">
        <is>
          <t>DEĞİŞKEN</t>
        </is>
      </c>
      <c r="U8" s="110" t="inlineStr">
        <is>
          <t>DOĞRUDAN</t>
        </is>
      </c>
      <c r="V8" s="110" t="inlineStr">
        <is>
          <t>TEKRARLAYAN</t>
        </is>
      </c>
      <c r="W8" s="110" t="inlineStr">
        <is>
          <t>HAYIR</t>
        </is>
      </c>
      <c r="X8" s="110" t="inlineStr">
        <is>
          <t>HAYIR</t>
        </is>
      </c>
      <c r="Y8" s="110" t="inlineStr">
        <is>
          <t>HAYIR</t>
        </is>
      </c>
      <c r="Z8" s="118">
        <f>IF($B8="",0,IF($S8="EVET",IF($D8="GELİR",$O8,-$O8),0))</f>
        <v/>
      </c>
      <c r="AA8" s="118">
        <f>IF($B8="",0,IF(OR($W8="EVET",$X8="EVET",$Y8="EVET"),0,IF($D8="GELİR",IF($E8="SATIŞ İADESİ/İSKONTO",-$O8,$O8),-$O8)))</f>
        <v/>
      </c>
      <c r="AB8" s="117">
        <f>IF($B8="","",IF(OR($D8="",$E8="",$O8=""),"EKSİK",IF($O8&lt;=0,"SIFIR/NEGATİF",IF(COUNTIFS($C$6:$C$5000,$C8,$O$6:$O$5000,$O8,$B$6:$B$5000,$B8)&gt;1,"MÜKERRER","OK"))))</f>
        <v/>
      </c>
    </row>
    <row r="9" ht="16.5" customHeight="1" s="80">
      <c r="A9" s="113">
        <f>IF($B9="","",ROW()-BaslangicSatir)</f>
        <v/>
      </c>
      <c r="B9" s="114" t="n">
        <v>46147</v>
      </c>
      <c r="C9" s="110" t="inlineStr">
        <is>
          <t>KIR-001</t>
        </is>
      </c>
      <c r="D9" s="110" t="inlineStr">
        <is>
          <t>GİDER</t>
        </is>
      </c>
      <c r="E9" s="110" t="inlineStr">
        <is>
          <t>KİRA</t>
        </is>
      </c>
      <c r="F9" s="110" t="inlineStr">
        <is>
          <t>OFİS</t>
        </is>
      </c>
      <c r="G9" s="110" t="inlineStr">
        <is>
          <t>DESTEK GİDERİ</t>
        </is>
      </c>
      <c r="H9" s="110" t="inlineStr">
        <is>
          <t>Depo Sahibi</t>
        </is>
      </c>
      <c r="I9" s="110" t="n"/>
      <c r="J9" s="110" t="inlineStr">
        <is>
          <t>OPERASYON</t>
        </is>
      </c>
      <c r="K9" s="110" t="inlineStr">
        <is>
          <t>Depo ve ofis kirası</t>
        </is>
      </c>
      <c r="L9" s="115" t="n">
        <v>1</v>
      </c>
      <c r="M9" s="110" t="inlineStr">
        <is>
          <t>AY</t>
        </is>
      </c>
      <c r="N9" s="115" t="n">
        <v>25000</v>
      </c>
      <c r="O9" s="116" t="n">
        <v>25000</v>
      </c>
      <c r="P9" s="110" t="inlineStr">
        <is>
          <t>DAHİL</t>
        </is>
      </c>
      <c r="Q9" s="114" t="n">
        <v>46147</v>
      </c>
      <c r="R9" s="114" t="n">
        <v>46147</v>
      </c>
      <c r="S9" s="110" t="inlineStr">
        <is>
          <t>EVET</t>
        </is>
      </c>
      <c r="T9" s="110" t="inlineStr">
        <is>
          <t>SABİT</t>
        </is>
      </c>
      <c r="U9" s="110" t="inlineStr">
        <is>
          <t>DOLAYLI</t>
        </is>
      </c>
      <c r="V9" s="110" t="inlineStr">
        <is>
          <t>TEKRARLAYAN</t>
        </is>
      </c>
      <c r="W9" s="110" t="inlineStr">
        <is>
          <t>HAYIR</t>
        </is>
      </c>
      <c r="X9" s="110" t="inlineStr">
        <is>
          <t>HAYIR</t>
        </is>
      </c>
      <c r="Y9" s="110" t="inlineStr">
        <is>
          <t>HAYIR</t>
        </is>
      </c>
      <c r="Z9" s="117">
        <f>IF($B9="",0,IF($S9="EVET",IF($D9="GELİR",$O9,-$O9),0))</f>
        <v/>
      </c>
      <c r="AA9" s="117">
        <f>IF($B9="",0,IF(OR($W9="EVET",$X9="EVET",$Y9="EVET"),0,IF($D9="GELİR",IF($E9="SATIŞ İADESİ/İSKONTO",-$O9,$O9),-$O9)))</f>
        <v/>
      </c>
      <c r="AB9" s="117">
        <f>IF($B9="","",IF(OR($D9="",$E9="",$O9=""),"EKSİK",IF($O9&lt;=0,"SIFIR/NEGATİF",IF(COUNTIFS($C$6:$C$5000,$C9,$O$6:$O$5000,$O9,$B$6:$B$5000,$B9)&gt;1,"MÜKERRER","OK"))))</f>
        <v/>
      </c>
    </row>
    <row r="10" ht="16.5" customHeight="1" s="80">
      <c r="A10" s="113">
        <f>IF($B10="","",ROW()-BaslangicSatir)</f>
        <v/>
      </c>
      <c r="B10" s="114" t="n">
        <v>46147</v>
      </c>
      <c r="C10" s="110" t="inlineStr">
        <is>
          <t>FIN-001</t>
        </is>
      </c>
      <c r="D10" s="110" t="inlineStr">
        <is>
          <t>GİDER</t>
        </is>
      </c>
      <c r="E10" s="110" t="inlineStr">
        <is>
          <t>FİNANSMAN GİDERİ</t>
        </is>
      </c>
      <c r="F10" s="110" t="inlineStr">
        <is>
          <t>KOMİSYON</t>
        </is>
      </c>
      <c r="G10" s="110" t="inlineStr">
        <is>
          <t>BANKA HİZMETİ</t>
        </is>
      </c>
      <c r="H10" s="110" t="inlineStr">
        <is>
          <t>ABC Bankası</t>
        </is>
      </c>
      <c r="I10" s="110" t="n"/>
      <c r="J10" s="110" t="inlineStr">
        <is>
          <t>OPERASYON</t>
        </is>
      </c>
      <c r="K10" s="110" t="inlineStr">
        <is>
          <t>Kredi faizi</t>
        </is>
      </c>
      <c r="L10" s="115" t="n">
        <v>1</v>
      </c>
      <c r="M10" s="110" t="inlineStr">
        <is>
          <t>AY</t>
        </is>
      </c>
      <c r="N10" s="115" t="n">
        <v>6000</v>
      </c>
      <c r="O10" s="116" t="n">
        <v>6000</v>
      </c>
      <c r="P10" s="110" t="inlineStr">
        <is>
          <t>DAHİL</t>
        </is>
      </c>
      <c r="Q10" s="114" t="n">
        <v>46147</v>
      </c>
      <c r="R10" s="114" t="n">
        <v>46147</v>
      </c>
      <c r="S10" s="110" t="inlineStr">
        <is>
          <t>EVET</t>
        </is>
      </c>
      <c r="T10" s="110" t="inlineStr">
        <is>
          <t>SABİT</t>
        </is>
      </c>
      <c r="U10" s="110" t="inlineStr">
        <is>
          <t>DOLAYLI</t>
        </is>
      </c>
      <c r="V10" s="110" t="inlineStr">
        <is>
          <t>TEKRARLAYAN</t>
        </is>
      </c>
      <c r="W10" s="110" t="inlineStr">
        <is>
          <t>HAYIR</t>
        </is>
      </c>
      <c r="X10" s="110" t="inlineStr">
        <is>
          <t>HAYIR</t>
        </is>
      </c>
      <c r="Y10" s="110" t="inlineStr">
        <is>
          <t>HAYIR</t>
        </is>
      </c>
      <c r="Z10" s="117">
        <f>IF($B10="",0,IF($S10="EVET",IF($D10="GELİR",$O10,-$O10),0))</f>
        <v/>
      </c>
      <c r="AA10" s="117">
        <f>IF($B10="",0,IF(OR($W10="EVET",$X10="EVET",$Y10="EVET"),0,IF($D10="GELİR",IF($E10="SATIŞ İADESİ/İSKONTO",-$O10,$O10),-$O10)))</f>
        <v/>
      </c>
      <c r="AB10" s="117">
        <f>IF($B10="","",IF(OR($D10="",$E10="",$O10=""),"EKSİK",IF($O10&lt;=0,"SIFIR/NEGATİF",IF(COUNTIFS($C$6:$C$5000,$C10,$O$6:$O$5000,$O10,$B$6:$B$5000,$B10)&gt;1,"MÜKERRER","OK"))))</f>
        <v/>
      </c>
    </row>
    <row r="11" ht="16.5" customHeight="1" s="80">
      <c r="A11" s="113">
        <f>IF($B11="","",ROW()-BaslangicSatir)</f>
        <v/>
      </c>
      <c r="B11" s="114" t="n">
        <v>46152</v>
      </c>
      <c r="C11" s="110" t="inlineStr">
        <is>
          <t>AL-002</t>
        </is>
      </c>
      <c r="D11" s="110" t="inlineStr">
        <is>
          <t>GİDER</t>
        </is>
      </c>
      <c r="E11" s="110" t="inlineStr">
        <is>
          <t>SATIŞLARIN MALİYETİ</t>
        </is>
      </c>
      <c r="F11" s="110" t="inlineStr">
        <is>
          <t>HAMMADDE</t>
        </is>
      </c>
      <c r="G11" s="110" t="inlineStr">
        <is>
          <t>HUBUBAT</t>
        </is>
      </c>
      <c r="H11" s="110" t="inlineStr">
        <is>
          <t>Tarım Ürünleri A.Ş.</t>
        </is>
      </c>
      <c r="I11" s="110" t="inlineStr">
        <is>
          <t>Bulgur Buğdayı</t>
        </is>
      </c>
      <c r="J11" s="110" t="inlineStr">
        <is>
          <t>OPERASYON</t>
        </is>
      </c>
      <c r="K11" s="110" t="inlineStr">
        <is>
          <t>Hammadde alımı</t>
        </is>
      </c>
      <c r="L11" s="115" t="n">
        <v>2000</v>
      </c>
      <c r="M11" s="110" t="inlineStr">
        <is>
          <t>KG</t>
        </is>
      </c>
      <c r="N11" s="115" t="n">
        <v>25</v>
      </c>
      <c r="O11" s="116" t="n">
        <v>50000</v>
      </c>
      <c r="P11" s="110" t="inlineStr">
        <is>
          <t>HARİÇ</t>
        </is>
      </c>
      <c r="Q11" s="114" t="n">
        <v>46152</v>
      </c>
      <c r="R11" s="114" t="n">
        <v>46193</v>
      </c>
      <c r="S11" s="110" t="inlineStr">
        <is>
          <t>HAYIR</t>
        </is>
      </c>
      <c r="T11" s="110" t="inlineStr">
        <is>
          <t>DEĞİŞKEN</t>
        </is>
      </c>
      <c r="U11" s="110" t="inlineStr">
        <is>
          <t>DOĞRUDAN</t>
        </is>
      </c>
      <c r="V11" s="110" t="inlineStr">
        <is>
          <t>TEKRARLAYAN</t>
        </is>
      </c>
      <c r="W11" s="110" t="inlineStr">
        <is>
          <t>HAYIR</t>
        </is>
      </c>
      <c r="X11" s="110" t="inlineStr">
        <is>
          <t>HAYIR</t>
        </is>
      </c>
      <c r="Y11" s="110" t="inlineStr">
        <is>
          <t>HAYIR</t>
        </is>
      </c>
      <c r="Z11" s="117">
        <f>IF($B11="",0,IF($S11="EVET",IF($D11="GELİR",$O11,-$O11),0))</f>
        <v/>
      </c>
      <c r="AA11" s="117">
        <f>IF($B11="",0,IF(OR($W11="EVET",$X11="EVET",$Y11="EVET"),0,IF($D11="GELİR",IF($E11="SATIŞ İADESİ/İSKONTO",-$O11,$O11),-$O11)))</f>
        <v/>
      </c>
      <c r="AB11" s="117">
        <f>IF($B11="","",IF(OR($D11="",$E11="",$O11=""),"EKSİK",IF($O11&lt;=0,"SIFIR/NEGATİF",IF(COUNTIFS($C$6:$C$5000,$C11,$O$6:$O$5000,$O11,$B$6:$B$5000,$B11)&gt;1,"MÜKERRER","OK"))))</f>
        <v/>
      </c>
    </row>
    <row r="12" ht="16.5" customHeight="1" s="80">
      <c r="A12" s="113">
        <f>IF($B12="","",ROW()-BaslangicSatir)</f>
        <v/>
      </c>
      <c r="B12" s="114" t="n">
        <v>46154</v>
      </c>
      <c r="C12" s="110" t="inlineStr">
        <is>
          <t>SAT-003</t>
        </is>
      </c>
      <c r="D12" s="110" t="inlineStr">
        <is>
          <t>GELİR</t>
        </is>
      </c>
      <c r="E12" s="110" t="inlineStr">
        <is>
          <t>SATIŞ</t>
        </is>
      </c>
      <c r="F12" s="110" t="inlineStr">
        <is>
          <t>TİCARİ MAL</t>
        </is>
      </c>
      <c r="G12" s="110" t="inlineStr">
        <is>
          <t>TEMEL GIDA</t>
        </is>
      </c>
      <c r="H12" s="110" t="inlineStr">
        <is>
          <t>Mega Market</t>
        </is>
      </c>
      <c r="I12" s="110" t="inlineStr">
        <is>
          <t>Un 25kg</t>
        </is>
      </c>
      <c r="J12" s="110" t="inlineStr">
        <is>
          <t>BÖLGESEL SATIŞ</t>
        </is>
      </c>
      <c r="K12" s="110" t="inlineStr">
        <is>
          <t>Toptan satış</t>
        </is>
      </c>
      <c r="L12" s="115" t="n">
        <v>600</v>
      </c>
      <c r="M12" s="110" t="inlineStr">
        <is>
          <t>ADET</t>
        </is>
      </c>
      <c r="N12" s="115" t="n">
        <v>100</v>
      </c>
      <c r="O12" s="116" t="n">
        <v>60000</v>
      </c>
      <c r="P12" s="110" t="inlineStr">
        <is>
          <t>HARİÇ</t>
        </is>
      </c>
      <c r="Q12" s="114" t="n">
        <v>46154</v>
      </c>
      <c r="R12" s="114" t="n">
        <v>46203</v>
      </c>
      <c r="S12" s="110" t="inlineStr">
        <is>
          <t>HAYIR</t>
        </is>
      </c>
      <c r="T12" s="110" t="inlineStr">
        <is>
          <t>DEĞİŞKEN</t>
        </is>
      </c>
      <c r="U12" s="110" t="inlineStr">
        <is>
          <t>DOĞRUDAN</t>
        </is>
      </c>
      <c r="V12" s="110" t="inlineStr">
        <is>
          <t>TEKRARLAYAN</t>
        </is>
      </c>
      <c r="W12" s="110" t="inlineStr">
        <is>
          <t>HAYIR</t>
        </is>
      </c>
      <c r="X12" s="110" t="inlineStr">
        <is>
          <t>HAYIR</t>
        </is>
      </c>
      <c r="Y12" s="110" t="inlineStr">
        <is>
          <t>HAYIR</t>
        </is>
      </c>
      <c r="Z12" s="117">
        <f>IF($B12="",0,IF($S12="EVET",IF($D12="GELİR",$O12,-$O12),0))</f>
        <v/>
      </c>
      <c r="AA12" s="118">
        <f>IF($B12="",0,IF(OR($W12="EVET",$X12="EVET",$Y12="EVET"),0,IF($D12="GELİR",IF($E12="SATIŞ İADESİ/İSKONTO",-$O12,$O12),-$O12)))</f>
        <v/>
      </c>
      <c r="AB12" s="117">
        <f>IF($B12="","",IF(OR($D12="",$E12="",$O12=""),"EKSİK",IF($O12&lt;=0,"SIFIR/NEGATİF",IF(COUNTIFS($C$6:$C$5000,$C12,$O$6:$O$5000,$O12,$B$6:$B$5000,$B12)&gt;1,"MÜKERRER","OK"))))</f>
        <v/>
      </c>
    </row>
    <row r="13" ht="16.5" customHeight="1" s="80">
      <c r="A13" s="113">
        <f>IF($B13="","",ROW()-BaslangicSatir)</f>
        <v/>
      </c>
      <c r="B13" s="114" t="n">
        <v>46154</v>
      </c>
      <c r="C13" s="110" t="inlineStr">
        <is>
          <t>NAK-001</t>
        </is>
      </c>
      <c r="D13" s="110" t="inlineStr">
        <is>
          <t>GİDER</t>
        </is>
      </c>
      <c r="E13" s="110" t="inlineStr">
        <is>
          <t>DEĞİŞKEN GİDER</t>
        </is>
      </c>
      <c r="F13" s="110" t="inlineStr">
        <is>
          <t>NAKLİYE</t>
        </is>
      </c>
      <c r="G13" s="110" t="inlineStr">
        <is>
          <t>SEVKİYAT</t>
        </is>
      </c>
      <c r="H13" s="110" t="inlineStr">
        <is>
          <t>Nakliyeci Ali</t>
        </is>
      </c>
      <c r="I13" s="110" t="n"/>
      <c r="J13" s="110" t="inlineStr">
        <is>
          <t>OPERASYON</t>
        </is>
      </c>
      <c r="K13" s="110" t="inlineStr">
        <is>
          <t>Sevkiyat nakliyesi</t>
        </is>
      </c>
      <c r="L13" s="115" t="n">
        <v>1</v>
      </c>
      <c r="M13" s="110" t="inlineStr">
        <is>
          <t>GÜN</t>
        </is>
      </c>
      <c r="N13" s="115" t="n">
        <v>12000</v>
      </c>
      <c r="O13" s="116" t="n">
        <v>12000</v>
      </c>
      <c r="P13" s="110" t="inlineStr">
        <is>
          <t>DAHİL</t>
        </is>
      </c>
      <c r="Q13" s="114" t="n">
        <v>46154</v>
      </c>
      <c r="R13" s="114" t="n">
        <v>46154</v>
      </c>
      <c r="S13" s="110" t="inlineStr">
        <is>
          <t>EVET</t>
        </is>
      </c>
      <c r="T13" s="110" t="inlineStr">
        <is>
          <t>DEĞİŞKEN</t>
        </is>
      </c>
      <c r="U13" s="110" t="inlineStr">
        <is>
          <t>DOLAYLI</t>
        </is>
      </c>
      <c r="V13" s="110" t="inlineStr">
        <is>
          <t>TEKRARLAYAN</t>
        </is>
      </c>
      <c r="W13" s="110" t="inlineStr">
        <is>
          <t>HAYIR</t>
        </is>
      </c>
      <c r="X13" s="110" t="inlineStr">
        <is>
          <t>HAYIR</t>
        </is>
      </c>
      <c r="Y13" s="110" t="inlineStr">
        <is>
          <t>HAYIR</t>
        </is>
      </c>
      <c r="Z13" s="117">
        <f>IF($B13="",0,IF($S13="EVET",IF($D13="GELİR",$O13,-$O13),0))</f>
        <v/>
      </c>
      <c r="AA13" s="117">
        <f>IF($B13="",0,IF(OR($W13="EVET",$X13="EVET",$Y13="EVET"),0,IF($D13="GELİR",IF($E13="SATIŞ İADESİ/İSKONTO",-$O13,$O13),-$O13)))</f>
        <v/>
      </c>
      <c r="AB13" s="117">
        <f>IF($B13="","",IF(OR($D13="",$E13="",$O13=""),"EKSİK",IF($O13&lt;=0,"SIFIR/NEGATİF",IF(COUNTIFS($C$6:$C$5000,$C13,$O$6:$O$5000,$O13,$B$6:$B$5000,$B13)&gt;1,"MÜKERRER","OK"))))</f>
        <v/>
      </c>
    </row>
    <row r="14" ht="16.5" customHeight="1" s="80">
      <c r="A14" s="113">
        <f>IF($B14="","",ROW()-BaslangicSatir)</f>
        <v/>
      </c>
      <c r="B14" s="114" t="n">
        <v>46157</v>
      </c>
      <c r="C14" s="110" t="inlineStr">
        <is>
          <t>PAZ-001</t>
        </is>
      </c>
      <c r="D14" s="110" t="inlineStr">
        <is>
          <t>GİDER</t>
        </is>
      </c>
      <c r="E14" s="110" t="inlineStr">
        <is>
          <t>PAZARLAMA</t>
        </is>
      </c>
      <c r="F14" s="110" t="inlineStr">
        <is>
          <t>REKLAM</t>
        </is>
      </c>
      <c r="G14" s="110" t="inlineStr">
        <is>
          <t>DİJİTAL PAZARLAMA</t>
        </is>
      </c>
      <c r="H14" s="110" t="inlineStr">
        <is>
          <t>Medya Ajans</t>
        </is>
      </c>
      <c r="I14" s="110" t="n"/>
      <c r="J14" s="110" t="inlineStr">
        <is>
          <t>OPERASYON</t>
        </is>
      </c>
      <c r="K14" s="110" t="inlineStr">
        <is>
          <t>Sosyal medya reklamı</t>
        </is>
      </c>
      <c r="L14" s="115" t="n">
        <v>1</v>
      </c>
      <c r="M14" s="110" t="inlineStr">
        <is>
          <t>AY</t>
        </is>
      </c>
      <c r="N14" s="115" t="n">
        <v>8000</v>
      </c>
      <c r="O14" s="116" t="n">
        <v>8000</v>
      </c>
      <c r="P14" s="110" t="inlineStr">
        <is>
          <t>DAHİL</t>
        </is>
      </c>
      <c r="Q14" s="114" t="n">
        <v>46157</v>
      </c>
      <c r="R14" s="114" t="n">
        <v>46157</v>
      </c>
      <c r="S14" s="110" t="inlineStr">
        <is>
          <t>EVET</t>
        </is>
      </c>
      <c r="T14" s="110" t="inlineStr">
        <is>
          <t>SABİT</t>
        </is>
      </c>
      <c r="U14" s="110" t="inlineStr">
        <is>
          <t>DOLAYLI</t>
        </is>
      </c>
      <c r="V14" s="110" t="inlineStr">
        <is>
          <t>TEKRARLAYAN</t>
        </is>
      </c>
      <c r="W14" s="110" t="inlineStr">
        <is>
          <t>HAYIR</t>
        </is>
      </c>
      <c r="X14" s="110" t="inlineStr">
        <is>
          <t>HAYIR</t>
        </is>
      </c>
      <c r="Y14" s="110" t="inlineStr">
        <is>
          <t>HAYIR</t>
        </is>
      </c>
      <c r="Z14" s="117">
        <f>IF($B14="",0,IF($S14="EVET",IF($D14="GELİR",$O14,-$O14),0))</f>
        <v/>
      </c>
      <c r="AA14" s="117">
        <f>IF($B14="",0,IF(OR($W14="EVET",$X14="EVET",$Y14="EVET"),0,IF($D14="GELİR",IF($E14="SATIŞ İADESİ/İSKONTO",-$O14,$O14),-$O14)))</f>
        <v/>
      </c>
      <c r="AB14" s="117">
        <f>IF($B14="","",IF(OR($D14="",$E14="",$O14=""),"EKSİK",IF($O14&lt;=0,"SIFIR/NEGATİF",IF(COUNTIFS($C$6:$C$5000,$C14,$O$6:$O$5000,$O14,$B$6:$B$5000,$B14)&gt;1,"MÜKERRER","OK"))))</f>
        <v/>
      </c>
    </row>
    <row r="15" ht="16.5" customHeight="1" s="80">
      <c r="A15" s="113">
        <f>IF($B15="","",ROW()-BaslangicSatir)</f>
        <v/>
      </c>
      <c r="B15" s="114" t="n">
        <v>46160</v>
      </c>
      <c r="C15" s="110" t="inlineStr">
        <is>
          <t>AL-003</t>
        </is>
      </c>
      <c r="D15" s="110" t="inlineStr">
        <is>
          <t>GİDER</t>
        </is>
      </c>
      <c r="E15" s="110" t="inlineStr">
        <is>
          <t>SATIŞLARIN MALİYETİ</t>
        </is>
      </c>
      <c r="F15" s="110" t="inlineStr">
        <is>
          <t>HAMMADDE</t>
        </is>
      </c>
      <c r="G15" s="110" t="inlineStr">
        <is>
          <t>HUBUBAT</t>
        </is>
      </c>
      <c r="H15" s="110" t="inlineStr">
        <is>
          <t>Tarım Ürünleri A.Ş.</t>
        </is>
      </c>
      <c r="I15" s="110" t="inlineStr">
        <is>
          <t>Mercimek</t>
        </is>
      </c>
      <c r="J15" s="110" t="inlineStr">
        <is>
          <t>OPERASYON</t>
        </is>
      </c>
      <c r="K15" s="110" t="inlineStr">
        <is>
          <t>Hammadde alımı</t>
        </is>
      </c>
      <c r="L15" s="115" t="n">
        <v>1500</v>
      </c>
      <c r="M15" s="110" t="inlineStr">
        <is>
          <t>KG</t>
        </is>
      </c>
      <c r="N15" s="115" t="n">
        <v>30</v>
      </c>
      <c r="O15" s="116" t="n">
        <v>45000</v>
      </c>
      <c r="P15" s="110" t="inlineStr">
        <is>
          <t>HARİÇ</t>
        </is>
      </c>
      <c r="Q15" s="114" t="n">
        <v>46160</v>
      </c>
      <c r="R15" s="114" t="n">
        <v>46160</v>
      </c>
      <c r="S15" s="110" t="inlineStr">
        <is>
          <t>EVET</t>
        </is>
      </c>
      <c r="T15" s="110" t="inlineStr">
        <is>
          <t>DEĞİŞKEN</t>
        </is>
      </c>
      <c r="U15" s="110" t="inlineStr">
        <is>
          <t>DOĞRUDAN</t>
        </is>
      </c>
      <c r="V15" s="110" t="inlineStr">
        <is>
          <t>TEKRARLAYAN</t>
        </is>
      </c>
      <c r="W15" s="110" t="inlineStr">
        <is>
          <t>HAYIR</t>
        </is>
      </c>
      <c r="X15" s="110" t="inlineStr">
        <is>
          <t>HAYIR</t>
        </is>
      </c>
      <c r="Y15" s="110" t="inlineStr">
        <is>
          <t>HAYIR</t>
        </is>
      </c>
      <c r="Z15" s="117">
        <f>IF($B15="",0,IF($S15="EVET",IF($D15="GELİR",$O15,-$O15),0))</f>
        <v/>
      </c>
      <c r="AA15" s="117">
        <f>IF($B15="",0,IF(OR($W15="EVET",$X15="EVET",$Y15="EVET"),0,IF($D15="GELİR",IF($E15="SATIŞ İADESİ/İSKONTO",-$O15,$O15),-$O15)))</f>
        <v/>
      </c>
      <c r="AB15" s="117">
        <f>IF($B15="","",IF(OR($D15="",$E15="",$O15=""),"EKSİK",IF($O15&lt;=0,"SIFIR/NEGATİF",IF(COUNTIFS($C$6:$C$5000,$C15,$O$6:$O$5000,$O15,$B$6:$B$5000,$B15)&gt;1,"MÜKERRER","OK"))))</f>
        <v/>
      </c>
    </row>
    <row r="16" ht="16.5" customHeight="1" s="80">
      <c r="A16" s="113">
        <f>IF($B16="","",ROW()-BaslangicSatir)</f>
        <v/>
      </c>
      <c r="B16" s="114" t="n">
        <v>46161</v>
      </c>
      <c r="C16" s="110" t="inlineStr">
        <is>
          <t>SAT-004</t>
        </is>
      </c>
      <c r="D16" s="110" t="inlineStr">
        <is>
          <t>GELİR</t>
        </is>
      </c>
      <c r="E16" s="110" t="inlineStr">
        <is>
          <t>SATIŞ</t>
        </is>
      </c>
      <c r="F16" s="110" t="inlineStr">
        <is>
          <t>TİCARİ MAL</t>
        </is>
      </c>
      <c r="G16" s="110" t="inlineStr">
        <is>
          <t>TEMEL GIDA</t>
        </is>
      </c>
      <c r="H16" s="110" t="inlineStr">
        <is>
          <t>Süpermarket Zinciri</t>
        </is>
      </c>
      <c r="I16" s="110" t="inlineStr">
        <is>
          <t>Mercimek</t>
        </is>
      </c>
      <c r="J16" s="110" t="inlineStr">
        <is>
          <t>BÖLGESEL SATIŞ</t>
        </is>
      </c>
      <c r="K16" s="110" t="inlineStr">
        <is>
          <t>Toptan satış</t>
        </is>
      </c>
      <c r="L16" s="115" t="n">
        <v>1000</v>
      </c>
      <c r="M16" s="110" t="inlineStr">
        <is>
          <t>ADET</t>
        </is>
      </c>
      <c r="N16" s="115" t="n">
        <v>50</v>
      </c>
      <c r="O16" s="116" t="n">
        <v>50000</v>
      </c>
      <c r="P16" s="110" t="inlineStr">
        <is>
          <t>HARİÇ</t>
        </is>
      </c>
      <c r="Q16" s="114" t="n">
        <v>46161</v>
      </c>
      <c r="R16" s="114" t="n">
        <v>46183</v>
      </c>
      <c r="S16" s="110" t="inlineStr">
        <is>
          <t>EVET</t>
        </is>
      </c>
      <c r="T16" s="110" t="inlineStr">
        <is>
          <t>DEĞİŞKEN</t>
        </is>
      </c>
      <c r="U16" s="110" t="inlineStr">
        <is>
          <t>DOĞRUDAN</t>
        </is>
      </c>
      <c r="V16" s="110" t="inlineStr">
        <is>
          <t>TEKRARLAYAN</t>
        </is>
      </c>
      <c r="W16" s="110" t="inlineStr">
        <is>
          <t>HAYIR</t>
        </is>
      </c>
      <c r="X16" s="110" t="inlineStr">
        <is>
          <t>HAYIR</t>
        </is>
      </c>
      <c r="Y16" s="110" t="inlineStr">
        <is>
          <t>HAYIR</t>
        </is>
      </c>
      <c r="Z16" s="118">
        <f>IF($B16="",0,IF($S16="EVET",IF($D16="GELİR",$O16,-$O16),0))</f>
        <v/>
      </c>
      <c r="AA16" s="118">
        <f>IF($B16="",0,IF(OR($W16="EVET",$X16="EVET",$Y16="EVET"),0,IF($D16="GELİR",IF($E16="SATIŞ İADESİ/İSKONTO",-$O16,$O16),-$O16)))</f>
        <v/>
      </c>
      <c r="AB16" s="117">
        <f>IF($B16="","",IF(OR($D16="",$E16="",$O16=""),"EKSİK",IF($O16&lt;=0,"SIFIR/NEGATİF",IF(COUNTIFS($C$6:$C$5000,$C16,$O$6:$O$5000,$O16,$B$6:$B$5000,$B16)&gt;1,"MÜKERRER","OK"))))</f>
        <v/>
      </c>
    </row>
    <row r="17" ht="16.5" customHeight="1" s="80">
      <c r="A17" s="113">
        <f>IF($B17="","",ROW()-BaslangicSatir)</f>
        <v/>
      </c>
      <c r="B17" s="114" t="n">
        <v>46167</v>
      </c>
      <c r="C17" s="110" t="inlineStr">
        <is>
          <t>PER-001</t>
        </is>
      </c>
      <c r="D17" s="110" t="inlineStr">
        <is>
          <t>GİDER</t>
        </is>
      </c>
      <c r="E17" s="110" t="inlineStr">
        <is>
          <t>PERSONEL</t>
        </is>
      </c>
      <c r="F17" s="110" t="inlineStr">
        <is>
          <t>İKRAMİYE</t>
        </is>
      </c>
      <c r="G17" s="110" t="inlineStr">
        <is>
          <t>MAAŞ YAN ÖDEMESİ</t>
        </is>
      </c>
      <c r="H17" s="110" t="inlineStr">
        <is>
          <t>Personel</t>
        </is>
      </c>
      <c r="I17" s="110" t="n"/>
      <c r="J17" s="110" t="inlineStr">
        <is>
          <t>OPERASYON</t>
        </is>
      </c>
      <c r="K17" s="110" t="inlineStr">
        <is>
          <t>Maaş ödemesi</t>
        </is>
      </c>
      <c r="L17" s="115" t="n">
        <v>6</v>
      </c>
      <c r="M17" s="110" t="inlineStr">
        <is>
          <t>AY</t>
        </is>
      </c>
      <c r="N17" s="115" t="n">
        <v>9167</v>
      </c>
      <c r="O17" s="116" t="n">
        <v>55000</v>
      </c>
      <c r="P17" s="110" t="inlineStr">
        <is>
          <t>DAHİL</t>
        </is>
      </c>
      <c r="Q17" s="114" t="n">
        <v>46167</v>
      </c>
      <c r="R17" s="114" t="n">
        <v>46167</v>
      </c>
      <c r="S17" s="110" t="inlineStr">
        <is>
          <t>EVET</t>
        </is>
      </c>
      <c r="T17" s="110" t="inlineStr">
        <is>
          <t>SABİT</t>
        </is>
      </c>
      <c r="U17" s="110" t="inlineStr">
        <is>
          <t>DOLAYLI</t>
        </is>
      </c>
      <c r="V17" s="110" t="inlineStr">
        <is>
          <t>TEKRARLAYAN</t>
        </is>
      </c>
      <c r="W17" s="110" t="inlineStr">
        <is>
          <t>HAYIR</t>
        </is>
      </c>
      <c r="X17" s="110" t="inlineStr">
        <is>
          <t>HAYIR</t>
        </is>
      </c>
      <c r="Y17" s="110" t="inlineStr">
        <is>
          <t>HAYIR</t>
        </is>
      </c>
      <c r="Z17" s="117">
        <f>IF($B17="",0,IF($S17="EVET",IF($D17="GELİR",$O17,-$O17),0))</f>
        <v/>
      </c>
      <c r="AA17" s="117">
        <f>IF($B17="",0,IF(OR($W17="EVET",$X17="EVET",$Y17="EVET"),0,IF($D17="GELİR",IF($E17="SATIŞ İADESİ/İSKONTO",-$O17,$O17),-$O17)))</f>
        <v/>
      </c>
      <c r="AB17" s="117">
        <f>IF($B17="","",IF(OR($D17="",$E17="",$O17=""),"EKSİK",IF($O17&lt;=0,"SIFIR/NEGATİF",IF(COUNTIFS($C$6:$C$5000,$C17,$O$6:$O$5000,$O17,$B$6:$B$5000,$B17)&gt;1,"MÜKERRER","OK"))))</f>
        <v/>
      </c>
    </row>
    <row r="18" ht="16.5" customHeight="1" s="80">
      <c r="A18" s="113">
        <f>IF($B18="","",ROW()-BaslangicSatir)</f>
        <v/>
      </c>
      <c r="B18" s="114" t="n">
        <v>46170</v>
      </c>
      <c r="C18" s="110" t="inlineStr">
        <is>
          <t>GY-001</t>
        </is>
      </c>
      <c r="D18" s="110" t="inlineStr">
        <is>
          <t>GİDER</t>
        </is>
      </c>
      <c r="E18" s="110" t="inlineStr">
        <is>
          <t>GENEL YÖNETİM</t>
        </is>
      </c>
      <c r="F18" s="110" t="inlineStr">
        <is>
          <t>ELEKTRİK</t>
        </is>
      </c>
      <c r="G18" s="110" t="inlineStr">
        <is>
          <t>ENERJİ</t>
        </is>
      </c>
      <c r="H18" s="110" t="inlineStr">
        <is>
          <t>Elektrik Dağıtım</t>
        </is>
      </c>
      <c r="I18" s="110" t="n"/>
      <c r="J18" s="110" t="inlineStr">
        <is>
          <t>OPERASYON</t>
        </is>
      </c>
      <c r="K18" s="110" t="inlineStr">
        <is>
          <t>Elektrik faturası</t>
        </is>
      </c>
      <c r="L18" s="115" t="n">
        <v>1</v>
      </c>
      <c r="M18" s="110" t="inlineStr">
        <is>
          <t>AY</t>
        </is>
      </c>
      <c r="N18" s="115" t="n">
        <v>9000</v>
      </c>
      <c r="O18" s="116" t="n">
        <v>9000</v>
      </c>
      <c r="P18" s="110" t="inlineStr">
        <is>
          <t>DAHİL</t>
        </is>
      </c>
      <c r="Q18" s="114" t="n">
        <v>46170</v>
      </c>
      <c r="R18" s="114" t="n">
        <v>46203</v>
      </c>
      <c r="S18" s="110" t="inlineStr">
        <is>
          <t>HAYIR</t>
        </is>
      </c>
      <c r="T18" s="110" t="inlineStr">
        <is>
          <t>SABİT</t>
        </is>
      </c>
      <c r="U18" s="110" t="inlineStr">
        <is>
          <t>DOLAYLI</t>
        </is>
      </c>
      <c r="V18" s="110" t="inlineStr">
        <is>
          <t>TEKRARLAYAN</t>
        </is>
      </c>
      <c r="W18" s="110" t="inlineStr">
        <is>
          <t>HAYIR</t>
        </is>
      </c>
      <c r="X18" s="110" t="inlineStr">
        <is>
          <t>HAYIR</t>
        </is>
      </c>
      <c r="Y18" s="110" t="inlineStr">
        <is>
          <t>HAYIR</t>
        </is>
      </c>
      <c r="Z18" s="117">
        <f>IF($B18="",0,IF($S18="EVET",IF($D18="GELİR",$O18,-$O18),0))</f>
        <v/>
      </c>
      <c r="AA18" s="117">
        <f>IF($B18="",0,IF(OR($W18="EVET",$X18="EVET",$Y18="EVET"),0,IF($D18="GELİR",IF($E18="SATIŞ İADESİ/İSKONTO",-$O18,$O18),-$O18)))</f>
        <v/>
      </c>
      <c r="AB18" s="117">
        <f>IF($B18="","",IF(OR($D18="",$E18="",$O18=""),"EKSİK",IF($O18&lt;=0,"SIFIR/NEGATİF",IF(COUNTIFS($C$6:$C$5000,$C18,$O$6:$O$5000,$O18,$B$6:$B$5000,$B18)&gt;1,"MÜKERRER","OK"))))</f>
        <v/>
      </c>
    </row>
    <row r="19" ht="16.5" customHeight="1" s="80">
      <c r="A19" s="113">
        <f>IF($B19="","",ROW()-BaslangicSatir)</f>
        <v/>
      </c>
      <c r="B19" s="114" t="n">
        <v>46173</v>
      </c>
      <c r="C19" s="110" t="inlineStr">
        <is>
          <t>AMR-001</t>
        </is>
      </c>
      <c r="D19" s="110" t="inlineStr">
        <is>
          <t>GİDER</t>
        </is>
      </c>
      <c r="E19" s="110" t="inlineStr">
        <is>
          <t>AMORTİSMAN</t>
        </is>
      </c>
      <c r="F19" s="110" t="inlineStr">
        <is>
          <t>OFİS</t>
        </is>
      </c>
      <c r="G19" s="110" t="inlineStr">
        <is>
          <t>DESTEK GİDERİ</t>
        </is>
      </c>
      <c r="H19" s="110" t="inlineStr">
        <is>
          <t>-</t>
        </is>
      </c>
      <c r="I19" s="110" t="n"/>
      <c r="J19" s="110" t="inlineStr">
        <is>
          <t>OPERASYON</t>
        </is>
      </c>
      <c r="K19" s="110" t="inlineStr">
        <is>
          <t>Demirbaş amortismanı</t>
        </is>
      </c>
      <c r="L19" s="115" t="n">
        <v>1</v>
      </c>
      <c r="M19" s="110" t="inlineStr">
        <is>
          <t>AY</t>
        </is>
      </c>
      <c r="N19" s="115" t="n">
        <v>3000</v>
      </c>
      <c r="O19" s="116" t="n">
        <v>3000</v>
      </c>
      <c r="P19" s="110" t="inlineStr">
        <is>
          <t>HARİÇ</t>
        </is>
      </c>
      <c r="Q19" s="114" t="n">
        <v>46173</v>
      </c>
      <c r="R19" s="110" t="n"/>
      <c r="S19" s="110" t="inlineStr">
        <is>
          <t>HAYIR</t>
        </is>
      </c>
      <c r="T19" s="110" t="inlineStr">
        <is>
          <t>SABİT</t>
        </is>
      </c>
      <c r="U19" s="110" t="inlineStr">
        <is>
          <t>DOLAYLI</t>
        </is>
      </c>
      <c r="V19" s="110" t="inlineStr">
        <is>
          <t>TEKRARLAYAN</t>
        </is>
      </c>
      <c r="W19" s="110" t="inlineStr">
        <is>
          <t>HAYIR</t>
        </is>
      </c>
      <c r="X19" s="110" t="inlineStr">
        <is>
          <t>HAYIR</t>
        </is>
      </c>
      <c r="Y19" s="110" t="inlineStr">
        <is>
          <t>HAYIR</t>
        </is>
      </c>
      <c r="Z19" s="117">
        <f>IF($B19="",0,IF($S19="EVET",IF($D19="GELİR",$O19,-$O19),0))</f>
        <v/>
      </c>
      <c r="AA19" s="117">
        <f>IF($B19="",0,IF(OR($W19="EVET",$X19="EVET",$Y19="EVET"),0,IF($D19="GELİR",IF($E19="SATIŞ İADESİ/İSKONTO",-$O19,$O19),-$O19)))</f>
        <v/>
      </c>
      <c r="AB19" s="117">
        <f>IF($B19="","",IF(OR($D19="",$E19="",$O19=""),"EKSİK",IF($O19&lt;=0,"SIFIR/NEGATİF",IF(COUNTIFS($C$6:$C$5000,$C19,$O$6:$O$5000,$O19,$B$6:$B$5000,$B19)&gt;1,"MÜKERRER","OK"))))</f>
        <v/>
      </c>
    </row>
    <row r="20" ht="16.5" customHeight="1" s="80">
      <c r="A20" s="113">
        <f>IF($B20="","",ROW()-BaslangicSatir)</f>
        <v/>
      </c>
      <c r="B20" s="114" t="n">
        <v>46173</v>
      </c>
      <c r="C20" s="110" t="inlineStr">
        <is>
          <t>VRG-001</t>
        </is>
      </c>
      <c r="D20" s="110" t="inlineStr">
        <is>
          <t>GİDER</t>
        </is>
      </c>
      <c r="E20" s="110" t="inlineStr">
        <is>
          <t>VERGİ</t>
        </is>
      </c>
      <c r="F20" s="110" t="inlineStr">
        <is>
          <t>SİGORTA</t>
        </is>
      </c>
      <c r="G20" s="110" t="inlineStr">
        <is>
          <t>YASAL YÜKÜMLÜLÜK</t>
        </is>
      </c>
      <c r="H20" s="110" t="inlineStr">
        <is>
          <t>Vergi Dairesi</t>
        </is>
      </c>
      <c r="I20" s="110" t="n"/>
      <c r="J20" s="110" t="inlineStr">
        <is>
          <t>OPERASYON</t>
        </is>
      </c>
      <c r="K20" s="110" t="inlineStr">
        <is>
          <t>Muhtasar/KDV vergisi</t>
        </is>
      </c>
      <c r="L20" s="115" t="n">
        <v>1</v>
      </c>
      <c r="M20" s="110" t="inlineStr">
        <is>
          <t>AY</t>
        </is>
      </c>
      <c r="N20" s="115" t="n">
        <v>4000</v>
      </c>
      <c r="O20" s="116" t="n">
        <v>4000</v>
      </c>
      <c r="P20" s="110" t="inlineStr">
        <is>
          <t>DAHİL</t>
        </is>
      </c>
      <c r="Q20" s="114" t="n">
        <v>46173</v>
      </c>
      <c r="R20" s="114" t="n">
        <v>46203</v>
      </c>
      <c r="S20" s="110" t="inlineStr">
        <is>
          <t>HAYIR</t>
        </is>
      </c>
      <c r="T20" s="110" t="inlineStr">
        <is>
          <t>SABİT</t>
        </is>
      </c>
      <c r="U20" s="110" t="inlineStr">
        <is>
          <t>DOLAYLI</t>
        </is>
      </c>
      <c r="V20" s="110" t="inlineStr">
        <is>
          <t>TEKRARLAYAN</t>
        </is>
      </c>
      <c r="W20" s="110" t="inlineStr">
        <is>
          <t>HAYIR</t>
        </is>
      </c>
      <c r="X20" s="110" t="inlineStr">
        <is>
          <t>HAYIR</t>
        </is>
      </c>
      <c r="Y20" s="110" t="inlineStr">
        <is>
          <t>HAYIR</t>
        </is>
      </c>
      <c r="Z20" s="117">
        <f>IF($B20="",0,IF($S20="EVET",IF($D20="GELİR",$O20,-$O20),0))</f>
        <v/>
      </c>
      <c r="AA20" s="117">
        <f>IF($B20="",0,IF(OR($W20="EVET",$X20="EVET",$Y20="EVET"),0,IF($D20="GELİR",IF($E20="SATIŞ İADESİ/İSKONTO",-$O20,$O20),-$O20)))</f>
        <v/>
      </c>
      <c r="AB20" s="117">
        <f>IF($B20="","",IF(OR($D20="",$E20="",$O20=""),"EKSİK",IF($O20&lt;=0,"SIFIR/NEGATİF",IF(COUNTIFS($C$6:$C$5000,$C20,$O$6:$O$5000,$O20,$B$6:$B$5000,$B20)&gt;1,"MÜKERRER","OK"))))</f>
        <v/>
      </c>
    </row>
    <row r="21" ht="16.5" customHeight="1" s="80">
      <c r="A21" s="113">
        <f>IF($B21="","",ROW()-BaslangicSatir)</f>
        <v/>
      </c>
      <c r="B21" s="114" t="n">
        <v>46175</v>
      </c>
      <c r="C21" s="110" t="inlineStr">
        <is>
          <t>SAT-005</t>
        </is>
      </c>
      <c r="D21" s="110" t="inlineStr">
        <is>
          <t>GELİR</t>
        </is>
      </c>
      <c r="E21" s="110" t="inlineStr">
        <is>
          <t>SATIŞ</t>
        </is>
      </c>
      <c r="F21" s="110" t="inlineStr">
        <is>
          <t>TİCARİ MAL</t>
        </is>
      </c>
      <c r="G21" s="110" t="inlineStr">
        <is>
          <t>TEMEL GIDA</t>
        </is>
      </c>
      <c r="H21" s="110" t="inlineStr">
        <is>
          <t>Yıldız Market</t>
        </is>
      </c>
      <c r="I21" s="110" t="inlineStr">
        <is>
          <t>Ayçiçek Yağı 5L</t>
        </is>
      </c>
      <c r="J21" s="110" t="inlineStr">
        <is>
          <t>BÖLGESEL SATIŞ</t>
        </is>
      </c>
      <c r="K21" s="110" t="inlineStr">
        <is>
          <t>Toptan satış</t>
        </is>
      </c>
      <c r="L21" s="115" t="n">
        <v>600</v>
      </c>
      <c r="M21" s="110" t="inlineStr">
        <is>
          <t>ADET</t>
        </is>
      </c>
      <c r="N21" s="115" t="n">
        <v>150</v>
      </c>
      <c r="O21" s="116" t="n">
        <v>90000</v>
      </c>
      <c r="P21" s="110" t="inlineStr">
        <is>
          <t>HARİÇ</t>
        </is>
      </c>
      <c r="Q21" s="114" t="n">
        <v>46175</v>
      </c>
      <c r="R21" s="114" t="n">
        <v>46218</v>
      </c>
      <c r="S21" s="110" t="inlineStr">
        <is>
          <t>HAYIR</t>
        </is>
      </c>
      <c r="T21" s="110" t="inlineStr">
        <is>
          <t>DEĞİŞKEN</t>
        </is>
      </c>
      <c r="U21" s="110" t="inlineStr">
        <is>
          <t>DOĞRUDAN</t>
        </is>
      </c>
      <c r="V21" s="110" t="inlineStr">
        <is>
          <t>TEKRARLAYAN</t>
        </is>
      </c>
      <c r="W21" s="110" t="inlineStr">
        <is>
          <t>HAYIR</t>
        </is>
      </c>
      <c r="X21" s="110" t="inlineStr">
        <is>
          <t>HAYIR</t>
        </is>
      </c>
      <c r="Y21" s="110" t="inlineStr">
        <is>
          <t>HAYIR</t>
        </is>
      </c>
      <c r="Z21" s="117">
        <f>IF($B21="",0,IF($S21="EVET",IF($D21="GELİR",$O21,-$O21),0))</f>
        <v/>
      </c>
      <c r="AA21" s="118">
        <f>IF($B21="",0,IF(OR($W21="EVET",$X21="EVET",$Y21="EVET"),0,IF($D21="GELİR",IF($E21="SATIŞ İADESİ/İSKONTO",-$O21,$O21),-$O21)))</f>
        <v/>
      </c>
      <c r="AB21" s="117">
        <f>IF($B21="","",IF(OR($D21="",$E21="",$O21=""),"EKSİK",IF($O21&lt;=0,"SIFIR/NEGATİF",IF(COUNTIFS($C$6:$C$5000,$C21,$O$6:$O$5000,$O21,$B$6:$B$5000,$B21)&gt;1,"MÜKERRER","OK"))))</f>
        <v/>
      </c>
    </row>
    <row r="22" ht="16.5" customHeight="1" s="80">
      <c r="A22" s="113">
        <f>IF($B22="","",ROW()-BaslangicSatir)</f>
        <v/>
      </c>
      <c r="B22" s="114" t="n">
        <v>46178</v>
      </c>
      <c r="C22" s="110" t="inlineStr">
        <is>
          <t>AL-004</t>
        </is>
      </c>
      <c r="D22" s="110" t="inlineStr">
        <is>
          <t>GİDER</t>
        </is>
      </c>
      <c r="E22" s="110" t="inlineStr">
        <is>
          <t>SATIŞLARIN MALİYETİ</t>
        </is>
      </c>
      <c r="F22" s="110" t="inlineStr">
        <is>
          <t>HAMMADDE</t>
        </is>
      </c>
      <c r="G22" s="110" t="inlineStr">
        <is>
          <t>HUBUBAT</t>
        </is>
      </c>
      <c r="H22" s="110" t="inlineStr">
        <is>
          <t>Tarım Ürünleri A.Ş.</t>
        </is>
      </c>
      <c r="I22" s="110" t="inlineStr">
        <is>
          <t>Ayçiçek Çekirdeği</t>
        </is>
      </c>
      <c r="J22" s="110" t="inlineStr">
        <is>
          <t>OPERASYON</t>
        </is>
      </c>
      <c r="K22" s="110" t="inlineStr">
        <is>
          <t>Hammadde alımı</t>
        </is>
      </c>
      <c r="L22" s="115" t="n">
        <v>1000</v>
      </c>
      <c r="M22" s="110" t="inlineStr">
        <is>
          <t>KG</t>
        </is>
      </c>
      <c r="N22" s="115" t="n">
        <v>50</v>
      </c>
      <c r="O22" s="116" t="n">
        <v>50000</v>
      </c>
      <c r="P22" s="110" t="inlineStr">
        <is>
          <t>HARİÇ</t>
        </is>
      </c>
      <c r="Q22" s="114" t="n">
        <v>46178</v>
      </c>
      <c r="R22" s="114" t="n">
        <v>46178</v>
      </c>
      <c r="S22" s="110" t="inlineStr">
        <is>
          <t>EVET</t>
        </is>
      </c>
      <c r="T22" s="110" t="inlineStr">
        <is>
          <t>DEĞİŞKEN</t>
        </is>
      </c>
      <c r="U22" s="110" t="inlineStr">
        <is>
          <t>DOĞRUDAN</t>
        </is>
      </c>
      <c r="V22" s="110" t="inlineStr">
        <is>
          <t>TEKRARLAYAN</t>
        </is>
      </c>
      <c r="W22" s="110" t="inlineStr">
        <is>
          <t>HAYIR</t>
        </is>
      </c>
      <c r="X22" s="110" t="inlineStr">
        <is>
          <t>HAYIR</t>
        </is>
      </c>
      <c r="Y22" s="110" t="inlineStr">
        <is>
          <t>HAYIR</t>
        </is>
      </c>
      <c r="Z22" s="117">
        <f>IF($B22="",0,IF($S22="EVET",IF($D22="GELİR",$O22,-$O22),0))</f>
        <v/>
      </c>
      <c r="AA22" s="117">
        <f>IF($B22="",0,IF(OR($W22="EVET",$X22="EVET",$Y22="EVET"),0,IF($D22="GELİR",IF($E22="SATIŞ İADESİ/İSKONTO",-$O22,$O22),-$O22)))</f>
        <v/>
      </c>
      <c r="AB22" s="117">
        <f>IF($B22="","",IF(OR($D22="",$E22="",$O22=""),"EKSİK",IF($O22&lt;=0,"SIFIR/NEGATİF",IF(COUNTIFS($C$6:$C$5000,$C22,$O$6:$O$5000,$O22,$B$6:$B$5000,$B22)&gt;1,"MÜKERRER","OK"))))</f>
        <v/>
      </c>
    </row>
    <row r="23" ht="16.5" customHeight="1" s="80">
      <c r="A23" s="113">
        <f>IF($B23="","",ROW()-BaslangicSatir)</f>
        <v/>
      </c>
      <c r="B23" s="114" t="n">
        <v>46178</v>
      </c>
      <c r="C23" s="110" t="inlineStr">
        <is>
          <t>KIR-002</t>
        </is>
      </c>
      <c r="D23" s="110" t="inlineStr">
        <is>
          <t>GİDER</t>
        </is>
      </c>
      <c r="E23" s="110" t="inlineStr">
        <is>
          <t>KİRA</t>
        </is>
      </c>
      <c r="F23" s="110" t="inlineStr">
        <is>
          <t>OFİS</t>
        </is>
      </c>
      <c r="G23" s="110" t="inlineStr">
        <is>
          <t>DESTEK GİDERİ</t>
        </is>
      </c>
      <c r="H23" s="110" t="inlineStr">
        <is>
          <t>Depo Sahibi</t>
        </is>
      </c>
      <c r="I23" s="110" t="n"/>
      <c r="J23" s="110" t="inlineStr">
        <is>
          <t>OPERASYON</t>
        </is>
      </c>
      <c r="K23" s="110" t="inlineStr">
        <is>
          <t>Depo ve ofis kirası</t>
        </is>
      </c>
      <c r="L23" s="115" t="n">
        <v>1</v>
      </c>
      <c r="M23" s="110" t="inlineStr">
        <is>
          <t>AY</t>
        </is>
      </c>
      <c r="N23" s="115" t="n">
        <v>25000</v>
      </c>
      <c r="O23" s="116" t="n">
        <v>25000</v>
      </c>
      <c r="P23" s="110" t="inlineStr">
        <is>
          <t>DAHİL</t>
        </is>
      </c>
      <c r="Q23" s="114" t="n">
        <v>46178</v>
      </c>
      <c r="R23" s="114" t="n">
        <v>46178</v>
      </c>
      <c r="S23" s="110" t="inlineStr">
        <is>
          <t>EVET</t>
        </is>
      </c>
      <c r="T23" s="110" t="inlineStr">
        <is>
          <t>SABİT</t>
        </is>
      </c>
      <c r="U23" s="110" t="inlineStr">
        <is>
          <t>DOLAYLI</t>
        </is>
      </c>
      <c r="V23" s="110" t="inlineStr">
        <is>
          <t>TEKRARLAYAN</t>
        </is>
      </c>
      <c r="W23" s="110" t="inlineStr">
        <is>
          <t>HAYIR</t>
        </is>
      </c>
      <c r="X23" s="110" t="inlineStr">
        <is>
          <t>HAYIR</t>
        </is>
      </c>
      <c r="Y23" s="110" t="inlineStr">
        <is>
          <t>HAYIR</t>
        </is>
      </c>
      <c r="Z23" s="117">
        <f>IF($B23="",0,IF($S23="EVET",IF($D23="GELİR",$O23,-$O23),0))</f>
        <v/>
      </c>
      <c r="AA23" s="117">
        <f>IF($B23="",0,IF(OR($W23="EVET",$X23="EVET",$Y23="EVET"),0,IF($D23="GELİR",IF($E23="SATIŞ İADESİ/İSKONTO",-$O23,$O23),-$O23)))</f>
        <v/>
      </c>
      <c r="AB23" s="117">
        <f>IF($B23="","",IF(OR($D23="",$E23="",$O23=""),"EKSİK",IF($O23&lt;=0,"SIFIR/NEGATİF",IF(COUNTIFS($C$6:$C$5000,$C23,$O$6:$O$5000,$O23,$B$6:$B$5000,$B23)&gt;1,"MÜKERRER","OK"))))</f>
        <v/>
      </c>
    </row>
    <row r="24" ht="16.5" customHeight="1" s="80">
      <c r="A24" s="113">
        <f>IF($B24="","",ROW()-BaslangicSatir)</f>
        <v/>
      </c>
      <c r="B24" s="114" t="n">
        <v>46178</v>
      </c>
      <c r="C24" s="110" t="inlineStr">
        <is>
          <t>FIN-002</t>
        </is>
      </c>
      <c r="D24" s="110" t="inlineStr">
        <is>
          <t>GİDER</t>
        </is>
      </c>
      <c r="E24" s="110" t="inlineStr">
        <is>
          <t>FİNANSMAN GİDERİ</t>
        </is>
      </c>
      <c r="F24" s="110" t="inlineStr">
        <is>
          <t>KOMİSYON</t>
        </is>
      </c>
      <c r="G24" s="110" t="inlineStr">
        <is>
          <t>BANKA HİZMETİ</t>
        </is>
      </c>
      <c r="H24" s="110" t="inlineStr">
        <is>
          <t>ABC Bankası</t>
        </is>
      </c>
      <c r="I24" s="110" t="n"/>
      <c r="J24" s="110" t="inlineStr">
        <is>
          <t>OPERASYON</t>
        </is>
      </c>
      <c r="K24" s="110" t="inlineStr">
        <is>
          <t>Kredi faizi</t>
        </is>
      </c>
      <c r="L24" s="115" t="n">
        <v>1</v>
      </c>
      <c r="M24" s="110" t="inlineStr">
        <is>
          <t>AY</t>
        </is>
      </c>
      <c r="N24" s="115" t="n">
        <v>6000</v>
      </c>
      <c r="O24" s="116" t="n">
        <v>6000</v>
      </c>
      <c r="P24" s="110" t="inlineStr">
        <is>
          <t>DAHİL</t>
        </is>
      </c>
      <c r="Q24" s="114" t="n">
        <v>46178</v>
      </c>
      <c r="R24" s="114" t="n">
        <v>46178</v>
      </c>
      <c r="S24" s="110" t="inlineStr">
        <is>
          <t>EVET</t>
        </is>
      </c>
      <c r="T24" s="110" t="inlineStr">
        <is>
          <t>SABİT</t>
        </is>
      </c>
      <c r="U24" s="110" t="inlineStr">
        <is>
          <t>DOLAYLI</t>
        </is>
      </c>
      <c r="V24" s="110" t="inlineStr">
        <is>
          <t>TEKRARLAYAN</t>
        </is>
      </c>
      <c r="W24" s="110" t="inlineStr">
        <is>
          <t>HAYIR</t>
        </is>
      </c>
      <c r="X24" s="110" t="inlineStr">
        <is>
          <t>HAYIR</t>
        </is>
      </c>
      <c r="Y24" s="110" t="inlineStr">
        <is>
          <t>HAYIR</t>
        </is>
      </c>
      <c r="Z24" s="117">
        <f>IF($B24="",0,IF($S24="EVET",IF($D24="GELİR",$O24,-$O24),0))</f>
        <v/>
      </c>
      <c r="AA24" s="117">
        <f>IF($B24="",0,IF(OR($W24="EVET",$X24="EVET",$Y24="EVET"),0,IF($D24="GELİR",IF($E24="SATIŞ İADESİ/İSKONTO",-$O24,$O24),-$O24)))</f>
        <v/>
      </c>
      <c r="AB24" s="117">
        <f>IF($B24="","",IF(OR($D24="",$E24="",$O24=""),"EKSİK",IF($O24&lt;=0,"SIFIR/NEGATİF",IF(COUNTIFS($C$6:$C$5000,$C24,$O$6:$O$5000,$O24,$B$6:$B$5000,$B24)&gt;1,"MÜKERRER","OK"))))</f>
        <v/>
      </c>
    </row>
    <row r="25" ht="16.5" customHeight="1" s="80">
      <c r="A25" s="113">
        <f>IF($B25="","",ROW()-BaslangicSatir)</f>
        <v/>
      </c>
      <c r="B25" s="114" t="n">
        <v>46181</v>
      </c>
      <c r="C25" s="110" t="inlineStr">
        <is>
          <t>SAT-006</t>
        </is>
      </c>
      <c r="D25" s="110" t="inlineStr">
        <is>
          <t>GELİR</t>
        </is>
      </c>
      <c r="E25" s="110" t="inlineStr">
        <is>
          <t>SATIŞ</t>
        </is>
      </c>
      <c r="F25" s="110" t="inlineStr">
        <is>
          <t>TİCARİ MAL</t>
        </is>
      </c>
      <c r="G25" s="110" t="inlineStr">
        <is>
          <t>TEMEL GIDA</t>
        </is>
      </c>
      <c r="H25" s="110" t="inlineStr">
        <is>
          <t>Can Bakkaliye</t>
        </is>
      </c>
      <c r="I25" s="110" t="inlineStr">
        <is>
          <t>Bulgur 50kg</t>
        </is>
      </c>
      <c r="J25" s="110" t="inlineStr">
        <is>
          <t>BÖLGESEL SATIŞ</t>
        </is>
      </c>
      <c r="K25" s="110" t="inlineStr">
        <is>
          <t>Toptan satış</t>
        </is>
      </c>
      <c r="L25" s="115" t="n">
        <v>700</v>
      </c>
      <c r="M25" s="110" t="inlineStr">
        <is>
          <t>ADET</t>
        </is>
      </c>
      <c r="N25" s="115" t="n">
        <v>100</v>
      </c>
      <c r="O25" s="116" t="n">
        <v>70000</v>
      </c>
      <c r="P25" s="110" t="inlineStr">
        <is>
          <t>HARİÇ</t>
        </is>
      </c>
      <c r="Q25" s="114" t="n">
        <v>46181</v>
      </c>
      <c r="R25" s="114" t="n">
        <v>46193</v>
      </c>
      <c r="S25" s="110" t="inlineStr">
        <is>
          <t>EVET</t>
        </is>
      </c>
      <c r="T25" s="110" t="inlineStr">
        <is>
          <t>DEĞİŞKEN</t>
        </is>
      </c>
      <c r="U25" s="110" t="inlineStr">
        <is>
          <t>DOĞRUDAN</t>
        </is>
      </c>
      <c r="V25" s="110" t="inlineStr">
        <is>
          <t>TEKRARLAYAN</t>
        </is>
      </c>
      <c r="W25" s="110" t="inlineStr">
        <is>
          <t>HAYIR</t>
        </is>
      </c>
      <c r="X25" s="110" t="inlineStr">
        <is>
          <t>HAYIR</t>
        </is>
      </c>
      <c r="Y25" s="110" t="inlineStr">
        <is>
          <t>HAYIR</t>
        </is>
      </c>
      <c r="Z25" s="118">
        <f>IF($B25="",0,IF($S25="EVET",IF($D25="GELİR",$O25,-$O25),0))</f>
        <v/>
      </c>
      <c r="AA25" s="118">
        <f>IF($B25="",0,IF(OR($W25="EVET",$X25="EVET",$Y25="EVET"),0,IF($D25="GELİR",IF($E25="SATIŞ İADESİ/İSKONTO",-$O25,$O25),-$O25)))</f>
        <v/>
      </c>
      <c r="AB25" s="117">
        <f>IF($B25="","",IF(OR($D25="",$E25="",$O25=""),"EKSİK",IF($O25&lt;=0,"SIFIR/NEGATİF",IF(COUNTIFS($C$6:$C$5000,$C25,$O$6:$O$5000,$O25,$B$6:$B$5000,$B25)&gt;1,"MÜKERRER","OK"))))</f>
        <v/>
      </c>
    </row>
    <row r="26" ht="16.5" customHeight="1" s="80">
      <c r="A26" s="113">
        <f>IF($B26="","",ROW()-BaslangicSatir)</f>
        <v/>
      </c>
      <c r="B26" s="114" t="n">
        <v>46185</v>
      </c>
      <c r="C26" s="110" t="inlineStr">
        <is>
          <t>AL-005</t>
        </is>
      </c>
      <c r="D26" s="110" t="inlineStr">
        <is>
          <t>GİDER</t>
        </is>
      </c>
      <c r="E26" s="110" t="inlineStr">
        <is>
          <t>SATIŞLARIN MALİYETİ</t>
        </is>
      </c>
      <c r="F26" s="110" t="inlineStr">
        <is>
          <t>HAMMADDE</t>
        </is>
      </c>
      <c r="G26" s="110" t="inlineStr">
        <is>
          <t>HUBUBAT</t>
        </is>
      </c>
      <c r="H26" s="110" t="inlineStr">
        <is>
          <t>Tarım Ürünleri A.Ş.</t>
        </is>
      </c>
      <c r="I26" s="110" t="inlineStr">
        <is>
          <t>Bulgur Buğdayı</t>
        </is>
      </c>
      <c r="J26" s="110" t="inlineStr">
        <is>
          <t>OPERASYON</t>
        </is>
      </c>
      <c r="K26" s="110" t="inlineStr">
        <is>
          <t>Hammadde alımı</t>
        </is>
      </c>
      <c r="L26" s="115" t="n">
        <v>2400</v>
      </c>
      <c r="M26" s="110" t="inlineStr">
        <is>
          <t>KG</t>
        </is>
      </c>
      <c r="N26" s="115" t="n">
        <v>25</v>
      </c>
      <c r="O26" s="116" t="n">
        <v>60000</v>
      </c>
      <c r="P26" s="110" t="inlineStr">
        <is>
          <t>HARİÇ</t>
        </is>
      </c>
      <c r="Q26" s="114" t="n">
        <v>46185</v>
      </c>
      <c r="R26" s="114" t="n">
        <v>46218</v>
      </c>
      <c r="S26" s="110" t="inlineStr">
        <is>
          <t>HAYIR</t>
        </is>
      </c>
      <c r="T26" s="110" t="inlineStr">
        <is>
          <t>DEĞİŞKEN</t>
        </is>
      </c>
      <c r="U26" s="110" t="inlineStr">
        <is>
          <t>DOĞRUDAN</t>
        </is>
      </c>
      <c r="V26" s="110" t="inlineStr">
        <is>
          <t>TEKRARLAYAN</t>
        </is>
      </c>
      <c r="W26" s="110" t="inlineStr">
        <is>
          <t>HAYIR</t>
        </is>
      </c>
      <c r="X26" s="110" t="inlineStr">
        <is>
          <t>HAYIR</t>
        </is>
      </c>
      <c r="Y26" s="110" t="inlineStr">
        <is>
          <t>HAYIR</t>
        </is>
      </c>
      <c r="Z26" s="117">
        <f>IF($B26="",0,IF($S26="EVET",IF($D26="GELİR",$O26,-$O26),0))</f>
        <v/>
      </c>
      <c r="AA26" s="117">
        <f>IF($B26="",0,IF(OR($W26="EVET",$X26="EVET",$Y26="EVET"),0,IF($D26="GELİR",IF($E26="SATIŞ İADESİ/İSKONTO",-$O26,$O26),-$O26)))</f>
        <v/>
      </c>
      <c r="AB26" s="117">
        <f>IF($B26="","",IF(OR($D26="",$E26="",$O26=""),"EKSİK",IF($O26&lt;=0,"SIFIR/NEGATİF",IF(COUNTIFS($C$6:$C$5000,$C26,$O$6:$O$5000,$O26,$B$6:$B$5000,$B26)&gt;1,"MÜKERRER","OK"))))</f>
        <v/>
      </c>
    </row>
    <row r="27" ht="16.5" customHeight="1" s="80">
      <c r="A27" s="113">
        <f>IF($B27="","",ROW()-BaslangicSatir)</f>
        <v/>
      </c>
      <c r="B27" s="114" t="n">
        <v>46188</v>
      </c>
      <c r="C27" s="110" t="inlineStr">
        <is>
          <t>SAT-007</t>
        </is>
      </c>
      <c r="D27" s="110" t="inlineStr">
        <is>
          <t>GELİR</t>
        </is>
      </c>
      <c r="E27" s="110" t="inlineStr">
        <is>
          <t>SATIŞ</t>
        </is>
      </c>
      <c r="F27" s="110" t="inlineStr">
        <is>
          <t>TİCARİ MAL</t>
        </is>
      </c>
      <c r="G27" s="110" t="inlineStr">
        <is>
          <t>TEMEL GIDA</t>
        </is>
      </c>
      <c r="H27" s="110" t="inlineStr">
        <is>
          <t>Mega Market</t>
        </is>
      </c>
      <c r="I27" s="110" t="inlineStr">
        <is>
          <t>Un 25kg</t>
        </is>
      </c>
      <c r="J27" s="110" t="inlineStr">
        <is>
          <t>BÖLGESEL SATIŞ</t>
        </is>
      </c>
      <c r="K27" s="110" t="inlineStr">
        <is>
          <t>Toptan satış</t>
        </is>
      </c>
      <c r="L27" s="115" t="n">
        <v>1100</v>
      </c>
      <c r="M27" s="110" t="inlineStr">
        <is>
          <t>ADET</t>
        </is>
      </c>
      <c r="N27" s="115" t="n">
        <v>100</v>
      </c>
      <c r="O27" s="116" t="n">
        <v>110000</v>
      </c>
      <c r="P27" s="110" t="inlineStr">
        <is>
          <t>HARİÇ</t>
        </is>
      </c>
      <c r="Q27" s="114" t="n">
        <v>46188</v>
      </c>
      <c r="R27" s="114" t="n">
        <v>46233</v>
      </c>
      <c r="S27" s="110" t="inlineStr">
        <is>
          <t>HAYIR</t>
        </is>
      </c>
      <c r="T27" s="110" t="inlineStr">
        <is>
          <t>DEĞİŞKEN</t>
        </is>
      </c>
      <c r="U27" s="110" t="inlineStr">
        <is>
          <t>DOĞRUDAN</t>
        </is>
      </c>
      <c r="V27" s="110" t="inlineStr">
        <is>
          <t>TEKRARLAYAN</t>
        </is>
      </c>
      <c r="W27" s="110" t="inlineStr">
        <is>
          <t>HAYIR</t>
        </is>
      </c>
      <c r="X27" s="110" t="inlineStr">
        <is>
          <t>HAYIR</t>
        </is>
      </c>
      <c r="Y27" s="110" t="inlineStr">
        <is>
          <t>HAYIR</t>
        </is>
      </c>
      <c r="Z27" s="117">
        <f>IF($B27="",0,IF($S27="EVET",IF($D27="GELİR",$O27,-$O27),0))</f>
        <v/>
      </c>
      <c r="AA27" s="118">
        <f>IF($B27="",0,IF(OR($W27="EVET",$X27="EVET",$Y27="EVET"),0,IF($D27="GELİR",IF($E27="SATIŞ İADESİ/İSKONTO",-$O27,$O27),-$O27)))</f>
        <v/>
      </c>
      <c r="AB27" s="117">
        <f>IF($B27="","",IF(OR($D27="",$E27="",$O27=""),"EKSİK",IF($O27&lt;=0,"SIFIR/NEGATİF",IF(COUNTIFS($C$6:$C$5000,$C27,$O$6:$O$5000,$O27,$B$6:$B$5000,$B27)&gt;1,"MÜKERRER","OK"))))</f>
        <v/>
      </c>
    </row>
    <row r="28" ht="16.5" customHeight="1" s="80">
      <c r="A28" s="113">
        <f>IF($B28="","",ROW()-BaslangicSatir)</f>
        <v/>
      </c>
      <c r="B28" s="114" t="n">
        <v>46191</v>
      </c>
      <c r="C28" s="110" t="inlineStr">
        <is>
          <t>PAZ-002</t>
        </is>
      </c>
      <c r="D28" s="110" t="inlineStr">
        <is>
          <t>GİDER</t>
        </is>
      </c>
      <c r="E28" s="110" t="inlineStr">
        <is>
          <t>PAZARLAMA</t>
        </is>
      </c>
      <c r="F28" s="110" t="inlineStr">
        <is>
          <t>REKLAM</t>
        </is>
      </c>
      <c r="G28" s="110" t="inlineStr">
        <is>
          <t>DİJİTAL PAZARLAMA</t>
        </is>
      </c>
      <c r="H28" s="110" t="inlineStr">
        <is>
          <t>Medya Ajans</t>
        </is>
      </c>
      <c r="I28" s="110" t="n"/>
      <c r="J28" s="110" t="inlineStr">
        <is>
          <t>OPERASYON</t>
        </is>
      </c>
      <c r="K28" s="110" t="inlineStr">
        <is>
          <t>Sosyal medya reklamı</t>
        </is>
      </c>
      <c r="L28" s="115" t="n">
        <v>1</v>
      </c>
      <c r="M28" s="110" t="inlineStr">
        <is>
          <t>AY</t>
        </is>
      </c>
      <c r="N28" s="115" t="n">
        <v>12000</v>
      </c>
      <c r="O28" s="116" t="n">
        <v>12000</v>
      </c>
      <c r="P28" s="110" t="inlineStr">
        <is>
          <t>DAHİL</t>
        </is>
      </c>
      <c r="Q28" s="114" t="n">
        <v>46191</v>
      </c>
      <c r="R28" s="114" t="n">
        <v>46223</v>
      </c>
      <c r="S28" s="110" t="inlineStr">
        <is>
          <t>HAYIR</t>
        </is>
      </c>
      <c r="T28" s="110" t="inlineStr">
        <is>
          <t>SABİT</t>
        </is>
      </c>
      <c r="U28" s="110" t="inlineStr">
        <is>
          <t>DOLAYLI</t>
        </is>
      </c>
      <c r="V28" s="110" t="inlineStr">
        <is>
          <t>TEKRARLAYAN</t>
        </is>
      </c>
      <c r="W28" s="110" t="inlineStr">
        <is>
          <t>HAYIR</t>
        </is>
      </c>
      <c r="X28" s="110" t="inlineStr">
        <is>
          <t>HAYIR</t>
        </is>
      </c>
      <c r="Y28" s="110" t="inlineStr">
        <is>
          <t>HAYIR</t>
        </is>
      </c>
      <c r="Z28" s="117">
        <f>IF($B28="",0,IF($S28="EVET",IF($D28="GELİR",$O28,-$O28),0))</f>
        <v/>
      </c>
      <c r="AA28" s="117">
        <f>IF($B28="",0,IF(OR($W28="EVET",$X28="EVET",$Y28="EVET"),0,IF($D28="GELİR",IF($E28="SATIŞ İADESİ/İSKONTO",-$O28,$O28),-$O28)))</f>
        <v/>
      </c>
      <c r="AB28" s="117">
        <f>IF($B28="","",IF(OR($D28="",$E28="",$O28=""),"EKSİK",IF($O28&lt;=0,"SIFIR/NEGATİF",IF(COUNTIFS($C$6:$C$5000,$C28,$O$6:$O$5000,$O28,$B$6:$B$5000,$B28)&gt;1,"MÜKERRER","OK"))))</f>
        <v/>
      </c>
    </row>
    <row r="29" ht="16.5" customHeight="1" s="80">
      <c r="A29" s="113">
        <f>IF($B29="","",ROW()-BaslangicSatir)</f>
        <v/>
      </c>
      <c r="B29" s="114" t="n">
        <v>46193</v>
      </c>
      <c r="C29" s="110" t="inlineStr">
        <is>
          <t>AL-006</t>
        </is>
      </c>
      <c r="D29" s="110" t="inlineStr">
        <is>
          <t>GİDER</t>
        </is>
      </c>
      <c r="E29" s="110" t="inlineStr">
        <is>
          <t>SATIŞLARIN MALİYETİ</t>
        </is>
      </c>
      <c r="F29" s="110" t="inlineStr">
        <is>
          <t>HAMMADDE</t>
        </is>
      </c>
      <c r="G29" s="110" t="inlineStr">
        <is>
          <t>HUBUBAT</t>
        </is>
      </c>
      <c r="H29" s="110" t="inlineStr">
        <is>
          <t>Tarım Ürünleri A.Ş.</t>
        </is>
      </c>
      <c r="I29" s="110" t="inlineStr">
        <is>
          <t>Mercimek</t>
        </is>
      </c>
      <c r="J29" s="110" t="inlineStr">
        <is>
          <t>OPERASYON</t>
        </is>
      </c>
      <c r="K29" s="110" t="inlineStr">
        <is>
          <t>Hammadde alımı</t>
        </is>
      </c>
      <c r="L29" s="115" t="n">
        <v>1100</v>
      </c>
      <c r="M29" s="110" t="inlineStr">
        <is>
          <t>KG</t>
        </is>
      </c>
      <c r="N29" s="115" t="n">
        <v>50</v>
      </c>
      <c r="O29" s="116" t="n">
        <v>55000</v>
      </c>
      <c r="P29" s="110" t="inlineStr">
        <is>
          <t>HARİÇ</t>
        </is>
      </c>
      <c r="Q29" s="114" t="n">
        <v>46193</v>
      </c>
      <c r="R29" s="114" t="n">
        <v>46193</v>
      </c>
      <c r="S29" s="110" t="inlineStr">
        <is>
          <t>EVET</t>
        </is>
      </c>
      <c r="T29" s="110" t="inlineStr">
        <is>
          <t>DEĞİŞKEN</t>
        </is>
      </c>
      <c r="U29" s="110" t="inlineStr">
        <is>
          <t>DOĞRUDAN</t>
        </is>
      </c>
      <c r="V29" s="110" t="inlineStr">
        <is>
          <t>TEKRARLAYAN</t>
        </is>
      </c>
      <c r="W29" s="110" t="inlineStr">
        <is>
          <t>HAYIR</t>
        </is>
      </c>
      <c r="X29" s="110" t="inlineStr">
        <is>
          <t>HAYIR</t>
        </is>
      </c>
      <c r="Y29" s="110" t="inlineStr">
        <is>
          <t>HAYIR</t>
        </is>
      </c>
      <c r="Z29" s="117">
        <f>IF($B29="",0,IF($S29="EVET",IF($D29="GELİR",$O29,-$O29),0))</f>
        <v/>
      </c>
      <c r="AA29" s="117">
        <f>IF($B29="",0,IF(OR($W29="EVET",$X29="EVET",$Y29="EVET"),0,IF($D29="GELİR",IF($E29="SATIŞ İADESİ/İSKONTO",-$O29,$O29),-$O29)))</f>
        <v/>
      </c>
      <c r="AB29" s="117">
        <f>IF($B29="","",IF(OR($D29="",$E29="",$O29=""),"EKSİK",IF($O29&lt;=0,"SIFIR/NEGATİF",IF(COUNTIFS($C$6:$C$5000,$C29,$O$6:$O$5000,$O29,$B$6:$B$5000,$B29)&gt;1,"MÜKERRER","OK"))))</f>
        <v/>
      </c>
    </row>
    <row r="30" ht="16.5" customHeight="1" s="80">
      <c r="A30" s="113">
        <f>IF($B30="","",ROW()-BaslangicSatir)</f>
        <v/>
      </c>
      <c r="B30" s="114" t="n">
        <v>46193</v>
      </c>
      <c r="C30" s="110" t="inlineStr">
        <is>
          <t>KMS-001</t>
        </is>
      </c>
      <c r="D30" s="110" t="inlineStr">
        <is>
          <t>GİDER</t>
        </is>
      </c>
      <c r="E30" s="110" t="inlineStr">
        <is>
          <t>DEĞİŞKEN GİDER</t>
        </is>
      </c>
      <c r="F30" s="110" t="inlineStr">
        <is>
          <t>KOMİSYON</t>
        </is>
      </c>
      <c r="G30" s="110" t="inlineStr">
        <is>
          <t>BANKA HİZMETİ</t>
        </is>
      </c>
      <c r="H30" s="110" t="inlineStr">
        <is>
          <t>Satış Danışman</t>
        </is>
      </c>
      <c r="I30" s="110" t="n"/>
      <c r="J30" s="110" t="inlineStr">
        <is>
          <t>OPERASYON</t>
        </is>
      </c>
      <c r="K30" s="110" t="inlineStr">
        <is>
          <t>Satış komisyonu</t>
        </is>
      </c>
      <c r="L30" s="115" t="n">
        <v>1</v>
      </c>
      <c r="M30" s="110" t="inlineStr">
        <is>
          <t>AY</t>
        </is>
      </c>
      <c r="N30" s="115" t="n">
        <v>16000</v>
      </c>
      <c r="O30" s="116" t="n">
        <v>16000</v>
      </c>
      <c r="P30" s="110" t="inlineStr">
        <is>
          <t>DAHİL</t>
        </is>
      </c>
      <c r="Q30" s="114" t="n">
        <v>46193</v>
      </c>
      <c r="R30" s="114" t="n">
        <v>46228</v>
      </c>
      <c r="S30" s="110" t="inlineStr">
        <is>
          <t>HAYIR</t>
        </is>
      </c>
      <c r="T30" s="110" t="inlineStr">
        <is>
          <t>DEĞİŞKEN</t>
        </is>
      </c>
      <c r="U30" s="110" t="inlineStr">
        <is>
          <t>DOLAYLI</t>
        </is>
      </c>
      <c r="V30" s="110" t="inlineStr">
        <is>
          <t>TEKRARLAYAN</t>
        </is>
      </c>
      <c r="W30" s="110" t="inlineStr">
        <is>
          <t>HAYIR</t>
        </is>
      </c>
      <c r="X30" s="110" t="inlineStr">
        <is>
          <t>HAYIR</t>
        </is>
      </c>
      <c r="Y30" s="110" t="inlineStr">
        <is>
          <t>HAYIR</t>
        </is>
      </c>
      <c r="Z30" s="117">
        <f>IF($B30="",0,IF($S30="EVET",IF($D30="GELİR",$O30,-$O30),0))</f>
        <v/>
      </c>
      <c r="AA30" s="117">
        <f>IF($B30="",0,IF(OR($W30="EVET",$X30="EVET",$Y30="EVET"),0,IF($D30="GELİR",IF($E30="SATIŞ İADESİ/İSKONTO",-$O30,$O30),-$O30)))</f>
        <v/>
      </c>
      <c r="AB30" s="117">
        <f>IF($B30="","",IF(OR($D30="",$E30="",$O30=""),"EKSİK",IF($O30&lt;=0,"SIFIR/NEGATİF",IF(COUNTIFS($C$6:$C$5000,$C30,$O$6:$O$5000,$O30,$B$6:$B$5000,$B30)&gt;1,"MÜKERRER","OK"))))</f>
        <v/>
      </c>
    </row>
    <row r="31" ht="16.5" customHeight="1" s="80">
      <c r="A31" s="113">
        <f>IF($B31="","",ROW()-BaslangicSatir)</f>
        <v/>
      </c>
      <c r="B31" s="114" t="n">
        <v>46195</v>
      </c>
      <c r="C31" s="110" t="inlineStr">
        <is>
          <t>SAT-008</t>
        </is>
      </c>
      <c r="D31" s="110" t="inlineStr">
        <is>
          <t>GELİR</t>
        </is>
      </c>
      <c r="E31" s="110" t="inlineStr">
        <is>
          <t>SATIŞ</t>
        </is>
      </c>
      <c r="F31" s="110" t="inlineStr">
        <is>
          <t>TİCARİ MAL</t>
        </is>
      </c>
      <c r="G31" s="110" t="inlineStr">
        <is>
          <t>TEMEL GIDA</t>
        </is>
      </c>
      <c r="H31" s="110" t="inlineStr">
        <is>
          <t>Süpermarket Zinciri</t>
        </is>
      </c>
      <c r="I31" s="110" t="inlineStr">
        <is>
          <t>Mercimek</t>
        </is>
      </c>
      <c r="J31" s="110" t="inlineStr">
        <is>
          <t>BÖLGESEL SATIŞ</t>
        </is>
      </c>
      <c r="K31" s="110" t="inlineStr">
        <is>
          <t>Toptan satış</t>
        </is>
      </c>
      <c r="L31" s="115" t="n">
        <v>1100</v>
      </c>
      <c r="M31" s="110" t="inlineStr">
        <is>
          <t>ADET</t>
        </is>
      </c>
      <c r="N31" s="115" t="n">
        <v>50</v>
      </c>
      <c r="O31" s="116" t="n">
        <v>55000</v>
      </c>
      <c r="P31" s="110" t="inlineStr">
        <is>
          <t>HARİÇ</t>
        </is>
      </c>
      <c r="Q31" s="114" t="n">
        <v>46195</v>
      </c>
      <c r="R31" s="114" t="n">
        <v>46201</v>
      </c>
      <c r="S31" s="110" t="inlineStr">
        <is>
          <t>EVET</t>
        </is>
      </c>
      <c r="T31" s="110" t="inlineStr">
        <is>
          <t>DEĞİŞKEN</t>
        </is>
      </c>
      <c r="U31" s="110" t="inlineStr">
        <is>
          <t>DOĞRUDAN</t>
        </is>
      </c>
      <c r="V31" s="110" t="inlineStr">
        <is>
          <t>TEKRARLAYAN</t>
        </is>
      </c>
      <c r="W31" s="110" t="inlineStr">
        <is>
          <t>HAYIR</t>
        </is>
      </c>
      <c r="X31" s="110" t="inlineStr">
        <is>
          <t>HAYIR</t>
        </is>
      </c>
      <c r="Y31" s="110" t="inlineStr">
        <is>
          <t>HAYIR</t>
        </is>
      </c>
      <c r="Z31" s="118">
        <f>IF($B31="",0,IF($S31="EVET",IF($D31="GELİR",$O31,-$O31),0))</f>
        <v/>
      </c>
      <c r="AA31" s="118">
        <f>IF($B31="",0,IF(OR($W31="EVET",$X31="EVET",$Y31="EVET"),0,IF($D31="GELİR",IF($E31="SATIŞ İADESİ/İSKONTO",-$O31,$O31),-$O31)))</f>
        <v/>
      </c>
      <c r="AB31" s="117">
        <f>IF($B31="","",IF(OR($D31="",$E31="",$O31=""),"EKSİK",IF($O31&lt;=0,"SIFIR/NEGATİF",IF(COUNTIFS($C$6:$C$5000,$C31,$O$6:$O$5000,$O31,$B$6:$B$5000,$B31)&gt;1,"MÜKERRER","OK"))))</f>
        <v/>
      </c>
    </row>
    <row r="32" ht="16.5" customHeight="1" s="80">
      <c r="A32" s="113">
        <f>IF($B32="","",ROW()-BaslangicSatir)</f>
        <v/>
      </c>
      <c r="B32" s="114" t="n">
        <v>46198</v>
      </c>
      <c r="C32" s="110" t="inlineStr">
        <is>
          <t>PER-002</t>
        </is>
      </c>
      <c r="D32" s="110" t="inlineStr">
        <is>
          <t>GİDER</t>
        </is>
      </c>
      <c r="E32" s="110" t="inlineStr">
        <is>
          <t>PERSONEL</t>
        </is>
      </c>
      <c r="F32" s="110" t="inlineStr">
        <is>
          <t>İKRAMİYE</t>
        </is>
      </c>
      <c r="G32" s="110" t="inlineStr">
        <is>
          <t>MAAŞ YAN ÖDEMESİ</t>
        </is>
      </c>
      <c r="H32" s="110" t="inlineStr">
        <is>
          <t>Personel</t>
        </is>
      </c>
      <c r="I32" s="110" t="n"/>
      <c r="J32" s="110" t="inlineStr">
        <is>
          <t>OPERASYON</t>
        </is>
      </c>
      <c r="K32" s="110" t="inlineStr">
        <is>
          <t>Maaş ödemesi</t>
        </is>
      </c>
      <c r="L32" s="115" t="n">
        <v>6</v>
      </c>
      <c r="M32" s="110" t="inlineStr">
        <is>
          <t>AY</t>
        </is>
      </c>
      <c r="N32" s="115" t="n">
        <v>9167</v>
      </c>
      <c r="O32" s="116" t="n">
        <v>55000</v>
      </c>
      <c r="P32" s="110" t="inlineStr">
        <is>
          <t>DAHİL</t>
        </is>
      </c>
      <c r="Q32" s="114" t="n">
        <v>46198</v>
      </c>
      <c r="R32" s="114" t="n">
        <v>46198</v>
      </c>
      <c r="S32" s="110" t="inlineStr">
        <is>
          <t>EVET</t>
        </is>
      </c>
      <c r="T32" s="110" t="inlineStr">
        <is>
          <t>SABİT</t>
        </is>
      </c>
      <c r="U32" s="110" t="inlineStr">
        <is>
          <t>DOLAYLI</t>
        </is>
      </c>
      <c r="V32" s="110" t="inlineStr">
        <is>
          <t>TEKRARLAYAN</t>
        </is>
      </c>
      <c r="W32" s="110" t="inlineStr">
        <is>
          <t>HAYIR</t>
        </is>
      </c>
      <c r="X32" s="110" t="inlineStr">
        <is>
          <t>HAYIR</t>
        </is>
      </c>
      <c r="Y32" s="110" t="inlineStr">
        <is>
          <t>HAYIR</t>
        </is>
      </c>
      <c r="Z32" s="117">
        <f>IF($B32="",0,IF($S32="EVET",IF($D32="GELİR",$O32,-$O32),0))</f>
        <v/>
      </c>
      <c r="AA32" s="117">
        <f>IF($B32="",0,IF(OR($W32="EVET",$X32="EVET",$Y32="EVET"),0,IF($D32="GELİR",IF($E32="SATIŞ İADESİ/İSKONTO",-$O32,$O32),-$O32)))</f>
        <v/>
      </c>
      <c r="AB32" s="117">
        <f>IF($B32="","",IF(OR($D32="",$E32="",$O32=""),"EKSİK",IF($O32&lt;=0,"SIFIR/NEGATİF",IF(COUNTIFS($C$6:$C$5000,$C32,$O$6:$O$5000,$O32,$B$6:$B$5000,$B32)&gt;1,"MÜKERRER","OK"))))</f>
        <v/>
      </c>
    </row>
    <row r="33" ht="16.5" customHeight="1" s="80">
      <c r="A33" s="113">
        <f>IF($B33="","",ROW()-BaslangicSatir)</f>
        <v/>
      </c>
      <c r="B33" s="114" t="n">
        <v>46201</v>
      </c>
      <c r="C33" s="110" t="inlineStr">
        <is>
          <t>SAT-009</t>
        </is>
      </c>
      <c r="D33" s="110" t="inlineStr">
        <is>
          <t>GELİR</t>
        </is>
      </c>
      <c r="E33" s="110" t="inlineStr">
        <is>
          <t>SATIŞ</t>
        </is>
      </c>
      <c r="F33" s="110" t="inlineStr">
        <is>
          <t>TİCARİ MAL</t>
        </is>
      </c>
      <c r="G33" s="110" t="inlineStr">
        <is>
          <t>TEMEL GIDA</t>
        </is>
      </c>
      <c r="H33" s="110" t="inlineStr">
        <is>
          <t>Yıldız Market</t>
        </is>
      </c>
      <c r="I33" s="110" t="inlineStr">
        <is>
          <t>Ayçiçek Yağı 5L</t>
        </is>
      </c>
      <c r="J33" s="110" t="inlineStr">
        <is>
          <t>BÖLGESEL SATIŞ</t>
        </is>
      </c>
      <c r="K33" s="110" t="inlineStr">
        <is>
          <t>Toptan satış</t>
        </is>
      </c>
      <c r="L33" s="115" t="n">
        <v>250</v>
      </c>
      <c r="M33" s="110" t="inlineStr">
        <is>
          <t>ADET</t>
        </is>
      </c>
      <c r="N33" s="115" t="n">
        <v>100</v>
      </c>
      <c r="O33" s="116" t="n">
        <v>25000</v>
      </c>
      <c r="P33" s="110" t="inlineStr">
        <is>
          <t>HARİÇ</t>
        </is>
      </c>
      <c r="Q33" s="114" t="n">
        <v>46201</v>
      </c>
      <c r="R33" s="114" t="n">
        <v>46239</v>
      </c>
      <c r="S33" s="110" t="inlineStr">
        <is>
          <t>HAYIR</t>
        </is>
      </c>
      <c r="T33" s="110" t="inlineStr">
        <is>
          <t>DEĞİŞKEN</t>
        </is>
      </c>
      <c r="U33" s="110" t="inlineStr">
        <is>
          <t>DOĞRUDAN</t>
        </is>
      </c>
      <c r="V33" s="110" t="inlineStr">
        <is>
          <t>TEKRARLAYAN</t>
        </is>
      </c>
      <c r="W33" s="110" t="inlineStr">
        <is>
          <t>HAYIR</t>
        </is>
      </c>
      <c r="X33" s="110" t="inlineStr">
        <is>
          <t>HAYIR</t>
        </is>
      </c>
      <c r="Y33" s="110" t="inlineStr">
        <is>
          <t>HAYIR</t>
        </is>
      </c>
      <c r="Z33" s="117">
        <f>IF($B33="",0,IF($S33="EVET",IF($D33="GELİR",$O33,-$O33),0))</f>
        <v/>
      </c>
      <c r="AA33" s="118">
        <f>IF($B33="",0,IF(OR($W33="EVET",$X33="EVET",$Y33="EVET"),0,IF($D33="GELİR",IF($E33="SATIŞ İADESİ/İSKONTO",-$O33,$O33),-$O33)))</f>
        <v/>
      </c>
      <c r="AB33" s="117">
        <f>IF($B33="","",IF(OR($D33="",$E33="",$O33=""),"EKSİK",IF($O33&lt;=0,"SIFIR/NEGATİF",IF(COUNTIFS($C$6:$C$5000,$C33,$O$6:$O$5000,$O33,$B$6:$B$5000,$B33)&gt;1,"MÜKERRER","OK"))))</f>
        <v/>
      </c>
    </row>
    <row r="34" ht="16.5" customHeight="1" s="80">
      <c r="A34" s="113">
        <f>IF($B34="","",ROW()-BaslangicSatir)</f>
        <v/>
      </c>
      <c r="B34" s="114" t="n">
        <v>46203</v>
      </c>
      <c r="C34" s="110" t="inlineStr">
        <is>
          <t>VRG-002</t>
        </is>
      </c>
      <c r="D34" s="110" t="inlineStr">
        <is>
          <t>GİDER</t>
        </is>
      </c>
      <c r="E34" s="110" t="inlineStr">
        <is>
          <t>VERGİ</t>
        </is>
      </c>
      <c r="F34" s="110" t="inlineStr">
        <is>
          <t>SİGORTA</t>
        </is>
      </c>
      <c r="G34" s="110" t="inlineStr">
        <is>
          <t>YASAL YÜKÜMLÜLÜK</t>
        </is>
      </c>
      <c r="H34" s="110" t="inlineStr">
        <is>
          <t>Vergi Dairesi</t>
        </is>
      </c>
      <c r="I34" s="110" t="n"/>
      <c r="J34" s="110" t="inlineStr">
        <is>
          <t>OPERASYON</t>
        </is>
      </c>
      <c r="K34" s="110" t="inlineStr">
        <is>
          <t>Muhtasar/KDV vergisi</t>
        </is>
      </c>
      <c r="L34" s="115" t="n">
        <v>1</v>
      </c>
      <c r="M34" s="110" t="inlineStr">
        <is>
          <t>AY</t>
        </is>
      </c>
      <c r="N34" s="115" t="n">
        <v>4000</v>
      </c>
      <c r="O34" s="116" t="n">
        <v>4000</v>
      </c>
      <c r="P34" s="110" t="inlineStr">
        <is>
          <t>DAHİL</t>
        </is>
      </c>
      <c r="Q34" s="114" t="n">
        <v>46203</v>
      </c>
      <c r="R34" s="114" t="n">
        <v>46203</v>
      </c>
      <c r="S34" s="110" t="inlineStr">
        <is>
          <t>EVET</t>
        </is>
      </c>
      <c r="T34" s="110" t="inlineStr">
        <is>
          <t>SABİT</t>
        </is>
      </c>
      <c r="U34" s="110" t="inlineStr">
        <is>
          <t>DOLAYLI</t>
        </is>
      </c>
      <c r="V34" s="110" t="inlineStr">
        <is>
          <t>TEKRARLAYAN</t>
        </is>
      </c>
      <c r="W34" s="110" t="inlineStr">
        <is>
          <t>HAYIR</t>
        </is>
      </c>
      <c r="X34" s="110" t="inlineStr">
        <is>
          <t>HAYIR</t>
        </is>
      </c>
      <c r="Y34" s="110" t="inlineStr">
        <is>
          <t>HAYIR</t>
        </is>
      </c>
      <c r="Z34" s="117">
        <f>IF($B34="",0,IF($S34="EVET",IF($D34="GELİR",$O34,-$O34),0))</f>
        <v/>
      </c>
      <c r="AA34" s="117">
        <f>IF($B34="",0,IF(OR($W34="EVET",$X34="EVET",$Y34="EVET"),0,IF($D34="GELİR",IF($E34="SATIŞ İADESİ/İSKONTO",-$O34,$O34),-$O34)))</f>
        <v/>
      </c>
      <c r="AB34" s="117">
        <f>IF($B34="","",IF(OR($D34="",$E34="",$O34=""),"EKSİK",IF($O34&lt;=0,"SIFIR/NEGATİF",IF(COUNTIFS($C$6:$C$5000,$C34,$O$6:$O$5000,$O34,$B$6:$B$5000,$B34)&gt;1,"MÜKERRER","OK"))))</f>
        <v/>
      </c>
    </row>
    <row r="35" ht="16.5" customHeight="1" s="80">
      <c r="A35" s="113">
        <f>IF($B35="","",ROW()-BaslangicSatir)</f>
        <v/>
      </c>
      <c r="B35" s="114" t="n">
        <v>46203</v>
      </c>
      <c r="C35" s="110" t="inlineStr">
        <is>
          <t>AMR-002</t>
        </is>
      </c>
      <c r="D35" s="110" t="inlineStr">
        <is>
          <t>GİDER</t>
        </is>
      </c>
      <c r="E35" s="110" t="inlineStr">
        <is>
          <t>AMORTİSMAN</t>
        </is>
      </c>
      <c r="F35" s="110" t="inlineStr">
        <is>
          <t>OFİS</t>
        </is>
      </c>
      <c r="G35" s="110" t="inlineStr">
        <is>
          <t>DESTEK GİDERİ</t>
        </is>
      </c>
      <c r="H35" s="110" t="inlineStr">
        <is>
          <t>-</t>
        </is>
      </c>
      <c r="I35" s="110" t="n"/>
      <c r="J35" s="110" t="inlineStr">
        <is>
          <t>OPERASYON</t>
        </is>
      </c>
      <c r="K35" s="110" t="inlineStr">
        <is>
          <t>Demirbaş amortismanı</t>
        </is>
      </c>
      <c r="L35" s="115" t="n">
        <v>1</v>
      </c>
      <c r="M35" s="110" t="inlineStr">
        <is>
          <t>AY</t>
        </is>
      </c>
      <c r="N35" s="115" t="n">
        <v>3000</v>
      </c>
      <c r="O35" s="116" t="n">
        <v>3000</v>
      </c>
      <c r="P35" s="110" t="inlineStr">
        <is>
          <t>HARİÇ</t>
        </is>
      </c>
      <c r="Q35" s="114" t="n">
        <v>46203</v>
      </c>
      <c r="R35" s="110" t="n"/>
      <c r="S35" s="110" t="inlineStr">
        <is>
          <t>HAYIR</t>
        </is>
      </c>
      <c r="T35" s="110" t="inlineStr">
        <is>
          <t>SABİT</t>
        </is>
      </c>
      <c r="U35" s="110" t="inlineStr">
        <is>
          <t>DOLAYLI</t>
        </is>
      </c>
      <c r="V35" s="110" t="inlineStr">
        <is>
          <t>TEKRARLAYAN</t>
        </is>
      </c>
      <c r="W35" s="110" t="inlineStr">
        <is>
          <t>HAYIR</t>
        </is>
      </c>
      <c r="X35" s="110" t="inlineStr">
        <is>
          <t>HAYIR</t>
        </is>
      </c>
      <c r="Y35" s="110" t="inlineStr">
        <is>
          <t>HAYIR</t>
        </is>
      </c>
      <c r="Z35" s="117">
        <f>IF($B35="",0,IF($S35="EVET",IF($D35="GELİR",$O35,-$O35),0))</f>
        <v/>
      </c>
      <c r="AA35" s="117">
        <f>IF($B35="",0,IF(OR($W35="EVET",$X35="EVET",$Y35="EVET"),0,IF($D35="GELİR",IF($E35="SATIŞ İADESİ/İSKONTO",-$O35,$O35),-$O35)))</f>
        <v/>
      </c>
      <c r="AB35" s="117">
        <f>IF($B35="","",IF(OR($D35="",$E35="",$O35=""),"EKSİK",IF($O35&lt;=0,"SIFIR/NEGATİF",IF(COUNTIFS($C$6:$C$5000,$C35,$O$6:$O$5000,$O35,$B$6:$B$5000,$B35)&gt;1,"MÜKERRER","OK"))))</f>
        <v/>
      </c>
    </row>
    <row r="36" ht="16.5" customHeight="1" s="80">
      <c r="A36" s="113">
        <f>IF($B36="","",ROW()-BaslangicSatir)</f>
        <v/>
      </c>
      <c r="B36" s="114" t="n">
        <v>46203</v>
      </c>
      <c r="C36" s="110" t="inlineStr">
        <is>
          <t>GY-002</t>
        </is>
      </c>
      <c r="D36" s="110" t="inlineStr">
        <is>
          <t>GİDER</t>
        </is>
      </c>
      <c r="E36" s="110" t="inlineStr">
        <is>
          <t>GENEL YÖNETİM</t>
        </is>
      </c>
      <c r="F36" s="110" t="inlineStr">
        <is>
          <t>ELEKTRİK</t>
        </is>
      </c>
      <c r="G36" s="110" t="inlineStr">
        <is>
          <t>ENERJİ</t>
        </is>
      </c>
      <c r="H36" s="110" t="inlineStr">
        <is>
          <t>Elektrik Dağıtım</t>
        </is>
      </c>
      <c r="I36" s="110" t="n"/>
      <c r="J36" s="110" t="inlineStr">
        <is>
          <t>OPERASYON</t>
        </is>
      </c>
      <c r="K36" s="110" t="inlineStr">
        <is>
          <t>Elektrik faturası</t>
        </is>
      </c>
      <c r="L36" s="115" t="n">
        <v>1</v>
      </c>
      <c r="M36" s="110" t="inlineStr">
        <is>
          <t>AY</t>
        </is>
      </c>
      <c r="N36" s="115" t="n">
        <v>10000</v>
      </c>
      <c r="O36" s="116" t="n">
        <v>10000</v>
      </c>
      <c r="P36" s="110" t="inlineStr">
        <is>
          <t>DAHİL</t>
        </is>
      </c>
      <c r="Q36" s="114" t="n">
        <v>46203</v>
      </c>
      <c r="R36" s="114" t="n">
        <v>46203</v>
      </c>
      <c r="S36" s="110" t="inlineStr">
        <is>
          <t>EVET</t>
        </is>
      </c>
      <c r="T36" s="110" t="inlineStr">
        <is>
          <t>SABİT</t>
        </is>
      </c>
      <c r="U36" s="110" t="inlineStr">
        <is>
          <t>DOLAYLI</t>
        </is>
      </c>
      <c r="V36" s="110" t="inlineStr">
        <is>
          <t>TEKRARLAYAN</t>
        </is>
      </c>
      <c r="W36" s="110" t="inlineStr">
        <is>
          <t>HAYIR</t>
        </is>
      </c>
      <c r="X36" s="110" t="inlineStr">
        <is>
          <t>HAYIR</t>
        </is>
      </c>
      <c r="Y36" s="110" t="inlineStr">
        <is>
          <t>HAYIR</t>
        </is>
      </c>
      <c r="Z36" s="117">
        <f>IF($B36="",0,IF($S36="EVET",IF($D36="GELİR",$O36,-$O36),0))</f>
        <v/>
      </c>
      <c r="AA36" s="117">
        <f>IF($B36="",0,IF(OR($W36="EVET",$X36="EVET",$Y36="EVET"),0,IF($D36="GELİR",IF($E36="SATIŞ İADESİ/İSKONTO",-$O36,$O36),-$O36)))</f>
        <v/>
      </c>
      <c r="AB36" s="117">
        <f>IF($B36="","",IF(OR($D36="",$E36="",$O36=""),"EKSİK",IF($O36&lt;=0,"SIFIR/NEGATİF",IF(COUNTIFS($C$6:$C$5000,$C36,$O$6:$O$5000,$O36,$B$6:$B$5000,$B36)&gt;1,"MÜKERRER","OK"))))</f>
        <v/>
      </c>
    </row>
    <row r="37" ht="16.5" customHeight="1" s="80">
      <c r="A37" s="113">
        <f>IF($B37="","",ROW()-BaslangicSatir)</f>
        <v/>
      </c>
      <c r="B37" s="114" t="n">
        <v>46206</v>
      </c>
      <c r="C37" s="110" t="inlineStr">
        <is>
          <t>SAT-010</t>
        </is>
      </c>
      <c r="D37" s="110" t="inlineStr">
        <is>
          <t>GELİR</t>
        </is>
      </c>
      <c r="E37" s="110" t="inlineStr">
        <is>
          <t>SATIŞ</t>
        </is>
      </c>
      <c r="F37" s="110" t="inlineStr">
        <is>
          <t>TİCARİ MAL</t>
        </is>
      </c>
      <c r="G37" s="110" t="inlineStr">
        <is>
          <t>TEMEL GIDA</t>
        </is>
      </c>
      <c r="H37" s="110" t="inlineStr">
        <is>
          <t>Can Bakkaliye</t>
        </is>
      </c>
      <c r="I37" s="110" t="inlineStr">
        <is>
          <t>Bulgur 50kg</t>
        </is>
      </c>
      <c r="J37" s="110" t="inlineStr">
        <is>
          <t>BÖLGESEL SATIŞ</t>
        </is>
      </c>
      <c r="K37" s="110" t="inlineStr">
        <is>
          <t>Toptan satış</t>
        </is>
      </c>
      <c r="L37" s="115" t="n">
        <v>800</v>
      </c>
      <c r="M37" s="110" t="inlineStr">
        <is>
          <t>ADET</t>
        </is>
      </c>
      <c r="N37" s="115" t="n">
        <v>100</v>
      </c>
      <c r="O37" s="116" t="n">
        <v>80000</v>
      </c>
      <c r="P37" s="110" t="inlineStr">
        <is>
          <t>HARİÇ</t>
        </is>
      </c>
      <c r="Q37" s="114" t="n">
        <v>46206</v>
      </c>
      <c r="R37" s="114" t="n">
        <v>46223</v>
      </c>
      <c r="S37" s="110" t="inlineStr">
        <is>
          <t>EVET</t>
        </is>
      </c>
      <c r="T37" s="110" t="inlineStr">
        <is>
          <t>DEĞİŞKEN</t>
        </is>
      </c>
      <c r="U37" s="110" t="inlineStr">
        <is>
          <t>DOĞRUDAN</t>
        </is>
      </c>
      <c r="V37" s="110" t="inlineStr">
        <is>
          <t>TEKRARLAYAN</t>
        </is>
      </c>
      <c r="W37" s="110" t="inlineStr">
        <is>
          <t>HAYIR</t>
        </is>
      </c>
      <c r="X37" s="110" t="inlineStr">
        <is>
          <t>HAYIR</t>
        </is>
      </c>
      <c r="Y37" s="110" t="inlineStr">
        <is>
          <t>HAYIR</t>
        </is>
      </c>
      <c r="Z37" s="118">
        <f>IF($B37="",0,IF($S37="EVET",IF($D37="GELİR",$O37,-$O37),0))</f>
        <v/>
      </c>
      <c r="AA37" s="118">
        <f>IF($B37="",0,IF(OR($W37="EVET",$X37="EVET",$Y37="EVET"),0,IF($D37="GELİR",IF($E37="SATIŞ İADESİ/İSKONTO",-$O37,$O37),-$O37)))</f>
        <v/>
      </c>
      <c r="AB37" s="117">
        <f>IF($B37="","",IF(OR($D37="",$E37="",$O37=""),"EKSİK",IF($O37&lt;=0,"SIFIR/NEGATİF",IF(COUNTIFS($C$6:$C$5000,$C37,$O$6:$O$5000,$O37,$B$6:$B$5000,$B37)&gt;1,"MÜKERRER","OK"))))</f>
        <v/>
      </c>
    </row>
    <row r="38" ht="16.5" customHeight="1" s="80">
      <c r="A38" s="113">
        <f>IF($B38="","",ROW()-BaslangicSatir)</f>
        <v/>
      </c>
      <c r="B38" s="114" t="n">
        <v>46208</v>
      </c>
      <c r="C38" s="110" t="inlineStr">
        <is>
          <t>KIR-003</t>
        </is>
      </c>
      <c r="D38" s="110" t="inlineStr">
        <is>
          <t>GİDER</t>
        </is>
      </c>
      <c r="E38" s="110" t="inlineStr">
        <is>
          <t>KİRA</t>
        </is>
      </c>
      <c r="F38" s="110" t="inlineStr">
        <is>
          <t>OFİS</t>
        </is>
      </c>
      <c r="G38" s="110" t="inlineStr">
        <is>
          <t>DESTEK GİDERİ</t>
        </is>
      </c>
      <c r="H38" s="110" t="inlineStr">
        <is>
          <t>Depo Sahibi</t>
        </is>
      </c>
      <c r="I38" s="110" t="n"/>
      <c r="J38" s="110" t="inlineStr">
        <is>
          <t>OPERASYON</t>
        </is>
      </c>
      <c r="K38" s="110" t="inlineStr">
        <is>
          <t>Depo ve ofis kirası</t>
        </is>
      </c>
      <c r="L38" s="115" t="n">
        <v>1</v>
      </c>
      <c r="M38" s="110" t="inlineStr">
        <is>
          <t>AY</t>
        </is>
      </c>
      <c r="N38" s="115" t="n">
        <v>25000</v>
      </c>
      <c r="O38" s="116" t="n">
        <v>25000</v>
      </c>
      <c r="P38" s="110" t="inlineStr">
        <is>
          <t>DAHİL</t>
        </is>
      </c>
      <c r="Q38" s="114" t="n">
        <v>46208</v>
      </c>
      <c r="R38" s="114" t="n">
        <v>46208</v>
      </c>
      <c r="S38" s="110" t="inlineStr">
        <is>
          <t>EVET</t>
        </is>
      </c>
      <c r="T38" s="110" t="inlineStr">
        <is>
          <t>SABİT</t>
        </is>
      </c>
      <c r="U38" s="110" t="inlineStr">
        <is>
          <t>DOLAYLI</t>
        </is>
      </c>
      <c r="V38" s="110" t="inlineStr">
        <is>
          <t>TEKRARLAYAN</t>
        </is>
      </c>
      <c r="W38" s="110" t="inlineStr">
        <is>
          <t>HAYIR</t>
        </is>
      </c>
      <c r="X38" s="110" t="inlineStr">
        <is>
          <t>HAYIR</t>
        </is>
      </c>
      <c r="Y38" s="110" t="inlineStr">
        <is>
          <t>HAYIR</t>
        </is>
      </c>
      <c r="Z38" s="117">
        <f>IF($B38="",0,IF($S38="EVET",IF($D38="GELİR",$O38,-$O38),0))</f>
        <v/>
      </c>
      <c r="AA38" s="117">
        <f>IF($B38="",0,IF(OR($W38="EVET",$X38="EVET",$Y38="EVET"),0,IF($D38="GELİR",IF($E38="SATIŞ İADESİ/İSKONTO",-$O38,$O38),-$O38)))</f>
        <v/>
      </c>
      <c r="AB38" s="117">
        <f>IF($B38="","",IF(OR($D38="",$E38="",$O38=""),"EKSİK",IF($O38&lt;=0,"SIFIR/NEGATİF",IF(COUNTIFS($C$6:$C$5000,$C38,$O$6:$O$5000,$O38,$B$6:$B$5000,$B38)&gt;1,"MÜKERRER","OK"))))</f>
        <v/>
      </c>
    </row>
    <row r="39" ht="16.5" customHeight="1" s="80">
      <c r="A39" s="113">
        <f>IF($B39="","",ROW()-BaslangicSatir)</f>
        <v/>
      </c>
      <c r="B39" s="114" t="n">
        <v>46208</v>
      </c>
      <c r="C39" s="110" t="inlineStr">
        <is>
          <t>FIN-003</t>
        </is>
      </c>
      <c r="D39" s="110" t="inlineStr">
        <is>
          <t>GİDER</t>
        </is>
      </c>
      <c r="E39" s="110" t="inlineStr">
        <is>
          <t>FİNANSMAN GİDERİ</t>
        </is>
      </c>
      <c r="F39" s="110" t="inlineStr">
        <is>
          <t>KOMİSYON</t>
        </is>
      </c>
      <c r="G39" s="110" t="inlineStr">
        <is>
          <t>BANKA HİZMETİ</t>
        </is>
      </c>
      <c r="H39" s="110" t="inlineStr">
        <is>
          <t>ABC Bankası</t>
        </is>
      </c>
      <c r="I39" s="110" t="n"/>
      <c r="J39" s="110" t="inlineStr">
        <is>
          <t>OPERASYON</t>
        </is>
      </c>
      <c r="K39" s="110" t="inlineStr">
        <is>
          <t>Kredi faizi</t>
        </is>
      </c>
      <c r="L39" s="115" t="n">
        <v>1</v>
      </c>
      <c r="M39" s="110" t="inlineStr">
        <is>
          <t>AY</t>
        </is>
      </c>
      <c r="N39" s="115" t="n">
        <v>6000</v>
      </c>
      <c r="O39" s="116" t="n">
        <v>6000</v>
      </c>
      <c r="P39" s="110" t="inlineStr">
        <is>
          <t>DAHİL</t>
        </is>
      </c>
      <c r="Q39" s="114" t="n">
        <v>46208</v>
      </c>
      <c r="R39" s="114" t="n">
        <v>46208</v>
      </c>
      <c r="S39" s="110" t="inlineStr">
        <is>
          <t>EVET</t>
        </is>
      </c>
      <c r="T39" s="110" t="inlineStr">
        <is>
          <t>SABİT</t>
        </is>
      </c>
      <c r="U39" s="110" t="inlineStr">
        <is>
          <t>DOLAYLI</t>
        </is>
      </c>
      <c r="V39" s="110" t="inlineStr">
        <is>
          <t>TEKRARLAYAN</t>
        </is>
      </c>
      <c r="W39" s="110" t="inlineStr">
        <is>
          <t>HAYIR</t>
        </is>
      </c>
      <c r="X39" s="110" t="inlineStr">
        <is>
          <t>HAYIR</t>
        </is>
      </c>
      <c r="Y39" s="110" t="inlineStr">
        <is>
          <t>HAYIR</t>
        </is>
      </c>
      <c r="Z39" s="117">
        <f>IF($B39="",0,IF($S39="EVET",IF($D39="GELİR",$O39,-$O39),0))</f>
        <v/>
      </c>
      <c r="AA39" s="117">
        <f>IF($B39="",0,IF(OR($W39="EVET",$X39="EVET",$Y39="EVET"),0,IF($D39="GELİR",IF($E39="SATIŞ İADESİ/İSKONTO",-$O39,$O39),-$O39)))</f>
        <v/>
      </c>
      <c r="AB39" s="117">
        <f>IF($B39="","",IF(OR($D39="",$E39="",$O39=""),"EKSİK",IF($O39&lt;=0,"SIFIR/NEGATİF",IF(COUNTIFS($C$6:$C$5000,$C39,$O$6:$O$5000,$O39,$B$6:$B$5000,$B39)&gt;1,"MÜKERRER","OK"))))</f>
        <v/>
      </c>
    </row>
    <row r="40" ht="16.5" customHeight="1" s="80">
      <c r="A40" s="113">
        <f>IF($B40="","",ROW()-BaslangicSatir)</f>
        <v/>
      </c>
      <c r="B40" s="114" t="n">
        <v>46208</v>
      </c>
      <c r="C40" s="110" t="inlineStr">
        <is>
          <t>YAT-001</t>
        </is>
      </c>
      <c r="D40" s="110" t="inlineStr">
        <is>
          <t>GİDER</t>
        </is>
      </c>
      <c r="E40" s="110" t="inlineStr">
        <is>
          <t>YATIRIM</t>
        </is>
      </c>
      <c r="F40" s="110" t="inlineStr">
        <is>
          <t>OFİS</t>
        </is>
      </c>
      <c r="G40" s="110" t="inlineStr">
        <is>
          <t>DESTEK GİDERİ</t>
        </is>
      </c>
      <c r="H40" s="110" t="inlineStr">
        <is>
          <t>Makine Firması</t>
        </is>
      </c>
      <c r="I40" s="110" t="inlineStr">
        <is>
          <t>Forklift</t>
        </is>
      </c>
      <c r="J40" s="110" t="inlineStr">
        <is>
          <t>YATIRIM PROGRAMI</t>
        </is>
      </c>
      <c r="K40" s="110" t="inlineStr">
        <is>
          <t>Forklift yatırımı</t>
        </is>
      </c>
      <c r="L40" s="115" t="n">
        <v>1</v>
      </c>
      <c r="M40" s="110" t="inlineStr">
        <is>
          <t>ADET</t>
        </is>
      </c>
      <c r="N40" s="115" t="n">
        <v>60000</v>
      </c>
      <c r="O40" s="116" t="n">
        <v>60000</v>
      </c>
      <c r="P40" s="110" t="inlineStr">
        <is>
          <t>DAHİL</t>
        </is>
      </c>
      <c r="Q40" s="114" t="n">
        <v>46208</v>
      </c>
      <c r="R40" s="114" t="n">
        <v>46208</v>
      </c>
      <c r="S40" s="110" t="inlineStr">
        <is>
          <t>EVET</t>
        </is>
      </c>
      <c r="T40" s="110" t="inlineStr">
        <is>
          <t>SABİT</t>
        </is>
      </c>
      <c r="U40" s="110" t="inlineStr">
        <is>
          <t>DOLAYLI</t>
        </is>
      </c>
      <c r="V40" s="110" t="inlineStr">
        <is>
          <t>TEK SEFERLİK</t>
        </is>
      </c>
      <c r="W40" s="110" t="inlineStr">
        <is>
          <t>HAYIR</t>
        </is>
      </c>
      <c r="X40" s="110" t="inlineStr">
        <is>
          <t>HAYIR</t>
        </is>
      </c>
      <c r="Y40" s="110" t="inlineStr">
        <is>
          <t>EVET</t>
        </is>
      </c>
      <c r="Z40" s="117">
        <f>IF($B40="",0,IF($S40="EVET",IF($D40="GELİR",$O40,-$O40),0))</f>
        <v/>
      </c>
      <c r="AA40" s="117">
        <f>IF($B40="",0,IF(OR($W40="EVET",$X40="EVET",$Y40="EVET"),0,IF($D40="GELİR",IF($E40="SATIŞ İADESİ/İSKONTO",-$O40,$O40),-$O40)))</f>
        <v/>
      </c>
      <c r="AB40" s="117">
        <f>IF($B40="","",IF(OR($D40="",$E40="",$O40=""),"EKSİK",IF($O40&lt;=0,"SIFIR/NEGATİF",IF(COUNTIFS($C$6:$C$5000,$C40,$O$6:$O$5000,$O40,$B$6:$B$5000,$B40)&gt;1,"MÜKERRER","OK"))))</f>
        <v/>
      </c>
    </row>
    <row r="41" ht="16.5" customHeight="1" s="80">
      <c r="A41" s="113">
        <f>IF($B41="","",ROW()-BaslangicSatir)</f>
        <v/>
      </c>
      <c r="B41" s="114" t="n">
        <v>46210</v>
      </c>
      <c r="C41" s="110" t="inlineStr">
        <is>
          <t>AL-007</t>
        </is>
      </c>
      <c r="D41" s="110" t="inlineStr">
        <is>
          <t>GİDER</t>
        </is>
      </c>
      <c r="E41" s="110" t="inlineStr">
        <is>
          <t>SATIŞLARIN MALİYETİ</t>
        </is>
      </c>
      <c r="F41" s="110" t="inlineStr">
        <is>
          <t>HAMMADDE</t>
        </is>
      </c>
      <c r="G41" s="110" t="inlineStr">
        <is>
          <t>HUBUBAT</t>
        </is>
      </c>
      <c r="H41" s="110" t="inlineStr">
        <is>
          <t>Tarım Ürünleri A.Ş.</t>
        </is>
      </c>
      <c r="I41" s="110" t="inlineStr">
        <is>
          <t>Ayçiçek Çekirdeği</t>
        </is>
      </c>
      <c r="J41" s="110" t="inlineStr">
        <is>
          <t>OPERASYON</t>
        </is>
      </c>
      <c r="K41" s="110" t="inlineStr">
        <is>
          <t>Hammadde alımı</t>
        </is>
      </c>
      <c r="L41" s="115" t="n">
        <v>1400</v>
      </c>
      <c r="M41" s="110" t="inlineStr">
        <is>
          <t>KG</t>
        </is>
      </c>
      <c r="N41" s="115" t="n">
        <v>50</v>
      </c>
      <c r="O41" s="116" t="n">
        <v>70000</v>
      </c>
      <c r="P41" s="110" t="inlineStr">
        <is>
          <t>HARİÇ</t>
        </is>
      </c>
      <c r="Q41" s="114" t="n">
        <v>46210</v>
      </c>
      <c r="R41" s="114" t="n">
        <v>46210</v>
      </c>
      <c r="S41" s="110" t="inlineStr">
        <is>
          <t>EVET</t>
        </is>
      </c>
      <c r="T41" s="110" t="inlineStr">
        <is>
          <t>DEĞİŞKEN</t>
        </is>
      </c>
      <c r="U41" s="110" t="inlineStr">
        <is>
          <t>DOĞRUDAN</t>
        </is>
      </c>
      <c r="V41" s="110" t="inlineStr">
        <is>
          <t>TEKRARLAYAN</t>
        </is>
      </c>
      <c r="W41" s="110" t="inlineStr">
        <is>
          <t>HAYIR</t>
        </is>
      </c>
      <c r="X41" s="110" t="inlineStr">
        <is>
          <t>HAYIR</t>
        </is>
      </c>
      <c r="Y41" s="110" t="inlineStr">
        <is>
          <t>HAYIR</t>
        </is>
      </c>
      <c r="Z41" s="117">
        <f>IF($B41="",0,IF($S41="EVET",IF($D41="GELİR",$O41,-$O41),0))</f>
        <v/>
      </c>
      <c r="AA41" s="117">
        <f>IF($B41="",0,IF(OR($W41="EVET",$X41="EVET",$Y41="EVET"),0,IF($D41="GELİR",IF($E41="SATIŞ İADESİ/İSKONTO",-$O41,$O41),-$O41)))</f>
        <v/>
      </c>
      <c r="AB41" s="117">
        <f>IF($B41="","",IF(OR($D41="",$E41="",$O41=""),"EKSİK",IF($O41&lt;=0,"SIFIR/NEGATİF",IF(COUNTIFS($C$6:$C$5000,$C41,$O$6:$O$5000,$O41,$B$6:$B$5000,$B41)&gt;1,"MÜKERRER","OK"))))</f>
        <v/>
      </c>
    </row>
    <row r="42" ht="16.5" customHeight="1" s="80">
      <c r="A42" s="113">
        <f>IF($B42="","",ROW()-BaslangicSatir)</f>
        <v/>
      </c>
      <c r="B42" s="114" t="n">
        <v>46211</v>
      </c>
      <c r="C42" s="110" t="inlineStr">
        <is>
          <t>KRD-001</t>
        </is>
      </c>
      <c r="D42" s="110" t="inlineStr">
        <is>
          <t>GİDER</t>
        </is>
      </c>
      <c r="E42" s="110" t="inlineStr">
        <is>
          <t>KREDİ ANAPARA</t>
        </is>
      </c>
      <c r="F42" s="110" t="inlineStr">
        <is>
          <t>KOMİSYON</t>
        </is>
      </c>
      <c r="G42" s="110" t="inlineStr">
        <is>
          <t>BANKA HİZMETİ</t>
        </is>
      </c>
      <c r="H42" s="110" t="inlineStr">
        <is>
          <t>ABC Bankası</t>
        </is>
      </c>
      <c r="I42" s="110" t="n"/>
      <c r="J42" s="110" t="inlineStr">
        <is>
          <t>KREDİ YAPISI</t>
        </is>
      </c>
      <c r="K42" s="110" t="inlineStr">
        <is>
          <t>Kredi anapara ödemesi</t>
        </is>
      </c>
      <c r="L42" s="115" t="n">
        <v>1</v>
      </c>
      <c r="M42" s="110" t="inlineStr">
        <is>
          <t>AY</t>
        </is>
      </c>
      <c r="N42" s="115" t="n">
        <v>50000</v>
      </c>
      <c r="O42" s="116" t="n">
        <v>50000</v>
      </c>
      <c r="P42" s="110" t="inlineStr">
        <is>
          <t>DAHİL</t>
        </is>
      </c>
      <c r="Q42" s="114" t="n">
        <v>46211</v>
      </c>
      <c r="R42" s="114" t="n">
        <v>46211</v>
      </c>
      <c r="S42" s="110" t="inlineStr">
        <is>
          <t>EVET</t>
        </is>
      </c>
      <c r="T42" s="110" t="inlineStr">
        <is>
          <t>SABİT</t>
        </is>
      </c>
      <c r="U42" s="110" t="inlineStr">
        <is>
          <t>DOLAYLI</t>
        </is>
      </c>
      <c r="V42" s="110" t="inlineStr">
        <is>
          <t>TEKRARLAYAN</t>
        </is>
      </c>
      <c r="W42" s="110" t="inlineStr">
        <is>
          <t>HAYIR</t>
        </is>
      </c>
      <c r="X42" s="110" t="inlineStr">
        <is>
          <t>EVET</t>
        </is>
      </c>
      <c r="Y42" s="110" t="inlineStr">
        <is>
          <t>HAYIR</t>
        </is>
      </c>
      <c r="Z42" s="117">
        <f>IF($B42="",0,IF($S42="EVET",IF($D42="GELİR",$O42,-$O42),0))</f>
        <v/>
      </c>
      <c r="AA42" s="117">
        <f>IF($B42="",0,IF(OR($W42="EVET",$X42="EVET",$Y42="EVET"),0,IF($D42="GELİR",IF($E42="SATIŞ İADESİ/İSKONTO",-$O42,$O42),-$O42)))</f>
        <v/>
      </c>
      <c r="AB42" s="117">
        <f>IF($B42="","",IF(OR($D42="",$E42="",$O42=""),"EKSİK",IF($O42&lt;=0,"SIFIR/NEGATİF",IF(COUNTIFS($C$6:$C$5000,$C42,$O$6:$O$5000,$O42,$B$6:$B$5000,$B42)&gt;1,"MÜKERRER","OK"))))</f>
        <v/>
      </c>
    </row>
    <row r="43" ht="16.5" customHeight="1" s="80">
      <c r="A43" s="113">
        <f>IF($B43="","",ROW()-BaslangicSatir)</f>
        <v/>
      </c>
      <c r="B43" s="114" t="n">
        <v>46213</v>
      </c>
      <c r="C43" s="110" t="inlineStr">
        <is>
          <t>SAT-011</t>
        </is>
      </c>
      <c r="D43" s="110" t="inlineStr">
        <is>
          <t>GELİR</t>
        </is>
      </c>
      <c r="E43" s="110" t="inlineStr">
        <is>
          <t>SATIŞ</t>
        </is>
      </c>
      <c r="F43" s="110" t="inlineStr">
        <is>
          <t>TİCARİ MAL</t>
        </is>
      </c>
      <c r="G43" s="110" t="inlineStr">
        <is>
          <t>TEMEL GIDA</t>
        </is>
      </c>
      <c r="H43" s="110" t="inlineStr">
        <is>
          <t>Mega Market</t>
        </is>
      </c>
      <c r="I43" s="110" t="inlineStr">
        <is>
          <t>Un 25kg</t>
        </is>
      </c>
      <c r="J43" s="110" t="inlineStr">
        <is>
          <t>BÖLGESEL SATIŞ</t>
        </is>
      </c>
      <c r="K43" s="110" t="inlineStr">
        <is>
          <t>Toptan satış</t>
        </is>
      </c>
      <c r="L43" s="115" t="n">
        <v>1200</v>
      </c>
      <c r="M43" s="110" t="inlineStr">
        <is>
          <t>ADET</t>
        </is>
      </c>
      <c r="N43" s="115" t="n">
        <v>100</v>
      </c>
      <c r="O43" s="116" t="n">
        <v>120000</v>
      </c>
      <c r="P43" s="110" t="inlineStr">
        <is>
          <t>HARİÇ</t>
        </is>
      </c>
      <c r="Q43" s="114" t="n">
        <v>46213</v>
      </c>
      <c r="R43" s="114" t="n">
        <v>46234</v>
      </c>
      <c r="S43" s="110" t="inlineStr">
        <is>
          <t>EVET</t>
        </is>
      </c>
      <c r="T43" s="110" t="inlineStr">
        <is>
          <t>DEĞİŞKEN</t>
        </is>
      </c>
      <c r="U43" s="110" t="inlineStr">
        <is>
          <t>DOĞRUDAN</t>
        </is>
      </c>
      <c r="V43" s="110" t="inlineStr">
        <is>
          <t>TEKRARLAYAN</t>
        </is>
      </c>
      <c r="W43" s="110" t="inlineStr">
        <is>
          <t>HAYIR</t>
        </is>
      </c>
      <c r="X43" s="110" t="inlineStr">
        <is>
          <t>HAYIR</t>
        </is>
      </c>
      <c r="Y43" s="110" t="inlineStr">
        <is>
          <t>HAYIR</t>
        </is>
      </c>
      <c r="Z43" s="118">
        <f>IF($B43="",0,IF($S43="EVET",IF($D43="GELİR",$O43,-$O43),0))</f>
        <v/>
      </c>
      <c r="AA43" s="118">
        <f>IF($B43="",0,IF(OR($W43="EVET",$X43="EVET",$Y43="EVET"),0,IF($D43="GELİR",IF($E43="SATIŞ İADESİ/İSKONTO",-$O43,$O43),-$O43)))</f>
        <v/>
      </c>
      <c r="AB43" s="117">
        <f>IF($B43="","",IF(OR($D43="",$E43="",$O43=""),"EKSİK",IF($O43&lt;=0,"SIFIR/NEGATİF",IF(COUNTIFS($C$6:$C$5000,$C43,$O$6:$O$5000,$O43,$B$6:$B$5000,$B43)&gt;1,"MÜKERRER","OK"))))</f>
        <v/>
      </c>
    </row>
    <row r="44" ht="16.5" customHeight="1" s="80">
      <c r="A44" s="113">
        <f>IF($B44="","",ROW()-BaslangicSatir)</f>
        <v/>
      </c>
      <c r="B44" s="114" t="n">
        <v>46217</v>
      </c>
      <c r="C44" s="110" t="inlineStr">
        <is>
          <t>AL-008</t>
        </is>
      </c>
      <c r="D44" s="110" t="inlineStr">
        <is>
          <t>GİDER</t>
        </is>
      </c>
      <c r="E44" s="110" t="inlineStr">
        <is>
          <t>SATIŞLARIN MALİYETİ</t>
        </is>
      </c>
      <c r="F44" s="110" t="inlineStr">
        <is>
          <t>HAMMADDE</t>
        </is>
      </c>
      <c r="G44" s="110" t="inlineStr">
        <is>
          <t>HUBUBAT</t>
        </is>
      </c>
      <c r="H44" s="110" t="inlineStr">
        <is>
          <t>Tarım Ürünleri A.Ş.</t>
        </is>
      </c>
      <c r="I44" s="110" t="inlineStr">
        <is>
          <t>Bulgur Buğdayı</t>
        </is>
      </c>
      <c r="J44" s="110" t="inlineStr">
        <is>
          <t>OPERASYON</t>
        </is>
      </c>
      <c r="K44" s="110" t="inlineStr">
        <is>
          <t>Hammadde alımı</t>
        </is>
      </c>
      <c r="L44" s="115" t="n">
        <v>2200</v>
      </c>
      <c r="M44" s="110" t="inlineStr">
        <is>
          <t>KG</t>
        </is>
      </c>
      <c r="N44" s="115" t="n">
        <v>25</v>
      </c>
      <c r="O44" s="116" t="n">
        <v>55000</v>
      </c>
      <c r="P44" s="110" t="inlineStr">
        <is>
          <t>HARİÇ</t>
        </is>
      </c>
      <c r="Q44" s="114" t="n">
        <v>46217</v>
      </c>
      <c r="R44" s="114" t="n">
        <v>46249</v>
      </c>
      <c r="S44" s="110" t="inlineStr">
        <is>
          <t>HAYIR</t>
        </is>
      </c>
      <c r="T44" s="110" t="inlineStr">
        <is>
          <t>DEĞİŞKEN</t>
        </is>
      </c>
      <c r="U44" s="110" t="inlineStr">
        <is>
          <t>DOĞRUDAN</t>
        </is>
      </c>
      <c r="V44" s="110" t="inlineStr">
        <is>
          <t>TEKRARLAYAN</t>
        </is>
      </c>
      <c r="W44" s="110" t="inlineStr">
        <is>
          <t>HAYIR</t>
        </is>
      </c>
      <c r="X44" s="110" t="inlineStr">
        <is>
          <t>HAYIR</t>
        </is>
      </c>
      <c r="Y44" s="110" t="inlineStr">
        <is>
          <t>HAYIR</t>
        </is>
      </c>
      <c r="Z44" s="117">
        <f>IF($B44="",0,IF($S44="EVET",IF($D44="GELİR",$O44,-$O44),0))</f>
        <v/>
      </c>
      <c r="AA44" s="117">
        <f>IF($B44="",0,IF(OR($W44="EVET",$X44="EVET",$Y44="EVET"),0,IF($D44="GELİR",IF($E44="SATIŞ İADESİ/İSKONTO",-$O44,$O44),-$O44)))</f>
        <v/>
      </c>
      <c r="AB44" s="117">
        <f>IF($B44="","",IF(OR($D44="",$E44="",$O44=""),"EKSİK",IF($O44&lt;=0,"SIFIR/NEGATİF",IF(COUNTIFS($C$6:$C$5000,$C44,$O$6:$O$5000,$O44,$B$6:$B$5000,$B44)&gt;1,"MÜKERRER","OK"))))</f>
        <v/>
      </c>
    </row>
    <row r="45" ht="16.5" customHeight="1" s="80">
      <c r="A45" s="113">
        <f>IF($B45="","",ROW()-BaslangicSatir)</f>
        <v/>
      </c>
      <c r="B45" s="114" t="n">
        <v>46218</v>
      </c>
      <c r="C45" s="110" t="inlineStr">
        <is>
          <t>ORT-001</t>
        </is>
      </c>
      <c r="D45" s="110" t="inlineStr">
        <is>
          <t>GİDER</t>
        </is>
      </c>
      <c r="E45" s="110" t="inlineStr">
        <is>
          <t>ORTAK ÇEKİŞİ</t>
        </is>
      </c>
      <c r="F45" s="110" t="inlineStr">
        <is>
          <t>İKRAMİYE</t>
        </is>
      </c>
      <c r="G45" s="110" t="inlineStr">
        <is>
          <t>MAAŞ YAN ÖDEMESİ</t>
        </is>
      </c>
      <c r="H45" s="110" t="inlineStr">
        <is>
          <t>Ortaklar</t>
        </is>
      </c>
      <c r="I45" s="110" t="n"/>
      <c r="J45" s="110" t="inlineStr">
        <is>
          <t>ORTAK HESAP</t>
        </is>
      </c>
      <c r="K45" s="110" t="inlineStr">
        <is>
          <t>Ortakların nakit çekişi</t>
        </is>
      </c>
      <c r="L45" s="115" t="n">
        <v>1</v>
      </c>
      <c r="M45" s="110" t="inlineStr">
        <is>
          <t>ADET</t>
        </is>
      </c>
      <c r="N45" s="115" t="n">
        <v>30000</v>
      </c>
      <c r="O45" s="116" t="n">
        <v>30000</v>
      </c>
      <c r="P45" s="110" t="inlineStr">
        <is>
          <t>DAHİL</t>
        </is>
      </c>
      <c r="Q45" s="114" t="n">
        <v>46218</v>
      </c>
      <c r="R45" s="114" t="n">
        <v>46218</v>
      </c>
      <c r="S45" s="110" t="inlineStr">
        <is>
          <t>EVET</t>
        </is>
      </c>
      <c r="T45" s="110" t="inlineStr">
        <is>
          <t>SABİT</t>
        </is>
      </c>
      <c r="U45" s="110" t="inlineStr">
        <is>
          <t>DOLAYLI</t>
        </is>
      </c>
      <c r="V45" s="110" t="inlineStr">
        <is>
          <t>TEK SEFERLİK</t>
        </is>
      </c>
      <c r="W45" s="110" t="inlineStr">
        <is>
          <t>EVET</t>
        </is>
      </c>
      <c r="X45" s="110" t="inlineStr">
        <is>
          <t>HAYIR</t>
        </is>
      </c>
      <c r="Y45" s="110" t="inlineStr">
        <is>
          <t>HAYIR</t>
        </is>
      </c>
      <c r="Z45" s="117">
        <f>IF($B45="",0,IF($S45="EVET",IF($D45="GELİR",$O45,-$O45),0))</f>
        <v/>
      </c>
      <c r="AA45" s="117">
        <f>IF($B45="",0,IF(OR($W45="EVET",$X45="EVET",$Y45="EVET"),0,IF($D45="GELİR",IF($E45="SATIŞ İADESİ/İSKONTO",-$O45,$O45),-$O45)))</f>
        <v/>
      </c>
      <c r="AB45" s="117">
        <f>IF($B45="","",IF(OR($D45="",$E45="",$O45=""),"EKSİK",IF($O45&lt;=0,"SIFIR/NEGATİF",IF(COUNTIFS($C$6:$C$5000,$C45,$O$6:$O$5000,$O45,$B$6:$B$5000,$B45)&gt;1,"MÜKERRER","OK"))))</f>
        <v/>
      </c>
    </row>
    <row r="46" ht="16.5" customHeight="1" s="80">
      <c r="A46" s="113">
        <f>IF($B46="","",ROW()-BaslangicSatir)</f>
        <v/>
      </c>
      <c r="B46" s="114" t="n">
        <v>46220</v>
      </c>
      <c r="C46" s="110" t="inlineStr">
        <is>
          <t>SAT-012</t>
        </is>
      </c>
      <c r="D46" s="110" t="inlineStr">
        <is>
          <t>GELİR</t>
        </is>
      </c>
      <c r="E46" s="110" t="inlineStr">
        <is>
          <t>SATIŞ</t>
        </is>
      </c>
      <c r="F46" s="110" t="inlineStr">
        <is>
          <t>TİCARİ MAL</t>
        </is>
      </c>
      <c r="G46" s="110" t="inlineStr">
        <is>
          <t>TEMEL GIDA</t>
        </is>
      </c>
      <c r="H46" s="110" t="inlineStr">
        <is>
          <t>Yıldız Market</t>
        </is>
      </c>
      <c r="I46" s="110" t="inlineStr">
        <is>
          <t>Ayçiçek Yağı 5L</t>
        </is>
      </c>
      <c r="J46" s="110" t="inlineStr">
        <is>
          <t>BÖLGESEL SATIŞ</t>
        </is>
      </c>
      <c r="K46" s="110" t="inlineStr">
        <is>
          <t>Toptan satış</t>
        </is>
      </c>
      <c r="L46" s="115" t="n">
        <v>400</v>
      </c>
      <c r="M46" s="110" t="inlineStr">
        <is>
          <t>ADET</t>
        </is>
      </c>
      <c r="N46" s="115" t="n">
        <v>150</v>
      </c>
      <c r="O46" s="116" t="n">
        <v>60000</v>
      </c>
      <c r="P46" s="110" t="inlineStr">
        <is>
          <t>HARİÇ</t>
        </is>
      </c>
      <c r="Q46" s="114" t="n">
        <v>46220</v>
      </c>
      <c r="R46" s="114" t="n">
        <v>46265</v>
      </c>
      <c r="S46" s="110" t="inlineStr">
        <is>
          <t>HAYIR</t>
        </is>
      </c>
      <c r="T46" s="110" t="inlineStr">
        <is>
          <t>DEĞİŞKEN</t>
        </is>
      </c>
      <c r="U46" s="110" t="inlineStr">
        <is>
          <t>DOĞRUDAN</t>
        </is>
      </c>
      <c r="V46" s="110" t="inlineStr">
        <is>
          <t>TEKRARLAYAN</t>
        </is>
      </c>
      <c r="W46" s="110" t="inlineStr">
        <is>
          <t>HAYIR</t>
        </is>
      </c>
      <c r="X46" s="110" t="inlineStr">
        <is>
          <t>HAYIR</t>
        </is>
      </c>
      <c r="Y46" s="110" t="inlineStr">
        <is>
          <t>HAYIR</t>
        </is>
      </c>
      <c r="Z46" s="117">
        <f>IF($B46="",0,IF($S46="EVET",IF($D46="GELİR",$O46,-$O46),0))</f>
        <v/>
      </c>
      <c r="AA46" s="118">
        <f>IF($B46="",0,IF(OR($W46="EVET",$X46="EVET",$Y46="EVET"),0,IF($D46="GELİR",IF($E46="SATIŞ İADESİ/İSKONTO",-$O46,$O46),-$O46)))</f>
        <v/>
      </c>
      <c r="AB46" s="117">
        <f>IF($B46="","",IF(OR($D46="",$E46="",$O46=""),"EKSİK",IF($O46&lt;=0,"SIFIR/NEGATİF",IF(COUNTIFS($C$6:$C$5000,$C46,$O$6:$O$5000,$O46,$B$6:$B$5000,$B46)&gt;1,"MÜKERRER","OK"))))</f>
        <v/>
      </c>
    </row>
    <row r="47" ht="16.5" customHeight="1" s="80">
      <c r="A47" s="113">
        <f>IF($B47="","",ROW()-BaslangicSatir)</f>
        <v/>
      </c>
      <c r="B47" s="114" t="n">
        <v>46224</v>
      </c>
      <c r="C47" s="110" t="inlineStr">
        <is>
          <t>AL-009</t>
        </is>
      </c>
      <c r="D47" s="110" t="inlineStr">
        <is>
          <t>GİDER</t>
        </is>
      </c>
      <c r="E47" s="110" t="inlineStr">
        <is>
          <t>SATIŞLARIN MALİYETİ</t>
        </is>
      </c>
      <c r="F47" s="110" t="inlineStr">
        <is>
          <t>HAMMADDE</t>
        </is>
      </c>
      <c r="G47" s="110" t="inlineStr">
        <is>
          <t>HUBUBAT</t>
        </is>
      </c>
      <c r="H47" s="110" t="inlineStr">
        <is>
          <t>Tarım Ürünleri A.Ş.</t>
        </is>
      </c>
      <c r="I47" s="110" t="inlineStr">
        <is>
          <t>Mercimek</t>
        </is>
      </c>
      <c r="J47" s="110" t="inlineStr">
        <is>
          <t>OPERASYON</t>
        </is>
      </c>
      <c r="K47" s="110" t="inlineStr">
        <is>
          <t>Hammadde alımı</t>
        </is>
      </c>
      <c r="L47" s="115" t="n">
        <v>800</v>
      </c>
      <c r="M47" s="110" t="inlineStr">
        <is>
          <t>KG</t>
        </is>
      </c>
      <c r="N47" s="115" t="n">
        <v>50</v>
      </c>
      <c r="O47" s="116" t="n">
        <v>40000</v>
      </c>
      <c r="P47" s="110" t="inlineStr">
        <is>
          <t>HARİÇ</t>
        </is>
      </c>
      <c r="Q47" s="114" t="n">
        <v>46224</v>
      </c>
      <c r="R47" s="114" t="n">
        <v>46224</v>
      </c>
      <c r="S47" s="110" t="inlineStr">
        <is>
          <t>EVET</t>
        </is>
      </c>
      <c r="T47" s="110" t="inlineStr">
        <is>
          <t>DEĞİŞKEN</t>
        </is>
      </c>
      <c r="U47" s="110" t="inlineStr">
        <is>
          <t>DOĞRUDAN</t>
        </is>
      </c>
      <c r="V47" s="110" t="inlineStr">
        <is>
          <t>TEKRARLAYAN</t>
        </is>
      </c>
      <c r="W47" s="110" t="inlineStr">
        <is>
          <t>HAYIR</t>
        </is>
      </c>
      <c r="X47" s="110" t="inlineStr">
        <is>
          <t>HAYIR</t>
        </is>
      </c>
      <c r="Y47" s="110" t="inlineStr">
        <is>
          <t>HAYIR</t>
        </is>
      </c>
      <c r="Z47" s="117">
        <f>IF($B47="",0,IF($S47="EVET",IF($D47="GELİR",$O47,-$O47),0))</f>
        <v/>
      </c>
      <c r="AA47" s="117">
        <f>IF($B47="",0,IF(OR($W47="EVET",$X47="EVET",$Y47="EVET"),0,IF($D47="GELİR",IF($E47="SATIŞ İADESİ/İSKONTO",-$O47,$O47),-$O47)))</f>
        <v/>
      </c>
      <c r="AB47" s="117">
        <f>IF($B47="","",IF(OR($D47="",$E47="",$O47=""),"EKSİK",IF($O47&lt;=0,"SIFIR/NEGATİF",IF(COUNTIFS($C$6:$C$5000,$C47,$O$6:$O$5000,$O47,$B$6:$B$5000,$B47)&gt;1,"MÜKERRER","OK"))))</f>
        <v/>
      </c>
    </row>
    <row r="48" ht="16.5" customHeight="1" s="80">
      <c r="A48" s="113">
        <f>IF($B48="","",ROW()-BaslangicSatir)</f>
        <v/>
      </c>
      <c r="B48" s="114" t="n">
        <v>46225</v>
      </c>
      <c r="C48" s="110" t="inlineStr">
        <is>
          <t>DNS-001</t>
        </is>
      </c>
      <c r="D48" s="110" t="inlineStr">
        <is>
          <t>GİDER</t>
        </is>
      </c>
      <c r="E48" s="110" t="inlineStr">
        <is>
          <t>DEĞİŞKEN GİDER</t>
        </is>
      </c>
      <c r="F48" s="110" t="inlineStr">
        <is>
          <t>DANIŞMANLIK</t>
        </is>
      </c>
      <c r="G48" s="110" t="inlineStr">
        <is>
          <t>PROFESYONEL HİZMET</t>
        </is>
      </c>
      <c r="H48" s="110" t="inlineStr">
        <is>
          <t>Mali Danışman</t>
        </is>
      </c>
      <c r="I48" s="110" t="n"/>
      <c r="J48" s="110" t="inlineStr">
        <is>
          <t>OPERASYON</t>
        </is>
      </c>
      <c r="K48" s="110" t="inlineStr">
        <is>
          <t>Danışmanlık hizmeti</t>
        </is>
      </c>
      <c r="L48" s="115" t="n">
        <v>1</v>
      </c>
      <c r="M48" s="110" t="inlineStr">
        <is>
          <t>AY</t>
        </is>
      </c>
      <c r="N48" s="115" t="n">
        <v>14000</v>
      </c>
      <c r="O48" s="116" t="n">
        <v>14000</v>
      </c>
      <c r="P48" s="110" t="inlineStr">
        <is>
          <t>DAHİL</t>
        </is>
      </c>
      <c r="Q48" s="114" t="n">
        <v>46225</v>
      </c>
      <c r="R48" s="114" t="n">
        <v>46225</v>
      </c>
      <c r="S48" s="110" t="inlineStr">
        <is>
          <t>EVET</t>
        </is>
      </c>
      <c r="T48" s="110" t="inlineStr">
        <is>
          <t>DEĞİŞKEN</t>
        </is>
      </c>
      <c r="U48" s="110" t="inlineStr">
        <is>
          <t>DOLAYLI</t>
        </is>
      </c>
      <c r="V48" s="110" t="inlineStr">
        <is>
          <t>TEK SEFERLİK</t>
        </is>
      </c>
      <c r="W48" s="110" t="inlineStr">
        <is>
          <t>HAYIR</t>
        </is>
      </c>
      <c r="X48" s="110" t="inlineStr">
        <is>
          <t>HAYIR</t>
        </is>
      </c>
      <c r="Y48" s="110" t="inlineStr">
        <is>
          <t>HAYIR</t>
        </is>
      </c>
      <c r="Z48" s="117">
        <f>IF($B48="",0,IF($S48="EVET",IF($D48="GELİR",$O48,-$O48),0))</f>
        <v/>
      </c>
      <c r="AA48" s="117">
        <f>IF($B48="",0,IF(OR($W48="EVET",$X48="EVET",$Y48="EVET"),0,IF($D48="GELİR",IF($E48="SATIŞ İADESİ/İSKONTO",-$O48,$O48),-$O48)))</f>
        <v/>
      </c>
      <c r="AB48" s="117">
        <f>IF($B48="","",IF(OR($D48="",$E48="",$O48=""),"EKSİK",IF($O48&lt;=0,"SIFIR/NEGATİF",IF(COUNTIFS($C$6:$C$5000,$C48,$O$6:$O$5000,$O48,$B$6:$B$5000,$B48)&gt;1,"MÜKERRER","OK"))))</f>
        <v/>
      </c>
    </row>
    <row r="49" ht="16.5" customHeight="1" s="80">
      <c r="A49" s="113">
        <f>IF($B49="","",ROW()-BaslangicSatir)</f>
        <v/>
      </c>
      <c r="B49" s="114" t="n">
        <v>46227</v>
      </c>
      <c r="C49" s="110" t="inlineStr">
        <is>
          <t>SAT-013</t>
        </is>
      </c>
      <c r="D49" s="110" t="inlineStr">
        <is>
          <t>GELİR</t>
        </is>
      </c>
      <c r="E49" s="110" t="inlineStr">
        <is>
          <t>SATIŞ</t>
        </is>
      </c>
      <c r="F49" s="110" t="inlineStr">
        <is>
          <t>TİCARİ MAL</t>
        </is>
      </c>
      <c r="G49" s="110" t="inlineStr">
        <is>
          <t>TEMEL GIDA</t>
        </is>
      </c>
      <c r="H49" s="110" t="inlineStr">
        <is>
          <t>Süpermarket Zinciri</t>
        </is>
      </c>
      <c r="I49" s="110" t="inlineStr">
        <is>
          <t>Mercimek</t>
        </is>
      </c>
      <c r="J49" s="110" t="inlineStr">
        <is>
          <t>BÖLGESEL SATIŞ</t>
        </is>
      </c>
      <c r="K49" s="110" t="inlineStr">
        <is>
          <t>Toptan satış</t>
        </is>
      </c>
      <c r="L49" s="115" t="n">
        <v>600</v>
      </c>
      <c r="M49" s="110" t="inlineStr">
        <is>
          <t>ADET</t>
        </is>
      </c>
      <c r="N49" s="115" t="n">
        <v>50</v>
      </c>
      <c r="O49" s="116" t="n">
        <v>30000</v>
      </c>
      <c r="P49" s="110" t="inlineStr">
        <is>
          <t>HARİÇ</t>
        </is>
      </c>
      <c r="Q49" s="114" t="n">
        <v>46227</v>
      </c>
      <c r="R49" s="114" t="n">
        <v>46234</v>
      </c>
      <c r="S49" s="110" t="inlineStr">
        <is>
          <t>EVET</t>
        </is>
      </c>
      <c r="T49" s="110" t="inlineStr">
        <is>
          <t>DEĞİŞKEN</t>
        </is>
      </c>
      <c r="U49" s="110" t="inlineStr">
        <is>
          <t>DOĞRUDAN</t>
        </is>
      </c>
      <c r="V49" s="110" t="inlineStr">
        <is>
          <t>TEKRARLAYAN</t>
        </is>
      </c>
      <c r="W49" s="110" t="inlineStr">
        <is>
          <t>HAYIR</t>
        </is>
      </c>
      <c r="X49" s="110" t="inlineStr">
        <is>
          <t>HAYIR</t>
        </is>
      </c>
      <c r="Y49" s="110" t="inlineStr">
        <is>
          <t>HAYIR</t>
        </is>
      </c>
      <c r="Z49" s="118">
        <f>IF($B49="",0,IF($S49="EVET",IF($D49="GELİR",$O49,-$O49),0))</f>
        <v/>
      </c>
      <c r="AA49" s="118">
        <f>IF($B49="",0,IF(OR($W49="EVET",$X49="EVET",$Y49="EVET"),0,IF($D49="GELİR",IF($E49="SATIŞ İADESİ/İSKONTO",-$O49,$O49),-$O49)))</f>
        <v/>
      </c>
      <c r="AB49" s="117">
        <f>IF($B49="","",IF(OR($D49="",$E49="",$O49=""),"EKSİK",IF($O49&lt;=0,"SIFIR/NEGATİF",IF(COUNTIFS($C$6:$C$5000,$C49,$O$6:$O$5000,$O49,$B$6:$B$5000,$B49)&gt;1,"MÜKERRER","OK"))))</f>
        <v/>
      </c>
    </row>
    <row r="50" ht="16.5" customHeight="1" s="80">
      <c r="A50" s="113">
        <f>IF($B50="","",ROW()-BaslangicSatir)</f>
        <v/>
      </c>
      <c r="B50" s="114" t="n">
        <v>46228</v>
      </c>
      <c r="C50" s="110" t="inlineStr">
        <is>
          <t>PER-003</t>
        </is>
      </c>
      <c r="D50" s="110" t="inlineStr">
        <is>
          <t>GİDER</t>
        </is>
      </c>
      <c r="E50" s="110" t="inlineStr">
        <is>
          <t>PERSONEL</t>
        </is>
      </c>
      <c r="F50" s="110" t="inlineStr">
        <is>
          <t>İKRAMİYE</t>
        </is>
      </c>
      <c r="G50" s="110" t="inlineStr">
        <is>
          <t>MAAŞ YAN ÖDEMESİ</t>
        </is>
      </c>
      <c r="H50" s="110" t="inlineStr">
        <is>
          <t>Personel</t>
        </is>
      </c>
      <c r="I50" s="110" t="n"/>
      <c r="J50" s="110" t="inlineStr">
        <is>
          <t>OPERASYON</t>
        </is>
      </c>
      <c r="K50" s="110" t="inlineStr">
        <is>
          <t>Maaş ödemesi</t>
        </is>
      </c>
      <c r="L50" s="115" t="n">
        <v>6</v>
      </c>
      <c r="M50" s="110" t="inlineStr">
        <is>
          <t>AY</t>
        </is>
      </c>
      <c r="N50" s="115" t="n">
        <v>9167</v>
      </c>
      <c r="O50" s="116" t="n">
        <v>55000</v>
      </c>
      <c r="P50" s="110" t="inlineStr">
        <is>
          <t>DAHİL</t>
        </is>
      </c>
      <c r="Q50" s="114" t="n">
        <v>46228</v>
      </c>
      <c r="R50" s="114" t="n">
        <v>46228</v>
      </c>
      <c r="S50" s="110" t="inlineStr">
        <is>
          <t>EVET</t>
        </is>
      </c>
      <c r="T50" s="110" t="inlineStr">
        <is>
          <t>SABİT</t>
        </is>
      </c>
      <c r="U50" s="110" t="inlineStr">
        <is>
          <t>DOLAYLI</t>
        </is>
      </c>
      <c r="V50" s="110" t="inlineStr">
        <is>
          <t>TEKRARLAYAN</t>
        </is>
      </c>
      <c r="W50" s="110" t="inlineStr">
        <is>
          <t>HAYIR</t>
        </is>
      </c>
      <c r="X50" s="110" t="inlineStr">
        <is>
          <t>HAYIR</t>
        </is>
      </c>
      <c r="Y50" s="110" t="inlineStr">
        <is>
          <t>HAYIR</t>
        </is>
      </c>
      <c r="Z50" s="117">
        <f>IF($B50="",0,IF($S50="EVET",IF($D50="GELİR",$O50,-$O50),0))</f>
        <v/>
      </c>
      <c r="AA50" s="117">
        <f>IF($B50="",0,IF(OR($W50="EVET",$X50="EVET",$Y50="EVET"),0,IF($D50="GELİR",IF($E50="SATIŞ İADESİ/İSKONTO",-$O50,$O50),-$O50)))</f>
        <v/>
      </c>
      <c r="AB50" s="117">
        <f>IF($B50="","",IF(OR($D50="",$E50="",$O50=""),"EKSİK",IF($O50&lt;=0,"SIFIR/NEGATİF",IF(COUNTIFS($C$6:$C$5000,$C50,$O$6:$O$5000,$O50,$B$6:$B$5000,$B50)&gt;1,"MÜKERRER","OK"))))</f>
        <v/>
      </c>
    </row>
    <row r="51" ht="16.5" customHeight="1" s="80">
      <c r="A51" s="113">
        <f>IF($B51="","",ROW()-BaslangicSatir)</f>
        <v/>
      </c>
      <c r="B51" s="114" t="n">
        <v>46234</v>
      </c>
      <c r="C51" s="110" t="inlineStr">
        <is>
          <t>VRG-003</t>
        </is>
      </c>
      <c r="D51" s="110" t="inlineStr">
        <is>
          <t>GİDER</t>
        </is>
      </c>
      <c r="E51" s="110" t="inlineStr">
        <is>
          <t>VERGİ</t>
        </is>
      </c>
      <c r="F51" s="110" t="inlineStr">
        <is>
          <t>SİGORTA</t>
        </is>
      </c>
      <c r="G51" s="110" t="inlineStr">
        <is>
          <t>YASAL YÜKÜMLÜLÜK</t>
        </is>
      </c>
      <c r="H51" s="110" t="inlineStr">
        <is>
          <t>Vergi Dairesi</t>
        </is>
      </c>
      <c r="I51" s="110" t="n"/>
      <c r="J51" s="110" t="inlineStr">
        <is>
          <t>OPERASYON</t>
        </is>
      </c>
      <c r="K51" s="110" t="inlineStr">
        <is>
          <t>Muhtasar/KDV vergisi</t>
        </is>
      </c>
      <c r="L51" s="115" t="n">
        <v>1</v>
      </c>
      <c r="M51" s="110" t="inlineStr">
        <is>
          <t>AY</t>
        </is>
      </c>
      <c r="N51" s="115" t="n">
        <v>4000</v>
      </c>
      <c r="O51" s="116" t="n">
        <v>4000</v>
      </c>
      <c r="P51" s="110" t="inlineStr">
        <is>
          <t>DAHİL</t>
        </is>
      </c>
      <c r="Q51" s="114" t="n">
        <v>46234</v>
      </c>
      <c r="R51" s="114" t="n">
        <v>46234</v>
      </c>
      <c r="S51" s="110" t="inlineStr">
        <is>
          <t>EVET</t>
        </is>
      </c>
      <c r="T51" s="110" t="inlineStr">
        <is>
          <t>SABİT</t>
        </is>
      </c>
      <c r="U51" s="110" t="inlineStr">
        <is>
          <t>DOLAYLI</t>
        </is>
      </c>
      <c r="V51" s="110" t="inlineStr">
        <is>
          <t>TEKRARLAYAN</t>
        </is>
      </c>
      <c r="W51" s="110" t="inlineStr">
        <is>
          <t>HAYIR</t>
        </is>
      </c>
      <c r="X51" s="110" t="inlineStr">
        <is>
          <t>HAYIR</t>
        </is>
      </c>
      <c r="Y51" s="110" t="inlineStr">
        <is>
          <t>HAYIR</t>
        </is>
      </c>
      <c r="Z51" s="117">
        <f>IF($B51="",0,IF($S51="EVET",IF($D51="GELİR",$O51,-$O51),0))</f>
        <v/>
      </c>
      <c r="AA51" s="117">
        <f>IF($B51="",0,IF(OR($W51="EVET",$X51="EVET",$Y51="EVET"),0,IF($D51="GELİR",IF($E51="SATIŞ İADESİ/İSKONTO",-$O51,$O51),-$O51)))</f>
        <v/>
      </c>
      <c r="AB51" s="117">
        <f>IF($B51="","",IF(OR($D51="",$E51="",$O51=""),"EKSİK",IF($O51&lt;=0,"SIFIR/NEGATİF",IF(COUNTIFS($C$6:$C$5000,$C51,$O$6:$O$5000,$O51,$B$6:$B$5000,$B51)&gt;1,"MÜKERRER","OK"))))</f>
        <v/>
      </c>
    </row>
    <row r="52" ht="16.5" customHeight="1" s="80">
      <c r="A52" s="113">
        <f>IF($B52="","",ROW()-BaslangicSatir)</f>
        <v/>
      </c>
      <c r="B52" s="114" t="n">
        <v>46234</v>
      </c>
      <c r="C52" s="110" t="inlineStr">
        <is>
          <t>AMR-003</t>
        </is>
      </c>
      <c r="D52" s="110" t="inlineStr">
        <is>
          <t>GİDER</t>
        </is>
      </c>
      <c r="E52" s="110" t="inlineStr">
        <is>
          <t>AMORTİSMAN</t>
        </is>
      </c>
      <c r="F52" s="110" t="inlineStr">
        <is>
          <t>OFİS</t>
        </is>
      </c>
      <c r="G52" s="110" t="inlineStr">
        <is>
          <t>DESTEK GİDERİ</t>
        </is>
      </c>
      <c r="H52" s="110" t="inlineStr">
        <is>
          <t>-</t>
        </is>
      </c>
      <c r="I52" s="110" t="n"/>
      <c r="J52" s="110" t="inlineStr">
        <is>
          <t>OPERASYON</t>
        </is>
      </c>
      <c r="K52" s="110" t="inlineStr">
        <is>
          <t>Demirbaş amortismanı</t>
        </is>
      </c>
      <c r="L52" s="115" t="n">
        <v>1</v>
      </c>
      <c r="M52" s="110" t="inlineStr">
        <is>
          <t>AY</t>
        </is>
      </c>
      <c r="N52" s="115" t="n">
        <v>3000</v>
      </c>
      <c r="O52" s="116" t="n">
        <v>3000</v>
      </c>
      <c r="P52" s="110" t="inlineStr">
        <is>
          <t>HARİÇ</t>
        </is>
      </c>
      <c r="Q52" s="114" t="n">
        <v>46234</v>
      </c>
      <c r="R52" s="110" t="n"/>
      <c r="S52" s="110" t="inlineStr">
        <is>
          <t>HAYIR</t>
        </is>
      </c>
      <c r="T52" s="110" t="inlineStr">
        <is>
          <t>SABİT</t>
        </is>
      </c>
      <c r="U52" s="110" t="inlineStr">
        <is>
          <t>DOLAYLI</t>
        </is>
      </c>
      <c r="V52" s="110" t="inlineStr">
        <is>
          <t>TEKRARLAYAN</t>
        </is>
      </c>
      <c r="W52" s="110" t="inlineStr">
        <is>
          <t>HAYIR</t>
        </is>
      </c>
      <c r="X52" s="110" t="inlineStr">
        <is>
          <t>HAYIR</t>
        </is>
      </c>
      <c r="Y52" s="110" t="inlineStr">
        <is>
          <t>HAYIR</t>
        </is>
      </c>
      <c r="Z52" s="117">
        <f>IF($B52="",0,IF($S52="EVET",IF($D52="GELİR",$O52,-$O52),0))</f>
        <v/>
      </c>
      <c r="AA52" s="117">
        <f>IF($B52="",0,IF(OR($W52="EVET",$X52="EVET",$Y52="EVET"),0,IF($D52="GELİR",IF($E52="SATIŞ İADESİ/İSKONTO",-$O52,$O52),-$O52)))</f>
        <v/>
      </c>
      <c r="AB52" s="117">
        <f>IF($B52="","",IF(OR($D52="",$E52="",$O52=""),"EKSİK",IF($O52&lt;=0,"SIFIR/NEGATİF",IF(COUNTIFS($C$6:$C$5000,$C52,$O$6:$O$5000,$O52,$B$6:$B$5000,$B52)&gt;1,"MÜKERRER","OK"))))</f>
        <v/>
      </c>
    </row>
    <row r="53" ht="16.5" customHeight="1" s="80">
      <c r="A53" s="113">
        <f>IF($B53="","",ROW()-BaslangicSatir)</f>
        <v/>
      </c>
      <c r="B53" s="114" t="n">
        <v>46234</v>
      </c>
      <c r="C53" s="110" t="inlineStr">
        <is>
          <t>GY-003</t>
        </is>
      </c>
      <c r="D53" s="110" t="inlineStr">
        <is>
          <t>GİDER</t>
        </is>
      </c>
      <c r="E53" s="110" t="inlineStr">
        <is>
          <t>GENEL YÖNETİM</t>
        </is>
      </c>
      <c r="F53" s="110" t="inlineStr">
        <is>
          <t>ELEKTRİK</t>
        </is>
      </c>
      <c r="G53" s="110" t="inlineStr">
        <is>
          <t>ENERJİ</t>
        </is>
      </c>
      <c r="H53" s="110" t="inlineStr">
        <is>
          <t>Elektrik Dağıtım</t>
        </is>
      </c>
      <c r="I53" s="110" t="n"/>
      <c r="J53" s="110" t="inlineStr">
        <is>
          <t>OPERASYON</t>
        </is>
      </c>
      <c r="K53" s="110" t="inlineStr">
        <is>
          <t>Elektrik faturası</t>
        </is>
      </c>
      <c r="L53" s="115" t="n">
        <v>1</v>
      </c>
      <c r="M53" s="110" t="inlineStr">
        <is>
          <t>AY</t>
        </is>
      </c>
      <c r="N53" s="115" t="n">
        <v>9000</v>
      </c>
      <c r="O53" s="116" t="n">
        <v>9000</v>
      </c>
      <c r="P53" s="110" t="inlineStr">
        <is>
          <t>DAHİL</t>
        </is>
      </c>
      <c r="Q53" s="114" t="n">
        <v>46234</v>
      </c>
      <c r="R53" s="114" t="n">
        <v>46234</v>
      </c>
      <c r="S53" s="110" t="inlineStr">
        <is>
          <t>EVET</t>
        </is>
      </c>
      <c r="T53" s="110" t="inlineStr">
        <is>
          <t>SABİT</t>
        </is>
      </c>
      <c r="U53" s="110" t="inlineStr">
        <is>
          <t>DOLAYLI</t>
        </is>
      </c>
      <c r="V53" s="110" t="inlineStr">
        <is>
          <t>TEKRARLAYAN</t>
        </is>
      </c>
      <c r="W53" s="110" t="inlineStr">
        <is>
          <t>HAYIR</t>
        </is>
      </c>
      <c r="X53" s="110" t="inlineStr">
        <is>
          <t>HAYIR</t>
        </is>
      </c>
      <c r="Y53" s="110" t="inlineStr">
        <is>
          <t>HAYIR</t>
        </is>
      </c>
      <c r="Z53" s="117">
        <f>IF($B53="",0,IF($S53="EVET",IF($D53="GELİR",$O53,-$O53),0))</f>
        <v/>
      </c>
      <c r="AA53" s="117">
        <f>IF($B53="",0,IF(OR($W53="EVET",$X53="EVET",$Y53="EVET"),0,IF($D53="GELİR",IF($E53="SATIŞ İADESİ/İSKONTO",-$O53,$O53),-$O53)))</f>
        <v/>
      </c>
      <c r="AB53" s="117">
        <f>IF($B53="","",IF(OR($D53="",$E53="",$O53=""),"EKSİK",IF($O53&lt;=0,"SIFIR/NEGATİF",IF(COUNTIFS($C$6:$C$5000,$C53,$O$6:$O$5000,$O53,$B$6:$B$5000,$B53)&gt;1,"MÜKERRER","OK"))))</f>
        <v/>
      </c>
    </row>
    <row r="54" ht="16.5" customHeight="1" s="80">
      <c r="A54" s="113" t="n"/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7">
        <f>IF($B54="",0,IF($S54="EVET",IF($D54="GELİR",$O54,-$O54),0))</f>
        <v/>
      </c>
      <c r="AA54" s="117">
        <f>IF($B54="",0,IF(OR($W54="EVET",$X54="EVET",$Y54="EVET"),0,IF($D54="GELİR",IF($E54="SATIŞ İADESİ/İSKONTO",-$O54,$O54),-$O54)))</f>
        <v/>
      </c>
      <c r="AB54" s="117">
        <f>IF($B54="","",IF(OR($D54="",$E54="",$O54=""),"EKSİK",IF($O54&lt;=0,"SIFIR/NEGATİF",IF(COUNTIFS($C$6:$C$5000,$C54,$O$6:$O$5000,$O54,$B$6:$B$5000,$B54)&gt;1,"MÜKERRER","OK"))))</f>
        <v/>
      </c>
    </row>
    <row r="55" ht="16.5" customHeight="1" s="80">
      <c r="A55" s="113" t="n"/>
      <c r="B55" s="110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7">
        <f>IF($B55="",0,IF($S55="EVET",IF($D55="GELİR",$O55,-$O55),0))</f>
        <v/>
      </c>
      <c r="AA55" s="117">
        <f>IF($B55="",0,IF(OR($W55="EVET",$X55="EVET",$Y55="EVET"),0,IF($D55="GELİR",IF($E55="SATIŞ İADESİ/İSKONTO",-$O55,$O55),-$O55)))</f>
        <v/>
      </c>
      <c r="AB55" s="117">
        <f>IF($B55="","",IF(OR($D55="",$E55="",$O55=""),"EKSİK",IF($O55&lt;=0,"SIFIR/NEGATİF",IF(COUNTIFS($C$6:$C$5000,$C55,$O$6:$O$5000,$O55,$B$6:$B$5000,$B55)&gt;1,"MÜKERRER","OK"))))</f>
        <v/>
      </c>
    </row>
    <row r="56" ht="16.5" customHeight="1" s="80">
      <c r="A56" s="113" t="n"/>
      <c r="B56" s="110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7">
        <f>IF($B56="",0,IF($S56="EVET",IF($D56="GELİR",$O56,-$O56),0))</f>
        <v/>
      </c>
      <c r="AA56" s="117">
        <f>IF($B56="",0,IF(OR($W56="EVET",$X56="EVET",$Y56="EVET"),0,IF($D56="GELİR",IF($E56="SATIŞ İADESİ/İSKONTO",-$O56,$O56),-$O56)))</f>
        <v/>
      </c>
      <c r="AB56" s="117">
        <f>IF($B56="","",IF(OR($D56="",$E56="",$O56=""),"EKSİK",IF($O56&lt;=0,"SIFIR/NEGATİF",IF(COUNTIFS($C$6:$C$5000,$C56,$O$6:$O$5000,$O56,$B$6:$B$5000,$B56)&gt;1,"MÜKERRER","OK"))))</f>
        <v/>
      </c>
    </row>
    <row r="57" ht="16.5" customHeight="1" s="80">
      <c r="A57" s="113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7">
        <f>IF($B57="",0,IF($S57="EVET",IF($D57="GELİR",$O57,-$O57),0))</f>
        <v/>
      </c>
      <c r="AA57" s="117">
        <f>IF($B57="",0,IF(OR($W57="EVET",$X57="EVET",$Y57="EVET"),0,IF($D57="GELİR",IF($E57="SATIŞ İADESİ/İSKONTO",-$O57,$O57),-$O57)))</f>
        <v/>
      </c>
      <c r="AB57" s="117">
        <f>IF($B57="","",IF(OR($D57="",$E57="",$O57=""),"EKSİK",IF($O57&lt;=0,"SIFIR/NEGATİF",IF(COUNTIFS($C$6:$C$5000,$C57,$O$6:$O$5000,$O57,$B$6:$B$5000,$B57)&gt;1,"MÜKERRER","OK"))))</f>
        <v/>
      </c>
    </row>
    <row r="58" ht="16.5" customHeight="1" s="80">
      <c r="A58" s="113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1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7">
        <f>IF($B58="",0,IF($S58="EVET",IF($D58="GELİR",$O58,-$O58),0))</f>
        <v/>
      </c>
      <c r="AA58" s="117">
        <f>IF($B58="",0,IF(OR($W58="EVET",$X58="EVET",$Y58="EVET"),0,IF($D58="GELİR",IF($E58="SATIŞ İADESİ/İSKONTO",-$O58,$O58),-$O58)))</f>
        <v/>
      </c>
      <c r="AB58" s="117">
        <f>IF($B58="","",IF(OR($D58="",$E58="",$O58=""),"EKSİK",IF($O58&lt;=0,"SIFIR/NEGATİF",IF(COUNTIFS($C$6:$C$5000,$C58,$O$6:$O$5000,$O58,$B$6:$B$5000,$B58)&gt;1,"MÜKERRER","OK"))))</f>
        <v/>
      </c>
    </row>
    <row r="59" ht="16.5" customHeight="1" s="80">
      <c r="A59" s="113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7">
        <f>IF($B59="",0,IF($S59="EVET",IF($D59="GELİR",$O59,-$O59),0))</f>
        <v/>
      </c>
      <c r="AA59" s="117">
        <f>IF($B59="",0,IF(OR($W59="EVET",$X59="EVET",$Y59="EVET"),0,IF($D59="GELİR",IF($E59="SATIŞ İADESİ/İSKONTO",-$O59,$O59),-$O59)))</f>
        <v/>
      </c>
      <c r="AB59" s="117">
        <f>IF($B59="","",IF(OR($D59="",$E59="",$O59=""),"EKSİK",IF($O59&lt;=0,"SIFIR/NEGATİF",IF(COUNTIFS($C$6:$C$5000,$C59,$O$6:$O$5000,$O59,$B$6:$B$5000,$B59)&gt;1,"MÜKERRER","OK"))))</f>
        <v/>
      </c>
    </row>
    <row r="60" ht="16.5" customHeight="1" s="80">
      <c r="A60" s="113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7">
        <f>IF($B60="",0,IF($S60="EVET",IF($D60="GELİR",$O60,-$O60),0))</f>
        <v/>
      </c>
      <c r="AA60" s="117">
        <f>IF($B60="",0,IF(OR($W60="EVET",$X60="EVET",$Y60="EVET"),0,IF($D60="GELİR",IF($E60="SATIŞ İADESİ/İSKONTO",-$O60,$O60),-$O60)))</f>
        <v/>
      </c>
      <c r="AB60" s="117">
        <f>IF($B60="","",IF(OR($D60="",$E60="",$O60=""),"EKSİK",IF($O60&lt;=0,"SIFIR/NEGATİF",IF(COUNTIFS($C$6:$C$5000,$C60,$O$6:$O$5000,$O60,$B$6:$B$5000,$B60)&gt;1,"MÜKERRER","OK"))))</f>
        <v/>
      </c>
    </row>
    <row r="61" ht="16.5" customHeight="1" s="80">
      <c r="A61" s="113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7">
        <f>IF($B61="",0,IF($S61="EVET",IF($D61="GELİR",$O61,-$O61),0))</f>
        <v/>
      </c>
      <c r="AA61" s="117">
        <f>IF($B61="",0,IF(OR($W61="EVET",$X61="EVET",$Y61="EVET"),0,IF($D61="GELİR",IF($E61="SATIŞ İADESİ/İSKONTO",-$O61,$O61),-$O61)))</f>
        <v/>
      </c>
      <c r="AB61" s="117">
        <f>IF($B61="","",IF(OR($D61="",$E61="",$O61=""),"EKSİK",IF($O61&lt;=0,"SIFIR/NEGATİF",IF(COUNTIFS($C$6:$C$5000,$C61,$O$6:$O$5000,$O61,$B$6:$B$5000,$B61)&gt;1,"MÜKERRER","OK"))))</f>
        <v/>
      </c>
    </row>
    <row r="62" ht="16.5" customHeight="1" s="80">
      <c r="A62" s="113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7">
        <f>IF($B62="",0,IF($S62="EVET",IF($D62="GELİR",$O62,-$O62),0))</f>
        <v/>
      </c>
      <c r="AA62" s="117">
        <f>IF($B62="",0,IF(OR($W62="EVET",$X62="EVET",$Y62="EVET"),0,IF($D62="GELİR",IF($E62="SATIŞ İADESİ/İSKONTO",-$O62,$O62),-$O62)))</f>
        <v/>
      </c>
      <c r="AB62" s="117">
        <f>IF($B62="","",IF(OR($D62="",$E62="",$O62=""),"EKSİK",IF($O62&lt;=0,"SIFIR/NEGATİF",IF(COUNTIFS($C$6:$C$5000,$C62,$O$6:$O$5000,$O62,$B$6:$B$5000,$B62)&gt;1,"MÜKERRER","OK"))))</f>
        <v/>
      </c>
    </row>
    <row r="63" ht="16.5" customHeight="1" s="80">
      <c r="A63" s="113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7">
        <f>IF($B63="",0,IF($S63="EVET",IF($D63="GELİR",$O63,-$O63),0))</f>
        <v/>
      </c>
      <c r="AA63" s="117">
        <f>IF($B63="",0,IF(OR($W63="EVET",$X63="EVET",$Y63="EVET"),0,IF($D63="GELİR",IF($E63="SATIŞ İADESİ/İSKONTO",-$O63,$O63),-$O63)))</f>
        <v/>
      </c>
      <c r="AB63" s="117">
        <f>IF($B63="","",IF(OR($D63="",$E63="",$O63=""),"EKSİK",IF($O63&lt;=0,"SIFIR/NEGATİF",IF(COUNTIFS($C$6:$C$5000,$C63,$O$6:$O$5000,$O63,$B$6:$B$5000,$B63)&gt;1,"MÜKERRER","OK"))))</f>
        <v/>
      </c>
    </row>
    <row r="64" ht="16.5" customHeight="1" s="80">
      <c r="A64" s="113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7">
        <f>IF($B64="",0,IF($S64="EVET",IF($D64="GELİR",$O64,-$O64),0))</f>
        <v/>
      </c>
      <c r="AA64" s="117">
        <f>IF($B64="",0,IF(OR($W64="EVET",$X64="EVET",$Y64="EVET"),0,IF($D64="GELİR",IF($E64="SATIŞ İADESİ/İSKONTO",-$O64,$O64),-$O64)))</f>
        <v/>
      </c>
      <c r="AB64" s="117">
        <f>IF($B64="","",IF(OR($D64="",$E64="",$O64=""),"EKSİK",IF($O64&lt;=0,"SIFIR/NEGATİF",IF(COUNTIFS($C$6:$C$5000,$C64,$O$6:$O$5000,$O64,$B$6:$B$5000,$B64)&gt;1,"MÜKERRER","OK"))))</f>
        <v/>
      </c>
    </row>
    <row r="65" ht="16.5" customHeight="1" s="80">
      <c r="A65" s="113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7">
        <f>IF($B65="",0,IF($S65="EVET",IF($D65="GELİR",$O65,-$O65),0))</f>
        <v/>
      </c>
      <c r="AA65" s="117">
        <f>IF($B65="",0,IF(OR($W65="EVET",$X65="EVET",$Y65="EVET"),0,IF($D65="GELİR",IF($E65="SATIŞ İADESİ/İSKONTO",-$O65,$O65),-$O65)))</f>
        <v/>
      </c>
      <c r="AB65" s="117">
        <f>IF($B65="","",IF(OR($D65="",$E65="",$O65=""),"EKSİK",IF($O65&lt;=0,"SIFIR/NEGATİF",IF(COUNTIFS($C$6:$C$5000,$C65,$O$6:$O$5000,$O65,$B$6:$B$5000,$B65)&gt;1,"MÜKERRER","OK"))))</f>
        <v/>
      </c>
    </row>
    <row r="66" ht="16.5" customHeight="1" s="80">
      <c r="A66" s="113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7">
        <f>IF($B66="",0,IF($S66="EVET",IF($D66="GELİR",$O66,-$O66),0))</f>
        <v/>
      </c>
      <c r="AA66" s="117">
        <f>IF($B66="",0,IF(OR($W66="EVET",$X66="EVET",$Y66="EVET"),0,IF($D66="GELİR",IF($E66="SATIŞ İADESİ/İSKONTO",-$O66,$O66),-$O66)))</f>
        <v/>
      </c>
      <c r="AB66" s="117">
        <f>IF($B66="","",IF(OR($D66="",$E66="",$O66=""),"EKSİK",IF($O66&lt;=0,"SIFIR/NEGATİF",IF(COUNTIFS($C$6:$C$5000,$C66,$O$6:$O$5000,$O66,$B$6:$B$5000,$B66)&gt;1,"MÜKERRER","OK"))))</f>
        <v/>
      </c>
    </row>
    <row r="67" ht="16.5" customHeight="1" s="80">
      <c r="A67" s="113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7">
        <f>IF($B67="",0,IF($S67="EVET",IF($D67="GELİR",$O67,-$O67),0))</f>
        <v/>
      </c>
      <c r="AA67" s="117">
        <f>IF($B67="",0,IF(OR($W67="EVET",$X67="EVET",$Y67="EVET"),0,IF($D67="GELİR",IF($E67="SATIŞ İADESİ/İSKONTO",-$O67,$O67),-$O67)))</f>
        <v/>
      </c>
      <c r="AB67" s="117">
        <f>IF($B67="","",IF(OR($D67="",$E67="",$O67=""),"EKSİK",IF($O67&lt;=0,"SIFIR/NEGATİF",IF(COUNTIFS($C$6:$C$5000,$C67,$O$6:$O$5000,$O67,$B$6:$B$5000,$B67)&gt;1,"MÜKERRER","OK"))))</f>
        <v/>
      </c>
    </row>
    <row r="68" ht="16.5" customHeight="1" s="80">
      <c r="A68" s="113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7">
        <f>IF($B68="",0,IF($S68="EVET",IF($D68="GELİR",$O68,-$O68),0))</f>
        <v/>
      </c>
      <c r="AA68" s="117">
        <f>IF($B68="",0,IF(OR($W68="EVET",$X68="EVET",$Y68="EVET"),0,IF($D68="GELİR",IF($E68="SATIŞ İADESİ/İSKONTO",-$O68,$O68),-$O68)))</f>
        <v/>
      </c>
      <c r="AB68" s="117">
        <f>IF($B68="","",IF(OR($D68="",$E68="",$O68=""),"EKSİK",IF($O68&lt;=0,"SIFIR/NEGATİF",IF(COUNTIFS($C$6:$C$5000,$C68,$O$6:$O$5000,$O68,$B$6:$B$5000,$B68)&gt;1,"MÜKERRER","OK"))))</f>
        <v/>
      </c>
    </row>
    <row r="69" ht="16.5" customHeight="1" s="80">
      <c r="A69" s="113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7">
        <f>IF($B69="",0,IF($S69="EVET",IF($D69="GELİR",$O69,-$O69),0))</f>
        <v/>
      </c>
      <c r="AA69" s="117">
        <f>IF($B69="",0,IF(OR($W69="EVET",$X69="EVET",$Y69="EVET"),0,IF($D69="GELİR",IF($E69="SATIŞ İADESİ/İSKONTO",-$O69,$O69),-$O69)))</f>
        <v/>
      </c>
      <c r="AB69" s="117">
        <f>IF($B69="","",IF(OR($D69="",$E69="",$O69=""),"EKSİK",IF($O69&lt;=0,"SIFIR/NEGATİF",IF(COUNTIFS($C$6:$C$5000,$C69,$O$6:$O$5000,$O69,$B$6:$B$5000,$B69)&gt;1,"MÜKERRER","OK"))))</f>
        <v/>
      </c>
    </row>
    <row r="70" ht="16.5" customHeight="1" s="80">
      <c r="A70" s="113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7">
        <f>IF($B70="",0,IF($S70="EVET",IF($D70="GELİR",$O70,-$O70),0))</f>
        <v/>
      </c>
      <c r="AA70" s="117">
        <f>IF($B70="",0,IF(OR($W70="EVET",$X70="EVET",$Y70="EVET"),0,IF($D70="GELİR",IF($E70="SATIŞ İADESİ/İSKONTO",-$O70,$O70),-$O70)))</f>
        <v/>
      </c>
      <c r="AB70" s="117">
        <f>IF($B70="","",IF(OR($D70="",$E70="",$O70=""),"EKSİK",IF($O70&lt;=0,"SIFIR/NEGATİF",IF(COUNTIFS($C$6:$C$5000,$C70,$O$6:$O$5000,$O70,$B$6:$B$5000,$B70)&gt;1,"MÜKERRER","OK"))))</f>
        <v/>
      </c>
    </row>
    <row r="71" ht="16.5" customHeight="1" s="80">
      <c r="A71" s="113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7">
        <f>IF($B71="",0,IF($S71="EVET",IF($D71="GELİR",$O71,-$O71),0))</f>
        <v/>
      </c>
      <c r="AA71" s="117">
        <f>IF($B71="",0,IF(OR($W71="EVET",$X71="EVET",$Y71="EVET"),0,IF($D71="GELİR",IF($E71="SATIŞ İADESİ/İSKONTO",-$O71,$O71),-$O71)))</f>
        <v/>
      </c>
      <c r="AB71" s="117">
        <f>IF($B71="","",IF(OR($D71="",$E71="",$O71=""),"EKSİK",IF($O71&lt;=0,"SIFIR/NEGATİF",IF(COUNTIFS($C$6:$C$5000,$C71,$O$6:$O$5000,$O71,$B$6:$B$5000,$B71)&gt;1,"MÜKERRER","OK"))))</f>
        <v/>
      </c>
    </row>
    <row r="72" ht="16.5" customHeight="1" s="80">
      <c r="A72" s="113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7">
        <f>IF($B72="",0,IF($S72="EVET",IF($D72="GELİR",$O72,-$O72),0))</f>
        <v/>
      </c>
      <c r="AA72" s="117">
        <f>IF($B72="",0,IF(OR($W72="EVET",$X72="EVET",$Y72="EVET"),0,IF($D72="GELİR",IF($E72="SATIŞ İADESİ/İSKONTO",-$O72,$O72),-$O72)))</f>
        <v/>
      </c>
      <c r="AB72" s="117">
        <f>IF($B72="","",IF(OR($D72="",$E72="",$O72=""),"EKSİK",IF($O72&lt;=0,"SIFIR/NEGATİF",IF(COUNTIFS($C$6:$C$5000,$C72,$O$6:$O$5000,$O72,$B$6:$B$5000,$B72)&gt;1,"MÜKERRER","OK"))))</f>
        <v/>
      </c>
    </row>
    <row r="73" ht="16.5" customHeight="1" s="80">
      <c r="A73" s="113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7">
        <f>IF($B73="",0,IF($S73="EVET",IF($D73="GELİR",$O73,-$O73),0))</f>
        <v/>
      </c>
      <c r="AA73" s="117">
        <f>IF($B73="",0,IF(OR($W73="EVET",$X73="EVET",$Y73="EVET"),0,IF($D73="GELİR",IF($E73="SATIŞ İADESİ/İSKONTO",-$O73,$O73),-$O73)))</f>
        <v/>
      </c>
      <c r="AB73" s="117">
        <f>IF($B73="","",IF(OR($D73="",$E73="",$O73=""),"EKSİK",IF($O73&lt;=0,"SIFIR/NEGATİF",IF(COUNTIFS($C$6:$C$5000,$C73,$O$6:$O$5000,$O73,$B$6:$B$5000,$B73)&gt;1,"MÜKERRER","OK"))))</f>
        <v/>
      </c>
    </row>
    <row r="74" ht="16.5" customHeight="1" s="80">
      <c r="A74" s="113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7">
        <f>IF($B74="",0,IF($S74="EVET",IF($D74="GELİR",$O74,-$O74),0))</f>
        <v/>
      </c>
      <c r="AA74" s="117">
        <f>IF($B74="",0,IF(OR($W74="EVET",$X74="EVET",$Y74="EVET"),0,IF($D74="GELİR",IF($E74="SATIŞ İADESİ/İSKONTO",-$O74,$O74),-$O74)))</f>
        <v/>
      </c>
      <c r="AB74" s="117">
        <f>IF($B74="","",IF(OR($D74="",$E74="",$O74=""),"EKSİK",IF($O74&lt;=0,"SIFIR/NEGATİF",IF(COUNTIFS($C$6:$C$5000,$C74,$O$6:$O$5000,$O74,$B$6:$B$5000,$B74)&gt;1,"MÜKERRER","OK"))))</f>
        <v/>
      </c>
    </row>
    <row r="75" ht="16.5" customHeight="1" s="80">
      <c r="A75" s="113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7">
        <f>IF($B75="",0,IF($S75="EVET",IF($D75="GELİR",$O75,-$O75),0))</f>
        <v/>
      </c>
      <c r="AA75" s="117">
        <f>IF($B75="",0,IF(OR($W75="EVET",$X75="EVET",$Y75="EVET"),0,IF($D75="GELİR",IF($E75="SATIŞ İADESİ/İSKONTO",-$O75,$O75),-$O75)))</f>
        <v/>
      </c>
      <c r="AB75" s="117">
        <f>IF($B75="","",IF(OR($D75="",$E75="",$O75=""),"EKSİK",IF($O75&lt;=0,"SIFIR/NEGATİF",IF(COUNTIFS($C$6:$C$5000,$C75,$O$6:$O$5000,$O75,$B$6:$B$5000,$B75)&gt;1,"MÜKERRER","OK"))))</f>
        <v/>
      </c>
    </row>
    <row r="76" ht="16.5" customHeight="1" s="80">
      <c r="A76" s="113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7">
        <f>IF($B76="",0,IF($S76="EVET",IF($D76="GELİR",$O76,-$O76),0))</f>
        <v/>
      </c>
      <c r="AA76" s="117">
        <f>IF($B76="",0,IF(OR($W76="EVET",$X76="EVET",$Y76="EVET"),0,IF($D76="GELİR",IF($E76="SATIŞ İADESİ/İSKONTO",-$O76,$O76),-$O76)))</f>
        <v/>
      </c>
      <c r="AB76" s="117">
        <f>IF($B76="","",IF(OR($D76="",$E76="",$O76=""),"EKSİK",IF($O76&lt;=0,"SIFIR/NEGATİF",IF(COUNTIFS($C$6:$C$5000,$C76,$O$6:$O$5000,$O76,$B$6:$B$5000,$B76)&gt;1,"MÜKERRER","OK"))))</f>
        <v/>
      </c>
    </row>
    <row r="77" ht="16.5" customHeight="1" s="80">
      <c r="A77" s="113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7">
        <f>IF($B77="",0,IF($S77="EVET",IF($D77="GELİR",$O77,-$O77),0))</f>
        <v/>
      </c>
      <c r="AA77" s="117">
        <f>IF($B77="",0,IF(OR($W77="EVET",$X77="EVET",$Y77="EVET"),0,IF($D77="GELİR",IF($E77="SATIŞ İADESİ/İSKONTO",-$O77,$O77),-$O77)))</f>
        <v/>
      </c>
      <c r="AB77" s="117">
        <f>IF($B77="","",IF(OR($D77="",$E77="",$O77=""),"EKSİK",IF($O77&lt;=0,"SIFIR/NEGATİF",IF(COUNTIFS($C$6:$C$5000,$C77,$O$6:$O$5000,$O77,$B$6:$B$5000,$B77)&gt;1,"MÜKERRER","OK"))))</f>
        <v/>
      </c>
    </row>
    <row r="78" ht="16.5" customHeight="1" s="80">
      <c r="A78" s="113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7">
        <f>IF($B78="",0,IF($S78="EVET",IF($D78="GELİR",$O78,-$O78),0))</f>
        <v/>
      </c>
      <c r="AA78" s="117">
        <f>IF($B78="",0,IF(OR($W78="EVET",$X78="EVET",$Y78="EVET"),0,IF($D78="GELİR",IF($E78="SATIŞ İADESİ/İSKONTO",-$O78,$O78),-$O78)))</f>
        <v/>
      </c>
      <c r="AB78" s="117">
        <f>IF($B78="","",IF(OR($D78="",$E78="",$O78=""),"EKSİK",IF($O78&lt;=0,"SIFIR/NEGATİF",IF(COUNTIFS($C$6:$C$5000,$C78,$O$6:$O$5000,$O78,$B$6:$B$5000,$B78)&gt;1,"MÜKERRER","OK"))))</f>
        <v/>
      </c>
    </row>
    <row r="79" ht="16.5" customHeight="1" s="80">
      <c r="A79" s="113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7">
        <f>IF($B79="",0,IF($S79="EVET",IF($D79="GELİR",$O79,-$O79),0))</f>
        <v/>
      </c>
      <c r="AA79" s="117">
        <f>IF($B79="",0,IF(OR($W79="EVET",$X79="EVET",$Y79="EVET"),0,IF($D79="GELİR",IF($E79="SATIŞ İADESİ/İSKONTO",-$O79,$O79),-$O79)))</f>
        <v/>
      </c>
      <c r="AB79" s="117">
        <f>IF($B79="","",IF(OR($D79="",$E79="",$O79=""),"EKSİK",IF($O79&lt;=0,"SIFIR/NEGATİF",IF(COUNTIFS($C$6:$C$5000,$C79,$O$6:$O$5000,$O79,$B$6:$B$5000,$B79)&gt;1,"MÜKERRER","OK"))))</f>
        <v/>
      </c>
    </row>
    <row r="80" ht="16.5" customHeight="1" s="80">
      <c r="A80" s="113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7">
        <f>IF($B80="",0,IF($S80="EVET",IF($D80="GELİR",$O80,-$O80),0))</f>
        <v/>
      </c>
      <c r="AA80" s="117">
        <f>IF($B80="",0,IF(OR($W80="EVET",$X80="EVET",$Y80="EVET"),0,IF($D80="GELİR",IF($E80="SATIŞ İADESİ/İSKONTO",-$O80,$O80),-$O80)))</f>
        <v/>
      </c>
      <c r="AB80" s="117">
        <f>IF($B80="","",IF(OR($D80="",$E80="",$O80=""),"EKSİK",IF($O80&lt;=0,"SIFIR/NEGATİF",IF(COUNTIFS($C$6:$C$5000,$C80,$O$6:$O$5000,$O80,$B$6:$B$5000,$B80)&gt;1,"MÜKERRER","OK"))))</f>
        <v/>
      </c>
    </row>
    <row r="81" ht="16.5" customHeight="1" s="80">
      <c r="A81" s="113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7">
        <f>IF($B81="",0,IF($S81="EVET",IF($D81="GELİR",$O81,-$O81),0))</f>
        <v/>
      </c>
      <c r="AA81" s="117">
        <f>IF($B81="",0,IF(OR($W81="EVET",$X81="EVET",$Y81="EVET"),0,IF($D81="GELİR",IF($E81="SATIŞ İADESİ/İSKONTO",-$O81,$O81),-$O81)))</f>
        <v/>
      </c>
      <c r="AB81" s="117">
        <f>IF($B81="","",IF(OR($D81="",$E81="",$O81=""),"EKSİK",IF($O81&lt;=0,"SIFIR/NEGATİF",IF(COUNTIFS($C$6:$C$5000,$C81,$O$6:$O$5000,$O81,$B$6:$B$5000,$B81)&gt;1,"MÜKERRER","OK"))))</f>
        <v/>
      </c>
    </row>
    <row r="82" ht="16.5" customHeight="1" s="80">
      <c r="A82" s="113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7">
        <f>IF($B82="",0,IF($S82="EVET",IF($D82="GELİR",$O82,-$O82),0))</f>
        <v/>
      </c>
      <c r="AA82" s="117">
        <f>IF($B82="",0,IF(OR($W82="EVET",$X82="EVET",$Y82="EVET"),0,IF($D82="GELİR",IF($E82="SATIŞ İADESİ/İSKONTO",-$O82,$O82),-$O82)))</f>
        <v/>
      </c>
      <c r="AB82" s="117">
        <f>IF($B82="","",IF(OR($D82="",$E82="",$O82=""),"EKSİK",IF($O82&lt;=0,"SIFIR/NEGATİF",IF(COUNTIFS($C$6:$C$5000,$C82,$O$6:$O$5000,$O82,$B$6:$B$5000,$B82)&gt;1,"MÜKERRER","OK"))))</f>
        <v/>
      </c>
    </row>
    <row r="83" ht="16.5" customHeight="1" s="80">
      <c r="A83" s="113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7">
        <f>IF($B83="",0,IF($S83="EVET",IF($D83="GELİR",$O83,-$O83),0))</f>
        <v/>
      </c>
      <c r="AA83" s="117">
        <f>IF($B83="",0,IF(OR($W83="EVET",$X83="EVET",$Y83="EVET"),0,IF($D83="GELİR",IF($E83="SATIŞ İADESİ/İSKONTO",-$O83,$O83),-$O83)))</f>
        <v/>
      </c>
      <c r="AB83" s="117">
        <f>IF($B83="","",IF(OR($D83="",$E83="",$O83=""),"EKSİK",IF($O83&lt;=0,"SIFIR/NEGATİF",IF(COUNTIFS($C$6:$C$5000,$C83,$O$6:$O$5000,$O83,$B$6:$B$5000,$B83)&gt;1,"MÜKERRER","OK"))))</f>
        <v/>
      </c>
    </row>
    <row r="84" ht="16.5" customHeight="1" s="80">
      <c r="A84" s="113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7">
        <f>IF($B84="",0,IF($S84="EVET",IF($D84="GELİR",$O84,-$O84),0))</f>
        <v/>
      </c>
      <c r="AA84" s="117">
        <f>IF($B84="",0,IF(OR($W84="EVET",$X84="EVET",$Y84="EVET"),0,IF($D84="GELİR",IF($E84="SATIŞ İADESİ/İSKONTO",-$O84,$O84),-$O84)))</f>
        <v/>
      </c>
      <c r="AB84" s="117">
        <f>IF($B84="","",IF(OR($D84="",$E84="",$O84=""),"EKSİK",IF($O84&lt;=0,"SIFIR/NEGATİF",IF(COUNTIFS($C$6:$C$5000,$C84,$O$6:$O$5000,$O84,$B$6:$B$5000,$B84)&gt;1,"MÜKERRER","OK"))))</f>
        <v/>
      </c>
    </row>
    <row r="85" ht="16.5" customHeight="1" s="80">
      <c r="A85" s="113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7">
        <f>IF($B85="",0,IF($S85="EVET",IF($D85="GELİR",$O85,-$O85),0))</f>
        <v/>
      </c>
      <c r="AA85" s="117">
        <f>IF($B85="",0,IF(OR($W85="EVET",$X85="EVET",$Y85="EVET"),0,IF($D85="GELİR",IF($E85="SATIŞ İADESİ/İSKONTO",-$O85,$O85),-$O85)))</f>
        <v/>
      </c>
      <c r="AB85" s="117">
        <f>IF($B85="","",IF(OR($D85="",$E85="",$O85=""),"EKSİK",IF($O85&lt;=0,"SIFIR/NEGATİF",IF(COUNTIFS($C$6:$C$5000,$C85,$O$6:$O$5000,$O85,$B$6:$B$5000,$B85)&gt;1,"MÜKERRER","OK"))))</f>
        <v/>
      </c>
    </row>
    <row r="86" ht="16.5" customHeight="1" s="80">
      <c r="A86" s="113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7">
        <f>IF($B86="",0,IF($S86="EVET",IF($D86="GELİR",$O86,-$O86),0))</f>
        <v/>
      </c>
      <c r="AA86" s="117">
        <f>IF($B86="",0,IF(OR($W86="EVET",$X86="EVET",$Y86="EVET"),0,IF($D86="GELİR",IF($E86="SATIŞ İADESİ/İSKONTO",-$O86,$O86),-$O86)))</f>
        <v/>
      </c>
      <c r="AB86" s="117">
        <f>IF($B86="","",IF(OR($D86="",$E86="",$O86=""),"EKSİK",IF($O86&lt;=0,"SIFIR/NEGATİF",IF(COUNTIFS($C$6:$C$5000,$C86,$O$6:$O$5000,$O86,$B$6:$B$5000,$B86)&gt;1,"MÜKERRER","OK"))))</f>
        <v/>
      </c>
    </row>
    <row r="87" ht="16.5" customHeight="1" s="80">
      <c r="A87" s="113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7">
        <f>IF($B87="",0,IF($S87="EVET",IF($D87="GELİR",$O87,-$O87),0))</f>
        <v/>
      </c>
      <c r="AA87" s="117">
        <f>IF($B87="",0,IF(OR($W87="EVET",$X87="EVET",$Y87="EVET"),0,IF($D87="GELİR",IF($E87="SATIŞ İADESİ/İSKONTO",-$O87,$O87),-$O87)))</f>
        <v/>
      </c>
      <c r="AB87" s="117">
        <f>IF($B87="","",IF(OR($D87="",$E87="",$O87=""),"EKSİK",IF($O87&lt;=0,"SIFIR/NEGATİF",IF(COUNTIFS($C$6:$C$5000,$C87,$O$6:$O$5000,$O87,$B$6:$B$5000,$B87)&gt;1,"MÜKERRER","OK"))))</f>
        <v/>
      </c>
    </row>
    <row r="88" ht="16.5" customHeight="1" s="80">
      <c r="A88" s="113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7">
        <f>IF($B88="",0,IF($S88="EVET",IF($D88="GELİR",$O88,-$O88),0))</f>
        <v/>
      </c>
      <c r="AA88" s="117">
        <f>IF($B88="",0,IF(OR($W88="EVET",$X88="EVET",$Y88="EVET"),0,IF($D88="GELİR",IF($E88="SATIŞ İADESİ/İSKONTO",-$O88,$O88),-$O88)))</f>
        <v/>
      </c>
      <c r="AB88" s="117">
        <f>IF($B88="","",IF(OR($D88="",$E88="",$O88=""),"EKSİK",IF($O88&lt;=0,"SIFIR/NEGATİF",IF(COUNTIFS($C$6:$C$5000,$C88,$O$6:$O$5000,$O88,$B$6:$B$5000,$B88)&gt;1,"MÜKERRER","OK"))))</f>
        <v/>
      </c>
    </row>
    <row r="89" ht="16.5" customHeight="1" s="80">
      <c r="A89" s="113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7">
        <f>IF($B89="",0,IF($S89="EVET",IF($D89="GELİR",$O89,-$O89),0))</f>
        <v/>
      </c>
      <c r="AA89" s="117">
        <f>IF($B89="",0,IF(OR($W89="EVET",$X89="EVET",$Y89="EVET"),0,IF($D89="GELİR",IF($E89="SATIŞ İADESİ/İSKONTO",-$O89,$O89),-$O89)))</f>
        <v/>
      </c>
      <c r="AB89" s="117">
        <f>IF($B89="","",IF(OR($D89="",$E89="",$O89=""),"EKSİK",IF($O89&lt;=0,"SIFIR/NEGATİF",IF(COUNTIFS($C$6:$C$5000,$C89,$O$6:$O$5000,$O89,$B$6:$B$5000,$B89)&gt;1,"MÜKERRER","OK"))))</f>
        <v/>
      </c>
    </row>
    <row r="90" ht="16.5" customHeight="1" s="80">
      <c r="A90" s="113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7">
        <f>IF($B90="",0,IF($S90="EVET",IF($D90="GELİR",$O90,-$O90),0))</f>
        <v/>
      </c>
      <c r="AA90" s="117">
        <f>IF($B90="",0,IF(OR($W90="EVET",$X90="EVET",$Y90="EVET"),0,IF($D90="GELİR",IF($E90="SATIŞ İADESİ/İSKONTO",-$O90,$O90),-$O90)))</f>
        <v/>
      </c>
      <c r="AB90" s="117">
        <f>IF($B90="","",IF(OR($D90="",$E90="",$O90=""),"EKSİK",IF($O90&lt;=0,"SIFIR/NEGATİF",IF(COUNTIFS($C$6:$C$5000,$C90,$O$6:$O$5000,$O90,$B$6:$B$5000,$B90)&gt;1,"MÜKERRER","OK"))))</f>
        <v/>
      </c>
    </row>
    <row r="91" ht="16.5" customHeight="1" s="80">
      <c r="A91" s="113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7">
        <f>IF($B91="",0,IF($S91="EVET",IF($D91="GELİR",$O91,-$O91),0))</f>
        <v/>
      </c>
      <c r="AA91" s="117">
        <f>IF($B91="",0,IF(OR($W91="EVET",$X91="EVET",$Y91="EVET"),0,IF($D91="GELİR",IF($E91="SATIŞ İADESİ/İSKONTO",-$O91,$O91),-$O91)))</f>
        <v/>
      </c>
      <c r="AB91" s="117">
        <f>IF($B91="","",IF(OR($D91="",$E91="",$O91=""),"EKSİK",IF($O91&lt;=0,"SIFIR/NEGATİF",IF(COUNTIFS($C$6:$C$5000,$C91,$O$6:$O$5000,$O91,$B$6:$B$5000,$B91)&gt;1,"MÜKERRER","OK"))))</f>
        <v/>
      </c>
    </row>
    <row r="92" ht="16.5" customHeight="1" s="80">
      <c r="A92" s="113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7">
        <f>IF($B92="",0,IF($S92="EVET",IF($D92="GELİR",$O92,-$O92),0))</f>
        <v/>
      </c>
      <c r="AA92" s="117">
        <f>IF($B92="",0,IF(OR($W92="EVET",$X92="EVET",$Y92="EVET"),0,IF($D92="GELİR",IF($E92="SATIŞ İADESİ/İSKONTO",-$O92,$O92),-$O92)))</f>
        <v/>
      </c>
      <c r="AB92" s="117">
        <f>IF($B92="","",IF(OR($D92="",$E92="",$O92=""),"EKSİK",IF($O92&lt;=0,"SIFIR/NEGATİF",IF(COUNTIFS($C$6:$C$5000,$C92,$O$6:$O$5000,$O92,$B$6:$B$5000,$B92)&gt;1,"MÜKERRER","OK"))))</f>
        <v/>
      </c>
    </row>
    <row r="93" ht="16.5" customHeight="1" s="80">
      <c r="A93" s="113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7">
        <f>IF($B93="",0,IF($S93="EVET",IF($D93="GELİR",$O93,-$O93),0))</f>
        <v/>
      </c>
      <c r="AA93" s="117">
        <f>IF($B93="",0,IF(OR($W93="EVET",$X93="EVET",$Y93="EVET"),0,IF($D93="GELİR",IF($E93="SATIŞ İADESİ/İSKONTO",-$O93,$O93),-$O93)))</f>
        <v/>
      </c>
      <c r="AB93" s="117">
        <f>IF($B93="","",IF(OR($D93="",$E93="",$O93=""),"EKSİK",IF($O93&lt;=0,"SIFIR/NEGATİF",IF(COUNTIFS($C$6:$C$5000,$C93,$O$6:$O$5000,$O93,$B$6:$B$5000,$B93)&gt;1,"MÜKERRER","OK"))))</f>
        <v/>
      </c>
    </row>
    <row r="94" ht="16.5" customHeight="1" s="80">
      <c r="A94" s="113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7">
        <f>IF($B94="",0,IF($S94="EVET",IF($D94="GELİR",$O94,-$O94),0))</f>
        <v/>
      </c>
      <c r="AA94" s="117">
        <f>IF($B94="",0,IF(OR($W94="EVET",$X94="EVET",$Y94="EVET"),0,IF($D94="GELİR",IF($E94="SATIŞ İADESİ/İSKONTO",-$O94,$O94),-$O94)))</f>
        <v/>
      </c>
      <c r="AB94" s="117">
        <f>IF($B94="","",IF(OR($D94="",$E94="",$O94=""),"EKSİK",IF($O94&lt;=0,"SIFIR/NEGATİF",IF(COUNTIFS($C$6:$C$5000,$C94,$O$6:$O$5000,$O94,$B$6:$B$5000,$B94)&gt;1,"MÜKERRER","OK"))))</f>
        <v/>
      </c>
    </row>
    <row r="95" ht="16.5" customHeight="1" s="80">
      <c r="A95" s="113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7">
        <f>IF($B95="",0,IF($S95="EVET",IF($D95="GELİR",$O95,-$O95),0))</f>
        <v/>
      </c>
      <c r="AA95" s="117">
        <f>IF($B95="",0,IF(OR($W95="EVET",$X95="EVET",$Y95="EVET"),0,IF($D95="GELİR",IF($E95="SATIŞ İADESİ/İSKONTO",-$O95,$O95),-$O95)))</f>
        <v/>
      </c>
      <c r="AB95" s="117">
        <f>IF($B95="","",IF(OR($D95="",$E95="",$O95=""),"EKSİK",IF($O95&lt;=0,"SIFIR/NEGATİF",IF(COUNTIFS($C$6:$C$5000,$C95,$O$6:$O$5000,$O95,$B$6:$B$5000,$B95)&gt;1,"MÜKERRER","OK"))))</f>
        <v/>
      </c>
    </row>
    <row r="96" ht="16.5" customHeight="1" s="80">
      <c r="A96" s="113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7">
        <f>IF($B96="",0,IF($S96="EVET",IF($D96="GELİR",$O96,-$O96),0))</f>
        <v/>
      </c>
      <c r="AA96" s="117">
        <f>IF($B96="",0,IF(OR($W96="EVET",$X96="EVET",$Y96="EVET"),0,IF($D96="GELİR",IF($E96="SATIŞ İADESİ/İSKONTO",-$O96,$O96),-$O96)))</f>
        <v/>
      </c>
      <c r="AB96" s="117">
        <f>IF($B96="","",IF(OR($D96="",$E96="",$O96=""),"EKSİK",IF($O96&lt;=0,"SIFIR/NEGATİF",IF(COUNTIFS($C$6:$C$5000,$C96,$O$6:$O$5000,$O96,$B$6:$B$5000,$B96)&gt;1,"MÜKERRER","OK"))))</f>
        <v/>
      </c>
    </row>
    <row r="97" ht="16.5" customHeight="1" s="80">
      <c r="A97" s="113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7">
        <f>IF($B97="",0,IF($S97="EVET",IF($D97="GELİR",$O97,-$O97),0))</f>
        <v/>
      </c>
      <c r="AA97" s="117">
        <f>IF($B97="",0,IF(OR($W97="EVET",$X97="EVET",$Y97="EVET"),0,IF($D97="GELİR",IF($E97="SATIŞ İADESİ/İSKONTO",-$O97,$O97),-$O97)))</f>
        <v/>
      </c>
      <c r="AB97" s="117">
        <f>IF($B97="","",IF(OR($D97="",$E97="",$O97=""),"EKSİK",IF($O97&lt;=0,"SIFIR/NEGATİF",IF(COUNTIFS($C$6:$C$5000,$C97,$O$6:$O$5000,$O97,$B$6:$B$5000,$B97)&gt;1,"MÜKERRER","OK"))))</f>
        <v/>
      </c>
    </row>
    <row r="98" ht="16.5" customHeight="1" s="80">
      <c r="A98" s="113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7">
        <f>IF($B98="",0,IF($S98="EVET",IF($D98="GELİR",$O98,-$O98),0))</f>
        <v/>
      </c>
      <c r="AA98" s="117">
        <f>IF($B98="",0,IF(OR($W98="EVET",$X98="EVET",$Y98="EVET"),0,IF($D98="GELİR",IF($E98="SATIŞ İADESİ/İSKONTO",-$O98,$O98),-$O98)))</f>
        <v/>
      </c>
      <c r="AB98" s="117">
        <f>IF($B98="","",IF(OR($D98="",$E98="",$O98=""),"EKSİK",IF($O98&lt;=0,"SIFIR/NEGATİF",IF(COUNTIFS($C$6:$C$5000,$C98,$O$6:$O$5000,$O98,$B$6:$B$5000,$B98)&gt;1,"MÜKERRER","OK"))))</f>
        <v/>
      </c>
    </row>
    <row r="99" ht="16.5" customHeight="1" s="80">
      <c r="A99" s="113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7">
        <f>IF($B99="",0,IF($S99="EVET",IF($D99="GELİR",$O99,-$O99),0))</f>
        <v/>
      </c>
      <c r="AA99" s="117">
        <f>IF($B99="",0,IF(OR($W99="EVET",$X99="EVET",$Y99="EVET"),0,IF($D99="GELİR",IF($E99="SATIŞ İADESİ/İSKONTO",-$O99,$O99),-$O99)))</f>
        <v/>
      </c>
      <c r="AB99" s="117">
        <f>IF($B99="","",IF(OR($D99="",$E99="",$O99=""),"EKSİK",IF($O99&lt;=0,"SIFIR/NEGATİF",IF(COUNTIFS($C$6:$C$5000,$C99,$O$6:$O$5000,$O99,$B$6:$B$5000,$B99)&gt;1,"MÜKERRER","OK"))))</f>
        <v/>
      </c>
    </row>
    <row r="100" ht="16.5" customHeight="1" s="80">
      <c r="A100" s="113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7">
        <f>IF($B100="",0,IF($S100="EVET",IF($D100="GELİR",$O100,-$O100),0))</f>
        <v/>
      </c>
      <c r="AA100" s="117">
        <f>IF($B100="",0,IF(OR($W100="EVET",$X100="EVET",$Y100="EVET"),0,IF($D100="GELİR",IF($E100="SATIŞ İADESİ/İSKONTO",-$O100,$O100),-$O100)))</f>
        <v/>
      </c>
      <c r="AB100" s="117">
        <f>IF($B100="","",IF(OR($D100="",$E100="",$O100=""),"EKSİK",IF($O100&lt;=0,"SIFIR/NEGATİF",IF(COUNTIFS($C$6:$C$5000,$C100,$O$6:$O$5000,$O100,$B$6:$B$5000,$B100)&gt;1,"MÜKERRER","OK"))))</f>
        <v/>
      </c>
    </row>
    <row r="101" ht="16.5" customHeight="1" s="80">
      <c r="A101" s="113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7">
        <f>IF($B101="",0,IF($S101="EVET",IF($D101="GELİR",$O101,-$O101),0))</f>
        <v/>
      </c>
      <c r="AA101" s="117">
        <f>IF($B101="",0,IF(OR($W101="EVET",$X101="EVET",$Y101="EVET"),0,IF($D101="GELİR",IF($E101="SATIŞ İADESİ/İSKONTO",-$O101,$O101),-$O101)))</f>
        <v/>
      </c>
      <c r="AB101" s="117">
        <f>IF($B101="","",IF(OR($D101="",$E101="",$O101=""),"EKSİK",IF($O101&lt;=0,"SIFIR/NEGATİF",IF(COUNTIFS($C$6:$C$5000,$C101,$O$6:$O$5000,$O101,$B$6:$B$5000,$B101)&gt;1,"MÜKERRER","OK"))))</f>
        <v/>
      </c>
    </row>
    <row r="102" ht="16.5" customHeight="1" s="80">
      <c r="A102" s="113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7">
        <f>IF($B102="",0,IF($S102="EVET",IF($D102="GELİR",$O102,-$O102),0))</f>
        <v/>
      </c>
      <c r="AA102" s="117">
        <f>IF($B102="",0,IF(OR($W102="EVET",$X102="EVET",$Y102="EVET"),0,IF($D102="GELİR",IF($E102="SATIŞ İADESİ/İSKONTO",-$O102,$O102),-$O102)))</f>
        <v/>
      </c>
      <c r="AB102" s="117">
        <f>IF($B102="","",IF(OR($D102="",$E102="",$O102=""),"EKSİK",IF($O102&lt;=0,"SIFIR/NEGATİF",IF(COUNTIFS($C$6:$C$5000,$C102,$O$6:$O$5000,$O102,$B$6:$B$5000,$B102)&gt;1,"MÜKERRER","OK"))))</f>
        <v/>
      </c>
    </row>
    <row r="103" ht="16.5" customHeight="1" s="80">
      <c r="A103" s="113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7">
        <f>IF($B103="",0,IF($S103="EVET",IF($D103="GELİR",$O103,-$O103),0))</f>
        <v/>
      </c>
      <c r="AA103" s="117">
        <f>IF($B103="",0,IF(OR($W103="EVET",$X103="EVET",$Y103="EVET"),0,IF($D103="GELİR",IF($E103="SATIŞ İADESİ/İSKONTO",-$O103,$O103),-$O103)))</f>
        <v/>
      </c>
      <c r="AB103" s="117">
        <f>IF($B103="","",IF(OR($D103="",$E103="",$O103=""),"EKSİK",IF($O103&lt;=0,"SIFIR/NEGATİF",IF(COUNTIFS($C$6:$C$5000,$C103,$O$6:$O$5000,$O103,$B$6:$B$5000,$B103)&gt;1,"MÜKERRER","OK"))))</f>
        <v/>
      </c>
    </row>
    <row r="104" ht="16.5" customHeight="1" s="80">
      <c r="A104" s="113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7">
        <f>IF($B104="",0,IF($S104="EVET",IF($D104="GELİR",$O104,-$O104),0))</f>
        <v/>
      </c>
      <c r="AA104" s="117">
        <f>IF($B104="",0,IF(OR($W104="EVET",$X104="EVET",$Y104="EVET"),0,IF($D104="GELİR",IF($E104="SATIŞ İADESİ/İSKONTO",-$O104,$O104),-$O104)))</f>
        <v/>
      </c>
      <c r="AB104" s="117">
        <f>IF($B104="","",IF(OR($D104="",$E104="",$O104=""),"EKSİK",IF($O104&lt;=0,"SIFIR/NEGATİF",IF(COUNTIFS($C$6:$C$5000,$C104,$O$6:$O$5000,$O104,$B$6:$B$5000,$B104)&gt;1,"MÜKERRER","OK"))))</f>
        <v/>
      </c>
    </row>
    <row r="105" ht="16.5" customHeight="1" s="80">
      <c r="A105" s="113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7">
        <f>IF($B105="",0,IF($S105="EVET",IF($D105="GELİR",$O105,-$O105),0))</f>
        <v/>
      </c>
      <c r="AA105" s="117">
        <f>IF($B105="",0,IF(OR($W105="EVET",$X105="EVET",$Y105="EVET"),0,IF($D105="GELİR",IF($E105="SATIŞ İADESİ/İSKONTO",-$O105,$O105),-$O105)))</f>
        <v/>
      </c>
      <c r="AB105" s="117">
        <f>IF($B105="","",IF(OR($D105="",$E105="",$O105=""),"EKSİK",IF($O105&lt;=0,"SIFIR/NEGATİF",IF(COUNTIFS($C$6:$C$5000,$C105,$O$6:$O$5000,$O105,$B$6:$B$5000,$B105)&gt;1,"MÜKERRER","OK"))))</f>
        <v/>
      </c>
    </row>
    <row r="106" ht="16.5" customHeight="1" s="80">
      <c r="A106" s="113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7">
        <f>IF($B106="",0,IF($S106="EVET",IF($D106="GELİR",$O106,-$O106),0))</f>
        <v/>
      </c>
      <c r="AA106" s="117">
        <f>IF($B106="",0,IF(OR($W106="EVET",$X106="EVET",$Y106="EVET"),0,IF($D106="GELİR",IF($E106="SATIŞ İADESİ/İSKONTO",-$O106,$O106),-$O106)))</f>
        <v/>
      </c>
      <c r="AB106" s="117">
        <f>IF($B106="","",IF(OR($D106="",$E106="",$O106=""),"EKSİK",IF($O106&lt;=0,"SIFIR/NEGATİF",IF(COUNTIFS($C$6:$C$5000,$C106,$O$6:$O$5000,$O106,$B$6:$B$5000,$B106)&gt;1,"MÜKERRER","OK"))))</f>
        <v/>
      </c>
    </row>
    <row r="107" ht="16.5" customHeight="1" s="80">
      <c r="A107" s="113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7">
        <f>IF($B107="",0,IF($S107="EVET",IF($D107="GELİR",$O107,-$O107),0))</f>
        <v/>
      </c>
      <c r="AA107" s="117">
        <f>IF($B107="",0,IF(OR($W107="EVET",$X107="EVET",$Y107="EVET"),0,IF($D107="GELİR",IF($E107="SATIŞ İADESİ/İSKONTO",-$O107,$O107),-$O107)))</f>
        <v/>
      </c>
      <c r="AB107" s="117">
        <f>IF($B107="","",IF(OR($D107="",$E107="",$O107=""),"EKSİK",IF($O107&lt;=0,"SIFIR/NEGATİF",IF(COUNTIFS($C$6:$C$5000,$C107,$O$6:$O$5000,$O107,$B$6:$B$5000,$B107)&gt;1,"MÜKERRER","OK"))))</f>
        <v/>
      </c>
    </row>
    <row r="108" ht="16.5" customHeight="1" s="80">
      <c r="A108" s="113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7">
        <f>IF($B108="",0,IF($S108="EVET",IF($D108="GELİR",$O108,-$O108),0))</f>
        <v/>
      </c>
      <c r="AA108" s="117">
        <f>IF($B108="",0,IF(OR($W108="EVET",$X108="EVET",$Y108="EVET"),0,IF($D108="GELİR",IF($E108="SATIŞ İADESİ/İSKONTO",-$O108,$O108),-$O108)))</f>
        <v/>
      </c>
      <c r="AB108" s="117">
        <f>IF($B108="","",IF(OR($D108="",$E108="",$O108=""),"EKSİK",IF($O108&lt;=0,"SIFIR/NEGATİF",IF(COUNTIFS($C$6:$C$5000,$C108,$O$6:$O$5000,$O108,$B$6:$B$5000,$B108)&gt;1,"MÜKERRER","OK"))))</f>
        <v/>
      </c>
    </row>
    <row r="109" ht="16.5" customHeight="1" s="80">
      <c r="A109" s="113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7">
        <f>IF($B109="",0,IF($S109="EVET",IF($D109="GELİR",$O109,-$O109),0))</f>
        <v/>
      </c>
      <c r="AA109" s="117">
        <f>IF($B109="",0,IF(OR($W109="EVET",$X109="EVET",$Y109="EVET"),0,IF($D109="GELİR",IF($E109="SATIŞ İADESİ/İSKONTO",-$O109,$O109),-$O109)))</f>
        <v/>
      </c>
      <c r="AB109" s="117">
        <f>IF($B109="","",IF(OR($D109="",$E109="",$O109=""),"EKSİK",IF($O109&lt;=0,"SIFIR/NEGATİF",IF(COUNTIFS($C$6:$C$5000,$C109,$O$6:$O$5000,$O109,$B$6:$B$5000,$B109)&gt;1,"MÜKERRER","OK"))))</f>
        <v/>
      </c>
    </row>
    <row r="110" ht="16.5" customHeight="1" s="80">
      <c r="A110" s="113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7">
        <f>IF($B110="",0,IF($S110="EVET",IF($D110="GELİR",$O110,-$O110),0))</f>
        <v/>
      </c>
      <c r="AA110" s="117">
        <f>IF($B110="",0,IF(OR($W110="EVET",$X110="EVET",$Y110="EVET"),0,IF($D110="GELİR",IF($E110="SATIŞ İADESİ/İSKONTO",-$O110,$O110),-$O110)))</f>
        <v/>
      </c>
      <c r="AB110" s="117">
        <f>IF($B110="","",IF(OR($D110="",$E110="",$O110=""),"EKSİK",IF($O110&lt;=0,"SIFIR/NEGATİF",IF(COUNTIFS($C$6:$C$5000,$C110,$O$6:$O$5000,$O110,$B$6:$B$5000,$B110)&gt;1,"MÜKERRER","OK"))))</f>
        <v/>
      </c>
    </row>
    <row r="111" ht="16.5" customHeight="1" s="80">
      <c r="A111" s="113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7">
        <f>IF($B111="",0,IF($S111="EVET",IF($D111="GELİR",$O111,-$O111),0))</f>
        <v/>
      </c>
      <c r="AA111" s="117">
        <f>IF($B111="",0,IF(OR($W111="EVET",$X111="EVET",$Y111="EVET"),0,IF($D111="GELİR",IF($E111="SATIŞ İADESİ/İSKONTO",-$O111,$O111),-$O111)))</f>
        <v/>
      </c>
      <c r="AB111" s="117">
        <f>IF($B111="","",IF(OR($D111="",$E111="",$O111=""),"EKSİK",IF($O111&lt;=0,"SIFIR/NEGATİF",IF(COUNTIFS($C$6:$C$5000,$C111,$O$6:$O$5000,$O111,$B$6:$B$5000,$B111)&gt;1,"MÜKERRER","OK"))))</f>
        <v/>
      </c>
    </row>
    <row r="112" ht="16.5" customHeight="1" s="80">
      <c r="A112" s="113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7">
        <f>IF($B112="",0,IF($S112="EVET",IF($D112="GELİR",$O112,-$O112),0))</f>
        <v/>
      </c>
      <c r="AA112" s="117">
        <f>IF($B112="",0,IF(OR($W112="EVET",$X112="EVET",$Y112="EVET"),0,IF($D112="GELİR",IF($E112="SATIŞ İADESİ/İSKONTO",-$O112,$O112),-$O112)))</f>
        <v/>
      </c>
      <c r="AB112" s="117">
        <f>IF($B112="","",IF(OR($D112="",$E112="",$O112=""),"EKSİK",IF($O112&lt;=0,"SIFIR/NEGATİF",IF(COUNTIFS($C$6:$C$5000,$C112,$O$6:$O$5000,$O112,$B$6:$B$5000,$B112)&gt;1,"MÜKERRER","OK"))))</f>
        <v/>
      </c>
    </row>
    <row r="113" ht="16.5" customHeight="1" s="80">
      <c r="A113" s="113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7">
        <f>IF($B113="",0,IF($S113="EVET",IF($D113="GELİR",$O113,-$O113),0))</f>
        <v/>
      </c>
      <c r="AA113" s="117">
        <f>IF($B113="",0,IF(OR($W113="EVET",$X113="EVET",$Y113="EVET"),0,IF($D113="GELİR",IF($E113="SATIŞ İADESİ/İSKONTO",-$O113,$O113),-$O113)))</f>
        <v/>
      </c>
      <c r="AB113" s="117">
        <f>IF($B113="","",IF(OR($D113="",$E113="",$O113=""),"EKSİK",IF($O113&lt;=0,"SIFIR/NEGATİF",IF(COUNTIFS($C$6:$C$5000,$C113,$O$6:$O$5000,$O113,$B$6:$B$5000,$B113)&gt;1,"MÜKERRER","OK"))))</f>
        <v/>
      </c>
    </row>
    <row r="114" ht="16.5" customHeight="1" s="80">
      <c r="A114" s="113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7">
        <f>IF($B114="",0,IF($S114="EVET",IF($D114="GELİR",$O114,-$O114),0))</f>
        <v/>
      </c>
      <c r="AA114" s="117">
        <f>IF($B114="",0,IF(OR($W114="EVET",$X114="EVET",$Y114="EVET"),0,IF($D114="GELİR",IF($E114="SATIŞ İADESİ/İSKONTO",-$O114,$O114),-$O114)))</f>
        <v/>
      </c>
      <c r="AB114" s="117">
        <f>IF($B114="","",IF(OR($D114="",$E114="",$O114=""),"EKSİK",IF($O114&lt;=0,"SIFIR/NEGATİF",IF(COUNTIFS($C$6:$C$5000,$C114,$O$6:$O$5000,$O114,$B$6:$B$5000,$B114)&gt;1,"MÜKERRER","OK"))))</f>
        <v/>
      </c>
    </row>
    <row r="115" ht="16.5" customHeight="1" s="80">
      <c r="A115" s="113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7">
        <f>IF($B115="",0,IF($S115="EVET",IF($D115="GELİR",$O115,-$O115),0))</f>
        <v/>
      </c>
      <c r="AA115" s="117">
        <f>IF($B115="",0,IF(OR($W115="EVET",$X115="EVET",$Y115="EVET"),0,IF($D115="GELİR",IF($E115="SATIŞ İADESİ/İSKONTO",-$O115,$O115),-$O115)))</f>
        <v/>
      </c>
      <c r="AB115" s="117">
        <f>IF($B115="","",IF(OR($D115="",$E115="",$O115=""),"EKSİK",IF($O115&lt;=0,"SIFIR/NEGATİF",IF(COUNTIFS($C$6:$C$5000,$C115,$O$6:$O$5000,$O115,$B$6:$B$5000,$B115)&gt;1,"MÜKERRER","OK"))))</f>
        <v/>
      </c>
    </row>
    <row r="116" ht="16.5" customHeight="1" s="80">
      <c r="A116" s="113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7">
        <f>IF($B116="",0,IF($S116="EVET",IF($D116="GELİR",$O116,-$O116),0))</f>
        <v/>
      </c>
      <c r="AA116" s="117">
        <f>IF($B116="",0,IF(OR($W116="EVET",$X116="EVET",$Y116="EVET"),0,IF($D116="GELİR",IF($E116="SATIŞ İADESİ/İSKONTO",-$O116,$O116),-$O116)))</f>
        <v/>
      </c>
      <c r="AB116" s="117">
        <f>IF($B116="","",IF(OR($D116="",$E116="",$O116=""),"EKSİK",IF($O116&lt;=0,"SIFIR/NEGATİF",IF(COUNTIFS($C$6:$C$5000,$C116,$O$6:$O$5000,$O116,$B$6:$B$5000,$B116)&gt;1,"MÜKERRER","OK"))))</f>
        <v/>
      </c>
    </row>
    <row r="117" ht="16.5" customHeight="1" s="80">
      <c r="A117" s="113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7">
        <f>IF($B117="",0,IF($S117="EVET",IF($D117="GELİR",$O117,-$O117),0))</f>
        <v/>
      </c>
      <c r="AA117" s="117">
        <f>IF($B117="",0,IF(OR($W117="EVET",$X117="EVET",$Y117="EVET"),0,IF($D117="GELİR",IF($E117="SATIŞ İADESİ/İSKONTO",-$O117,$O117),-$O117)))</f>
        <v/>
      </c>
      <c r="AB117" s="117">
        <f>IF($B117="","",IF(OR($D117="",$E117="",$O117=""),"EKSİK",IF($O117&lt;=0,"SIFIR/NEGATİF",IF(COUNTIFS($C$6:$C$5000,$C117,$O$6:$O$5000,$O117,$B$6:$B$5000,$B117)&gt;1,"MÜKERRER","OK"))))</f>
        <v/>
      </c>
    </row>
    <row r="118" ht="16.5" customHeight="1" s="80">
      <c r="A118" s="113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7">
        <f>IF($B118="",0,IF($S118="EVET",IF($D118="GELİR",$O118,-$O118),0))</f>
        <v/>
      </c>
      <c r="AA118" s="117">
        <f>IF($B118="",0,IF(OR($W118="EVET",$X118="EVET",$Y118="EVET"),0,IF($D118="GELİR",IF($E118="SATIŞ İADESİ/İSKONTO",-$O118,$O118),-$O118)))</f>
        <v/>
      </c>
      <c r="AB118" s="117">
        <f>IF($B118="","",IF(OR($D118="",$E118="",$O118=""),"EKSİK",IF($O118&lt;=0,"SIFIR/NEGATİF",IF(COUNTIFS($C$6:$C$5000,$C118,$O$6:$O$5000,$O118,$B$6:$B$5000,$B118)&gt;1,"MÜKERRER","OK"))))</f>
        <v/>
      </c>
    </row>
    <row r="119" ht="16.5" customHeight="1" s="80">
      <c r="A119" s="113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7">
        <f>IF($B119="",0,IF($S119="EVET",IF($D119="GELİR",$O119,-$O119),0))</f>
        <v/>
      </c>
      <c r="AA119" s="117">
        <f>IF($B119="",0,IF(OR($W119="EVET",$X119="EVET",$Y119="EVET"),0,IF($D119="GELİR",IF($E119="SATIŞ İADESİ/İSKONTO",-$O119,$O119),-$O119)))</f>
        <v/>
      </c>
      <c r="AB119" s="117">
        <f>IF($B119="","",IF(OR($D119="",$E119="",$O119=""),"EKSİK",IF($O119&lt;=0,"SIFIR/NEGATİF",IF(COUNTIFS($C$6:$C$5000,$C119,$O$6:$O$5000,$O119,$B$6:$B$5000,$B119)&gt;1,"MÜKERRER","OK"))))</f>
        <v/>
      </c>
    </row>
    <row r="120" ht="16.5" customHeight="1" s="80">
      <c r="A120" s="113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7">
        <f>IF($B120="",0,IF($S120="EVET",IF($D120="GELİR",$O120,-$O120),0))</f>
        <v/>
      </c>
      <c r="AA120" s="117">
        <f>IF($B120="",0,IF(OR($W120="EVET",$X120="EVET",$Y120="EVET"),0,IF($D120="GELİR",IF($E120="SATIŞ İADESİ/İSKONTO",-$O120,$O120),-$O120)))</f>
        <v/>
      </c>
      <c r="AB120" s="117">
        <f>IF($B120="","",IF(OR($D120="",$E120="",$O120=""),"EKSİK",IF($O120&lt;=0,"SIFIR/NEGATİF",IF(COUNTIFS($C$6:$C$5000,$C120,$O$6:$O$5000,$O120,$B$6:$B$5000,$B120)&gt;1,"MÜKERRER","OK"))))</f>
        <v/>
      </c>
    </row>
    <row r="121" ht="16.5" customHeight="1" s="80">
      <c r="A121" s="113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7">
        <f>IF($B121="",0,IF($S121="EVET",IF($D121="GELİR",$O121,-$O121),0))</f>
        <v/>
      </c>
      <c r="AA121" s="117">
        <f>IF($B121="",0,IF(OR($W121="EVET",$X121="EVET",$Y121="EVET"),0,IF($D121="GELİR",IF($E121="SATIŞ İADESİ/İSKONTO",-$O121,$O121),-$O121)))</f>
        <v/>
      </c>
      <c r="AB121" s="117">
        <f>IF($B121="","",IF(OR($D121="",$E121="",$O121=""),"EKSİK",IF($O121&lt;=0,"SIFIR/NEGATİF",IF(COUNTIFS($C$6:$C$5000,$C121,$O$6:$O$5000,$O121,$B$6:$B$5000,$B121)&gt;1,"MÜKERRER","OK"))))</f>
        <v/>
      </c>
    </row>
    <row r="122" ht="16.5" customHeight="1" s="80">
      <c r="A122" s="113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7">
        <f>IF($B122="",0,IF($S122="EVET",IF($D122="GELİR",$O122,-$O122),0))</f>
        <v/>
      </c>
      <c r="AA122" s="117">
        <f>IF($B122="",0,IF(OR($W122="EVET",$X122="EVET",$Y122="EVET"),0,IF($D122="GELİR",IF($E122="SATIŞ İADESİ/İSKONTO",-$O122,$O122),-$O122)))</f>
        <v/>
      </c>
      <c r="AB122" s="117">
        <f>IF($B122="","",IF(OR($D122="",$E122="",$O122=""),"EKSİK",IF($O122&lt;=0,"SIFIR/NEGATİF",IF(COUNTIFS($C$6:$C$5000,$C122,$O$6:$O$5000,$O122,$B$6:$B$5000,$B122)&gt;1,"MÜKERRER","OK"))))</f>
        <v/>
      </c>
    </row>
    <row r="123" ht="16.5" customHeight="1" s="80">
      <c r="A123" s="113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7">
        <f>IF($B123="",0,IF($S123="EVET",IF($D123="GELİR",$O123,-$O123),0))</f>
        <v/>
      </c>
      <c r="AA123" s="117">
        <f>IF($B123="",0,IF(OR($W123="EVET",$X123="EVET",$Y123="EVET"),0,IF($D123="GELİR",IF($E123="SATIŞ İADESİ/İSKONTO",-$O123,$O123),-$O123)))</f>
        <v/>
      </c>
      <c r="AB123" s="117">
        <f>IF($B123="","",IF(OR($D123="",$E123="",$O123=""),"EKSİK",IF($O123&lt;=0,"SIFIR/NEGATİF",IF(COUNTIFS($C$6:$C$5000,$C123,$O$6:$O$5000,$O123,$B$6:$B$5000,$B123)&gt;1,"MÜKERRER","OK"))))</f>
        <v/>
      </c>
    </row>
    <row r="124" ht="16.5" customHeight="1" s="80">
      <c r="A124" s="113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7">
        <f>IF($B124="",0,IF($S124="EVET",IF($D124="GELİR",$O124,-$O124),0))</f>
        <v/>
      </c>
      <c r="AA124" s="117">
        <f>IF($B124="",0,IF(OR($W124="EVET",$X124="EVET",$Y124="EVET"),0,IF($D124="GELİR",IF($E124="SATIŞ İADESİ/İSKONTO",-$O124,$O124),-$O124)))</f>
        <v/>
      </c>
      <c r="AB124" s="117">
        <f>IF($B124="","",IF(OR($D124="",$E124="",$O124=""),"EKSİK",IF($O124&lt;=0,"SIFIR/NEGATİF",IF(COUNTIFS($C$6:$C$5000,$C124,$O$6:$O$5000,$O124,$B$6:$B$5000,$B124)&gt;1,"MÜKERRER","OK"))))</f>
        <v/>
      </c>
    </row>
    <row r="125" ht="16.5" customHeight="1" s="80">
      <c r="A125" s="113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7">
        <f>IF($B125="",0,IF($S125="EVET",IF($D125="GELİR",$O125,-$O125),0))</f>
        <v/>
      </c>
      <c r="AA125" s="117">
        <f>IF($B125="",0,IF(OR($W125="EVET",$X125="EVET",$Y125="EVET"),0,IF($D125="GELİR",IF($E125="SATIŞ İADESİ/İSKONTO",-$O125,$O125),-$O125)))</f>
        <v/>
      </c>
      <c r="AB125" s="117">
        <f>IF($B125="","",IF(OR($D125="",$E125="",$O125=""),"EKSİK",IF($O125&lt;=0,"SIFIR/NEGATİF",IF(COUNTIFS($C$6:$C$5000,$C125,$O$6:$O$5000,$O125,$B$6:$B$5000,$B125)&gt;1,"MÜKERRER","OK"))))</f>
        <v/>
      </c>
    </row>
    <row r="126" ht="16.5" customHeight="1" s="80">
      <c r="A126" s="113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7">
        <f>IF($B126="",0,IF($S126="EVET",IF($D126="GELİR",$O126,-$O126),0))</f>
        <v/>
      </c>
      <c r="AA126" s="117">
        <f>IF($B126="",0,IF(OR($W126="EVET",$X126="EVET",$Y126="EVET"),0,IF($D126="GELİR",IF($E126="SATIŞ İADESİ/İSKONTO",-$O126,$O126),-$O126)))</f>
        <v/>
      </c>
      <c r="AB126" s="117">
        <f>IF($B126="","",IF(OR($D126="",$E126="",$O126=""),"EKSİK",IF($O126&lt;=0,"SIFIR/NEGATİF",IF(COUNTIFS($C$6:$C$5000,$C126,$O$6:$O$5000,$O126,$B$6:$B$5000,$B126)&gt;1,"MÜKERRER","OK"))))</f>
        <v/>
      </c>
    </row>
    <row r="127" ht="16.5" customHeight="1" s="80">
      <c r="A127" s="113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7">
        <f>IF($B127="",0,IF($S127="EVET",IF($D127="GELİR",$O127,-$O127),0))</f>
        <v/>
      </c>
      <c r="AA127" s="117">
        <f>IF($B127="",0,IF(OR($W127="EVET",$X127="EVET",$Y127="EVET"),0,IF($D127="GELİR",IF($E127="SATIŞ İADESİ/İSKONTO",-$O127,$O127),-$O127)))</f>
        <v/>
      </c>
      <c r="AB127" s="117">
        <f>IF($B127="","",IF(OR($D127="",$E127="",$O127=""),"EKSİK",IF($O127&lt;=0,"SIFIR/NEGATİF",IF(COUNTIFS($C$6:$C$5000,$C127,$O$6:$O$5000,$O127,$B$6:$B$5000,$B127)&gt;1,"MÜKERRER","OK"))))</f>
        <v/>
      </c>
    </row>
    <row r="128" ht="16.5" customHeight="1" s="80">
      <c r="A128" s="113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7">
        <f>IF($B128="",0,IF($S128="EVET",IF($D128="GELİR",$O128,-$O128),0))</f>
        <v/>
      </c>
      <c r="AA128" s="117">
        <f>IF($B128="",0,IF(OR($W128="EVET",$X128="EVET",$Y128="EVET"),0,IF($D128="GELİR",IF($E128="SATIŞ İADESİ/İSKONTO",-$O128,$O128),-$O128)))</f>
        <v/>
      </c>
      <c r="AB128" s="117">
        <f>IF($B128="","",IF(OR($D128="",$E128="",$O128=""),"EKSİK",IF($O128&lt;=0,"SIFIR/NEGATİF",IF(COUNTIFS($C$6:$C$5000,$C128,$O$6:$O$5000,$O128,$B$6:$B$5000,$B128)&gt;1,"MÜKERRER","OK"))))</f>
        <v/>
      </c>
    </row>
    <row r="129" ht="16.5" customHeight="1" s="80">
      <c r="A129" s="113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7">
        <f>IF($B129="",0,IF($S129="EVET",IF($D129="GELİR",$O129,-$O129),0))</f>
        <v/>
      </c>
      <c r="AA129" s="117">
        <f>IF($B129="",0,IF(OR($W129="EVET",$X129="EVET",$Y129="EVET"),0,IF($D129="GELİR",IF($E129="SATIŞ İADESİ/İSKONTO",-$O129,$O129),-$O129)))</f>
        <v/>
      </c>
      <c r="AB129" s="117">
        <f>IF($B129="","",IF(OR($D129="",$E129="",$O129=""),"EKSİK",IF($O129&lt;=0,"SIFIR/NEGATİF",IF(COUNTIFS($C$6:$C$5000,$C129,$O$6:$O$5000,$O129,$B$6:$B$5000,$B129)&gt;1,"MÜKERRER","OK"))))</f>
        <v/>
      </c>
    </row>
    <row r="130" ht="16.5" customHeight="1" s="80">
      <c r="A130" s="113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7">
        <f>IF($B130="",0,IF($S130="EVET",IF($D130="GELİR",$O130,-$O130),0))</f>
        <v/>
      </c>
      <c r="AA130" s="117">
        <f>IF($B130="",0,IF(OR($W130="EVET",$X130="EVET",$Y130="EVET"),0,IF($D130="GELİR",IF($E130="SATIŞ İADESİ/İSKONTO",-$O130,$O130),-$O130)))</f>
        <v/>
      </c>
      <c r="AB130" s="117">
        <f>IF($B130="","",IF(OR($D130="",$E130="",$O130=""),"EKSİK",IF($O130&lt;=0,"SIFIR/NEGATİF",IF(COUNTIFS($C$6:$C$5000,$C130,$O$6:$O$5000,$O130,$B$6:$B$5000,$B130)&gt;1,"MÜKERRER","OK"))))</f>
        <v/>
      </c>
    </row>
    <row r="131" ht="16.5" customHeight="1" s="80">
      <c r="A131" s="113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7">
        <f>IF($B131="",0,IF($S131="EVET",IF($D131="GELİR",$O131,-$O131),0))</f>
        <v/>
      </c>
      <c r="AA131" s="117">
        <f>IF($B131="",0,IF(OR($W131="EVET",$X131="EVET",$Y131="EVET"),0,IF($D131="GELİR",IF($E131="SATIŞ İADESİ/İSKONTO",-$O131,$O131),-$O131)))</f>
        <v/>
      </c>
      <c r="AB131" s="117">
        <f>IF($B131="","",IF(OR($D131="",$E131="",$O131=""),"EKSİK",IF($O131&lt;=0,"SIFIR/NEGATİF",IF(COUNTIFS($C$6:$C$5000,$C131,$O$6:$O$5000,$O131,$B$6:$B$5000,$B131)&gt;1,"MÜKERRER","OK"))))</f>
        <v/>
      </c>
    </row>
    <row r="132" ht="16.5" customHeight="1" s="80">
      <c r="A132" s="113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7">
        <f>IF($B132="",0,IF($S132="EVET",IF($D132="GELİR",$O132,-$O132),0))</f>
        <v/>
      </c>
      <c r="AA132" s="117">
        <f>IF($B132="",0,IF(OR($W132="EVET",$X132="EVET",$Y132="EVET"),0,IF($D132="GELİR",IF($E132="SATIŞ İADESİ/İSKONTO",-$O132,$O132),-$O132)))</f>
        <v/>
      </c>
      <c r="AB132" s="117">
        <f>IF($B132="","",IF(OR($D132="",$E132="",$O132=""),"EKSİK",IF($O132&lt;=0,"SIFIR/NEGATİF",IF(COUNTIFS($C$6:$C$5000,$C132,$O$6:$O$5000,$O132,$B$6:$B$5000,$B132)&gt;1,"MÜKERRER","OK"))))</f>
        <v/>
      </c>
    </row>
    <row r="133" ht="16.5" customHeight="1" s="80">
      <c r="A133" s="113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7">
        <f>IF($B133="",0,IF($S133="EVET",IF($D133="GELİR",$O133,-$O133),0))</f>
        <v/>
      </c>
      <c r="AA133" s="117">
        <f>IF($B133="",0,IF(OR($W133="EVET",$X133="EVET",$Y133="EVET"),0,IF($D133="GELİR",IF($E133="SATIŞ İADESİ/İSKONTO",-$O133,$O133),-$O133)))</f>
        <v/>
      </c>
      <c r="AB133" s="117">
        <f>IF($B133="","",IF(OR($D133="",$E133="",$O133=""),"EKSİK",IF($O133&lt;=0,"SIFIR/NEGATİF",IF(COUNTIFS($C$6:$C$5000,$C133,$O$6:$O$5000,$O133,$B$6:$B$5000,$B133)&gt;1,"MÜKERRER","OK"))))</f>
        <v/>
      </c>
    </row>
    <row r="134" ht="16.5" customHeight="1" s="80">
      <c r="A134" s="113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7">
        <f>IF($B134="",0,IF($S134="EVET",IF($D134="GELİR",$O134,-$O134),0))</f>
        <v/>
      </c>
      <c r="AA134" s="117">
        <f>IF($B134="",0,IF(OR($W134="EVET",$X134="EVET",$Y134="EVET"),0,IF($D134="GELİR",IF($E134="SATIŞ İADESİ/İSKONTO",-$O134,$O134),-$O134)))</f>
        <v/>
      </c>
      <c r="AB134" s="117">
        <f>IF($B134="","",IF(OR($D134="",$E134="",$O134=""),"EKSİK",IF($O134&lt;=0,"SIFIR/NEGATİF",IF(COUNTIFS($C$6:$C$5000,$C134,$O$6:$O$5000,$O134,$B$6:$B$5000,$B134)&gt;1,"MÜKERRER","OK"))))</f>
        <v/>
      </c>
    </row>
    <row r="135" ht="16.5" customHeight="1" s="80">
      <c r="A135" s="113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7">
        <f>IF($B135="",0,IF($S135="EVET",IF($D135="GELİR",$O135,-$O135),0))</f>
        <v/>
      </c>
      <c r="AA135" s="117">
        <f>IF($B135="",0,IF(OR($W135="EVET",$X135="EVET",$Y135="EVET"),0,IF($D135="GELİR",IF($E135="SATIŞ İADESİ/İSKONTO",-$O135,$O135),-$O135)))</f>
        <v/>
      </c>
      <c r="AB135" s="117">
        <f>IF($B135="","",IF(OR($D135="",$E135="",$O135=""),"EKSİK",IF($O135&lt;=0,"SIFIR/NEGATİF",IF(COUNTIFS($C$6:$C$5000,$C135,$O$6:$O$5000,$O135,$B$6:$B$5000,$B135)&gt;1,"MÜKERRER","OK"))))</f>
        <v/>
      </c>
    </row>
    <row r="136" ht="16.5" customHeight="1" s="80">
      <c r="A136" s="113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7">
        <f>IF($B136="",0,IF($S136="EVET",IF($D136="GELİR",$O136,-$O136),0))</f>
        <v/>
      </c>
      <c r="AA136" s="117">
        <f>IF($B136="",0,IF(OR($W136="EVET",$X136="EVET",$Y136="EVET"),0,IF($D136="GELİR",IF($E136="SATIŞ İADESİ/İSKONTO",-$O136,$O136),-$O136)))</f>
        <v/>
      </c>
      <c r="AB136" s="117">
        <f>IF($B136="","",IF(OR($D136="",$E136="",$O136=""),"EKSİK",IF($O136&lt;=0,"SIFIR/NEGATİF",IF(COUNTIFS($C$6:$C$5000,$C136,$O$6:$O$5000,$O136,$B$6:$B$5000,$B136)&gt;1,"MÜKERRER","OK"))))</f>
        <v/>
      </c>
    </row>
    <row r="137" ht="16.5" customHeight="1" s="80">
      <c r="A137" s="113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7">
        <f>IF($B137="",0,IF($S137="EVET",IF($D137="GELİR",$O137,-$O137),0))</f>
        <v/>
      </c>
      <c r="AA137" s="117">
        <f>IF($B137="",0,IF(OR($W137="EVET",$X137="EVET",$Y137="EVET"),0,IF($D137="GELİR",IF($E137="SATIŞ İADESİ/İSKONTO",-$O137,$O137),-$O137)))</f>
        <v/>
      </c>
      <c r="AB137" s="117">
        <f>IF($B137="","",IF(OR($D137="",$E137="",$O137=""),"EKSİK",IF($O137&lt;=0,"SIFIR/NEGATİF",IF(COUNTIFS($C$6:$C$5000,$C137,$O$6:$O$5000,$O137,$B$6:$B$5000,$B137)&gt;1,"MÜKERRER","OK"))))</f>
        <v/>
      </c>
    </row>
    <row r="138" ht="16.5" customHeight="1" s="80">
      <c r="A138" s="113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7">
        <f>IF($B138="",0,IF($S138="EVET",IF($D138="GELİR",$O138,-$O138),0))</f>
        <v/>
      </c>
      <c r="AA138" s="117">
        <f>IF($B138="",0,IF(OR($W138="EVET",$X138="EVET",$Y138="EVET"),0,IF($D138="GELİR",IF($E138="SATIŞ İADESİ/İSKONTO",-$O138,$O138),-$O138)))</f>
        <v/>
      </c>
      <c r="AB138" s="117">
        <f>IF($B138="","",IF(OR($D138="",$E138="",$O138=""),"EKSİK",IF($O138&lt;=0,"SIFIR/NEGATİF",IF(COUNTIFS($C$6:$C$5000,$C138,$O$6:$O$5000,$O138,$B$6:$B$5000,$B138)&gt;1,"MÜKERRER","OK"))))</f>
        <v/>
      </c>
    </row>
    <row r="139" ht="16.5" customHeight="1" s="80">
      <c r="A139" s="113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7">
        <f>IF($B139="",0,IF($S139="EVET",IF($D139="GELİR",$O139,-$O139),0))</f>
        <v/>
      </c>
      <c r="AA139" s="117">
        <f>IF($B139="",0,IF(OR($W139="EVET",$X139="EVET",$Y139="EVET"),0,IF($D139="GELİR",IF($E139="SATIŞ İADESİ/İSKONTO",-$O139,$O139),-$O139)))</f>
        <v/>
      </c>
      <c r="AB139" s="117">
        <f>IF($B139="","",IF(OR($D139="",$E139="",$O139=""),"EKSİK",IF($O139&lt;=0,"SIFIR/NEGATİF",IF(COUNTIFS($C$6:$C$5000,$C139,$O$6:$O$5000,$O139,$B$6:$B$5000,$B139)&gt;1,"MÜKERRER","OK"))))</f>
        <v/>
      </c>
    </row>
    <row r="140" ht="16.5" customHeight="1" s="80">
      <c r="A140" s="113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7">
        <f>IF($B140="",0,IF($S140="EVET",IF($D140="GELİR",$O140,-$O140),0))</f>
        <v/>
      </c>
      <c r="AA140" s="117">
        <f>IF($B140="",0,IF(OR($W140="EVET",$X140="EVET",$Y140="EVET"),0,IF($D140="GELİR",IF($E140="SATIŞ İADESİ/İSKONTO",-$O140,$O140),-$O140)))</f>
        <v/>
      </c>
      <c r="AB140" s="117">
        <f>IF($B140="","",IF(OR($D140="",$E140="",$O140=""),"EKSİK",IF($O140&lt;=0,"SIFIR/NEGATİF",IF(COUNTIFS($C$6:$C$5000,$C140,$O$6:$O$5000,$O140,$B$6:$B$5000,$B140)&gt;1,"MÜKERRER","OK"))))</f>
        <v/>
      </c>
    </row>
    <row r="141" ht="16.5" customHeight="1" s="80">
      <c r="A141" s="113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7">
        <f>IF($B141="",0,IF($S141="EVET",IF($D141="GELİR",$O141,-$O141),0))</f>
        <v/>
      </c>
      <c r="AA141" s="117">
        <f>IF($B141="",0,IF(OR($W141="EVET",$X141="EVET",$Y141="EVET"),0,IF($D141="GELİR",IF($E141="SATIŞ İADESİ/İSKONTO",-$O141,$O141),-$O141)))</f>
        <v/>
      </c>
      <c r="AB141" s="117">
        <f>IF($B141="","",IF(OR($D141="",$E141="",$O141=""),"EKSİK",IF($O141&lt;=0,"SIFIR/NEGATİF",IF(COUNTIFS($C$6:$C$5000,$C141,$O$6:$O$5000,$O141,$B$6:$B$5000,$B141)&gt;1,"MÜKERRER","OK"))))</f>
        <v/>
      </c>
    </row>
    <row r="142" ht="16.5" customHeight="1" s="80">
      <c r="A142" s="113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7">
        <f>IF($B142="",0,IF($S142="EVET",IF($D142="GELİR",$O142,-$O142),0))</f>
        <v/>
      </c>
      <c r="AA142" s="117">
        <f>IF($B142="",0,IF(OR($W142="EVET",$X142="EVET",$Y142="EVET"),0,IF($D142="GELİR",IF($E142="SATIŞ İADESİ/İSKONTO",-$O142,$O142),-$O142)))</f>
        <v/>
      </c>
      <c r="AB142" s="117">
        <f>IF($B142="","",IF(OR($D142="",$E142="",$O142=""),"EKSİK",IF($O142&lt;=0,"SIFIR/NEGATİF",IF(COUNTIFS($C$6:$C$5000,$C142,$O$6:$O$5000,$O142,$B$6:$B$5000,$B142)&gt;1,"MÜKERRER","OK"))))</f>
        <v/>
      </c>
    </row>
    <row r="143" ht="16.5" customHeight="1" s="80">
      <c r="A143" s="113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7">
        <f>IF($B143="",0,IF($S143="EVET",IF($D143="GELİR",$O143,-$O143),0))</f>
        <v/>
      </c>
      <c r="AA143" s="117">
        <f>IF($B143="",0,IF(OR($W143="EVET",$X143="EVET",$Y143="EVET"),0,IF($D143="GELİR",IF($E143="SATIŞ İADESİ/İSKONTO",-$O143,$O143),-$O143)))</f>
        <v/>
      </c>
      <c r="AB143" s="117">
        <f>IF($B143="","",IF(OR($D143="",$E143="",$O143=""),"EKSİK",IF($O143&lt;=0,"SIFIR/NEGATİF",IF(COUNTIFS($C$6:$C$5000,$C143,$O$6:$O$5000,$O143,$B$6:$B$5000,$B143)&gt;1,"MÜKERRER","OK"))))</f>
        <v/>
      </c>
    </row>
    <row r="144" ht="16.5" customHeight="1" s="80">
      <c r="A144" s="113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7">
        <f>IF($B144="",0,IF($S144="EVET",IF($D144="GELİR",$O144,-$O144),0))</f>
        <v/>
      </c>
      <c r="AA144" s="117">
        <f>IF($B144="",0,IF(OR($W144="EVET",$X144="EVET",$Y144="EVET"),0,IF($D144="GELİR",IF($E144="SATIŞ İADESİ/İSKONTO",-$O144,$O144),-$O144)))</f>
        <v/>
      </c>
      <c r="AB144" s="117">
        <f>IF($B144="","",IF(OR($D144="",$E144="",$O144=""),"EKSİK",IF($O144&lt;=0,"SIFIR/NEGATİF",IF(COUNTIFS($C$6:$C$5000,$C144,$O$6:$O$5000,$O144,$B$6:$B$5000,$B144)&gt;1,"MÜKERRER","OK"))))</f>
        <v/>
      </c>
    </row>
    <row r="145" ht="16.5" customHeight="1" s="80">
      <c r="A145" s="113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7">
        <f>IF($B145="",0,IF($S145="EVET",IF($D145="GELİR",$O145,-$O145),0))</f>
        <v/>
      </c>
      <c r="AA145" s="117">
        <f>IF($B145="",0,IF(OR($W145="EVET",$X145="EVET",$Y145="EVET"),0,IF($D145="GELİR",IF($E145="SATIŞ İADESİ/İSKONTO",-$O145,$O145),-$O145)))</f>
        <v/>
      </c>
      <c r="AB145" s="117">
        <f>IF($B145="","",IF(OR($D145="",$E145="",$O145=""),"EKSİK",IF($O145&lt;=0,"SIFIR/NEGATİF",IF(COUNTIFS($C$6:$C$5000,$C145,$O$6:$O$5000,$O145,$B$6:$B$5000,$B145)&gt;1,"MÜKERRER","OK"))))</f>
        <v/>
      </c>
    </row>
    <row r="146" ht="16.5" customHeight="1" s="80">
      <c r="A146" s="113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7">
        <f>IF($B146="",0,IF($S146="EVET",IF($D146="GELİR",$O146,-$O146),0))</f>
        <v/>
      </c>
      <c r="AA146" s="117">
        <f>IF($B146="",0,IF(OR($W146="EVET",$X146="EVET",$Y146="EVET"),0,IF($D146="GELİR",IF($E146="SATIŞ İADESİ/İSKONTO",-$O146,$O146),-$O146)))</f>
        <v/>
      </c>
      <c r="AB146" s="117">
        <f>IF($B146="","",IF(OR($D146="",$E146="",$O146=""),"EKSİK",IF($O146&lt;=0,"SIFIR/NEGATİF",IF(COUNTIFS($C$6:$C$5000,$C146,$O$6:$O$5000,$O146,$B$6:$B$5000,$B146)&gt;1,"MÜKERRER","OK"))))</f>
        <v/>
      </c>
    </row>
    <row r="147" ht="16.5" customHeight="1" s="80">
      <c r="A147" s="113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7">
        <f>IF($B147="",0,IF($S147="EVET",IF($D147="GELİR",$O147,-$O147),0))</f>
        <v/>
      </c>
      <c r="AA147" s="117">
        <f>IF($B147="",0,IF(OR($W147="EVET",$X147="EVET",$Y147="EVET"),0,IF($D147="GELİR",IF($E147="SATIŞ İADESİ/İSKONTO",-$O147,$O147),-$O147)))</f>
        <v/>
      </c>
      <c r="AB147" s="117">
        <f>IF($B147="","",IF(OR($D147="",$E147="",$O147=""),"EKSİK",IF($O147&lt;=0,"SIFIR/NEGATİF",IF(COUNTIFS($C$6:$C$5000,$C147,$O$6:$O$5000,$O147,$B$6:$B$5000,$B147)&gt;1,"MÜKERRER","OK"))))</f>
        <v/>
      </c>
    </row>
    <row r="148" ht="16.5" customHeight="1" s="80">
      <c r="A148" s="113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7">
        <f>IF($B148="",0,IF($S148="EVET",IF($D148="GELİR",$O148,-$O148),0))</f>
        <v/>
      </c>
      <c r="AA148" s="117">
        <f>IF($B148="",0,IF(OR($W148="EVET",$X148="EVET",$Y148="EVET"),0,IF($D148="GELİR",IF($E148="SATIŞ İADESİ/İSKONTO",-$O148,$O148),-$O148)))</f>
        <v/>
      </c>
      <c r="AB148" s="117">
        <f>IF($B148="","",IF(OR($D148="",$E148="",$O148=""),"EKSİK",IF($O148&lt;=0,"SIFIR/NEGATİF",IF(COUNTIFS($C$6:$C$5000,$C148,$O$6:$O$5000,$O148,$B$6:$B$5000,$B148)&gt;1,"MÜKERRER","OK"))))</f>
        <v/>
      </c>
    </row>
    <row r="149" ht="16.5" customHeight="1" s="80">
      <c r="A149" s="113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7">
        <f>IF($B149="",0,IF($S149="EVET",IF($D149="GELİR",$O149,-$O149),0))</f>
        <v/>
      </c>
      <c r="AA149" s="117">
        <f>IF($B149="",0,IF(OR($W149="EVET",$X149="EVET",$Y149="EVET"),0,IF($D149="GELİR",IF($E149="SATIŞ İADESİ/İSKONTO",-$O149,$O149),-$O149)))</f>
        <v/>
      </c>
      <c r="AB149" s="117">
        <f>IF($B149="","",IF(OR($D149="",$E149="",$O149=""),"EKSİK",IF($O149&lt;=0,"SIFIR/NEGATİF",IF(COUNTIFS($C$6:$C$5000,$C149,$O$6:$O$5000,$O149,$B$6:$B$5000,$B149)&gt;1,"MÜKERRER","OK"))))</f>
        <v/>
      </c>
    </row>
    <row r="150" ht="16.5" customHeight="1" s="80">
      <c r="A150" s="113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7">
        <f>IF($B150="",0,IF($S150="EVET",IF($D150="GELİR",$O150,-$O150),0))</f>
        <v/>
      </c>
      <c r="AA150" s="117">
        <f>IF($B150="",0,IF(OR($W150="EVET",$X150="EVET",$Y150="EVET"),0,IF($D150="GELİR",IF($E150="SATIŞ İADESİ/İSKONTO",-$O150,$O150),-$O150)))</f>
        <v/>
      </c>
      <c r="AB150" s="117">
        <f>IF($B150="","",IF(OR($D150="",$E150="",$O150=""),"EKSİK",IF($O150&lt;=0,"SIFIR/NEGATİF",IF(COUNTIFS($C$6:$C$5000,$C150,$O$6:$O$5000,$O150,$B$6:$B$5000,$B150)&gt;1,"MÜKERRER","OK"))))</f>
        <v/>
      </c>
    </row>
    <row r="151" ht="16.5" customHeight="1" s="80">
      <c r="A151" s="113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7">
        <f>IF($B151="",0,IF($S151="EVET",IF($D151="GELİR",$O151,-$O151),0))</f>
        <v/>
      </c>
      <c r="AA151" s="117">
        <f>IF($B151="",0,IF(OR($W151="EVET",$X151="EVET",$Y151="EVET"),0,IF($D151="GELİR",IF($E151="SATIŞ İADESİ/İSKONTO",-$O151,$O151),-$O151)))</f>
        <v/>
      </c>
      <c r="AB151" s="117">
        <f>IF($B151="","",IF(OR($D151="",$E151="",$O151=""),"EKSİK",IF($O151&lt;=0,"SIFIR/NEGATİF",IF(COUNTIFS($C$6:$C$5000,$C151,$O$6:$O$5000,$O151,$B$6:$B$5000,$B151)&gt;1,"MÜKERRER","OK"))))</f>
        <v/>
      </c>
    </row>
    <row r="152" ht="16.5" customHeight="1" s="80">
      <c r="A152" s="113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7">
        <f>IF($B152="",0,IF($S152="EVET",IF($D152="GELİR",$O152,-$O152),0))</f>
        <v/>
      </c>
      <c r="AA152" s="117">
        <f>IF($B152="",0,IF(OR($W152="EVET",$X152="EVET",$Y152="EVET"),0,IF($D152="GELİR",IF($E152="SATIŞ İADESİ/İSKONTO",-$O152,$O152),-$O152)))</f>
        <v/>
      </c>
      <c r="AB152" s="117">
        <f>IF($B152="","",IF(OR($D152="",$E152="",$O152=""),"EKSİK",IF($O152&lt;=0,"SIFIR/NEGATİF",IF(COUNTIFS($C$6:$C$5000,$C152,$O$6:$O$5000,$O152,$B$6:$B$5000,$B152)&gt;1,"MÜKERRER","OK"))))</f>
        <v/>
      </c>
    </row>
    <row r="153" ht="16.5" customHeight="1" s="80">
      <c r="A153" s="113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7">
        <f>IF($B153="",0,IF($S153="EVET",IF($D153="GELİR",$O153,-$O153),0))</f>
        <v/>
      </c>
      <c r="AA153" s="117">
        <f>IF($B153="",0,IF(OR($W153="EVET",$X153="EVET",$Y153="EVET"),0,IF($D153="GELİR",IF($E153="SATIŞ İADESİ/İSKONTO",-$O153,$O153),-$O153)))</f>
        <v/>
      </c>
      <c r="AB153" s="117">
        <f>IF($B153="","",IF(OR($D153="",$E153="",$O153=""),"EKSİK",IF($O153&lt;=0,"SIFIR/NEGATİF",IF(COUNTIFS($C$6:$C$5000,$C153,$O$6:$O$5000,$O153,$B$6:$B$5000,$B153)&gt;1,"MÜKERRER","OK"))))</f>
        <v/>
      </c>
    </row>
    <row r="154" ht="16.5" customHeight="1" s="80">
      <c r="A154" s="113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7">
        <f>IF($B154="",0,IF($S154="EVET",IF($D154="GELİR",$O154,-$O154),0))</f>
        <v/>
      </c>
      <c r="AA154" s="117">
        <f>IF($B154="",0,IF(OR($W154="EVET",$X154="EVET",$Y154="EVET"),0,IF($D154="GELİR",IF($E154="SATIŞ İADESİ/İSKONTO",-$O154,$O154),-$O154)))</f>
        <v/>
      </c>
      <c r="AB154" s="117">
        <f>IF($B154="","",IF(OR($D154="",$E154="",$O154=""),"EKSİK",IF($O154&lt;=0,"SIFIR/NEGATİF",IF(COUNTIFS($C$6:$C$5000,$C154,$O$6:$O$5000,$O154,$B$6:$B$5000,$B154)&gt;1,"MÜKERRER","OK"))))</f>
        <v/>
      </c>
    </row>
    <row r="155" ht="16.5" customHeight="1" s="80">
      <c r="A155" s="113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7">
        <f>IF($B155="",0,IF($S155="EVET",IF($D155="GELİR",$O155,-$O155),0))</f>
        <v/>
      </c>
      <c r="AA155" s="117">
        <f>IF($B155="",0,IF(OR($W155="EVET",$X155="EVET",$Y155="EVET"),0,IF($D155="GELİR",IF($E155="SATIŞ İADESİ/İSKONTO",-$O155,$O155),-$O155)))</f>
        <v/>
      </c>
      <c r="AB155" s="117">
        <f>IF($B155="","",IF(OR($D155="",$E155="",$O155=""),"EKSİK",IF($O155&lt;=0,"SIFIR/NEGATİF",IF(COUNTIFS($C$6:$C$5000,$C155,$O$6:$O$5000,$O155,$B$6:$B$5000,$B155)&gt;1,"MÜKERRER","OK"))))</f>
        <v/>
      </c>
    </row>
    <row r="156" ht="16.5" customHeight="1" s="80">
      <c r="A156" s="113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7">
        <f>IF($B156="",0,IF($S156="EVET",IF($D156="GELİR",$O156,-$O156),0))</f>
        <v/>
      </c>
      <c r="AA156" s="117">
        <f>IF($B156="",0,IF(OR($W156="EVET",$X156="EVET",$Y156="EVET"),0,IF($D156="GELİR",IF($E156="SATIŞ İADESİ/İSKONTO",-$O156,$O156),-$O156)))</f>
        <v/>
      </c>
      <c r="AB156" s="117">
        <f>IF($B156="","",IF(OR($D156="",$E156="",$O156=""),"EKSİK",IF($O156&lt;=0,"SIFIR/NEGATİF",IF(COUNTIFS($C$6:$C$5000,$C156,$O$6:$O$5000,$O156,$B$6:$B$5000,$B156)&gt;1,"MÜKERRER","OK"))))</f>
        <v/>
      </c>
    </row>
    <row r="157" ht="16.5" customHeight="1" s="80">
      <c r="A157" s="113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7">
        <f>IF($B157="",0,IF($S157="EVET",IF($D157="GELİR",$O157,-$O157),0))</f>
        <v/>
      </c>
      <c r="AA157" s="117">
        <f>IF($B157="",0,IF(OR($W157="EVET",$X157="EVET",$Y157="EVET"),0,IF($D157="GELİR",IF($E157="SATIŞ İADESİ/İSKONTO",-$O157,$O157),-$O157)))</f>
        <v/>
      </c>
      <c r="AB157" s="117">
        <f>IF($B157="","",IF(OR($D157="",$E157="",$O157=""),"EKSİK",IF($O157&lt;=0,"SIFIR/NEGATİF",IF(COUNTIFS($C$6:$C$5000,$C157,$O$6:$O$5000,$O157,$B$6:$B$5000,$B157)&gt;1,"MÜKERRER","OK"))))</f>
        <v/>
      </c>
    </row>
    <row r="158" ht="16.5" customHeight="1" s="80">
      <c r="A158" s="113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7">
        <f>IF($B158="",0,IF($S158="EVET",IF($D158="GELİR",$O158,-$O158),0))</f>
        <v/>
      </c>
      <c r="AA158" s="117">
        <f>IF($B158="",0,IF(OR($W158="EVET",$X158="EVET",$Y158="EVET"),0,IF($D158="GELİR",IF($E158="SATIŞ İADESİ/İSKONTO",-$O158,$O158),-$O158)))</f>
        <v/>
      </c>
      <c r="AB158" s="117">
        <f>IF($B158="","",IF(OR($D158="",$E158="",$O158=""),"EKSİK",IF($O158&lt;=0,"SIFIR/NEGATİF",IF(COUNTIFS($C$6:$C$5000,$C158,$O$6:$O$5000,$O158,$B$6:$B$5000,$B158)&gt;1,"MÜKERRER","OK"))))</f>
        <v/>
      </c>
    </row>
    <row r="159" ht="16.5" customHeight="1" s="80">
      <c r="A159" s="113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7">
        <f>IF($B159="",0,IF($S159="EVET",IF($D159="GELİR",$O159,-$O159),0))</f>
        <v/>
      </c>
      <c r="AA159" s="117">
        <f>IF($B159="",0,IF(OR($W159="EVET",$X159="EVET",$Y159="EVET"),0,IF($D159="GELİR",IF($E159="SATIŞ İADESİ/İSKONTO",-$O159,$O159),-$O159)))</f>
        <v/>
      </c>
      <c r="AB159" s="117">
        <f>IF($B159="","",IF(OR($D159="",$E159="",$O159=""),"EKSİK",IF($O159&lt;=0,"SIFIR/NEGATİF",IF(COUNTIFS($C$6:$C$5000,$C159,$O$6:$O$5000,$O159,$B$6:$B$5000,$B159)&gt;1,"MÜKERRER","OK"))))</f>
        <v/>
      </c>
    </row>
    <row r="160" ht="16.5" customHeight="1" s="80">
      <c r="A160" s="113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7">
        <f>IF($B160="",0,IF($S160="EVET",IF($D160="GELİR",$O160,-$O160),0))</f>
        <v/>
      </c>
      <c r="AA160" s="117">
        <f>IF($B160="",0,IF(OR($W160="EVET",$X160="EVET",$Y160="EVET"),0,IF($D160="GELİR",IF($E160="SATIŞ İADESİ/İSKONTO",-$O160,$O160),-$O160)))</f>
        <v/>
      </c>
      <c r="AB160" s="117">
        <f>IF($B160="","",IF(OR($D160="",$E160="",$O160=""),"EKSİK",IF($O160&lt;=0,"SIFIR/NEGATİF",IF(COUNTIFS($C$6:$C$5000,$C160,$O$6:$O$5000,$O160,$B$6:$B$5000,$B160)&gt;1,"MÜKERRER","OK"))))</f>
        <v/>
      </c>
    </row>
    <row r="161" ht="16.5" customHeight="1" s="80">
      <c r="A161" s="113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7">
        <f>IF($B161="",0,IF($S161="EVET",IF($D161="GELİR",$O161,-$O161),0))</f>
        <v/>
      </c>
      <c r="AA161" s="117">
        <f>IF($B161="",0,IF(OR($W161="EVET",$X161="EVET",$Y161="EVET"),0,IF($D161="GELİR",IF($E161="SATIŞ İADESİ/İSKONTO",-$O161,$O161),-$O161)))</f>
        <v/>
      </c>
      <c r="AB161" s="117">
        <f>IF($B161="","",IF(OR($D161="",$E161="",$O161=""),"EKSİK",IF($O161&lt;=0,"SIFIR/NEGATİF",IF(COUNTIFS($C$6:$C$5000,$C161,$O$6:$O$5000,$O161,$B$6:$B$5000,$B161)&gt;1,"MÜKERRER","OK"))))</f>
        <v/>
      </c>
    </row>
    <row r="162" ht="16.5" customHeight="1" s="80">
      <c r="A162" s="113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7">
        <f>IF($B162="",0,IF($S162="EVET",IF($D162="GELİR",$O162,-$O162),0))</f>
        <v/>
      </c>
      <c r="AA162" s="117">
        <f>IF($B162="",0,IF(OR($W162="EVET",$X162="EVET",$Y162="EVET"),0,IF($D162="GELİR",IF($E162="SATIŞ İADESİ/İSKONTO",-$O162,$O162),-$O162)))</f>
        <v/>
      </c>
      <c r="AB162" s="117">
        <f>IF($B162="","",IF(OR($D162="",$E162="",$O162=""),"EKSİK",IF($O162&lt;=0,"SIFIR/NEGATİF",IF(COUNTIFS($C$6:$C$5000,$C162,$O$6:$O$5000,$O162,$B$6:$B$5000,$B162)&gt;1,"MÜKERRER","OK"))))</f>
        <v/>
      </c>
    </row>
    <row r="163" ht="16.5" customHeight="1" s="80">
      <c r="A163" s="113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7">
        <f>IF($B163="",0,IF($S163="EVET",IF($D163="GELİR",$O163,-$O163),0))</f>
        <v/>
      </c>
      <c r="AA163" s="117">
        <f>IF($B163="",0,IF(OR($W163="EVET",$X163="EVET",$Y163="EVET"),0,IF($D163="GELİR",IF($E163="SATIŞ İADESİ/İSKONTO",-$O163,$O163),-$O163)))</f>
        <v/>
      </c>
      <c r="AB163" s="117">
        <f>IF($B163="","",IF(OR($D163="",$E163="",$O163=""),"EKSİK",IF($O163&lt;=0,"SIFIR/NEGATİF",IF(COUNTIFS($C$6:$C$5000,$C163,$O$6:$O$5000,$O163,$B$6:$B$5000,$B163)&gt;1,"MÜKERRER","OK"))))</f>
        <v/>
      </c>
    </row>
    <row r="164" ht="16.5" customHeight="1" s="80">
      <c r="A164" s="113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7">
        <f>IF($B164="",0,IF($S164="EVET",IF($D164="GELİR",$O164,-$O164),0))</f>
        <v/>
      </c>
      <c r="AA164" s="117">
        <f>IF($B164="",0,IF(OR($W164="EVET",$X164="EVET",$Y164="EVET"),0,IF($D164="GELİR",IF($E164="SATIŞ İADESİ/İSKONTO",-$O164,$O164),-$O164)))</f>
        <v/>
      </c>
      <c r="AB164" s="117">
        <f>IF($B164="","",IF(OR($D164="",$E164="",$O164=""),"EKSİK",IF($O164&lt;=0,"SIFIR/NEGATİF",IF(COUNTIFS($C$6:$C$5000,$C164,$O$6:$O$5000,$O164,$B$6:$B$5000,$B164)&gt;1,"MÜKERRER","OK"))))</f>
        <v/>
      </c>
    </row>
    <row r="165" ht="16.5" customHeight="1" s="80">
      <c r="A165" s="113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7">
        <f>IF($B165="",0,IF($S165="EVET",IF($D165="GELİR",$O165,-$O165),0))</f>
        <v/>
      </c>
      <c r="AA165" s="117">
        <f>IF($B165="",0,IF(OR($W165="EVET",$X165="EVET",$Y165="EVET"),0,IF($D165="GELİR",IF($E165="SATIŞ İADESİ/İSKONTO",-$O165,$O165),-$O165)))</f>
        <v/>
      </c>
      <c r="AB165" s="117">
        <f>IF($B165="","",IF(OR($D165="",$E165="",$O165=""),"EKSİK",IF($O165&lt;=0,"SIFIR/NEGATİF",IF(COUNTIFS($C$6:$C$5000,$C165,$O$6:$O$5000,$O165,$B$6:$B$5000,$B165)&gt;1,"MÜKERRER","OK"))))</f>
        <v/>
      </c>
    </row>
    <row r="166" ht="16.5" customHeight="1" s="80">
      <c r="A166" s="113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7">
        <f>IF($B166="",0,IF($S166="EVET",IF($D166="GELİR",$O166,-$O166),0))</f>
        <v/>
      </c>
      <c r="AA166" s="117">
        <f>IF($B166="",0,IF(OR($W166="EVET",$X166="EVET",$Y166="EVET"),0,IF($D166="GELİR",IF($E166="SATIŞ İADESİ/İSKONTO",-$O166,$O166),-$O166)))</f>
        <v/>
      </c>
      <c r="AB166" s="117">
        <f>IF($B166="","",IF(OR($D166="",$E166="",$O166=""),"EKSİK",IF($O166&lt;=0,"SIFIR/NEGATİF",IF(COUNTIFS($C$6:$C$5000,$C166,$O$6:$O$5000,$O166,$B$6:$B$5000,$B166)&gt;1,"MÜKERRER","OK"))))</f>
        <v/>
      </c>
    </row>
    <row r="167" ht="16.5" customHeight="1" s="80">
      <c r="A167" s="113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7">
        <f>IF($B167="",0,IF($S167="EVET",IF($D167="GELİR",$O167,-$O167),0))</f>
        <v/>
      </c>
      <c r="AA167" s="117">
        <f>IF($B167="",0,IF(OR($W167="EVET",$X167="EVET",$Y167="EVET"),0,IF($D167="GELİR",IF($E167="SATIŞ İADESİ/İSKONTO",-$O167,$O167),-$O167)))</f>
        <v/>
      </c>
      <c r="AB167" s="117">
        <f>IF($B167="","",IF(OR($D167="",$E167="",$O167=""),"EKSİK",IF($O167&lt;=0,"SIFIR/NEGATİF",IF(COUNTIFS($C$6:$C$5000,$C167,$O$6:$O$5000,$O167,$B$6:$B$5000,$B167)&gt;1,"MÜKERRER","OK"))))</f>
        <v/>
      </c>
    </row>
    <row r="168" ht="16.5" customHeight="1" s="80">
      <c r="A168" s="113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7">
        <f>IF($B168="",0,IF($S168="EVET",IF($D168="GELİR",$O168,-$O168),0))</f>
        <v/>
      </c>
      <c r="AA168" s="117">
        <f>IF($B168="",0,IF(OR($W168="EVET",$X168="EVET",$Y168="EVET"),0,IF($D168="GELİR",IF($E168="SATIŞ İADESİ/İSKONTO",-$O168,$O168),-$O168)))</f>
        <v/>
      </c>
      <c r="AB168" s="117">
        <f>IF($B168="","",IF(OR($D168="",$E168="",$O168=""),"EKSİK",IF($O168&lt;=0,"SIFIR/NEGATİF",IF(COUNTIFS($C$6:$C$5000,$C168,$O$6:$O$5000,$O168,$B$6:$B$5000,$B168)&gt;1,"MÜKERRER","OK"))))</f>
        <v/>
      </c>
    </row>
    <row r="169" ht="16.5" customHeight="1" s="80">
      <c r="A169" s="113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7">
        <f>IF($B169="",0,IF($S169="EVET",IF($D169="GELİR",$O169,-$O169),0))</f>
        <v/>
      </c>
      <c r="AA169" s="117">
        <f>IF($B169="",0,IF(OR($W169="EVET",$X169="EVET",$Y169="EVET"),0,IF($D169="GELİR",IF($E169="SATIŞ İADESİ/İSKONTO",-$O169,$O169),-$O169)))</f>
        <v/>
      </c>
      <c r="AB169" s="117">
        <f>IF($B169="","",IF(OR($D169="",$E169="",$O169=""),"EKSİK",IF($O169&lt;=0,"SIFIR/NEGATİF",IF(COUNTIFS($C$6:$C$5000,$C169,$O$6:$O$5000,$O169,$B$6:$B$5000,$B169)&gt;1,"MÜKERRER","OK"))))</f>
        <v/>
      </c>
    </row>
    <row r="170" ht="16.5" customHeight="1" s="80">
      <c r="A170" s="113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7">
        <f>IF($B170="",0,IF($S170="EVET",IF($D170="GELİR",$O170,-$O170),0))</f>
        <v/>
      </c>
      <c r="AA170" s="117">
        <f>IF($B170="",0,IF(OR($W170="EVET",$X170="EVET",$Y170="EVET"),0,IF($D170="GELİR",IF($E170="SATIŞ İADESİ/İSKONTO",-$O170,$O170),-$O170)))</f>
        <v/>
      </c>
      <c r="AB170" s="117">
        <f>IF($B170="","",IF(OR($D170="",$E170="",$O170=""),"EKSİK",IF($O170&lt;=0,"SIFIR/NEGATİF",IF(COUNTIFS($C$6:$C$5000,$C170,$O$6:$O$5000,$O170,$B$6:$B$5000,$B170)&gt;1,"MÜKERRER","OK"))))</f>
        <v/>
      </c>
    </row>
    <row r="171" ht="16.5" customHeight="1" s="80">
      <c r="A171" s="113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7">
        <f>IF($B171="",0,IF($S171="EVET",IF($D171="GELİR",$O171,-$O171),0))</f>
        <v/>
      </c>
      <c r="AA171" s="117">
        <f>IF($B171="",0,IF(OR($W171="EVET",$X171="EVET",$Y171="EVET"),0,IF($D171="GELİR",IF($E171="SATIŞ İADESİ/İSKONTO",-$O171,$O171),-$O171)))</f>
        <v/>
      </c>
      <c r="AB171" s="117">
        <f>IF($B171="","",IF(OR($D171="",$E171="",$O171=""),"EKSİK",IF($O171&lt;=0,"SIFIR/NEGATİF",IF(COUNTIFS($C$6:$C$5000,$C171,$O$6:$O$5000,$O171,$B$6:$B$5000,$B171)&gt;1,"MÜKERRER","OK"))))</f>
        <v/>
      </c>
    </row>
    <row r="172" ht="16.5" customHeight="1" s="80">
      <c r="A172" s="113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7">
        <f>IF($B172="",0,IF($S172="EVET",IF($D172="GELİR",$O172,-$O172),0))</f>
        <v/>
      </c>
      <c r="AA172" s="117">
        <f>IF($B172="",0,IF(OR($W172="EVET",$X172="EVET",$Y172="EVET"),0,IF($D172="GELİR",IF($E172="SATIŞ İADESİ/İSKONTO",-$O172,$O172),-$O172)))</f>
        <v/>
      </c>
      <c r="AB172" s="117">
        <f>IF($B172="","",IF(OR($D172="",$E172="",$O172=""),"EKSİK",IF($O172&lt;=0,"SIFIR/NEGATİF",IF(COUNTIFS($C$6:$C$5000,$C172,$O$6:$O$5000,$O172,$B$6:$B$5000,$B172)&gt;1,"MÜKERRER","OK"))))</f>
        <v/>
      </c>
    </row>
    <row r="173" ht="16.5" customHeight="1" s="80">
      <c r="A173" s="113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7">
        <f>IF($B173="",0,IF($S173="EVET",IF($D173="GELİR",$O173,-$O173),0))</f>
        <v/>
      </c>
      <c r="AA173" s="117">
        <f>IF($B173="",0,IF(OR($W173="EVET",$X173="EVET",$Y173="EVET"),0,IF($D173="GELİR",IF($E173="SATIŞ İADESİ/İSKONTO",-$O173,$O173),-$O173)))</f>
        <v/>
      </c>
      <c r="AB173" s="117">
        <f>IF($B173="","",IF(OR($D173="",$E173="",$O173=""),"EKSİK",IF($O173&lt;=0,"SIFIR/NEGATİF",IF(COUNTIFS($C$6:$C$5000,$C173,$O$6:$O$5000,$O173,$B$6:$B$5000,$B173)&gt;1,"MÜKERRER","OK"))))</f>
        <v/>
      </c>
    </row>
    <row r="174" ht="16.5" customHeight="1" s="80">
      <c r="A174" s="113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7">
        <f>IF($B174="",0,IF($S174="EVET",IF($D174="GELİR",$O174,-$O174),0))</f>
        <v/>
      </c>
      <c r="AA174" s="117">
        <f>IF($B174="",0,IF(OR($W174="EVET",$X174="EVET",$Y174="EVET"),0,IF($D174="GELİR",IF($E174="SATIŞ İADESİ/İSKONTO",-$O174,$O174),-$O174)))</f>
        <v/>
      </c>
      <c r="AB174" s="117">
        <f>IF($B174="","",IF(OR($D174="",$E174="",$O174=""),"EKSİK",IF($O174&lt;=0,"SIFIR/NEGATİF",IF(COUNTIFS($C$6:$C$5000,$C174,$O$6:$O$5000,$O174,$B$6:$B$5000,$B174)&gt;1,"MÜKERRER","OK"))))</f>
        <v/>
      </c>
    </row>
    <row r="175" ht="16.5" customHeight="1" s="80">
      <c r="A175" s="113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7">
        <f>IF($B175="",0,IF($S175="EVET",IF($D175="GELİR",$O175,-$O175),0))</f>
        <v/>
      </c>
      <c r="AA175" s="117">
        <f>IF($B175="",0,IF(OR($W175="EVET",$X175="EVET",$Y175="EVET"),0,IF($D175="GELİR",IF($E175="SATIŞ İADESİ/İSKONTO",-$O175,$O175),-$O175)))</f>
        <v/>
      </c>
      <c r="AB175" s="117">
        <f>IF($B175="","",IF(OR($D175="",$E175="",$O175=""),"EKSİK",IF($O175&lt;=0,"SIFIR/NEGATİF",IF(COUNTIFS($C$6:$C$5000,$C175,$O$6:$O$5000,$O175,$B$6:$B$5000,$B175)&gt;1,"MÜKERRER","OK"))))</f>
        <v/>
      </c>
    </row>
    <row r="176" ht="16.5" customHeight="1" s="80">
      <c r="A176" s="113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7">
        <f>IF($B176="",0,IF($S176="EVET",IF($D176="GELİR",$O176,-$O176),0))</f>
        <v/>
      </c>
      <c r="AA176" s="117">
        <f>IF($B176="",0,IF(OR($W176="EVET",$X176="EVET",$Y176="EVET"),0,IF($D176="GELİR",IF($E176="SATIŞ İADESİ/İSKONTO",-$O176,$O176),-$O176)))</f>
        <v/>
      </c>
      <c r="AB176" s="117">
        <f>IF($B176="","",IF(OR($D176="",$E176="",$O176=""),"EKSİK",IF($O176&lt;=0,"SIFIR/NEGATİF",IF(COUNTIFS($C$6:$C$5000,$C176,$O$6:$O$5000,$O176,$B$6:$B$5000,$B176)&gt;1,"MÜKERRER","OK"))))</f>
        <v/>
      </c>
    </row>
    <row r="177" ht="16.5" customHeight="1" s="80">
      <c r="A177" s="113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7">
        <f>IF($B177="",0,IF($S177="EVET",IF($D177="GELİR",$O177,-$O177),0))</f>
        <v/>
      </c>
      <c r="AA177" s="117">
        <f>IF($B177="",0,IF(OR($W177="EVET",$X177="EVET",$Y177="EVET"),0,IF($D177="GELİR",IF($E177="SATIŞ İADESİ/İSKONTO",-$O177,$O177),-$O177)))</f>
        <v/>
      </c>
      <c r="AB177" s="117">
        <f>IF($B177="","",IF(OR($D177="",$E177="",$O177=""),"EKSİK",IF($O177&lt;=0,"SIFIR/NEGATİF",IF(COUNTIFS($C$6:$C$5000,$C177,$O$6:$O$5000,$O177,$B$6:$B$5000,$B177)&gt;1,"MÜKERRER","OK"))))</f>
        <v/>
      </c>
    </row>
    <row r="178" ht="16.5" customHeight="1" s="80">
      <c r="A178" s="113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7">
        <f>IF($B178="",0,IF($S178="EVET",IF($D178="GELİR",$O178,-$O178),0))</f>
        <v/>
      </c>
      <c r="AA178" s="117">
        <f>IF($B178="",0,IF(OR($W178="EVET",$X178="EVET",$Y178="EVET"),0,IF($D178="GELİR",IF($E178="SATIŞ İADESİ/İSKONTO",-$O178,$O178),-$O178)))</f>
        <v/>
      </c>
      <c r="AB178" s="117">
        <f>IF($B178="","",IF(OR($D178="",$E178="",$O178=""),"EKSİK",IF($O178&lt;=0,"SIFIR/NEGATİF",IF(COUNTIFS($C$6:$C$5000,$C178,$O$6:$O$5000,$O178,$B$6:$B$5000,$B178)&gt;1,"MÜKERRER","OK"))))</f>
        <v/>
      </c>
    </row>
    <row r="179" ht="16.5" customHeight="1" s="80">
      <c r="A179" s="113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7">
        <f>IF($B179="",0,IF($S179="EVET",IF($D179="GELİR",$O179,-$O179),0))</f>
        <v/>
      </c>
      <c r="AA179" s="117">
        <f>IF($B179="",0,IF(OR($W179="EVET",$X179="EVET",$Y179="EVET"),0,IF($D179="GELİR",IF($E179="SATIŞ İADESİ/İSKONTO",-$O179,$O179),-$O179)))</f>
        <v/>
      </c>
      <c r="AB179" s="117">
        <f>IF($B179="","",IF(OR($D179="",$E179="",$O179=""),"EKSİK",IF($O179&lt;=0,"SIFIR/NEGATİF",IF(COUNTIFS($C$6:$C$5000,$C179,$O$6:$O$5000,$O179,$B$6:$B$5000,$B179)&gt;1,"MÜKERRER","OK"))))</f>
        <v/>
      </c>
    </row>
    <row r="180" ht="16.5" customHeight="1" s="80">
      <c r="A180" s="113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7">
        <f>IF($B180="",0,IF($S180="EVET",IF($D180="GELİR",$O180,-$O180),0))</f>
        <v/>
      </c>
      <c r="AA180" s="117">
        <f>IF($B180="",0,IF(OR($W180="EVET",$X180="EVET",$Y180="EVET"),0,IF($D180="GELİR",IF($E180="SATIŞ İADESİ/İSKONTO",-$O180,$O180),-$O180)))</f>
        <v/>
      </c>
      <c r="AB180" s="117">
        <f>IF($B180="","",IF(OR($D180="",$E180="",$O180=""),"EKSİK",IF($O180&lt;=0,"SIFIR/NEGATİF",IF(COUNTIFS($C$6:$C$5000,$C180,$O$6:$O$5000,$O180,$B$6:$B$5000,$B180)&gt;1,"MÜKERRER","OK"))))</f>
        <v/>
      </c>
    </row>
    <row r="181" ht="16.5" customHeight="1" s="80">
      <c r="A181" s="113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7">
        <f>IF($B181="",0,IF($S181="EVET",IF($D181="GELİR",$O181,-$O181),0))</f>
        <v/>
      </c>
      <c r="AA181" s="117">
        <f>IF($B181="",0,IF(OR($W181="EVET",$X181="EVET",$Y181="EVET"),0,IF($D181="GELİR",IF($E181="SATIŞ İADESİ/İSKONTO",-$O181,$O181),-$O181)))</f>
        <v/>
      </c>
      <c r="AB181" s="117">
        <f>IF($B181="","",IF(OR($D181="",$E181="",$O181=""),"EKSİK",IF($O181&lt;=0,"SIFIR/NEGATİF",IF(COUNTIFS($C$6:$C$5000,$C181,$O$6:$O$5000,$O181,$B$6:$B$5000,$B181)&gt;1,"MÜKERRER","OK"))))</f>
        <v/>
      </c>
    </row>
    <row r="182" ht="16.5" customHeight="1" s="80">
      <c r="A182" s="113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7">
        <f>IF($B182="",0,IF($S182="EVET",IF($D182="GELİR",$O182,-$O182),0))</f>
        <v/>
      </c>
      <c r="AA182" s="117">
        <f>IF($B182="",0,IF(OR($W182="EVET",$X182="EVET",$Y182="EVET"),0,IF($D182="GELİR",IF($E182="SATIŞ İADESİ/İSKONTO",-$O182,$O182),-$O182)))</f>
        <v/>
      </c>
      <c r="AB182" s="117">
        <f>IF($B182="","",IF(OR($D182="",$E182="",$O182=""),"EKSİK",IF($O182&lt;=0,"SIFIR/NEGATİF",IF(COUNTIFS($C$6:$C$5000,$C182,$O$6:$O$5000,$O182,$B$6:$B$5000,$B182)&gt;1,"MÜKERRER","OK"))))</f>
        <v/>
      </c>
    </row>
    <row r="183" ht="16.5" customHeight="1" s="80">
      <c r="A183" s="113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7">
        <f>IF($B183="",0,IF($S183="EVET",IF($D183="GELİR",$O183,-$O183),0))</f>
        <v/>
      </c>
      <c r="AA183" s="117">
        <f>IF($B183="",0,IF(OR($W183="EVET",$X183="EVET",$Y183="EVET"),0,IF($D183="GELİR",IF($E183="SATIŞ İADESİ/İSKONTO",-$O183,$O183),-$O183)))</f>
        <v/>
      </c>
      <c r="AB183" s="117">
        <f>IF($B183="","",IF(OR($D183="",$E183="",$O183=""),"EKSİK",IF($O183&lt;=0,"SIFIR/NEGATİF",IF(COUNTIFS($C$6:$C$5000,$C183,$O$6:$O$5000,$O183,$B$6:$B$5000,$B183)&gt;1,"MÜKERRER","OK"))))</f>
        <v/>
      </c>
    </row>
    <row r="184" ht="16.5" customHeight="1" s="80">
      <c r="A184" s="113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7">
        <f>IF($B184="",0,IF($S184="EVET",IF($D184="GELİR",$O184,-$O184),0))</f>
        <v/>
      </c>
      <c r="AA184" s="117">
        <f>IF($B184="",0,IF(OR($W184="EVET",$X184="EVET",$Y184="EVET"),0,IF($D184="GELİR",IF($E184="SATIŞ İADESİ/İSKONTO",-$O184,$O184),-$O184)))</f>
        <v/>
      </c>
      <c r="AB184" s="117">
        <f>IF($B184="","",IF(OR($D184="",$E184="",$O184=""),"EKSİK",IF($O184&lt;=0,"SIFIR/NEGATİF",IF(COUNTIFS($C$6:$C$5000,$C184,$O$6:$O$5000,$O184,$B$6:$B$5000,$B184)&gt;1,"MÜKERRER","OK"))))</f>
        <v/>
      </c>
    </row>
    <row r="185" ht="16.5" customHeight="1" s="80">
      <c r="A185" s="113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7">
        <f>IF($B185="",0,IF($S185="EVET",IF($D185="GELİR",$O185,-$O185),0))</f>
        <v/>
      </c>
      <c r="AA185" s="117">
        <f>IF($B185="",0,IF(OR($W185="EVET",$X185="EVET",$Y185="EVET"),0,IF($D185="GELİR",IF($E185="SATIŞ İADESİ/İSKONTO",-$O185,$O185),-$O185)))</f>
        <v/>
      </c>
      <c r="AB185" s="117">
        <f>IF($B185="","",IF(OR($D185="",$E185="",$O185=""),"EKSİK",IF($O185&lt;=0,"SIFIR/NEGATİF",IF(COUNTIFS($C$6:$C$5000,$C185,$O$6:$O$5000,$O185,$B$6:$B$5000,$B185)&gt;1,"MÜKERRER","OK"))))</f>
        <v/>
      </c>
    </row>
    <row r="186" ht="16.5" customHeight="1" s="80">
      <c r="A186" s="113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7">
        <f>IF($B186="",0,IF($S186="EVET",IF($D186="GELİR",$O186,-$O186),0))</f>
        <v/>
      </c>
      <c r="AA186" s="117">
        <f>IF($B186="",0,IF(OR($W186="EVET",$X186="EVET",$Y186="EVET"),0,IF($D186="GELİR",IF($E186="SATIŞ İADESİ/İSKONTO",-$O186,$O186),-$O186)))</f>
        <v/>
      </c>
      <c r="AB186" s="117">
        <f>IF($B186="","",IF(OR($D186="",$E186="",$O186=""),"EKSİK",IF($O186&lt;=0,"SIFIR/NEGATİF",IF(COUNTIFS($C$6:$C$5000,$C186,$O$6:$O$5000,$O186,$B$6:$B$5000,$B186)&gt;1,"MÜKERRER","OK"))))</f>
        <v/>
      </c>
    </row>
    <row r="187" ht="16.5" customHeight="1" s="80">
      <c r="A187" s="113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7">
        <f>IF($B187="",0,IF($S187="EVET",IF($D187="GELİR",$O187,-$O187),0))</f>
        <v/>
      </c>
      <c r="AA187" s="117">
        <f>IF($B187="",0,IF(OR($W187="EVET",$X187="EVET",$Y187="EVET"),0,IF($D187="GELİR",IF($E187="SATIŞ İADESİ/İSKONTO",-$O187,$O187),-$O187)))</f>
        <v/>
      </c>
      <c r="AB187" s="117">
        <f>IF($B187="","",IF(OR($D187="",$E187="",$O187=""),"EKSİK",IF($O187&lt;=0,"SIFIR/NEGATİF",IF(COUNTIFS($C$6:$C$5000,$C187,$O$6:$O$5000,$O187,$B$6:$B$5000,$B187)&gt;1,"MÜKERRER","OK"))))</f>
        <v/>
      </c>
    </row>
    <row r="188" ht="16.5" customHeight="1" s="80">
      <c r="A188" s="113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7">
        <f>IF($B188="",0,IF($S188="EVET",IF($D188="GELİR",$O188,-$O188),0))</f>
        <v/>
      </c>
      <c r="AA188" s="117">
        <f>IF($B188="",0,IF(OR($W188="EVET",$X188="EVET",$Y188="EVET"),0,IF($D188="GELİR",IF($E188="SATIŞ İADESİ/İSKONTO",-$O188,$O188),-$O188)))</f>
        <v/>
      </c>
      <c r="AB188" s="117">
        <f>IF($B188="","",IF(OR($D188="",$E188="",$O188=""),"EKSİK",IF($O188&lt;=0,"SIFIR/NEGATİF",IF(COUNTIFS($C$6:$C$5000,$C188,$O$6:$O$5000,$O188,$B$6:$B$5000,$B188)&gt;1,"MÜKERRER","OK"))))</f>
        <v/>
      </c>
    </row>
    <row r="189" ht="16.5" customHeight="1" s="80">
      <c r="A189" s="113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7">
        <f>IF($B189="",0,IF($S189="EVET",IF($D189="GELİR",$O189,-$O189),0))</f>
        <v/>
      </c>
      <c r="AA189" s="117">
        <f>IF($B189="",0,IF(OR($W189="EVET",$X189="EVET",$Y189="EVET"),0,IF($D189="GELİR",IF($E189="SATIŞ İADESİ/İSKONTO",-$O189,$O189),-$O189)))</f>
        <v/>
      </c>
      <c r="AB189" s="117">
        <f>IF($B189="","",IF(OR($D189="",$E189="",$O189=""),"EKSİK",IF($O189&lt;=0,"SIFIR/NEGATİF",IF(COUNTIFS($C$6:$C$5000,$C189,$O$6:$O$5000,$O189,$B$6:$B$5000,$B189)&gt;1,"MÜKERRER","OK"))))</f>
        <v/>
      </c>
    </row>
    <row r="190" ht="16.5" customHeight="1" s="80">
      <c r="A190" s="113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7">
        <f>IF($B190="",0,IF($S190="EVET",IF($D190="GELİR",$O190,-$O190),0))</f>
        <v/>
      </c>
      <c r="AA190" s="117">
        <f>IF($B190="",0,IF(OR($W190="EVET",$X190="EVET",$Y190="EVET"),0,IF($D190="GELİR",IF($E190="SATIŞ İADESİ/İSKONTO",-$O190,$O190),-$O190)))</f>
        <v/>
      </c>
      <c r="AB190" s="117">
        <f>IF($B190="","",IF(OR($D190="",$E190="",$O190=""),"EKSİK",IF($O190&lt;=0,"SIFIR/NEGATİF",IF(COUNTIFS($C$6:$C$5000,$C190,$O$6:$O$5000,$O190,$B$6:$B$5000,$B190)&gt;1,"MÜKERRER","OK"))))</f>
        <v/>
      </c>
    </row>
    <row r="191" ht="16.5" customHeight="1" s="80">
      <c r="A191" s="113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7">
        <f>IF($B191="",0,IF($S191="EVET",IF($D191="GELİR",$O191,-$O191),0))</f>
        <v/>
      </c>
      <c r="AA191" s="117">
        <f>IF($B191="",0,IF(OR($W191="EVET",$X191="EVET",$Y191="EVET"),0,IF($D191="GELİR",IF($E191="SATIŞ İADESİ/İSKONTO",-$O191,$O191),-$O191)))</f>
        <v/>
      </c>
      <c r="AB191" s="117">
        <f>IF($B191="","",IF(OR($D191="",$E191="",$O191=""),"EKSİK",IF($O191&lt;=0,"SIFIR/NEGATİF",IF(COUNTIFS($C$6:$C$5000,$C191,$O$6:$O$5000,$O191,$B$6:$B$5000,$B191)&gt;1,"MÜKERRER","OK"))))</f>
        <v/>
      </c>
    </row>
    <row r="192" ht="16.5" customHeight="1" s="80">
      <c r="A192" s="113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7">
        <f>IF($B192="",0,IF($S192="EVET",IF($D192="GELİR",$O192,-$O192),0))</f>
        <v/>
      </c>
      <c r="AA192" s="117">
        <f>IF($B192="",0,IF(OR($W192="EVET",$X192="EVET",$Y192="EVET"),0,IF($D192="GELİR",IF($E192="SATIŞ İADESİ/İSKONTO",-$O192,$O192),-$O192)))</f>
        <v/>
      </c>
      <c r="AB192" s="117">
        <f>IF($B192="","",IF(OR($D192="",$E192="",$O192=""),"EKSİK",IF($O192&lt;=0,"SIFIR/NEGATİF",IF(COUNTIFS($C$6:$C$5000,$C192,$O$6:$O$5000,$O192,$B$6:$B$5000,$B192)&gt;1,"MÜKERRER","OK"))))</f>
        <v/>
      </c>
    </row>
    <row r="193" ht="16.5" customHeight="1" s="80">
      <c r="A193" s="113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7">
        <f>IF($B193="",0,IF($S193="EVET",IF($D193="GELİR",$O193,-$O193),0))</f>
        <v/>
      </c>
      <c r="AA193" s="117">
        <f>IF($B193="",0,IF(OR($W193="EVET",$X193="EVET",$Y193="EVET"),0,IF($D193="GELİR",IF($E193="SATIŞ İADESİ/İSKONTO",-$O193,$O193),-$O193)))</f>
        <v/>
      </c>
      <c r="AB193" s="117">
        <f>IF($B193="","",IF(OR($D193="",$E193="",$O193=""),"EKSİK",IF($O193&lt;=0,"SIFIR/NEGATİF",IF(COUNTIFS($C$6:$C$5000,$C193,$O$6:$O$5000,$O193,$B$6:$B$5000,$B193)&gt;1,"MÜKERRER","OK"))))</f>
        <v/>
      </c>
    </row>
    <row r="194" ht="16.5" customHeight="1" s="80">
      <c r="A194" s="113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7">
        <f>IF($B194="",0,IF($S194="EVET",IF($D194="GELİR",$O194,-$O194),0))</f>
        <v/>
      </c>
      <c r="AA194" s="117">
        <f>IF($B194="",0,IF(OR($W194="EVET",$X194="EVET",$Y194="EVET"),0,IF($D194="GELİR",IF($E194="SATIŞ İADESİ/İSKONTO",-$O194,$O194),-$O194)))</f>
        <v/>
      </c>
      <c r="AB194" s="117">
        <f>IF($B194="","",IF(OR($D194="",$E194="",$O194=""),"EKSİK",IF($O194&lt;=0,"SIFIR/NEGATİF",IF(COUNTIFS($C$6:$C$5000,$C194,$O$6:$O$5000,$O194,$B$6:$B$5000,$B194)&gt;1,"MÜKERRER","OK"))))</f>
        <v/>
      </c>
    </row>
    <row r="195" ht="16.5" customHeight="1" s="80">
      <c r="A195" s="113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7">
        <f>IF($B195="",0,IF($S195="EVET",IF($D195="GELİR",$O195,-$O195),0))</f>
        <v/>
      </c>
      <c r="AA195" s="117">
        <f>IF($B195="",0,IF(OR($W195="EVET",$X195="EVET",$Y195="EVET"),0,IF($D195="GELİR",IF($E195="SATIŞ İADESİ/İSKONTO",-$O195,$O195),-$O195)))</f>
        <v/>
      </c>
      <c r="AB195" s="117">
        <f>IF($B195="","",IF(OR($D195="",$E195="",$O195=""),"EKSİK",IF($O195&lt;=0,"SIFIR/NEGATİF",IF(COUNTIFS($C$6:$C$5000,$C195,$O$6:$O$5000,$O195,$B$6:$B$5000,$B195)&gt;1,"MÜKERRER","OK"))))</f>
        <v/>
      </c>
    </row>
    <row r="196" ht="16.5" customHeight="1" s="80">
      <c r="A196" s="113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7">
        <f>IF($B196="",0,IF($S196="EVET",IF($D196="GELİR",$O196,-$O196),0))</f>
        <v/>
      </c>
      <c r="AA196" s="117">
        <f>IF($B196="",0,IF(OR($W196="EVET",$X196="EVET",$Y196="EVET"),0,IF($D196="GELİR",IF($E196="SATIŞ İADESİ/İSKONTO",-$O196,$O196),-$O196)))</f>
        <v/>
      </c>
      <c r="AB196" s="117">
        <f>IF($B196="","",IF(OR($D196="",$E196="",$O196=""),"EKSİK",IF($O196&lt;=0,"SIFIR/NEGATİF",IF(COUNTIFS($C$6:$C$5000,$C196,$O$6:$O$5000,$O196,$B$6:$B$5000,$B196)&gt;1,"MÜKERRER","OK"))))</f>
        <v/>
      </c>
    </row>
    <row r="197" ht="16.5" customHeight="1" s="80">
      <c r="A197" s="113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7">
        <f>IF($B197="",0,IF($S197="EVET",IF($D197="GELİR",$O197,-$O197),0))</f>
        <v/>
      </c>
      <c r="AA197" s="117">
        <f>IF($B197="",0,IF(OR($W197="EVET",$X197="EVET",$Y197="EVET"),0,IF($D197="GELİR",IF($E197="SATIŞ İADESİ/İSKONTO",-$O197,$O197),-$O197)))</f>
        <v/>
      </c>
      <c r="AB197" s="117">
        <f>IF($B197="","",IF(OR($D197="",$E197="",$O197=""),"EKSİK",IF($O197&lt;=0,"SIFIR/NEGATİF",IF(COUNTIFS($C$6:$C$5000,$C197,$O$6:$O$5000,$O197,$B$6:$B$5000,$B197)&gt;1,"MÜKERRER","OK"))))</f>
        <v/>
      </c>
    </row>
    <row r="198" ht="16.5" customHeight="1" s="80">
      <c r="A198" s="113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7">
        <f>IF($B198="",0,IF($S198="EVET",IF($D198="GELİR",$O198,-$O198),0))</f>
        <v/>
      </c>
      <c r="AA198" s="117">
        <f>IF($B198="",0,IF(OR($W198="EVET",$X198="EVET",$Y198="EVET"),0,IF($D198="GELİR",IF($E198="SATIŞ İADESİ/İSKONTO",-$O198,$O198),-$O198)))</f>
        <v/>
      </c>
      <c r="AB198" s="117">
        <f>IF($B198="","",IF(OR($D198="",$E198="",$O198=""),"EKSİK",IF($O198&lt;=0,"SIFIR/NEGATİF",IF(COUNTIFS($C$6:$C$5000,$C198,$O$6:$O$5000,$O198,$B$6:$B$5000,$B198)&gt;1,"MÜKERRER","OK"))))</f>
        <v/>
      </c>
    </row>
    <row r="199" ht="16.5" customHeight="1" s="80">
      <c r="A199" s="113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7">
        <f>IF($B199="",0,IF($S199="EVET",IF($D199="GELİR",$O199,-$O199),0))</f>
        <v/>
      </c>
      <c r="AA199" s="117">
        <f>IF($B199="",0,IF(OR($W199="EVET",$X199="EVET",$Y199="EVET"),0,IF($D199="GELİR",IF($E199="SATIŞ İADESİ/İSKONTO",-$O199,$O199),-$O199)))</f>
        <v/>
      </c>
      <c r="AB199" s="117">
        <f>IF($B199="","",IF(OR($D199="",$E199="",$O199=""),"EKSİK",IF($O199&lt;=0,"SIFIR/NEGATİF",IF(COUNTIFS($C$6:$C$5000,$C199,$O$6:$O$5000,$O199,$B$6:$B$5000,$B199)&gt;1,"MÜKERRER","OK"))))</f>
        <v/>
      </c>
    </row>
    <row r="200" ht="16.5" customHeight="1" s="80">
      <c r="A200" s="113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7">
        <f>IF($B200="",0,IF($S200="EVET",IF($D200="GELİR",$O200,-$O200),0))</f>
        <v/>
      </c>
      <c r="AA200" s="117">
        <f>IF($B200="",0,IF(OR($W200="EVET",$X200="EVET",$Y200="EVET"),0,IF($D200="GELİR",IF($E200="SATIŞ İADESİ/İSKONTO",-$O200,$O200),-$O200)))</f>
        <v/>
      </c>
      <c r="AB200" s="117">
        <f>IF($B200="","",IF(OR($D200="",$E200="",$O200=""),"EKSİK",IF($O200&lt;=0,"SIFIR/NEGATİF",IF(COUNTIFS($C$6:$C$5000,$C200,$O$6:$O$5000,$O200,$B$6:$B$5000,$B200)&gt;1,"MÜKERRER","OK"))))</f>
        <v/>
      </c>
    </row>
    <row r="201" ht="16.5" customHeight="1" s="80">
      <c r="A201" s="113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7">
        <f>IF($B201="",0,IF($S201="EVET",IF($D201="GELİR",$O201,-$O201),0))</f>
        <v/>
      </c>
      <c r="AA201" s="117">
        <f>IF($B201="",0,IF(OR($W201="EVET",$X201="EVET",$Y201="EVET"),0,IF($D201="GELİR",IF($E201="SATIŞ İADESİ/İSKONTO",-$O201,$O201),-$O201)))</f>
        <v/>
      </c>
      <c r="AB201" s="117">
        <f>IF($B201="","",IF(OR($D201="",$E201="",$O201=""),"EKSİK",IF($O201&lt;=0,"SIFIR/NEGATİF",IF(COUNTIFS($C$6:$C$5000,$C201,$O$6:$O$5000,$O201,$B$6:$B$5000,$B201)&gt;1,"MÜKERRER","OK"))))</f>
        <v/>
      </c>
    </row>
    <row r="202" ht="16.5" customHeight="1" s="80">
      <c r="A202" s="113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7">
        <f>IF($B202="",0,IF($S202="EVET",IF($D202="GELİR",$O202,-$O202),0))</f>
        <v/>
      </c>
      <c r="AA202" s="117">
        <f>IF($B202="",0,IF(OR($W202="EVET",$X202="EVET",$Y202="EVET"),0,IF($D202="GELİR",IF($E202="SATIŞ İADESİ/İSKONTO",-$O202,$O202),-$O202)))</f>
        <v/>
      </c>
      <c r="AB202" s="117">
        <f>IF($B202="","",IF(OR($D202="",$E202="",$O202=""),"EKSİK",IF($O202&lt;=0,"SIFIR/NEGATİF",IF(COUNTIFS($C$6:$C$5000,$C202,$O$6:$O$5000,$O202,$B$6:$B$5000,$B202)&gt;1,"MÜKERRER","OK"))))</f>
        <v/>
      </c>
    </row>
    <row r="203" ht="16.5" customHeight="1" s="80">
      <c r="A203" s="113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7">
        <f>IF($B203="",0,IF($S203="EVET",IF($D203="GELİR",$O203,-$O203),0))</f>
        <v/>
      </c>
      <c r="AA203" s="117">
        <f>IF($B203="",0,IF(OR($W203="EVET",$X203="EVET",$Y203="EVET"),0,IF($D203="GELİR",IF($E203="SATIŞ İADESİ/İSKONTO",-$O203,$O203),-$O203)))</f>
        <v/>
      </c>
      <c r="AB203" s="117">
        <f>IF($B203="","",IF(OR($D203="",$E203="",$O203=""),"EKSİK",IF($O203&lt;=0,"SIFIR/NEGATİF",IF(COUNTIFS($C$6:$C$5000,$C203,$O$6:$O$5000,$O203,$B$6:$B$5000,$B203)&gt;1,"MÜKERRER","OK"))))</f>
        <v/>
      </c>
    </row>
    <row r="204" ht="16.5" customHeight="1" s="80">
      <c r="A204" s="113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7">
        <f>IF($B204="",0,IF($S204="EVET",IF($D204="GELİR",$O204,-$O204),0))</f>
        <v/>
      </c>
      <c r="AA204" s="117">
        <f>IF($B204="",0,IF(OR($W204="EVET",$X204="EVET",$Y204="EVET"),0,IF($D204="GELİR",IF($E204="SATIŞ İADESİ/İSKONTO",-$O204,$O204),-$O204)))</f>
        <v/>
      </c>
      <c r="AB204" s="117">
        <f>IF($B204="","",IF(OR($D204="",$E204="",$O204=""),"EKSİK",IF($O204&lt;=0,"SIFIR/NEGATİF",IF(COUNTIFS($C$6:$C$5000,$C204,$O$6:$O$5000,$O204,$B$6:$B$5000,$B204)&gt;1,"MÜKERRER","OK"))))</f>
        <v/>
      </c>
    </row>
    <row r="205" ht="16.5" customHeight="1" s="80">
      <c r="A205" s="113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7">
        <f>IF($B205="",0,IF($S205="EVET",IF($D205="GELİR",$O205,-$O205),0))</f>
        <v/>
      </c>
      <c r="AA205" s="117">
        <f>IF($B205="",0,IF(OR($W205="EVET",$X205="EVET",$Y205="EVET"),0,IF($D205="GELİR",IF($E205="SATIŞ İADESİ/İSKONTO",-$O205,$O205),-$O205)))</f>
        <v/>
      </c>
      <c r="AB205" s="117">
        <f>IF($B205="","",IF(OR($D205="",$E205="",$O205=""),"EKSİK",IF($O205&lt;=0,"SIFIR/NEGATİF",IF(COUNTIFS($C$6:$C$5000,$C205,$O$6:$O$5000,$O205,$B$6:$B$5000,$B205)&gt;1,"MÜKERRER","OK"))))</f>
        <v/>
      </c>
    </row>
    <row r="206" ht="16.5" customHeight="1" s="80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7">
        <f>IF($B206="",0,IF($S206="EVET",IF($D206="GELİR",$O206,-$O206),0))</f>
        <v/>
      </c>
      <c r="AA206" s="117">
        <f>IF($B206="",0,IF(OR($W206="EVET",$X206="EVET",$Y206="EVET"),0,IF($D206="GELİR",IF($E206="SATIŞ İADESİ/İSKONTO",-$O206,$O206),-$O206)))</f>
        <v/>
      </c>
      <c r="AB206" s="117">
        <f>IF($B206="","",IF(OR($D206="",$E206="",$O206=""),"EKSİK",IF($O206&lt;=0,"SIFIR/NEGATİF",IF(COUNTIFS($C$6:$C$5000,$C206,$O$6:$O$5000,$O206,$B$6:$B$5000,$B206)&gt;1,"MÜKERRER","OK"))))</f>
        <v/>
      </c>
    </row>
    <row r="207" ht="16.5" customHeight="1" s="80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7">
        <f>IF($B207="",0,IF($S207="EVET",IF($D207="GELİR",$O207,-$O207),0))</f>
        <v/>
      </c>
      <c r="AA207" s="117">
        <f>IF($B207="",0,IF(OR($W207="EVET",$X207="EVET",$Y207="EVET"),0,IF($D207="GELİR",IF($E207="SATIŞ İADESİ/İSKONTO",-$O207,$O207),-$O207)))</f>
        <v/>
      </c>
      <c r="AB207" s="117">
        <f>IF($B207="","",IF(OR($D207="",$E207="",$O207=""),"EKSİK",IF($O207&lt;=0,"SIFIR/NEGATİF",IF(COUNTIFS($C$6:$C$5000,$C207,$O$6:$O$5000,$O207,$B$6:$B$5000,$B207)&gt;1,"MÜKERRER","OK"))))</f>
        <v/>
      </c>
    </row>
    <row r="208" ht="16.5" customHeight="1" s="80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7">
        <f>IF($B208="",0,IF($S208="EVET",IF($D208="GELİR",$O208,-$O208),0))</f>
        <v/>
      </c>
      <c r="AA208" s="117">
        <f>IF($B208="",0,IF(OR($W208="EVET",$X208="EVET",$Y208="EVET"),0,IF($D208="GELİR",IF($E208="SATIŞ İADESİ/İSKONTO",-$O208,$O208),-$O208)))</f>
        <v/>
      </c>
      <c r="AB208" s="117">
        <f>IF($B208="","",IF(OR($D208="",$E208="",$O208=""),"EKSİK",IF($O208&lt;=0,"SIFIR/NEGATİF",IF(COUNTIFS($C$6:$C$5000,$C208,$O$6:$O$5000,$O208,$B$6:$B$5000,$B208)&gt;1,"MÜKERRER","OK"))))</f>
        <v/>
      </c>
    </row>
    <row r="209" ht="16.5" customHeight="1" s="80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7">
        <f>IF($B209="",0,IF($S209="EVET",IF($D209="GELİR",$O209,-$O209),0))</f>
        <v/>
      </c>
      <c r="AA209" s="117">
        <f>IF($B209="",0,IF(OR($W209="EVET",$X209="EVET",$Y209="EVET"),0,IF($D209="GELİR",IF($E209="SATIŞ İADESİ/İSKONTO",-$O209,$O209),-$O209)))</f>
        <v/>
      </c>
      <c r="AB209" s="117">
        <f>IF($B209="","",IF(OR($D209="",$E209="",$O209=""),"EKSİK",IF($O209&lt;=0,"SIFIR/NEGATİF",IF(COUNTIFS($C$6:$C$5000,$C209,$O$6:$O$5000,$O209,$B$6:$B$5000,$B209)&gt;1,"MÜKERRER","OK"))))</f>
        <v/>
      </c>
    </row>
    <row r="210" ht="16.5" customHeight="1" s="8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7">
        <f>IF($B210="",0,IF($S210="EVET",IF($D210="GELİR",$O210,-$O210),0))</f>
        <v/>
      </c>
      <c r="AA210" s="117">
        <f>IF($B210="",0,IF(OR($W210="EVET",$X210="EVET",$Y210="EVET"),0,IF($D210="GELİR",IF($E210="SATIŞ İADESİ/İSKONTO",-$O210,$O210),-$O210)))</f>
        <v/>
      </c>
      <c r="AB210" s="117">
        <f>IF($B210="","",IF(OR($D210="",$E210="",$O210=""),"EKSİK",IF($O210&lt;=0,"SIFIR/NEGATİF",IF(COUNTIFS($C$6:$C$5000,$C210,$O$6:$O$5000,$O210,$B$6:$B$5000,$B210)&gt;1,"MÜKERRER","OK"))))</f>
        <v/>
      </c>
    </row>
    <row r="211" ht="16.5" customHeight="1" s="80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7">
        <f>IF($B211="",0,IF($S211="EVET",IF($D211="GELİR",$O211,-$O211),0))</f>
        <v/>
      </c>
      <c r="AA211" s="117">
        <f>IF($B211="",0,IF(OR($W211="EVET",$X211="EVET",$Y211="EVET"),0,IF($D211="GELİR",IF($E211="SATIŞ İADESİ/İSKONTO",-$O211,$O211),-$O211)))</f>
        <v/>
      </c>
      <c r="AB211" s="117">
        <f>IF($B211="","",IF(OR($D211="",$E211="",$O211=""),"EKSİK",IF($O211&lt;=0,"SIFIR/NEGATİF",IF(COUNTIFS($C$6:$C$5000,$C211,$O$6:$O$5000,$O211,$B$6:$B$5000,$B211)&gt;1,"MÜKERRER","OK"))))</f>
        <v/>
      </c>
    </row>
    <row r="212" ht="16.5" customHeight="1" s="80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7">
        <f>IF($B212="",0,IF($S212="EVET",IF($D212="GELİR",$O212,-$O212),0))</f>
        <v/>
      </c>
      <c r="AA212" s="117">
        <f>IF($B212="",0,IF(OR($W212="EVET",$X212="EVET",$Y212="EVET"),0,IF($D212="GELİR",IF($E212="SATIŞ İADESİ/İSKONTO",-$O212,$O212),-$O212)))</f>
        <v/>
      </c>
      <c r="AB212" s="117">
        <f>IF($B212="","",IF(OR($D212="",$E212="",$O212=""),"EKSİK",IF($O212&lt;=0,"SIFIR/NEGATİF",IF(COUNTIFS($C$6:$C$5000,$C212,$O$6:$O$5000,$O212,$B$6:$B$5000,$B212)&gt;1,"MÜKERRER","OK"))))</f>
        <v/>
      </c>
    </row>
    <row r="213" ht="16.5" customHeight="1" s="80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7">
        <f>IF($B213="",0,IF($S213="EVET",IF($D213="GELİR",$O213,-$O213),0))</f>
        <v/>
      </c>
      <c r="AA213" s="117">
        <f>IF($B213="",0,IF(OR($W213="EVET",$X213="EVET",$Y213="EVET"),0,IF($D213="GELİR",IF($E213="SATIŞ İADESİ/İSKONTO",-$O213,$O213),-$O213)))</f>
        <v/>
      </c>
      <c r="AB213" s="117">
        <f>IF($B213="","",IF(OR($D213="",$E213="",$O213=""),"EKSİK",IF($O213&lt;=0,"SIFIR/NEGATİF",IF(COUNTIFS($C$6:$C$5000,$C213,$O$6:$O$5000,$O213,$B$6:$B$5000,$B213)&gt;1,"MÜKERRER","OK"))))</f>
        <v/>
      </c>
    </row>
    <row r="214" ht="16.5" customHeight="1" s="80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7">
        <f>IF($B214="",0,IF($S214="EVET",IF($D214="GELİR",$O214,-$O214),0))</f>
        <v/>
      </c>
      <c r="AA214" s="117">
        <f>IF($B214="",0,IF(OR($W214="EVET",$X214="EVET",$Y214="EVET"),0,IF($D214="GELİR",IF($E214="SATIŞ İADESİ/İSKONTO",-$O214,$O214),-$O214)))</f>
        <v/>
      </c>
      <c r="AB214" s="117">
        <f>IF($B214="","",IF(OR($D214="",$E214="",$O214=""),"EKSİK",IF($O214&lt;=0,"SIFIR/NEGATİF",IF(COUNTIFS($C$6:$C$5000,$C214,$O$6:$O$5000,$O214,$B$6:$B$5000,$B214)&gt;1,"MÜKERRER","OK"))))</f>
        <v/>
      </c>
    </row>
    <row r="215" ht="16.5" customHeight="1" s="80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7">
        <f>IF($B215="",0,IF($S215="EVET",IF($D215="GELİR",$O215,-$O215),0))</f>
        <v/>
      </c>
      <c r="AA215" s="117">
        <f>IF($B215="",0,IF(OR($W215="EVET",$X215="EVET",$Y215="EVET"),0,IF($D215="GELİR",IF($E215="SATIŞ İADESİ/İSKONTO",-$O215,$O215),-$O215)))</f>
        <v/>
      </c>
      <c r="AB215" s="117">
        <f>IF($B215="","",IF(OR($D215="",$E215="",$O215=""),"EKSİK",IF($O215&lt;=0,"SIFIR/NEGATİF",IF(COUNTIFS($C$6:$C$5000,$C215,$O$6:$O$5000,$O215,$B$6:$B$5000,$B215)&gt;1,"MÜKERRER","OK"))))</f>
        <v/>
      </c>
    </row>
    <row r="216" ht="16.5" customHeight="1" s="80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7">
        <f>IF($B216="",0,IF($S216="EVET",IF($D216="GELİR",$O216,-$O216),0))</f>
        <v/>
      </c>
      <c r="AA216" s="117">
        <f>IF($B216="",0,IF(OR($W216="EVET",$X216="EVET",$Y216="EVET"),0,IF($D216="GELİR",IF($E216="SATIŞ İADESİ/İSKONTO",-$O216,$O216),-$O216)))</f>
        <v/>
      </c>
      <c r="AB216" s="117">
        <f>IF($B216="","",IF(OR($D216="",$E216="",$O216=""),"EKSİK",IF($O216&lt;=0,"SIFIR/NEGATİF",IF(COUNTIFS($C$6:$C$5000,$C216,$O$6:$O$5000,$O216,$B$6:$B$5000,$B216)&gt;1,"MÜKERRER","OK"))))</f>
        <v/>
      </c>
    </row>
    <row r="217" ht="16.5" customHeight="1" s="80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7">
        <f>IF($B217="",0,IF($S217="EVET",IF($D217="GELİR",$O217,-$O217),0))</f>
        <v/>
      </c>
      <c r="AA217" s="117">
        <f>IF($B217="",0,IF(OR($W217="EVET",$X217="EVET",$Y217="EVET"),0,IF($D217="GELİR",IF($E217="SATIŞ İADESİ/İSKONTO",-$O217,$O217),-$O217)))</f>
        <v/>
      </c>
      <c r="AB217" s="117">
        <f>IF($B217="","",IF(OR($D217="",$E217="",$O217=""),"EKSİK",IF($O217&lt;=0,"SIFIR/NEGATİF",IF(COUNTIFS($C$6:$C$5000,$C217,$O$6:$O$5000,$O217,$B$6:$B$5000,$B217)&gt;1,"MÜKERRER","OK"))))</f>
        <v/>
      </c>
    </row>
    <row r="218" ht="16.5" customHeight="1" s="80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7">
        <f>IF($B218="",0,IF($S218="EVET",IF($D218="GELİR",$O218,-$O218),0))</f>
        <v/>
      </c>
      <c r="AA218" s="117">
        <f>IF($B218="",0,IF(OR($W218="EVET",$X218="EVET",$Y218="EVET"),0,IF($D218="GELİR",IF($E218="SATIŞ İADESİ/İSKONTO",-$O218,$O218),-$O218)))</f>
        <v/>
      </c>
      <c r="AB218" s="117">
        <f>IF($B218="","",IF(OR($D218="",$E218="",$O218=""),"EKSİK",IF($O218&lt;=0,"SIFIR/NEGATİF",IF(COUNTIFS($C$6:$C$5000,$C218,$O$6:$O$5000,$O218,$B$6:$B$5000,$B218)&gt;1,"MÜKERRER","OK"))))</f>
        <v/>
      </c>
    </row>
    <row r="219" ht="16.5" customHeight="1" s="80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7">
        <f>IF($B219="",0,IF($S219="EVET",IF($D219="GELİR",$O219,-$O219),0))</f>
        <v/>
      </c>
      <c r="AA219" s="117">
        <f>IF($B219="",0,IF(OR($W219="EVET",$X219="EVET",$Y219="EVET"),0,IF($D219="GELİR",IF($E219="SATIŞ İADESİ/İSKONTO",-$O219,$O219),-$O219)))</f>
        <v/>
      </c>
      <c r="AB219" s="117">
        <f>IF($B219="","",IF(OR($D219="",$E219="",$O219=""),"EKSİK",IF($O219&lt;=0,"SIFIR/NEGATİF",IF(COUNTIFS($C$6:$C$5000,$C219,$O$6:$O$5000,$O219,$B$6:$B$5000,$B219)&gt;1,"MÜKERRER","OK"))))</f>
        <v/>
      </c>
    </row>
    <row r="220" ht="16.5" customHeight="1" s="8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7">
        <f>IF($B220="",0,IF($S220="EVET",IF($D220="GELİR",$O220,-$O220),0))</f>
        <v/>
      </c>
      <c r="AA220" s="117">
        <f>IF($B220="",0,IF(OR($W220="EVET",$X220="EVET",$Y220="EVET"),0,IF($D220="GELİR",IF($E220="SATIŞ İADESİ/İSKONTO",-$O220,$O220),-$O220)))</f>
        <v/>
      </c>
      <c r="AB220" s="117">
        <f>IF($B220="","",IF(OR($D220="",$E220="",$O220=""),"EKSİK",IF($O220&lt;=0,"SIFIR/NEGATİF",IF(COUNTIFS($C$6:$C$5000,$C220,$O$6:$O$5000,$O220,$B$6:$B$5000,$B220)&gt;1,"MÜKERRER","OK"))))</f>
        <v/>
      </c>
    </row>
    <row r="221" ht="16.5" customHeight="1" s="80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7">
        <f>IF($B221="",0,IF($S221="EVET",IF($D221="GELİR",$O221,-$O221),0))</f>
        <v/>
      </c>
      <c r="AA221" s="117">
        <f>IF($B221="",0,IF(OR($W221="EVET",$X221="EVET",$Y221="EVET"),0,IF($D221="GELİR",IF($E221="SATIŞ İADESİ/İSKONTO",-$O221,$O221),-$O221)))</f>
        <v/>
      </c>
      <c r="AB221" s="117">
        <f>IF($B221="","",IF(OR($D221="",$E221="",$O221=""),"EKSİK",IF($O221&lt;=0,"SIFIR/NEGATİF",IF(COUNTIFS($C$6:$C$5000,$C221,$O$6:$O$5000,$O221,$B$6:$B$5000,$B221)&gt;1,"MÜKERRER","OK"))))</f>
        <v/>
      </c>
    </row>
    <row r="222" ht="16.5" customHeight="1" s="80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7">
        <f>IF($B222="",0,IF($S222="EVET",IF($D222="GELİR",$O222,-$O222),0))</f>
        <v/>
      </c>
      <c r="AA222" s="117">
        <f>IF($B222="",0,IF(OR($W222="EVET",$X222="EVET",$Y222="EVET"),0,IF($D222="GELİR",IF($E222="SATIŞ İADESİ/İSKONTO",-$O222,$O222),-$O222)))</f>
        <v/>
      </c>
      <c r="AB222" s="117">
        <f>IF($B222="","",IF(OR($D222="",$E222="",$O222=""),"EKSİK",IF($O222&lt;=0,"SIFIR/NEGATİF",IF(COUNTIFS($C$6:$C$5000,$C222,$O$6:$O$5000,$O222,$B$6:$B$5000,$B222)&gt;1,"MÜKERRER","OK"))))</f>
        <v/>
      </c>
    </row>
    <row r="223" ht="16.5" customHeight="1" s="80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7">
        <f>IF($B223="",0,IF($S223="EVET",IF($D223="GELİR",$O223,-$O223),0))</f>
        <v/>
      </c>
      <c r="AA223" s="117">
        <f>IF($B223="",0,IF(OR($W223="EVET",$X223="EVET",$Y223="EVET"),0,IF($D223="GELİR",IF($E223="SATIŞ İADESİ/İSKONTO",-$O223,$O223),-$O223)))</f>
        <v/>
      </c>
      <c r="AB223" s="117">
        <f>IF($B223="","",IF(OR($D223="",$E223="",$O223=""),"EKSİK",IF($O223&lt;=0,"SIFIR/NEGATİF",IF(COUNTIFS($C$6:$C$5000,$C223,$O$6:$O$5000,$O223,$B$6:$B$5000,$B223)&gt;1,"MÜKERRER","OK"))))</f>
        <v/>
      </c>
    </row>
    <row r="224" ht="16.5" customHeight="1" s="80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7">
        <f>IF($B224="",0,IF($S224="EVET",IF($D224="GELİR",$O224,-$O224),0))</f>
        <v/>
      </c>
      <c r="AA224" s="117">
        <f>IF($B224="",0,IF(OR($W224="EVET",$X224="EVET",$Y224="EVET"),0,IF($D224="GELİR",IF($E224="SATIŞ İADESİ/İSKONTO",-$O224,$O224),-$O224)))</f>
        <v/>
      </c>
      <c r="AB224" s="117">
        <f>IF($B224="","",IF(OR($D224="",$E224="",$O224=""),"EKSİK",IF($O224&lt;=0,"SIFIR/NEGATİF",IF(COUNTIFS($C$6:$C$5000,$C224,$O$6:$O$5000,$O224,$B$6:$B$5000,$B224)&gt;1,"MÜKERRER","OK"))))</f>
        <v/>
      </c>
    </row>
    <row r="225" ht="16.5" customHeight="1" s="80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7">
        <f>IF($B225="",0,IF($S225="EVET",IF($D225="GELİR",$O225,-$O225),0))</f>
        <v/>
      </c>
      <c r="AA225" s="117">
        <f>IF($B225="",0,IF(OR($W225="EVET",$X225="EVET",$Y225="EVET"),0,IF($D225="GELİR",IF($E225="SATIŞ İADESİ/İSKONTO",-$O225,$O225),-$O225)))</f>
        <v/>
      </c>
      <c r="AB225" s="117">
        <f>IF($B225="","",IF(OR($D225="",$E225="",$O225=""),"EKSİK",IF($O225&lt;=0,"SIFIR/NEGATİF",IF(COUNTIFS($C$6:$C$5000,$C225,$O$6:$O$5000,$O225,$B$6:$B$5000,$B225)&gt;1,"MÜKERRER","OK"))))</f>
        <v/>
      </c>
    </row>
    <row r="226" ht="16.5" customHeight="1" s="80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7">
        <f>IF($B226="",0,IF($S226="EVET",IF($D226="GELİR",$O226,-$O226),0))</f>
        <v/>
      </c>
      <c r="AA226" s="117">
        <f>IF($B226="",0,IF(OR($W226="EVET",$X226="EVET",$Y226="EVET"),0,IF($D226="GELİR",IF($E226="SATIŞ İADESİ/İSKONTO",-$O226,$O226),-$O226)))</f>
        <v/>
      </c>
      <c r="AB226" s="117">
        <f>IF($B226="","",IF(OR($D226="",$E226="",$O226=""),"EKSİK",IF($O226&lt;=0,"SIFIR/NEGATİF",IF(COUNTIFS($C$6:$C$5000,$C226,$O$6:$O$5000,$O226,$B$6:$B$5000,$B226)&gt;1,"MÜKERRER","OK"))))</f>
        <v/>
      </c>
    </row>
    <row r="227" ht="16.5" customHeight="1" s="80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7">
        <f>IF($B227="",0,IF($S227="EVET",IF($D227="GELİR",$O227,-$O227),0))</f>
        <v/>
      </c>
      <c r="AA227" s="117">
        <f>IF($B227="",0,IF(OR($W227="EVET",$X227="EVET",$Y227="EVET"),0,IF($D227="GELİR",IF($E227="SATIŞ İADESİ/İSKONTO",-$O227,$O227),-$O227)))</f>
        <v/>
      </c>
      <c r="AB227" s="117">
        <f>IF($B227="","",IF(OR($D227="",$E227="",$O227=""),"EKSİK",IF($O227&lt;=0,"SIFIR/NEGATİF",IF(COUNTIFS($C$6:$C$5000,$C227,$O$6:$O$5000,$O227,$B$6:$B$5000,$B227)&gt;1,"MÜKERRER","OK"))))</f>
        <v/>
      </c>
    </row>
    <row r="228" ht="16.5" customHeight="1" s="80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7">
        <f>IF($B228="",0,IF($S228="EVET",IF($D228="GELİR",$O228,-$O228),0))</f>
        <v/>
      </c>
      <c r="AA228" s="117">
        <f>IF($B228="",0,IF(OR($W228="EVET",$X228="EVET",$Y228="EVET"),0,IF($D228="GELİR",IF($E228="SATIŞ İADESİ/İSKONTO",-$O228,$O228),-$O228)))</f>
        <v/>
      </c>
      <c r="AB228" s="117">
        <f>IF($B228="","",IF(OR($D228="",$E228="",$O228=""),"EKSİK",IF($O228&lt;=0,"SIFIR/NEGATİF",IF(COUNTIFS($C$6:$C$5000,$C228,$O$6:$O$5000,$O228,$B$6:$B$5000,$B228)&gt;1,"MÜKERRER","OK"))))</f>
        <v/>
      </c>
    </row>
    <row r="229" ht="16.5" customHeight="1" s="80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7">
        <f>IF($B229="",0,IF($S229="EVET",IF($D229="GELİR",$O229,-$O229),0))</f>
        <v/>
      </c>
      <c r="AA229" s="117">
        <f>IF($B229="",0,IF(OR($W229="EVET",$X229="EVET",$Y229="EVET"),0,IF($D229="GELİR",IF($E229="SATIŞ İADESİ/İSKONTO",-$O229,$O229),-$O229)))</f>
        <v/>
      </c>
      <c r="AB229" s="117">
        <f>IF($B229="","",IF(OR($D229="",$E229="",$O229=""),"EKSİK",IF($O229&lt;=0,"SIFIR/NEGATİF",IF(COUNTIFS($C$6:$C$5000,$C229,$O$6:$O$5000,$O229,$B$6:$B$5000,$B229)&gt;1,"MÜKERRER","OK"))))</f>
        <v/>
      </c>
    </row>
    <row r="230" ht="16.5" customHeight="1" s="8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7">
        <f>IF($B230="",0,IF($S230="EVET",IF($D230="GELİR",$O230,-$O230),0))</f>
        <v/>
      </c>
      <c r="AA230" s="117">
        <f>IF($B230="",0,IF(OR($W230="EVET",$X230="EVET",$Y230="EVET"),0,IF($D230="GELİR",IF($E230="SATIŞ İADESİ/İSKONTO",-$O230,$O230),-$O230)))</f>
        <v/>
      </c>
      <c r="AB230" s="117">
        <f>IF($B230="","",IF(OR($D230="",$E230="",$O230=""),"EKSİK",IF($O230&lt;=0,"SIFIR/NEGATİF",IF(COUNTIFS($C$6:$C$5000,$C230,$O$6:$O$5000,$O230,$B$6:$B$5000,$B230)&gt;1,"MÜKERRER","OK"))))</f>
        <v/>
      </c>
    </row>
    <row r="231" ht="16.5" customHeight="1" s="80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7">
        <f>IF($B231="",0,IF($S231="EVET",IF($D231="GELİR",$O231,-$O231),0))</f>
        <v/>
      </c>
      <c r="AA231" s="117">
        <f>IF($B231="",0,IF(OR($W231="EVET",$X231="EVET",$Y231="EVET"),0,IF($D231="GELİR",IF($E231="SATIŞ İADESİ/İSKONTO",-$O231,$O231),-$O231)))</f>
        <v/>
      </c>
      <c r="AB231" s="117">
        <f>IF($B231="","",IF(OR($D231="",$E231="",$O231=""),"EKSİK",IF($O231&lt;=0,"SIFIR/NEGATİF",IF(COUNTIFS($C$6:$C$5000,$C231,$O$6:$O$5000,$O231,$B$6:$B$5000,$B231)&gt;1,"MÜKERRER","OK"))))</f>
        <v/>
      </c>
    </row>
    <row r="232" ht="16.5" customHeight="1" s="80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7">
        <f>IF($B232="",0,IF($S232="EVET",IF($D232="GELİR",$O232,-$O232),0))</f>
        <v/>
      </c>
      <c r="AA232" s="117">
        <f>IF($B232="",0,IF(OR($W232="EVET",$X232="EVET",$Y232="EVET"),0,IF($D232="GELİR",IF($E232="SATIŞ İADESİ/İSKONTO",-$O232,$O232),-$O232)))</f>
        <v/>
      </c>
      <c r="AB232" s="117">
        <f>IF($B232="","",IF(OR($D232="",$E232="",$O232=""),"EKSİK",IF($O232&lt;=0,"SIFIR/NEGATİF",IF(COUNTIFS($C$6:$C$5000,$C232,$O$6:$O$5000,$O232,$B$6:$B$5000,$B232)&gt;1,"MÜKERRER","OK"))))</f>
        <v/>
      </c>
    </row>
    <row r="233" ht="16.5" customHeight="1" s="80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7">
        <f>IF($B233="",0,IF($S233="EVET",IF($D233="GELİR",$O233,-$O233),0))</f>
        <v/>
      </c>
      <c r="AA233" s="117">
        <f>IF($B233="",0,IF(OR($W233="EVET",$X233="EVET",$Y233="EVET"),0,IF($D233="GELİR",IF($E233="SATIŞ İADESİ/İSKONTO",-$O233,$O233),-$O233)))</f>
        <v/>
      </c>
      <c r="AB233" s="117">
        <f>IF($B233="","",IF(OR($D233="",$E233="",$O233=""),"EKSİK",IF($O233&lt;=0,"SIFIR/NEGATİF",IF(COUNTIFS($C$6:$C$5000,$C233,$O$6:$O$5000,$O233,$B$6:$B$5000,$B233)&gt;1,"MÜKERRER","OK"))))</f>
        <v/>
      </c>
    </row>
    <row r="234" ht="16.5" customHeight="1" s="80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7">
        <f>IF($B234="",0,IF($S234="EVET",IF($D234="GELİR",$O234,-$O234),0))</f>
        <v/>
      </c>
      <c r="AA234" s="117">
        <f>IF($B234="",0,IF(OR($W234="EVET",$X234="EVET",$Y234="EVET"),0,IF($D234="GELİR",IF($E234="SATIŞ İADESİ/İSKONTO",-$O234,$O234),-$O234)))</f>
        <v/>
      </c>
      <c r="AB234" s="117">
        <f>IF($B234="","",IF(OR($D234="",$E234="",$O234=""),"EKSİK",IF($O234&lt;=0,"SIFIR/NEGATİF",IF(COUNTIFS($C$6:$C$5000,$C234,$O$6:$O$5000,$O234,$B$6:$B$5000,$B234)&gt;1,"MÜKERRER","OK"))))</f>
        <v/>
      </c>
    </row>
    <row r="235" ht="16.5" customHeight="1" s="80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7">
        <f>IF($B235="",0,IF($S235="EVET",IF($D235="GELİR",$O235,-$O235),0))</f>
        <v/>
      </c>
      <c r="AA235" s="117">
        <f>IF($B235="",0,IF(OR($W235="EVET",$X235="EVET",$Y235="EVET"),0,IF($D235="GELİR",IF($E235="SATIŞ İADESİ/İSKONTO",-$O235,$O235),-$O235)))</f>
        <v/>
      </c>
      <c r="AB235" s="117">
        <f>IF($B235="","",IF(OR($D235="",$E235="",$O235=""),"EKSİK",IF($O235&lt;=0,"SIFIR/NEGATİF",IF(COUNTIFS($C$6:$C$5000,$C235,$O$6:$O$5000,$O235,$B$6:$B$5000,$B235)&gt;1,"MÜKERRER","OK"))))</f>
        <v/>
      </c>
    </row>
    <row r="236" ht="16.5" customHeight="1" s="80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7">
        <f>IF($B236="",0,IF($S236="EVET",IF($D236="GELİR",$O236,-$O236),0))</f>
        <v/>
      </c>
      <c r="AA236" s="117">
        <f>IF($B236="",0,IF(OR($W236="EVET",$X236="EVET",$Y236="EVET"),0,IF($D236="GELİR",IF($E236="SATIŞ İADESİ/İSKONTO",-$O236,$O236),-$O236)))</f>
        <v/>
      </c>
      <c r="AB236" s="117">
        <f>IF($B236="","",IF(OR($D236="",$E236="",$O236=""),"EKSİK",IF($O236&lt;=0,"SIFIR/NEGATİF",IF(COUNTIFS($C$6:$C$5000,$C236,$O$6:$O$5000,$O236,$B$6:$B$5000,$B236)&gt;1,"MÜKERRER","OK"))))</f>
        <v/>
      </c>
    </row>
    <row r="237" ht="16.5" customHeight="1" s="80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7">
        <f>IF($B237="",0,IF($S237="EVET",IF($D237="GELİR",$O237,-$O237),0))</f>
        <v/>
      </c>
      <c r="AA237" s="117">
        <f>IF($B237="",0,IF(OR($W237="EVET",$X237="EVET",$Y237="EVET"),0,IF($D237="GELİR",IF($E237="SATIŞ İADESİ/İSKONTO",-$O237,$O237),-$O237)))</f>
        <v/>
      </c>
      <c r="AB237" s="117">
        <f>IF($B237="","",IF(OR($D237="",$E237="",$O237=""),"EKSİK",IF($O237&lt;=0,"SIFIR/NEGATİF",IF(COUNTIFS($C$6:$C$5000,$C237,$O$6:$O$5000,$O237,$B$6:$B$5000,$B237)&gt;1,"MÜKERRER","OK"))))</f>
        <v/>
      </c>
    </row>
    <row r="238" ht="16.5" customHeight="1" s="80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7">
        <f>IF($B238="",0,IF($S238="EVET",IF($D238="GELİR",$O238,-$O238),0))</f>
        <v/>
      </c>
      <c r="AA238" s="117">
        <f>IF($B238="",0,IF(OR($W238="EVET",$X238="EVET",$Y238="EVET"),0,IF($D238="GELİR",IF($E238="SATIŞ İADESİ/İSKONTO",-$O238,$O238),-$O238)))</f>
        <v/>
      </c>
      <c r="AB238" s="117">
        <f>IF($B238="","",IF(OR($D238="",$E238="",$O238=""),"EKSİK",IF($O238&lt;=0,"SIFIR/NEGATİF",IF(COUNTIFS($C$6:$C$5000,$C238,$O$6:$O$5000,$O238,$B$6:$B$5000,$B238)&gt;1,"MÜKERRER","OK"))))</f>
        <v/>
      </c>
    </row>
    <row r="239" ht="16.5" customHeight="1" s="80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7">
        <f>IF($B239="",0,IF($S239="EVET",IF($D239="GELİR",$O239,-$O239),0))</f>
        <v/>
      </c>
      <c r="AA239" s="117">
        <f>IF($B239="",0,IF(OR($W239="EVET",$X239="EVET",$Y239="EVET"),0,IF($D239="GELİR",IF($E239="SATIŞ İADESİ/İSKONTO",-$O239,$O239),-$O239)))</f>
        <v/>
      </c>
      <c r="AB239" s="117">
        <f>IF($B239="","",IF(OR($D239="",$E239="",$O239=""),"EKSİK",IF($O239&lt;=0,"SIFIR/NEGATİF",IF(COUNTIFS($C$6:$C$5000,$C239,$O$6:$O$5000,$O239,$B$6:$B$5000,$B239)&gt;1,"MÜKERRER","OK"))))</f>
        <v/>
      </c>
    </row>
    <row r="240" ht="16.5" customHeight="1" s="8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7">
        <f>IF($B240="",0,IF($S240="EVET",IF($D240="GELİR",$O240,-$O240),0))</f>
        <v/>
      </c>
      <c r="AA240" s="117">
        <f>IF($B240="",0,IF(OR($W240="EVET",$X240="EVET",$Y240="EVET"),0,IF($D240="GELİR",IF($E240="SATIŞ İADESİ/İSKONTO",-$O240,$O240),-$O240)))</f>
        <v/>
      </c>
      <c r="AB240" s="117">
        <f>IF($B240="","",IF(OR($D240="",$E240="",$O240=""),"EKSİK",IF($O240&lt;=0,"SIFIR/NEGATİF",IF(COUNTIFS($C$6:$C$5000,$C240,$O$6:$O$5000,$O240,$B$6:$B$5000,$B240)&gt;1,"MÜKERRER","OK"))))</f>
        <v/>
      </c>
    </row>
    <row r="241" ht="16.5" customHeight="1" s="80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7">
        <f>IF($B241="",0,IF($S241="EVET",IF($D241="GELİR",$O241,-$O241),0))</f>
        <v/>
      </c>
      <c r="AA241" s="117">
        <f>IF($B241="",0,IF(OR($W241="EVET",$X241="EVET",$Y241="EVET"),0,IF($D241="GELİR",IF($E241="SATIŞ İADESİ/İSKONTO",-$O241,$O241),-$O241)))</f>
        <v/>
      </c>
      <c r="AB241" s="117">
        <f>IF($B241="","",IF(OR($D241="",$E241="",$O241=""),"EKSİK",IF($O241&lt;=0,"SIFIR/NEGATİF",IF(COUNTIFS($C$6:$C$5000,$C241,$O$6:$O$5000,$O241,$B$6:$B$5000,$B241)&gt;1,"MÜKERRER","OK"))))</f>
        <v/>
      </c>
    </row>
    <row r="242" ht="16.5" customHeight="1" s="80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7">
        <f>IF($B242="",0,IF($S242="EVET",IF($D242="GELİR",$O242,-$O242),0))</f>
        <v/>
      </c>
      <c r="AA242" s="117">
        <f>IF($B242="",0,IF(OR($W242="EVET",$X242="EVET",$Y242="EVET"),0,IF($D242="GELİR",IF($E242="SATIŞ İADESİ/İSKONTO",-$O242,$O242),-$O242)))</f>
        <v/>
      </c>
      <c r="AB242" s="117">
        <f>IF($B242="","",IF(OR($D242="",$E242="",$O242=""),"EKSİK",IF($O242&lt;=0,"SIFIR/NEGATİF",IF(COUNTIFS($C$6:$C$5000,$C242,$O$6:$O$5000,$O242,$B$6:$B$5000,$B242)&gt;1,"MÜKERRER","OK"))))</f>
        <v/>
      </c>
    </row>
    <row r="243" ht="16.5" customHeight="1" s="80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7">
        <f>IF($B243="",0,IF($S243="EVET",IF($D243="GELİR",$O243,-$O243),0))</f>
        <v/>
      </c>
      <c r="AA243" s="117">
        <f>IF($B243="",0,IF(OR($W243="EVET",$X243="EVET",$Y243="EVET"),0,IF($D243="GELİR",IF($E243="SATIŞ İADESİ/İSKONTO",-$O243,$O243),-$O243)))</f>
        <v/>
      </c>
      <c r="AB243" s="117">
        <f>IF($B243="","",IF(OR($D243="",$E243="",$O243=""),"EKSİK",IF($O243&lt;=0,"SIFIR/NEGATİF",IF(COUNTIFS($C$6:$C$5000,$C243,$O$6:$O$5000,$O243,$B$6:$B$5000,$B243)&gt;1,"MÜKERRER","OK"))))</f>
        <v/>
      </c>
    </row>
    <row r="244" ht="16.5" customHeight="1" s="80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7">
        <f>IF($B244="",0,IF($S244="EVET",IF($D244="GELİR",$O244,-$O244),0))</f>
        <v/>
      </c>
      <c r="AA244" s="117">
        <f>IF($B244="",0,IF(OR($W244="EVET",$X244="EVET",$Y244="EVET"),0,IF($D244="GELİR",IF($E244="SATIŞ İADESİ/İSKONTO",-$O244,$O244),-$O244)))</f>
        <v/>
      </c>
      <c r="AB244" s="117">
        <f>IF($B244="","",IF(OR($D244="",$E244="",$O244=""),"EKSİK",IF($O244&lt;=0,"SIFIR/NEGATİF",IF(COUNTIFS($C$6:$C$5000,$C244,$O$6:$O$5000,$O244,$B$6:$B$5000,$B244)&gt;1,"MÜKERRER","OK"))))</f>
        <v/>
      </c>
    </row>
    <row r="245" ht="16.5" customHeight="1" s="80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7">
        <f>IF($B245="",0,IF($S245="EVET",IF($D245="GELİR",$O245,-$O245),0))</f>
        <v/>
      </c>
      <c r="AA245" s="117">
        <f>IF($B245="",0,IF(OR($W245="EVET",$X245="EVET",$Y245="EVET"),0,IF($D245="GELİR",IF($E245="SATIŞ İADESİ/İSKONTO",-$O245,$O245),-$O245)))</f>
        <v/>
      </c>
      <c r="AB245" s="117">
        <f>IF($B245="","",IF(OR($D245="",$E245="",$O245=""),"EKSİK",IF($O245&lt;=0,"SIFIR/NEGATİF",IF(COUNTIFS($C$6:$C$5000,$C245,$O$6:$O$5000,$O245,$B$6:$B$5000,$B245)&gt;1,"MÜKERRER","OK"))))</f>
        <v/>
      </c>
    </row>
    <row r="246" ht="16.5" customHeight="1" s="80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7">
        <f>IF($B246="",0,IF($S246="EVET",IF($D246="GELİR",$O246,-$O246),0))</f>
        <v/>
      </c>
      <c r="AA246" s="117">
        <f>IF($B246="",0,IF(OR($W246="EVET",$X246="EVET",$Y246="EVET"),0,IF($D246="GELİR",IF($E246="SATIŞ İADESİ/İSKONTO",-$O246,$O246),-$O246)))</f>
        <v/>
      </c>
      <c r="AB246" s="117">
        <f>IF($B246="","",IF(OR($D246="",$E246="",$O246=""),"EKSİK",IF($O246&lt;=0,"SIFIR/NEGATİF",IF(COUNTIFS($C$6:$C$5000,$C246,$O$6:$O$5000,$O246,$B$6:$B$5000,$B246)&gt;1,"MÜKERRER","OK"))))</f>
        <v/>
      </c>
    </row>
    <row r="247" ht="16.5" customHeight="1" s="80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7">
        <f>IF($B247="",0,IF($S247="EVET",IF($D247="GELİR",$O247,-$O247),0))</f>
        <v/>
      </c>
      <c r="AA247" s="117">
        <f>IF($B247="",0,IF(OR($W247="EVET",$X247="EVET",$Y247="EVET"),0,IF($D247="GELİR",IF($E247="SATIŞ İADESİ/İSKONTO",-$O247,$O247),-$O247)))</f>
        <v/>
      </c>
      <c r="AB247" s="117">
        <f>IF($B247="","",IF(OR($D247="",$E247="",$O247=""),"EKSİK",IF($O247&lt;=0,"SIFIR/NEGATİF",IF(COUNTIFS($C$6:$C$5000,$C247,$O$6:$O$5000,$O247,$B$6:$B$5000,$B247)&gt;1,"MÜKERRER","OK"))))</f>
        <v/>
      </c>
    </row>
    <row r="248" ht="16.5" customHeight="1" s="80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7">
        <f>IF($B248="",0,IF($S248="EVET",IF($D248="GELİR",$O248,-$O248),0))</f>
        <v/>
      </c>
      <c r="AA248" s="117">
        <f>IF($B248="",0,IF(OR($W248="EVET",$X248="EVET",$Y248="EVET"),0,IF($D248="GELİR",IF($E248="SATIŞ İADESİ/İSKONTO",-$O248,$O248),-$O248)))</f>
        <v/>
      </c>
      <c r="AB248" s="117">
        <f>IF($B248="","",IF(OR($D248="",$E248="",$O248=""),"EKSİK",IF($O248&lt;=0,"SIFIR/NEGATİF",IF(COUNTIFS($C$6:$C$5000,$C248,$O$6:$O$5000,$O248,$B$6:$B$5000,$B248)&gt;1,"MÜKERRER","OK"))))</f>
        <v/>
      </c>
    </row>
    <row r="249" ht="16.5" customHeight="1" s="80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7">
        <f>IF($B249="",0,IF($S249="EVET",IF($D249="GELİR",$O249,-$O249),0))</f>
        <v/>
      </c>
      <c r="AA249" s="117">
        <f>IF($B249="",0,IF(OR($W249="EVET",$X249="EVET",$Y249="EVET"),0,IF($D249="GELİR",IF($E249="SATIŞ İADESİ/İSKONTO",-$O249,$O249),-$O249)))</f>
        <v/>
      </c>
      <c r="AB249" s="117">
        <f>IF($B249="","",IF(OR($D249="",$E249="",$O249=""),"EKSİK",IF($O249&lt;=0,"SIFIR/NEGATİF",IF(COUNTIFS($C$6:$C$5000,$C249,$O$6:$O$5000,$O249,$B$6:$B$5000,$B249)&gt;1,"MÜKERRER","OK"))))</f>
        <v/>
      </c>
    </row>
    <row r="250" ht="16.5" customHeight="1" s="8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7">
        <f>IF($B250="",0,IF($S250="EVET",IF($D250="GELİR",$O250,-$O250),0))</f>
        <v/>
      </c>
      <c r="AA250" s="117">
        <f>IF($B250="",0,IF(OR($W250="EVET",$X250="EVET",$Y250="EVET"),0,IF($D250="GELİR",IF($E250="SATIŞ İADESİ/İSKONTO",-$O250,$O250),-$O250)))</f>
        <v/>
      </c>
      <c r="AB250" s="117">
        <f>IF($B250="","",IF(OR($D250="",$E250="",$O250=""),"EKSİK",IF($O250&lt;=0,"SIFIR/NEGATİF",IF(COUNTIFS($C$6:$C$5000,$C250,$O$6:$O$5000,$O250,$B$6:$B$5000,$B250)&gt;1,"MÜKERRER","OK"))))</f>
        <v/>
      </c>
    </row>
    <row r="251" ht="16.5" customHeight="1" s="80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7">
        <f>IF($B251="",0,IF($S251="EVET",IF($D251="GELİR",$O251,-$O251),0))</f>
        <v/>
      </c>
      <c r="AA251" s="117">
        <f>IF($B251="",0,IF(OR($W251="EVET",$X251="EVET",$Y251="EVET"),0,IF($D251="GELİR",IF($E251="SATIŞ İADESİ/İSKONTO",-$O251,$O251),-$O251)))</f>
        <v/>
      </c>
      <c r="AB251" s="117">
        <f>IF($B251="","",IF(OR($D251="",$E251="",$O251=""),"EKSİK",IF($O251&lt;=0,"SIFIR/NEGATİF",IF(COUNTIFS($C$6:$C$5000,$C251,$O$6:$O$5000,$O251,$B$6:$B$5000,$B251)&gt;1,"MÜKERRER","OK"))))</f>
        <v/>
      </c>
    </row>
    <row r="252" ht="16.5" customHeight="1" s="80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7">
        <f>IF($B252="",0,IF($S252="EVET",IF($D252="GELİR",$O252,-$O252),0))</f>
        <v/>
      </c>
      <c r="AA252" s="117">
        <f>IF($B252="",0,IF(OR($W252="EVET",$X252="EVET",$Y252="EVET"),0,IF($D252="GELİR",IF($E252="SATIŞ İADESİ/İSKONTO",-$O252,$O252),-$O252)))</f>
        <v/>
      </c>
      <c r="AB252" s="117">
        <f>IF($B252="","",IF(OR($D252="",$E252="",$O252=""),"EKSİK",IF($O252&lt;=0,"SIFIR/NEGATİF",IF(COUNTIFS($C$6:$C$5000,$C252,$O$6:$O$5000,$O252,$B$6:$B$5000,$B252)&gt;1,"MÜKERRER","OK"))))</f>
        <v/>
      </c>
    </row>
    <row r="253" ht="16.5" customHeight="1" s="80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7">
        <f>IF($B253="",0,IF($S253="EVET",IF($D253="GELİR",$O253,-$O253),0))</f>
        <v/>
      </c>
      <c r="AA253" s="117">
        <f>IF($B253="",0,IF(OR($W253="EVET",$X253="EVET",$Y253="EVET"),0,IF($D253="GELİR",IF($E253="SATIŞ İADESİ/İSKONTO",-$O253,$O253),-$O253)))</f>
        <v/>
      </c>
      <c r="AB253" s="117">
        <f>IF($B253="","",IF(OR($D253="",$E253="",$O253=""),"EKSİK",IF($O253&lt;=0,"SIFIR/NEGATİF",IF(COUNTIFS($C$6:$C$5000,$C253,$O$6:$O$5000,$O253,$B$6:$B$5000,$B253)&gt;1,"MÜKERRER","OK"))))</f>
        <v/>
      </c>
    </row>
    <row r="254" ht="16.5" customHeight="1" s="80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7">
        <f>IF($B254="",0,IF($S254="EVET",IF($D254="GELİR",$O254,-$O254),0))</f>
        <v/>
      </c>
      <c r="AA254" s="117">
        <f>IF($B254="",0,IF(OR($W254="EVET",$X254="EVET",$Y254="EVET"),0,IF($D254="GELİR",IF($E254="SATIŞ İADESİ/İSKONTO",-$O254,$O254),-$O254)))</f>
        <v/>
      </c>
      <c r="AB254" s="117">
        <f>IF($B254="","",IF(OR($D254="",$E254="",$O254=""),"EKSİK",IF($O254&lt;=0,"SIFIR/NEGATİF",IF(COUNTIFS($C$6:$C$5000,$C254,$O$6:$O$5000,$O254,$B$6:$B$5000,$B254)&gt;1,"MÜKERRER","OK"))))</f>
        <v/>
      </c>
    </row>
    <row r="255" ht="16.5" customHeight="1" s="80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7">
        <f>IF($B255="",0,IF($S255="EVET",IF($D255="GELİR",$O255,-$O255),0))</f>
        <v/>
      </c>
      <c r="AA255" s="117">
        <f>IF($B255="",0,IF(OR($W255="EVET",$X255="EVET",$Y255="EVET"),0,IF($D255="GELİR",IF($E255="SATIŞ İADESİ/İSKONTO",-$O255,$O255),-$O255)))</f>
        <v/>
      </c>
      <c r="AB255" s="117">
        <f>IF($B255="","",IF(OR($D255="",$E255="",$O255=""),"EKSİK",IF($O255&lt;=0,"SIFIR/NEGATİF",IF(COUNTIFS($C$6:$C$5000,$C255,$O$6:$O$5000,$O255,$B$6:$B$5000,$B255)&gt;1,"MÜKERRER","OK"))))</f>
        <v/>
      </c>
    </row>
    <row r="256" ht="16.5" customHeight="1" s="80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7">
        <f>IF($B256="",0,IF($S256="EVET",IF($D256="GELİR",$O256,-$O256),0))</f>
        <v/>
      </c>
      <c r="AA256" s="117">
        <f>IF($B256="",0,IF(OR($W256="EVET",$X256="EVET",$Y256="EVET"),0,IF($D256="GELİR",IF($E256="SATIŞ İADESİ/İSKONTO",-$O256,$O256),-$O256)))</f>
        <v/>
      </c>
      <c r="AB256" s="117">
        <f>IF($B256="","",IF(OR($D256="",$E256="",$O256=""),"EKSİK",IF($O256&lt;=0,"SIFIR/NEGATİF",IF(COUNTIFS($C$6:$C$5000,$C256,$O$6:$O$5000,$O256,$B$6:$B$5000,$B256)&gt;1,"MÜKERRER","OK"))))</f>
        <v/>
      </c>
    </row>
    <row r="257" ht="16.5" customHeight="1" s="80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7">
        <f>IF($B257="",0,IF($S257="EVET",IF($D257="GELİR",$O257,-$O257),0))</f>
        <v/>
      </c>
      <c r="AA257" s="117">
        <f>IF($B257="",0,IF(OR($W257="EVET",$X257="EVET",$Y257="EVET"),0,IF($D257="GELİR",IF($E257="SATIŞ İADESİ/İSKONTO",-$O257,$O257),-$O257)))</f>
        <v/>
      </c>
      <c r="AB257" s="117">
        <f>IF($B257="","",IF(OR($D257="",$E257="",$O257=""),"EKSİK",IF($O257&lt;=0,"SIFIR/NEGATİF",IF(COUNTIFS($C$6:$C$5000,$C257,$O$6:$O$5000,$O257,$B$6:$B$5000,$B257)&gt;1,"MÜKERRER","OK"))))</f>
        <v/>
      </c>
    </row>
    <row r="258" ht="16.5" customHeight="1" s="80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7">
        <f>IF($B258="",0,IF($S258="EVET",IF($D258="GELİR",$O258,-$O258),0))</f>
        <v/>
      </c>
      <c r="AA258" s="117">
        <f>IF($B258="",0,IF(OR($W258="EVET",$X258="EVET",$Y258="EVET"),0,IF($D258="GELİR",IF($E258="SATIŞ İADESİ/İSKONTO",-$O258,$O258),-$O258)))</f>
        <v/>
      </c>
      <c r="AB258" s="117">
        <f>IF($B258="","",IF(OR($D258="",$E258="",$O258=""),"EKSİK",IF($O258&lt;=0,"SIFIR/NEGATİF",IF(COUNTIFS($C$6:$C$5000,$C258,$O$6:$O$5000,$O258,$B$6:$B$5000,$B258)&gt;1,"MÜKERRER","OK"))))</f>
        <v/>
      </c>
    </row>
    <row r="259" ht="16.5" customHeight="1" s="80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7">
        <f>IF($B259="",0,IF($S259="EVET",IF($D259="GELİR",$O259,-$O259),0))</f>
        <v/>
      </c>
      <c r="AA259" s="117">
        <f>IF($B259="",0,IF(OR($W259="EVET",$X259="EVET",$Y259="EVET"),0,IF($D259="GELİR",IF($E259="SATIŞ İADESİ/İSKONTO",-$O259,$O259),-$O259)))</f>
        <v/>
      </c>
      <c r="AB259" s="117">
        <f>IF($B259="","",IF(OR($D259="",$E259="",$O259=""),"EKSİK",IF($O259&lt;=0,"SIFIR/NEGATİF",IF(COUNTIFS($C$6:$C$5000,$C259,$O$6:$O$5000,$O259,$B$6:$B$5000,$B259)&gt;1,"MÜKERRER","OK"))))</f>
        <v/>
      </c>
    </row>
    <row r="260" ht="16.5" customHeight="1" s="8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7">
        <f>IF($B260="",0,IF($S260="EVET",IF($D260="GELİR",$O260,-$O260),0))</f>
        <v/>
      </c>
      <c r="AA260" s="117">
        <f>IF($B260="",0,IF(OR($W260="EVET",$X260="EVET",$Y260="EVET"),0,IF($D260="GELİR",IF($E260="SATIŞ İADESİ/İSKONTO",-$O260,$O260),-$O260)))</f>
        <v/>
      </c>
      <c r="AB260" s="117">
        <f>IF($B260="","",IF(OR($D260="",$E260="",$O260=""),"EKSİK",IF($O260&lt;=0,"SIFIR/NEGATİF",IF(COUNTIFS($C$6:$C$5000,$C260,$O$6:$O$5000,$O260,$B$6:$B$5000,$B260)&gt;1,"MÜKERRER","OK"))))</f>
        <v/>
      </c>
    </row>
    <row r="261" ht="16.5" customHeight="1" s="80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7">
        <f>IF($B261="",0,IF($S261="EVET",IF($D261="GELİR",$O261,-$O261),0))</f>
        <v/>
      </c>
      <c r="AA261" s="117">
        <f>IF($B261="",0,IF(OR($W261="EVET",$X261="EVET",$Y261="EVET"),0,IF($D261="GELİR",IF($E261="SATIŞ İADESİ/İSKONTO",-$O261,$O261),-$O261)))</f>
        <v/>
      </c>
      <c r="AB261" s="117">
        <f>IF($B261="","",IF(OR($D261="",$E261="",$O261=""),"EKSİK",IF($O261&lt;=0,"SIFIR/NEGATİF",IF(COUNTIFS($C$6:$C$5000,$C261,$O$6:$O$5000,$O261,$B$6:$B$5000,$B261)&gt;1,"MÜKERRER","OK"))))</f>
        <v/>
      </c>
    </row>
    <row r="262" ht="16.5" customHeight="1" s="80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7">
        <f>IF($B262="",0,IF($S262="EVET",IF($D262="GELİR",$O262,-$O262),0))</f>
        <v/>
      </c>
      <c r="AA262" s="117">
        <f>IF($B262="",0,IF(OR($W262="EVET",$X262="EVET",$Y262="EVET"),0,IF($D262="GELİR",IF($E262="SATIŞ İADESİ/İSKONTO",-$O262,$O262),-$O262)))</f>
        <v/>
      </c>
      <c r="AB262" s="117">
        <f>IF($B262="","",IF(OR($D262="",$E262="",$O262=""),"EKSİK",IF($O262&lt;=0,"SIFIR/NEGATİF",IF(COUNTIFS($C$6:$C$5000,$C262,$O$6:$O$5000,$O262,$B$6:$B$5000,$B262)&gt;1,"MÜKERRER","OK"))))</f>
        <v/>
      </c>
    </row>
    <row r="263" ht="16.5" customHeight="1" s="80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7">
        <f>IF($B263="",0,IF($S263="EVET",IF($D263="GELİR",$O263,-$O263),0))</f>
        <v/>
      </c>
      <c r="AA263" s="117">
        <f>IF($B263="",0,IF(OR($W263="EVET",$X263="EVET",$Y263="EVET"),0,IF($D263="GELİR",IF($E263="SATIŞ İADESİ/İSKONTO",-$O263,$O263),-$O263)))</f>
        <v/>
      </c>
      <c r="AB263" s="117">
        <f>IF($B263="","",IF(OR($D263="",$E263="",$O263=""),"EKSİK",IF($O263&lt;=0,"SIFIR/NEGATİF",IF(COUNTIFS($C$6:$C$5000,$C263,$O$6:$O$5000,$O263,$B$6:$B$5000,$B263)&gt;1,"MÜKERRER","OK"))))</f>
        <v/>
      </c>
    </row>
    <row r="264" ht="16.5" customHeight="1" s="80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7">
        <f>IF($B264="",0,IF($S264="EVET",IF($D264="GELİR",$O264,-$O264),0))</f>
        <v/>
      </c>
      <c r="AA264" s="117">
        <f>IF($B264="",0,IF(OR($W264="EVET",$X264="EVET",$Y264="EVET"),0,IF($D264="GELİR",IF($E264="SATIŞ İADESİ/İSKONTO",-$O264,$O264),-$O264)))</f>
        <v/>
      </c>
      <c r="AB264" s="117">
        <f>IF($B264="","",IF(OR($D264="",$E264="",$O264=""),"EKSİK",IF($O264&lt;=0,"SIFIR/NEGATİF",IF(COUNTIFS($C$6:$C$5000,$C264,$O$6:$O$5000,$O264,$B$6:$B$5000,$B264)&gt;1,"MÜKERRER","OK"))))</f>
        <v/>
      </c>
    </row>
    <row r="265" ht="16.5" customHeight="1" s="80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7">
        <f>IF($B265="",0,IF($S265="EVET",IF($D265="GELİR",$O265,-$O265),0))</f>
        <v/>
      </c>
      <c r="AA265" s="117">
        <f>IF($B265="",0,IF(OR($W265="EVET",$X265="EVET",$Y265="EVET"),0,IF($D265="GELİR",IF($E265="SATIŞ İADESİ/İSKONTO",-$O265,$O265),-$O265)))</f>
        <v/>
      </c>
      <c r="AB265" s="117">
        <f>IF($B265="","",IF(OR($D265="",$E265="",$O265=""),"EKSİK",IF($O265&lt;=0,"SIFIR/NEGATİF",IF(COUNTIFS($C$6:$C$5000,$C265,$O$6:$O$5000,$O265,$B$6:$B$5000,$B265)&gt;1,"MÜKERRER","OK"))))</f>
        <v/>
      </c>
    </row>
    <row r="266" ht="16.5" customHeight="1" s="80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7">
        <f>IF($B266="",0,IF($S266="EVET",IF($D266="GELİR",$O266,-$O266),0))</f>
        <v/>
      </c>
      <c r="AA266" s="117">
        <f>IF($B266="",0,IF(OR($W266="EVET",$X266="EVET",$Y266="EVET"),0,IF($D266="GELİR",IF($E266="SATIŞ İADESİ/İSKONTO",-$O266,$O266),-$O266)))</f>
        <v/>
      </c>
      <c r="AB266" s="117">
        <f>IF($B266="","",IF(OR($D266="",$E266="",$O266=""),"EKSİK",IF($O266&lt;=0,"SIFIR/NEGATİF",IF(COUNTIFS($C$6:$C$5000,$C266,$O$6:$O$5000,$O266,$B$6:$B$5000,$B266)&gt;1,"MÜKERRER","OK"))))</f>
        <v/>
      </c>
    </row>
    <row r="267" ht="16.5" customHeight="1" s="80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7">
        <f>IF($B267="",0,IF($S267="EVET",IF($D267="GELİR",$O267,-$O267),0))</f>
        <v/>
      </c>
      <c r="AA267" s="117">
        <f>IF($B267="",0,IF(OR($W267="EVET",$X267="EVET",$Y267="EVET"),0,IF($D267="GELİR",IF($E267="SATIŞ İADESİ/İSKONTO",-$O267,$O267),-$O267)))</f>
        <v/>
      </c>
      <c r="AB267" s="117">
        <f>IF($B267="","",IF(OR($D267="",$E267="",$O267=""),"EKSİK",IF($O267&lt;=0,"SIFIR/NEGATİF",IF(COUNTIFS($C$6:$C$5000,$C267,$O$6:$O$5000,$O267,$B$6:$B$5000,$B267)&gt;1,"MÜKERRER","OK"))))</f>
        <v/>
      </c>
    </row>
    <row r="268" ht="16.5" customHeight="1" s="80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7">
        <f>IF($B268="",0,IF($S268="EVET",IF($D268="GELİR",$O268,-$O268),0))</f>
        <v/>
      </c>
      <c r="AA268" s="117">
        <f>IF($B268="",0,IF(OR($W268="EVET",$X268="EVET",$Y268="EVET"),0,IF($D268="GELİR",IF($E268="SATIŞ İADESİ/İSKONTO",-$O268,$O268),-$O268)))</f>
        <v/>
      </c>
      <c r="AB268" s="117">
        <f>IF($B268="","",IF(OR($D268="",$E268="",$O268=""),"EKSİK",IF($O268&lt;=0,"SIFIR/NEGATİF",IF(COUNTIFS($C$6:$C$5000,$C268,$O$6:$O$5000,$O268,$B$6:$B$5000,$B268)&gt;1,"MÜKERRER","OK"))))</f>
        <v/>
      </c>
    </row>
    <row r="269" ht="16.5" customHeight="1" s="80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7">
        <f>IF($B269="",0,IF($S269="EVET",IF($D269="GELİR",$O269,-$O269),0))</f>
        <v/>
      </c>
      <c r="AA269" s="117">
        <f>IF($B269="",0,IF(OR($W269="EVET",$X269="EVET",$Y269="EVET"),0,IF($D269="GELİR",IF($E269="SATIŞ İADESİ/İSKONTO",-$O269,$O269),-$O269)))</f>
        <v/>
      </c>
      <c r="AB269" s="117">
        <f>IF($B269="","",IF(OR($D269="",$E269="",$O269=""),"EKSİK",IF($O269&lt;=0,"SIFIR/NEGATİF",IF(COUNTIFS($C$6:$C$5000,$C269,$O$6:$O$5000,$O269,$B$6:$B$5000,$B269)&gt;1,"MÜKERRER","OK"))))</f>
        <v/>
      </c>
    </row>
    <row r="270" ht="16.5" customHeight="1" s="8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7">
        <f>IF($B270="",0,IF($S270="EVET",IF($D270="GELİR",$O270,-$O270),0))</f>
        <v/>
      </c>
      <c r="AA270" s="117">
        <f>IF($B270="",0,IF(OR($W270="EVET",$X270="EVET",$Y270="EVET"),0,IF($D270="GELİR",IF($E270="SATIŞ İADESİ/İSKONTO",-$O270,$O270),-$O270)))</f>
        <v/>
      </c>
      <c r="AB270" s="117">
        <f>IF($B270="","",IF(OR($D270="",$E270="",$O270=""),"EKSİK",IF($O270&lt;=0,"SIFIR/NEGATİF",IF(COUNTIFS($C$6:$C$5000,$C270,$O$6:$O$5000,$O270,$B$6:$B$5000,$B270)&gt;1,"MÜKERRER","OK"))))</f>
        <v/>
      </c>
    </row>
    <row r="271" ht="16.5" customHeight="1" s="80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7">
        <f>IF($B271="",0,IF($S271="EVET",IF($D271="GELİR",$O271,-$O271),0))</f>
        <v/>
      </c>
      <c r="AA271" s="117">
        <f>IF($B271="",0,IF(OR($W271="EVET",$X271="EVET",$Y271="EVET"),0,IF($D271="GELİR",IF($E271="SATIŞ İADESİ/İSKONTO",-$O271,$O271),-$O271)))</f>
        <v/>
      </c>
      <c r="AB271" s="117">
        <f>IF($B271="","",IF(OR($D271="",$E271="",$O271=""),"EKSİK",IF($O271&lt;=0,"SIFIR/NEGATİF",IF(COUNTIFS($C$6:$C$5000,$C271,$O$6:$O$5000,$O271,$B$6:$B$5000,$B271)&gt;1,"MÜKERRER","OK"))))</f>
        <v/>
      </c>
    </row>
    <row r="272" ht="16.5" customHeight="1" s="80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7">
        <f>IF($B272="",0,IF($S272="EVET",IF($D272="GELİR",$O272,-$O272),0))</f>
        <v/>
      </c>
      <c r="AA272" s="117">
        <f>IF($B272="",0,IF(OR($W272="EVET",$X272="EVET",$Y272="EVET"),0,IF($D272="GELİR",IF($E272="SATIŞ İADESİ/İSKONTO",-$O272,$O272),-$O272)))</f>
        <v/>
      </c>
      <c r="AB272" s="117">
        <f>IF($B272="","",IF(OR($D272="",$E272="",$O272=""),"EKSİK",IF($O272&lt;=0,"SIFIR/NEGATİF",IF(COUNTIFS($C$6:$C$5000,$C272,$O$6:$O$5000,$O272,$B$6:$B$5000,$B272)&gt;1,"MÜKERRER","OK"))))</f>
        <v/>
      </c>
    </row>
    <row r="273" ht="16.5" customHeight="1" s="80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7">
        <f>IF($B273="",0,IF($S273="EVET",IF($D273="GELİR",$O273,-$O273),0))</f>
        <v/>
      </c>
      <c r="AA273" s="117">
        <f>IF($B273="",0,IF(OR($W273="EVET",$X273="EVET",$Y273="EVET"),0,IF($D273="GELİR",IF($E273="SATIŞ İADESİ/İSKONTO",-$O273,$O273),-$O273)))</f>
        <v/>
      </c>
      <c r="AB273" s="117">
        <f>IF($B273="","",IF(OR($D273="",$E273="",$O273=""),"EKSİK",IF($O273&lt;=0,"SIFIR/NEGATİF",IF(COUNTIFS($C$6:$C$5000,$C273,$O$6:$O$5000,$O273,$B$6:$B$5000,$B273)&gt;1,"MÜKERRER","OK"))))</f>
        <v/>
      </c>
    </row>
    <row r="274" ht="16.5" customHeight="1" s="80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7">
        <f>IF($B274="",0,IF($S274="EVET",IF($D274="GELİR",$O274,-$O274),0))</f>
        <v/>
      </c>
      <c r="AA274" s="117">
        <f>IF($B274="",0,IF(OR($W274="EVET",$X274="EVET",$Y274="EVET"),0,IF($D274="GELİR",IF($E274="SATIŞ İADESİ/İSKONTO",-$O274,$O274),-$O274)))</f>
        <v/>
      </c>
      <c r="AB274" s="117">
        <f>IF($B274="","",IF(OR($D274="",$E274="",$O274=""),"EKSİK",IF($O274&lt;=0,"SIFIR/NEGATİF",IF(COUNTIFS($C$6:$C$5000,$C274,$O$6:$O$5000,$O274,$B$6:$B$5000,$B274)&gt;1,"MÜKERRER","OK"))))</f>
        <v/>
      </c>
    </row>
    <row r="275" ht="16.5" customHeight="1" s="80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7">
        <f>IF($B275="",0,IF($S275="EVET",IF($D275="GELİR",$O275,-$O275),0))</f>
        <v/>
      </c>
      <c r="AA275" s="117">
        <f>IF($B275="",0,IF(OR($W275="EVET",$X275="EVET",$Y275="EVET"),0,IF($D275="GELİR",IF($E275="SATIŞ İADESİ/İSKONTO",-$O275,$O275),-$O275)))</f>
        <v/>
      </c>
      <c r="AB275" s="117">
        <f>IF($B275="","",IF(OR($D275="",$E275="",$O275=""),"EKSİK",IF($O275&lt;=0,"SIFIR/NEGATİF",IF(COUNTIFS($C$6:$C$5000,$C275,$O$6:$O$5000,$O275,$B$6:$B$5000,$B275)&gt;1,"MÜKERRER","OK"))))</f>
        <v/>
      </c>
    </row>
    <row r="276" ht="16.5" customHeight="1" s="80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7">
        <f>IF($B276="",0,IF($S276="EVET",IF($D276="GELİR",$O276,-$O276),0))</f>
        <v/>
      </c>
      <c r="AA276" s="117">
        <f>IF($B276="",0,IF(OR($W276="EVET",$X276="EVET",$Y276="EVET"),0,IF($D276="GELİR",IF($E276="SATIŞ İADESİ/İSKONTO",-$O276,$O276),-$O276)))</f>
        <v/>
      </c>
      <c r="AB276" s="117">
        <f>IF($B276="","",IF(OR($D276="",$E276="",$O276=""),"EKSİK",IF($O276&lt;=0,"SIFIR/NEGATİF",IF(COUNTIFS($C$6:$C$5000,$C276,$O$6:$O$5000,$O276,$B$6:$B$5000,$B276)&gt;1,"MÜKERRER","OK"))))</f>
        <v/>
      </c>
    </row>
    <row r="277" ht="16.5" customHeight="1" s="80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7">
        <f>IF($B277="",0,IF($S277="EVET",IF($D277="GELİR",$O277,-$O277),0))</f>
        <v/>
      </c>
      <c r="AA277" s="117">
        <f>IF($B277="",0,IF(OR($W277="EVET",$X277="EVET",$Y277="EVET"),0,IF($D277="GELİR",IF($E277="SATIŞ İADESİ/İSKONTO",-$O277,$O277),-$O277)))</f>
        <v/>
      </c>
      <c r="AB277" s="117">
        <f>IF($B277="","",IF(OR($D277="",$E277="",$O277=""),"EKSİK",IF($O277&lt;=0,"SIFIR/NEGATİF",IF(COUNTIFS($C$6:$C$5000,$C277,$O$6:$O$5000,$O277,$B$6:$B$5000,$B277)&gt;1,"MÜKERRER","OK"))))</f>
        <v/>
      </c>
    </row>
    <row r="278" ht="16.5" customHeight="1" s="80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7">
        <f>IF($B278="",0,IF($S278="EVET",IF($D278="GELİR",$O278,-$O278),0))</f>
        <v/>
      </c>
      <c r="AA278" s="117">
        <f>IF($B278="",0,IF(OR($W278="EVET",$X278="EVET",$Y278="EVET"),0,IF($D278="GELİR",IF($E278="SATIŞ İADESİ/İSKONTO",-$O278,$O278),-$O278)))</f>
        <v/>
      </c>
      <c r="AB278" s="117">
        <f>IF($B278="","",IF(OR($D278="",$E278="",$O278=""),"EKSİK",IF($O278&lt;=0,"SIFIR/NEGATİF",IF(COUNTIFS($C$6:$C$5000,$C278,$O$6:$O$5000,$O278,$B$6:$B$5000,$B278)&gt;1,"MÜKERRER","OK"))))</f>
        <v/>
      </c>
    </row>
    <row r="279" ht="16.5" customHeight="1" s="80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7">
        <f>IF($B279="",0,IF($S279="EVET",IF($D279="GELİR",$O279,-$O279),0))</f>
        <v/>
      </c>
      <c r="AA279" s="117">
        <f>IF($B279="",0,IF(OR($W279="EVET",$X279="EVET",$Y279="EVET"),0,IF($D279="GELİR",IF($E279="SATIŞ İADESİ/İSKONTO",-$O279,$O279),-$O279)))</f>
        <v/>
      </c>
      <c r="AB279" s="117">
        <f>IF($B279="","",IF(OR($D279="",$E279="",$O279=""),"EKSİK",IF($O279&lt;=0,"SIFIR/NEGATİF",IF(COUNTIFS($C$6:$C$5000,$C279,$O$6:$O$5000,$O279,$B$6:$B$5000,$B279)&gt;1,"MÜKERRER","OK"))))</f>
        <v/>
      </c>
    </row>
    <row r="280" ht="16.5" customHeight="1" s="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7">
        <f>IF($B280="",0,IF($S280="EVET",IF($D280="GELİR",$O280,-$O280),0))</f>
        <v/>
      </c>
      <c r="AA280" s="117">
        <f>IF($B280="",0,IF(OR($W280="EVET",$X280="EVET",$Y280="EVET"),0,IF($D280="GELİR",IF($E280="SATIŞ İADESİ/İSKONTO",-$O280,$O280),-$O280)))</f>
        <v/>
      </c>
      <c r="AB280" s="117">
        <f>IF($B280="","",IF(OR($D280="",$E280="",$O280=""),"EKSİK",IF($O280&lt;=0,"SIFIR/NEGATİF",IF(COUNTIFS($C$6:$C$5000,$C280,$O$6:$O$5000,$O280,$B$6:$B$5000,$B280)&gt;1,"MÜKERRER","OK"))))</f>
        <v/>
      </c>
    </row>
    <row r="281" ht="16.5" customHeight="1" s="80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7">
        <f>IF($B281="",0,IF($S281="EVET",IF($D281="GELİR",$O281,-$O281),0))</f>
        <v/>
      </c>
      <c r="AA281" s="117">
        <f>IF($B281="",0,IF(OR($W281="EVET",$X281="EVET",$Y281="EVET"),0,IF($D281="GELİR",IF($E281="SATIŞ İADESİ/İSKONTO",-$O281,$O281),-$O281)))</f>
        <v/>
      </c>
      <c r="AB281" s="117">
        <f>IF($B281="","",IF(OR($D281="",$E281="",$O281=""),"EKSİK",IF($O281&lt;=0,"SIFIR/NEGATİF",IF(COUNTIFS($C$6:$C$5000,$C281,$O$6:$O$5000,$O281,$B$6:$B$5000,$B281)&gt;1,"MÜKERRER","OK"))))</f>
        <v/>
      </c>
    </row>
    <row r="282" ht="16.5" customHeight="1" s="80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7">
        <f>IF($B282="",0,IF($S282="EVET",IF($D282="GELİR",$O282,-$O282),0))</f>
        <v/>
      </c>
      <c r="AA282" s="117">
        <f>IF($B282="",0,IF(OR($W282="EVET",$X282="EVET",$Y282="EVET"),0,IF($D282="GELİR",IF($E282="SATIŞ İADESİ/İSKONTO",-$O282,$O282),-$O282)))</f>
        <v/>
      </c>
      <c r="AB282" s="117">
        <f>IF($B282="","",IF(OR($D282="",$E282="",$O282=""),"EKSİK",IF($O282&lt;=0,"SIFIR/NEGATİF",IF(COUNTIFS($C$6:$C$5000,$C282,$O$6:$O$5000,$O282,$B$6:$B$5000,$B282)&gt;1,"MÜKERRER","OK"))))</f>
        <v/>
      </c>
    </row>
    <row r="283" ht="16.5" customHeight="1" s="80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7">
        <f>IF($B283="",0,IF($S283="EVET",IF($D283="GELİR",$O283,-$O283),0))</f>
        <v/>
      </c>
      <c r="AA283" s="117">
        <f>IF($B283="",0,IF(OR($W283="EVET",$X283="EVET",$Y283="EVET"),0,IF($D283="GELİR",IF($E283="SATIŞ İADESİ/İSKONTO",-$O283,$O283),-$O283)))</f>
        <v/>
      </c>
      <c r="AB283" s="117">
        <f>IF($B283="","",IF(OR($D283="",$E283="",$O283=""),"EKSİK",IF($O283&lt;=0,"SIFIR/NEGATİF",IF(COUNTIFS($C$6:$C$5000,$C283,$O$6:$O$5000,$O283,$B$6:$B$5000,$B283)&gt;1,"MÜKERRER","OK"))))</f>
        <v/>
      </c>
    </row>
    <row r="284" ht="16.5" customHeight="1" s="80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7">
        <f>IF($B284="",0,IF($S284="EVET",IF($D284="GELİR",$O284,-$O284),0))</f>
        <v/>
      </c>
      <c r="AA284" s="117">
        <f>IF($B284="",0,IF(OR($W284="EVET",$X284="EVET",$Y284="EVET"),0,IF($D284="GELİR",IF($E284="SATIŞ İADESİ/İSKONTO",-$O284,$O284),-$O284)))</f>
        <v/>
      </c>
      <c r="AB284" s="117">
        <f>IF($B284="","",IF(OR($D284="",$E284="",$O284=""),"EKSİK",IF($O284&lt;=0,"SIFIR/NEGATİF",IF(COUNTIFS($C$6:$C$5000,$C284,$O$6:$O$5000,$O284,$B$6:$B$5000,$B284)&gt;1,"MÜKERRER","OK"))))</f>
        <v/>
      </c>
    </row>
    <row r="285" ht="16.5" customHeight="1" s="80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7">
        <f>IF($B285="",0,IF($S285="EVET",IF($D285="GELİR",$O285,-$O285),0))</f>
        <v/>
      </c>
      <c r="AA285" s="117">
        <f>IF($B285="",0,IF(OR($W285="EVET",$X285="EVET",$Y285="EVET"),0,IF($D285="GELİR",IF($E285="SATIŞ İADESİ/İSKONTO",-$O285,$O285),-$O285)))</f>
        <v/>
      </c>
      <c r="AB285" s="117">
        <f>IF($B285="","",IF(OR($D285="",$E285="",$O285=""),"EKSİK",IF($O285&lt;=0,"SIFIR/NEGATİF",IF(COUNTIFS($C$6:$C$5000,$C285,$O$6:$O$5000,$O285,$B$6:$B$5000,$B285)&gt;1,"MÜKERRER","OK"))))</f>
        <v/>
      </c>
    </row>
    <row r="286" ht="16.5" customHeight="1" s="80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7">
        <f>IF($B286="",0,IF($S286="EVET",IF($D286="GELİR",$O286,-$O286),0))</f>
        <v/>
      </c>
      <c r="AA286" s="117">
        <f>IF($B286="",0,IF(OR($W286="EVET",$X286="EVET",$Y286="EVET"),0,IF($D286="GELİR",IF($E286="SATIŞ İADESİ/İSKONTO",-$O286,$O286),-$O286)))</f>
        <v/>
      </c>
      <c r="AB286" s="117">
        <f>IF($B286="","",IF(OR($D286="",$E286="",$O286=""),"EKSİK",IF($O286&lt;=0,"SIFIR/NEGATİF",IF(COUNTIFS($C$6:$C$5000,$C286,$O$6:$O$5000,$O286,$B$6:$B$5000,$B286)&gt;1,"MÜKERRER","OK"))))</f>
        <v/>
      </c>
    </row>
    <row r="287" ht="16.5" customHeight="1" s="80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7">
        <f>IF($B287="",0,IF($S287="EVET",IF($D287="GELİR",$O287,-$O287),0))</f>
        <v/>
      </c>
      <c r="AA287" s="117">
        <f>IF($B287="",0,IF(OR($W287="EVET",$X287="EVET",$Y287="EVET"),0,IF($D287="GELİR",IF($E287="SATIŞ İADESİ/İSKONTO",-$O287,$O287),-$O287)))</f>
        <v/>
      </c>
      <c r="AB287" s="117">
        <f>IF($B287="","",IF(OR($D287="",$E287="",$O287=""),"EKSİK",IF($O287&lt;=0,"SIFIR/NEGATİF",IF(COUNTIFS($C$6:$C$5000,$C287,$O$6:$O$5000,$O287,$B$6:$B$5000,$B287)&gt;1,"MÜKERRER","OK"))))</f>
        <v/>
      </c>
    </row>
    <row r="288" ht="16.5" customHeight="1" s="80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7">
        <f>IF($B288="",0,IF($S288="EVET",IF($D288="GELİR",$O288,-$O288),0))</f>
        <v/>
      </c>
      <c r="AA288" s="117">
        <f>IF($B288="",0,IF(OR($W288="EVET",$X288="EVET",$Y288="EVET"),0,IF($D288="GELİR",IF($E288="SATIŞ İADESİ/İSKONTO",-$O288,$O288),-$O288)))</f>
        <v/>
      </c>
      <c r="AB288" s="117">
        <f>IF($B288="","",IF(OR($D288="",$E288="",$O288=""),"EKSİK",IF($O288&lt;=0,"SIFIR/NEGATİF",IF(COUNTIFS($C$6:$C$5000,$C288,$O$6:$O$5000,$O288,$B$6:$B$5000,$B288)&gt;1,"MÜKERRER","OK"))))</f>
        <v/>
      </c>
    </row>
    <row r="289" ht="16.5" customHeight="1" s="80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7">
        <f>IF($B289="",0,IF($S289="EVET",IF($D289="GELİR",$O289,-$O289),0))</f>
        <v/>
      </c>
      <c r="AA289" s="117">
        <f>IF($B289="",0,IF(OR($W289="EVET",$X289="EVET",$Y289="EVET"),0,IF($D289="GELİR",IF($E289="SATIŞ İADESİ/İSKONTO",-$O289,$O289),-$O289)))</f>
        <v/>
      </c>
      <c r="AB289" s="117">
        <f>IF($B289="","",IF(OR($D289="",$E289="",$O289=""),"EKSİK",IF($O289&lt;=0,"SIFIR/NEGATİF",IF(COUNTIFS($C$6:$C$5000,$C289,$O$6:$O$5000,$O289,$B$6:$B$5000,$B289)&gt;1,"MÜKERRER","OK"))))</f>
        <v/>
      </c>
    </row>
    <row r="290" ht="16.5" customHeight="1" s="8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7">
        <f>IF($B290="",0,IF($S290="EVET",IF($D290="GELİR",$O290,-$O290),0))</f>
        <v/>
      </c>
      <c r="AA290" s="117">
        <f>IF($B290="",0,IF(OR($W290="EVET",$X290="EVET",$Y290="EVET"),0,IF($D290="GELİR",IF($E290="SATIŞ İADESİ/İSKONTO",-$O290,$O290),-$O290)))</f>
        <v/>
      </c>
      <c r="AB290" s="117">
        <f>IF($B290="","",IF(OR($D290="",$E290="",$O290=""),"EKSİK",IF($O290&lt;=0,"SIFIR/NEGATİF",IF(COUNTIFS($C$6:$C$5000,$C290,$O$6:$O$5000,$O290,$B$6:$B$5000,$B290)&gt;1,"MÜKERRER","OK"))))</f>
        <v/>
      </c>
    </row>
    <row r="291" ht="16.5" customHeight="1" s="80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7">
        <f>IF($B291="",0,IF($S291="EVET",IF($D291="GELİR",$O291,-$O291),0))</f>
        <v/>
      </c>
      <c r="AA291" s="117">
        <f>IF($B291="",0,IF(OR($W291="EVET",$X291="EVET",$Y291="EVET"),0,IF($D291="GELİR",IF($E291="SATIŞ İADESİ/İSKONTO",-$O291,$O291),-$O291)))</f>
        <v/>
      </c>
      <c r="AB291" s="117">
        <f>IF($B291="","",IF(OR($D291="",$E291="",$O291=""),"EKSİK",IF($O291&lt;=0,"SIFIR/NEGATİF",IF(COUNTIFS($C$6:$C$5000,$C291,$O$6:$O$5000,$O291,$B$6:$B$5000,$B291)&gt;1,"MÜKERRER","OK"))))</f>
        <v/>
      </c>
    </row>
    <row r="292" ht="16.5" customHeight="1" s="80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7">
        <f>IF($B292="",0,IF($S292="EVET",IF($D292="GELİR",$O292,-$O292),0))</f>
        <v/>
      </c>
      <c r="AA292" s="117">
        <f>IF($B292="",0,IF(OR($W292="EVET",$X292="EVET",$Y292="EVET"),0,IF($D292="GELİR",IF($E292="SATIŞ İADESİ/İSKONTO",-$O292,$O292),-$O292)))</f>
        <v/>
      </c>
      <c r="AB292" s="117">
        <f>IF($B292="","",IF(OR($D292="",$E292="",$O292=""),"EKSİK",IF($O292&lt;=0,"SIFIR/NEGATİF",IF(COUNTIFS($C$6:$C$5000,$C292,$O$6:$O$5000,$O292,$B$6:$B$5000,$B292)&gt;1,"MÜKERRER","OK"))))</f>
        <v/>
      </c>
    </row>
    <row r="293" ht="16.5" customHeight="1" s="80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7">
        <f>IF($B293="",0,IF($S293="EVET",IF($D293="GELİR",$O293,-$O293),0))</f>
        <v/>
      </c>
      <c r="AA293" s="117">
        <f>IF($B293="",0,IF(OR($W293="EVET",$X293="EVET",$Y293="EVET"),0,IF($D293="GELİR",IF($E293="SATIŞ İADESİ/İSKONTO",-$O293,$O293),-$O293)))</f>
        <v/>
      </c>
      <c r="AB293" s="117">
        <f>IF($B293="","",IF(OR($D293="",$E293="",$O293=""),"EKSİK",IF($O293&lt;=0,"SIFIR/NEGATİF",IF(COUNTIFS($C$6:$C$5000,$C293,$O$6:$O$5000,$O293,$B$6:$B$5000,$B293)&gt;1,"MÜKERRER","OK"))))</f>
        <v/>
      </c>
    </row>
    <row r="294" ht="16.5" customHeight="1" s="80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7">
        <f>IF($B294="",0,IF($S294="EVET",IF($D294="GELİR",$O294,-$O294),0))</f>
        <v/>
      </c>
      <c r="AA294" s="117">
        <f>IF($B294="",0,IF(OR($W294="EVET",$X294="EVET",$Y294="EVET"),0,IF($D294="GELİR",IF($E294="SATIŞ İADESİ/İSKONTO",-$O294,$O294),-$O294)))</f>
        <v/>
      </c>
      <c r="AB294" s="117">
        <f>IF($B294="","",IF(OR($D294="",$E294="",$O294=""),"EKSİK",IF($O294&lt;=0,"SIFIR/NEGATİF",IF(COUNTIFS($C$6:$C$5000,$C294,$O$6:$O$5000,$O294,$B$6:$B$5000,$B294)&gt;1,"MÜKERRER","OK"))))</f>
        <v/>
      </c>
    </row>
    <row r="295" ht="16.5" customHeight="1" s="80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7">
        <f>IF($B295="",0,IF($S295="EVET",IF($D295="GELİR",$O295,-$O295),0))</f>
        <v/>
      </c>
      <c r="AA295" s="117">
        <f>IF($B295="",0,IF(OR($W295="EVET",$X295="EVET",$Y295="EVET"),0,IF($D295="GELİR",IF($E295="SATIŞ İADESİ/İSKONTO",-$O295,$O295),-$O295)))</f>
        <v/>
      </c>
      <c r="AB295" s="117">
        <f>IF($B295="","",IF(OR($D295="",$E295="",$O295=""),"EKSİK",IF($O295&lt;=0,"SIFIR/NEGATİF",IF(COUNTIFS($C$6:$C$5000,$C295,$O$6:$O$5000,$O295,$B$6:$B$5000,$B295)&gt;1,"MÜKERRER","OK"))))</f>
        <v/>
      </c>
    </row>
    <row r="296" ht="16.5" customHeight="1" s="80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7">
        <f>IF($B296="",0,IF($S296="EVET",IF($D296="GELİR",$O296,-$O296),0))</f>
        <v/>
      </c>
      <c r="AA296" s="117">
        <f>IF($B296="",0,IF(OR($W296="EVET",$X296="EVET",$Y296="EVET"),0,IF($D296="GELİR",IF($E296="SATIŞ İADESİ/İSKONTO",-$O296,$O296),-$O296)))</f>
        <v/>
      </c>
      <c r="AB296" s="117">
        <f>IF($B296="","",IF(OR($D296="",$E296="",$O296=""),"EKSİK",IF($O296&lt;=0,"SIFIR/NEGATİF",IF(COUNTIFS($C$6:$C$5000,$C296,$O$6:$O$5000,$O296,$B$6:$B$5000,$B296)&gt;1,"MÜKERRER","OK"))))</f>
        <v/>
      </c>
    </row>
    <row r="297" ht="16.5" customHeight="1" s="80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7">
        <f>IF($B297="",0,IF($S297="EVET",IF($D297="GELİR",$O297,-$O297),0))</f>
        <v/>
      </c>
      <c r="AA297" s="117">
        <f>IF($B297="",0,IF(OR($W297="EVET",$X297="EVET",$Y297="EVET"),0,IF($D297="GELİR",IF($E297="SATIŞ İADESİ/İSKONTO",-$O297,$O297),-$O297)))</f>
        <v/>
      </c>
      <c r="AB297" s="117">
        <f>IF($B297="","",IF(OR($D297="",$E297="",$O297=""),"EKSİK",IF($O297&lt;=0,"SIFIR/NEGATİF",IF(COUNTIFS($C$6:$C$5000,$C297,$O$6:$O$5000,$O297,$B$6:$B$5000,$B297)&gt;1,"MÜKERRER","OK"))))</f>
        <v/>
      </c>
    </row>
    <row r="298" ht="16.5" customHeight="1" s="80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7">
        <f>IF($B298="",0,IF($S298="EVET",IF($D298="GELİR",$O298,-$O298),0))</f>
        <v/>
      </c>
      <c r="AA298" s="117">
        <f>IF($B298="",0,IF(OR($W298="EVET",$X298="EVET",$Y298="EVET"),0,IF($D298="GELİR",IF($E298="SATIŞ İADESİ/İSKONTO",-$O298,$O298),-$O298)))</f>
        <v/>
      </c>
      <c r="AB298" s="117">
        <f>IF($B298="","",IF(OR($D298="",$E298="",$O298=""),"EKSİK",IF($O298&lt;=0,"SIFIR/NEGATİF",IF(COUNTIFS($C$6:$C$5000,$C298,$O$6:$O$5000,$O298,$B$6:$B$5000,$B298)&gt;1,"MÜKERRER","OK"))))</f>
        <v/>
      </c>
    </row>
    <row r="299" ht="16.5" customHeight="1" s="80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7">
        <f>IF($B299="",0,IF($S299="EVET",IF($D299="GELİR",$O299,-$O299),0))</f>
        <v/>
      </c>
      <c r="AA299" s="117">
        <f>IF($B299="",0,IF(OR($W299="EVET",$X299="EVET",$Y299="EVET"),0,IF($D299="GELİR",IF($E299="SATIŞ İADESİ/İSKONTO",-$O299,$O299),-$O299)))</f>
        <v/>
      </c>
      <c r="AB299" s="117">
        <f>IF($B299="","",IF(OR($D299="",$E299="",$O299=""),"EKSİK",IF($O299&lt;=0,"SIFIR/NEGATİF",IF(COUNTIFS($C$6:$C$5000,$C299,$O$6:$O$5000,$O299,$B$6:$B$5000,$B299)&gt;1,"MÜKERRER","OK"))))</f>
        <v/>
      </c>
    </row>
    <row r="300" ht="16.5" customHeight="1" s="8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7">
        <f>IF($B300="",0,IF($S300="EVET",IF($D300="GELİR",$O300,-$O300),0))</f>
        <v/>
      </c>
      <c r="AA300" s="117">
        <f>IF($B300="",0,IF(OR($W300="EVET",$X300="EVET",$Y300="EVET"),0,IF($D300="GELİR",IF($E300="SATIŞ İADESİ/İSKONTO",-$O300,$O300),-$O300)))</f>
        <v/>
      </c>
      <c r="AB300" s="117">
        <f>IF($B300="","",IF(OR($D300="",$E300="",$O300=""),"EKSİK",IF($O300&lt;=0,"SIFIR/NEGATİF",IF(COUNTIFS($C$6:$C$5000,$C300,$O$6:$O$5000,$O300,$B$6:$B$5000,$B300)&gt;1,"MÜKERRER","OK"))))</f>
        <v/>
      </c>
    </row>
    <row r="301" ht="16.5" customHeight="1" s="80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7">
        <f>IF($B301="",0,IF($S301="EVET",IF($D301="GELİR",$O301,-$O301),0))</f>
        <v/>
      </c>
      <c r="AA301" s="117">
        <f>IF($B301="",0,IF(OR($W301="EVET",$X301="EVET",$Y301="EVET"),0,IF($D301="GELİR",IF($E301="SATIŞ İADESİ/İSKONTO",-$O301,$O301),-$O301)))</f>
        <v/>
      </c>
      <c r="AB301" s="117">
        <f>IF($B301="","",IF(OR($D301="",$E301="",$O301=""),"EKSİK",IF($O301&lt;=0,"SIFIR/NEGATİF",IF(COUNTIFS($C$6:$C$5000,$C301,$O$6:$O$5000,$O301,$B$6:$B$5000,$B301)&gt;1,"MÜKERRER","OK"))))</f>
        <v/>
      </c>
    </row>
    <row r="302" ht="16.5" customHeight="1" s="80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7">
        <f>IF($B302="",0,IF($S302="EVET",IF($D302="GELİR",$O302,-$O302),0))</f>
        <v/>
      </c>
      <c r="AA302" s="117">
        <f>IF($B302="",0,IF(OR($W302="EVET",$X302="EVET",$Y302="EVET"),0,IF($D302="GELİR",IF($E302="SATIŞ İADESİ/İSKONTO",-$O302,$O302),-$O302)))</f>
        <v/>
      </c>
      <c r="AB302" s="117">
        <f>IF($B302="","",IF(OR($D302="",$E302="",$O302=""),"EKSİK",IF($O302&lt;=0,"SIFIR/NEGATİF",IF(COUNTIFS($C$6:$C$5000,$C302,$O$6:$O$5000,$O302,$B$6:$B$5000,$B302)&gt;1,"MÜKERRER","OK"))))</f>
        <v/>
      </c>
    </row>
    <row r="303" ht="16.5" customHeight="1" s="80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7">
        <f>IF($B303="",0,IF($S303="EVET",IF($D303="GELİR",$O303,-$O303),0))</f>
        <v/>
      </c>
      <c r="AA303" s="117">
        <f>IF($B303="",0,IF(OR($W303="EVET",$X303="EVET",$Y303="EVET"),0,IF($D303="GELİR",IF($E303="SATIŞ İADESİ/İSKONTO",-$O303,$O303),-$O303)))</f>
        <v/>
      </c>
      <c r="AB303" s="117">
        <f>IF($B303="","",IF(OR($D303="",$E303="",$O303=""),"EKSİK",IF($O303&lt;=0,"SIFIR/NEGATİF",IF(COUNTIFS($C$6:$C$5000,$C303,$O$6:$O$5000,$O303,$B$6:$B$5000,$B303)&gt;1,"MÜKERRER","OK"))))</f>
        <v/>
      </c>
    </row>
    <row r="304" ht="16.5" customHeight="1" s="80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7">
        <f>IF($B304="",0,IF($S304="EVET",IF($D304="GELİR",$O304,-$O304),0))</f>
        <v/>
      </c>
      <c r="AA304" s="117">
        <f>IF($B304="",0,IF(OR($W304="EVET",$X304="EVET",$Y304="EVET"),0,IF($D304="GELİR",IF($E304="SATIŞ İADESİ/İSKONTO",-$O304,$O304),-$O304)))</f>
        <v/>
      </c>
      <c r="AB304" s="117">
        <f>IF($B304="","",IF(OR($D304="",$E304="",$O304=""),"EKSİK",IF($O304&lt;=0,"SIFIR/NEGATİF",IF(COUNTIFS($C$6:$C$5000,$C304,$O$6:$O$5000,$O304,$B$6:$B$5000,$B304)&gt;1,"MÜKERRER","OK"))))</f>
        <v/>
      </c>
    </row>
    <row r="305" ht="16.5" customHeight="1" s="80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7">
        <f>IF($B305="",0,IF($S305="EVET",IF($D305="GELİR",$O305,-$O305),0))</f>
        <v/>
      </c>
      <c r="AA305" s="117">
        <f>IF($B305="",0,IF(OR($W305="EVET",$X305="EVET",$Y305="EVET"),0,IF($D305="GELİR",IF($E305="SATIŞ İADESİ/İSKONTO",-$O305,$O305),-$O305)))</f>
        <v/>
      </c>
      <c r="AB305" s="117">
        <f>IF($B305="","",IF(OR($D305="",$E305="",$O305=""),"EKSİK",IF($O305&lt;=0,"SIFIR/NEGATİF",IF(COUNTIFS($C$6:$C$5000,$C305,$O$6:$O$5000,$O305,$B$6:$B$5000,$B305)&gt;1,"MÜKERRER","OK"))))</f>
        <v/>
      </c>
    </row>
    <row r="306" ht="16.5" customHeight="1" s="80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7">
        <f>IF($B306="",0,IF($S306="EVET",IF($D306="GELİR",$O306,-$O306),0))</f>
        <v/>
      </c>
      <c r="AA306" s="117">
        <f>IF($B306="",0,IF(OR($W306="EVET",$X306="EVET",$Y306="EVET"),0,IF($D306="GELİR",IF($E306="SATIŞ İADESİ/İSKONTO",-$O306,$O306),-$O306)))</f>
        <v/>
      </c>
      <c r="AB306" s="117">
        <f>IF($B306="","",IF(OR($D306="",$E306="",$O306=""),"EKSİK",IF($O306&lt;=0,"SIFIR/NEGATİF",IF(COUNTIFS($C$6:$C$5000,$C306,$O$6:$O$5000,$O306,$B$6:$B$5000,$B306)&gt;1,"MÜKERRER","OK"))))</f>
        <v/>
      </c>
    </row>
    <row r="307" ht="16.5" customHeight="1" s="80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7">
        <f>IF($B307="",0,IF($S307="EVET",IF($D307="GELİR",$O307,-$O307),0))</f>
        <v/>
      </c>
      <c r="AA307" s="117">
        <f>IF($B307="",0,IF(OR($W307="EVET",$X307="EVET",$Y307="EVET"),0,IF($D307="GELİR",IF($E307="SATIŞ İADESİ/İSKONTO",-$O307,$O307),-$O307)))</f>
        <v/>
      </c>
      <c r="AB307" s="117">
        <f>IF($B307="","",IF(OR($D307="",$E307="",$O307=""),"EKSİK",IF($O307&lt;=0,"SIFIR/NEGATİF",IF(COUNTIFS($C$6:$C$5000,$C307,$O$6:$O$5000,$O307,$B$6:$B$5000,$B307)&gt;1,"MÜKERRER","OK"))))</f>
        <v/>
      </c>
    </row>
    <row r="308" ht="16.5" customHeight="1" s="80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7">
        <f>IF($B308="",0,IF($S308="EVET",IF($D308="GELİR",$O308,-$O308),0))</f>
        <v/>
      </c>
      <c r="AA308" s="117">
        <f>IF($B308="",0,IF(OR($W308="EVET",$X308="EVET",$Y308="EVET"),0,IF($D308="GELİR",IF($E308="SATIŞ İADESİ/İSKONTO",-$O308,$O308),-$O308)))</f>
        <v/>
      </c>
      <c r="AB308" s="117">
        <f>IF($B308="","",IF(OR($D308="",$E308="",$O308=""),"EKSİK",IF($O308&lt;=0,"SIFIR/NEGATİF",IF(COUNTIFS($C$6:$C$5000,$C308,$O$6:$O$5000,$O308,$B$6:$B$5000,$B308)&gt;1,"MÜKERRER","OK"))))</f>
        <v/>
      </c>
    </row>
    <row r="309" ht="16.5" customHeight="1" s="80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7">
        <f>IF($B309="",0,IF($S309="EVET",IF($D309="GELİR",$O309,-$O309),0))</f>
        <v/>
      </c>
      <c r="AA309" s="117">
        <f>IF($B309="",0,IF(OR($W309="EVET",$X309="EVET",$Y309="EVET"),0,IF($D309="GELİR",IF($E309="SATIŞ İADESİ/İSKONTO",-$O309,$O309),-$O309)))</f>
        <v/>
      </c>
      <c r="AB309" s="117">
        <f>IF($B309="","",IF(OR($D309="",$E309="",$O309=""),"EKSİK",IF($O309&lt;=0,"SIFIR/NEGATİF",IF(COUNTIFS($C$6:$C$5000,$C309,$O$6:$O$5000,$O309,$B$6:$B$5000,$B309)&gt;1,"MÜKERRER","OK"))))</f>
        <v/>
      </c>
    </row>
    <row r="310" ht="16.5" customHeight="1" s="8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7">
        <f>IF($B310="",0,IF($S310="EVET",IF($D310="GELİR",$O310,-$O310),0))</f>
        <v/>
      </c>
      <c r="AA310" s="117">
        <f>IF($B310="",0,IF(OR($W310="EVET",$X310="EVET",$Y310="EVET"),0,IF($D310="GELİR",IF($E310="SATIŞ İADESİ/İSKONTO",-$O310,$O310),-$O310)))</f>
        <v/>
      </c>
      <c r="AB310" s="117">
        <f>IF($B310="","",IF(OR($D310="",$E310="",$O310=""),"EKSİK",IF($O310&lt;=0,"SIFIR/NEGATİF",IF(COUNTIFS($C$6:$C$5000,$C310,$O$6:$O$5000,$O310,$B$6:$B$5000,$B310)&gt;1,"MÜKERRER","OK"))))</f>
        <v/>
      </c>
    </row>
    <row r="311" ht="16.5" customHeight="1" s="80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7">
        <f>IF($B311="",0,IF($S311="EVET",IF($D311="GELİR",$O311,-$O311),0))</f>
        <v/>
      </c>
      <c r="AA311" s="117">
        <f>IF($B311="",0,IF(OR($W311="EVET",$X311="EVET",$Y311="EVET"),0,IF($D311="GELİR",IF($E311="SATIŞ İADESİ/İSKONTO",-$O311,$O311),-$O311)))</f>
        <v/>
      </c>
      <c r="AB311" s="117">
        <f>IF($B311="","",IF(OR($D311="",$E311="",$O311=""),"EKSİK",IF($O311&lt;=0,"SIFIR/NEGATİF",IF(COUNTIFS($C$6:$C$5000,$C311,$O$6:$O$5000,$O311,$B$6:$B$5000,$B311)&gt;1,"MÜKERRER","OK"))))</f>
        <v/>
      </c>
    </row>
    <row r="312" ht="16.5" customHeight="1" s="80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7">
        <f>IF($B312="",0,IF($S312="EVET",IF($D312="GELİR",$O312,-$O312),0))</f>
        <v/>
      </c>
      <c r="AA312" s="117">
        <f>IF($B312="",0,IF(OR($W312="EVET",$X312="EVET",$Y312="EVET"),0,IF($D312="GELİR",IF($E312="SATIŞ İADESİ/İSKONTO",-$O312,$O312),-$O312)))</f>
        <v/>
      </c>
      <c r="AB312" s="117">
        <f>IF($B312="","",IF(OR($D312="",$E312="",$O312=""),"EKSİK",IF($O312&lt;=0,"SIFIR/NEGATİF",IF(COUNTIFS($C$6:$C$5000,$C312,$O$6:$O$5000,$O312,$B$6:$B$5000,$B312)&gt;1,"MÜKERRER","OK"))))</f>
        <v/>
      </c>
    </row>
    <row r="313" ht="16.5" customHeight="1" s="80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7">
        <f>IF($B313="",0,IF($S313="EVET",IF($D313="GELİR",$O313,-$O313),0))</f>
        <v/>
      </c>
      <c r="AA313" s="117">
        <f>IF($B313="",0,IF(OR($W313="EVET",$X313="EVET",$Y313="EVET"),0,IF($D313="GELİR",IF($E313="SATIŞ İADESİ/İSKONTO",-$O313,$O313),-$O313)))</f>
        <v/>
      </c>
      <c r="AB313" s="117">
        <f>IF($B313="","",IF(OR($D313="",$E313="",$O313=""),"EKSİK",IF($O313&lt;=0,"SIFIR/NEGATİF",IF(COUNTIFS($C$6:$C$5000,$C313,$O$6:$O$5000,$O313,$B$6:$B$5000,$B313)&gt;1,"MÜKERRER","OK"))))</f>
        <v/>
      </c>
    </row>
    <row r="314" ht="16.5" customHeight="1" s="80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7">
        <f>IF($B314="",0,IF($S314="EVET",IF($D314="GELİR",$O314,-$O314),0))</f>
        <v/>
      </c>
      <c r="AA314" s="117">
        <f>IF($B314="",0,IF(OR($W314="EVET",$X314="EVET",$Y314="EVET"),0,IF($D314="GELİR",IF($E314="SATIŞ İADESİ/İSKONTO",-$O314,$O314),-$O314)))</f>
        <v/>
      </c>
      <c r="AB314" s="117">
        <f>IF($B314="","",IF(OR($D314="",$E314="",$O314=""),"EKSİK",IF($O314&lt;=0,"SIFIR/NEGATİF",IF(COUNTIFS($C$6:$C$5000,$C314,$O$6:$O$5000,$O314,$B$6:$B$5000,$B314)&gt;1,"MÜKERRER","OK"))))</f>
        <v/>
      </c>
    </row>
    <row r="315" ht="16.5" customHeight="1" s="80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7">
        <f>IF($B315="",0,IF($S315="EVET",IF($D315="GELİR",$O315,-$O315),0))</f>
        <v/>
      </c>
      <c r="AA315" s="117">
        <f>IF($B315="",0,IF(OR($W315="EVET",$X315="EVET",$Y315="EVET"),0,IF($D315="GELİR",IF($E315="SATIŞ İADESİ/İSKONTO",-$O315,$O315),-$O315)))</f>
        <v/>
      </c>
      <c r="AB315" s="117">
        <f>IF($B315="","",IF(OR($D315="",$E315="",$O315=""),"EKSİK",IF($O315&lt;=0,"SIFIR/NEGATİF",IF(COUNTIFS($C$6:$C$5000,$C315,$O$6:$O$5000,$O315,$B$6:$B$5000,$B315)&gt;1,"MÜKERRER","OK"))))</f>
        <v/>
      </c>
    </row>
    <row r="316" ht="16.5" customHeight="1" s="80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7">
        <f>IF($B316="",0,IF($S316="EVET",IF($D316="GELİR",$O316,-$O316),0))</f>
        <v/>
      </c>
      <c r="AA316" s="117">
        <f>IF($B316="",0,IF(OR($W316="EVET",$X316="EVET",$Y316="EVET"),0,IF($D316="GELİR",IF($E316="SATIŞ İADESİ/İSKONTO",-$O316,$O316),-$O316)))</f>
        <v/>
      </c>
      <c r="AB316" s="117">
        <f>IF($B316="","",IF(OR($D316="",$E316="",$O316=""),"EKSİK",IF($O316&lt;=0,"SIFIR/NEGATİF",IF(COUNTIFS($C$6:$C$5000,$C316,$O$6:$O$5000,$O316,$B$6:$B$5000,$B316)&gt;1,"MÜKERRER","OK"))))</f>
        <v/>
      </c>
    </row>
    <row r="317" ht="16.5" customHeight="1" s="80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7">
        <f>IF($B317="",0,IF($S317="EVET",IF($D317="GELİR",$O317,-$O317),0))</f>
        <v/>
      </c>
      <c r="AA317" s="117">
        <f>IF($B317="",0,IF(OR($W317="EVET",$X317="EVET",$Y317="EVET"),0,IF($D317="GELİR",IF($E317="SATIŞ İADESİ/İSKONTO",-$O317,$O317),-$O317)))</f>
        <v/>
      </c>
      <c r="AB317" s="117">
        <f>IF($B317="","",IF(OR($D317="",$E317="",$O317=""),"EKSİK",IF($O317&lt;=0,"SIFIR/NEGATİF",IF(COUNTIFS($C$6:$C$5000,$C317,$O$6:$O$5000,$O317,$B$6:$B$5000,$B317)&gt;1,"MÜKERRER","OK"))))</f>
        <v/>
      </c>
    </row>
    <row r="318" ht="16.5" customHeight="1" s="80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7">
        <f>IF($B318="",0,IF($S318="EVET",IF($D318="GELİR",$O318,-$O318),0))</f>
        <v/>
      </c>
      <c r="AA318" s="117">
        <f>IF($B318="",0,IF(OR($W318="EVET",$X318="EVET",$Y318="EVET"),0,IF($D318="GELİR",IF($E318="SATIŞ İADESİ/İSKONTO",-$O318,$O318),-$O318)))</f>
        <v/>
      </c>
      <c r="AB318" s="117">
        <f>IF($B318="","",IF(OR($D318="",$E318="",$O318=""),"EKSİK",IF($O318&lt;=0,"SIFIR/NEGATİF",IF(COUNTIFS($C$6:$C$5000,$C318,$O$6:$O$5000,$O318,$B$6:$B$5000,$B318)&gt;1,"MÜKERRER","OK"))))</f>
        <v/>
      </c>
    </row>
    <row r="319" ht="16.5" customHeight="1" s="80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7">
        <f>IF($B319="",0,IF($S319="EVET",IF($D319="GELİR",$O319,-$O319),0))</f>
        <v/>
      </c>
      <c r="AA319" s="117">
        <f>IF($B319="",0,IF(OR($W319="EVET",$X319="EVET",$Y319="EVET"),0,IF($D319="GELİR",IF($E319="SATIŞ İADESİ/İSKONTO",-$O319,$O319),-$O319)))</f>
        <v/>
      </c>
      <c r="AB319" s="117">
        <f>IF($B319="","",IF(OR($D319="",$E319="",$O319=""),"EKSİK",IF($O319&lt;=0,"SIFIR/NEGATİF",IF(COUNTIFS($C$6:$C$5000,$C319,$O$6:$O$5000,$O319,$B$6:$B$5000,$B319)&gt;1,"MÜKERRER","OK"))))</f>
        <v/>
      </c>
    </row>
    <row r="320" ht="16.5" customHeight="1" s="8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7">
        <f>IF($B320="",0,IF($S320="EVET",IF($D320="GELİR",$O320,-$O320),0))</f>
        <v/>
      </c>
      <c r="AA320" s="117">
        <f>IF($B320="",0,IF(OR($W320="EVET",$X320="EVET",$Y320="EVET"),0,IF($D320="GELİR",IF($E320="SATIŞ İADESİ/İSKONTO",-$O320,$O320),-$O320)))</f>
        <v/>
      </c>
      <c r="AB320" s="117">
        <f>IF($B320="","",IF(OR($D320="",$E320="",$O320=""),"EKSİK",IF($O320&lt;=0,"SIFIR/NEGATİF",IF(COUNTIFS($C$6:$C$5000,$C320,$O$6:$O$5000,$O320,$B$6:$B$5000,$B320)&gt;1,"MÜKERRER","OK"))))</f>
        <v/>
      </c>
    </row>
    <row r="321" ht="16.5" customHeight="1" s="80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7">
        <f>IF($B321="",0,IF($S321="EVET",IF($D321="GELİR",$O321,-$O321),0))</f>
        <v/>
      </c>
      <c r="AA321" s="117">
        <f>IF($B321="",0,IF(OR($W321="EVET",$X321="EVET",$Y321="EVET"),0,IF($D321="GELİR",IF($E321="SATIŞ İADESİ/İSKONTO",-$O321,$O321),-$O321)))</f>
        <v/>
      </c>
      <c r="AB321" s="117">
        <f>IF($B321="","",IF(OR($D321="",$E321="",$O321=""),"EKSİK",IF($O321&lt;=0,"SIFIR/NEGATİF",IF(COUNTIFS($C$6:$C$5000,$C321,$O$6:$O$5000,$O321,$B$6:$B$5000,$B321)&gt;1,"MÜKERRER","OK"))))</f>
        <v/>
      </c>
    </row>
    <row r="322" ht="16.5" customHeight="1" s="80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7">
        <f>IF($B322="",0,IF($S322="EVET",IF($D322="GELİR",$O322,-$O322),0))</f>
        <v/>
      </c>
      <c r="AA322" s="117">
        <f>IF($B322="",0,IF(OR($W322="EVET",$X322="EVET",$Y322="EVET"),0,IF($D322="GELİR",IF($E322="SATIŞ İADESİ/İSKONTO",-$O322,$O322),-$O322)))</f>
        <v/>
      </c>
      <c r="AB322" s="117">
        <f>IF($B322="","",IF(OR($D322="",$E322="",$O322=""),"EKSİK",IF($O322&lt;=0,"SIFIR/NEGATİF",IF(COUNTIFS($C$6:$C$5000,$C322,$O$6:$O$5000,$O322,$B$6:$B$5000,$B322)&gt;1,"MÜKERRER","OK"))))</f>
        <v/>
      </c>
    </row>
    <row r="323" ht="16.5" customHeight="1" s="80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7">
        <f>IF($B323="",0,IF($S323="EVET",IF($D323="GELİR",$O323,-$O323),0))</f>
        <v/>
      </c>
      <c r="AA323" s="117">
        <f>IF($B323="",0,IF(OR($W323="EVET",$X323="EVET",$Y323="EVET"),0,IF($D323="GELİR",IF($E323="SATIŞ İADESİ/İSKONTO",-$O323,$O323),-$O323)))</f>
        <v/>
      </c>
      <c r="AB323" s="117">
        <f>IF($B323="","",IF(OR($D323="",$E323="",$O323=""),"EKSİK",IF($O323&lt;=0,"SIFIR/NEGATİF",IF(COUNTIFS($C$6:$C$5000,$C323,$O$6:$O$5000,$O323,$B$6:$B$5000,$B323)&gt;1,"MÜKERRER","OK"))))</f>
        <v/>
      </c>
    </row>
    <row r="324" ht="16.5" customHeight="1" s="80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7">
        <f>IF($B324="",0,IF($S324="EVET",IF($D324="GELİR",$O324,-$O324),0))</f>
        <v/>
      </c>
      <c r="AA324" s="117">
        <f>IF($B324="",0,IF(OR($W324="EVET",$X324="EVET",$Y324="EVET"),0,IF($D324="GELİR",IF($E324="SATIŞ İADESİ/İSKONTO",-$O324,$O324),-$O324)))</f>
        <v/>
      </c>
      <c r="AB324" s="117">
        <f>IF($B324="","",IF(OR($D324="",$E324="",$O324=""),"EKSİK",IF($O324&lt;=0,"SIFIR/NEGATİF",IF(COUNTIFS($C$6:$C$5000,$C324,$O$6:$O$5000,$O324,$B$6:$B$5000,$B324)&gt;1,"MÜKERRER","OK"))))</f>
        <v/>
      </c>
    </row>
    <row r="325" ht="16.5" customHeight="1" s="80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7">
        <f>IF($B325="",0,IF($S325="EVET",IF($D325="GELİR",$O325,-$O325),0))</f>
        <v/>
      </c>
      <c r="AA325" s="117">
        <f>IF($B325="",0,IF(OR($W325="EVET",$X325="EVET",$Y325="EVET"),0,IF($D325="GELİR",IF($E325="SATIŞ İADESİ/İSKONTO",-$O325,$O325),-$O325)))</f>
        <v/>
      </c>
      <c r="AB325" s="117">
        <f>IF($B325="","",IF(OR($D325="",$E325="",$O325=""),"EKSİK",IF($O325&lt;=0,"SIFIR/NEGATİF",IF(COUNTIFS($C$6:$C$5000,$C325,$O$6:$O$5000,$O325,$B$6:$B$5000,$B325)&gt;1,"MÜKERRER","OK"))))</f>
        <v/>
      </c>
    </row>
    <row r="326" ht="16.5" customHeight="1" s="80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7">
        <f>IF($B326="",0,IF($S326="EVET",IF($D326="GELİR",$O326,-$O326),0))</f>
        <v/>
      </c>
      <c r="AA326" s="117">
        <f>IF($B326="",0,IF(OR($W326="EVET",$X326="EVET",$Y326="EVET"),0,IF($D326="GELİR",IF($E326="SATIŞ İADESİ/İSKONTO",-$O326,$O326),-$O326)))</f>
        <v/>
      </c>
      <c r="AB326" s="117">
        <f>IF($B326="","",IF(OR($D326="",$E326="",$O326=""),"EKSİK",IF($O326&lt;=0,"SIFIR/NEGATİF",IF(COUNTIFS($C$6:$C$5000,$C326,$O$6:$O$5000,$O326,$B$6:$B$5000,$B326)&gt;1,"MÜKERRER","OK"))))</f>
        <v/>
      </c>
    </row>
    <row r="327" ht="16.5" customHeight="1" s="80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7">
        <f>IF($B327="",0,IF($S327="EVET",IF($D327="GELİR",$O327,-$O327),0))</f>
        <v/>
      </c>
      <c r="AA327" s="117">
        <f>IF($B327="",0,IF(OR($W327="EVET",$X327="EVET",$Y327="EVET"),0,IF($D327="GELİR",IF($E327="SATIŞ İADESİ/İSKONTO",-$O327,$O327),-$O327)))</f>
        <v/>
      </c>
      <c r="AB327" s="117">
        <f>IF($B327="","",IF(OR($D327="",$E327="",$O327=""),"EKSİK",IF($O327&lt;=0,"SIFIR/NEGATİF",IF(COUNTIFS($C$6:$C$5000,$C327,$O$6:$O$5000,$O327,$B$6:$B$5000,$B327)&gt;1,"MÜKERRER","OK"))))</f>
        <v/>
      </c>
    </row>
    <row r="328" ht="16.5" customHeight="1" s="80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7">
        <f>IF($B328="",0,IF($S328="EVET",IF($D328="GELİR",$O328,-$O328),0))</f>
        <v/>
      </c>
      <c r="AA328" s="117">
        <f>IF($B328="",0,IF(OR($W328="EVET",$X328="EVET",$Y328="EVET"),0,IF($D328="GELİR",IF($E328="SATIŞ İADESİ/İSKONTO",-$O328,$O328),-$O328)))</f>
        <v/>
      </c>
      <c r="AB328" s="117">
        <f>IF($B328="","",IF(OR($D328="",$E328="",$O328=""),"EKSİK",IF($O328&lt;=0,"SIFIR/NEGATİF",IF(COUNTIFS($C$6:$C$5000,$C328,$O$6:$O$5000,$O328,$B$6:$B$5000,$B328)&gt;1,"MÜKERRER","OK"))))</f>
        <v/>
      </c>
    </row>
    <row r="329" ht="16.5" customHeight="1" s="80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7">
        <f>IF($B329="",0,IF($S329="EVET",IF($D329="GELİR",$O329,-$O329),0))</f>
        <v/>
      </c>
      <c r="AA329" s="117">
        <f>IF($B329="",0,IF(OR($W329="EVET",$X329="EVET",$Y329="EVET"),0,IF($D329="GELİR",IF($E329="SATIŞ İADESİ/İSKONTO",-$O329,$O329),-$O329)))</f>
        <v/>
      </c>
      <c r="AB329" s="117">
        <f>IF($B329="","",IF(OR($D329="",$E329="",$O329=""),"EKSİK",IF($O329&lt;=0,"SIFIR/NEGATİF",IF(COUNTIFS($C$6:$C$5000,$C329,$O$6:$O$5000,$O329,$B$6:$B$5000,$B329)&gt;1,"MÜKERRER","OK"))))</f>
        <v/>
      </c>
    </row>
    <row r="330" ht="16.5" customHeight="1" s="8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7">
        <f>IF($B330="",0,IF($S330="EVET",IF($D330="GELİR",$O330,-$O330),0))</f>
        <v/>
      </c>
      <c r="AA330" s="117">
        <f>IF($B330="",0,IF(OR($W330="EVET",$X330="EVET",$Y330="EVET"),0,IF($D330="GELİR",IF($E330="SATIŞ İADESİ/İSKONTO",-$O330,$O330),-$O330)))</f>
        <v/>
      </c>
      <c r="AB330" s="117">
        <f>IF($B330="","",IF(OR($D330="",$E330="",$O330=""),"EKSİK",IF($O330&lt;=0,"SIFIR/NEGATİF",IF(COUNTIFS($C$6:$C$5000,$C330,$O$6:$O$5000,$O330,$B$6:$B$5000,$B330)&gt;1,"MÜKERRER","OK"))))</f>
        <v/>
      </c>
    </row>
    <row r="331" ht="16.5" customHeight="1" s="80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7">
        <f>IF($B331="",0,IF($S331="EVET",IF($D331="GELİR",$O331,-$O331),0))</f>
        <v/>
      </c>
      <c r="AA331" s="117">
        <f>IF($B331="",0,IF(OR($W331="EVET",$X331="EVET",$Y331="EVET"),0,IF($D331="GELİR",IF($E331="SATIŞ İADESİ/İSKONTO",-$O331,$O331),-$O331)))</f>
        <v/>
      </c>
      <c r="AB331" s="117">
        <f>IF($B331="","",IF(OR($D331="",$E331="",$O331=""),"EKSİK",IF($O331&lt;=0,"SIFIR/NEGATİF",IF(COUNTIFS($C$6:$C$5000,$C331,$O$6:$O$5000,$O331,$B$6:$B$5000,$B331)&gt;1,"MÜKERRER","OK"))))</f>
        <v/>
      </c>
    </row>
    <row r="332" ht="16.5" customHeight="1" s="80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7">
        <f>IF($B332="",0,IF($S332="EVET",IF($D332="GELİR",$O332,-$O332),0))</f>
        <v/>
      </c>
      <c r="AA332" s="117">
        <f>IF($B332="",0,IF(OR($W332="EVET",$X332="EVET",$Y332="EVET"),0,IF($D332="GELİR",IF($E332="SATIŞ İADESİ/İSKONTO",-$O332,$O332),-$O332)))</f>
        <v/>
      </c>
      <c r="AB332" s="117">
        <f>IF($B332="","",IF(OR($D332="",$E332="",$O332=""),"EKSİK",IF($O332&lt;=0,"SIFIR/NEGATİF",IF(COUNTIFS($C$6:$C$5000,$C332,$O$6:$O$5000,$O332,$B$6:$B$5000,$B332)&gt;1,"MÜKERRER","OK"))))</f>
        <v/>
      </c>
    </row>
    <row r="333" ht="16.5" customHeight="1" s="80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7">
        <f>IF($B333="",0,IF($S333="EVET",IF($D333="GELİR",$O333,-$O333),0))</f>
        <v/>
      </c>
      <c r="AA333" s="117">
        <f>IF($B333="",0,IF(OR($W333="EVET",$X333="EVET",$Y333="EVET"),0,IF($D333="GELİR",IF($E333="SATIŞ İADESİ/İSKONTO",-$O333,$O333),-$O333)))</f>
        <v/>
      </c>
      <c r="AB333" s="117">
        <f>IF($B333="","",IF(OR($D333="",$E333="",$O333=""),"EKSİK",IF($O333&lt;=0,"SIFIR/NEGATİF",IF(COUNTIFS($C$6:$C$5000,$C333,$O$6:$O$5000,$O333,$B$6:$B$5000,$B333)&gt;1,"MÜKERRER","OK"))))</f>
        <v/>
      </c>
    </row>
    <row r="334" ht="16.5" customHeight="1" s="80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7">
        <f>IF($B334="",0,IF($S334="EVET",IF($D334="GELİR",$O334,-$O334),0))</f>
        <v/>
      </c>
      <c r="AA334" s="117">
        <f>IF($B334="",0,IF(OR($W334="EVET",$X334="EVET",$Y334="EVET"),0,IF($D334="GELİR",IF($E334="SATIŞ İADESİ/İSKONTO",-$O334,$O334),-$O334)))</f>
        <v/>
      </c>
      <c r="AB334" s="117">
        <f>IF($B334="","",IF(OR($D334="",$E334="",$O334=""),"EKSİK",IF($O334&lt;=0,"SIFIR/NEGATİF",IF(COUNTIFS($C$6:$C$5000,$C334,$O$6:$O$5000,$O334,$B$6:$B$5000,$B334)&gt;1,"MÜKERRER","OK"))))</f>
        <v/>
      </c>
    </row>
    <row r="335" ht="16.5" customHeight="1" s="80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7">
        <f>IF($B335="",0,IF($S335="EVET",IF($D335="GELİR",$O335,-$O335),0))</f>
        <v/>
      </c>
      <c r="AA335" s="117">
        <f>IF($B335="",0,IF(OR($W335="EVET",$X335="EVET",$Y335="EVET"),0,IF($D335="GELİR",IF($E335="SATIŞ İADESİ/İSKONTO",-$O335,$O335),-$O335)))</f>
        <v/>
      </c>
      <c r="AB335" s="117">
        <f>IF($B335="","",IF(OR($D335="",$E335="",$O335=""),"EKSİK",IF($O335&lt;=0,"SIFIR/NEGATİF",IF(COUNTIFS($C$6:$C$5000,$C335,$O$6:$O$5000,$O335,$B$6:$B$5000,$B335)&gt;1,"MÜKERRER","OK"))))</f>
        <v/>
      </c>
    </row>
    <row r="336" ht="16.5" customHeight="1" s="80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7">
        <f>IF($B336="",0,IF($S336="EVET",IF($D336="GELİR",$O336,-$O336),0))</f>
        <v/>
      </c>
      <c r="AA336" s="117">
        <f>IF($B336="",0,IF(OR($W336="EVET",$X336="EVET",$Y336="EVET"),0,IF($D336="GELİR",IF($E336="SATIŞ İADESİ/İSKONTO",-$O336,$O336),-$O336)))</f>
        <v/>
      </c>
      <c r="AB336" s="117">
        <f>IF($B336="","",IF(OR($D336="",$E336="",$O336=""),"EKSİK",IF($O336&lt;=0,"SIFIR/NEGATİF",IF(COUNTIFS($C$6:$C$5000,$C336,$O$6:$O$5000,$O336,$B$6:$B$5000,$B336)&gt;1,"MÜKERRER","OK"))))</f>
        <v/>
      </c>
    </row>
    <row r="337" ht="16.5" customHeight="1" s="80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7">
        <f>IF($B337="",0,IF($S337="EVET",IF($D337="GELİR",$O337,-$O337),0))</f>
        <v/>
      </c>
      <c r="AA337" s="117">
        <f>IF($B337="",0,IF(OR($W337="EVET",$X337="EVET",$Y337="EVET"),0,IF($D337="GELİR",IF($E337="SATIŞ İADESİ/İSKONTO",-$O337,$O337),-$O337)))</f>
        <v/>
      </c>
      <c r="AB337" s="117">
        <f>IF($B337="","",IF(OR($D337="",$E337="",$O337=""),"EKSİK",IF($O337&lt;=0,"SIFIR/NEGATİF",IF(COUNTIFS($C$6:$C$5000,$C337,$O$6:$O$5000,$O337,$B$6:$B$5000,$B337)&gt;1,"MÜKERRER","OK"))))</f>
        <v/>
      </c>
    </row>
    <row r="338" ht="16.5" customHeight="1" s="80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7">
        <f>IF($B338="",0,IF($S338="EVET",IF($D338="GELİR",$O338,-$O338),0))</f>
        <v/>
      </c>
      <c r="AA338" s="117">
        <f>IF($B338="",0,IF(OR($W338="EVET",$X338="EVET",$Y338="EVET"),0,IF($D338="GELİR",IF($E338="SATIŞ İADESİ/İSKONTO",-$O338,$O338),-$O338)))</f>
        <v/>
      </c>
      <c r="AB338" s="117">
        <f>IF($B338="","",IF(OR($D338="",$E338="",$O338=""),"EKSİK",IF($O338&lt;=0,"SIFIR/NEGATİF",IF(COUNTIFS($C$6:$C$5000,$C338,$O$6:$O$5000,$O338,$B$6:$B$5000,$B338)&gt;1,"MÜKERRER","OK"))))</f>
        <v/>
      </c>
    </row>
    <row r="339" ht="16.5" customHeight="1" s="80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7">
        <f>IF($B339="",0,IF($S339="EVET",IF($D339="GELİR",$O339,-$O339),0))</f>
        <v/>
      </c>
      <c r="AA339" s="117">
        <f>IF($B339="",0,IF(OR($W339="EVET",$X339="EVET",$Y339="EVET"),0,IF($D339="GELİR",IF($E339="SATIŞ İADESİ/İSKONTO",-$O339,$O339),-$O339)))</f>
        <v/>
      </c>
      <c r="AB339" s="117">
        <f>IF($B339="","",IF(OR($D339="",$E339="",$O339=""),"EKSİK",IF($O339&lt;=0,"SIFIR/NEGATİF",IF(COUNTIFS($C$6:$C$5000,$C339,$O$6:$O$5000,$O339,$B$6:$B$5000,$B339)&gt;1,"MÜKERRER","OK"))))</f>
        <v/>
      </c>
    </row>
    <row r="340" ht="16.5" customHeight="1" s="8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7">
        <f>IF($B340="",0,IF($S340="EVET",IF($D340="GELİR",$O340,-$O340),0))</f>
        <v/>
      </c>
      <c r="AA340" s="117">
        <f>IF($B340="",0,IF(OR($W340="EVET",$X340="EVET",$Y340="EVET"),0,IF($D340="GELİR",IF($E340="SATIŞ İADESİ/İSKONTO",-$O340,$O340),-$O340)))</f>
        <v/>
      </c>
      <c r="AB340" s="117">
        <f>IF($B340="","",IF(OR($D340="",$E340="",$O340=""),"EKSİK",IF($O340&lt;=0,"SIFIR/NEGATİF",IF(COUNTIFS($C$6:$C$5000,$C340,$O$6:$O$5000,$O340,$B$6:$B$5000,$B340)&gt;1,"MÜKERRER","OK"))))</f>
        <v/>
      </c>
    </row>
    <row r="341" ht="16.5" customHeight="1" s="80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7">
        <f>IF($B341="",0,IF($S341="EVET",IF($D341="GELİR",$O341,-$O341),0))</f>
        <v/>
      </c>
      <c r="AA341" s="117">
        <f>IF($B341="",0,IF(OR($W341="EVET",$X341="EVET",$Y341="EVET"),0,IF($D341="GELİR",IF($E341="SATIŞ İADESİ/İSKONTO",-$O341,$O341),-$O341)))</f>
        <v/>
      </c>
      <c r="AB341" s="117">
        <f>IF($B341="","",IF(OR($D341="",$E341="",$O341=""),"EKSİK",IF($O341&lt;=0,"SIFIR/NEGATİF",IF(COUNTIFS($C$6:$C$5000,$C341,$O$6:$O$5000,$O341,$B$6:$B$5000,$B341)&gt;1,"MÜKERRER","OK"))))</f>
        <v/>
      </c>
    </row>
    <row r="342" ht="16.5" customHeight="1" s="80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7">
        <f>IF($B342="",0,IF($S342="EVET",IF($D342="GELİR",$O342,-$O342),0))</f>
        <v/>
      </c>
      <c r="AA342" s="117">
        <f>IF($B342="",0,IF(OR($W342="EVET",$X342="EVET",$Y342="EVET"),0,IF($D342="GELİR",IF($E342="SATIŞ İADESİ/İSKONTO",-$O342,$O342),-$O342)))</f>
        <v/>
      </c>
      <c r="AB342" s="117">
        <f>IF($B342="","",IF(OR($D342="",$E342="",$O342=""),"EKSİK",IF($O342&lt;=0,"SIFIR/NEGATİF",IF(COUNTIFS($C$6:$C$5000,$C342,$O$6:$O$5000,$O342,$B$6:$B$5000,$B342)&gt;1,"MÜKERRER","OK"))))</f>
        <v/>
      </c>
    </row>
    <row r="343" ht="16.5" customHeight="1" s="80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7">
        <f>IF($B343="",0,IF($S343="EVET",IF($D343="GELİR",$O343,-$O343),0))</f>
        <v/>
      </c>
      <c r="AA343" s="117">
        <f>IF($B343="",0,IF(OR($W343="EVET",$X343="EVET",$Y343="EVET"),0,IF($D343="GELİR",IF($E343="SATIŞ İADESİ/İSKONTO",-$O343,$O343),-$O343)))</f>
        <v/>
      </c>
      <c r="AB343" s="117">
        <f>IF($B343="","",IF(OR($D343="",$E343="",$O343=""),"EKSİK",IF($O343&lt;=0,"SIFIR/NEGATİF",IF(COUNTIFS($C$6:$C$5000,$C343,$O$6:$O$5000,$O343,$B$6:$B$5000,$B343)&gt;1,"MÜKERRER","OK"))))</f>
        <v/>
      </c>
    </row>
    <row r="344" ht="16.5" customHeight="1" s="80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7">
        <f>IF($B344="",0,IF($S344="EVET",IF($D344="GELİR",$O344,-$O344),0))</f>
        <v/>
      </c>
      <c r="AA344" s="117">
        <f>IF($B344="",0,IF(OR($W344="EVET",$X344="EVET",$Y344="EVET"),0,IF($D344="GELİR",IF($E344="SATIŞ İADESİ/İSKONTO",-$O344,$O344),-$O344)))</f>
        <v/>
      </c>
      <c r="AB344" s="117">
        <f>IF($B344="","",IF(OR($D344="",$E344="",$O344=""),"EKSİK",IF($O344&lt;=0,"SIFIR/NEGATİF",IF(COUNTIFS($C$6:$C$5000,$C344,$O$6:$O$5000,$O344,$B$6:$B$5000,$B344)&gt;1,"MÜKERRER","OK"))))</f>
        <v/>
      </c>
    </row>
    <row r="345" ht="16.5" customHeight="1" s="80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7">
        <f>IF($B345="",0,IF($S345="EVET",IF($D345="GELİR",$O345,-$O345),0))</f>
        <v/>
      </c>
      <c r="AA345" s="117">
        <f>IF($B345="",0,IF(OR($W345="EVET",$X345="EVET",$Y345="EVET"),0,IF($D345="GELİR",IF($E345="SATIŞ İADESİ/İSKONTO",-$O345,$O345),-$O345)))</f>
        <v/>
      </c>
      <c r="AB345" s="117">
        <f>IF($B345="","",IF(OR($D345="",$E345="",$O345=""),"EKSİK",IF($O345&lt;=0,"SIFIR/NEGATİF",IF(COUNTIFS($C$6:$C$5000,$C345,$O$6:$O$5000,$O345,$B$6:$B$5000,$B345)&gt;1,"MÜKERRER","OK"))))</f>
        <v/>
      </c>
    </row>
    <row r="346" ht="16.5" customHeight="1" s="80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7">
        <f>IF($B346="",0,IF($S346="EVET",IF($D346="GELİR",$O346,-$O346),0))</f>
        <v/>
      </c>
      <c r="AA346" s="117">
        <f>IF($B346="",0,IF(OR($W346="EVET",$X346="EVET",$Y346="EVET"),0,IF($D346="GELİR",IF($E346="SATIŞ İADESİ/İSKONTO",-$O346,$O346),-$O346)))</f>
        <v/>
      </c>
      <c r="AB346" s="117">
        <f>IF($B346="","",IF(OR($D346="",$E346="",$O346=""),"EKSİK",IF($O346&lt;=0,"SIFIR/NEGATİF",IF(COUNTIFS($C$6:$C$5000,$C346,$O$6:$O$5000,$O346,$B$6:$B$5000,$B346)&gt;1,"MÜKERRER","OK"))))</f>
        <v/>
      </c>
    </row>
    <row r="347" ht="16.5" customHeight="1" s="80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7">
        <f>IF($B347="",0,IF($S347="EVET",IF($D347="GELİR",$O347,-$O347),0))</f>
        <v/>
      </c>
      <c r="AA347" s="117">
        <f>IF($B347="",0,IF(OR($W347="EVET",$X347="EVET",$Y347="EVET"),0,IF($D347="GELİR",IF($E347="SATIŞ İADESİ/İSKONTO",-$O347,$O347),-$O347)))</f>
        <v/>
      </c>
      <c r="AB347" s="117">
        <f>IF($B347="","",IF(OR($D347="",$E347="",$O347=""),"EKSİK",IF($O347&lt;=0,"SIFIR/NEGATİF",IF(COUNTIFS($C$6:$C$5000,$C347,$O$6:$O$5000,$O347,$B$6:$B$5000,$B347)&gt;1,"MÜKERRER","OK"))))</f>
        <v/>
      </c>
    </row>
    <row r="348" ht="16.5" customHeight="1" s="80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7">
        <f>IF($B348="",0,IF($S348="EVET",IF($D348="GELİR",$O348,-$O348),0))</f>
        <v/>
      </c>
      <c r="AA348" s="117">
        <f>IF($B348="",0,IF(OR($W348="EVET",$X348="EVET",$Y348="EVET"),0,IF($D348="GELİR",IF($E348="SATIŞ İADESİ/İSKONTO",-$O348,$O348),-$O348)))</f>
        <v/>
      </c>
      <c r="AB348" s="117">
        <f>IF($B348="","",IF(OR($D348="",$E348="",$O348=""),"EKSİK",IF($O348&lt;=0,"SIFIR/NEGATİF",IF(COUNTIFS($C$6:$C$5000,$C348,$O$6:$O$5000,$O348,$B$6:$B$5000,$B348)&gt;1,"MÜKERRER","OK"))))</f>
        <v/>
      </c>
    </row>
    <row r="349" ht="16.5" customHeight="1" s="80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7">
        <f>IF($B349="",0,IF($S349="EVET",IF($D349="GELİR",$O349,-$O349),0))</f>
        <v/>
      </c>
      <c r="AA349" s="117">
        <f>IF($B349="",0,IF(OR($W349="EVET",$X349="EVET",$Y349="EVET"),0,IF($D349="GELİR",IF($E349="SATIŞ İADESİ/İSKONTO",-$O349,$O349),-$O349)))</f>
        <v/>
      </c>
      <c r="AB349" s="117">
        <f>IF($B349="","",IF(OR($D349="",$E349="",$O349=""),"EKSİK",IF($O349&lt;=0,"SIFIR/NEGATİF",IF(COUNTIFS($C$6:$C$5000,$C349,$O$6:$O$5000,$O349,$B$6:$B$5000,$B349)&gt;1,"MÜKERRER","OK"))))</f>
        <v/>
      </c>
    </row>
    <row r="350" ht="16.5" customHeight="1" s="8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7">
        <f>IF($B350="",0,IF($S350="EVET",IF($D350="GELİR",$O350,-$O350),0))</f>
        <v/>
      </c>
      <c r="AA350" s="117">
        <f>IF($B350="",0,IF(OR($W350="EVET",$X350="EVET",$Y350="EVET"),0,IF($D350="GELİR",IF($E350="SATIŞ İADESİ/İSKONTO",-$O350,$O350),-$O350)))</f>
        <v/>
      </c>
      <c r="AB350" s="117">
        <f>IF($B350="","",IF(OR($D350="",$E350="",$O350=""),"EKSİK",IF($O350&lt;=0,"SIFIR/NEGATİF",IF(COUNTIFS($C$6:$C$5000,$C350,$O$6:$O$5000,$O350,$B$6:$B$5000,$B350)&gt;1,"MÜKERRER","OK"))))</f>
        <v/>
      </c>
    </row>
    <row r="351" ht="16.5" customHeight="1" s="80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7">
        <f>IF($B351="",0,IF($S351="EVET",IF($D351="GELİR",$O351,-$O351),0))</f>
        <v/>
      </c>
      <c r="AA351" s="117">
        <f>IF($B351="",0,IF(OR($W351="EVET",$X351="EVET",$Y351="EVET"),0,IF($D351="GELİR",IF($E351="SATIŞ İADESİ/İSKONTO",-$O351,$O351),-$O351)))</f>
        <v/>
      </c>
      <c r="AB351" s="117">
        <f>IF($B351="","",IF(OR($D351="",$E351="",$O351=""),"EKSİK",IF($O351&lt;=0,"SIFIR/NEGATİF",IF(COUNTIFS($C$6:$C$5000,$C351,$O$6:$O$5000,$O351,$B$6:$B$5000,$B351)&gt;1,"MÜKERRER","OK"))))</f>
        <v/>
      </c>
    </row>
    <row r="352" ht="16.5" customHeight="1" s="80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7">
        <f>IF($B352="",0,IF($S352="EVET",IF($D352="GELİR",$O352,-$O352),0))</f>
        <v/>
      </c>
      <c r="AA352" s="117">
        <f>IF($B352="",0,IF(OR($W352="EVET",$X352="EVET",$Y352="EVET"),0,IF($D352="GELİR",IF($E352="SATIŞ İADESİ/İSKONTO",-$O352,$O352),-$O352)))</f>
        <v/>
      </c>
      <c r="AB352" s="117">
        <f>IF($B352="","",IF(OR($D352="",$E352="",$O352=""),"EKSİK",IF($O352&lt;=0,"SIFIR/NEGATİF",IF(COUNTIFS($C$6:$C$5000,$C352,$O$6:$O$5000,$O352,$B$6:$B$5000,$B352)&gt;1,"MÜKERRER","OK"))))</f>
        <v/>
      </c>
    </row>
    <row r="353" ht="16.5" customHeight="1" s="80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7">
        <f>IF($B353="",0,IF($S353="EVET",IF($D353="GELİR",$O353,-$O353),0))</f>
        <v/>
      </c>
      <c r="AA353" s="117">
        <f>IF($B353="",0,IF(OR($W353="EVET",$X353="EVET",$Y353="EVET"),0,IF($D353="GELİR",IF($E353="SATIŞ İADESİ/İSKONTO",-$O353,$O353),-$O353)))</f>
        <v/>
      </c>
      <c r="AB353" s="117">
        <f>IF($B353="","",IF(OR($D353="",$E353="",$O353=""),"EKSİK",IF($O353&lt;=0,"SIFIR/NEGATİF",IF(COUNTIFS($C$6:$C$5000,$C353,$O$6:$O$5000,$O353,$B$6:$B$5000,$B353)&gt;1,"MÜKERRER","OK"))))</f>
        <v/>
      </c>
    </row>
    <row r="354" ht="16.5" customHeight="1" s="80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7">
        <f>IF($B354="",0,IF($S354="EVET",IF($D354="GELİR",$O354,-$O354),0))</f>
        <v/>
      </c>
      <c r="AA354" s="117">
        <f>IF($B354="",0,IF(OR($W354="EVET",$X354="EVET",$Y354="EVET"),0,IF($D354="GELİR",IF($E354="SATIŞ İADESİ/İSKONTO",-$O354,$O354),-$O354)))</f>
        <v/>
      </c>
      <c r="AB354" s="117">
        <f>IF($B354="","",IF(OR($D354="",$E354="",$O354=""),"EKSİK",IF($O354&lt;=0,"SIFIR/NEGATİF",IF(COUNTIFS($C$6:$C$5000,$C354,$O$6:$O$5000,$O354,$B$6:$B$5000,$B354)&gt;1,"MÜKERRER","OK"))))</f>
        <v/>
      </c>
    </row>
    <row r="355" ht="16.5" customHeight="1" s="80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7">
        <f>IF($B355="",0,IF($S355="EVET",IF($D355="GELİR",$O355,-$O355),0))</f>
        <v/>
      </c>
      <c r="AA355" s="117">
        <f>IF($B355="",0,IF(OR($W355="EVET",$X355="EVET",$Y355="EVET"),0,IF($D355="GELİR",IF($E355="SATIŞ İADESİ/İSKONTO",-$O355,$O355),-$O355)))</f>
        <v/>
      </c>
      <c r="AB355" s="117">
        <f>IF($B355="","",IF(OR($D355="",$E355="",$O355=""),"EKSİK",IF($O355&lt;=0,"SIFIR/NEGATİF",IF(COUNTIFS($C$6:$C$5000,$C355,$O$6:$O$5000,$O355,$B$6:$B$5000,$B355)&gt;1,"MÜKERRER","OK"))))</f>
        <v/>
      </c>
    </row>
    <row r="356" ht="16.5" customHeight="1" s="80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7">
        <f>IF($B356="",0,IF($S356="EVET",IF($D356="GELİR",$O356,-$O356),0))</f>
        <v/>
      </c>
      <c r="AA356" s="117">
        <f>IF($B356="",0,IF(OR($W356="EVET",$X356="EVET",$Y356="EVET"),0,IF($D356="GELİR",IF($E356="SATIŞ İADESİ/İSKONTO",-$O356,$O356),-$O356)))</f>
        <v/>
      </c>
      <c r="AB356" s="117">
        <f>IF($B356="","",IF(OR($D356="",$E356="",$O356=""),"EKSİK",IF($O356&lt;=0,"SIFIR/NEGATİF",IF(COUNTIFS($C$6:$C$5000,$C356,$O$6:$O$5000,$O356,$B$6:$B$5000,$B356)&gt;1,"MÜKERRER","OK"))))</f>
        <v/>
      </c>
    </row>
    <row r="357" ht="16.5" customHeight="1" s="80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7">
        <f>IF($B357="",0,IF($S357="EVET",IF($D357="GELİR",$O357,-$O357),0))</f>
        <v/>
      </c>
      <c r="AA357" s="117">
        <f>IF($B357="",0,IF(OR($W357="EVET",$X357="EVET",$Y357="EVET"),0,IF($D357="GELİR",IF($E357="SATIŞ İADESİ/İSKONTO",-$O357,$O357),-$O357)))</f>
        <v/>
      </c>
      <c r="AB357" s="117">
        <f>IF($B357="","",IF(OR($D357="",$E357="",$O357=""),"EKSİK",IF($O357&lt;=0,"SIFIR/NEGATİF",IF(COUNTIFS($C$6:$C$5000,$C357,$O$6:$O$5000,$O357,$B$6:$B$5000,$B357)&gt;1,"MÜKERRER","OK"))))</f>
        <v/>
      </c>
    </row>
    <row r="358" ht="16.5" customHeight="1" s="80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7">
        <f>IF($B358="",0,IF($S358="EVET",IF($D358="GELİR",$O358,-$O358),0))</f>
        <v/>
      </c>
      <c r="AA358" s="117">
        <f>IF($B358="",0,IF(OR($W358="EVET",$X358="EVET",$Y358="EVET"),0,IF($D358="GELİR",IF($E358="SATIŞ İADESİ/İSKONTO",-$O358,$O358),-$O358)))</f>
        <v/>
      </c>
      <c r="AB358" s="117">
        <f>IF($B358="","",IF(OR($D358="",$E358="",$O358=""),"EKSİK",IF($O358&lt;=0,"SIFIR/NEGATİF",IF(COUNTIFS($C$6:$C$5000,$C358,$O$6:$O$5000,$O358,$B$6:$B$5000,$B358)&gt;1,"MÜKERRER","OK"))))</f>
        <v/>
      </c>
    </row>
    <row r="359" ht="16.5" customHeight="1" s="80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7">
        <f>IF($B359="",0,IF($S359="EVET",IF($D359="GELİR",$O359,-$O359),0))</f>
        <v/>
      </c>
      <c r="AA359" s="117">
        <f>IF($B359="",0,IF(OR($W359="EVET",$X359="EVET",$Y359="EVET"),0,IF($D359="GELİR",IF($E359="SATIŞ İADESİ/İSKONTO",-$O359,$O359),-$O359)))</f>
        <v/>
      </c>
      <c r="AB359" s="117">
        <f>IF($B359="","",IF(OR($D359="",$E359="",$O359=""),"EKSİK",IF($O359&lt;=0,"SIFIR/NEGATİF",IF(COUNTIFS($C$6:$C$5000,$C359,$O$6:$O$5000,$O359,$B$6:$B$5000,$B359)&gt;1,"MÜKERRER","OK"))))</f>
        <v/>
      </c>
    </row>
    <row r="360" ht="16.5" customHeight="1" s="8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7">
        <f>IF($B360="",0,IF($S360="EVET",IF($D360="GELİR",$O360,-$O360),0))</f>
        <v/>
      </c>
      <c r="AA360" s="117">
        <f>IF($B360="",0,IF(OR($W360="EVET",$X360="EVET",$Y360="EVET"),0,IF($D360="GELİR",IF($E360="SATIŞ İADESİ/İSKONTO",-$O360,$O360),-$O360)))</f>
        <v/>
      </c>
      <c r="AB360" s="117">
        <f>IF($B360="","",IF(OR($D360="",$E360="",$O360=""),"EKSİK",IF($O360&lt;=0,"SIFIR/NEGATİF",IF(COUNTIFS($C$6:$C$5000,$C360,$O$6:$O$5000,$O360,$B$6:$B$5000,$B360)&gt;1,"MÜKERRER","OK"))))</f>
        <v/>
      </c>
    </row>
    <row r="361" ht="16.5" customHeight="1" s="80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7">
        <f>IF($B361="",0,IF($S361="EVET",IF($D361="GELİR",$O361,-$O361),0))</f>
        <v/>
      </c>
      <c r="AA361" s="117">
        <f>IF($B361="",0,IF(OR($W361="EVET",$X361="EVET",$Y361="EVET"),0,IF($D361="GELİR",IF($E361="SATIŞ İADESİ/İSKONTO",-$O361,$O361),-$O361)))</f>
        <v/>
      </c>
      <c r="AB361" s="117">
        <f>IF($B361="","",IF(OR($D361="",$E361="",$O361=""),"EKSİK",IF($O361&lt;=0,"SIFIR/NEGATİF",IF(COUNTIFS($C$6:$C$5000,$C361,$O$6:$O$5000,$O361,$B$6:$B$5000,$B361)&gt;1,"MÜKERRER","OK"))))</f>
        <v/>
      </c>
    </row>
    <row r="362" ht="16.5" customHeight="1" s="80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7">
        <f>IF($B362="",0,IF($S362="EVET",IF($D362="GELİR",$O362,-$O362),0))</f>
        <v/>
      </c>
      <c r="AA362" s="117">
        <f>IF($B362="",0,IF(OR($W362="EVET",$X362="EVET",$Y362="EVET"),0,IF($D362="GELİR",IF($E362="SATIŞ İADESİ/İSKONTO",-$O362,$O362),-$O362)))</f>
        <v/>
      </c>
      <c r="AB362" s="117">
        <f>IF($B362="","",IF(OR($D362="",$E362="",$O362=""),"EKSİK",IF($O362&lt;=0,"SIFIR/NEGATİF",IF(COUNTIFS($C$6:$C$5000,$C362,$O$6:$O$5000,$O362,$B$6:$B$5000,$B362)&gt;1,"MÜKERRER","OK"))))</f>
        <v/>
      </c>
    </row>
    <row r="363" ht="16.5" customHeight="1" s="80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7">
        <f>IF($B363="",0,IF($S363="EVET",IF($D363="GELİR",$O363,-$O363),0))</f>
        <v/>
      </c>
      <c r="AA363" s="117">
        <f>IF($B363="",0,IF(OR($W363="EVET",$X363="EVET",$Y363="EVET"),0,IF($D363="GELİR",IF($E363="SATIŞ İADESİ/İSKONTO",-$O363,$O363),-$O363)))</f>
        <v/>
      </c>
      <c r="AB363" s="117">
        <f>IF($B363="","",IF(OR($D363="",$E363="",$O363=""),"EKSİK",IF($O363&lt;=0,"SIFIR/NEGATİF",IF(COUNTIFS($C$6:$C$5000,$C363,$O$6:$O$5000,$O363,$B$6:$B$5000,$B363)&gt;1,"MÜKERRER","OK"))))</f>
        <v/>
      </c>
    </row>
    <row r="364" ht="16.5" customHeight="1" s="80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7">
        <f>IF($B364="",0,IF($S364="EVET",IF($D364="GELİR",$O364,-$O364),0))</f>
        <v/>
      </c>
      <c r="AA364" s="117">
        <f>IF($B364="",0,IF(OR($W364="EVET",$X364="EVET",$Y364="EVET"),0,IF($D364="GELİR",IF($E364="SATIŞ İADESİ/İSKONTO",-$O364,$O364),-$O364)))</f>
        <v/>
      </c>
      <c r="AB364" s="117">
        <f>IF($B364="","",IF(OR($D364="",$E364="",$O364=""),"EKSİK",IF($O364&lt;=0,"SIFIR/NEGATİF",IF(COUNTIFS($C$6:$C$5000,$C364,$O$6:$O$5000,$O364,$B$6:$B$5000,$B364)&gt;1,"MÜKERRER","OK"))))</f>
        <v/>
      </c>
    </row>
    <row r="365" ht="16.5" customHeight="1" s="80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7">
        <f>IF($B365="",0,IF($S365="EVET",IF($D365="GELİR",$O365,-$O365),0))</f>
        <v/>
      </c>
      <c r="AA365" s="117">
        <f>IF($B365="",0,IF(OR($W365="EVET",$X365="EVET",$Y365="EVET"),0,IF($D365="GELİR",IF($E365="SATIŞ İADESİ/İSKONTO",-$O365,$O365),-$O365)))</f>
        <v/>
      </c>
      <c r="AB365" s="117">
        <f>IF($B365="","",IF(OR($D365="",$E365="",$O365=""),"EKSİK",IF($O365&lt;=0,"SIFIR/NEGATİF",IF(COUNTIFS($C$6:$C$5000,$C365,$O$6:$O$5000,$O365,$B$6:$B$5000,$B365)&gt;1,"MÜKERRER","OK"))))</f>
        <v/>
      </c>
    </row>
    <row r="366" ht="16.5" customHeight="1" s="80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7">
        <f>IF($B366="",0,IF($S366="EVET",IF($D366="GELİR",$O366,-$O366),0))</f>
        <v/>
      </c>
      <c r="AA366" s="117">
        <f>IF($B366="",0,IF(OR($W366="EVET",$X366="EVET",$Y366="EVET"),0,IF($D366="GELİR",IF($E366="SATIŞ İADESİ/İSKONTO",-$O366,$O366),-$O366)))</f>
        <v/>
      </c>
      <c r="AB366" s="117">
        <f>IF($B366="","",IF(OR($D366="",$E366="",$O366=""),"EKSİK",IF($O366&lt;=0,"SIFIR/NEGATİF",IF(COUNTIFS($C$6:$C$5000,$C366,$O$6:$O$5000,$O366,$B$6:$B$5000,$B366)&gt;1,"MÜKERRER","OK"))))</f>
        <v/>
      </c>
    </row>
    <row r="367" ht="16.5" customHeight="1" s="80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7">
        <f>IF($B367="",0,IF($S367="EVET",IF($D367="GELİR",$O367,-$O367),0))</f>
        <v/>
      </c>
      <c r="AA367" s="117">
        <f>IF($B367="",0,IF(OR($W367="EVET",$X367="EVET",$Y367="EVET"),0,IF($D367="GELİR",IF($E367="SATIŞ İADESİ/İSKONTO",-$O367,$O367),-$O367)))</f>
        <v/>
      </c>
      <c r="AB367" s="117">
        <f>IF($B367="","",IF(OR($D367="",$E367="",$O367=""),"EKSİK",IF($O367&lt;=0,"SIFIR/NEGATİF",IF(COUNTIFS($C$6:$C$5000,$C367,$O$6:$O$5000,$O367,$B$6:$B$5000,$B367)&gt;1,"MÜKERRER","OK"))))</f>
        <v/>
      </c>
    </row>
    <row r="368" ht="16.5" customHeight="1" s="80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7">
        <f>IF($B368="",0,IF($S368="EVET",IF($D368="GELİR",$O368,-$O368),0))</f>
        <v/>
      </c>
      <c r="AA368" s="117">
        <f>IF($B368="",0,IF(OR($W368="EVET",$X368="EVET",$Y368="EVET"),0,IF($D368="GELİR",IF($E368="SATIŞ İADESİ/İSKONTO",-$O368,$O368),-$O368)))</f>
        <v/>
      </c>
      <c r="AB368" s="117">
        <f>IF($B368="","",IF(OR($D368="",$E368="",$O368=""),"EKSİK",IF($O368&lt;=0,"SIFIR/NEGATİF",IF(COUNTIFS($C$6:$C$5000,$C368,$O$6:$O$5000,$O368,$B$6:$B$5000,$B368)&gt;1,"MÜKERRER","OK"))))</f>
        <v/>
      </c>
    </row>
    <row r="369" ht="16.5" customHeight="1" s="80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7">
        <f>IF($B369="",0,IF($S369="EVET",IF($D369="GELİR",$O369,-$O369),0))</f>
        <v/>
      </c>
      <c r="AA369" s="117">
        <f>IF($B369="",0,IF(OR($W369="EVET",$X369="EVET",$Y369="EVET"),0,IF($D369="GELİR",IF($E369="SATIŞ İADESİ/İSKONTO",-$O369,$O369),-$O369)))</f>
        <v/>
      </c>
      <c r="AB369" s="117">
        <f>IF($B369="","",IF(OR($D369="",$E369="",$O369=""),"EKSİK",IF($O369&lt;=0,"SIFIR/NEGATİF",IF(COUNTIFS($C$6:$C$5000,$C369,$O$6:$O$5000,$O369,$B$6:$B$5000,$B369)&gt;1,"MÜKERRER","OK"))))</f>
        <v/>
      </c>
    </row>
    <row r="370" ht="16.5" customHeight="1" s="8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7">
        <f>IF($B370="",0,IF($S370="EVET",IF($D370="GELİR",$O370,-$O370),0))</f>
        <v/>
      </c>
      <c r="AA370" s="117">
        <f>IF($B370="",0,IF(OR($W370="EVET",$X370="EVET",$Y370="EVET"),0,IF($D370="GELİR",IF($E370="SATIŞ İADESİ/İSKONTO",-$O370,$O370),-$O370)))</f>
        <v/>
      </c>
      <c r="AB370" s="117">
        <f>IF($B370="","",IF(OR($D370="",$E370="",$O370=""),"EKSİK",IF($O370&lt;=0,"SIFIR/NEGATİF",IF(COUNTIFS($C$6:$C$5000,$C370,$O$6:$O$5000,$O370,$B$6:$B$5000,$B370)&gt;1,"MÜKERRER","OK"))))</f>
        <v/>
      </c>
    </row>
    <row r="371" ht="16.5" customHeight="1" s="80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7">
        <f>IF($B371="",0,IF($S371="EVET",IF($D371="GELİR",$O371,-$O371),0))</f>
        <v/>
      </c>
      <c r="AA371" s="117">
        <f>IF($B371="",0,IF(OR($W371="EVET",$X371="EVET",$Y371="EVET"),0,IF($D371="GELİR",IF($E371="SATIŞ İADESİ/İSKONTO",-$O371,$O371),-$O371)))</f>
        <v/>
      </c>
      <c r="AB371" s="117">
        <f>IF($B371="","",IF(OR($D371="",$E371="",$O371=""),"EKSİK",IF($O371&lt;=0,"SIFIR/NEGATİF",IF(COUNTIFS($C$6:$C$5000,$C371,$O$6:$O$5000,$O371,$B$6:$B$5000,$B371)&gt;1,"MÜKERRER","OK"))))</f>
        <v/>
      </c>
    </row>
    <row r="372" ht="16.5" customHeight="1" s="80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7">
        <f>IF($B372="",0,IF($S372="EVET",IF($D372="GELİR",$O372,-$O372),0))</f>
        <v/>
      </c>
      <c r="AA372" s="117">
        <f>IF($B372="",0,IF(OR($W372="EVET",$X372="EVET",$Y372="EVET"),0,IF($D372="GELİR",IF($E372="SATIŞ İADESİ/İSKONTO",-$O372,$O372),-$O372)))</f>
        <v/>
      </c>
      <c r="AB372" s="117">
        <f>IF($B372="","",IF(OR($D372="",$E372="",$O372=""),"EKSİK",IF($O372&lt;=0,"SIFIR/NEGATİF",IF(COUNTIFS($C$6:$C$5000,$C372,$O$6:$O$5000,$O372,$B$6:$B$5000,$B372)&gt;1,"MÜKERRER","OK"))))</f>
        <v/>
      </c>
    </row>
    <row r="373" ht="16.5" customHeight="1" s="80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7">
        <f>IF($B373="",0,IF($S373="EVET",IF($D373="GELİR",$O373,-$O373),0))</f>
        <v/>
      </c>
      <c r="AA373" s="117">
        <f>IF($B373="",0,IF(OR($W373="EVET",$X373="EVET",$Y373="EVET"),0,IF($D373="GELİR",IF($E373="SATIŞ İADESİ/İSKONTO",-$O373,$O373),-$O373)))</f>
        <v/>
      </c>
      <c r="AB373" s="117">
        <f>IF($B373="","",IF(OR($D373="",$E373="",$O373=""),"EKSİK",IF($O373&lt;=0,"SIFIR/NEGATİF",IF(COUNTIFS($C$6:$C$5000,$C373,$O$6:$O$5000,$O373,$B$6:$B$5000,$B373)&gt;1,"MÜKERRER","OK"))))</f>
        <v/>
      </c>
    </row>
    <row r="374" ht="16.5" customHeight="1" s="80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7">
        <f>IF($B374="",0,IF($S374="EVET",IF($D374="GELİR",$O374,-$O374),0))</f>
        <v/>
      </c>
      <c r="AA374" s="117">
        <f>IF($B374="",0,IF(OR($W374="EVET",$X374="EVET",$Y374="EVET"),0,IF($D374="GELİR",IF($E374="SATIŞ İADESİ/İSKONTO",-$O374,$O374),-$O374)))</f>
        <v/>
      </c>
      <c r="AB374" s="117">
        <f>IF($B374="","",IF(OR($D374="",$E374="",$O374=""),"EKSİK",IF($O374&lt;=0,"SIFIR/NEGATİF",IF(COUNTIFS($C$6:$C$5000,$C374,$O$6:$O$5000,$O374,$B$6:$B$5000,$B374)&gt;1,"MÜKERRER","OK"))))</f>
        <v/>
      </c>
    </row>
    <row r="375" ht="16.5" customHeight="1" s="80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7">
        <f>IF($B375="",0,IF($S375="EVET",IF($D375="GELİR",$O375,-$O375),0))</f>
        <v/>
      </c>
      <c r="AA375" s="117">
        <f>IF($B375="",0,IF(OR($W375="EVET",$X375="EVET",$Y375="EVET"),0,IF($D375="GELİR",IF($E375="SATIŞ İADESİ/İSKONTO",-$O375,$O375),-$O375)))</f>
        <v/>
      </c>
      <c r="AB375" s="117">
        <f>IF($B375="","",IF(OR($D375="",$E375="",$O375=""),"EKSİK",IF($O375&lt;=0,"SIFIR/NEGATİF",IF(COUNTIFS($C$6:$C$5000,$C375,$O$6:$O$5000,$O375,$B$6:$B$5000,$B375)&gt;1,"MÜKERRER","OK"))))</f>
        <v/>
      </c>
    </row>
    <row r="376" ht="16.5" customHeight="1" s="80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7">
        <f>IF($B376="",0,IF($S376="EVET",IF($D376="GELİR",$O376,-$O376),0))</f>
        <v/>
      </c>
      <c r="AA376" s="117">
        <f>IF($B376="",0,IF(OR($W376="EVET",$X376="EVET",$Y376="EVET"),0,IF($D376="GELİR",IF($E376="SATIŞ İADESİ/İSKONTO",-$O376,$O376),-$O376)))</f>
        <v/>
      </c>
      <c r="AB376" s="117">
        <f>IF($B376="","",IF(OR($D376="",$E376="",$O376=""),"EKSİK",IF($O376&lt;=0,"SIFIR/NEGATİF",IF(COUNTIFS($C$6:$C$5000,$C376,$O$6:$O$5000,$O376,$B$6:$B$5000,$B376)&gt;1,"MÜKERRER","OK"))))</f>
        <v/>
      </c>
    </row>
    <row r="377" ht="16.5" customHeight="1" s="80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7">
        <f>IF($B377="",0,IF($S377="EVET",IF($D377="GELİR",$O377,-$O377),0))</f>
        <v/>
      </c>
      <c r="AA377" s="117">
        <f>IF($B377="",0,IF(OR($W377="EVET",$X377="EVET",$Y377="EVET"),0,IF($D377="GELİR",IF($E377="SATIŞ İADESİ/İSKONTO",-$O377,$O377),-$O377)))</f>
        <v/>
      </c>
      <c r="AB377" s="117">
        <f>IF($B377="","",IF(OR($D377="",$E377="",$O377=""),"EKSİK",IF($O377&lt;=0,"SIFIR/NEGATİF",IF(COUNTIFS($C$6:$C$5000,$C377,$O$6:$O$5000,$O377,$B$6:$B$5000,$B377)&gt;1,"MÜKERRER","OK"))))</f>
        <v/>
      </c>
    </row>
    <row r="378" ht="16.5" customHeight="1" s="80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7">
        <f>IF($B378="",0,IF($S378="EVET",IF($D378="GELİR",$O378,-$O378),0))</f>
        <v/>
      </c>
      <c r="AA378" s="117">
        <f>IF($B378="",0,IF(OR($W378="EVET",$X378="EVET",$Y378="EVET"),0,IF($D378="GELİR",IF($E378="SATIŞ İADESİ/İSKONTO",-$O378,$O378),-$O378)))</f>
        <v/>
      </c>
      <c r="AB378" s="117">
        <f>IF($B378="","",IF(OR($D378="",$E378="",$O378=""),"EKSİK",IF($O378&lt;=0,"SIFIR/NEGATİF",IF(COUNTIFS($C$6:$C$5000,$C378,$O$6:$O$5000,$O378,$B$6:$B$5000,$B378)&gt;1,"MÜKERRER","OK"))))</f>
        <v/>
      </c>
    </row>
    <row r="379" ht="16.5" customHeight="1" s="80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7">
        <f>IF($B379="",0,IF($S379="EVET",IF($D379="GELİR",$O379,-$O379),0))</f>
        <v/>
      </c>
      <c r="AA379" s="117">
        <f>IF($B379="",0,IF(OR($W379="EVET",$X379="EVET",$Y379="EVET"),0,IF($D379="GELİR",IF($E379="SATIŞ İADESİ/İSKONTO",-$O379,$O379),-$O379)))</f>
        <v/>
      </c>
      <c r="AB379" s="117">
        <f>IF($B379="","",IF(OR($D379="",$E379="",$O379=""),"EKSİK",IF($O379&lt;=0,"SIFIR/NEGATİF",IF(COUNTIFS($C$6:$C$5000,$C379,$O$6:$O$5000,$O379,$B$6:$B$5000,$B379)&gt;1,"MÜKERRER","OK"))))</f>
        <v/>
      </c>
    </row>
    <row r="380" ht="16.5" customHeight="1" s="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7">
        <f>IF($B380="",0,IF($S380="EVET",IF($D380="GELİR",$O380,-$O380),0))</f>
        <v/>
      </c>
      <c r="AA380" s="117">
        <f>IF($B380="",0,IF(OR($W380="EVET",$X380="EVET",$Y380="EVET"),0,IF($D380="GELİR",IF($E380="SATIŞ İADESİ/İSKONTO",-$O380,$O380),-$O380)))</f>
        <v/>
      </c>
      <c r="AB380" s="117">
        <f>IF($B380="","",IF(OR($D380="",$E380="",$O380=""),"EKSİK",IF($O380&lt;=0,"SIFIR/NEGATİF",IF(COUNTIFS($C$6:$C$5000,$C380,$O$6:$O$5000,$O380,$B$6:$B$5000,$B380)&gt;1,"MÜKERRER","OK"))))</f>
        <v/>
      </c>
    </row>
    <row r="381" ht="16.5" customHeight="1" s="80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7">
        <f>IF($B381="",0,IF($S381="EVET",IF($D381="GELİR",$O381,-$O381),0))</f>
        <v/>
      </c>
      <c r="AA381" s="117">
        <f>IF($B381="",0,IF(OR($W381="EVET",$X381="EVET",$Y381="EVET"),0,IF($D381="GELİR",IF($E381="SATIŞ İADESİ/İSKONTO",-$O381,$O381),-$O381)))</f>
        <v/>
      </c>
      <c r="AB381" s="117">
        <f>IF($B381="","",IF(OR($D381="",$E381="",$O381=""),"EKSİK",IF($O381&lt;=0,"SIFIR/NEGATİF",IF(COUNTIFS($C$6:$C$5000,$C381,$O$6:$O$5000,$O381,$B$6:$B$5000,$B381)&gt;1,"MÜKERRER","OK"))))</f>
        <v/>
      </c>
    </row>
    <row r="382" ht="16.5" customHeight="1" s="80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7">
        <f>IF($B382="",0,IF($S382="EVET",IF($D382="GELİR",$O382,-$O382),0))</f>
        <v/>
      </c>
      <c r="AA382" s="117">
        <f>IF($B382="",0,IF(OR($W382="EVET",$X382="EVET",$Y382="EVET"),0,IF($D382="GELİR",IF($E382="SATIŞ İADESİ/İSKONTO",-$O382,$O382),-$O382)))</f>
        <v/>
      </c>
      <c r="AB382" s="117">
        <f>IF($B382="","",IF(OR($D382="",$E382="",$O382=""),"EKSİK",IF($O382&lt;=0,"SIFIR/NEGATİF",IF(COUNTIFS($C$6:$C$5000,$C382,$O$6:$O$5000,$O382,$B$6:$B$5000,$B382)&gt;1,"MÜKERRER","OK"))))</f>
        <v/>
      </c>
    </row>
    <row r="383" ht="16.5" customHeight="1" s="80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7">
        <f>IF($B383="",0,IF($S383="EVET",IF($D383="GELİR",$O383,-$O383),0))</f>
        <v/>
      </c>
      <c r="AA383" s="117">
        <f>IF($B383="",0,IF(OR($W383="EVET",$X383="EVET",$Y383="EVET"),0,IF($D383="GELİR",IF($E383="SATIŞ İADESİ/İSKONTO",-$O383,$O383),-$O383)))</f>
        <v/>
      </c>
      <c r="AB383" s="117">
        <f>IF($B383="","",IF(OR($D383="",$E383="",$O383=""),"EKSİK",IF($O383&lt;=0,"SIFIR/NEGATİF",IF(COUNTIFS($C$6:$C$5000,$C383,$O$6:$O$5000,$O383,$B$6:$B$5000,$B383)&gt;1,"MÜKERRER","OK"))))</f>
        <v/>
      </c>
    </row>
    <row r="384" ht="16.5" customHeight="1" s="80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7">
        <f>IF($B384="",0,IF($S384="EVET",IF($D384="GELİR",$O384,-$O384),0))</f>
        <v/>
      </c>
      <c r="AA384" s="117">
        <f>IF($B384="",0,IF(OR($W384="EVET",$X384="EVET",$Y384="EVET"),0,IF($D384="GELİR",IF($E384="SATIŞ İADESİ/İSKONTO",-$O384,$O384),-$O384)))</f>
        <v/>
      </c>
      <c r="AB384" s="117">
        <f>IF($B384="","",IF(OR($D384="",$E384="",$O384=""),"EKSİK",IF($O384&lt;=0,"SIFIR/NEGATİF",IF(COUNTIFS($C$6:$C$5000,$C384,$O$6:$O$5000,$O384,$B$6:$B$5000,$B384)&gt;1,"MÜKERRER","OK"))))</f>
        <v/>
      </c>
    </row>
    <row r="385" ht="16.5" customHeight="1" s="80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7">
        <f>IF($B385="",0,IF($S385="EVET",IF($D385="GELİR",$O385,-$O385),0))</f>
        <v/>
      </c>
      <c r="AA385" s="117">
        <f>IF($B385="",0,IF(OR($W385="EVET",$X385="EVET",$Y385="EVET"),0,IF($D385="GELİR",IF($E385="SATIŞ İADESİ/İSKONTO",-$O385,$O385),-$O385)))</f>
        <v/>
      </c>
      <c r="AB385" s="117">
        <f>IF($B385="","",IF(OR($D385="",$E385="",$O385=""),"EKSİK",IF($O385&lt;=0,"SIFIR/NEGATİF",IF(COUNTIFS($C$6:$C$5000,$C385,$O$6:$O$5000,$O385,$B$6:$B$5000,$B385)&gt;1,"MÜKERRER","OK"))))</f>
        <v/>
      </c>
    </row>
    <row r="386" ht="16.5" customHeight="1" s="80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7">
        <f>IF($B386="",0,IF($S386="EVET",IF($D386="GELİR",$O386,-$O386),0))</f>
        <v/>
      </c>
      <c r="AA386" s="117">
        <f>IF($B386="",0,IF(OR($W386="EVET",$X386="EVET",$Y386="EVET"),0,IF($D386="GELİR",IF($E386="SATIŞ İADESİ/İSKONTO",-$O386,$O386),-$O386)))</f>
        <v/>
      </c>
      <c r="AB386" s="117">
        <f>IF($B386="","",IF(OR($D386="",$E386="",$O386=""),"EKSİK",IF($O386&lt;=0,"SIFIR/NEGATİF",IF(COUNTIFS($C$6:$C$5000,$C386,$O$6:$O$5000,$O386,$B$6:$B$5000,$B386)&gt;1,"MÜKERRER","OK"))))</f>
        <v/>
      </c>
    </row>
    <row r="387" ht="16.5" customHeight="1" s="80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7">
        <f>IF($B387="",0,IF($S387="EVET",IF($D387="GELİR",$O387,-$O387),0))</f>
        <v/>
      </c>
      <c r="AA387" s="117">
        <f>IF($B387="",0,IF(OR($W387="EVET",$X387="EVET",$Y387="EVET"),0,IF($D387="GELİR",IF($E387="SATIŞ İADESİ/İSKONTO",-$O387,$O387),-$O387)))</f>
        <v/>
      </c>
      <c r="AB387" s="117">
        <f>IF($B387="","",IF(OR($D387="",$E387="",$O387=""),"EKSİK",IF($O387&lt;=0,"SIFIR/NEGATİF",IF(COUNTIFS($C$6:$C$5000,$C387,$O$6:$O$5000,$O387,$B$6:$B$5000,$B387)&gt;1,"MÜKERRER","OK"))))</f>
        <v/>
      </c>
    </row>
    <row r="388" ht="16.5" customHeight="1" s="80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7">
        <f>IF($B388="",0,IF($S388="EVET",IF($D388="GELİR",$O388,-$O388),0))</f>
        <v/>
      </c>
      <c r="AA388" s="117">
        <f>IF($B388="",0,IF(OR($W388="EVET",$X388="EVET",$Y388="EVET"),0,IF($D388="GELİR",IF($E388="SATIŞ İADESİ/İSKONTO",-$O388,$O388),-$O388)))</f>
        <v/>
      </c>
      <c r="AB388" s="117">
        <f>IF($B388="","",IF(OR($D388="",$E388="",$O388=""),"EKSİK",IF($O388&lt;=0,"SIFIR/NEGATİF",IF(COUNTIFS($C$6:$C$5000,$C388,$O$6:$O$5000,$O388,$B$6:$B$5000,$B388)&gt;1,"MÜKERRER","OK"))))</f>
        <v/>
      </c>
    </row>
    <row r="389" ht="16.5" customHeight="1" s="80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7">
        <f>IF($B389="",0,IF($S389="EVET",IF($D389="GELİR",$O389,-$O389),0))</f>
        <v/>
      </c>
      <c r="AA389" s="117">
        <f>IF($B389="",0,IF(OR($W389="EVET",$X389="EVET",$Y389="EVET"),0,IF($D389="GELİR",IF($E389="SATIŞ İADESİ/İSKONTO",-$O389,$O389),-$O389)))</f>
        <v/>
      </c>
      <c r="AB389" s="117">
        <f>IF($B389="","",IF(OR($D389="",$E389="",$O389=""),"EKSİK",IF($O389&lt;=0,"SIFIR/NEGATİF",IF(COUNTIFS($C$6:$C$5000,$C389,$O$6:$O$5000,$O389,$B$6:$B$5000,$B389)&gt;1,"MÜKERRER","OK"))))</f>
        <v/>
      </c>
    </row>
    <row r="390" ht="16.5" customHeight="1" s="8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7">
        <f>IF($B390="",0,IF($S390="EVET",IF($D390="GELİR",$O390,-$O390),0))</f>
        <v/>
      </c>
      <c r="AA390" s="117">
        <f>IF($B390="",0,IF(OR($W390="EVET",$X390="EVET",$Y390="EVET"),0,IF($D390="GELİR",IF($E390="SATIŞ İADESİ/İSKONTO",-$O390,$O390),-$O390)))</f>
        <v/>
      </c>
      <c r="AB390" s="117">
        <f>IF($B390="","",IF(OR($D390="",$E390="",$O390=""),"EKSİK",IF($O390&lt;=0,"SIFIR/NEGATİF",IF(COUNTIFS($C$6:$C$5000,$C390,$O$6:$O$5000,$O390,$B$6:$B$5000,$B390)&gt;1,"MÜKERRER","OK"))))</f>
        <v/>
      </c>
    </row>
    <row r="391" ht="16.5" customHeight="1" s="80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7">
        <f>IF($B391="",0,IF($S391="EVET",IF($D391="GELİR",$O391,-$O391),0))</f>
        <v/>
      </c>
      <c r="AA391" s="117">
        <f>IF($B391="",0,IF(OR($W391="EVET",$X391="EVET",$Y391="EVET"),0,IF($D391="GELİR",IF($E391="SATIŞ İADESİ/İSKONTO",-$O391,$O391),-$O391)))</f>
        <v/>
      </c>
      <c r="AB391" s="117">
        <f>IF($B391="","",IF(OR($D391="",$E391="",$O391=""),"EKSİK",IF($O391&lt;=0,"SIFIR/NEGATİF",IF(COUNTIFS($C$6:$C$5000,$C391,$O$6:$O$5000,$O391,$B$6:$B$5000,$B391)&gt;1,"MÜKERRER","OK"))))</f>
        <v/>
      </c>
    </row>
    <row r="392" ht="16.5" customHeight="1" s="80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7">
        <f>IF($B392="",0,IF($S392="EVET",IF($D392="GELİR",$O392,-$O392),0))</f>
        <v/>
      </c>
      <c r="AA392" s="117">
        <f>IF($B392="",0,IF(OR($W392="EVET",$X392="EVET",$Y392="EVET"),0,IF($D392="GELİR",IF($E392="SATIŞ İADESİ/İSKONTO",-$O392,$O392),-$O392)))</f>
        <v/>
      </c>
      <c r="AB392" s="117">
        <f>IF($B392="","",IF(OR($D392="",$E392="",$O392=""),"EKSİK",IF($O392&lt;=0,"SIFIR/NEGATİF",IF(COUNTIFS($C$6:$C$5000,$C392,$O$6:$O$5000,$O392,$B$6:$B$5000,$B392)&gt;1,"MÜKERRER","OK"))))</f>
        <v/>
      </c>
    </row>
    <row r="393" ht="16.5" customHeight="1" s="80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7">
        <f>IF($B393="",0,IF($S393="EVET",IF($D393="GELİR",$O393,-$O393),0))</f>
        <v/>
      </c>
      <c r="AA393" s="117">
        <f>IF($B393="",0,IF(OR($W393="EVET",$X393="EVET",$Y393="EVET"),0,IF($D393="GELİR",IF($E393="SATIŞ İADESİ/İSKONTO",-$O393,$O393),-$O393)))</f>
        <v/>
      </c>
      <c r="AB393" s="117">
        <f>IF($B393="","",IF(OR($D393="",$E393="",$O393=""),"EKSİK",IF($O393&lt;=0,"SIFIR/NEGATİF",IF(COUNTIFS($C$6:$C$5000,$C393,$O$6:$O$5000,$O393,$B$6:$B$5000,$B393)&gt;1,"MÜKERRER","OK"))))</f>
        <v/>
      </c>
    </row>
    <row r="394" ht="16.5" customHeight="1" s="80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7">
        <f>IF($B394="",0,IF($S394="EVET",IF($D394="GELİR",$O394,-$O394),0))</f>
        <v/>
      </c>
      <c r="AA394" s="117">
        <f>IF($B394="",0,IF(OR($W394="EVET",$X394="EVET",$Y394="EVET"),0,IF($D394="GELİR",IF($E394="SATIŞ İADESİ/İSKONTO",-$O394,$O394),-$O394)))</f>
        <v/>
      </c>
      <c r="AB394" s="117">
        <f>IF($B394="","",IF(OR($D394="",$E394="",$O394=""),"EKSİK",IF($O394&lt;=0,"SIFIR/NEGATİF",IF(COUNTIFS($C$6:$C$5000,$C394,$O$6:$O$5000,$O394,$B$6:$B$5000,$B394)&gt;1,"MÜKERRER","OK"))))</f>
        <v/>
      </c>
    </row>
    <row r="395" ht="16.5" customHeight="1" s="80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7">
        <f>IF($B395="",0,IF($S395="EVET",IF($D395="GELİR",$O395,-$O395),0))</f>
        <v/>
      </c>
      <c r="AA395" s="117">
        <f>IF($B395="",0,IF(OR($W395="EVET",$X395="EVET",$Y395="EVET"),0,IF($D395="GELİR",IF($E395="SATIŞ İADESİ/İSKONTO",-$O395,$O395),-$O395)))</f>
        <v/>
      </c>
      <c r="AB395" s="117">
        <f>IF($B395="","",IF(OR($D395="",$E395="",$O395=""),"EKSİK",IF($O395&lt;=0,"SIFIR/NEGATİF",IF(COUNTIFS($C$6:$C$5000,$C395,$O$6:$O$5000,$O395,$B$6:$B$5000,$B395)&gt;1,"MÜKERRER","OK"))))</f>
        <v/>
      </c>
    </row>
    <row r="396" ht="16.5" customHeight="1" s="80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7">
        <f>IF($B396="",0,IF($S396="EVET",IF($D396="GELİR",$O396,-$O396),0))</f>
        <v/>
      </c>
      <c r="AA396" s="117">
        <f>IF($B396="",0,IF(OR($W396="EVET",$X396="EVET",$Y396="EVET"),0,IF($D396="GELİR",IF($E396="SATIŞ İADESİ/İSKONTO",-$O396,$O396),-$O396)))</f>
        <v/>
      </c>
      <c r="AB396" s="117">
        <f>IF($B396="","",IF(OR($D396="",$E396="",$O396=""),"EKSİK",IF($O396&lt;=0,"SIFIR/NEGATİF",IF(COUNTIFS($C$6:$C$5000,$C396,$O$6:$O$5000,$O396,$B$6:$B$5000,$B396)&gt;1,"MÜKERRER","OK"))))</f>
        <v/>
      </c>
    </row>
    <row r="397" ht="16.5" customHeight="1" s="80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7">
        <f>IF($B397="",0,IF($S397="EVET",IF($D397="GELİR",$O397,-$O397),0))</f>
        <v/>
      </c>
      <c r="AA397" s="117">
        <f>IF($B397="",0,IF(OR($W397="EVET",$X397="EVET",$Y397="EVET"),0,IF($D397="GELİR",IF($E397="SATIŞ İADESİ/İSKONTO",-$O397,$O397),-$O397)))</f>
        <v/>
      </c>
      <c r="AB397" s="117">
        <f>IF($B397="","",IF(OR($D397="",$E397="",$O397=""),"EKSİK",IF($O397&lt;=0,"SIFIR/NEGATİF",IF(COUNTIFS($C$6:$C$5000,$C397,$O$6:$O$5000,$O397,$B$6:$B$5000,$B397)&gt;1,"MÜKERRER","OK"))))</f>
        <v/>
      </c>
    </row>
    <row r="398" ht="16.5" customHeight="1" s="80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7">
        <f>IF($B398="",0,IF($S398="EVET",IF($D398="GELİR",$O398,-$O398),0))</f>
        <v/>
      </c>
      <c r="AA398" s="117">
        <f>IF($B398="",0,IF(OR($W398="EVET",$X398="EVET",$Y398="EVET"),0,IF($D398="GELİR",IF($E398="SATIŞ İADESİ/İSKONTO",-$O398,$O398),-$O398)))</f>
        <v/>
      </c>
      <c r="AB398" s="117">
        <f>IF($B398="","",IF(OR($D398="",$E398="",$O398=""),"EKSİK",IF($O398&lt;=0,"SIFIR/NEGATİF",IF(COUNTIFS($C$6:$C$5000,$C398,$O$6:$O$5000,$O398,$B$6:$B$5000,$B398)&gt;1,"MÜKERRER","OK"))))</f>
        <v/>
      </c>
    </row>
    <row r="399" ht="16.5" customHeight="1" s="80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7">
        <f>IF($B399="",0,IF($S399="EVET",IF($D399="GELİR",$O399,-$O399),0))</f>
        <v/>
      </c>
      <c r="AA399" s="117">
        <f>IF($B399="",0,IF(OR($W399="EVET",$X399="EVET",$Y399="EVET"),0,IF($D399="GELİR",IF($E399="SATIŞ İADESİ/İSKONTO",-$O399,$O399),-$O399)))</f>
        <v/>
      </c>
      <c r="AB399" s="117">
        <f>IF($B399="","",IF(OR($D399="",$E399="",$O399=""),"EKSİK",IF($O399&lt;=0,"SIFIR/NEGATİF",IF(COUNTIFS($C$6:$C$5000,$C399,$O$6:$O$5000,$O399,$B$6:$B$5000,$B399)&gt;1,"MÜKERRER","OK"))))</f>
        <v/>
      </c>
    </row>
    <row r="400" ht="16.5" customHeight="1" s="8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7">
        <f>IF($B400="",0,IF($S400="EVET",IF($D400="GELİR",$O400,-$O400),0))</f>
        <v/>
      </c>
      <c r="AA400" s="117">
        <f>IF($B400="",0,IF(OR($W400="EVET",$X400="EVET",$Y400="EVET"),0,IF($D400="GELİR",IF($E400="SATIŞ İADESİ/İSKONTO",-$O400,$O400),-$O400)))</f>
        <v/>
      </c>
      <c r="AB400" s="117">
        <f>IF($B400="","",IF(OR($D400="",$E400="",$O400=""),"EKSİK",IF($O400&lt;=0,"SIFIR/NEGATİF",IF(COUNTIFS($C$6:$C$5000,$C400,$O$6:$O$5000,$O400,$B$6:$B$5000,$B400)&gt;1,"MÜKERRER","OK"))))</f>
        <v/>
      </c>
    </row>
    <row r="401" ht="16.5" customHeight="1" s="80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7">
        <f>IF($B401="",0,IF($S401="EVET",IF($D401="GELİR",$O401,-$O401),0))</f>
        <v/>
      </c>
      <c r="AA401" s="117">
        <f>IF($B401="",0,IF(OR($W401="EVET",$X401="EVET",$Y401="EVET"),0,IF($D401="GELİR",IF($E401="SATIŞ İADESİ/İSKONTO",-$O401,$O401),-$O401)))</f>
        <v/>
      </c>
      <c r="AB401" s="117">
        <f>IF($B401="","",IF(OR($D401="",$E401="",$O401=""),"EKSİK",IF($O401&lt;=0,"SIFIR/NEGATİF",IF(COUNTIFS($C$6:$C$5000,$C401,$O$6:$O$5000,$O401,$B$6:$B$5000,$B401)&gt;1,"MÜKERRER","OK"))))</f>
        <v/>
      </c>
    </row>
    <row r="402" ht="16.5" customHeight="1" s="80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7">
        <f>IF($B402="",0,IF($S402="EVET",IF($D402="GELİR",$O402,-$O402),0))</f>
        <v/>
      </c>
      <c r="AA402" s="117">
        <f>IF($B402="",0,IF(OR($W402="EVET",$X402="EVET",$Y402="EVET"),0,IF($D402="GELİR",IF($E402="SATIŞ İADESİ/İSKONTO",-$O402,$O402),-$O402)))</f>
        <v/>
      </c>
      <c r="AB402" s="117">
        <f>IF($B402="","",IF(OR($D402="",$E402="",$O402=""),"EKSİK",IF($O402&lt;=0,"SIFIR/NEGATİF",IF(COUNTIFS($C$6:$C$5000,$C402,$O$6:$O$5000,$O402,$B$6:$B$5000,$B402)&gt;1,"MÜKERRER","OK"))))</f>
        <v/>
      </c>
    </row>
    <row r="403" ht="16.5" customHeight="1" s="80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7">
        <f>IF($B403="",0,IF($S403="EVET",IF($D403="GELİR",$O403,-$O403),0))</f>
        <v/>
      </c>
      <c r="AA403" s="117">
        <f>IF($B403="",0,IF(OR($W403="EVET",$X403="EVET",$Y403="EVET"),0,IF($D403="GELİR",IF($E403="SATIŞ İADESİ/İSKONTO",-$O403,$O403),-$O403)))</f>
        <v/>
      </c>
      <c r="AB403" s="117">
        <f>IF($B403="","",IF(OR($D403="",$E403="",$O403=""),"EKSİK",IF($O403&lt;=0,"SIFIR/NEGATİF",IF(COUNTIFS($C$6:$C$5000,$C403,$O$6:$O$5000,$O403,$B$6:$B$5000,$B403)&gt;1,"MÜKERRER","OK"))))</f>
        <v/>
      </c>
    </row>
    <row r="404" ht="16.5" customHeight="1" s="80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7">
        <f>IF($B404="",0,IF($S404="EVET",IF($D404="GELİR",$O404,-$O404),0))</f>
        <v/>
      </c>
      <c r="AA404" s="117">
        <f>IF($B404="",0,IF(OR($W404="EVET",$X404="EVET",$Y404="EVET"),0,IF($D404="GELİR",IF($E404="SATIŞ İADESİ/İSKONTO",-$O404,$O404),-$O404)))</f>
        <v/>
      </c>
      <c r="AB404" s="117">
        <f>IF($B404="","",IF(OR($D404="",$E404="",$O404=""),"EKSİK",IF($O404&lt;=0,"SIFIR/NEGATİF",IF(COUNTIFS($C$6:$C$5000,$C404,$O$6:$O$5000,$O404,$B$6:$B$5000,$B404)&gt;1,"MÜKERRER","OK"))))</f>
        <v/>
      </c>
    </row>
    <row r="405" ht="16.5" customHeight="1" s="80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7">
        <f>IF($B405="",0,IF($S405="EVET",IF($D405="GELİR",$O405,-$O405),0))</f>
        <v/>
      </c>
      <c r="AA405" s="117">
        <f>IF($B405="",0,IF(OR($W405="EVET",$X405="EVET",$Y405="EVET"),0,IF($D405="GELİR",IF($E405="SATIŞ İADESİ/İSKONTO",-$O405,$O405),-$O405)))</f>
        <v/>
      </c>
      <c r="AB405" s="117">
        <f>IF($B405="","",IF(OR($D405="",$E405="",$O405=""),"EKSİK",IF($O405&lt;=0,"SIFIR/NEGATİF",IF(COUNTIFS($C$6:$C$5000,$C405,$O$6:$O$5000,$O405,$B$6:$B$5000,$B405)&gt;1,"MÜKERRER","OK"))))</f>
        <v/>
      </c>
    </row>
    <row r="406" ht="16.5" customHeight="1" s="80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7">
        <f>IF($B406="",0,IF($S406="EVET",IF($D406="GELİR",$O406,-$O406),0))</f>
        <v/>
      </c>
      <c r="AA406" s="117">
        <f>IF($B406="",0,IF(OR($W406="EVET",$X406="EVET",$Y406="EVET"),0,IF($D406="GELİR",IF($E406="SATIŞ İADESİ/İSKONTO",-$O406,$O406),-$O406)))</f>
        <v/>
      </c>
      <c r="AB406" s="117">
        <f>IF($B406="","",IF(OR($D406="",$E406="",$O406=""),"EKSİK",IF($O406&lt;=0,"SIFIR/NEGATİF",IF(COUNTIFS($C$6:$C$5000,$C406,$O$6:$O$5000,$O406,$B$6:$B$5000,$B406)&gt;1,"MÜKERRER","OK"))))</f>
        <v/>
      </c>
    </row>
    <row r="407" ht="16.5" customHeight="1" s="80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7">
        <f>IF($B407="",0,IF($S407="EVET",IF($D407="GELİR",$O407,-$O407),0))</f>
        <v/>
      </c>
      <c r="AA407" s="117">
        <f>IF($B407="",0,IF(OR($W407="EVET",$X407="EVET",$Y407="EVET"),0,IF($D407="GELİR",IF($E407="SATIŞ İADESİ/İSKONTO",-$O407,$O407),-$O407)))</f>
        <v/>
      </c>
      <c r="AB407" s="117">
        <f>IF($B407="","",IF(OR($D407="",$E407="",$O407=""),"EKSİK",IF($O407&lt;=0,"SIFIR/NEGATİF",IF(COUNTIFS($C$6:$C$5000,$C407,$O$6:$O$5000,$O407,$B$6:$B$5000,$B407)&gt;1,"MÜKERRER","OK"))))</f>
        <v/>
      </c>
    </row>
    <row r="408" ht="16.5" customHeight="1" s="80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7">
        <f>IF($B408="",0,IF($S408="EVET",IF($D408="GELİR",$O408,-$O408),0))</f>
        <v/>
      </c>
      <c r="AA408" s="117">
        <f>IF($B408="",0,IF(OR($W408="EVET",$X408="EVET",$Y408="EVET"),0,IF($D408="GELİR",IF($E408="SATIŞ İADESİ/İSKONTO",-$O408,$O408),-$O408)))</f>
        <v/>
      </c>
      <c r="AB408" s="117">
        <f>IF($B408="","",IF(OR($D408="",$E408="",$O408=""),"EKSİK",IF($O408&lt;=0,"SIFIR/NEGATİF",IF(COUNTIFS($C$6:$C$5000,$C408,$O$6:$O$5000,$O408,$B$6:$B$5000,$B408)&gt;1,"MÜKERRER","OK"))))</f>
        <v/>
      </c>
    </row>
    <row r="409" ht="16.5" customHeight="1" s="80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7">
        <f>IF($B409="",0,IF($S409="EVET",IF($D409="GELİR",$O409,-$O409),0))</f>
        <v/>
      </c>
      <c r="AA409" s="117">
        <f>IF($B409="",0,IF(OR($W409="EVET",$X409="EVET",$Y409="EVET"),0,IF($D409="GELİR",IF($E409="SATIŞ İADESİ/İSKONTO",-$O409,$O409),-$O409)))</f>
        <v/>
      </c>
      <c r="AB409" s="117">
        <f>IF($B409="","",IF(OR($D409="",$E409="",$O409=""),"EKSİK",IF($O409&lt;=0,"SIFIR/NEGATİF",IF(COUNTIFS($C$6:$C$5000,$C409,$O$6:$O$5000,$O409,$B$6:$B$5000,$B409)&gt;1,"MÜKERRER","OK"))))</f>
        <v/>
      </c>
    </row>
    <row r="410" ht="16.5" customHeight="1" s="8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7">
        <f>IF($B410="",0,IF($S410="EVET",IF($D410="GELİR",$O410,-$O410),0))</f>
        <v/>
      </c>
      <c r="AA410" s="117">
        <f>IF($B410="",0,IF(OR($W410="EVET",$X410="EVET",$Y410="EVET"),0,IF($D410="GELİR",IF($E410="SATIŞ İADESİ/İSKONTO",-$O410,$O410),-$O410)))</f>
        <v/>
      </c>
      <c r="AB410" s="117">
        <f>IF($B410="","",IF(OR($D410="",$E410="",$O410=""),"EKSİK",IF($O410&lt;=0,"SIFIR/NEGATİF",IF(COUNTIFS($C$6:$C$5000,$C410,$O$6:$O$5000,$O410,$B$6:$B$5000,$B410)&gt;1,"MÜKERRER","OK"))))</f>
        <v/>
      </c>
    </row>
    <row r="411" ht="16.5" customHeight="1" s="80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7">
        <f>IF($B411="",0,IF($S411="EVET",IF($D411="GELİR",$O411,-$O411),0))</f>
        <v/>
      </c>
      <c r="AA411" s="117">
        <f>IF($B411="",0,IF(OR($W411="EVET",$X411="EVET",$Y411="EVET"),0,IF($D411="GELİR",IF($E411="SATIŞ İADESİ/İSKONTO",-$O411,$O411),-$O411)))</f>
        <v/>
      </c>
      <c r="AB411" s="117">
        <f>IF($B411="","",IF(OR($D411="",$E411="",$O411=""),"EKSİK",IF($O411&lt;=0,"SIFIR/NEGATİF",IF(COUNTIFS($C$6:$C$5000,$C411,$O$6:$O$5000,$O411,$B$6:$B$5000,$B411)&gt;1,"MÜKERRER","OK"))))</f>
        <v/>
      </c>
    </row>
    <row r="412" ht="16.5" customHeight="1" s="80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7">
        <f>IF($B412="",0,IF($S412="EVET",IF($D412="GELİR",$O412,-$O412),0))</f>
        <v/>
      </c>
      <c r="AA412" s="117">
        <f>IF($B412="",0,IF(OR($W412="EVET",$X412="EVET",$Y412="EVET"),0,IF($D412="GELİR",IF($E412="SATIŞ İADESİ/İSKONTO",-$O412,$O412),-$O412)))</f>
        <v/>
      </c>
      <c r="AB412" s="117">
        <f>IF($B412="","",IF(OR($D412="",$E412="",$O412=""),"EKSİK",IF($O412&lt;=0,"SIFIR/NEGATİF",IF(COUNTIFS($C$6:$C$5000,$C412,$O$6:$O$5000,$O412,$B$6:$B$5000,$B412)&gt;1,"MÜKERRER","OK"))))</f>
        <v/>
      </c>
    </row>
    <row r="413" ht="16.5" customHeight="1" s="80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7">
        <f>IF($B413="",0,IF($S413="EVET",IF($D413="GELİR",$O413,-$O413),0))</f>
        <v/>
      </c>
      <c r="AA413" s="117">
        <f>IF($B413="",0,IF(OR($W413="EVET",$X413="EVET",$Y413="EVET"),0,IF($D413="GELİR",IF($E413="SATIŞ İADESİ/İSKONTO",-$O413,$O413),-$O413)))</f>
        <v/>
      </c>
      <c r="AB413" s="117">
        <f>IF($B413="","",IF(OR($D413="",$E413="",$O413=""),"EKSİK",IF($O413&lt;=0,"SIFIR/NEGATİF",IF(COUNTIFS($C$6:$C$5000,$C413,$O$6:$O$5000,$O413,$B$6:$B$5000,$B413)&gt;1,"MÜKERRER","OK"))))</f>
        <v/>
      </c>
    </row>
    <row r="414" ht="16.5" customHeight="1" s="80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7">
        <f>IF($B414="",0,IF($S414="EVET",IF($D414="GELİR",$O414,-$O414),0))</f>
        <v/>
      </c>
      <c r="AA414" s="117">
        <f>IF($B414="",0,IF(OR($W414="EVET",$X414="EVET",$Y414="EVET"),0,IF($D414="GELİR",IF($E414="SATIŞ İADESİ/İSKONTO",-$O414,$O414),-$O414)))</f>
        <v/>
      </c>
      <c r="AB414" s="117">
        <f>IF($B414="","",IF(OR($D414="",$E414="",$O414=""),"EKSİK",IF($O414&lt;=0,"SIFIR/NEGATİF",IF(COUNTIFS($C$6:$C$5000,$C414,$O$6:$O$5000,$O414,$B$6:$B$5000,$B414)&gt;1,"MÜKERRER","OK"))))</f>
        <v/>
      </c>
    </row>
    <row r="415" ht="16.5" customHeight="1" s="80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7">
        <f>IF($B415="",0,IF($S415="EVET",IF($D415="GELİR",$O415,-$O415),0))</f>
        <v/>
      </c>
      <c r="AA415" s="117">
        <f>IF($B415="",0,IF(OR($W415="EVET",$X415="EVET",$Y415="EVET"),0,IF($D415="GELİR",IF($E415="SATIŞ İADESİ/İSKONTO",-$O415,$O415),-$O415)))</f>
        <v/>
      </c>
      <c r="AB415" s="117">
        <f>IF($B415="","",IF(OR($D415="",$E415="",$O415=""),"EKSİK",IF($O415&lt;=0,"SIFIR/NEGATİF",IF(COUNTIFS($C$6:$C$5000,$C415,$O$6:$O$5000,$O415,$B$6:$B$5000,$B415)&gt;1,"MÜKERRER","OK"))))</f>
        <v/>
      </c>
    </row>
    <row r="416" ht="16.5" customHeight="1" s="80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7">
        <f>IF($B416="",0,IF($S416="EVET",IF($D416="GELİR",$O416,-$O416),0))</f>
        <v/>
      </c>
      <c r="AA416" s="117">
        <f>IF($B416="",0,IF(OR($W416="EVET",$X416="EVET",$Y416="EVET"),0,IF($D416="GELİR",IF($E416="SATIŞ İADESİ/İSKONTO",-$O416,$O416),-$O416)))</f>
        <v/>
      </c>
      <c r="AB416" s="117">
        <f>IF($B416="","",IF(OR($D416="",$E416="",$O416=""),"EKSİK",IF($O416&lt;=0,"SIFIR/NEGATİF",IF(COUNTIFS($C$6:$C$5000,$C416,$O$6:$O$5000,$O416,$B$6:$B$5000,$B416)&gt;1,"MÜKERRER","OK"))))</f>
        <v/>
      </c>
    </row>
    <row r="417" ht="16.5" customHeight="1" s="80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7">
        <f>IF($B417="",0,IF($S417="EVET",IF($D417="GELİR",$O417,-$O417),0))</f>
        <v/>
      </c>
      <c r="AA417" s="117">
        <f>IF($B417="",0,IF(OR($W417="EVET",$X417="EVET",$Y417="EVET"),0,IF($D417="GELİR",IF($E417="SATIŞ İADESİ/İSKONTO",-$O417,$O417),-$O417)))</f>
        <v/>
      </c>
      <c r="AB417" s="117">
        <f>IF($B417="","",IF(OR($D417="",$E417="",$O417=""),"EKSİK",IF($O417&lt;=0,"SIFIR/NEGATİF",IF(COUNTIFS($C$6:$C$5000,$C417,$O$6:$O$5000,$O417,$B$6:$B$5000,$B417)&gt;1,"MÜKERRER","OK"))))</f>
        <v/>
      </c>
    </row>
    <row r="418" ht="16.5" customHeight="1" s="80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7">
        <f>IF($B418="",0,IF($S418="EVET",IF($D418="GELİR",$O418,-$O418),0))</f>
        <v/>
      </c>
      <c r="AA418" s="117">
        <f>IF($B418="",0,IF(OR($W418="EVET",$X418="EVET",$Y418="EVET"),0,IF($D418="GELİR",IF($E418="SATIŞ İADESİ/İSKONTO",-$O418,$O418),-$O418)))</f>
        <v/>
      </c>
      <c r="AB418" s="117">
        <f>IF($B418="","",IF(OR($D418="",$E418="",$O418=""),"EKSİK",IF($O418&lt;=0,"SIFIR/NEGATİF",IF(COUNTIFS($C$6:$C$5000,$C418,$O$6:$O$5000,$O418,$B$6:$B$5000,$B418)&gt;1,"MÜKERRER","OK"))))</f>
        <v/>
      </c>
    </row>
    <row r="419" ht="16.5" customHeight="1" s="80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7">
        <f>IF($B419="",0,IF($S419="EVET",IF($D419="GELİR",$O419,-$O419),0))</f>
        <v/>
      </c>
      <c r="AA419" s="117">
        <f>IF($B419="",0,IF(OR($W419="EVET",$X419="EVET",$Y419="EVET"),0,IF($D419="GELİR",IF($E419="SATIŞ İADESİ/İSKONTO",-$O419,$O419),-$O419)))</f>
        <v/>
      </c>
      <c r="AB419" s="117">
        <f>IF($B419="","",IF(OR($D419="",$E419="",$O419=""),"EKSİK",IF($O419&lt;=0,"SIFIR/NEGATİF",IF(COUNTIFS($C$6:$C$5000,$C419,$O$6:$O$5000,$O419,$B$6:$B$5000,$B419)&gt;1,"MÜKERRER","OK"))))</f>
        <v/>
      </c>
    </row>
    <row r="420" ht="16.5" customHeight="1" s="8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7">
        <f>IF($B420="",0,IF($S420="EVET",IF($D420="GELİR",$O420,-$O420),0))</f>
        <v/>
      </c>
      <c r="AA420" s="117">
        <f>IF($B420="",0,IF(OR($W420="EVET",$X420="EVET",$Y420="EVET"),0,IF($D420="GELİR",IF($E420="SATIŞ İADESİ/İSKONTO",-$O420,$O420),-$O420)))</f>
        <v/>
      </c>
      <c r="AB420" s="117">
        <f>IF($B420="","",IF(OR($D420="",$E420="",$O420=""),"EKSİK",IF($O420&lt;=0,"SIFIR/NEGATİF",IF(COUNTIFS($C$6:$C$5000,$C420,$O$6:$O$5000,$O420,$B$6:$B$5000,$B420)&gt;1,"MÜKERRER","OK"))))</f>
        <v/>
      </c>
    </row>
    <row r="421" ht="16.5" customHeight="1" s="80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7">
        <f>IF($B421="",0,IF($S421="EVET",IF($D421="GELİR",$O421,-$O421),0))</f>
        <v/>
      </c>
      <c r="AA421" s="117">
        <f>IF($B421="",0,IF(OR($W421="EVET",$X421="EVET",$Y421="EVET"),0,IF($D421="GELİR",IF($E421="SATIŞ İADESİ/İSKONTO",-$O421,$O421),-$O421)))</f>
        <v/>
      </c>
      <c r="AB421" s="117">
        <f>IF($B421="","",IF(OR($D421="",$E421="",$O421=""),"EKSİK",IF($O421&lt;=0,"SIFIR/NEGATİF",IF(COUNTIFS($C$6:$C$5000,$C421,$O$6:$O$5000,$O421,$B$6:$B$5000,$B421)&gt;1,"MÜKERRER","OK"))))</f>
        <v/>
      </c>
    </row>
    <row r="422" ht="16.5" customHeight="1" s="80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7">
        <f>IF($B422="",0,IF($S422="EVET",IF($D422="GELİR",$O422,-$O422),0))</f>
        <v/>
      </c>
      <c r="AA422" s="117">
        <f>IF($B422="",0,IF(OR($W422="EVET",$X422="EVET",$Y422="EVET"),0,IF($D422="GELİR",IF($E422="SATIŞ İADESİ/İSKONTO",-$O422,$O422),-$O422)))</f>
        <v/>
      </c>
      <c r="AB422" s="117">
        <f>IF($B422="","",IF(OR($D422="",$E422="",$O422=""),"EKSİK",IF($O422&lt;=0,"SIFIR/NEGATİF",IF(COUNTIFS($C$6:$C$5000,$C422,$O$6:$O$5000,$O422,$B$6:$B$5000,$B422)&gt;1,"MÜKERRER","OK"))))</f>
        <v/>
      </c>
    </row>
    <row r="423" ht="16.5" customHeight="1" s="80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7">
        <f>IF($B423="",0,IF($S423="EVET",IF($D423="GELİR",$O423,-$O423),0))</f>
        <v/>
      </c>
      <c r="AA423" s="117">
        <f>IF($B423="",0,IF(OR($W423="EVET",$X423="EVET",$Y423="EVET"),0,IF($D423="GELİR",IF($E423="SATIŞ İADESİ/İSKONTO",-$O423,$O423),-$O423)))</f>
        <v/>
      </c>
      <c r="AB423" s="117">
        <f>IF($B423="","",IF(OR($D423="",$E423="",$O423=""),"EKSİK",IF($O423&lt;=0,"SIFIR/NEGATİF",IF(COUNTIFS($C$6:$C$5000,$C423,$O$6:$O$5000,$O423,$B$6:$B$5000,$B423)&gt;1,"MÜKERRER","OK"))))</f>
        <v/>
      </c>
    </row>
    <row r="424" ht="16.5" customHeight="1" s="80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7">
        <f>IF($B424="",0,IF($S424="EVET",IF($D424="GELİR",$O424,-$O424),0))</f>
        <v/>
      </c>
      <c r="AA424" s="117">
        <f>IF($B424="",0,IF(OR($W424="EVET",$X424="EVET",$Y424="EVET"),0,IF($D424="GELİR",IF($E424="SATIŞ İADESİ/İSKONTO",-$O424,$O424),-$O424)))</f>
        <v/>
      </c>
      <c r="AB424" s="117">
        <f>IF($B424="","",IF(OR($D424="",$E424="",$O424=""),"EKSİK",IF($O424&lt;=0,"SIFIR/NEGATİF",IF(COUNTIFS($C$6:$C$5000,$C424,$O$6:$O$5000,$O424,$B$6:$B$5000,$B424)&gt;1,"MÜKERRER","OK"))))</f>
        <v/>
      </c>
    </row>
    <row r="425" ht="16.5" customHeight="1" s="80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7">
        <f>IF($B425="",0,IF($S425="EVET",IF($D425="GELİR",$O425,-$O425),0))</f>
        <v/>
      </c>
      <c r="AA425" s="117">
        <f>IF($B425="",0,IF(OR($W425="EVET",$X425="EVET",$Y425="EVET"),0,IF($D425="GELİR",IF($E425="SATIŞ İADESİ/İSKONTO",-$O425,$O425),-$O425)))</f>
        <v/>
      </c>
      <c r="AB425" s="117">
        <f>IF($B425="","",IF(OR($D425="",$E425="",$O425=""),"EKSİK",IF($O425&lt;=0,"SIFIR/NEGATİF",IF(COUNTIFS($C$6:$C$5000,$C425,$O$6:$O$5000,$O425,$B$6:$B$5000,$B425)&gt;1,"MÜKERRER","OK"))))</f>
        <v/>
      </c>
    </row>
    <row r="426" ht="16.5" customHeight="1" s="80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7">
        <f>IF($B426="",0,IF($S426="EVET",IF($D426="GELİR",$O426,-$O426),0))</f>
        <v/>
      </c>
      <c r="AA426" s="117">
        <f>IF($B426="",0,IF(OR($W426="EVET",$X426="EVET",$Y426="EVET"),0,IF($D426="GELİR",IF($E426="SATIŞ İADESİ/İSKONTO",-$O426,$O426),-$O426)))</f>
        <v/>
      </c>
      <c r="AB426" s="117">
        <f>IF($B426="","",IF(OR($D426="",$E426="",$O426=""),"EKSİK",IF($O426&lt;=0,"SIFIR/NEGATİF",IF(COUNTIFS($C$6:$C$5000,$C426,$O$6:$O$5000,$O426,$B$6:$B$5000,$B426)&gt;1,"MÜKERRER","OK"))))</f>
        <v/>
      </c>
    </row>
    <row r="427" ht="16.5" customHeight="1" s="80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7">
        <f>IF($B427="",0,IF($S427="EVET",IF($D427="GELİR",$O427,-$O427),0))</f>
        <v/>
      </c>
      <c r="AA427" s="117">
        <f>IF($B427="",0,IF(OR($W427="EVET",$X427="EVET",$Y427="EVET"),0,IF($D427="GELİR",IF($E427="SATIŞ İADESİ/İSKONTO",-$O427,$O427),-$O427)))</f>
        <v/>
      </c>
      <c r="AB427" s="117">
        <f>IF($B427="","",IF(OR($D427="",$E427="",$O427=""),"EKSİK",IF($O427&lt;=0,"SIFIR/NEGATİF",IF(COUNTIFS($C$6:$C$5000,$C427,$O$6:$O$5000,$O427,$B$6:$B$5000,$B427)&gt;1,"MÜKERRER","OK"))))</f>
        <v/>
      </c>
    </row>
    <row r="428" ht="16.5" customHeight="1" s="80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7">
        <f>IF($B428="",0,IF($S428="EVET",IF($D428="GELİR",$O428,-$O428),0))</f>
        <v/>
      </c>
      <c r="AA428" s="117">
        <f>IF($B428="",0,IF(OR($W428="EVET",$X428="EVET",$Y428="EVET"),0,IF($D428="GELİR",IF($E428="SATIŞ İADESİ/İSKONTO",-$O428,$O428),-$O428)))</f>
        <v/>
      </c>
      <c r="AB428" s="117">
        <f>IF($B428="","",IF(OR($D428="",$E428="",$O428=""),"EKSİK",IF($O428&lt;=0,"SIFIR/NEGATİF",IF(COUNTIFS($C$6:$C$5000,$C428,$O$6:$O$5000,$O428,$B$6:$B$5000,$B428)&gt;1,"MÜKERRER","OK"))))</f>
        <v/>
      </c>
    </row>
    <row r="429" ht="16.5" customHeight="1" s="80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7">
        <f>IF($B429="",0,IF($S429="EVET",IF($D429="GELİR",$O429,-$O429),0))</f>
        <v/>
      </c>
      <c r="AA429" s="117">
        <f>IF($B429="",0,IF(OR($W429="EVET",$X429="EVET",$Y429="EVET"),0,IF($D429="GELİR",IF($E429="SATIŞ İADESİ/İSKONTO",-$O429,$O429),-$O429)))</f>
        <v/>
      </c>
      <c r="AB429" s="117">
        <f>IF($B429="","",IF(OR($D429="",$E429="",$O429=""),"EKSİK",IF($O429&lt;=0,"SIFIR/NEGATİF",IF(COUNTIFS($C$6:$C$5000,$C429,$O$6:$O$5000,$O429,$B$6:$B$5000,$B429)&gt;1,"MÜKERRER","OK"))))</f>
        <v/>
      </c>
    </row>
    <row r="430" ht="16.5" customHeight="1" s="8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7">
        <f>IF($B430="",0,IF($S430="EVET",IF($D430="GELİR",$O430,-$O430),0))</f>
        <v/>
      </c>
      <c r="AA430" s="117">
        <f>IF($B430="",0,IF(OR($W430="EVET",$X430="EVET",$Y430="EVET"),0,IF($D430="GELİR",IF($E430="SATIŞ İADESİ/İSKONTO",-$O430,$O430),-$O430)))</f>
        <v/>
      </c>
      <c r="AB430" s="117">
        <f>IF($B430="","",IF(OR($D430="",$E430="",$O430=""),"EKSİK",IF($O430&lt;=0,"SIFIR/NEGATİF",IF(COUNTIFS($C$6:$C$5000,$C430,$O$6:$O$5000,$O430,$B$6:$B$5000,$B430)&gt;1,"MÜKERRER","OK"))))</f>
        <v/>
      </c>
    </row>
    <row r="431" ht="16.5" customHeight="1" s="80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7">
        <f>IF($B431="",0,IF($S431="EVET",IF($D431="GELİR",$O431,-$O431),0))</f>
        <v/>
      </c>
      <c r="AA431" s="117">
        <f>IF($B431="",0,IF(OR($W431="EVET",$X431="EVET",$Y431="EVET"),0,IF($D431="GELİR",IF($E431="SATIŞ İADESİ/İSKONTO",-$O431,$O431),-$O431)))</f>
        <v/>
      </c>
      <c r="AB431" s="117">
        <f>IF($B431="","",IF(OR($D431="",$E431="",$O431=""),"EKSİK",IF($O431&lt;=0,"SIFIR/NEGATİF",IF(COUNTIFS($C$6:$C$5000,$C431,$O$6:$O$5000,$O431,$B$6:$B$5000,$B431)&gt;1,"MÜKERRER","OK"))))</f>
        <v/>
      </c>
    </row>
    <row r="432" ht="16.5" customHeight="1" s="80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7">
        <f>IF($B432="",0,IF($S432="EVET",IF($D432="GELİR",$O432,-$O432),0))</f>
        <v/>
      </c>
      <c r="AA432" s="117">
        <f>IF($B432="",0,IF(OR($W432="EVET",$X432="EVET",$Y432="EVET"),0,IF($D432="GELİR",IF($E432="SATIŞ İADESİ/İSKONTO",-$O432,$O432),-$O432)))</f>
        <v/>
      </c>
      <c r="AB432" s="117">
        <f>IF($B432="","",IF(OR($D432="",$E432="",$O432=""),"EKSİK",IF($O432&lt;=0,"SIFIR/NEGATİF",IF(COUNTIFS($C$6:$C$5000,$C432,$O$6:$O$5000,$O432,$B$6:$B$5000,$B432)&gt;1,"MÜKERRER","OK"))))</f>
        <v/>
      </c>
    </row>
    <row r="433" ht="16.5" customHeight="1" s="80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7">
        <f>IF($B433="",0,IF($S433="EVET",IF($D433="GELİR",$O433,-$O433),0))</f>
        <v/>
      </c>
      <c r="AA433" s="117">
        <f>IF($B433="",0,IF(OR($W433="EVET",$X433="EVET",$Y433="EVET"),0,IF($D433="GELİR",IF($E433="SATIŞ İADESİ/İSKONTO",-$O433,$O433),-$O433)))</f>
        <v/>
      </c>
      <c r="AB433" s="117">
        <f>IF($B433="","",IF(OR($D433="",$E433="",$O433=""),"EKSİK",IF($O433&lt;=0,"SIFIR/NEGATİF",IF(COUNTIFS($C$6:$C$5000,$C433,$O$6:$O$5000,$O433,$B$6:$B$5000,$B433)&gt;1,"MÜKERRER","OK"))))</f>
        <v/>
      </c>
    </row>
    <row r="434" ht="16.5" customHeight="1" s="80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7">
        <f>IF($B434="",0,IF($S434="EVET",IF($D434="GELİR",$O434,-$O434),0))</f>
        <v/>
      </c>
      <c r="AA434" s="117">
        <f>IF($B434="",0,IF(OR($W434="EVET",$X434="EVET",$Y434="EVET"),0,IF($D434="GELİR",IF($E434="SATIŞ İADESİ/İSKONTO",-$O434,$O434),-$O434)))</f>
        <v/>
      </c>
      <c r="AB434" s="117">
        <f>IF($B434="","",IF(OR($D434="",$E434="",$O434=""),"EKSİK",IF($O434&lt;=0,"SIFIR/NEGATİF",IF(COUNTIFS($C$6:$C$5000,$C434,$O$6:$O$5000,$O434,$B$6:$B$5000,$B434)&gt;1,"MÜKERRER","OK"))))</f>
        <v/>
      </c>
    </row>
    <row r="435" ht="16.5" customHeight="1" s="80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7">
        <f>IF($B435="",0,IF($S435="EVET",IF($D435="GELİR",$O435,-$O435),0))</f>
        <v/>
      </c>
      <c r="AA435" s="117">
        <f>IF($B435="",0,IF(OR($W435="EVET",$X435="EVET",$Y435="EVET"),0,IF($D435="GELİR",IF($E435="SATIŞ İADESİ/İSKONTO",-$O435,$O435),-$O435)))</f>
        <v/>
      </c>
      <c r="AB435" s="117">
        <f>IF($B435="","",IF(OR($D435="",$E435="",$O435=""),"EKSİK",IF($O435&lt;=0,"SIFIR/NEGATİF",IF(COUNTIFS($C$6:$C$5000,$C435,$O$6:$O$5000,$O435,$B$6:$B$5000,$B435)&gt;1,"MÜKERRER","OK"))))</f>
        <v/>
      </c>
    </row>
    <row r="436" ht="16.5" customHeight="1" s="80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7">
        <f>IF($B436="",0,IF($S436="EVET",IF($D436="GELİR",$O436,-$O436),0))</f>
        <v/>
      </c>
      <c r="AA436" s="117">
        <f>IF($B436="",0,IF(OR($W436="EVET",$X436="EVET",$Y436="EVET"),0,IF($D436="GELİR",IF($E436="SATIŞ İADESİ/İSKONTO",-$O436,$O436),-$O436)))</f>
        <v/>
      </c>
      <c r="AB436" s="117">
        <f>IF($B436="","",IF(OR($D436="",$E436="",$O436=""),"EKSİK",IF($O436&lt;=0,"SIFIR/NEGATİF",IF(COUNTIFS($C$6:$C$5000,$C436,$O$6:$O$5000,$O436,$B$6:$B$5000,$B436)&gt;1,"MÜKERRER","OK"))))</f>
        <v/>
      </c>
    </row>
    <row r="437" ht="16.5" customHeight="1" s="80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7">
        <f>IF($B437="",0,IF($S437="EVET",IF($D437="GELİR",$O437,-$O437),0))</f>
        <v/>
      </c>
      <c r="AA437" s="117">
        <f>IF($B437="",0,IF(OR($W437="EVET",$X437="EVET",$Y437="EVET"),0,IF($D437="GELİR",IF($E437="SATIŞ İADESİ/İSKONTO",-$O437,$O437),-$O437)))</f>
        <v/>
      </c>
      <c r="AB437" s="117">
        <f>IF($B437="","",IF(OR($D437="",$E437="",$O437=""),"EKSİK",IF($O437&lt;=0,"SIFIR/NEGATİF",IF(COUNTIFS($C$6:$C$5000,$C437,$O$6:$O$5000,$O437,$B$6:$B$5000,$B437)&gt;1,"MÜKERRER","OK"))))</f>
        <v/>
      </c>
    </row>
    <row r="438" ht="16.5" customHeight="1" s="80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7">
        <f>IF($B438="",0,IF($S438="EVET",IF($D438="GELİR",$O438,-$O438),0))</f>
        <v/>
      </c>
      <c r="AA438" s="117">
        <f>IF($B438="",0,IF(OR($W438="EVET",$X438="EVET",$Y438="EVET"),0,IF($D438="GELİR",IF($E438="SATIŞ İADESİ/İSKONTO",-$O438,$O438),-$O438)))</f>
        <v/>
      </c>
      <c r="AB438" s="117">
        <f>IF($B438="","",IF(OR($D438="",$E438="",$O438=""),"EKSİK",IF($O438&lt;=0,"SIFIR/NEGATİF",IF(COUNTIFS($C$6:$C$5000,$C438,$O$6:$O$5000,$O438,$B$6:$B$5000,$B438)&gt;1,"MÜKERRER","OK"))))</f>
        <v/>
      </c>
    </row>
    <row r="439" ht="16.5" customHeight="1" s="80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7">
        <f>IF($B439="",0,IF($S439="EVET",IF($D439="GELİR",$O439,-$O439),0))</f>
        <v/>
      </c>
      <c r="AA439" s="117">
        <f>IF($B439="",0,IF(OR($W439="EVET",$X439="EVET",$Y439="EVET"),0,IF($D439="GELİR",IF($E439="SATIŞ İADESİ/İSKONTO",-$O439,$O439),-$O439)))</f>
        <v/>
      </c>
      <c r="AB439" s="117">
        <f>IF($B439="","",IF(OR($D439="",$E439="",$O439=""),"EKSİK",IF($O439&lt;=0,"SIFIR/NEGATİF",IF(COUNTIFS($C$6:$C$5000,$C439,$O$6:$O$5000,$O439,$B$6:$B$5000,$B439)&gt;1,"MÜKERRER","OK"))))</f>
        <v/>
      </c>
    </row>
    <row r="440" ht="16.5" customHeight="1" s="8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7">
        <f>IF($B440="",0,IF($S440="EVET",IF($D440="GELİR",$O440,-$O440),0))</f>
        <v/>
      </c>
      <c r="AA440" s="117">
        <f>IF($B440="",0,IF(OR($W440="EVET",$X440="EVET",$Y440="EVET"),0,IF($D440="GELİR",IF($E440="SATIŞ İADESİ/İSKONTO",-$O440,$O440),-$O440)))</f>
        <v/>
      </c>
      <c r="AB440" s="117">
        <f>IF($B440="","",IF(OR($D440="",$E440="",$O440=""),"EKSİK",IF($O440&lt;=0,"SIFIR/NEGATİF",IF(COUNTIFS($C$6:$C$5000,$C440,$O$6:$O$5000,$O440,$B$6:$B$5000,$B440)&gt;1,"MÜKERRER","OK"))))</f>
        <v/>
      </c>
    </row>
    <row r="441" ht="16.5" customHeight="1" s="80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7">
        <f>IF($B441="",0,IF($S441="EVET",IF($D441="GELİR",$O441,-$O441),0))</f>
        <v/>
      </c>
      <c r="AA441" s="117">
        <f>IF($B441="",0,IF(OR($W441="EVET",$X441="EVET",$Y441="EVET"),0,IF($D441="GELİR",IF($E441="SATIŞ İADESİ/İSKONTO",-$O441,$O441),-$O441)))</f>
        <v/>
      </c>
      <c r="AB441" s="117">
        <f>IF($B441="","",IF(OR($D441="",$E441="",$O441=""),"EKSİK",IF($O441&lt;=0,"SIFIR/NEGATİF",IF(COUNTIFS($C$6:$C$5000,$C441,$O$6:$O$5000,$O441,$B$6:$B$5000,$B441)&gt;1,"MÜKERRER","OK"))))</f>
        <v/>
      </c>
    </row>
    <row r="442" ht="16.5" customHeight="1" s="80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7">
        <f>IF($B442="",0,IF($S442="EVET",IF($D442="GELİR",$O442,-$O442),0))</f>
        <v/>
      </c>
      <c r="AA442" s="117">
        <f>IF($B442="",0,IF(OR($W442="EVET",$X442="EVET",$Y442="EVET"),0,IF($D442="GELİR",IF($E442="SATIŞ İADESİ/İSKONTO",-$O442,$O442),-$O442)))</f>
        <v/>
      </c>
      <c r="AB442" s="117">
        <f>IF($B442="","",IF(OR($D442="",$E442="",$O442=""),"EKSİK",IF($O442&lt;=0,"SIFIR/NEGATİF",IF(COUNTIFS($C$6:$C$5000,$C442,$O$6:$O$5000,$O442,$B$6:$B$5000,$B442)&gt;1,"MÜKERRER","OK"))))</f>
        <v/>
      </c>
    </row>
    <row r="443" ht="16.5" customHeight="1" s="80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7">
        <f>IF($B443="",0,IF($S443="EVET",IF($D443="GELİR",$O443,-$O443),0))</f>
        <v/>
      </c>
      <c r="AA443" s="117">
        <f>IF($B443="",0,IF(OR($W443="EVET",$X443="EVET",$Y443="EVET"),0,IF($D443="GELİR",IF($E443="SATIŞ İADESİ/İSKONTO",-$O443,$O443),-$O443)))</f>
        <v/>
      </c>
      <c r="AB443" s="117">
        <f>IF($B443="","",IF(OR($D443="",$E443="",$O443=""),"EKSİK",IF($O443&lt;=0,"SIFIR/NEGATİF",IF(COUNTIFS($C$6:$C$5000,$C443,$O$6:$O$5000,$O443,$B$6:$B$5000,$B443)&gt;1,"MÜKERRER","OK"))))</f>
        <v/>
      </c>
    </row>
    <row r="444" ht="16.5" customHeight="1" s="80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7">
        <f>IF($B444="",0,IF($S444="EVET",IF($D444="GELİR",$O444,-$O444),0))</f>
        <v/>
      </c>
      <c r="AA444" s="117">
        <f>IF($B444="",0,IF(OR($W444="EVET",$X444="EVET",$Y444="EVET"),0,IF($D444="GELİR",IF($E444="SATIŞ İADESİ/İSKONTO",-$O444,$O444),-$O444)))</f>
        <v/>
      </c>
      <c r="AB444" s="117">
        <f>IF($B444="","",IF(OR($D444="",$E444="",$O444=""),"EKSİK",IF($O444&lt;=0,"SIFIR/NEGATİF",IF(COUNTIFS($C$6:$C$5000,$C444,$O$6:$O$5000,$O444,$B$6:$B$5000,$B444)&gt;1,"MÜKERRER","OK"))))</f>
        <v/>
      </c>
    </row>
    <row r="445" ht="16.5" customHeight="1" s="80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7">
        <f>IF($B445="",0,IF($S445="EVET",IF($D445="GELİR",$O445,-$O445),0))</f>
        <v/>
      </c>
      <c r="AA445" s="117">
        <f>IF($B445="",0,IF(OR($W445="EVET",$X445="EVET",$Y445="EVET"),0,IF($D445="GELİR",IF($E445="SATIŞ İADESİ/İSKONTO",-$O445,$O445),-$O445)))</f>
        <v/>
      </c>
      <c r="AB445" s="117">
        <f>IF($B445="","",IF(OR($D445="",$E445="",$O445=""),"EKSİK",IF($O445&lt;=0,"SIFIR/NEGATİF",IF(COUNTIFS($C$6:$C$5000,$C445,$O$6:$O$5000,$O445,$B$6:$B$5000,$B445)&gt;1,"MÜKERRER","OK"))))</f>
        <v/>
      </c>
    </row>
    <row r="446" ht="16.5" customHeight="1" s="80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7">
        <f>IF($B446="",0,IF($S446="EVET",IF($D446="GELİR",$O446,-$O446),0))</f>
        <v/>
      </c>
      <c r="AA446" s="117">
        <f>IF($B446="",0,IF(OR($W446="EVET",$X446="EVET",$Y446="EVET"),0,IF($D446="GELİR",IF($E446="SATIŞ İADESİ/İSKONTO",-$O446,$O446),-$O446)))</f>
        <v/>
      </c>
      <c r="AB446" s="117">
        <f>IF($B446="","",IF(OR($D446="",$E446="",$O446=""),"EKSİK",IF($O446&lt;=0,"SIFIR/NEGATİF",IF(COUNTIFS($C$6:$C$5000,$C446,$O$6:$O$5000,$O446,$B$6:$B$5000,$B446)&gt;1,"MÜKERRER","OK"))))</f>
        <v/>
      </c>
    </row>
    <row r="447" ht="16.5" customHeight="1" s="80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7">
        <f>IF($B447="",0,IF($S447="EVET",IF($D447="GELİR",$O447,-$O447),0))</f>
        <v/>
      </c>
      <c r="AA447" s="117">
        <f>IF($B447="",0,IF(OR($W447="EVET",$X447="EVET",$Y447="EVET"),0,IF($D447="GELİR",IF($E447="SATIŞ İADESİ/İSKONTO",-$O447,$O447),-$O447)))</f>
        <v/>
      </c>
      <c r="AB447" s="117">
        <f>IF($B447="","",IF(OR($D447="",$E447="",$O447=""),"EKSİK",IF($O447&lt;=0,"SIFIR/NEGATİF",IF(COUNTIFS($C$6:$C$5000,$C447,$O$6:$O$5000,$O447,$B$6:$B$5000,$B447)&gt;1,"MÜKERRER","OK"))))</f>
        <v/>
      </c>
    </row>
    <row r="448" ht="16.5" customHeight="1" s="80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7">
        <f>IF($B448="",0,IF($S448="EVET",IF($D448="GELİR",$O448,-$O448),0))</f>
        <v/>
      </c>
      <c r="AA448" s="117">
        <f>IF($B448="",0,IF(OR($W448="EVET",$X448="EVET",$Y448="EVET"),0,IF($D448="GELİR",IF($E448="SATIŞ İADESİ/İSKONTO",-$O448,$O448),-$O448)))</f>
        <v/>
      </c>
      <c r="AB448" s="117">
        <f>IF($B448="","",IF(OR($D448="",$E448="",$O448=""),"EKSİK",IF($O448&lt;=0,"SIFIR/NEGATİF",IF(COUNTIFS($C$6:$C$5000,$C448,$O$6:$O$5000,$O448,$B$6:$B$5000,$B448)&gt;1,"MÜKERRER","OK"))))</f>
        <v/>
      </c>
    </row>
    <row r="449" ht="16.5" customHeight="1" s="80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7">
        <f>IF($B449="",0,IF($S449="EVET",IF($D449="GELİR",$O449,-$O449),0))</f>
        <v/>
      </c>
      <c r="AA449" s="117">
        <f>IF($B449="",0,IF(OR($W449="EVET",$X449="EVET",$Y449="EVET"),0,IF($D449="GELİR",IF($E449="SATIŞ İADESİ/İSKONTO",-$O449,$O449),-$O449)))</f>
        <v/>
      </c>
      <c r="AB449" s="117">
        <f>IF($B449="","",IF(OR($D449="",$E449="",$O449=""),"EKSİK",IF($O449&lt;=0,"SIFIR/NEGATİF",IF(COUNTIFS($C$6:$C$5000,$C449,$O$6:$O$5000,$O449,$B$6:$B$5000,$B449)&gt;1,"MÜKERRER","OK"))))</f>
        <v/>
      </c>
    </row>
    <row r="450" ht="16.5" customHeight="1" s="8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7">
        <f>IF($B450="",0,IF($S450="EVET",IF($D450="GELİR",$O450,-$O450),0))</f>
        <v/>
      </c>
      <c r="AA450" s="117">
        <f>IF($B450="",0,IF(OR($W450="EVET",$X450="EVET",$Y450="EVET"),0,IF($D450="GELİR",IF($E450="SATIŞ İADESİ/İSKONTO",-$O450,$O450),-$O450)))</f>
        <v/>
      </c>
      <c r="AB450" s="117">
        <f>IF($B450="","",IF(OR($D450="",$E450="",$O450=""),"EKSİK",IF($O450&lt;=0,"SIFIR/NEGATİF",IF(COUNTIFS($C$6:$C$5000,$C450,$O$6:$O$5000,$O450,$B$6:$B$5000,$B450)&gt;1,"MÜKERRER","OK"))))</f>
        <v/>
      </c>
    </row>
    <row r="451" ht="16.5" customHeight="1" s="80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7">
        <f>IF($B451="",0,IF($S451="EVET",IF($D451="GELİR",$O451,-$O451),0))</f>
        <v/>
      </c>
      <c r="AA451" s="117">
        <f>IF($B451="",0,IF(OR($W451="EVET",$X451="EVET",$Y451="EVET"),0,IF($D451="GELİR",IF($E451="SATIŞ İADESİ/İSKONTO",-$O451,$O451),-$O451)))</f>
        <v/>
      </c>
      <c r="AB451" s="117">
        <f>IF($B451="","",IF(OR($D451="",$E451="",$O451=""),"EKSİK",IF($O451&lt;=0,"SIFIR/NEGATİF",IF(COUNTIFS($C$6:$C$5000,$C451,$O$6:$O$5000,$O451,$B$6:$B$5000,$B451)&gt;1,"MÜKERRER","OK"))))</f>
        <v/>
      </c>
    </row>
    <row r="452" ht="16.5" customHeight="1" s="80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7">
        <f>IF($B452="",0,IF($S452="EVET",IF($D452="GELİR",$O452,-$O452),0))</f>
        <v/>
      </c>
      <c r="AA452" s="117">
        <f>IF($B452="",0,IF(OR($W452="EVET",$X452="EVET",$Y452="EVET"),0,IF($D452="GELİR",IF($E452="SATIŞ İADESİ/İSKONTO",-$O452,$O452),-$O452)))</f>
        <v/>
      </c>
      <c r="AB452" s="117">
        <f>IF($B452="","",IF(OR($D452="",$E452="",$O452=""),"EKSİK",IF($O452&lt;=0,"SIFIR/NEGATİF",IF(COUNTIFS($C$6:$C$5000,$C452,$O$6:$O$5000,$O452,$B$6:$B$5000,$B452)&gt;1,"MÜKERRER","OK"))))</f>
        <v/>
      </c>
    </row>
    <row r="453" ht="16.5" customHeight="1" s="80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7">
        <f>IF($B453="",0,IF($S453="EVET",IF($D453="GELİR",$O453,-$O453),0))</f>
        <v/>
      </c>
      <c r="AA453" s="117">
        <f>IF($B453="",0,IF(OR($W453="EVET",$X453="EVET",$Y453="EVET"),0,IF($D453="GELİR",IF($E453="SATIŞ İADESİ/İSKONTO",-$O453,$O453),-$O453)))</f>
        <v/>
      </c>
      <c r="AB453" s="117">
        <f>IF($B453="","",IF(OR($D453="",$E453="",$O453=""),"EKSİK",IF($O453&lt;=0,"SIFIR/NEGATİF",IF(COUNTIFS($C$6:$C$5000,$C453,$O$6:$O$5000,$O453,$B$6:$B$5000,$B453)&gt;1,"MÜKERRER","OK"))))</f>
        <v/>
      </c>
    </row>
    <row r="454" ht="16.5" customHeight="1" s="80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7">
        <f>IF($B454="",0,IF($S454="EVET",IF($D454="GELİR",$O454,-$O454),0))</f>
        <v/>
      </c>
      <c r="AA454" s="117">
        <f>IF($B454="",0,IF(OR($W454="EVET",$X454="EVET",$Y454="EVET"),0,IF($D454="GELİR",IF($E454="SATIŞ İADESİ/İSKONTO",-$O454,$O454),-$O454)))</f>
        <v/>
      </c>
      <c r="AB454" s="117">
        <f>IF($B454="","",IF(OR($D454="",$E454="",$O454=""),"EKSİK",IF($O454&lt;=0,"SIFIR/NEGATİF",IF(COUNTIFS($C$6:$C$5000,$C454,$O$6:$O$5000,$O454,$B$6:$B$5000,$B454)&gt;1,"MÜKERRER","OK"))))</f>
        <v/>
      </c>
    </row>
    <row r="455" ht="16.5" customHeight="1" s="80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7">
        <f>IF($B455="",0,IF($S455="EVET",IF($D455="GELİR",$O455,-$O455),0))</f>
        <v/>
      </c>
      <c r="AA455" s="117">
        <f>IF($B455="",0,IF(OR($W455="EVET",$X455="EVET",$Y455="EVET"),0,IF($D455="GELİR",IF($E455="SATIŞ İADESİ/İSKONTO",-$O455,$O455),-$O455)))</f>
        <v/>
      </c>
      <c r="AB455" s="117">
        <f>IF($B455="","",IF(OR($D455="",$E455="",$O455=""),"EKSİK",IF($O455&lt;=0,"SIFIR/NEGATİF",IF(COUNTIFS($C$6:$C$5000,$C455,$O$6:$O$5000,$O455,$B$6:$B$5000,$B455)&gt;1,"MÜKERRER","OK"))))</f>
        <v/>
      </c>
    </row>
    <row r="456" ht="16.5" customHeight="1" s="80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7">
        <f>IF($B456="",0,IF($S456="EVET",IF($D456="GELİR",$O456,-$O456),0))</f>
        <v/>
      </c>
      <c r="AA456" s="117">
        <f>IF($B456="",0,IF(OR($W456="EVET",$X456="EVET",$Y456="EVET"),0,IF($D456="GELİR",IF($E456="SATIŞ İADESİ/İSKONTO",-$O456,$O456),-$O456)))</f>
        <v/>
      </c>
      <c r="AB456" s="117">
        <f>IF($B456="","",IF(OR($D456="",$E456="",$O456=""),"EKSİK",IF($O456&lt;=0,"SIFIR/NEGATİF",IF(COUNTIFS($C$6:$C$5000,$C456,$O$6:$O$5000,$O456,$B$6:$B$5000,$B456)&gt;1,"MÜKERRER","OK"))))</f>
        <v/>
      </c>
    </row>
    <row r="457" ht="16.5" customHeight="1" s="80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7">
        <f>IF($B457="",0,IF($S457="EVET",IF($D457="GELİR",$O457,-$O457),0))</f>
        <v/>
      </c>
      <c r="AA457" s="117">
        <f>IF($B457="",0,IF(OR($W457="EVET",$X457="EVET",$Y457="EVET"),0,IF($D457="GELİR",IF($E457="SATIŞ İADESİ/İSKONTO",-$O457,$O457),-$O457)))</f>
        <v/>
      </c>
      <c r="AB457" s="117">
        <f>IF($B457="","",IF(OR($D457="",$E457="",$O457=""),"EKSİK",IF($O457&lt;=0,"SIFIR/NEGATİF",IF(COUNTIFS($C$6:$C$5000,$C457,$O$6:$O$5000,$O457,$B$6:$B$5000,$B457)&gt;1,"MÜKERRER","OK"))))</f>
        <v/>
      </c>
    </row>
    <row r="458" ht="16.5" customHeight="1" s="80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7">
        <f>IF($B458="",0,IF($S458="EVET",IF($D458="GELİR",$O458,-$O458),0))</f>
        <v/>
      </c>
      <c r="AA458" s="117">
        <f>IF($B458="",0,IF(OR($W458="EVET",$X458="EVET",$Y458="EVET"),0,IF($D458="GELİR",IF($E458="SATIŞ İADESİ/İSKONTO",-$O458,$O458),-$O458)))</f>
        <v/>
      </c>
      <c r="AB458" s="117">
        <f>IF($B458="","",IF(OR($D458="",$E458="",$O458=""),"EKSİK",IF($O458&lt;=0,"SIFIR/NEGATİF",IF(COUNTIFS($C$6:$C$5000,$C458,$O$6:$O$5000,$O458,$B$6:$B$5000,$B458)&gt;1,"MÜKERRER","OK"))))</f>
        <v/>
      </c>
    </row>
    <row r="459" ht="16.5" customHeight="1" s="80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7">
        <f>IF($B459="",0,IF($S459="EVET",IF($D459="GELİR",$O459,-$O459),0))</f>
        <v/>
      </c>
      <c r="AA459" s="117">
        <f>IF($B459="",0,IF(OR($W459="EVET",$X459="EVET",$Y459="EVET"),0,IF($D459="GELİR",IF($E459="SATIŞ İADESİ/İSKONTO",-$O459,$O459),-$O459)))</f>
        <v/>
      </c>
      <c r="AB459" s="117">
        <f>IF($B459="","",IF(OR($D459="",$E459="",$O459=""),"EKSİK",IF($O459&lt;=0,"SIFIR/NEGATİF",IF(COUNTIFS($C$6:$C$5000,$C459,$O$6:$O$5000,$O459,$B$6:$B$5000,$B459)&gt;1,"MÜKERRER","OK"))))</f>
        <v/>
      </c>
    </row>
    <row r="460" ht="16.5" customHeight="1" s="8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7">
        <f>IF($B460="",0,IF($S460="EVET",IF($D460="GELİR",$O460,-$O460),0))</f>
        <v/>
      </c>
      <c r="AA460" s="117">
        <f>IF($B460="",0,IF(OR($W460="EVET",$X460="EVET",$Y460="EVET"),0,IF($D460="GELİR",IF($E460="SATIŞ İADESİ/İSKONTO",-$O460,$O460),-$O460)))</f>
        <v/>
      </c>
      <c r="AB460" s="117">
        <f>IF($B460="","",IF(OR($D460="",$E460="",$O460=""),"EKSİK",IF($O460&lt;=0,"SIFIR/NEGATİF",IF(COUNTIFS($C$6:$C$5000,$C460,$O$6:$O$5000,$O460,$B$6:$B$5000,$B460)&gt;1,"MÜKERRER","OK"))))</f>
        <v/>
      </c>
    </row>
    <row r="461" ht="16.5" customHeight="1" s="80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7">
        <f>IF($B461="",0,IF($S461="EVET",IF($D461="GELİR",$O461,-$O461),0))</f>
        <v/>
      </c>
      <c r="AA461" s="117">
        <f>IF($B461="",0,IF(OR($W461="EVET",$X461="EVET",$Y461="EVET"),0,IF($D461="GELİR",IF($E461="SATIŞ İADESİ/İSKONTO",-$O461,$O461),-$O461)))</f>
        <v/>
      </c>
      <c r="AB461" s="117">
        <f>IF($B461="","",IF(OR($D461="",$E461="",$O461=""),"EKSİK",IF($O461&lt;=0,"SIFIR/NEGATİF",IF(COUNTIFS($C$6:$C$5000,$C461,$O$6:$O$5000,$O461,$B$6:$B$5000,$B461)&gt;1,"MÜKERRER","OK"))))</f>
        <v/>
      </c>
    </row>
    <row r="462" ht="16.5" customHeight="1" s="80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7">
        <f>IF($B462="",0,IF($S462="EVET",IF($D462="GELİR",$O462,-$O462),0))</f>
        <v/>
      </c>
      <c r="AA462" s="117">
        <f>IF($B462="",0,IF(OR($W462="EVET",$X462="EVET",$Y462="EVET"),0,IF($D462="GELİR",IF($E462="SATIŞ İADESİ/İSKONTO",-$O462,$O462),-$O462)))</f>
        <v/>
      </c>
      <c r="AB462" s="117">
        <f>IF($B462="","",IF(OR($D462="",$E462="",$O462=""),"EKSİK",IF($O462&lt;=0,"SIFIR/NEGATİF",IF(COUNTIFS($C$6:$C$5000,$C462,$O$6:$O$5000,$O462,$B$6:$B$5000,$B462)&gt;1,"MÜKERRER","OK"))))</f>
        <v/>
      </c>
    </row>
    <row r="463" ht="16.5" customHeight="1" s="80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7">
        <f>IF($B463="",0,IF($S463="EVET",IF($D463="GELİR",$O463,-$O463),0))</f>
        <v/>
      </c>
      <c r="AA463" s="117">
        <f>IF($B463="",0,IF(OR($W463="EVET",$X463="EVET",$Y463="EVET"),0,IF($D463="GELİR",IF($E463="SATIŞ İADESİ/İSKONTO",-$O463,$O463),-$O463)))</f>
        <v/>
      </c>
      <c r="AB463" s="117">
        <f>IF($B463="","",IF(OR($D463="",$E463="",$O463=""),"EKSİK",IF($O463&lt;=0,"SIFIR/NEGATİF",IF(COUNTIFS($C$6:$C$5000,$C463,$O$6:$O$5000,$O463,$B$6:$B$5000,$B463)&gt;1,"MÜKERRER","OK"))))</f>
        <v/>
      </c>
    </row>
    <row r="464" ht="16.5" customHeight="1" s="80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7">
        <f>IF($B464="",0,IF($S464="EVET",IF($D464="GELİR",$O464,-$O464),0))</f>
        <v/>
      </c>
      <c r="AA464" s="117">
        <f>IF($B464="",0,IF(OR($W464="EVET",$X464="EVET",$Y464="EVET"),0,IF($D464="GELİR",IF($E464="SATIŞ İADESİ/İSKONTO",-$O464,$O464),-$O464)))</f>
        <v/>
      </c>
      <c r="AB464" s="117">
        <f>IF($B464="","",IF(OR($D464="",$E464="",$O464=""),"EKSİK",IF($O464&lt;=0,"SIFIR/NEGATİF",IF(COUNTIFS($C$6:$C$5000,$C464,$O$6:$O$5000,$O464,$B$6:$B$5000,$B464)&gt;1,"MÜKERRER","OK"))))</f>
        <v/>
      </c>
    </row>
    <row r="465" ht="16.5" customHeight="1" s="80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7">
        <f>IF($B465="",0,IF($S465="EVET",IF($D465="GELİR",$O465,-$O465),0))</f>
        <v/>
      </c>
      <c r="AA465" s="117">
        <f>IF($B465="",0,IF(OR($W465="EVET",$X465="EVET",$Y465="EVET"),0,IF($D465="GELİR",IF($E465="SATIŞ İADESİ/İSKONTO",-$O465,$O465),-$O465)))</f>
        <v/>
      </c>
      <c r="AB465" s="117">
        <f>IF($B465="","",IF(OR($D465="",$E465="",$O465=""),"EKSİK",IF($O465&lt;=0,"SIFIR/NEGATİF",IF(COUNTIFS($C$6:$C$5000,$C465,$O$6:$O$5000,$O465,$B$6:$B$5000,$B465)&gt;1,"MÜKERRER","OK"))))</f>
        <v/>
      </c>
    </row>
    <row r="466" ht="16.5" customHeight="1" s="80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7">
        <f>IF($B466="",0,IF($S466="EVET",IF($D466="GELİR",$O466,-$O466),0))</f>
        <v/>
      </c>
      <c r="AA466" s="117">
        <f>IF($B466="",0,IF(OR($W466="EVET",$X466="EVET",$Y466="EVET"),0,IF($D466="GELİR",IF($E466="SATIŞ İADESİ/İSKONTO",-$O466,$O466),-$O466)))</f>
        <v/>
      </c>
      <c r="AB466" s="117">
        <f>IF($B466="","",IF(OR($D466="",$E466="",$O466=""),"EKSİK",IF($O466&lt;=0,"SIFIR/NEGATİF",IF(COUNTIFS($C$6:$C$5000,$C466,$O$6:$O$5000,$O466,$B$6:$B$5000,$B466)&gt;1,"MÜKERRER","OK"))))</f>
        <v/>
      </c>
    </row>
    <row r="467" ht="16.5" customHeight="1" s="80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7">
        <f>IF($B467="",0,IF($S467="EVET",IF($D467="GELİR",$O467,-$O467),0))</f>
        <v/>
      </c>
      <c r="AA467" s="117">
        <f>IF($B467="",0,IF(OR($W467="EVET",$X467="EVET",$Y467="EVET"),0,IF($D467="GELİR",IF($E467="SATIŞ İADESİ/İSKONTO",-$O467,$O467),-$O467)))</f>
        <v/>
      </c>
      <c r="AB467" s="117">
        <f>IF($B467="","",IF(OR($D467="",$E467="",$O467=""),"EKSİK",IF($O467&lt;=0,"SIFIR/NEGATİF",IF(COUNTIFS($C$6:$C$5000,$C467,$O$6:$O$5000,$O467,$B$6:$B$5000,$B467)&gt;1,"MÜKERRER","OK"))))</f>
        <v/>
      </c>
    </row>
    <row r="468" ht="16.5" customHeight="1" s="80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7">
        <f>IF($B468="",0,IF($S468="EVET",IF($D468="GELİR",$O468,-$O468),0))</f>
        <v/>
      </c>
      <c r="AA468" s="117">
        <f>IF($B468="",0,IF(OR($W468="EVET",$X468="EVET",$Y468="EVET"),0,IF($D468="GELİR",IF($E468="SATIŞ İADESİ/İSKONTO",-$O468,$O468),-$O468)))</f>
        <v/>
      </c>
      <c r="AB468" s="117">
        <f>IF($B468="","",IF(OR($D468="",$E468="",$O468=""),"EKSİK",IF($O468&lt;=0,"SIFIR/NEGATİF",IF(COUNTIFS($C$6:$C$5000,$C468,$O$6:$O$5000,$O468,$B$6:$B$5000,$B468)&gt;1,"MÜKERRER","OK"))))</f>
        <v/>
      </c>
    </row>
    <row r="469" ht="16.5" customHeight="1" s="80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7">
        <f>IF($B469="",0,IF($S469="EVET",IF($D469="GELİR",$O469,-$O469),0))</f>
        <v/>
      </c>
      <c r="AA469" s="117">
        <f>IF($B469="",0,IF(OR($W469="EVET",$X469="EVET",$Y469="EVET"),0,IF($D469="GELİR",IF($E469="SATIŞ İADESİ/İSKONTO",-$O469,$O469),-$O469)))</f>
        <v/>
      </c>
      <c r="AB469" s="117">
        <f>IF($B469="","",IF(OR($D469="",$E469="",$O469=""),"EKSİK",IF($O469&lt;=0,"SIFIR/NEGATİF",IF(COUNTIFS($C$6:$C$5000,$C469,$O$6:$O$5000,$O469,$B$6:$B$5000,$B469)&gt;1,"MÜKERRER","OK"))))</f>
        <v/>
      </c>
    </row>
    <row r="470" ht="16.5" customHeight="1" s="8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7">
        <f>IF($B470="",0,IF($S470="EVET",IF($D470="GELİR",$O470,-$O470),0))</f>
        <v/>
      </c>
      <c r="AA470" s="117">
        <f>IF($B470="",0,IF(OR($W470="EVET",$X470="EVET",$Y470="EVET"),0,IF($D470="GELİR",IF($E470="SATIŞ İADESİ/İSKONTO",-$O470,$O470),-$O470)))</f>
        <v/>
      </c>
      <c r="AB470" s="117">
        <f>IF($B470="","",IF(OR($D470="",$E470="",$O470=""),"EKSİK",IF($O470&lt;=0,"SIFIR/NEGATİF",IF(COUNTIFS($C$6:$C$5000,$C470,$O$6:$O$5000,$O470,$B$6:$B$5000,$B470)&gt;1,"MÜKERRER","OK"))))</f>
        <v/>
      </c>
    </row>
    <row r="471" ht="16.5" customHeight="1" s="80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7">
        <f>IF($B471="",0,IF($S471="EVET",IF($D471="GELİR",$O471,-$O471),0))</f>
        <v/>
      </c>
      <c r="AA471" s="117">
        <f>IF($B471="",0,IF(OR($W471="EVET",$X471="EVET",$Y471="EVET"),0,IF($D471="GELİR",IF($E471="SATIŞ İADESİ/İSKONTO",-$O471,$O471),-$O471)))</f>
        <v/>
      </c>
      <c r="AB471" s="117">
        <f>IF($B471="","",IF(OR($D471="",$E471="",$O471=""),"EKSİK",IF($O471&lt;=0,"SIFIR/NEGATİF",IF(COUNTIFS($C$6:$C$5000,$C471,$O$6:$O$5000,$O471,$B$6:$B$5000,$B471)&gt;1,"MÜKERRER","OK"))))</f>
        <v/>
      </c>
    </row>
    <row r="472" ht="16.5" customHeight="1" s="80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7">
        <f>IF($B472="",0,IF($S472="EVET",IF($D472="GELİR",$O472,-$O472),0))</f>
        <v/>
      </c>
      <c r="AA472" s="117">
        <f>IF($B472="",0,IF(OR($W472="EVET",$X472="EVET",$Y472="EVET"),0,IF($D472="GELİR",IF($E472="SATIŞ İADESİ/İSKONTO",-$O472,$O472),-$O472)))</f>
        <v/>
      </c>
      <c r="AB472" s="117">
        <f>IF($B472="","",IF(OR($D472="",$E472="",$O472=""),"EKSİK",IF($O472&lt;=0,"SIFIR/NEGATİF",IF(COUNTIFS($C$6:$C$5000,$C472,$O$6:$O$5000,$O472,$B$6:$B$5000,$B472)&gt;1,"MÜKERRER","OK"))))</f>
        <v/>
      </c>
    </row>
    <row r="473" ht="16.5" customHeight="1" s="80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7">
        <f>IF($B473="",0,IF($S473="EVET",IF($D473="GELİR",$O473,-$O473),0))</f>
        <v/>
      </c>
      <c r="AA473" s="117">
        <f>IF($B473="",0,IF(OR($W473="EVET",$X473="EVET",$Y473="EVET"),0,IF($D473="GELİR",IF($E473="SATIŞ İADESİ/İSKONTO",-$O473,$O473),-$O473)))</f>
        <v/>
      </c>
      <c r="AB473" s="117">
        <f>IF($B473="","",IF(OR($D473="",$E473="",$O473=""),"EKSİK",IF($O473&lt;=0,"SIFIR/NEGATİF",IF(COUNTIFS($C$6:$C$5000,$C473,$O$6:$O$5000,$O473,$B$6:$B$5000,$B473)&gt;1,"MÜKERRER","OK"))))</f>
        <v/>
      </c>
    </row>
    <row r="474" ht="16.5" customHeight="1" s="80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7">
        <f>IF($B474="",0,IF($S474="EVET",IF($D474="GELİR",$O474,-$O474),0))</f>
        <v/>
      </c>
      <c r="AA474" s="117">
        <f>IF($B474="",0,IF(OR($W474="EVET",$X474="EVET",$Y474="EVET"),0,IF($D474="GELİR",IF($E474="SATIŞ İADESİ/İSKONTO",-$O474,$O474),-$O474)))</f>
        <v/>
      </c>
      <c r="AB474" s="117">
        <f>IF($B474="","",IF(OR($D474="",$E474="",$O474=""),"EKSİK",IF($O474&lt;=0,"SIFIR/NEGATİF",IF(COUNTIFS($C$6:$C$5000,$C474,$O$6:$O$5000,$O474,$B$6:$B$5000,$B474)&gt;1,"MÜKERRER","OK"))))</f>
        <v/>
      </c>
    </row>
    <row r="475" ht="16.5" customHeight="1" s="80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7">
        <f>IF($B475="",0,IF($S475="EVET",IF($D475="GELİR",$O475,-$O475),0))</f>
        <v/>
      </c>
      <c r="AA475" s="117">
        <f>IF($B475="",0,IF(OR($W475="EVET",$X475="EVET",$Y475="EVET"),0,IF($D475="GELİR",IF($E475="SATIŞ İADESİ/İSKONTO",-$O475,$O475),-$O475)))</f>
        <v/>
      </c>
      <c r="AB475" s="117">
        <f>IF($B475="","",IF(OR($D475="",$E475="",$O475=""),"EKSİK",IF($O475&lt;=0,"SIFIR/NEGATİF",IF(COUNTIFS($C$6:$C$5000,$C475,$O$6:$O$5000,$O475,$B$6:$B$5000,$B475)&gt;1,"MÜKERRER","OK"))))</f>
        <v/>
      </c>
    </row>
    <row r="476" ht="16.5" customHeight="1" s="80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7">
        <f>IF($B476="",0,IF($S476="EVET",IF($D476="GELİR",$O476,-$O476),0))</f>
        <v/>
      </c>
      <c r="AA476" s="117">
        <f>IF($B476="",0,IF(OR($W476="EVET",$X476="EVET",$Y476="EVET"),0,IF($D476="GELİR",IF($E476="SATIŞ İADESİ/İSKONTO",-$O476,$O476),-$O476)))</f>
        <v/>
      </c>
      <c r="AB476" s="117">
        <f>IF($B476="","",IF(OR($D476="",$E476="",$O476=""),"EKSİK",IF($O476&lt;=0,"SIFIR/NEGATİF",IF(COUNTIFS($C$6:$C$5000,$C476,$O$6:$O$5000,$O476,$B$6:$B$5000,$B476)&gt;1,"MÜKERRER","OK"))))</f>
        <v/>
      </c>
    </row>
    <row r="477" ht="16.5" customHeight="1" s="80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7">
        <f>IF($B477="",0,IF($S477="EVET",IF($D477="GELİR",$O477,-$O477),0))</f>
        <v/>
      </c>
      <c r="AA477" s="117">
        <f>IF($B477="",0,IF(OR($W477="EVET",$X477="EVET",$Y477="EVET"),0,IF($D477="GELİR",IF($E477="SATIŞ İADESİ/İSKONTO",-$O477,$O477),-$O477)))</f>
        <v/>
      </c>
      <c r="AB477" s="117">
        <f>IF($B477="","",IF(OR($D477="",$E477="",$O477=""),"EKSİK",IF($O477&lt;=0,"SIFIR/NEGATİF",IF(COUNTIFS($C$6:$C$5000,$C477,$O$6:$O$5000,$O477,$B$6:$B$5000,$B477)&gt;1,"MÜKERRER","OK"))))</f>
        <v/>
      </c>
    </row>
    <row r="478" ht="16.5" customHeight="1" s="80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7">
        <f>IF($B478="",0,IF($S478="EVET",IF($D478="GELİR",$O478,-$O478),0))</f>
        <v/>
      </c>
      <c r="AA478" s="117">
        <f>IF($B478="",0,IF(OR($W478="EVET",$X478="EVET",$Y478="EVET"),0,IF($D478="GELİR",IF($E478="SATIŞ İADESİ/İSKONTO",-$O478,$O478),-$O478)))</f>
        <v/>
      </c>
      <c r="AB478" s="117">
        <f>IF($B478="","",IF(OR($D478="",$E478="",$O478=""),"EKSİK",IF($O478&lt;=0,"SIFIR/NEGATİF",IF(COUNTIFS($C$6:$C$5000,$C478,$O$6:$O$5000,$O478,$B$6:$B$5000,$B478)&gt;1,"MÜKERRER","OK"))))</f>
        <v/>
      </c>
    </row>
    <row r="479" ht="16.5" customHeight="1" s="80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7">
        <f>IF($B479="",0,IF($S479="EVET",IF($D479="GELİR",$O479,-$O479),0))</f>
        <v/>
      </c>
      <c r="AA479" s="117">
        <f>IF($B479="",0,IF(OR($W479="EVET",$X479="EVET",$Y479="EVET"),0,IF($D479="GELİR",IF($E479="SATIŞ İADESİ/İSKONTO",-$O479,$O479),-$O479)))</f>
        <v/>
      </c>
      <c r="AB479" s="117">
        <f>IF($B479="","",IF(OR($D479="",$E479="",$O479=""),"EKSİK",IF($O479&lt;=0,"SIFIR/NEGATİF",IF(COUNTIFS($C$6:$C$5000,$C479,$O$6:$O$5000,$O479,$B$6:$B$5000,$B479)&gt;1,"MÜKERRER","OK"))))</f>
        <v/>
      </c>
    </row>
    <row r="480" ht="16.5" customHeight="1" s="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7">
        <f>IF($B480="",0,IF($S480="EVET",IF($D480="GELİR",$O480,-$O480),0))</f>
        <v/>
      </c>
      <c r="AA480" s="117">
        <f>IF($B480="",0,IF(OR($W480="EVET",$X480="EVET",$Y480="EVET"),0,IF($D480="GELİR",IF($E480="SATIŞ İADESİ/İSKONTO",-$O480,$O480),-$O480)))</f>
        <v/>
      </c>
      <c r="AB480" s="117">
        <f>IF($B480="","",IF(OR($D480="",$E480="",$O480=""),"EKSİK",IF($O480&lt;=0,"SIFIR/NEGATİF",IF(COUNTIFS($C$6:$C$5000,$C480,$O$6:$O$5000,$O480,$B$6:$B$5000,$B480)&gt;1,"MÜKERRER","OK"))))</f>
        <v/>
      </c>
    </row>
    <row r="481" ht="16.5" customHeight="1" s="80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7">
        <f>IF($B481="",0,IF($S481="EVET",IF($D481="GELİR",$O481,-$O481),0))</f>
        <v/>
      </c>
      <c r="AA481" s="117">
        <f>IF($B481="",0,IF(OR($W481="EVET",$X481="EVET",$Y481="EVET"),0,IF($D481="GELİR",IF($E481="SATIŞ İADESİ/İSKONTO",-$O481,$O481),-$O481)))</f>
        <v/>
      </c>
      <c r="AB481" s="117">
        <f>IF($B481="","",IF(OR($D481="",$E481="",$O481=""),"EKSİK",IF($O481&lt;=0,"SIFIR/NEGATİF",IF(COUNTIFS($C$6:$C$5000,$C481,$O$6:$O$5000,$O481,$B$6:$B$5000,$B481)&gt;1,"MÜKERRER","OK"))))</f>
        <v/>
      </c>
    </row>
    <row r="482" ht="16.5" customHeight="1" s="80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7">
        <f>IF($B482="",0,IF($S482="EVET",IF($D482="GELİR",$O482,-$O482),0))</f>
        <v/>
      </c>
      <c r="AA482" s="117">
        <f>IF($B482="",0,IF(OR($W482="EVET",$X482="EVET",$Y482="EVET"),0,IF($D482="GELİR",IF($E482="SATIŞ İADESİ/İSKONTO",-$O482,$O482),-$O482)))</f>
        <v/>
      </c>
      <c r="AB482" s="117">
        <f>IF($B482="","",IF(OR($D482="",$E482="",$O482=""),"EKSİK",IF($O482&lt;=0,"SIFIR/NEGATİF",IF(COUNTIFS($C$6:$C$5000,$C482,$O$6:$O$5000,$O482,$B$6:$B$5000,$B482)&gt;1,"MÜKERRER","OK"))))</f>
        <v/>
      </c>
    </row>
    <row r="483" ht="16.5" customHeight="1" s="80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7">
        <f>IF($B483="",0,IF($S483="EVET",IF($D483="GELİR",$O483,-$O483),0))</f>
        <v/>
      </c>
      <c r="AA483" s="117">
        <f>IF($B483="",0,IF(OR($W483="EVET",$X483="EVET",$Y483="EVET"),0,IF($D483="GELİR",IF($E483="SATIŞ İADESİ/İSKONTO",-$O483,$O483),-$O483)))</f>
        <v/>
      </c>
      <c r="AB483" s="117">
        <f>IF($B483="","",IF(OR($D483="",$E483="",$O483=""),"EKSİK",IF($O483&lt;=0,"SIFIR/NEGATİF",IF(COUNTIFS($C$6:$C$5000,$C483,$O$6:$O$5000,$O483,$B$6:$B$5000,$B483)&gt;1,"MÜKERRER","OK"))))</f>
        <v/>
      </c>
    </row>
    <row r="484" ht="16.5" customHeight="1" s="80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7">
        <f>IF($B484="",0,IF($S484="EVET",IF($D484="GELİR",$O484,-$O484),0))</f>
        <v/>
      </c>
      <c r="AA484" s="117">
        <f>IF($B484="",0,IF(OR($W484="EVET",$X484="EVET",$Y484="EVET"),0,IF($D484="GELİR",IF($E484="SATIŞ İADESİ/İSKONTO",-$O484,$O484),-$O484)))</f>
        <v/>
      </c>
      <c r="AB484" s="117">
        <f>IF($B484="","",IF(OR($D484="",$E484="",$O484=""),"EKSİK",IF($O484&lt;=0,"SIFIR/NEGATİF",IF(COUNTIFS($C$6:$C$5000,$C484,$O$6:$O$5000,$O484,$B$6:$B$5000,$B484)&gt;1,"MÜKERRER","OK"))))</f>
        <v/>
      </c>
    </row>
    <row r="485" ht="16.5" customHeight="1" s="80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7">
        <f>IF($B485="",0,IF($S485="EVET",IF($D485="GELİR",$O485,-$O485),0))</f>
        <v/>
      </c>
      <c r="AA485" s="117">
        <f>IF($B485="",0,IF(OR($W485="EVET",$X485="EVET",$Y485="EVET"),0,IF($D485="GELİR",IF($E485="SATIŞ İADESİ/İSKONTO",-$O485,$O485),-$O485)))</f>
        <v/>
      </c>
      <c r="AB485" s="117">
        <f>IF($B485="","",IF(OR($D485="",$E485="",$O485=""),"EKSİK",IF($O485&lt;=0,"SIFIR/NEGATİF",IF(COUNTIFS($C$6:$C$5000,$C485,$O$6:$O$5000,$O485,$B$6:$B$5000,$B485)&gt;1,"MÜKERRER","OK"))))</f>
        <v/>
      </c>
    </row>
    <row r="486" ht="16.5" customHeight="1" s="80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7">
        <f>IF($B486="",0,IF($S486="EVET",IF($D486="GELİR",$O486,-$O486),0))</f>
        <v/>
      </c>
      <c r="AA486" s="117">
        <f>IF($B486="",0,IF(OR($W486="EVET",$X486="EVET",$Y486="EVET"),0,IF($D486="GELİR",IF($E486="SATIŞ İADESİ/İSKONTO",-$O486,$O486),-$O486)))</f>
        <v/>
      </c>
      <c r="AB486" s="117">
        <f>IF($B486="","",IF(OR($D486="",$E486="",$O486=""),"EKSİK",IF($O486&lt;=0,"SIFIR/NEGATİF",IF(COUNTIFS($C$6:$C$5000,$C486,$O$6:$O$5000,$O486,$B$6:$B$5000,$B486)&gt;1,"MÜKERRER","OK"))))</f>
        <v/>
      </c>
    </row>
    <row r="487" ht="16.5" customHeight="1" s="80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7">
        <f>IF($B487="",0,IF($S487="EVET",IF($D487="GELİR",$O487,-$O487),0))</f>
        <v/>
      </c>
      <c r="AA487" s="117">
        <f>IF($B487="",0,IF(OR($W487="EVET",$X487="EVET",$Y487="EVET"),0,IF($D487="GELİR",IF($E487="SATIŞ İADESİ/İSKONTO",-$O487,$O487),-$O487)))</f>
        <v/>
      </c>
      <c r="AB487" s="117">
        <f>IF($B487="","",IF(OR($D487="",$E487="",$O487=""),"EKSİK",IF($O487&lt;=0,"SIFIR/NEGATİF",IF(COUNTIFS($C$6:$C$5000,$C487,$O$6:$O$5000,$O487,$B$6:$B$5000,$B487)&gt;1,"MÜKERRER","OK"))))</f>
        <v/>
      </c>
    </row>
    <row r="488" ht="16.5" customHeight="1" s="80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7">
        <f>IF($B488="",0,IF($S488="EVET",IF($D488="GELİR",$O488,-$O488),0))</f>
        <v/>
      </c>
      <c r="AA488" s="117">
        <f>IF($B488="",0,IF(OR($W488="EVET",$X488="EVET",$Y488="EVET"),0,IF($D488="GELİR",IF($E488="SATIŞ İADESİ/İSKONTO",-$O488,$O488),-$O488)))</f>
        <v/>
      </c>
      <c r="AB488" s="117">
        <f>IF($B488="","",IF(OR($D488="",$E488="",$O488=""),"EKSİK",IF($O488&lt;=0,"SIFIR/NEGATİF",IF(COUNTIFS($C$6:$C$5000,$C488,$O$6:$O$5000,$O488,$B$6:$B$5000,$B488)&gt;1,"MÜKERRER","OK"))))</f>
        <v/>
      </c>
    </row>
    <row r="489" ht="16.5" customHeight="1" s="80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7">
        <f>IF($B489="",0,IF($S489="EVET",IF($D489="GELİR",$O489,-$O489),0))</f>
        <v/>
      </c>
      <c r="AA489" s="117">
        <f>IF($B489="",0,IF(OR($W489="EVET",$X489="EVET",$Y489="EVET"),0,IF($D489="GELİR",IF($E489="SATIŞ İADESİ/İSKONTO",-$O489,$O489),-$O489)))</f>
        <v/>
      </c>
      <c r="AB489" s="117">
        <f>IF($B489="","",IF(OR($D489="",$E489="",$O489=""),"EKSİK",IF($O489&lt;=0,"SIFIR/NEGATİF",IF(COUNTIFS($C$6:$C$5000,$C489,$O$6:$O$5000,$O489,$B$6:$B$5000,$B489)&gt;1,"MÜKERRER","OK"))))</f>
        <v/>
      </c>
    </row>
    <row r="490" ht="16.5" customHeight="1" s="8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7">
        <f>IF($B490="",0,IF($S490="EVET",IF($D490="GELİR",$O490,-$O490),0))</f>
        <v/>
      </c>
      <c r="AA490" s="117">
        <f>IF($B490="",0,IF(OR($W490="EVET",$X490="EVET",$Y490="EVET"),0,IF($D490="GELİR",IF($E490="SATIŞ İADESİ/İSKONTO",-$O490,$O490),-$O490)))</f>
        <v/>
      </c>
      <c r="AB490" s="117">
        <f>IF($B490="","",IF(OR($D490="",$E490="",$O490=""),"EKSİK",IF($O490&lt;=0,"SIFIR/NEGATİF",IF(COUNTIFS($C$6:$C$5000,$C490,$O$6:$O$5000,$O490,$B$6:$B$5000,$B490)&gt;1,"MÜKERRER","OK"))))</f>
        <v/>
      </c>
    </row>
    <row r="491" ht="16.5" customHeight="1" s="80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7">
        <f>IF($B491="",0,IF($S491="EVET",IF($D491="GELİR",$O491,-$O491),0))</f>
        <v/>
      </c>
      <c r="AA491" s="117">
        <f>IF($B491="",0,IF(OR($W491="EVET",$X491="EVET",$Y491="EVET"),0,IF($D491="GELİR",IF($E491="SATIŞ İADESİ/İSKONTO",-$O491,$O491),-$O491)))</f>
        <v/>
      </c>
      <c r="AB491" s="117">
        <f>IF($B491="","",IF(OR($D491="",$E491="",$O491=""),"EKSİK",IF($O491&lt;=0,"SIFIR/NEGATİF",IF(COUNTIFS($C$6:$C$5000,$C491,$O$6:$O$5000,$O491,$B$6:$B$5000,$B491)&gt;1,"MÜKERRER","OK"))))</f>
        <v/>
      </c>
    </row>
    <row r="492" ht="16.5" customHeight="1" s="80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7">
        <f>IF($B492="",0,IF($S492="EVET",IF($D492="GELİR",$O492,-$O492),0))</f>
        <v/>
      </c>
      <c r="AA492" s="117">
        <f>IF($B492="",0,IF(OR($W492="EVET",$X492="EVET",$Y492="EVET"),0,IF($D492="GELİR",IF($E492="SATIŞ İADESİ/İSKONTO",-$O492,$O492),-$O492)))</f>
        <v/>
      </c>
      <c r="AB492" s="117">
        <f>IF($B492="","",IF(OR($D492="",$E492="",$O492=""),"EKSİK",IF($O492&lt;=0,"SIFIR/NEGATİF",IF(COUNTIFS($C$6:$C$5000,$C492,$O$6:$O$5000,$O492,$B$6:$B$5000,$B492)&gt;1,"MÜKERRER","OK"))))</f>
        <v/>
      </c>
    </row>
    <row r="493" ht="16.5" customHeight="1" s="80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7">
        <f>IF($B493="",0,IF($S493="EVET",IF($D493="GELİR",$O493,-$O493),0))</f>
        <v/>
      </c>
      <c r="AA493" s="117">
        <f>IF($B493="",0,IF(OR($W493="EVET",$X493="EVET",$Y493="EVET"),0,IF($D493="GELİR",IF($E493="SATIŞ İADESİ/İSKONTO",-$O493,$O493),-$O493)))</f>
        <v/>
      </c>
      <c r="AB493" s="117">
        <f>IF($B493="","",IF(OR($D493="",$E493="",$O493=""),"EKSİK",IF($O493&lt;=0,"SIFIR/NEGATİF",IF(COUNTIFS($C$6:$C$5000,$C493,$O$6:$O$5000,$O493,$B$6:$B$5000,$B493)&gt;1,"MÜKERRER","OK"))))</f>
        <v/>
      </c>
    </row>
    <row r="494" ht="16.5" customHeight="1" s="80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7">
        <f>IF($B494="",0,IF($S494="EVET",IF($D494="GELİR",$O494,-$O494),0))</f>
        <v/>
      </c>
      <c r="AA494" s="117">
        <f>IF($B494="",0,IF(OR($W494="EVET",$X494="EVET",$Y494="EVET"),0,IF($D494="GELİR",IF($E494="SATIŞ İADESİ/İSKONTO",-$O494,$O494),-$O494)))</f>
        <v/>
      </c>
      <c r="AB494" s="117">
        <f>IF($B494="","",IF(OR($D494="",$E494="",$O494=""),"EKSİK",IF($O494&lt;=0,"SIFIR/NEGATİF",IF(COUNTIFS($C$6:$C$5000,$C494,$O$6:$O$5000,$O494,$B$6:$B$5000,$B494)&gt;1,"MÜKERRER","OK"))))</f>
        <v/>
      </c>
    </row>
    <row r="495" ht="16.5" customHeight="1" s="80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7">
        <f>IF($B495="",0,IF($S495="EVET",IF($D495="GELİR",$O495,-$O495),0))</f>
        <v/>
      </c>
      <c r="AA495" s="117">
        <f>IF($B495="",0,IF(OR($W495="EVET",$X495="EVET",$Y495="EVET"),0,IF($D495="GELİR",IF($E495="SATIŞ İADESİ/İSKONTO",-$O495,$O495),-$O495)))</f>
        <v/>
      </c>
      <c r="AB495" s="117">
        <f>IF($B495="","",IF(OR($D495="",$E495="",$O495=""),"EKSİK",IF($O495&lt;=0,"SIFIR/NEGATİF",IF(COUNTIFS($C$6:$C$5000,$C495,$O$6:$O$5000,$O495,$B$6:$B$5000,$B495)&gt;1,"MÜKERRER","OK"))))</f>
        <v/>
      </c>
    </row>
    <row r="496" ht="16.5" customHeight="1" s="80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7">
        <f>IF($B496="",0,IF($S496="EVET",IF($D496="GELİR",$O496,-$O496),0))</f>
        <v/>
      </c>
      <c r="AA496" s="117">
        <f>IF($B496="",0,IF(OR($W496="EVET",$X496="EVET",$Y496="EVET"),0,IF($D496="GELİR",IF($E496="SATIŞ İADESİ/İSKONTO",-$O496,$O496),-$O496)))</f>
        <v/>
      </c>
      <c r="AB496" s="117">
        <f>IF($B496="","",IF(OR($D496="",$E496="",$O496=""),"EKSİK",IF($O496&lt;=0,"SIFIR/NEGATİF",IF(COUNTIFS($C$6:$C$5000,$C496,$O$6:$O$5000,$O496,$B$6:$B$5000,$B496)&gt;1,"MÜKERRER","OK"))))</f>
        <v/>
      </c>
    </row>
    <row r="497" ht="16.5" customHeight="1" s="80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7">
        <f>IF($B497="",0,IF($S497="EVET",IF($D497="GELİR",$O497,-$O497),0))</f>
        <v/>
      </c>
      <c r="AA497" s="117">
        <f>IF($B497="",0,IF(OR($W497="EVET",$X497="EVET",$Y497="EVET"),0,IF($D497="GELİR",IF($E497="SATIŞ İADESİ/İSKONTO",-$O497,$O497),-$O497)))</f>
        <v/>
      </c>
      <c r="AB497" s="117">
        <f>IF($B497="","",IF(OR($D497="",$E497="",$O497=""),"EKSİK",IF($O497&lt;=0,"SIFIR/NEGATİF",IF(COUNTIFS($C$6:$C$5000,$C497,$O$6:$O$5000,$O497,$B$6:$B$5000,$B497)&gt;1,"MÜKERRER","OK"))))</f>
        <v/>
      </c>
    </row>
    <row r="498" ht="16.5" customHeight="1" s="80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7">
        <f>IF($B498="",0,IF($S498="EVET",IF($D498="GELİR",$O498,-$O498),0))</f>
        <v/>
      </c>
      <c r="AA498" s="117">
        <f>IF($B498="",0,IF(OR($W498="EVET",$X498="EVET",$Y498="EVET"),0,IF($D498="GELİR",IF($E498="SATIŞ İADESİ/İSKONTO",-$O498,$O498),-$O498)))</f>
        <v/>
      </c>
      <c r="AB498" s="117">
        <f>IF($B498="","",IF(OR($D498="",$E498="",$O498=""),"EKSİK",IF($O498&lt;=0,"SIFIR/NEGATİF",IF(COUNTIFS($C$6:$C$5000,$C498,$O$6:$O$5000,$O498,$B$6:$B$5000,$B498)&gt;1,"MÜKERRER","OK"))))</f>
        <v/>
      </c>
    </row>
    <row r="499" ht="16.5" customHeight="1" s="80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7">
        <f>IF($B499="",0,IF($S499="EVET",IF($D499="GELİR",$O499,-$O499),0))</f>
        <v/>
      </c>
      <c r="AA499" s="117">
        <f>IF($B499="",0,IF(OR($W499="EVET",$X499="EVET",$Y499="EVET"),0,IF($D499="GELİR",IF($E499="SATIŞ İADESİ/İSKONTO",-$O499,$O499),-$O499)))</f>
        <v/>
      </c>
      <c r="AB499" s="117">
        <f>IF($B499="","",IF(OR($D499="",$E499="",$O499=""),"EKSİK",IF($O499&lt;=0,"SIFIR/NEGATİF",IF(COUNTIFS($C$6:$C$5000,$C499,$O$6:$O$5000,$O499,$B$6:$B$5000,$B499)&gt;1,"MÜKERRER","OK"))))</f>
        <v/>
      </c>
    </row>
    <row r="500" ht="16.5" customHeight="1" s="8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7">
        <f>IF($B500="",0,IF($S500="EVET",IF($D500="GELİR",$O500,-$O500),0))</f>
        <v/>
      </c>
      <c r="AA500" s="117">
        <f>IF($B500="",0,IF(OR($W500="EVET",$X500="EVET",$Y500="EVET"),0,IF($D500="GELİR",IF($E500="SATIŞ İADESİ/İSKONTO",-$O500,$O500),-$O500)))</f>
        <v/>
      </c>
      <c r="AB500" s="117">
        <f>IF($B500="","",IF(OR($D500="",$E500="",$O500=""),"EKSİK",IF($O500&lt;=0,"SIFIR/NEGATİF",IF(COUNTIFS($C$6:$C$5000,$C500,$O$6:$O$5000,$O500,$B$6:$B$5000,$B500)&gt;1,"MÜKERRER","OK"))))</f>
        <v/>
      </c>
    </row>
    <row r="501" ht="16.5" customHeight="1" s="80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7">
        <f>IF($B501="",0,IF($S501="EVET",IF($D501="GELİR",$O501,-$O501),0))</f>
        <v/>
      </c>
      <c r="AA501" s="117">
        <f>IF($B501="",0,IF(OR($W501="EVET",$X501="EVET",$Y501="EVET"),0,IF($D501="GELİR",IF($E501="SATIŞ İADESİ/İSKONTO",-$O501,$O501),-$O501)))</f>
        <v/>
      </c>
      <c r="AB501" s="117">
        <f>IF($B501="","",IF(OR($D501="",$E501="",$O501=""),"EKSİK",IF($O501&lt;=0,"SIFIR/NEGATİF",IF(COUNTIFS($C$6:$C$5000,$C501,$O$6:$O$5000,$O501,$B$6:$B$5000,$B501)&gt;1,"MÜKERRER","OK"))))</f>
        <v/>
      </c>
    </row>
    <row r="502" ht="16.5" customHeight="1" s="80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7">
        <f>IF($B502="",0,IF($S502="EVET",IF($D502="GELİR",$O502,-$O502),0))</f>
        <v/>
      </c>
      <c r="AA502" s="117">
        <f>IF($B502="",0,IF(OR($W502="EVET",$X502="EVET",$Y502="EVET"),0,IF($D502="GELİR",IF($E502="SATIŞ İADESİ/İSKONTO",-$O502,$O502),-$O502)))</f>
        <v/>
      </c>
      <c r="AB502" s="117">
        <f>IF($B502="","",IF(OR($D502="",$E502="",$O502=""),"EKSİK",IF($O502&lt;=0,"SIFIR/NEGATİF",IF(COUNTIFS($C$6:$C$5000,$C502,$O$6:$O$5000,$O502,$B$6:$B$5000,$B502)&gt;1,"MÜKERRER","OK"))))</f>
        <v/>
      </c>
    </row>
    <row r="503" ht="16.5" customHeight="1" s="80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7">
        <f>IF($B503="",0,IF($S503="EVET",IF($D503="GELİR",$O503,-$O503),0))</f>
        <v/>
      </c>
      <c r="AA503" s="117">
        <f>IF($B503="",0,IF(OR($W503="EVET",$X503="EVET",$Y503="EVET"),0,IF($D503="GELİR",IF($E503="SATIŞ İADESİ/İSKONTO",-$O503,$O503),-$O503)))</f>
        <v/>
      </c>
      <c r="AB503" s="117">
        <f>IF($B503="","",IF(OR($D503="",$E503="",$O503=""),"EKSİK",IF($O503&lt;=0,"SIFIR/NEGATİF",IF(COUNTIFS($C$6:$C$5000,$C503,$O$6:$O$5000,$O503,$B$6:$B$5000,$B503)&gt;1,"MÜKERRER","OK"))))</f>
        <v/>
      </c>
    </row>
    <row r="504" ht="16.5" customHeight="1" s="80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7">
        <f>IF($B504="",0,IF($S504="EVET",IF($D504="GELİR",$O504,-$O504),0))</f>
        <v/>
      </c>
      <c r="AA504" s="117">
        <f>IF($B504="",0,IF(OR($W504="EVET",$X504="EVET",$Y504="EVET"),0,IF($D504="GELİR",IF($E504="SATIŞ İADESİ/İSKONTO",-$O504,$O504),-$O504)))</f>
        <v/>
      </c>
      <c r="AB504" s="117">
        <f>IF($B504="","",IF(OR($D504="",$E504="",$O504=""),"EKSİK",IF($O504&lt;=0,"SIFIR/NEGATİF",IF(COUNTIFS($C$6:$C$5000,$C504,$O$6:$O$5000,$O504,$B$6:$B$5000,$B504)&gt;1,"MÜKERRER","OK"))))</f>
        <v/>
      </c>
    </row>
    <row r="505" ht="16.5" customHeight="1" s="80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7">
        <f>IF($B505="",0,IF($S505="EVET",IF($D505="GELİR",$O505,-$O505),0))</f>
        <v/>
      </c>
      <c r="AA505" s="117">
        <f>IF($B505="",0,IF(OR($W505="EVET",$X505="EVET",$Y505="EVET"),0,IF($D505="GELİR",IF($E505="SATIŞ İADESİ/İSKONTO",-$O505,$O505),-$O505)))</f>
        <v/>
      </c>
      <c r="AB505" s="117">
        <f>IF($B505="","",IF(OR($D505="",$E505="",$O505=""),"EKSİK",IF($O505&lt;=0,"SIFIR/NEGATİF",IF(COUNTIFS($C$6:$C$5000,$C505,$O$6:$O$5000,$O505,$B$6:$B$5000,$B505)&gt;1,"MÜKERRER","OK"))))</f>
        <v/>
      </c>
    </row>
    <row r="506" ht="16.5" customHeight="1" s="80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7">
        <f>IF($B506="",0,IF($S506="EVET",IF($D506="GELİR",$O506,-$O506),0))</f>
        <v/>
      </c>
      <c r="AA506" s="117">
        <f>IF($B506="",0,IF(OR($W506="EVET",$X506="EVET",$Y506="EVET"),0,IF($D506="GELİR",IF($E506="SATIŞ İADESİ/İSKONTO",-$O506,$O506),-$O506)))</f>
        <v/>
      </c>
      <c r="AB506" s="117">
        <f>IF($B506="","",IF(OR($D506="",$E506="",$O506=""),"EKSİK",IF($O506&lt;=0,"SIFIR/NEGATİF",IF(COUNTIFS($C$6:$C$5000,$C506,$O$6:$O$5000,$O506,$B$6:$B$5000,$B506)&gt;1,"MÜKERRER","OK"))))</f>
        <v/>
      </c>
    </row>
    <row r="507" ht="16.5" customHeight="1" s="80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7">
        <f>IF($B507="",0,IF($S507="EVET",IF($D507="GELİR",$O507,-$O507),0))</f>
        <v/>
      </c>
      <c r="AA507" s="117">
        <f>IF($B507="",0,IF(OR($W507="EVET",$X507="EVET",$Y507="EVET"),0,IF($D507="GELİR",IF($E507="SATIŞ İADESİ/İSKONTO",-$O507,$O507),-$O507)))</f>
        <v/>
      </c>
      <c r="AB507" s="117">
        <f>IF($B507="","",IF(OR($D507="",$E507="",$O507=""),"EKSİK",IF($O507&lt;=0,"SIFIR/NEGATİF",IF(COUNTIFS($C$6:$C$5000,$C507,$O$6:$O$5000,$O507,$B$6:$B$5000,$B507)&gt;1,"MÜKERRER","OK"))))</f>
        <v/>
      </c>
    </row>
    <row r="508" ht="16.5" customHeight="1" s="80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7">
        <f>IF($B508="",0,IF($S508="EVET",IF($D508="GELİR",$O508,-$O508),0))</f>
        <v/>
      </c>
      <c r="AA508" s="117">
        <f>IF($B508="",0,IF(OR($W508="EVET",$X508="EVET",$Y508="EVET"),0,IF($D508="GELİR",IF($E508="SATIŞ İADESİ/İSKONTO",-$O508,$O508),-$O508)))</f>
        <v/>
      </c>
      <c r="AB508" s="117">
        <f>IF($B508="","",IF(OR($D508="",$E508="",$O508=""),"EKSİK",IF($O508&lt;=0,"SIFIR/NEGATİF",IF(COUNTIFS($C$6:$C$5000,$C508,$O$6:$O$5000,$O508,$B$6:$B$5000,$B508)&gt;1,"MÜKERRER","OK"))))</f>
        <v/>
      </c>
    </row>
    <row r="509" ht="16.5" customHeight="1" s="80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7">
        <f>IF($B509="",0,IF($S509="EVET",IF($D509="GELİR",$O509,-$O509),0))</f>
        <v/>
      </c>
      <c r="AA509" s="117">
        <f>IF($B509="",0,IF(OR($W509="EVET",$X509="EVET",$Y509="EVET"),0,IF($D509="GELİR",IF($E509="SATIŞ İADESİ/İSKONTO",-$O509,$O509),-$O509)))</f>
        <v/>
      </c>
      <c r="AB509" s="117">
        <f>IF($B509="","",IF(OR($D509="",$E509="",$O509=""),"EKSİK",IF($O509&lt;=0,"SIFIR/NEGATİF",IF(COUNTIFS($C$6:$C$5000,$C509,$O$6:$O$5000,$O509,$B$6:$B$5000,$B509)&gt;1,"MÜKERRER","OK"))))</f>
        <v/>
      </c>
    </row>
    <row r="510" ht="16.5" customHeight="1" s="8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7">
        <f>IF($B510="",0,IF($S510="EVET",IF($D510="GELİR",$O510,-$O510),0))</f>
        <v/>
      </c>
      <c r="AA510" s="117">
        <f>IF($B510="",0,IF(OR($W510="EVET",$X510="EVET",$Y510="EVET"),0,IF($D510="GELİR",IF($E510="SATIŞ İADESİ/İSKONTO",-$O510,$O510),-$O510)))</f>
        <v/>
      </c>
      <c r="AB510" s="117">
        <f>IF($B510="","",IF(OR($D510="",$E510="",$O510=""),"EKSİK",IF($O510&lt;=0,"SIFIR/NEGATİF",IF(COUNTIFS($C$6:$C$5000,$C510,$O$6:$O$5000,$O510,$B$6:$B$5000,$B510)&gt;1,"MÜKERRER","OK"))))</f>
        <v/>
      </c>
    </row>
    <row r="511" ht="16.5" customHeight="1" s="80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7">
        <f>IF($B511="",0,IF($S511="EVET",IF($D511="GELİR",$O511,-$O511),0))</f>
        <v/>
      </c>
      <c r="AA511" s="117">
        <f>IF($B511="",0,IF(OR($W511="EVET",$X511="EVET",$Y511="EVET"),0,IF($D511="GELİR",IF($E511="SATIŞ İADESİ/İSKONTO",-$O511,$O511),-$O511)))</f>
        <v/>
      </c>
      <c r="AB511" s="117">
        <f>IF($B511="","",IF(OR($D511="",$E511="",$O511=""),"EKSİK",IF($O511&lt;=0,"SIFIR/NEGATİF",IF(COUNTIFS($C$6:$C$5000,$C511,$O$6:$O$5000,$O511,$B$6:$B$5000,$B511)&gt;1,"MÜKERRER","OK"))))</f>
        <v/>
      </c>
    </row>
    <row r="512" ht="16.5" customHeight="1" s="80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7">
        <f>IF($B512="",0,IF($S512="EVET",IF($D512="GELİR",$O512,-$O512),0))</f>
        <v/>
      </c>
      <c r="AA512" s="117">
        <f>IF($B512="",0,IF(OR($W512="EVET",$X512="EVET",$Y512="EVET"),0,IF($D512="GELİR",IF($E512="SATIŞ İADESİ/İSKONTO",-$O512,$O512),-$O512)))</f>
        <v/>
      </c>
      <c r="AB512" s="117">
        <f>IF($B512="","",IF(OR($D512="",$E512="",$O512=""),"EKSİK",IF($O512&lt;=0,"SIFIR/NEGATİF",IF(COUNTIFS($C$6:$C$5000,$C512,$O$6:$O$5000,$O512,$B$6:$B$5000,$B512)&gt;1,"MÜKERRER","OK"))))</f>
        <v/>
      </c>
    </row>
    <row r="513" ht="16.5" customHeight="1" s="80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7">
        <f>IF($B513="",0,IF($S513="EVET",IF($D513="GELİR",$O513,-$O513),0))</f>
        <v/>
      </c>
      <c r="AA513" s="117">
        <f>IF($B513="",0,IF(OR($W513="EVET",$X513="EVET",$Y513="EVET"),0,IF($D513="GELİR",IF($E513="SATIŞ İADESİ/İSKONTO",-$O513,$O513),-$O513)))</f>
        <v/>
      </c>
      <c r="AB513" s="117">
        <f>IF($B513="","",IF(OR($D513="",$E513="",$O513=""),"EKSİK",IF($O513&lt;=0,"SIFIR/NEGATİF",IF(COUNTIFS($C$6:$C$5000,$C513,$O$6:$O$5000,$O513,$B$6:$B$5000,$B513)&gt;1,"MÜKERRER","OK"))))</f>
        <v/>
      </c>
    </row>
    <row r="514" ht="16.5" customHeight="1" s="80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7">
        <f>IF($B514="",0,IF($S514="EVET",IF($D514="GELİR",$O514,-$O514),0))</f>
        <v/>
      </c>
      <c r="AA514" s="117">
        <f>IF($B514="",0,IF(OR($W514="EVET",$X514="EVET",$Y514="EVET"),0,IF($D514="GELİR",IF($E514="SATIŞ İADESİ/İSKONTO",-$O514,$O514),-$O514)))</f>
        <v/>
      </c>
      <c r="AB514" s="117">
        <f>IF($B514="","",IF(OR($D514="",$E514="",$O514=""),"EKSİK",IF($O514&lt;=0,"SIFIR/NEGATİF",IF(COUNTIFS($C$6:$C$5000,$C514,$O$6:$O$5000,$O514,$B$6:$B$5000,$B514)&gt;1,"MÜKERRER","OK"))))</f>
        <v/>
      </c>
    </row>
    <row r="515" ht="16.5" customHeight="1" s="80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7">
        <f>IF($B515="",0,IF($S515="EVET",IF($D515="GELİR",$O515,-$O515),0))</f>
        <v/>
      </c>
      <c r="AA515" s="117">
        <f>IF($B515="",0,IF(OR($W515="EVET",$X515="EVET",$Y515="EVET"),0,IF($D515="GELİR",IF($E515="SATIŞ İADESİ/İSKONTO",-$O515,$O515),-$O515)))</f>
        <v/>
      </c>
      <c r="AB515" s="117">
        <f>IF($B515="","",IF(OR($D515="",$E515="",$O515=""),"EKSİK",IF($O515&lt;=0,"SIFIR/NEGATİF",IF(COUNTIFS($C$6:$C$5000,$C515,$O$6:$O$5000,$O515,$B$6:$B$5000,$B515)&gt;1,"MÜKERRER","OK"))))</f>
        <v/>
      </c>
    </row>
    <row r="516" ht="16.5" customHeight="1" s="80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7">
        <f>IF($B516="",0,IF($S516="EVET",IF($D516="GELİR",$O516,-$O516),0))</f>
        <v/>
      </c>
      <c r="AA516" s="117">
        <f>IF($B516="",0,IF(OR($W516="EVET",$X516="EVET",$Y516="EVET"),0,IF($D516="GELİR",IF($E516="SATIŞ İADESİ/İSKONTO",-$O516,$O516),-$O516)))</f>
        <v/>
      </c>
      <c r="AB516" s="117">
        <f>IF($B516="","",IF(OR($D516="",$E516="",$O516=""),"EKSİK",IF($O516&lt;=0,"SIFIR/NEGATİF",IF(COUNTIFS($C$6:$C$5000,$C516,$O$6:$O$5000,$O516,$B$6:$B$5000,$B516)&gt;1,"MÜKERRER","OK"))))</f>
        <v/>
      </c>
    </row>
    <row r="517" ht="16.5" customHeight="1" s="80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7">
        <f>IF($B517="",0,IF($S517="EVET",IF($D517="GELİR",$O517,-$O517),0))</f>
        <v/>
      </c>
      <c r="AA517" s="117">
        <f>IF($B517="",0,IF(OR($W517="EVET",$X517="EVET",$Y517="EVET"),0,IF($D517="GELİR",IF($E517="SATIŞ İADESİ/İSKONTO",-$O517,$O517),-$O517)))</f>
        <v/>
      </c>
      <c r="AB517" s="117">
        <f>IF($B517="","",IF(OR($D517="",$E517="",$O517=""),"EKSİK",IF($O517&lt;=0,"SIFIR/NEGATİF",IF(COUNTIFS($C$6:$C$5000,$C517,$O$6:$O$5000,$O517,$B$6:$B$5000,$B517)&gt;1,"MÜKERRER","OK"))))</f>
        <v/>
      </c>
    </row>
    <row r="518" ht="16.5" customHeight="1" s="80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7">
        <f>IF($B518="",0,IF($S518="EVET",IF($D518="GELİR",$O518,-$O518),0))</f>
        <v/>
      </c>
      <c r="AA518" s="117">
        <f>IF($B518="",0,IF(OR($W518="EVET",$X518="EVET",$Y518="EVET"),0,IF($D518="GELİR",IF($E518="SATIŞ İADESİ/İSKONTO",-$O518,$O518),-$O518)))</f>
        <v/>
      </c>
      <c r="AB518" s="117">
        <f>IF($B518="","",IF(OR($D518="",$E518="",$O518=""),"EKSİK",IF($O518&lt;=0,"SIFIR/NEGATİF",IF(COUNTIFS($C$6:$C$5000,$C518,$O$6:$O$5000,$O518,$B$6:$B$5000,$B518)&gt;1,"MÜKERRER","OK"))))</f>
        <v/>
      </c>
    </row>
    <row r="519" ht="16.5" customHeight="1" s="80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7">
        <f>IF($B519="",0,IF($S519="EVET",IF($D519="GELİR",$O519,-$O519),0))</f>
        <v/>
      </c>
      <c r="AA519" s="117">
        <f>IF($B519="",0,IF(OR($W519="EVET",$X519="EVET",$Y519="EVET"),0,IF($D519="GELİR",IF($E519="SATIŞ İADESİ/İSKONTO",-$O519,$O519),-$O519)))</f>
        <v/>
      </c>
      <c r="AB519" s="117">
        <f>IF($B519="","",IF(OR($D519="",$E519="",$O519=""),"EKSİK",IF($O519&lt;=0,"SIFIR/NEGATİF",IF(COUNTIFS($C$6:$C$5000,$C519,$O$6:$O$5000,$O519,$B$6:$B$5000,$B519)&gt;1,"MÜKERRER","OK"))))</f>
        <v/>
      </c>
    </row>
    <row r="520" ht="16.5" customHeight="1" s="8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7">
        <f>IF($B520="",0,IF($S520="EVET",IF($D520="GELİR",$O520,-$O520),0))</f>
        <v/>
      </c>
      <c r="AA520" s="117">
        <f>IF($B520="",0,IF(OR($W520="EVET",$X520="EVET",$Y520="EVET"),0,IF($D520="GELİR",IF($E520="SATIŞ İADESİ/İSKONTO",-$O520,$O520),-$O520)))</f>
        <v/>
      </c>
      <c r="AB520" s="117">
        <f>IF($B520="","",IF(OR($D520="",$E520="",$O520=""),"EKSİK",IF($O520&lt;=0,"SIFIR/NEGATİF",IF(COUNTIFS($C$6:$C$5000,$C520,$O$6:$O$5000,$O520,$B$6:$B$5000,$B520)&gt;1,"MÜKERRER","OK"))))</f>
        <v/>
      </c>
    </row>
    <row r="521" ht="16.5" customHeight="1" s="80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7">
        <f>IF($B521="",0,IF($S521="EVET",IF($D521="GELİR",$O521,-$O521),0))</f>
        <v/>
      </c>
      <c r="AA521" s="117">
        <f>IF($B521="",0,IF(OR($W521="EVET",$X521="EVET",$Y521="EVET"),0,IF($D521="GELİR",IF($E521="SATIŞ İADESİ/İSKONTO",-$O521,$O521),-$O521)))</f>
        <v/>
      </c>
      <c r="AB521" s="117">
        <f>IF($B521="","",IF(OR($D521="",$E521="",$O521=""),"EKSİK",IF($O521&lt;=0,"SIFIR/NEGATİF",IF(COUNTIFS($C$6:$C$5000,$C521,$O$6:$O$5000,$O521,$B$6:$B$5000,$B521)&gt;1,"MÜKERRER","OK"))))</f>
        <v/>
      </c>
    </row>
    <row r="522" ht="16.5" customHeight="1" s="80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7">
        <f>IF($B522="",0,IF($S522="EVET",IF($D522="GELİR",$O522,-$O522),0))</f>
        <v/>
      </c>
      <c r="AA522" s="117">
        <f>IF($B522="",0,IF(OR($W522="EVET",$X522="EVET",$Y522="EVET"),0,IF($D522="GELİR",IF($E522="SATIŞ İADESİ/İSKONTO",-$O522,$O522),-$O522)))</f>
        <v/>
      </c>
      <c r="AB522" s="117">
        <f>IF($B522="","",IF(OR($D522="",$E522="",$O522=""),"EKSİK",IF($O522&lt;=0,"SIFIR/NEGATİF",IF(COUNTIFS($C$6:$C$5000,$C522,$O$6:$O$5000,$O522,$B$6:$B$5000,$B522)&gt;1,"MÜKERRER","OK"))))</f>
        <v/>
      </c>
    </row>
    <row r="523" ht="16.5" customHeight="1" s="80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7">
        <f>IF($B523="",0,IF($S523="EVET",IF($D523="GELİR",$O523,-$O523),0))</f>
        <v/>
      </c>
      <c r="AA523" s="117">
        <f>IF($B523="",0,IF(OR($W523="EVET",$X523="EVET",$Y523="EVET"),0,IF($D523="GELİR",IF($E523="SATIŞ İADESİ/İSKONTO",-$O523,$O523),-$O523)))</f>
        <v/>
      </c>
      <c r="AB523" s="117">
        <f>IF($B523="","",IF(OR($D523="",$E523="",$O523=""),"EKSİK",IF($O523&lt;=0,"SIFIR/NEGATİF",IF(COUNTIFS($C$6:$C$5000,$C523,$O$6:$O$5000,$O523,$B$6:$B$5000,$B523)&gt;1,"MÜKERRER","OK"))))</f>
        <v/>
      </c>
    </row>
    <row r="524" ht="16.5" customHeight="1" s="80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7">
        <f>IF($B524="",0,IF($S524="EVET",IF($D524="GELİR",$O524,-$O524),0))</f>
        <v/>
      </c>
      <c r="AA524" s="117">
        <f>IF($B524="",0,IF(OR($W524="EVET",$X524="EVET",$Y524="EVET"),0,IF($D524="GELİR",IF($E524="SATIŞ İADESİ/İSKONTO",-$O524,$O524),-$O524)))</f>
        <v/>
      </c>
      <c r="AB524" s="117">
        <f>IF($B524="","",IF(OR($D524="",$E524="",$O524=""),"EKSİK",IF($O524&lt;=0,"SIFIR/NEGATİF",IF(COUNTIFS($C$6:$C$5000,$C524,$O$6:$O$5000,$O524,$B$6:$B$5000,$B524)&gt;1,"MÜKERRER","OK"))))</f>
        <v/>
      </c>
    </row>
    <row r="525" ht="16.5" customHeight="1" s="80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7">
        <f>IF($B525="",0,IF($S525="EVET",IF($D525="GELİR",$O525,-$O525),0))</f>
        <v/>
      </c>
      <c r="AA525" s="117">
        <f>IF($B525="",0,IF(OR($W525="EVET",$X525="EVET",$Y525="EVET"),0,IF($D525="GELİR",IF($E525="SATIŞ İADESİ/İSKONTO",-$O525,$O525),-$O525)))</f>
        <v/>
      </c>
      <c r="AB525" s="117">
        <f>IF($B525="","",IF(OR($D525="",$E525="",$O525=""),"EKSİK",IF($O525&lt;=0,"SIFIR/NEGATİF",IF(COUNTIFS($C$6:$C$5000,$C525,$O$6:$O$5000,$O525,$B$6:$B$5000,$B525)&gt;1,"MÜKERRER","OK"))))</f>
        <v/>
      </c>
    </row>
    <row r="526" ht="16.5" customHeight="1" s="80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7">
        <f>IF($B526="",0,IF($S526="EVET",IF($D526="GELİR",$O526,-$O526),0))</f>
        <v/>
      </c>
      <c r="AA526" s="117">
        <f>IF($B526="",0,IF(OR($W526="EVET",$X526="EVET",$Y526="EVET"),0,IF($D526="GELİR",IF($E526="SATIŞ İADESİ/İSKONTO",-$O526,$O526),-$O526)))</f>
        <v/>
      </c>
      <c r="AB526" s="117">
        <f>IF($B526="","",IF(OR($D526="",$E526="",$O526=""),"EKSİK",IF($O526&lt;=0,"SIFIR/NEGATİF",IF(COUNTIFS($C$6:$C$5000,$C526,$O$6:$O$5000,$O526,$B$6:$B$5000,$B526)&gt;1,"MÜKERRER","OK"))))</f>
        <v/>
      </c>
    </row>
    <row r="527" ht="16.5" customHeight="1" s="80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7">
        <f>IF($B527="",0,IF($S527="EVET",IF($D527="GELİR",$O527,-$O527),0))</f>
        <v/>
      </c>
      <c r="AA527" s="117">
        <f>IF($B527="",0,IF(OR($W527="EVET",$X527="EVET",$Y527="EVET"),0,IF($D527="GELİR",IF($E527="SATIŞ İADESİ/İSKONTO",-$O527,$O527),-$O527)))</f>
        <v/>
      </c>
      <c r="AB527" s="117">
        <f>IF($B527="","",IF(OR($D527="",$E527="",$O527=""),"EKSİK",IF($O527&lt;=0,"SIFIR/NEGATİF",IF(COUNTIFS($C$6:$C$5000,$C527,$O$6:$O$5000,$O527,$B$6:$B$5000,$B527)&gt;1,"MÜKERRER","OK"))))</f>
        <v/>
      </c>
    </row>
    <row r="528" ht="16.5" customHeight="1" s="80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7">
        <f>IF($B528="",0,IF($S528="EVET",IF($D528="GELİR",$O528,-$O528),0))</f>
        <v/>
      </c>
      <c r="AA528" s="117">
        <f>IF($B528="",0,IF(OR($W528="EVET",$X528="EVET",$Y528="EVET"),0,IF($D528="GELİR",IF($E528="SATIŞ İADESİ/İSKONTO",-$O528,$O528),-$O528)))</f>
        <v/>
      </c>
      <c r="AB528" s="117">
        <f>IF($B528="","",IF(OR($D528="",$E528="",$O528=""),"EKSİK",IF($O528&lt;=0,"SIFIR/NEGATİF",IF(COUNTIFS($C$6:$C$5000,$C528,$O$6:$O$5000,$O528,$B$6:$B$5000,$B528)&gt;1,"MÜKERRER","OK"))))</f>
        <v/>
      </c>
    </row>
    <row r="529" ht="16.5" customHeight="1" s="80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7">
        <f>IF($B529="",0,IF($S529="EVET",IF($D529="GELİR",$O529,-$O529),0))</f>
        <v/>
      </c>
      <c r="AA529" s="117">
        <f>IF($B529="",0,IF(OR($W529="EVET",$X529="EVET",$Y529="EVET"),0,IF($D529="GELİR",IF($E529="SATIŞ İADESİ/İSKONTO",-$O529,$O529),-$O529)))</f>
        <v/>
      </c>
      <c r="AB529" s="117">
        <f>IF($B529="","",IF(OR($D529="",$E529="",$O529=""),"EKSİK",IF($O529&lt;=0,"SIFIR/NEGATİF",IF(COUNTIFS($C$6:$C$5000,$C529,$O$6:$O$5000,$O529,$B$6:$B$5000,$B529)&gt;1,"MÜKERRER","OK"))))</f>
        <v/>
      </c>
    </row>
    <row r="530" ht="16.5" customHeight="1" s="8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7">
        <f>IF($B530="",0,IF($S530="EVET",IF($D530="GELİR",$O530,-$O530),0))</f>
        <v/>
      </c>
      <c r="AA530" s="117">
        <f>IF($B530="",0,IF(OR($W530="EVET",$X530="EVET",$Y530="EVET"),0,IF($D530="GELİR",IF($E530="SATIŞ İADESİ/İSKONTO",-$O530,$O530),-$O530)))</f>
        <v/>
      </c>
      <c r="AB530" s="117">
        <f>IF($B530="","",IF(OR($D530="",$E530="",$O530=""),"EKSİK",IF($O530&lt;=0,"SIFIR/NEGATİF",IF(COUNTIFS($C$6:$C$5000,$C530,$O$6:$O$5000,$O530,$B$6:$B$5000,$B530)&gt;1,"MÜKERRER","OK"))))</f>
        <v/>
      </c>
    </row>
    <row r="531" ht="16.5" customHeight="1" s="80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7">
        <f>IF($B531="",0,IF($S531="EVET",IF($D531="GELİR",$O531,-$O531),0))</f>
        <v/>
      </c>
      <c r="AA531" s="117">
        <f>IF($B531="",0,IF(OR($W531="EVET",$X531="EVET",$Y531="EVET"),0,IF($D531="GELİR",IF($E531="SATIŞ İADESİ/İSKONTO",-$O531,$O531),-$O531)))</f>
        <v/>
      </c>
      <c r="AB531" s="117">
        <f>IF($B531="","",IF(OR($D531="",$E531="",$O531=""),"EKSİK",IF($O531&lt;=0,"SIFIR/NEGATİF",IF(COUNTIFS($C$6:$C$5000,$C531,$O$6:$O$5000,$O531,$B$6:$B$5000,$B531)&gt;1,"MÜKERRER","OK"))))</f>
        <v/>
      </c>
    </row>
    <row r="532" ht="16.5" customHeight="1" s="80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7">
        <f>IF($B532="",0,IF($S532="EVET",IF($D532="GELİR",$O532,-$O532),0))</f>
        <v/>
      </c>
      <c r="AA532" s="117">
        <f>IF($B532="",0,IF(OR($W532="EVET",$X532="EVET",$Y532="EVET"),0,IF($D532="GELİR",IF($E532="SATIŞ İADESİ/İSKONTO",-$O532,$O532),-$O532)))</f>
        <v/>
      </c>
      <c r="AB532" s="117">
        <f>IF($B532="","",IF(OR($D532="",$E532="",$O532=""),"EKSİK",IF($O532&lt;=0,"SIFIR/NEGATİF",IF(COUNTIFS($C$6:$C$5000,$C532,$O$6:$O$5000,$O532,$B$6:$B$5000,$B532)&gt;1,"MÜKERRER","OK"))))</f>
        <v/>
      </c>
    </row>
    <row r="533" ht="16.5" customHeight="1" s="80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7">
        <f>IF($B533="",0,IF($S533="EVET",IF($D533="GELİR",$O533,-$O533),0))</f>
        <v/>
      </c>
      <c r="AA533" s="117">
        <f>IF($B533="",0,IF(OR($W533="EVET",$X533="EVET",$Y533="EVET"),0,IF($D533="GELİR",IF($E533="SATIŞ İADESİ/İSKONTO",-$O533,$O533),-$O533)))</f>
        <v/>
      </c>
      <c r="AB533" s="117">
        <f>IF($B533="","",IF(OR($D533="",$E533="",$O533=""),"EKSİK",IF($O533&lt;=0,"SIFIR/NEGATİF",IF(COUNTIFS($C$6:$C$5000,$C533,$O$6:$O$5000,$O533,$B$6:$B$5000,$B533)&gt;1,"MÜKERRER","OK"))))</f>
        <v/>
      </c>
    </row>
    <row r="534" ht="16.5" customHeight="1" s="80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7">
        <f>IF($B534="",0,IF($S534="EVET",IF($D534="GELİR",$O534,-$O534),0))</f>
        <v/>
      </c>
      <c r="AA534" s="117">
        <f>IF($B534="",0,IF(OR($W534="EVET",$X534="EVET",$Y534="EVET"),0,IF($D534="GELİR",IF($E534="SATIŞ İADESİ/İSKONTO",-$O534,$O534),-$O534)))</f>
        <v/>
      </c>
      <c r="AB534" s="117">
        <f>IF($B534="","",IF(OR($D534="",$E534="",$O534=""),"EKSİK",IF($O534&lt;=0,"SIFIR/NEGATİF",IF(COUNTIFS($C$6:$C$5000,$C534,$O$6:$O$5000,$O534,$B$6:$B$5000,$B534)&gt;1,"MÜKERRER","OK"))))</f>
        <v/>
      </c>
    </row>
    <row r="535" ht="16.5" customHeight="1" s="80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7">
        <f>IF($B535="",0,IF($S535="EVET",IF($D535="GELİR",$O535,-$O535),0))</f>
        <v/>
      </c>
      <c r="AA535" s="117">
        <f>IF($B535="",0,IF(OR($W535="EVET",$X535="EVET",$Y535="EVET"),0,IF($D535="GELİR",IF($E535="SATIŞ İADESİ/İSKONTO",-$O535,$O535),-$O535)))</f>
        <v/>
      </c>
      <c r="AB535" s="117">
        <f>IF($B535="","",IF(OR($D535="",$E535="",$O535=""),"EKSİK",IF($O535&lt;=0,"SIFIR/NEGATİF",IF(COUNTIFS($C$6:$C$5000,$C535,$O$6:$O$5000,$O535,$B$6:$B$5000,$B535)&gt;1,"MÜKERRER","OK"))))</f>
        <v/>
      </c>
    </row>
    <row r="536" ht="16.5" customHeight="1" s="80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7">
        <f>IF($B536="",0,IF($S536="EVET",IF($D536="GELİR",$O536,-$O536),0))</f>
        <v/>
      </c>
      <c r="AA536" s="117">
        <f>IF($B536="",0,IF(OR($W536="EVET",$X536="EVET",$Y536="EVET"),0,IF($D536="GELİR",IF($E536="SATIŞ İADESİ/İSKONTO",-$O536,$O536),-$O536)))</f>
        <v/>
      </c>
      <c r="AB536" s="117">
        <f>IF($B536="","",IF(OR($D536="",$E536="",$O536=""),"EKSİK",IF($O536&lt;=0,"SIFIR/NEGATİF",IF(COUNTIFS($C$6:$C$5000,$C536,$O$6:$O$5000,$O536,$B$6:$B$5000,$B536)&gt;1,"MÜKERRER","OK"))))</f>
        <v/>
      </c>
    </row>
    <row r="537" ht="16.5" customHeight="1" s="80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7">
        <f>IF($B537="",0,IF($S537="EVET",IF($D537="GELİR",$O537,-$O537),0))</f>
        <v/>
      </c>
      <c r="AA537" s="117">
        <f>IF($B537="",0,IF(OR($W537="EVET",$X537="EVET",$Y537="EVET"),0,IF($D537="GELİR",IF($E537="SATIŞ İADESİ/İSKONTO",-$O537,$O537),-$O537)))</f>
        <v/>
      </c>
      <c r="AB537" s="117">
        <f>IF($B537="","",IF(OR($D537="",$E537="",$O537=""),"EKSİK",IF($O537&lt;=0,"SIFIR/NEGATİF",IF(COUNTIFS($C$6:$C$5000,$C537,$O$6:$O$5000,$O537,$B$6:$B$5000,$B537)&gt;1,"MÜKERRER","OK"))))</f>
        <v/>
      </c>
    </row>
    <row r="538" ht="16.5" customHeight="1" s="80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7">
        <f>IF($B538="",0,IF($S538="EVET",IF($D538="GELİR",$O538,-$O538),0))</f>
        <v/>
      </c>
      <c r="AA538" s="117">
        <f>IF($B538="",0,IF(OR($W538="EVET",$X538="EVET",$Y538="EVET"),0,IF($D538="GELİR",IF($E538="SATIŞ İADESİ/İSKONTO",-$O538,$O538),-$O538)))</f>
        <v/>
      </c>
      <c r="AB538" s="117">
        <f>IF($B538="","",IF(OR($D538="",$E538="",$O538=""),"EKSİK",IF($O538&lt;=0,"SIFIR/NEGATİF",IF(COUNTIFS($C$6:$C$5000,$C538,$O$6:$O$5000,$O538,$B$6:$B$5000,$B538)&gt;1,"MÜKERRER","OK"))))</f>
        <v/>
      </c>
    </row>
    <row r="539" ht="16.5" customHeight="1" s="80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7">
        <f>IF($B539="",0,IF($S539="EVET",IF($D539="GELİR",$O539,-$O539),0))</f>
        <v/>
      </c>
      <c r="AA539" s="117">
        <f>IF($B539="",0,IF(OR($W539="EVET",$X539="EVET",$Y539="EVET"),0,IF($D539="GELİR",IF($E539="SATIŞ İADESİ/İSKONTO",-$O539,$O539),-$O539)))</f>
        <v/>
      </c>
      <c r="AB539" s="117">
        <f>IF($B539="","",IF(OR($D539="",$E539="",$O539=""),"EKSİK",IF($O539&lt;=0,"SIFIR/NEGATİF",IF(COUNTIFS($C$6:$C$5000,$C539,$O$6:$O$5000,$O539,$B$6:$B$5000,$B539)&gt;1,"MÜKERRER","OK"))))</f>
        <v/>
      </c>
    </row>
    <row r="540" ht="16.5" customHeight="1" s="8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7">
        <f>IF($B540="",0,IF($S540="EVET",IF($D540="GELİR",$O540,-$O540),0))</f>
        <v/>
      </c>
      <c r="AA540" s="117">
        <f>IF($B540="",0,IF(OR($W540="EVET",$X540="EVET",$Y540="EVET"),0,IF($D540="GELİR",IF($E540="SATIŞ İADESİ/İSKONTO",-$O540,$O540),-$O540)))</f>
        <v/>
      </c>
      <c r="AB540" s="117">
        <f>IF($B540="","",IF(OR($D540="",$E540="",$O540=""),"EKSİK",IF($O540&lt;=0,"SIFIR/NEGATİF",IF(COUNTIFS($C$6:$C$5000,$C540,$O$6:$O$5000,$O540,$B$6:$B$5000,$B540)&gt;1,"MÜKERRER","OK"))))</f>
        <v/>
      </c>
    </row>
    <row r="541" ht="16.5" customHeight="1" s="80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7">
        <f>IF($B541="",0,IF($S541="EVET",IF($D541="GELİR",$O541,-$O541),0))</f>
        <v/>
      </c>
      <c r="AA541" s="117">
        <f>IF($B541="",0,IF(OR($W541="EVET",$X541="EVET",$Y541="EVET"),0,IF($D541="GELİR",IF($E541="SATIŞ İADESİ/İSKONTO",-$O541,$O541),-$O541)))</f>
        <v/>
      </c>
      <c r="AB541" s="117">
        <f>IF($B541="","",IF(OR($D541="",$E541="",$O541=""),"EKSİK",IF($O541&lt;=0,"SIFIR/NEGATİF",IF(COUNTIFS($C$6:$C$5000,$C541,$O$6:$O$5000,$O541,$B$6:$B$5000,$B541)&gt;1,"MÜKERRER","OK"))))</f>
        <v/>
      </c>
    </row>
    <row r="542" ht="16.5" customHeight="1" s="80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7">
        <f>IF($B542="",0,IF($S542="EVET",IF($D542="GELİR",$O542,-$O542),0))</f>
        <v/>
      </c>
      <c r="AA542" s="117">
        <f>IF($B542="",0,IF(OR($W542="EVET",$X542="EVET",$Y542="EVET"),0,IF($D542="GELİR",IF($E542="SATIŞ İADESİ/İSKONTO",-$O542,$O542),-$O542)))</f>
        <v/>
      </c>
      <c r="AB542" s="117">
        <f>IF($B542="","",IF(OR($D542="",$E542="",$O542=""),"EKSİK",IF($O542&lt;=0,"SIFIR/NEGATİF",IF(COUNTIFS($C$6:$C$5000,$C542,$O$6:$O$5000,$O542,$B$6:$B$5000,$B542)&gt;1,"MÜKERRER","OK"))))</f>
        <v/>
      </c>
    </row>
    <row r="543" ht="16.5" customHeight="1" s="80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7">
        <f>IF($B543="",0,IF($S543="EVET",IF($D543="GELİR",$O543,-$O543),0))</f>
        <v/>
      </c>
      <c r="AA543" s="117">
        <f>IF($B543="",0,IF(OR($W543="EVET",$X543="EVET",$Y543="EVET"),0,IF($D543="GELİR",IF($E543="SATIŞ İADESİ/İSKONTO",-$O543,$O543),-$O543)))</f>
        <v/>
      </c>
      <c r="AB543" s="117">
        <f>IF($B543="","",IF(OR($D543="",$E543="",$O543=""),"EKSİK",IF($O543&lt;=0,"SIFIR/NEGATİF",IF(COUNTIFS($C$6:$C$5000,$C543,$O$6:$O$5000,$O543,$B$6:$B$5000,$B543)&gt;1,"MÜKERRER","OK"))))</f>
        <v/>
      </c>
    </row>
    <row r="544" ht="16.5" customHeight="1" s="80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7">
        <f>IF($B544="",0,IF($S544="EVET",IF($D544="GELİR",$O544,-$O544),0))</f>
        <v/>
      </c>
      <c r="AA544" s="117">
        <f>IF($B544="",0,IF(OR($W544="EVET",$X544="EVET",$Y544="EVET"),0,IF($D544="GELİR",IF($E544="SATIŞ İADESİ/İSKONTO",-$O544,$O544),-$O544)))</f>
        <v/>
      </c>
      <c r="AB544" s="117">
        <f>IF($B544="","",IF(OR($D544="",$E544="",$O544=""),"EKSİK",IF($O544&lt;=0,"SIFIR/NEGATİF",IF(COUNTIFS($C$6:$C$5000,$C544,$O$6:$O$5000,$O544,$B$6:$B$5000,$B544)&gt;1,"MÜKERRER","OK"))))</f>
        <v/>
      </c>
    </row>
    <row r="545" ht="16.5" customHeight="1" s="80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7">
        <f>IF($B545="",0,IF($S545="EVET",IF($D545="GELİR",$O545,-$O545),0))</f>
        <v/>
      </c>
      <c r="AA545" s="117">
        <f>IF($B545="",0,IF(OR($W545="EVET",$X545="EVET",$Y545="EVET"),0,IF($D545="GELİR",IF($E545="SATIŞ İADESİ/İSKONTO",-$O545,$O545),-$O545)))</f>
        <v/>
      </c>
      <c r="AB545" s="117">
        <f>IF($B545="","",IF(OR($D545="",$E545="",$O545=""),"EKSİK",IF($O545&lt;=0,"SIFIR/NEGATİF",IF(COUNTIFS($C$6:$C$5000,$C545,$O$6:$O$5000,$O545,$B$6:$B$5000,$B545)&gt;1,"MÜKERRER","OK"))))</f>
        <v/>
      </c>
    </row>
    <row r="546" ht="16.5" customHeight="1" s="80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7">
        <f>IF($B546="",0,IF($S546="EVET",IF($D546="GELİR",$O546,-$O546),0))</f>
        <v/>
      </c>
      <c r="AA546" s="117">
        <f>IF($B546="",0,IF(OR($W546="EVET",$X546="EVET",$Y546="EVET"),0,IF($D546="GELİR",IF($E546="SATIŞ İADESİ/İSKONTO",-$O546,$O546),-$O546)))</f>
        <v/>
      </c>
      <c r="AB546" s="117">
        <f>IF($B546="","",IF(OR($D546="",$E546="",$O546=""),"EKSİK",IF($O546&lt;=0,"SIFIR/NEGATİF",IF(COUNTIFS($C$6:$C$5000,$C546,$O$6:$O$5000,$O546,$B$6:$B$5000,$B546)&gt;1,"MÜKERRER","OK"))))</f>
        <v/>
      </c>
    </row>
    <row r="547" ht="16.5" customHeight="1" s="80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7">
        <f>IF($B547="",0,IF($S547="EVET",IF($D547="GELİR",$O547,-$O547),0))</f>
        <v/>
      </c>
      <c r="AA547" s="117">
        <f>IF($B547="",0,IF(OR($W547="EVET",$X547="EVET",$Y547="EVET"),0,IF($D547="GELİR",IF($E547="SATIŞ İADESİ/İSKONTO",-$O547,$O547),-$O547)))</f>
        <v/>
      </c>
      <c r="AB547" s="117">
        <f>IF($B547="","",IF(OR($D547="",$E547="",$O547=""),"EKSİK",IF($O547&lt;=0,"SIFIR/NEGATİF",IF(COUNTIFS($C$6:$C$5000,$C547,$O$6:$O$5000,$O547,$B$6:$B$5000,$B547)&gt;1,"MÜKERRER","OK"))))</f>
        <v/>
      </c>
    </row>
    <row r="548" ht="16.5" customHeight="1" s="80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7">
        <f>IF($B548="",0,IF($S548="EVET",IF($D548="GELİR",$O548,-$O548),0))</f>
        <v/>
      </c>
      <c r="AA548" s="117">
        <f>IF($B548="",0,IF(OR($W548="EVET",$X548="EVET",$Y548="EVET"),0,IF($D548="GELİR",IF($E548="SATIŞ İADESİ/İSKONTO",-$O548,$O548),-$O548)))</f>
        <v/>
      </c>
      <c r="AB548" s="117">
        <f>IF($B548="","",IF(OR($D548="",$E548="",$O548=""),"EKSİK",IF($O548&lt;=0,"SIFIR/NEGATİF",IF(COUNTIFS($C$6:$C$5000,$C548,$O$6:$O$5000,$O548,$B$6:$B$5000,$B548)&gt;1,"MÜKERRER","OK"))))</f>
        <v/>
      </c>
    </row>
    <row r="549" ht="16.5" customHeight="1" s="80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7">
        <f>IF($B549="",0,IF($S549="EVET",IF($D549="GELİR",$O549,-$O549),0))</f>
        <v/>
      </c>
      <c r="AA549" s="117">
        <f>IF($B549="",0,IF(OR($W549="EVET",$X549="EVET",$Y549="EVET"),0,IF($D549="GELİR",IF($E549="SATIŞ İADESİ/İSKONTO",-$O549,$O549),-$O549)))</f>
        <v/>
      </c>
      <c r="AB549" s="117">
        <f>IF($B549="","",IF(OR($D549="",$E549="",$O549=""),"EKSİK",IF($O549&lt;=0,"SIFIR/NEGATİF",IF(COUNTIFS($C$6:$C$5000,$C549,$O$6:$O$5000,$O549,$B$6:$B$5000,$B549)&gt;1,"MÜKERRER","OK"))))</f>
        <v/>
      </c>
    </row>
    <row r="550" ht="16.5" customHeight="1" s="8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7">
        <f>IF($B550="",0,IF($S550="EVET",IF($D550="GELİR",$O550,-$O550),0))</f>
        <v/>
      </c>
      <c r="AA550" s="117">
        <f>IF($B550="",0,IF(OR($W550="EVET",$X550="EVET",$Y550="EVET"),0,IF($D550="GELİR",IF($E550="SATIŞ İADESİ/İSKONTO",-$O550,$O550),-$O550)))</f>
        <v/>
      </c>
      <c r="AB550" s="117">
        <f>IF($B550="","",IF(OR($D550="",$E550="",$O550=""),"EKSİK",IF($O550&lt;=0,"SIFIR/NEGATİF",IF(COUNTIFS($C$6:$C$5000,$C550,$O$6:$O$5000,$O550,$B$6:$B$5000,$B550)&gt;1,"MÜKERRER","OK"))))</f>
        <v/>
      </c>
    </row>
    <row r="551" ht="16.5" customHeight="1" s="80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7">
        <f>IF($B551="",0,IF($S551="EVET",IF($D551="GELİR",$O551,-$O551),0))</f>
        <v/>
      </c>
      <c r="AA551" s="117">
        <f>IF($B551="",0,IF(OR($W551="EVET",$X551="EVET",$Y551="EVET"),0,IF($D551="GELİR",IF($E551="SATIŞ İADESİ/İSKONTO",-$O551,$O551),-$O551)))</f>
        <v/>
      </c>
      <c r="AB551" s="117">
        <f>IF($B551="","",IF(OR($D551="",$E551="",$O551=""),"EKSİK",IF($O551&lt;=0,"SIFIR/NEGATİF",IF(COUNTIFS($C$6:$C$5000,$C551,$O$6:$O$5000,$O551,$B$6:$B$5000,$B551)&gt;1,"MÜKERRER","OK"))))</f>
        <v/>
      </c>
    </row>
    <row r="552" ht="16.5" customHeight="1" s="80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7">
        <f>IF($B552="",0,IF($S552="EVET",IF($D552="GELİR",$O552,-$O552),0))</f>
        <v/>
      </c>
      <c r="AA552" s="117">
        <f>IF($B552="",0,IF(OR($W552="EVET",$X552="EVET",$Y552="EVET"),0,IF($D552="GELİR",IF($E552="SATIŞ İADESİ/İSKONTO",-$O552,$O552),-$O552)))</f>
        <v/>
      </c>
      <c r="AB552" s="117">
        <f>IF($B552="","",IF(OR($D552="",$E552="",$O552=""),"EKSİK",IF($O552&lt;=0,"SIFIR/NEGATİF",IF(COUNTIFS($C$6:$C$5000,$C552,$O$6:$O$5000,$O552,$B$6:$B$5000,$B552)&gt;1,"MÜKERRER","OK"))))</f>
        <v/>
      </c>
    </row>
    <row r="553" ht="16.5" customHeight="1" s="80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7">
        <f>IF($B553="",0,IF($S553="EVET",IF($D553="GELİR",$O553,-$O553),0))</f>
        <v/>
      </c>
      <c r="AA553" s="117">
        <f>IF($B553="",0,IF(OR($W553="EVET",$X553="EVET",$Y553="EVET"),0,IF($D553="GELİR",IF($E553="SATIŞ İADESİ/İSKONTO",-$O553,$O553),-$O553)))</f>
        <v/>
      </c>
      <c r="AB553" s="117">
        <f>IF($B553="","",IF(OR($D553="",$E553="",$O553=""),"EKSİK",IF($O553&lt;=0,"SIFIR/NEGATİF",IF(COUNTIFS($C$6:$C$5000,$C553,$O$6:$O$5000,$O553,$B$6:$B$5000,$B553)&gt;1,"MÜKERRER","OK"))))</f>
        <v/>
      </c>
    </row>
    <row r="554" ht="16.5" customHeight="1" s="80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7">
        <f>IF($B554="",0,IF($S554="EVET",IF($D554="GELİR",$O554,-$O554),0))</f>
        <v/>
      </c>
      <c r="AA554" s="117">
        <f>IF($B554="",0,IF(OR($W554="EVET",$X554="EVET",$Y554="EVET"),0,IF($D554="GELİR",IF($E554="SATIŞ İADESİ/İSKONTO",-$O554,$O554),-$O554)))</f>
        <v/>
      </c>
      <c r="AB554" s="117">
        <f>IF($B554="","",IF(OR($D554="",$E554="",$O554=""),"EKSİK",IF($O554&lt;=0,"SIFIR/NEGATİF",IF(COUNTIFS($C$6:$C$5000,$C554,$O$6:$O$5000,$O554,$B$6:$B$5000,$B554)&gt;1,"MÜKERRER","OK"))))</f>
        <v/>
      </c>
    </row>
    <row r="555" ht="16.5" customHeight="1" s="80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7">
        <f>IF($B555="",0,IF($S555="EVET",IF($D555="GELİR",$O555,-$O555),0))</f>
        <v/>
      </c>
      <c r="AA555" s="117">
        <f>IF($B555="",0,IF(OR($W555="EVET",$X555="EVET",$Y555="EVET"),0,IF($D555="GELİR",IF($E555="SATIŞ İADESİ/İSKONTO",-$O555,$O555),-$O555)))</f>
        <v/>
      </c>
      <c r="AB555" s="117">
        <f>IF($B555="","",IF(OR($D555="",$E555="",$O555=""),"EKSİK",IF($O555&lt;=0,"SIFIR/NEGATİF",IF(COUNTIFS($C$6:$C$5000,$C555,$O$6:$O$5000,$O555,$B$6:$B$5000,$B555)&gt;1,"MÜKERRER","OK"))))</f>
        <v/>
      </c>
    </row>
    <row r="556" ht="16.5" customHeight="1" s="80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7">
        <f>IF($B556="",0,IF($S556="EVET",IF($D556="GELİR",$O556,-$O556),0))</f>
        <v/>
      </c>
      <c r="AA556" s="117">
        <f>IF($B556="",0,IF(OR($W556="EVET",$X556="EVET",$Y556="EVET"),0,IF($D556="GELİR",IF($E556="SATIŞ İADESİ/İSKONTO",-$O556,$O556),-$O556)))</f>
        <v/>
      </c>
      <c r="AB556" s="117">
        <f>IF($B556="","",IF(OR($D556="",$E556="",$O556=""),"EKSİK",IF($O556&lt;=0,"SIFIR/NEGATİF",IF(COUNTIFS($C$6:$C$5000,$C556,$O$6:$O$5000,$O556,$B$6:$B$5000,$B556)&gt;1,"MÜKERRER","OK"))))</f>
        <v/>
      </c>
    </row>
    <row r="557" ht="16.5" customHeight="1" s="80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7">
        <f>IF($B557="",0,IF($S557="EVET",IF($D557="GELİR",$O557,-$O557),0))</f>
        <v/>
      </c>
      <c r="AA557" s="117">
        <f>IF($B557="",0,IF(OR($W557="EVET",$X557="EVET",$Y557="EVET"),0,IF($D557="GELİR",IF($E557="SATIŞ İADESİ/İSKONTO",-$O557,$O557),-$O557)))</f>
        <v/>
      </c>
      <c r="AB557" s="117">
        <f>IF($B557="","",IF(OR($D557="",$E557="",$O557=""),"EKSİK",IF($O557&lt;=0,"SIFIR/NEGATİF",IF(COUNTIFS($C$6:$C$5000,$C557,$O$6:$O$5000,$O557,$B$6:$B$5000,$B557)&gt;1,"MÜKERRER","OK"))))</f>
        <v/>
      </c>
    </row>
    <row r="558" ht="16.5" customHeight="1" s="80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7">
        <f>IF($B558="",0,IF($S558="EVET",IF($D558="GELİR",$O558,-$O558),0))</f>
        <v/>
      </c>
      <c r="AA558" s="117">
        <f>IF($B558="",0,IF(OR($W558="EVET",$X558="EVET",$Y558="EVET"),0,IF($D558="GELİR",IF($E558="SATIŞ İADESİ/İSKONTO",-$O558,$O558),-$O558)))</f>
        <v/>
      </c>
      <c r="AB558" s="117">
        <f>IF($B558="","",IF(OR($D558="",$E558="",$O558=""),"EKSİK",IF($O558&lt;=0,"SIFIR/NEGATİF",IF(COUNTIFS($C$6:$C$5000,$C558,$O$6:$O$5000,$O558,$B$6:$B$5000,$B558)&gt;1,"MÜKERRER","OK"))))</f>
        <v/>
      </c>
    </row>
    <row r="559" ht="16.5" customHeight="1" s="80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7">
        <f>IF($B559="",0,IF($S559="EVET",IF($D559="GELİR",$O559,-$O559),0))</f>
        <v/>
      </c>
      <c r="AA559" s="117">
        <f>IF($B559="",0,IF(OR($W559="EVET",$X559="EVET",$Y559="EVET"),0,IF($D559="GELİR",IF($E559="SATIŞ İADESİ/İSKONTO",-$O559,$O559),-$O559)))</f>
        <v/>
      </c>
      <c r="AB559" s="117">
        <f>IF($B559="","",IF(OR($D559="",$E559="",$O559=""),"EKSİK",IF($O559&lt;=0,"SIFIR/NEGATİF",IF(COUNTIFS($C$6:$C$5000,$C559,$O$6:$O$5000,$O559,$B$6:$B$5000,$B559)&gt;1,"MÜKERRER","OK"))))</f>
        <v/>
      </c>
    </row>
    <row r="560" ht="16.5" customHeight="1" s="8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7">
        <f>IF($B560="",0,IF($S560="EVET",IF($D560="GELİR",$O560,-$O560),0))</f>
        <v/>
      </c>
      <c r="AA560" s="117">
        <f>IF($B560="",0,IF(OR($W560="EVET",$X560="EVET",$Y560="EVET"),0,IF($D560="GELİR",IF($E560="SATIŞ İADESİ/İSKONTO",-$O560,$O560),-$O560)))</f>
        <v/>
      </c>
      <c r="AB560" s="117">
        <f>IF($B560="","",IF(OR($D560="",$E560="",$O560=""),"EKSİK",IF($O560&lt;=0,"SIFIR/NEGATİF",IF(COUNTIFS($C$6:$C$5000,$C560,$O$6:$O$5000,$O560,$B$6:$B$5000,$B560)&gt;1,"MÜKERRER","OK"))))</f>
        <v/>
      </c>
    </row>
    <row r="561" ht="16.5" customHeight="1" s="80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7">
        <f>IF($B561="",0,IF($S561="EVET",IF($D561="GELİR",$O561,-$O561),0))</f>
        <v/>
      </c>
      <c r="AA561" s="117">
        <f>IF($B561="",0,IF(OR($W561="EVET",$X561="EVET",$Y561="EVET"),0,IF($D561="GELİR",IF($E561="SATIŞ İADESİ/İSKONTO",-$O561,$O561),-$O561)))</f>
        <v/>
      </c>
      <c r="AB561" s="117">
        <f>IF($B561="","",IF(OR($D561="",$E561="",$O561=""),"EKSİK",IF($O561&lt;=0,"SIFIR/NEGATİF",IF(COUNTIFS($C$6:$C$5000,$C561,$O$6:$O$5000,$O561,$B$6:$B$5000,$B561)&gt;1,"MÜKERRER","OK"))))</f>
        <v/>
      </c>
    </row>
    <row r="562" ht="16.5" customHeight="1" s="80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7">
        <f>IF($B562="",0,IF($S562="EVET",IF($D562="GELİR",$O562,-$O562),0))</f>
        <v/>
      </c>
      <c r="AA562" s="117">
        <f>IF($B562="",0,IF(OR($W562="EVET",$X562="EVET",$Y562="EVET"),0,IF($D562="GELİR",IF($E562="SATIŞ İADESİ/İSKONTO",-$O562,$O562),-$O562)))</f>
        <v/>
      </c>
      <c r="AB562" s="117">
        <f>IF($B562="","",IF(OR($D562="",$E562="",$O562=""),"EKSİK",IF($O562&lt;=0,"SIFIR/NEGATİF",IF(COUNTIFS($C$6:$C$5000,$C562,$O$6:$O$5000,$O562,$B$6:$B$5000,$B562)&gt;1,"MÜKERRER","OK"))))</f>
        <v/>
      </c>
    </row>
    <row r="563" ht="16.5" customHeight="1" s="80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7">
        <f>IF($B563="",0,IF($S563="EVET",IF($D563="GELİR",$O563,-$O563),0))</f>
        <v/>
      </c>
      <c r="AA563" s="117">
        <f>IF($B563="",0,IF(OR($W563="EVET",$X563="EVET",$Y563="EVET"),0,IF($D563="GELİR",IF($E563="SATIŞ İADESİ/İSKONTO",-$O563,$O563),-$O563)))</f>
        <v/>
      </c>
      <c r="AB563" s="117">
        <f>IF($B563="","",IF(OR($D563="",$E563="",$O563=""),"EKSİK",IF($O563&lt;=0,"SIFIR/NEGATİF",IF(COUNTIFS($C$6:$C$5000,$C563,$O$6:$O$5000,$O563,$B$6:$B$5000,$B563)&gt;1,"MÜKERRER","OK"))))</f>
        <v/>
      </c>
    </row>
    <row r="564" ht="16.5" customHeight="1" s="80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7">
        <f>IF($B564="",0,IF($S564="EVET",IF($D564="GELİR",$O564,-$O564),0))</f>
        <v/>
      </c>
      <c r="AA564" s="117">
        <f>IF($B564="",0,IF(OR($W564="EVET",$X564="EVET",$Y564="EVET"),0,IF($D564="GELİR",IF($E564="SATIŞ İADESİ/İSKONTO",-$O564,$O564),-$O564)))</f>
        <v/>
      </c>
      <c r="AB564" s="117">
        <f>IF($B564="","",IF(OR($D564="",$E564="",$O564=""),"EKSİK",IF($O564&lt;=0,"SIFIR/NEGATİF",IF(COUNTIFS($C$6:$C$5000,$C564,$O$6:$O$5000,$O564,$B$6:$B$5000,$B564)&gt;1,"MÜKERRER","OK"))))</f>
        <v/>
      </c>
    </row>
    <row r="565" ht="16.5" customHeight="1" s="80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7">
        <f>IF($B565="",0,IF($S565="EVET",IF($D565="GELİR",$O565,-$O565),0))</f>
        <v/>
      </c>
      <c r="AA565" s="117">
        <f>IF($B565="",0,IF(OR($W565="EVET",$X565="EVET",$Y565="EVET"),0,IF($D565="GELİR",IF($E565="SATIŞ İADESİ/İSKONTO",-$O565,$O565),-$O565)))</f>
        <v/>
      </c>
      <c r="AB565" s="117">
        <f>IF($B565="","",IF(OR($D565="",$E565="",$O565=""),"EKSİK",IF($O565&lt;=0,"SIFIR/NEGATİF",IF(COUNTIFS($C$6:$C$5000,$C565,$O$6:$O$5000,$O565,$B$6:$B$5000,$B565)&gt;1,"MÜKERRER","OK"))))</f>
        <v/>
      </c>
    </row>
    <row r="566" ht="16.5" customHeight="1" s="80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7">
        <f>IF($B566="",0,IF($S566="EVET",IF($D566="GELİR",$O566,-$O566),0))</f>
        <v/>
      </c>
      <c r="AA566" s="117">
        <f>IF($B566="",0,IF(OR($W566="EVET",$X566="EVET",$Y566="EVET"),0,IF($D566="GELİR",IF($E566="SATIŞ İADESİ/İSKONTO",-$O566,$O566),-$O566)))</f>
        <v/>
      </c>
      <c r="AB566" s="117">
        <f>IF($B566="","",IF(OR($D566="",$E566="",$O566=""),"EKSİK",IF($O566&lt;=0,"SIFIR/NEGATİF",IF(COUNTIFS($C$6:$C$5000,$C566,$O$6:$O$5000,$O566,$B$6:$B$5000,$B566)&gt;1,"MÜKERRER","OK"))))</f>
        <v/>
      </c>
    </row>
    <row r="567" ht="16.5" customHeight="1" s="80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7">
        <f>IF($B567="",0,IF($S567="EVET",IF($D567="GELİR",$O567,-$O567),0))</f>
        <v/>
      </c>
      <c r="AA567" s="117">
        <f>IF($B567="",0,IF(OR($W567="EVET",$X567="EVET",$Y567="EVET"),0,IF($D567="GELİR",IF($E567="SATIŞ İADESİ/İSKONTO",-$O567,$O567),-$O567)))</f>
        <v/>
      </c>
      <c r="AB567" s="117">
        <f>IF($B567="","",IF(OR($D567="",$E567="",$O567=""),"EKSİK",IF($O567&lt;=0,"SIFIR/NEGATİF",IF(COUNTIFS($C$6:$C$5000,$C567,$O$6:$O$5000,$O567,$B$6:$B$5000,$B567)&gt;1,"MÜKERRER","OK"))))</f>
        <v/>
      </c>
    </row>
    <row r="568" ht="16.5" customHeight="1" s="80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7">
        <f>IF($B568="",0,IF($S568="EVET",IF($D568="GELİR",$O568,-$O568),0))</f>
        <v/>
      </c>
      <c r="AA568" s="117">
        <f>IF($B568="",0,IF(OR($W568="EVET",$X568="EVET",$Y568="EVET"),0,IF($D568="GELİR",IF($E568="SATIŞ İADESİ/İSKONTO",-$O568,$O568),-$O568)))</f>
        <v/>
      </c>
      <c r="AB568" s="117">
        <f>IF($B568="","",IF(OR($D568="",$E568="",$O568=""),"EKSİK",IF($O568&lt;=0,"SIFIR/NEGATİF",IF(COUNTIFS($C$6:$C$5000,$C568,$O$6:$O$5000,$O568,$B$6:$B$5000,$B568)&gt;1,"MÜKERRER","OK"))))</f>
        <v/>
      </c>
    </row>
    <row r="569" ht="16.5" customHeight="1" s="80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7">
        <f>IF($B569="",0,IF($S569="EVET",IF($D569="GELİR",$O569,-$O569),0))</f>
        <v/>
      </c>
      <c r="AA569" s="117">
        <f>IF($B569="",0,IF(OR($W569="EVET",$X569="EVET",$Y569="EVET"),0,IF($D569="GELİR",IF($E569="SATIŞ İADESİ/İSKONTO",-$O569,$O569),-$O569)))</f>
        <v/>
      </c>
      <c r="AB569" s="117">
        <f>IF($B569="","",IF(OR($D569="",$E569="",$O569=""),"EKSİK",IF($O569&lt;=0,"SIFIR/NEGATİF",IF(COUNTIFS($C$6:$C$5000,$C569,$O$6:$O$5000,$O569,$B$6:$B$5000,$B569)&gt;1,"MÜKERRER","OK"))))</f>
        <v/>
      </c>
    </row>
    <row r="570" ht="16.5" customHeight="1" s="8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7">
        <f>IF($B570="",0,IF($S570="EVET",IF($D570="GELİR",$O570,-$O570),0))</f>
        <v/>
      </c>
      <c r="AA570" s="117">
        <f>IF($B570="",0,IF(OR($W570="EVET",$X570="EVET",$Y570="EVET"),0,IF($D570="GELİR",IF($E570="SATIŞ İADESİ/İSKONTO",-$O570,$O570),-$O570)))</f>
        <v/>
      </c>
      <c r="AB570" s="117">
        <f>IF($B570="","",IF(OR($D570="",$E570="",$O570=""),"EKSİK",IF($O570&lt;=0,"SIFIR/NEGATİF",IF(COUNTIFS($C$6:$C$5000,$C570,$O$6:$O$5000,$O570,$B$6:$B$5000,$B570)&gt;1,"MÜKERRER","OK"))))</f>
        <v/>
      </c>
    </row>
    <row r="571" ht="16.5" customHeight="1" s="80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7">
        <f>IF($B571="",0,IF($S571="EVET",IF($D571="GELİR",$O571,-$O571),0))</f>
        <v/>
      </c>
      <c r="AA571" s="117">
        <f>IF($B571="",0,IF(OR($W571="EVET",$X571="EVET",$Y571="EVET"),0,IF($D571="GELİR",IF($E571="SATIŞ İADESİ/İSKONTO",-$O571,$O571),-$O571)))</f>
        <v/>
      </c>
      <c r="AB571" s="117">
        <f>IF($B571="","",IF(OR($D571="",$E571="",$O571=""),"EKSİK",IF($O571&lt;=0,"SIFIR/NEGATİF",IF(COUNTIFS($C$6:$C$5000,$C571,$O$6:$O$5000,$O571,$B$6:$B$5000,$B571)&gt;1,"MÜKERRER","OK"))))</f>
        <v/>
      </c>
    </row>
    <row r="572" ht="16.5" customHeight="1" s="80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7">
        <f>IF($B572="",0,IF($S572="EVET",IF($D572="GELİR",$O572,-$O572),0))</f>
        <v/>
      </c>
      <c r="AA572" s="117">
        <f>IF($B572="",0,IF(OR($W572="EVET",$X572="EVET",$Y572="EVET"),0,IF($D572="GELİR",IF($E572="SATIŞ İADESİ/İSKONTO",-$O572,$O572),-$O572)))</f>
        <v/>
      </c>
      <c r="AB572" s="117">
        <f>IF($B572="","",IF(OR($D572="",$E572="",$O572=""),"EKSİK",IF($O572&lt;=0,"SIFIR/NEGATİF",IF(COUNTIFS($C$6:$C$5000,$C572,$O$6:$O$5000,$O572,$B$6:$B$5000,$B572)&gt;1,"MÜKERRER","OK"))))</f>
        <v/>
      </c>
    </row>
    <row r="573" ht="16.5" customHeight="1" s="80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7">
        <f>IF($B573="",0,IF($S573="EVET",IF($D573="GELİR",$O573,-$O573),0))</f>
        <v/>
      </c>
      <c r="AA573" s="117">
        <f>IF($B573="",0,IF(OR($W573="EVET",$X573="EVET",$Y573="EVET"),0,IF($D573="GELİR",IF($E573="SATIŞ İADESİ/İSKONTO",-$O573,$O573),-$O573)))</f>
        <v/>
      </c>
      <c r="AB573" s="117">
        <f>IF($B573="","",IF(OR($D573="",$E573="",$O573=""),"EKSİK",IF($O573&lt;=0,"SIFIR/NEGATİF",IF(COUNTIFS($C$6:$C$5000,$C573,$O$6:$O$5000,$O573,$B$6:$B$5000,$B573)&gt;1,"MÜKERRER","OK"))))</f>
        <v/>
      </c>
    </row>
    <row r="574" ht="16.5" customHeight="1" s="80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7">
        <f>IF($B574="",0,IF($S574="EVET",IF($D574="GELİR",$O574,-$O574),0))</f>
        <v/>
      </c>
      <c r="AA574" s="117">
        <f>IF($B574="",0,IF(OR($W574="EVET",$X574="EVET",$Y574="EVET"),0,IF($D574="GELİR",IF($E574="SATIŞ İADESİ/İSKONTO",-$O574,$O574),-$O574)))</f>
        <v/>
      </c>
      <c r="AB574" s="117">
        <f>IF($B574="","",IF(OR($D574="",$E574="",$O574=""),"EKSİK",IF($O574&lt;=0,"SIFIR/NEGATİF",IF(COUNTIFS($C$6:$C$5000,$C574,$O$6:$O$5000,$O574,$B$6:$B$5000,$B574)&gt;1,"MÜKERRER","OK"))))</f>
        <v/>
      </c>
    </row>
    <row r="575" ht="16.5" customHeight="1" s="80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7">
        <f>IF($B575="",0,IF($S575="EVET",IF($D575="GELİR",$O575,-$O575),0))</f>
        <v/>
      </c>
      <c r="AA575" s="117">
        <f>IF($B575="",0,IF(OR($W575="EVET",$X575="EVET",$Y575="EVET"),0,IF($D575="GELİR",IF($E575="SATIŞ İADESİ/İSKONTO",-$O575,$O575),-$O575)))</f>
        <v/>
      </c>
      <c r="AB575" s="117">
        <f>IF($B575="","",IF(OR($D575="",$E575="",$O575=""),"EKSİK",IF($O575&lt;=0,"SIFIR/NEGATİF",IF(COUNTIFS($C$6:$C$5000,$C575,$O$6:$O$5000,$O575,$B$6:$B$5000,$B575)&gt;1,"MÜKERRER","OK"))))</f>
        <v/>
      </c>
    </row>
    <row r="576" ht="16.5" customHeight="1" s="80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7">
        <f>IF($B576="",0,IF($S576="EVET",IF($D576="GELİR",$O576,-$O576),0))</f>
        <v/>
      </c>
      <c r="AA576" s="117">
        <f>IF($B576="",0,IF(OR($W576="EVET",$X576="EVET",$Y576="EVET"),0,IF($D576="GELİR",IF($E576="SATIŞ İADESİ/İSKONTO",-$O576,$O576),-$O576)))</f>
        <v/>
      </c>
      <c r="AB576" s="117">
        <f>IF($B576="","",IF(OR($D576="",$E576="",$O576=""),"EKSİK",IF($O576&lt;=0,"SIFIR/NEGATİF",IF(COUNTIFS($C$6:$C$5000,$C576,$O$6:$O$5000,$O576,$B$6:$B$5000,$B576)&gt;1,"MÜKERRER","OK"))))</f>
        <v/>
      </c>
    </row>
    <row r="577" ht="16.5" customHeight="1" s="80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7">
        <f>IF($B577="",0,IF($S577="EVET",IF($D577="GELİR",$O577,-$O577),0))</f>
        <v/>
      </c>
      <c r="AA577" s="117">
        <f>IF($B577="",0,IF(OR($W577="EVET",$X577="EVET",$Y577="EVET"),0,IF($D577="GELİR",IF($E577="SATIŞ İADESİ/İSKONTO",-$O577,$O577),-$O577)))</f>
        <v/>
      </c>
      <c r="AB577" s="117">
        <f>IF($B577="","",IF(OR($D577="",$E577="",$O577=""),"EKSİK",IF($O577&lt;=0,"SIFIR/NEGATİF",IF(COUNTIFS($C$6:$C$5000,$C577,$O$6:$O$5000,$O577,$B$6:$B$5000,$B577)&gt;1,"MÜKERRER","OK"))))</f>
        <v/>
      </c>
    </row>
    <row r="578" ht="16.5" customHeight="1" s="80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7">
        <f>IF($B578="",0,IF($S578="EVET",IF($D578="GELİR",$O578,-$O578),0))</f>
        <v/>
      </c>
      <c r="AA578" s="117">
        <f>IF($B578="",0,IF(OR($W578="EVET",$X578="EVET",$Y578="EVET"),0,IF($D578="GELİR",IF($E578="SATIŞ İADESİ/İSKONTO",-$O578,$O578),-$O578)))</f>
        <v/>
      </c>
      <c r="AB578" s="117">
        <f>IF($B578="","",IF(OR($D578="",$E578="",$O578=""),"EKSİK",IF($O578&lt;=0,"SIFIR/NEGATİF",IF(COUNTIFS($C$6:$C$5000,$C578,$O$6:$O$5000,$O578,$B$6:$B$5000,$B578)&gt;1,"MÜKERRER","OK"))))</f>
        <v/>
      </c>
    </row>
    <row r="579" ht="16.5" customHeight="1" s="80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7">
        <f>IF($B579="",0,IF($S579="EVET",IF($D579="GELİR",$O579,-$O579),0))</f>
        <v/>
      </c>
      <c r="AA579" s="117">
        <f>IF($B579="",0,IF(OR($W579="EVET",$X579="EVET",$Y579="EVET"),0,IF($D579="GELİR",IF($E579="SATIŞ İADESİ/İSKONTO",-$O579,$O579),-$O579)))</f>
        <v/>
      </c>
      <c r="AB579" s="117">
        <f>IF($B579="","",IF(OR($D579="",$E579="",$O579=""),"EKSİK",IF($O579&lt;=0,"SIFIR/NEGATİF",IF(COUNTIFS($C$6:$C$5000,$C579,$O$6:$O$5000,$O579,$B$6:$B$5000,$B579)&gt;1,"MÜKERRER","OK"))))</f>
        <v/>
      </c>
    </row>
    <row r="580" ht="16.5" customHeight="1" s="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7">
        <f>IF($B580="",0,IF($S580="EVET",IF($D580="GELİR",$O580,-$O580),0))</f>
        <v/>
      </c>
      <c r="AA580" s="117">
        <f>IF($B580="",0,IF(OR($W580="EVET",$X580="EVET",$Y580="EVET"),0,IF($D580="GELİR",IF($E580="SATIŞ İADESİ/İSKONTO",-$O580,$O580),-$O580)))</f>
        <v/>
      </c>
      <c r="AB580" s="117">
        <f>IF($B580="","",IF(OR($D580="",$E580="",$O580=""),"EKSİK",IF($O580&lt;=0,"SIFIR/NEGATİF",IF(COUNTIFS($C$6:$C$5000,$C580,$O$6:$O$5000,$O580,$B$6:$B$5000,$B580)&gt;1,"MÜKERRER","OK"))))</f>
        <v/>
      </c>
    </row>
    <row r="581" ht="16.5" customHeight="1" s="80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7">
        <f>IF($B581="",0,IF($S581="EVET",IF($D581="GELİR",$O581,-$O581),0))</f>
        <v/>
      </c>
      <c r="AA581" s="117">
        <f>IF($B581="",0,IF(OR($W581="EVET",$X581="EVET",$Y581="EVET"),0,IF($D581="GELİR",IF($E581="SATIŞ İADESİ/İSKONTO",-$O581,$O581),-$O581)))</f>
        <v/>
      </c>
      <c r="AB581" s="117">
        <f>IF($B581="","",IF(OR($D581="",$E581="",$O581=""),"EKSİK",IF($O581&lt;=0,"SIFIR/NEGATİF",IF(COUNTIFS($C$6:$C$5000,$C581,$O$6:$O$5000,$O581,$B$6:$B$5000,$B581)&gt;1,"MÜKERRER","OK"))))</f>
        <v/>
      </c>
    </row>
    <row r="582" ht="16.5" customHeight="1" s="80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7">
        <f>IF($B582="",0,IF($S582="EVET",IF($D582="GELİR",$O582,-$O582),0))</f>
        <v/>
      </c>
      <c r="AA582" s="117">
        <f>IF($B582="",0,IF(OR($W582="EVET",$X582="EVET",$Y582="EVET"),0,IF($D582="GELİR",IF($E582="SATIŞ İADESİ/İSKONTO",-$O582,$O582),-$O582)))</f>
        <v/>
      </c>
      <c r="AB582" s="117">
        <f>IF($B582="","",IF(OR($D582="",$E582="",$O582=""),"EKSİK",IF($O582&lt;=0,"SIFIR/NEGATİF",IF(COUNTIFS($C$6:$C$5000,$C582,$O$6:$O$5000,$O582,$B$6:$B$5000,$B582)&gt;1,"MÜKERRER","OK"))))</f>
        <v/>
      </c>
    </row>
    <row r="583" ht="16.5" customHeight="1" s="80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7">
        <f>IF($B583="",0,IF($S583="EVET",IF($D583="GELİR",$O583,-$O583),0))</f>
        <v/>
      </c>
      <c r="AA583" s="117">
        <f>IF($B583="",0,IF(OR($W583="EVET",$X583="EVET",$Y583="EVET"),0,IF($D583="GELİR",IF($E583="SATIŞ İADESİ/İSKONTO",-$O583,$O583),-$O583)))</f>
        <v/>
      </c>
      <c r="AB583" s="117">
        <f>IF($B583="","",IF(OR($D583="",$E583="",$O583=""),"EKSİK",IF($O583&lt;=0,"SIFIR/NEGATİF",IF(COUNTIFS($C$6:$C$5000,$C583,$O$6:$O$5000,$O583,$B$6:$B$5000,$B583)&gt;1,"MÜKERRER","OK"))))</f>
        <v/>
      </c>
    </row>
    <row r="584" ht="16.5" customHeight="1" s="80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7">
        <f>IF($B584="",0,IF($S584="EVET",IF($D584="GELİR",$O584,-$O584),0))</f>
        <v/>
      </c>
      <c r="AA584" s="117">
        <f>IF($B584="",0,IF(OR($W584="EVET",$X584="EVET",$Y584="EVET"),0,IF($D584="GELİR",IF($E584="SATIŞ İADESİ/İSKONTO",-$O584,$O584),-$O584)))</f>
        <v/>
      </c>
      <c r="AB584" s="117">
        <f>IF($B584="","",IF(OR($D584="",$E584="",$O584=""),"EKSİK",IF($O584&lt;=0,"SIFIR/NEGATİF",IF(COUNTIFS($C$6:$C$5000,$C584,$O$6:$O$5000,$O584,$B$6:$B$5000,$B584)&gt;1,"MÜKERRER","OK"))))</f>
        <v/>
      </c>
    </row>
    <row r="585" ht="16.5" customHeight="1" s="80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7">
        <f>IF($B585="",0,IF($S585="EVET",IF($D585="GELİR",$O585,-$O585),0))</f>
        <v/>
      </c>
      <c r="AA585" s="117">
        <f>IF($B585="",0,IF(OR($W585="EVET",$X585="EVET",$Y585="EVET"),0,IF($D585="GELİR",IF($E585="SATIŞ İADESİ/İSKONTO",-$O585,$O585),-$O585)))</f>
        <v/>
      </c>
      <c r="AB585" s="117">
        <f>IF($B585="","",IF(OR($D585="",$E585="",$O585=""),"EKSİK",IF($O585&lt;=0,"SIFIR/NEGATİF",IF(COUNTIFS($C$6:$C$5000,$C585,$O$6:$O$5000,$O585,$B$6:$B$5000,$B585)&gt;1,"MÜKERRER","OK"))))</f>
        <v/>
      </c>
    </row>
    <row r="586" ht="16.5" customHeight="1" s="80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7">
        <f>IF($B586="",0,IF($S586="EVET",IF($D586="GELİR",$O586,-$O586),0))</f>
        <v/>
      </c>
      <c r="AA586" s="117">
        <f>IF($B586="",0,IF(OR($W586="EVET",$X586="EVET",$Y586="EVET"),0,IF($D586="GELİR",IF($E586="SATIŞ İADESİ/İSKONTO",-$O586,$O586),-$O586)))</f>
        <v/>
      </c>
      <c r="AB586" s="117">
        <f>IF($B586="","",IF(OR($D586="",$E586="",$O586=""),"EKSİK",IF($O586&lt;=0,"SIFIR/NEGATİF",IF(COUNTIFS($C$6:$C$5000,$C586,$O$6:$O$5000,$O586,$B$6:$B$5000,$B586)&gt;1,"MÜKERRER","OK"))))</f>
        <v/>
      </c>
    </row>
    <row r="587" ht="16.5" customHeight="1" s="80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7">
        <f>IF($B587="",0,IF($S587="EVET",IF($D587="GELİR",$O587,-$O587),0))</f>
        <v/>
      </c>
      <c r="AA587" s="117">
        <f>IF($B587="",0,IF(OR($W587="EVET",$X587="EVET",$Y587="EVET"),0,IF($D587="GELİR",IF($E587="SATIŞ İADESİ/İSKONTO",-$O587,$O587),-$O587)))</f>
        <v/>
      </c>
      <c r="AB587" s="117">
        <f>IF($B587="","",IF(OR($D587="",$E587="",$O587=""),"EKSİK",IF($O587&lt;=0,"SIFIR/NEGATİF",IF(COUNTIFS($C$6:$C$5000,$C587,$O$6:$O$5000,$O587,$B$6:$B$5000,$B587)&gt;1,"MÜKERRER","OK"))))</f>
        <v/>
      </c>
    </row>
    <row r="588" ht="16.5" customHeight="1" s="80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7">
        <f>IF($B588="",0,IF($S588="EVET",IF($D588="GELİR",$O588,-$O588),0))</f>
        <v/>
      </c>
      <c r="AA588" s="117">
        <f>IF($B588="",0,IF(OR($W588="EVET",$X588="EVET",$Y588="EVET"),0,IF($D588="GELİR",IF($E588="SATIŞ İADESİ/İSKONTO",-$O588,$O588),-$O588)))</f>
        <v/>
      </c>
      <c r="AB588" s="117">
        <f>IF($B588="","",IF(OR($D588="",$E588="",$O588=""),"EKSİK",IF($O588&lt;=0,"SIFIR/NEGATİF",IF(COUNTIFS($C$6:$C$5000,$C588,$O$6:$O$5000,$O588,$B$6:$B$5000,$B588)&gt;1,"MÜKERRER","OK"))))</f>
        <v/>
      </c>
    </row>
    <row r="589" ht="16.5" customHeight="1" s="80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7">
        <f>IF($B589="",0,IF($S589="EVET",IF($D589="GELİR",$O589,-$O589),0))</f>
        <v/>
      </c>
      <c r="AA589" s="117">
        <f>IF($B589="",0,IF(OR($W589="EVET",$X589="EVET",$Y589="EVET"),0,IF($D589="GELİR",IF($E589="SATIŞ İADESİ/İSKONTO",-$O589,$O589),-$O589)))</f>
        <v/>
      </c>
      <c r="AB589" s="117">
        <f>IF($B589="","",IF(OR($D589="",$E589="",$O589=""),"EKSİK",IF($O589&lt;=0,"SIFIR/NEGATİF",IF(COUNTIFS($C$6:$C$5000,$C589,$O$6:$O$5000,$O589,$B$6:$B$5000,$B589)&gt;1,"MÜKERRER","OK"))))</f>
        <v/>
      </c>
    </row>
    <row r="590" ht="16.5" customHeight="1" s="8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7">
        <f>IF($B590="",0,IF($S590="EVET",IF($D590="GELİR",$O590,-$O590),0))</f>
        <v/>
      </c>
      <c r="AA590" s="117">
        <f>IF($B590="",0,IF(OR($W590="EVET",$X590="EVET",$Y590="EVET"),0,IF($D590="GELİR",IF($E590="SATIŞ İADESİ/İSKONTO",-$O590,$O590),-$O590)))</f>
        <v/>
      </c>
      <c r="AB590" s="117">
        <f>IF($B590="","",IF(OR($D590="",$E590="",$O590=""),"EKSİK",IF($O590&lt;=0,"SIFIR/NEGATİF",IF(COUNTIFS($C$6:$C$5000,$C590,$O$6:$O$5000,$O590,$B$6:$B$5000,$B590)&gt;1,"MÜKERRER","OK"))))</f>
        <v/>
      </c>
    </row>
    <row r="591" ht="16.5" customHeight="1" s="80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7">
        <f>IF($B591="",0,IF($S591="EVET",IF($D591="GELİR",$O591,-$O591),0))</f>
        <v/>
      </c>
      <c r="AA591" s="117">
        <f>IF($B591="",0,IF(OR($W591="EVET",$X591="EVET",$Y591="EVET"),0,IF($D591="GELİR",IF($E591="SATIŞ İADESİ/İSKONTO",-$O591,$O591),-$O591)))</f>
        <v/>
      </c>
      <c r="AB591" s="117">
        <f>IF($B591="","",IF(OR($D591="",$E591="",$O591=""),"EKSİK",IF($O591&lt;=0,"SIFIR/NEGATİF",IF(COUNTIFS($C$6:$C$5000,$C591,$O$6:$O$5000,$O591,$B$6:$B$5000,$B591)&gt;1,"MÜKERRER","OK"))))</f>
        <v/>
      </c>
    </row>
    <row r="592" ht="16.5" customHeight="1" s="80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7">
        <f>IF($B592="",0,IF($S592="EVET",IF($D592="GELİR",$O592,-$O592),0))</f>
        <v/>
      </c>
      <c r="AA592" s="117">
        <f>IF($B592="",0,IF(OR($W592="EVET",$X592="EVET",$Y592="EVET"),0,IF($D592="GELİR",IF($E592="SATIŞ İADESİ/İSKONTO",-$O592,$O592),-$O592)))</f>
        <v/>
      </c>
      <c r="AB592" s="117">
        <f>IF($B592="","",IF(OR($D592="",$E592="",$O592=""),"EKSİK",IF($O592&lt;=0,"SIFIR/NEGATİF",IF(COUNTIFS($C$6:$C$5000,$C592,$O$6:$O$5000,$O592,$B$6:$B$5000,$B592)&gt;1,"MÜKERRER","OK"))))</f>
        <v/>
      </c>
    </row>
    <row r="593" ht="16.5" customHeight="1" s="80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7">
        <f>IF($B593="",0,IF($S593="EVET",IF($D593="GELİR",$O593,-$O593),0))</f>
        <v/>
      </c>
      <c r="AA593" s="117">
        <f>IF($B593="",0,IF(OR($W593="EVET",$X593="EVET",$Y593="EVET"),0,IF($D593="GELİR",IF($E593="SATIŞ İADESİ/İSKONTO",-$O593,$O593),-$O593)))</f>
        <v/>
      </c>
      <c r="AB593" s="117">
        <f>IF($B593="","",IF(OR($D593="",$E593="",$O593=""),"EKSİK",IF($O593&lt;=0,"SIFIR/NEGATİF",IF(COUNTIFS($C$6:$C$5000,$C593,$O$6:$O$5000,$O593,$B$6:$B$5000,$B593)&gt;1,"MÜKERRER","OK"))))</f>
        <v/>
      </c>
    </row>
    <row r="594" ht="16.5" customHeight="1" s="80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7">
        <f>IF($B594="",0,IF($S594="EVET",IF($D594="GELİR",$O594,-$O594),0))</f>
        <v/>
      </c>
      <c r="AA594" s="117">
        <f>IF($B594="",0,IF(OR($W594="EVET",$X594="EVET",$Y594="EVET"),0,IF($D594="GELİR",IF($E594="SATIŞ İADESİ/İSKONTO",-$O594,$O594),-$O594)))</f>
        <v/>
      </c>
      <c r="AB594" s="117">
        <f>IF($B594="","",IF(OR($D594="",$E594="",$O594=""),"EKSİK",IF($O594&lt;=0,"SIFIR/NEGATİF",IF(COUNTIFS($C$6:$C$5000,$C594,$O$6:$O$5000,$O594,$B$6:$B$5000,$B594)&gt;1,"MÜKERRER","OK"))))</f>
        <v/>
      </c>
    </row>
    <row r="595" ht="16.5" customHeight="1" s="80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7">
        <f>IF($B595="",0,IF($S595="EVET",IF($D595="GELİR",$O595,-$O595),0))</f>
        <v/>
      </c>
      <c r="AA595" s="117">
        <f>IF($B595="",0,IF(OR($W595="EVET",$X595="EVET",$Y595="EVET"),0,IF($D595="GELİR",IF($E595="SATIŞ İADESİ/İSKONTO",-$O595,$O595),-$O595)))</f>
        <v/>
      </c>
      <c r="AB595" s="117">
        <f>IF($B595="","",IF(OR($D595="",$E595="",$O595=""),"EKSİK",IF($O595&lt;=0,"SIFIR/NEGATİF",IF(COUNTIFS($C$6:$C$5000,$C595,$O$6:$O$5000,$O595,$B$6:$B$5000,$B595)&gt;1,"MÜKERRER","OK"))))</f>
        <v/>
      </c>
    </row>
    <row r="596" ht="16.5" customHeight="1" s="80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7">
        <f>IF($B596="",0,IF($S596="EVET",IF($D596="GELİR",$O596,-$O596),0))</f>
        <v/>
      </c>
      <c r="AA596" s="117">
        <f>IF($B596="",0,IF(OR($W596="EVET",$X596="EVET",$Y596="EVET"),0,IF($D596="GELİR",IF($E596="SATIŞ İADESİ/İSKONTO",-$O596,$O596),-$O596)))</f>
        <v/>
      </c>
      <c r="AB596" s="117">
        <f>IF($B596="","",IF(OR($D596="",$E596="",$O596=""),"EKSİK",IF($O596&lt;=0,"SIFIR/NEGATİF",IF(COUNTIFS($C$6:$C$5000,$C596,$O$6:$O$5000,$O596,$B$6:$B$5000,$B596)&gt;1,"MÜKERRER","OK"))))</f>
        <v/>
      </c>
    </row>
    <row r="597" ht="16.5" customHeight="1" s="80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7">
        <f>IF($B597="",0,IF($S597="EVET",IF($D597="GELİR",$O597,-$O597),0))</f>
        <v/>
      </c>
      <c r="AA597" s="117">
        <f>IF($B597="",0,IF(OR($W597="EVET",$X597="EVET",$Y597="EVET"),0,IF($D597="GELİR",IF($E597="SATIŞ İADESİ/İSKONTO",-$O597,$O597),-$O597)))</f>
        <v/>
      </c>
      <c r="AB597" s="117">
        <f>IF($B597="","",IF(OR($D597="",$E597="",$O597=""),"EKSİK",IF($O597&lt;=0,"SIFIR/NEGATİF",IF(COUNTIFS($C$6:$C$5000,$C597,$O$6:$O$5000,$O597,$B$6:$B$5000,$B597)&gt;1,"MÜKERRER","OK"))))</f>
        <v/>
      </c>
    </row>
    <row r="598" ht="16.5" customHeight="1" s="80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7">
        <f>IF($B598="",0,IF($S598="EVET",IF($D598="GELİR",$O598,-$O598),0))</f>
        <v/>
      </c>
      <c r="AA598" s="117">
        <f>IF($B598="",0,IF(OR($W598="EVET",$X598="EVET",$Y598="EVET"),0,IF($D598="GELİR",IF($E598="SATIŞ İADESİ/İSKONTO",-$O598,$O598),-$O598)))</f>
        <v/>
      </c>
      <c r="AB598" s="117">
        <f>IF($B598="","",IF(OR($D598="",$E598="",$O598=""),"EKSİK",IF($O598&lt;=0,"SIFIR/NEGATİF",IF(COUNTIFS($C$6:$C$5000,$C598,$O$6:$O$5000,$O598,$B$6:$B$5000,$B598)&gt;1,"MÜKERRER","OK"))))</f>
        <v/>
      </c>
    </row>
    <row r="599" ht="16.5" customHeight="1" s="80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7">
        <f>IF($B599="",0,IF($S599="EVET",IF($D599="GELİR",$O599,-$O599),0))</f>
        <v/>
      </c>
      <c r="AA599" s="117">
        <f>IF($B599="",0,IF(OR($W599="EVET",$X599="EVET",$Y599="EVET"),0,IF($D599="GELİR",IF($E599="SATIŞ İADESİ/İSKONTO",-$O599,$O599),-$O599)))</f>
        <v/>
      </c>
      <c r="AB599" s="117">
        <f>IF($B599="","",IF(OR($D599="",$E599="",$O599=""),"EKSİK",IF($O599&lt;=0,"SIFIR/NEGATİF",IF(COUNTIFS($C$6:$C$5000,$C599,$O$6:$O$5000,$O599,$B$6:$B$5000,$B599)&gt;1,"MÜKERRER","OK"))))</f>
        <v/>
      </c>
    </row>
    <row r="600" ht="16.5" customHeight="1" s="8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7">
        <f>IF($B600="",0,IF($S600="EVET",IF($D600="GELİR",$O600,-$O600),0))</f>
        <v/>
      </c>
      <c r="AA600" s="117">
        <f>IF($B600="",0,IF(OR($W600="EVET",$X600="EVET",$Y600="EVET"),0,IF($D600="GELİR",IF($E600="SATIŞ İADESİ/İSKONTO",-$O600,$O600),-$O600)))</f>
        <v/>
      </c>
      <c r="AB600" s="117">
        <f>IF($B600="","",IF(OR($D600="",$E600="",$O600=""),"EKSİK",IF($O600&lt;=0,"SIFIR/NEGATİF",IF(COUNTIFS($C$6:$C$5000,$C600,$O$6:$O$5000,$O600,$B$6:$B$5000,$B600)&gt;1,"MÜKERRER","OK"))))</f>
        <v/>
      </c>
    </row>
    <row r="601" ht="16.5" customHeight="1" s="80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7">
        <f>IF($B601="",0,IF($S601="EVET",IF($D601="GELİR",$O601,-$O601),0))</f>
        <v/>
      </c>
      <c r="AA601" s="117">
        <f>IF($B601="",0,IF(OR($W601="EVET",$X601="EVET",$Y601="EVET"),0,IF($D601="GELİR",IF($E601="SATIŞ İADESİ/İSKONTO",-$O601,$O601),-$O601)))</f>
        <v/>
      </c>
      <c r="AB601" s="117">
        <f>IF($B601="","",IF(OR($D601="",$E601="",$O601=""),"EKSİK",IF($O601&lt;=0,"SIFIR/NEGATİF",IF(COUNTIFS($C$6:$C$5000,$C601,$O$6:$O$5000,$O601,$B$6:$B$5000,$B601)&gt;1,"MÜKERRER","OK"))))</f>
        <v/>
      </c>
    </row>
    <row r="602" ht="16.5" customHeight="1" s="80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7">
        <f>IF($B602="",0,IF($S602="EVET",IF($D602="GELİR",$O602,-$O602),0))</f>
        <v/>
      </c>
      <c r="AA602" s="117">
        <f>IF($B602="",0,IF(OR($W602="EVET",$X602="EVET",$Y602="EVET"),0,IF($D602="GELİR",IF($E602="SATIŞ İADESİ/İSKONTO",-$O602,$O602),-$O602)))</f>
        <v/>
      </c>
      <c r="AB602" s="117">
        <f>IF($B602="","",IF(OR($D602="",$E602="",$O602=""),"EKSİK",IF($O602&lt;=0,"SIFIR/NEGATİF",IF(COUNTIFS($C$6:$C$5000,$C602,$O$6:$O$5000,$O602,$B$6:$B$5000,$B602)&gt;1,"MÜKERRER","OK"))))</f>
        <v/>
      </c>
    </row>
    <row r="603" ht="16.5" customHeight="1" s="80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7">
        <f>IF($B603="",0,IF($S603="EVET",IF($D603="GELİR",$O603,-$O603),0))</f>
        <v/>
      </c>
      <c r="AA603" s="117">
        <f>IF($B603="",0,IF(OR($W603="EVET",$X603="EVET",$Y603="EVET"),0,IF($D603="GELİR",IF($E603="SATIŞ İADESİ/İSKONTO",-$O603,$O603),-$O603)))</f>
        <v/>
      </c>
      <c r="AB603" s="117">
        <f>IF($B603="","",IF(OR($D603="",$E603="",$O603=""),"EKSİK",IF($O603&lt;=0,"SIFIR/NEGATİF",IF(COUNTIFS($C$6:$C$5000,$C603,$O$6:$O$5000,$O603,$B$6:$B$5000,$B603)&gt;1,"MÜKERRER","OK"))))</f>
        <v/>
      </c>
    </row>
    <row r="604" ht="16.5" customHeight="1" s="80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7">
        <f>IF($B604="",0,IF($S604="EVET",IF($D604="GELİR",$O604,-$O604),0))</f>
        <v/>
      </c>
      <c r="AA604" s="117">
        <f>IF($B604="",0,IF(OR($W604="EVET",$X604="EVET",$Y604="EVET"),0,IF($D604="GELİR",IF($E604="SATIŞ İADESİ/İSKONTO",-$O604,$O604),-$O604)))</f>
        <v/>
      </c>
      <c r="AB604" s="117">
        <f>IF($B604="","",IF(OR($D604="",$E604="",$O604=""),"EKSİK",IF($O604&lt;=0,"SIFIR/NEGATİF",IF(COUNTIFS($C$6:$C$5000,$C604,$O$6:$O$5000,$O604,$B$6:$B$5000,$B604)&gt;1,"MÜKERRER","OK"))))</f>
        <v/>
      </c>
    </row>
    <row r="605" ht="16.5" customHeight="1" s="80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7">
        <f>IF($B605="",0,IF($S605="EVET",IF($D605="GELİR",$O605,-$O605),0))</f>
        <v/>
      </c>
      <c r="AA605" s="117">
        <f>IF($B605="",0,IF(OR($W605="EVET",$X605="EVET",$Y605="EVET"),0,IF($D605="GELİR",IF($E605="SATIŞ İADESİ/İSKONTO",-$O605,$O605),-$O605)))</f>
        <v/>
      </c>
      <c r="AB605" s="117">
        <f>IF($B605="","",IF(OR($D605="",$E605="",$O605=""),"EKSİK",IF($O605&lt;=0,"SIFIR/NEGATİF",IF(COUNTIFS($C$6:$C$5000,$C605,$O$6:$O$5000,$O605,$B$6:$B$5000,$B605)&gt;1,"MÜKERRER","OK"))))</f>
        <v/>
      </c>
    </row>
    <row r="606" ht="16.5" customHeight="1" s="80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7">
        <f>IF($B606="",0,IF($S606="EVET",IF($D606="GELİR",$O606,-$O606),0))</f>
        <v/>
      </c>
      <c r="AA606" s="117">
        <f>IF($B606="",0,IF(OR($W606="EVET",$X606="EVET",$Y606="EVET"),0,IF($D606="GELİR",IF($E606="SATIŞ İADESİ/İSKONTO",-$O606,$O606),-$O606)))</f>
        <v/>
      </c>
      <c r="AB606" s="117">
        <f>IF($B606="","",IF(OR($D606="",$E606="",$O606=""),"EKSİK",IF($O606&lt;=0,"SIFIR/NEGATİF",IF(COUNTIFS($C$6:$C$5000,$C606,$O$6:$O$5000,$O606,$B$6:$B$5000,$B606)&gt;1,"MÜKERRER","OK"))))</f>
        <v/>
      </c>
    </row>
    <row r="607" ht="16.5" customHeight="1" s="80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7">
        <f>IF($B607="",0,IF($S607="EVET",IF($D607="GELİR",$O607,-$O607),0))</f>
        <v/>
      </c>
      <c r="AA607" s="117">
        <f>IF($B607="",0,IF(OR($W607="EVET",$X607="EVET",$Y607="EVET"),0,IF($D607="GELİR",IF($E607="SATIŞ İADESİ/İSKONTO",-$O607,$O607),-$O607)))</f>
        <v/>
      </c>
      <c r="AB607" s="117">
        <f>IF($B607="","",IF(OR($D607="",$E607="",$O607=""),"EKSİK",IF($O607&lt;=0,"SIFIR/NEGATİF",IF(COUNTIFS($C$6:$C$5000,$C607,$O$6:$O$5000,$O607,$B$6:$B$5000,$B607)&gt;1,"MÜKERRER","OK"))))</f>
        <v/>
      </c>
    </row>
    <row r="608" ht="16.5" customHeight="1" s="80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7">
        <f>IF($B608="",0,IF($S608="EVET",IF($D608="GELİR",$O608,-$O608),0))</f>
        <v/>
      </c>
      <c r="AA608" s="117">
        <f>IF($B608="",0,IF(OR($W608="EVET",$X608="EVET",$Y608="EVET"),0,IF($D608="GELİR",IF($E608="SATIŞ İADESİ/İSKONTO",-$O608,$O608),-$O608)))</f>
        <v/>
      </c>
      <c r="AB608" s="117">
        <f>IF($B608="","",IF(OR($D608="",$E608="",$O608=""),"EKSİK",IF($O608&lt;=0,"SIFIR/NEGATİF",IF(COUNTIFS($C$6:$C$5000,$C608,$O$6:$O$5000,$O608,$B$6:$B$5000,$B608)&gt;1,"MÜKERRER","OK"))))</f>
        <v/>
      </c>
    </row>
    <row r="609" ht="16.5" customHeight="1" s="80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7">
        <f>IF($B609="",0,IF($S609="EVET",IF($D609="GELİR",$O609,-$O609),0))</f>
        <v/>
      </c>
      <c r="AA609" s="117">
        <f>IF($B609="",0,IF(OR($W609="EVET",$X609="EVET",$Y609="EVET"),0,IF($D609="GELİR",IF($E609="SATIŞ İADESİ/İSKONTO",-$O609,$O609),-$O609)))</f>
        <v/>
      </c>
      <c r="AB609" s="117">
        <f>IF($B609="","",IF(OR($D609="",$E609="",$O609=""),"EKSİK",IF($O609&lt;=0,"SIFIR/NEGATİF",IF(COUNTIFS($C$6:$C$5000,$C609,$O$6:$O$5000,$O609,$B$6:$B$5000,$B609)&gt;1,"MÜKERRER","OK"))))</f>
        <v/>
      </c>
    </row>
    <row r="610" ht="16.5" customHeight="1" s="8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7">
        <f>IF($B610="",0,IF($S610="EVET",IF($D610="GELİR",$O610,-$O610),0))</f>
        <v/>
      </c>
      <c r="AA610" s="117">
        <f>IF($B610="",0,IF(OR($W610="EVET",$X610="EVET",$Y610="EVET"),0,IF($D610="GELİR",IF($E610="SATIŞ İADESİ/İSKONTO",-$O610,$O610),-$O610)))</f>
        <v/>
      </c>
      <c r="AB610" s="117">
        <f>IF($B610="","",IF(OR($D610="",$E610="",$O610=""),"EKSİK",IF($O610&lt;=0,"SIFIR/NEGATİF",IF(COUNTIFS($C$6:$C$5000,$C610,$O$6:$O$5000,$O610,$B$6:$B$5000,$B610)&gt;1,"MÜKERRER","OK"))))</f>
        <v/>
      </c>
    </row>
    <row r="611" ht="16.5" customHeight="1" s="80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7">
        <f>IF($B611="",0,IF($S611="EVET",IF($D611="GELİR",$O611,-$O611),0))</f>
        <v/>
      </c>
      <c r="AA611" s="117">
        <f>IF($B611="",0,IF(OR($W611="EVET",$X611="EVET",$Y611="EVET"),0,IF($D611="GELİR",IF($E611="SATIŞ İADESİ/İSKONTO",-$O611,$O611),-$O611)))</f>
        <v/>
      </c>
      <c r="AB611" s="117">
        <f>IF($B611="","",IF(OR($D611="",$E611="",$O611=""),"EKSİK",IF($O611&lt;=0,"SIFIR/NEGATİF",IF(COUNTIFS($C$6:$C$5000,$C611,$O$6:$O$5000,$O611,$B$6:$B$5000,$B611)&gt;1,"MÜKERRER","OK"))))</f>
        <v/>
      </c>
    </row>
    <row r="612" ht="16.5" customHeight="1" s="80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7">
        <f>IF($B612="",0,IF($S612="EVET",IF($D612="GELİR",$O612,-$O612),0))</f>
        <v/>
      </c>
      <c r="AA612" s="117">
        <f>IF($B612="",0,IF(OR($W612="EVET",$X612="EVET",$Y612="EVET"),0,IF($D612="GELİR",IF($E612="SATIŞ İADESİ/İSKONTO",-$O612,$O612),-$O612)))</f>
        <v/>
      </c>
      <c r="AB612" s="117">
        <f>IF($B612="","",IF(OR($D612="",$E612="",$O612=""),"EKSİK",IF($O612&lt;=0,"SIFIR/NEGATİF",IF(COUNTIFS($C$6:$C$5000,$C612,$O$6:$O$5000,$O612,$B$6:$B$5000,$B612)&gt;1,"MÜKERRER","OK"))))</f>
        <v/>
      </c>
    </row>
    <row r="613" ht="16.5" customHeight="1" s="80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7">
        <f>IF($B613="",0,IF($S613="EVET",IF($D613="GELİR",$O613,-$O613),0))</f>
        <v/>
      </c>
      <c r="AA613" s="117">
        <f>IF($B613="",0,IF(OR($W613="EVET",$X613="EVET",$Y613="EVET"),0,IF($D613="GELİR",IF($E613="SATIŞ İADESİ/İSKONTO",-$O613,$O613),-$O613)))</f>
        <v/>
      </c>
      <c r="AB613" s="117">
        <f>IF($B613="","",IF(OR($D613="",$E613="",$O613=""),"EKSİK",IF($O613&lt;=0,"SIFIR/NEGATİF",IF(COUNTIFS($C$6:$C$5000,$C613,$O$6:$O$5000,$O613,$B$6:$B$5000,$B613)&gt;1,"MÜKERRER","OK"))))</f>
        <v/>
      </c>
    </row>
    <row r="614" ht="16.5" customHeight="1" s="80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7">
        <f>IF($B614="",0,IF($S614="EVET",IF($D614="GELİR",$O614,-$O614),0))</f>
        <v/>
      </c>
      <c r="AA614" s="117">
        <f>IF($B614="",0,IF(OR($W614="EVET",$X614="EVET",$Y614="EVET"),0,IF($D614="GELİR",IF($E614="SATIŞ İADESİ/İSKONTO",-$O614,$O614),-$O614)))</f>
        <v/>
      </c>
      <c r="AB614" s="117">
        <f>IF($B614="","",IF(OR($D614="",$E614="",$O614=""),"EKSİK",IF($O614&lt;=0,"SIFIR/NEGATİF",IF(COUNTIFS($C$6:$C$5000,$C614,$O$6:$O$5000,$O614,$B$6:$B$5000,$B614)&gt;1,"MÜKERRER","OK"))))</f>
        <v/>
      </c>
    </row>
    <row r="615" ht="16.5" customHeight="1" s="80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7">
        <f>IF($B615="",0,IF($S615="EVET",IF($D615="GELİR",$O615,-$O615),0))</f>
        <v/>
      </c>
      <c r="AA615" s="117">
        <f>IF($B615="",0,IF(OR($W615="EVET",$X615="EVET",$Y615="EVET"),0,IF($D615="GELİR",IF($E615="SATIŞ İADESİ/İSKONTO",-$O615,$O615),-$O615)))</f>
        <v/>
      </c>
      <c r="AB615" s="117">
        <f>IF($B615="","",IF(OR($D615="",$E615="",$O615=""),"EKSİK",IF($O615&lt;=0,"SIFIR/NEGATİF",IF(COUNTIFS($C$6:$C$5000,$C615,$O$6:$O$5000,$O615,$B$6:$B$5000,$B615)&gt;1,"MÜKERRER","OK"))))</f>
        <v/>
      </c>
    </row>
    <row r="616" ht="16.5" customHeight="1" s="80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7">
        <f>IF($B616="",0,IF($S616="EVET",IF($D616="GELİR",$O616,-$O616),0))</f>
        <v/>
      </c>
      <c r="AA616" s="117">
        <f>IF($B616="",0,IF(OR($W616="EVET",$X616="EVET",$Y616="EVET"),0,IF($D616="GELİR",IF($E616="SATIŞ İADESİ/İSKONTO",-$O616,$O616),-$O616)))</f>
        <v/>
      </c>
      <c r="AB616" s="117">
        <f>IF($B616="","",IF(OR($D616="",$E616="",$O616=""),"EKSİK",IF($O616&lt;=0,"SIFIR/NEGATİF",IF(COUNTIFS($C$6:$C$5000,$C616,$O$6:$O$5000,$O616,$B$6:$B$5000,$B616)&gt;1,"MÜKERRER","OK"))))</f>
        <v/>
      </c>
    </row>
    <row r="617" ht="16.5" customHeight="1" s="80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7">
        <f>IF($B617="",0,IF($S617="EVET",IF($D617="GELİR",$O617,-$O617),0))</f>
        <v/>
      </c>
      <c r="AA617" s="117">
        <f>IF($B617="",0,IF(OR($W617="EVET",$X617="EVET",$Y617="EVET"),0,IF($D617="GELİR",IF($E617="SATIŞ İADESİ/İSKONTO",-$O617,$O617),-$O617)))</f>
        <v/>
      </c>
      <c r="AB617" s="117">
        <f>IF($B617="","",IF(OR($D617="",$E617="",$O617=""),"EKSİK",IF($O617&lt;=0,"SIFIR/NEGATİF",IF(COUNTIFS($C$6:$C$5000,$C617,$O$6:$O$5000,$O617,$B$6:$B$5000,$B617)&gt;1,"MÜKERRER","OK"))))</f>
        <v/>
      </c>
    </row>
    <row r="618" ht="16.5" customHeight="1" s="80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7">
        <f>IF($B618="",0,IF($S618="EVET",IF($D618="GELİR",$O618,-$O618),0))</f>
        <v/>
      </c>
      <c r="AA618" s="117">
        <f>IF($B618="",0,IF(OR($W618="EVET",$X618="EVET",$Y618="EVET"),0,IF($D618="GELİR",IF($E618="SATIŞ İADESİ/İSKONTO",-$O618,$O618),-$O618)))</f>
        <v/>
      </c>
      <c r="AB618" s="117">
        <f>IF($B618="","",IF(OR($D618="",$E618="",$O618=""),"EKSİK",IF($O618&lt;=0,"SIFIR/NEGATİF",IF(COUNTIFS($C$6:$C$5000,$C618,$O$6:$O$5000,$O618,$B$6:$B$5000,$B618)&gt;1,"MÜKERRER","OK"))))</f>
        <v/>
      </c>
    </row>
    <row r="619" ht="16.5" customHeight="1" s="80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7">
        <f>IF($B619="",0,IF($S619="EVET",IF($D619="GELİR",$O619,-$O619),0))</f>
        <v/>
      </c>
      <c r="AA619" s="117">
        <f>IF($B619="",0,IF(OR($W619="EVET",$X619="EVET",$Y619="EVET"),0,IF($D619="GELİR",IF($E619="SATIŞ İADESİ/İSKONTO",-$O619,$O619),-$O619)))</f>
        <v/>
      </c>
      <c r="AB619" s="117">
        <f>IF($B619="","",IF(OR($D619="",$E619="",$O619=""),"EKSİK",IF($O619&lt;=0,"SIFIR/NEGATİF",IF(COUNTIFS($C$6:$C$5000,$C619,$O$6:$O$5000,$O619,$B$6:$B$5000,$B619)&gt;1,"MÜKERRER","OK"))))</f>
        <v/>
      </c>
    </row>
    <row r="620" ht="16.5" customHeight="1" s="8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7">
        <f>IF($B620="",0,IF($S620="EVET",IF($D620="GELİR",$O620,-$O620),0))</f>
        <v/>
      </c>
      <c r="AA620" s="117">
        <f>IF($B620="",0,IF(OR($W620="EVET",$X620="EVET",$Y620="EVET"),0,IF($D620="GELİR",IF($E620="SATIŞ İADESİ/İSKONTO",-$O620,$O620),-$O620)))</f>
        <v/>
      </c>
      <c r="AB620" s="117">
        <f>IF($B620="","",IF(OR($D620="",$E620="",$O620=""),"EKSİK",IF($O620&lt;=0,"SIFIR/NEGATİF",IF(COUNTIFS($C$6:$C$5000,$C620,$O$6:$O$5000,$O620,$B$6:$B$5000,$B620)&gt;1,"MÜKERRER","OK"))))</f>
        <v/>
      </c>
    </row>
    <row r="621" ht="16.5" customHeight="1" s="80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7">
        <f>IF($B621="",0,IF($S621="EVET",IF($D621="GELİR",$O621,-$O621),0))</f>
        <v/>
      </c>
      <c r="AA621" s="117">
        <f>IF($B621="",0,IF(OR($W621="EVET",$X621="EVET",$Y621="EVET"),0,IF($D621="GELİR",IF($E621="SATIŞ İADESİ/İSKONTO",-$O621,$O621),-$O621)))</f>
        <v/>
      </c>
      <c r="AB621" s="117">
        <f>IF($B621="","",IF(OR($D621="",$E621="",$O621=""),"EKSİK",IF($O621&lt;=0,"SIFIR/NEGATİF",IF(COUNTIFS($C$6:$C$5000,$C621,$O$6:$O$5000,$O621,$B$6:$B$5000,$B621)&gt;1,"MÜKERRER","OK"))))</f>
        <v/>
      </c>
    </row>
    <row r="622" ht="16.5" customHeight="1" s="80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7">
        <f>IF($B622="",0,IF($S622="EVET",IF($D622="GELİR",$O622,-$O622),0))</f>
        <v/>
      </c>
      <c r="AA622" s="117">
        <f>IF($B622="",0,IF(OR($W622="EVET",$X622="EVET",$Y622="EVET"),0,IF($D622="GELİR",IF($E622="SATIŞ İADESİ/İSKONTO",-$O622,$O622),-$O622)))</f>
        <v/>
      </c>
      <c r="AB622" s="117">
        <f>IF($B622="","",IF(OR($D622="",$E622="",$O622=""),"EKSİK",IF($O622&lt;=0,"SIFIR/NEGATİF",IF(COUNTIFS($C$6:$C$5000,$C622,$O$6:$O$5000,$O622,$B$6:$B$5000,$B622)&gt;1,"MÜKERRER","OK"))))</f>
        <v/>
      </c>
    </row>
    <row r="623" ht="16.5" customHeight="1" s="80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7">
        <f>IF($B623="",0,IF($S623="EVET",IF($D623="GELİR",$O623,-$O623),0))</f>
        <v/>
      </c>
      <c r="AA623" s="117">
        <f>IF($B623="",0,IF(OR($W623="EVET",$X623="EVET",$Y623="EVET"),0,IF($D623="GELİR",IF($E623="SATIŞ İADESİ/İSKONTO",-$O623,$O623),-$O623)))</f>
        <v/>
      </c>
      <c r="AB623" s="117">
        <f>IF($B623="","",IF(OR($D623="",$E623="",$O623=""),"EKSİK",IF($O623&lt;=0,"SIFIR/NEGATİF",IF(COUNTIFS($C$6:$C$5000,$C623,$O$6:$O$5000,$O623,$B$6:$B$5000,$B623)&gt;1,"MÜKERRER","OK"))))</f>
        <v/>
      </c>
    </row>
    <row r="624" ht="16.5" customHeight="1" s="80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7">
        <f>IF($B624="",0,IF($S624="EVET",IF($D624="GELİR",$O624,-$O624),0))</f>
        <v/>
      </c>
      <c r="AA624" s="117">
        <f>IF($B624="",0,IF(OR($W624="EVET",$X624="EVET",$Y624="EVET"),0,IF($D624="GELİR",IF($E624="SATIŞ İADESİ/İSKONTO",-$O624,$O624),-$O624)))</f>
        <v/>
      </c>
      <c r="AB624" s="117">
        <f>IF($B624="","",IF(OR($D624="",$E624="",$O624=""),"EKSİK",IF($O624&lt;=0,"SIFIR/NEGATİF",IF(COUNTIFS($C$6:$C$5000,$C624,$O$6:$O$5000,$O624,$B$6:$B$5000,$B624)&gt;1,"MÜKERRER","OK"))))</f>
        <v/>
      </c>
    </row>
    <row r="625" ht="16.5" customHeight="1" s="80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7">
        <f>IF($B625="",0,IF($S625="EVET",IF($D625="GELİR",$O625,-$O625),0))</f>
        <v/>
      </c>
      <c r="AA625" s="117">
        <f>IF($B625="",0,IF(OR($W625="EVET",$X625="EVET",$Y625="EVET"),0,IF($D625="GELİR",IF($E625="SATIŞ İADESİ/İSKONTO",-$O625,$O625),-$O625)))</f>
        <v/>
      </c>
      <c r="AB625" s="117">
        <f>IF($B625="","",IF(OR($D625="",$E625="",$O625=""),"EKSİK",IF($O625&lt;=0,"SIFIR/NEGATİF",IF(COUNTIFS($C$6:$C$5000,$C625,$O$6:$O$5000,$O625,$B$6:$B$5000,$B625)&gt;1,"MÜKERRER","OK"))))</f>
        <v/>
      </c>
    </row>
    <row r="626" ht="16.5" customHeight="1" s="80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7">
        <f>IF($B626="",0,IF($S626="EVET",IF($D626="GELİR",$O626,-$O626),0))</f>
        <v/>
      </c>
      <c r="AA626" s="117">
        <f>IF($B626="",0,IF(OR($W626="EVET",$X626="EVET",$Y626="EVET"),0,IF($D626="GELİR",IF($E626="SATIŞ İADESİ/İSKONTO",-$O626,$O626),-$O626)))</f>
        <v/>
      </c>
      <c r="AB626" s="117">
        <f>IF($B626="","",IF(OR($D626="",$E626="",$O626=""),"EKSİK",IF($O626&lt;=0,"SIFIR/NEGATİF",IF(COUNTIFS($C$6:$C$5000,$C626,$O$6:$O$5000,$O626,$B$6:$B$5000,$B626)&gt;1,"MÜKERRER","OK"))))</f>
        <v/>
      </c>
    </row>
    <row r="627" ht="16.5" customHeight="1" s="80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7">
        <f>IF($B627="",0,IF($S627="EVET",IF($D627="GELİR",$O627,-$O627),0))</f>
        <v/>
      </c>
      <c r="AA627" s="117">
        <f>IF($B627="",0,IF(OR($W627="EVET",$X627="EVET",$Y627="EVET"),0,IF($D627="GELİR",IF($E627="SATIŞ İADESİ/İSKONTO",-$O627,$O627),-$O627)))</f>
        <v/>
      </c>
      <c r="AB627" s="117">
        <f>IF($B627="","",IF(OR($D627="",$E627="",$O627=""),"EKSİK",IF($O627&lt;=0,"SIFIR/NEGATİF",IF(COUNTIFS($C$6:$C$5000,$C627,$O$6:$O$5000,$O627,$B$6:$B$5000,$B627)&gt;1,"MÜKERRER","OK"))))</f>
        <v/>
      </c>
    </row>
    <row r="628" ht="16.5" customHeight="1" s="80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7">
        <f>IF($B628="",0,IF($S628="EVET",IF($D628="GELİR",$O628,-$O628),0))</f>
        <v/>
      </c>
      <c r="AA628" s="117">
        <f>IF($B628="",0,IF(OR($W628="EVET",$X628="EVET",$Y628="EVET"),0,IF($D628="GELİR",IF($E628="SATIŞ İADESİ/İSKONTO",-$O628,$O628),-$O628)))</f>
        <v/>
      </c>
      <c r="AB628" s="117">
        <f>IF($B628="","",IF(OR($D628="",$E628="",$O628=""),"EKSİK",IF($O628&lt;=0,"SIFIR/NEGATİF",IF(COUNTIFS($C$6:$C$5000,$C628,$O$6:$O$5000,$O628,$B$6:$B$5000,$B628)&gt;1,"MÜKERRER","OK"))))</f>
        <v/>
      </c>
    </row>
    <row r="629" ht="16.5" customHeight="1" s="80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7">
        <f>IF($B629="",0,IF($S629="EVET",IF($D629="GELİR",$O629,-$O629),0))</f>
        <v/>
      </c>
      <c r="AA629" s="117">
        <f>IF($B629="",0,IF(OR($W629="EVET",$X629="EVET",$Y629="EVET"),0,IF($D629="GELİR",IF($E629="SATIŞ İADESİ/İSKONTO",-$O629,$O629),-$O629)))</f>
        <v/>
      </c>
      <c r="AB629" s="117">
        <f>IF($B629="","",IF(OR($D629="",$E629="",$O629=""),"EKSİK",IF($O629&lt;=0,"SIFIR/NEGATİF",IF(COUNTIFS($C$6:$C$5000,$C629,$O$6:$O$5000,$O629,$B$6:$B$5000,$B629)&gt;1,"MÜKERRER","OK"))))</f>
        <v/>
      </c>
    </row>
    <row r="630" ht="16.5" customHeight="1" s="8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7">
        <f>IF($B630="",0,IF($S630="EVET",IF($D630="GELİR",$O630,-$O630),0))</f>
        <v/>
      </c>
      <c r="AA630" s="117">
        <f>IF($B630="",0,IF(OR($W630="EVET",$X630="EVET",$Y630="EVET"),0,IF($D630="GELİR",IF($E630="SATIŞ İADESİ/İSKONTO",-$O630,$O630),-$O630)))</f>
        <v/>
      </c>
      <c r="AB630" s="117">
        <f>IF($B630="","",IF(OR($D630="",$E630="",$O630=""),"EKSİK",IF($O630&lt;=0,"SIFIR/NEGATİF",IF(COUNTIFS($C$6:$C$5000,$C630,$O$6:$O$5000,$O630,$B$6:$B$5000,$B630)&gt;1,"MÜKERRER","OK"))))</f>
        <v/>
      </c>
    </row>
    <row r="631" ht="16.5" customHeight="1" s="80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7">
        <f>IF($B631="",0,IF($S631="EVET",IF($D631="GELİR",$O631,-$O631),0))</f>
        <v/>
      </c>
      <c r="AA631" s="117">
        <f>IF($B631="",0,IF(OR($W631="EVET",$X631="EVET",$Y631="EVET"),0,IF($D631="GELİR",IF($E631="SATIŞ İADESİ/İSKONTO",-$O631,$O631),-$O631)))</f>
        <v/>
      </c>
      <c r="AB631" s="117">
        <f>IF($B631="","",IF(OR($D631="",$E631="",$O631=""),"EKSİK",IF($O631&lt;=0,"SIFIR/NEGATİF",IF(COUNTIFS($C$6:$C$5000,$C631,$O$6:$O$5000,$O631,$B$6:$B$5000,$B631)&gt;1,"MÜKERRER","OK"))))</f>
        <v/>
      </c>
    </row>
    <row r="632" ht="16.5" customHeight="1" s="80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7">
        <f>IF($B632="",0,IF($S632="EVET",IF($D632="GELİR",$O632,-$O632),0))</f>
        <v/>
      </c>
      <c r="AA632" s="117">
        <f>IF($B632="",0,IF(OR($W632="EVET",$X632="EVET",$Y632="EVET"),0,IF($D632="GELİR",IF($E632="SATIŞ İADESİ/İSKONTO",-$O632,$O632),-$O632)))</f>
        <v/>
      </c>
      <c r="AB632" s="117">
        <f>IF($B632="","",IF(OR($D632="",$E632="",$O632=""),"EKSİK",IF($O632&lt;=0,"SIFIR/NEGATİF",IF(COUNTIFS($C$6:$C$5000,$C632,$O$6:$O$5000,$O632,$B$6:$B$5000,$B632)&gt;1,"MÜKERRER","OK"))))</f>
        <v/>
      </c>
    </row>
    <row r="633" ht="16.5" customHeight="1" s="80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7">
        <f>IF($B633="",0,IF($S633="EVET",IF($D633="GELİR",$O633,-$O633),0))</f>
        <v/>
      </c>
      <c r="AA633" s="117">
        <f>IF($B633="",0,IF(OR($W633="EVET",$X633="EVET",$Y633="EVET"),0,IF($D633="GELİR",IF($E633="SATIŞ İADESİ/İSKONTO",-$O633,$O633),-$O633)))</f>
        <v/>
      </c>
      <c r="AB633" s="117">
        <f>IF($B633="","",IF(OR($D633="",$E633="",$O633=""),"EKSİK",IF($O633&lt;=0,"SIFIR/NEGATİF",IF(COUNTIFS($C$6:$C$5000,$C633,$O$6:$O$5000,$O633,$B$6:$B$5000,$B633)&gt;1,"MÜKERRER","OK"))))</f>
        <v/>
      </c>
    </row>
    <row r="634" ht="16.5" customHeight="1" s="80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7">
        <f>IF($B634="",0,IF($S634="EVET",IF($D634="GELİR",$O634,-$O634),0))</f>
        <v/>
      </c>
      <c r="AA634" s="117">
        <f>IF($B634="",0,IF(OR($W634="EVET",$X634="EVET",$Y634="EVET"),0,IF($D634="GELİR",IF($E634="SATIŞ İADESİ/İSKONTO",-$O634,$O634),-$O634)))</f>
        <v/>
      </c>
      <c r="AB634" s="117">
        <f>IF($B634="","",IF(OR($D634="",$E634="",$O634=""),"EKSİK",IF($O634&lt;=0,"SIFIR/NEGATİF",IF(COUNTIFS($C$6:$C$5000,$C634,$O$6:$O$5000,$O634,$B$6:$B$5000,$B634)&gt;1,"MÜKERRER","OK"))))</f>
        <v/>
      </c>
    </row>
    <row r="635" ht="16.5" customHeight="1" s="80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7">
        <f>IF($B635="",0,IF($S635="EVET",IF($D635="GELİR",$O635,-$O635),0))</f>
        <v/>
      </c>
      <c r="AA635" s="117">
        <f>IF($B635="",0,IF(OR($W635="EVET",$X635="EVET",$Y635="EVET"),0,IF($D635="GELİR",IF($E635="SATIŞ İADESİ/İSKONTO",-$O635,$O635),-$O635)))</f>
        <v/>
      </c>
      <c r="AB635" s="117">
        <f>IF($B635="","",IF(OR($D635="",$E635="",$O635=""),"EKSİK",IF($O635&lt;=0,"SIFIR/NEGATİF",IF(COUNTIFS($C$6:$C$5000,$C635,$O$6:$O$5000,$O635,$B$6:$B$5000,$B635)&gt;1,"MÜKERRER","OK"))))</f>
        <v/>
      </c>
    </row>
    <row r="636" ht="16.5" customHeight="1" s="80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7">
        <f>IF($B636="",0,IF($S636="EVET",IF($D636="GELİR",$O636,-$O636),0))</f>
        <v/>
      </c>
      <c r="AA636" s="117">
        <f>IF($B636="",0,IF(OR($W636="EVET",$X636="EVET",$Y636="EVET"),0,IF($D636="GELİR",IF($E636="SATIŞ İADESİ/İSKONTO",-$O636,$O636),-$O636)))</f>
        <v/>
      </c>
      <c r="AB636" s="117">
        <f>IF($B636="","",IF(OR($D636="",$E636="",$O636=""),"EKSİK",IF($O636&lt;=0,"SIFIR/NEGATİF",IF(COUNTIFS($C$6:$C$5000,$C636,$O$6:$O$5000,$O636,$B$6:$B$5000,$B636)&gt;1,"MÜKERRER","OK"))))</f>
        <v/>
      </c>
    </row>
    <row r="637" ht="16.5" customHeight="1" s="80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7">
        <f>IF($B637="",0,IF($S637="EVET",IF($D637="GELİR",$O637,-$O637),0))</f>
        <v/>
      </c>
      <c r="AA637" s="117">
        <f>IF($B637="",0,IF(OR($W637="EVET",$X637="EVET",$Y637="EVET"),0,IF($D637="GELİR",IF($E637="SATIŞ İADESİ/İSKONTO",-$O637,$O637),-$O637)))</f>
        <v/>
      </c>
      <c r="AB637" s="117">
        <f>IF($B637="","",IF(OR($D637="",$E637="",$O637=""),"EKSİK",IF($O637&lt;=0,"SIFIR/NEGATİF",IF(COUNTIFS($C$6:$C$5000,$C637,$O$6:$O$5000,$O637,$B$6:$B$5000,$B637)&gt;1,"MÜKERRER","OK"))))</f>
        <v/>
      </c>
    </row>
    <row r="638" ht="16.5" customHeight="1" s="80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7">
        <f>IF($B638="",0,IF($S638="EVET",IF($D638="GELİR",$O638,-$O638),0))</f>
        <v/>
      </c>
      <c r="AA638" s="117">
        <f>IF($B638="",0,IF(OR($W638="EVET",$X638="EVET",$Y638="EVET"),0,IF($D638="GELİR",IF($E638="SATIŞ İADESİ/İSKONTO",-$O638,$O638),-$O638)))</f>
        <v/>
      </c>
      <c r="AB638" s="117">
        <f>IF($B638="","",IF(OR($D638="",$E638="",$O638=""),"EKSİK",IF($O638&lt;=0,"SIFIR/NEGATİF",IF(COUNTIFS($C$6:$C$5000,$C638,$O$6:$O$5000,$O638,$B$6:$B$5000,$B638)&gt;1,"MÜKERRER","OK"))))</f>
        <v/>
      </c>
    </row>
    <row r="639" ht="16.5" customHeight="1" s="80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7">
        <f>IF($B639="",0,IF($S639="EVET",IF($D639="GELİR",$O639,-$O639),0))</f>
        <v/>
      </c>
      <c r="AA639" s="117">
        <f>IF($B639="",0,IF(OR($W639="EVET",$X639="EVET",$Y639="EVET"),0,IF($D639="GELİR",IF($E639="SATIŞ İADESİ/İSKONTO",-$O639,$O639),-$O639)))</f>
        <v/>
      </c>
      <c r="AB639" s="117">
        <f>IF($B639="","",IF(OR($D639="",$E639="",$O639=""),"EKSİK",IF($O639&lt;=0,"SIFIR/NEGATİF",IF(COUNTIFS($C$6:$C$5000,$C639,$O$6:$O$5000,$O639,$B$6:$B$5000,$B639)&gt;1,"MÜKERRER","OK"))))</f>
        <v/>
      </c>
    </row>
    <row r="640" ht="16.5" customHeight="1" s="8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7">
        <f>IF($B640="",0,IF($S640="EVET",IF($D640="GELİR",$O640,-$O640),0))</f>
        <v/>
      </c>
      <c r="AA640" s="117">
        <f>IF($B640="",0,IF(OR($W640="EVET",$X640="EVET",$Y640="EVET"),0,IF($D640="GELİR",IF($E640="SATIŞ İADESİ/İSKONTO",-$O640,$O640),-$O640)))</f>
        <v/>
      </c>
      <c r="AB640" s="117">
        <f>IF($B640="","",IF(OR($D640="",$E640="",$O640=""),"EKSİK",IF($O640&lt;=0,"SIFIR/NEGATİF",IF(COUNTIFS($C$6:$C$5000,$C640,$O$6:$O$5000,$O640,$B$6:$B$5000,$B640)&gt;1,"MÜKERRER","OK"))))</f>
        <v/>
      </c>
    </row>
    <row r="641" ht="16.5" customHeight="1" s="80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7">
        <f>IF($B641="",0,IF($S641="EVET",IF($D641="GELİR",$O641,-$O641),0))</f>
        <v/>
      </c>
      <c r="AA641" s="117">
        <f>IF($B641="",0,IF(OR($W641="EVET",$X641="EVET",$Y641="EVET"),0,IF($D641="GELİR",IF($E641="SATIŞ İADESİ/İSKONTO",-$O641,$O641),-$O641)))</f>
        <v/>
      </c>
      <c r="AB641" s="117">
        <f>IF($B641="","",IF(OR($D641="",$E641="",$O641=""),"EKSİK",IF($O641&lt;=0,"SIFIR/NEGATİF",IF(COUNTIFS($C$6:$C$5000,$C641,$O$6:$O$5000,$O641,$B$6:$B$5000,$B641)&gt;1,"MÜKERRER","OK"))))</f>
        <v/>
      </c>
    </row>
    <row r="642" ht="16.5" customHeight="1" s="80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7">
        <f>IF($B642="",0,IF($S642="EVET",IF($D642="GELİR",$O642,-$O642),0))</f>
        <v/>
      </c>
      <c r="AA642" s="117">
        <f>IF($B642="",0,IF(OR($W642="EVET",$X642="EVET",$Y642="EVET"),0,IF($D642="GELİR",IF($E642="SATIŞ İADESİ/İSKONTO",-$O642,$O642),-$O642)))</f>
        <v/>
      </c>
      <c r="AB642" s="117">
        <f>IF($B642="","",IF(OR($D642="",$E642="",$O642=""),"EKSİK",IF($O642&lt;=0,"SIFIR/NEGATİF",IF(COUNTIFS($C$6:$C$5000,$C642,$O$6:$O$5000,$O642,$B$6:$B$5000,$B642)&gt;1,"MÜKERRER","OK"))))</f>
        <v/>
      </c>
    </row>
    <row r="643" ht="16.5" customHeight="1" s="80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7">
        <f>IF($B643="",0,IF($S643="EVET",IF($D643="GELİR",$O643,-$O643),0))</f>
        <v/>
      </c>
      <c r="AA643" s="117">
        <f>IF($B643="",0,IF(OR($W643="EVET",$X643="EVET",$Y643="EVET"),0,IF($D643="GELİR",IF($E643="SATIŞ İADESİ/İSKONTO",-$O643,$O643),-$O643)))</f>
        <v/>
      </c>
      <c r="AB643" s="117">
        <f>IF($B643="","",IF(OR($D643="",$E643="",$O643=""),"EKSİK",IF($O643&lt;=0,"SIFIR/NEGATİF",IF(COUNTIFS($C$6:$C$5000,$C643,$O$6:$O$5000,$O643,$B$6:$B$5000,$B643)&gt;1,"MÜKERRER","OK"))))</f>
        <v/>
      </c>
    </row>
    <row r="644" ht="16.5" customHeight="1" s="80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7">
        <f>IF($B644="",0,IF($S644="EVET",IF($D644="GELİR",$O644,-$O644),0))</f>
        <v/>
      </c>
      <c r="AA644" s="117">
        <f>IF($B644="",0,IF(OR($W644="EVET",$X644="EVET",$Y644="EVET"),0,IF($D644="GELİR",IF($E644="SATIŞ İADESİ/İSKONTO",-$O644,$O644),-$O644)))</f>
        <v/>
      </c>
      <c r="AB644" s="117">
        <f>IF($B644="","",IF(OR($D644="",$E644="",$O644=""),"EKSİK",IF($O644&lt;=0,"SIFIR/NEGATİF",IF(COUNTIFS($C$6:$C$5000,$C644,$O$6:$O$5000,$O644,$B$6:$B$5000,$B644)&gt;1,"MÜKERRER","OK"))))</f>
        <v/>
      </c>
    </row>
    <row r="645" ht="16.5" customHeight="1" s="80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7">
        <f>IF($B645="",0,IF($S645="EVET",IF($D645="GELİR",$O645,-$O645),0))</f>
        <v/>
      </c>
      <c r="AA645" s="117">
        <f>IF($B645="",0,IF(OR($W645="EVET",$X645="EVET",$Y645="EVET"),0,IF($D645="GELİR",IF($E645="SATIŞ İADESİ/İSKONTO",-$O645,$O645),-$O645)))</f>
        <v/>
      </c>
      <c r="AB645" s="117">
        <f>IF($B645="","",IF(OR($D645="",$E645="",$O645=""),"EKSİK",IF($O645&lt;=0,"SIFIR/NEGATİF",IF(COUNTIFS($C$6:$C$5000,$C645,$O$6:$O$5000,$O645,$B$6:$B$5000,$B645)&gt;1,"MÜKERRER","OK"))))</f>
        <v/>
      </c>
    </row>
    <row r="646" ht="16.5" customHeight="1" s="80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7">
        <f>IF($B646="",0,IF($S646="EVET",IF($D646="GELİR",$O646,-$O646),0))</f>
        <v/>
      </c>
      <c r="AA646" s="117">
        <f>IF($B646="",0,IF(OR($W646="EVET",$X646="EVET",$Y646="EVET"),0,IF($D646="GELİR",IF($E646="SATIŞ İADESİ/İSKONTO",-$O646,$O646),-$O646)))</f>
        <v/>
      </c>
      <c r="AB646" s="117">
        <f>IF($B646="","",IF(OR($D646="",$E646="",$O646=""),"EKSİK",IF($O646&lt;=0,"SIFIR/NEGATİF",IF(COUNTIFS($C$6:$C$5000,$C646,$O$6:$O$5000,$O646,$B$6:$B$5000,$B646)&gt;1,"MÜKERRER","OK"))))</f>
        <v/>
      </c>
    </row>
    <row r="647" ht="16.5" customHeight="1" s="80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7">
        <f>IF($B647="",0,IF($S647="EVET",IF($D647="GELİR",$O647,-$O647),0))</f>
        <v/>
      </c>
      <c r="AA647" s="117">
        <f>IF($B647="",0,IF(OR($W647="EVET",$X647="EVET",$Y647="EVET"),0,IF($D647="GELİR",IF($E647="SATIŞ İADESİ/İSKONTO",-$O647,$O647),-$O647)))</f>
        <v/>
      </c>
      <c r="AB647" s="117">
        <f>IF($B647="","",IF(OR($D647="",$E647="",$O647=""),"EKSİK",IF($O647&lt;=0,"SIFIR/NEGATİF",IF(COUNTIFS($C$6:$C$5000,$C647,$O$6:$O$5000,$O647,$B$6:$B$5000,$B647)&gt;1,"MÜKERRER","OK"))))</f>
        <v/>
      </c>
    </row>
    <row r="648" ht="16.5" customHeight="1" s="80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7">
        <f>IF($B648="",0,IF($S648="EVET",IF($D648="GELİR",$O648,-$O648),0))</f>
        <v/>
      </c>
      <c r="AA648" s="117">
        <f>IF($B648="",0,IF(OR($W648="EVET",$X648="EVET",$Y648="EVET"),0,IF($D648="GELİR",IF($E648="SATIŞ İADESİ/İSKONTO",-$O648,$O648),-$O648)))</f>
        <v/>
      </c>
      <c r="AB648" s="117">
        <f>IF($B648="","",IF(OR($D648="",$E648="",$O648=""),"EKSİK",IF($O648&lt;=0,"SIFIR/NEGATİF",IF(COUNTIFS($C$6:$C$5000,$C648,$O$6:$O$5000,$O648,$B$6:$B$5000,$B648)&gt;1,"MÜKERRER","OK"))))</f>
        <v/>
      </c>
    </row>
    <row r="649" ht="16.5" customHeight="1" s="80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7">
        <f>IF($B649="",0,IF($S649="EVET",IF($D649="GELİR",$O649,-$O649),0))</f>
        <v/>
      </c>
      <c r="AA649" s="117">
        <f>IF($B649="",0,IF(OR($W649="EVET",$X649="EVET",$Y649="EVET"),0,IF($D649="GELİR",IF($E649="SATIŞ İADESİ/İSKONTO",-$O649,$O649),-$O649)))</f>
        <v/>
      </c>
      <c r="AB649" s="117">
        <f>IF($B649="","",IF(OR($D649="",$E649="",$O649=""),"EKSİK",IF($O649&lt;=0,"SIFIR/NEGATİF",IF(COUNTIFS($C$6:$C$5000,$C649,$O$6:$O$5000,$O649,$B$6:$B$5000,$B649)&gt;1,"MÜKERRER","OK"))))</f>
        <v/>
      </c>
    </row>
    <row r="650" ht="16.5" customHeight="1" s="8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7">
        <f>IF($B650="",0,IF($S650="EVET",IF($D650="GELİR",$O650,-$O650),0))</f>
        <v/>
      </c>
      <c r="AA650" s="117">
        <f>IF($B650="",0,IF(OR($W650="EVET",$X650="EVET",$Y650="EVET"),0,IF($D650="GELİR",IF($E650="SATIŞ İADESİ/İSKONTO",-$O650,$O650),-$O650)))</f>
        <v/>
      </c>
      <c r="AB650" s="117">
        <f>IF($B650="","",IF(OR($D650="",$E650="",$O650=""),"EKSİK",IF($O650&lt;=0,"SIFIR/NEGATİF",IF(COUNTIFS($C$6:$C$5000,$C650,$O$6:$O$5000,$O650,$B$6:$B$5000,$B650)&gt;1,"MÜKERRER","OK"))))</f>
        <v/>
      </c>
    </row>
    <row r="651" ht="16.5" customHeight="1" s="80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7">
        <f>IF($B651="",0,IF($S651="EVET",IF($D651="GELİR",$O651,-$O651),0))</f>
        <v/>
      </c>
      <c r="AA651" s="117">
        <f>IF($B651="",0,IF(OR($W651="EVET",$X651="EVET",$Y651="EVET"),0,IF($D651="GELİR",IF($E651="SATIŞ İADESİ/İSKONTO",-$O651,$O651),-$O651)))</f>
        <v/>
      </c>
      <c r="AB651" s="117">
        <f>IF($B651="","",IF(OR($D651="",$E651="",$O651=""),"EKSİK",IF($O651&lt;=0,"SIFIR/NEGATİF",IF(COUNTIFS($C$6:$C$5000,$C651,$O$6:$O$5000,$O651,$B$6:$B$5000,$B651)&gt;1,"MÜKERRER","OK"))))</f>
        <v/>
      </c>
    </row>
    <row r="652" ht="16.5" customHeight="1" s="80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7">
        <f>IF($B652="",0,IF($S652="EVET",IF($D652="GELİR",$O652,-$O652),0))</f>
        <v/>
      </c>
      <c r="AA652" s="117">
        <f>IF($B652="",0,IF(OR($W652="EVET",$X652="EVET",$Y652="EVET"),0,IF($D652="GELİR",IF($E652="SATIŞ İADESİ/İSKONTO",-$O652,$O652),-$O652)))</f>
        <v/>
      </c>
      <c r="AB652" s="117">
        <f>IF($B652="","",IF(OR($D652="",$E652="",$O652=""),"EKSİK",IF($O652&lt;=0,"SIFIR/NEGATİF",IF(COUNTIFS($C$6:$C$5000,$C652,$O$6:$O$5000,$O652,$B$6:$B$5000,$B652)&gt;1,"MÜKERRER","OK"))))</f>
        <v/>
      </c>
    </row>
    <row r="653" ht="16.5" customHeight="1" s="80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7">
        <f>IF($B653="",0,IF($S653="EVET",IF($D653="GELİR",$O653,-$O653),0))</f>
        <v/>
      </c>
      <c r="AA653" s="117">
        <f>IF($B653="",0,IF(OR($W653="EVET",$X653="EVET",$Y653="EVET"),0,IF($D653="GELİR",IF($E653="SATIŞ İADESİ/İSKONTO",-$O653,$O653),-$O653)))</f>
        <v/>
      </c>
      <c r="AB653" s="117">
        <f>IF($B653="","",IF(OR($D653="",$E653="",$O653=""),"EKSİK",IF($O653&lt;=0,"SIFIR/NEGATİF",IF(COUNTIFS($C$6:$C$5000,$C653,$O$6:$O$5000,$O653,$B$6:$B$5000,$B653)&gt;1,"MÜKERRER","OK"))))</f>
        <v/>
      </c>
    </row>
    <row r="654" ht="16.5" customHeight="1" s="80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7">
        <f>IF($B654="",0,IF($S654="EVET",IF($D654="GELİR",$O654,-$O654),0))</f>
        <v/>
      </c>
      <c r="AA654" s="117">
        <f>IF($B654="",0,IF(OR($W654="EVET",$X654="EVET",$Y654="EVET"),0,IF($D654="GELİR",IF($E654="SATIŞ İADESİ/İSKONTO",-$O654,$O654),-$O654)))</f>
        <v/>
      </c>
      <c r="AB654" s="117">
        <f>IF($B654="","",IF(OR($D654="",$E654="",$O654=""),"EKSİK",IF($O654&lt;=0,"SIFIR/NEGATİF",IF(COUNTIFS($C$6:$C$5000,$C654,$O$6:$O$5000,$O654,$B$6:$B$5000,$B654)&gt;1,"MÜKERRER","OK"))))</f>
        <v/>
      </c>
    </row>
    <row r="655" ht="16.5" customHeight="1" s="80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7">
        <f>IF($B655="",0,IF($S655="EVET",IF($D655="GELİR",$O655,-$O655),0))</f>
        <v/>
      </c>
      <c r="AA655" s="117">
        <f>IF($B655="",0,IF(OR($W655="EVET",$X655="EVET",$Y655="EVET"),0,IF($D655="GELİR",IF($E655="SATIŞ İADESİ/İSKONTO",-$O655,$O655),-$O655)))</f>
        <v/>
      </c>
      <c r="AB655" s="117">
        <f>IF($B655="","",IF(OR($D655="",$E655="",$O655=""),"EKSİK",IF($O655&lt;=0,"SIFIR/NEGATİF",IF(COUNTIFS($C$6:$C$5000,$C655,$O$6:$O$5000,$O655,$B$6:$B$5000,$B655)&gt;1,"MÜKERRER","OK"))))</f>
        <v/>
      </c>
    </row>
    <row r="656" ht="16.5" customHeight="1" s="80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7">
        <f>IF($B656="",0,IF($S656="EVET",IF($D656="GELİR",$O656,-$O656),0))</f>
        <v/>
      </c>
      <c r="AA656" s="117">
        <f>IF($B656="",0,IF(OR($W656="EVET",$X656="EVET",$Y656="EVET"),0,IF($D656="GELİR",IF($E656="SATIŞ İADESİ/İSKONTO",-$O656,$O656),-$O656)))</f>
        <v/>
      </c>
      <c r="AB656" s="117">
        <f>IF($B656="","",IF(OR($D656="",$E656="",$O656=""),"EKSİK",IF($O656&lt;=0,"SIFIR/NEGATİF",IF(COUNTIFS($C$6:$C$5000,$C656,$O$6:$O$5000,$O656,$B$6:$B$5000,$B656)&gt;1,"MÜKERRER","OK"))))</f>
        <v/>
      </c>
    </row>
    <row r="657" ht="16.5" customHeight="1" s="80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7">
        <f>IF($B657="",0,IF($S657="EVET",IF($D657="GELİR",$O657,-$O657),0))</f>
        <v/>
      </c>
      <c r="AA657" s="117">
        <f>IF($B657="",0,IF(OR($W657="EVET",$X657="EVET",$Y657="EVET"),0,IF($D657="GELİR",IF($E657="SATIŞ İADESİ/İSKONTO",-$O657,$O657),-$O657)))</f>
        <v/>
      </c>
      <c r="AB657" s="117">
        <f>IF($B657="","",IF(OR($D657="",$E657="",$O657=""),"EKSİK",IF($O657&lt;=0,"SIFIR/NEGATİF",IF(COUNTIFS($C$6:$C$5000,$C657,$O$6:$O$5000,$O657,$B$6:$B$5000,$B657)&gt;1,"MÜKERRER","OK"))))</f>
        <v/>
      </c>
    </row>
    <row r="658" ht="16.5" customHeight="1" s="80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7">
        <f>IF($B658="",0,IF($S658="EVET",IF($D658="GELİR",$O658,-$O658),0))</f>
        <v/>
      </c>
      <c r="AA658" s="117">
        <f>IF($B658="",0,IF(OR($W658="EVET",$X658="EVET",$Y658="EVET"),0,IF($D658="GELİR",IF($E658="SATIŞ İADESİ/İSKONTO",-$O658,$O658),-$O658)))</f>
        <v/>
      </c>
      <c r="AB658" s="117">
        <f>IF($B658="","",IF(OR($D658="",$E658="",$O658=""),"EKSİK",IF($O658&lt;=0,"SIFIR/NEGATİF",IF(COUNTIFS($C$6:$C$5000,$C658,$O$6:$O$5000,$O658,$B$6:$B$5000,$B658)&gt;1,"MÜKERRER","OK"))))</f>
        <v/>
      </c>
    </row>
    <row r="659" ht="16.5" customHeight="1" s="80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7">
        <f>IF($B659="",0,IF($S659="EVET",IF($D659="GELİR",$O659,-$O659),0))</f>
        <v/>
      </c>
      <c r="AA659" s="117">
        <f>IF($B659="",0,IF(OR($W659="EVET",$X659="EVET",$Y659="EVET"),0,IF($D659="GELİR",IF($E659="SATIŞ İADESİ/İSKONTO",-$O659,$O659),-$O659)))</f>
        <v/>
      </c>
      <c r="AB659" s="117">
        <f>IF($B659="","",IF(OR($D659="",$E659="",$O659=""),"EKSİK",IF($O659&lt;=0,"SIFIR/NEGATİF",IF(COUNTIFS($C$6:$C$5000,$C659,$O$6:$O$5000,$O659,$B$6:$B$5000,$B659)&gt;1,"MÜKERRER","OK"))))</f>
        <v/>
      </c>
    </row>
    <row r="660" ht="16.5" customHeight="1" s="8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7">
        <f>IF($B660="",0,IF($S660="EVET",IF($D660="GELİR",$O660,-$O660),0))</f>
        <v/>
      </c>
      <c r="AA660" s="117">
        <f>IF($B660="",0,IF(OR($W660="EVET",$X660="EVET",$Y660="EVET"),0,IF($D660="GELİR",IF($E660="SATIŞ İADESİ/İSKONTO",-$O660,$O660),-$O660)))</f>
        <v/>
      </c>
      <c r="AB660" s="117">
        <f>IF($B660="","",IF(OR($D660="",$E660="",$O660=""),"EKSİK",IF($O660&lt;=0,"SIFIR/NEGATİF",IF(COUNTIFS($C$6:$C$5000,$C660,$O$6:$O$5000,$O660,$B$6:$B$5000,$B660)&gt;1,"MÜKERRER","OK"))))</f>
        <v/>
      </c>
    </row>
    <row r="661" ht="16.5" customHeight="1" s="80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7">
        <f>IF($B661="",0,IF($S661="EVET",IF($D661="GELİR",$O661,-$O661),0))</f>
        <v/>
      </c>
      <c r="AA661" s="117">
        <f>IF($B661="",0,IF(OR($W661="EVET",$X661="EVET",$Y661="EVET"),0,IF($D661="GELİR",IF($E661="SATIŞ İADESİ/İSKONTO",-$O661,$O661),-$O661)))</f>
        <v/>
      </c>
      <c r="AB661" s="117">
        <f>IF($B661="","",IF(OR($D661="",$E661="",$O661=""),"EKSİK",IF($O661&lt;=0,"SIFIR/NEGATİF",IF(COUNTIFS($C$6:$C$5000,$C661,$O$6:$O$5000,$O661,$B$6:$B$5000,$B661)&gt;1,"MÜKERRER","OK"))))</f>
        <v/>
      </c>
    </row>
    <row r="662" ht="16.5" customHeight="1" s="80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7">
        <f>IF($B662="",0,IF($S662="EVET",IF($D662="GELİR",$O662,-$O662),0))</f>
        <v/>
      </c>
      <c r="AA662" s="117">
        <f>IF($B662="",0,IF(OR($W662="EVET",$X662="EVET",$Y662="EVET"),0,IF($D662="GELİR",IF($E662="SATIŞ İADESİ/İSKONTO",-$O662,$O662),-$O662)))</f>
        <v/>
      </c>
      <c r="AB662" s="117">
        <f>IF($B662="","",IF(OR($D662="",$E662="",$O662=""),"EKSİK",IF($O662&lt;=0,"SIFIR/NEGATİF",IF(COUNTIFS($C$6:$C$5000,$C662,$O$6:$O$5000,$O662,$B$6:$B$5000,$B662)&gt;1,"MÜKERRER","OK"))))</f>
        <v/>
      </c>
    </row>
    <row r="663" ht="16.5" customHeight="1" s="80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7">
        <f>IF($B663="",0,IF($S663="EVET",IF($D663="GELİR",$O663,-$O663),0))</f>
        <v/>
      </c>
      <c r="AA663" s="117">
        <f>IF($B663="",0,IF(OR($W663="EVET",$X663="EVET",$Y663="EVET"),0,IF($D663="GELİR",IF($E663="SATIŞ İADESİ/İSKONTO",-$O663,$O663),-$O663)))</f>
        <v/>
      </c>
      <c r="AB663" s="117">
        <f>IF($B663="","",IF(OR($D663="",$E663="",$O663=""),"EKSİK",IF($O663&lt;=0,"SIFIR/NEGATİF",IF(COUNTIFS($C$6:$C$5000,$C663,$O$6:$O$5000,$O663,$B$6:$B$5000,$B663)&gt;1,"MÜKERRER","OK"))))</f>
        <v/>
      </c>
    </row>
    <row r="664" ht="16.5" customHeight="1" s="80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7">
        <f>IF($B664="",0,IF($S664="EVET",IF($D664="GELİR",$O664,-$O664),0))</f>
        <v/>
      </c>
      <c r="AA664" s="117">
        <f>IF($B664="",0,IF(OR($W664="EVET",$X664="EVET",$Y664="EVET"),0,IF($D664="GELİR",IF($E664="SATIŞ İADESİ/İSKONTO",-$O664,$O664),-$O664)))</f>
        <v/>
      </c>
      <c r="AB664" s="117">
        <f>IF($B664="","",IF(OR($D664="",$E664="",$O664=""),"EKSİK",IF($O664&lt;=0,"SIFIR/NEGATİF",IF(COUNTIFS($C$6:$C$5000,$C664,$O$6:$O$5000,$O664,$B$6:$B$5000,$B664)&gt;1,"MÜKERRER","OK"))))</f>
        <v/>
      </c>
    </row>
    <row r="665" ht="16.5" customHeight="1" s="80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7">
        <f>IF($B665="",0,IF($S665="EVET",IF($D665="GELİR",$O665,-$O665),0))</f>
        <v/>
      </c>
      <c r="AA665" s="117">
        <f>IF($B665="",0,IF(OR($W665="EVET",$X665="EVET",$Y665="EVET"),0,IF($D665="GELİR",IF($E665="SATIŞ İADESİ/İSKONTO",-$O665,$O665),-$O665)))</f>
        <v/>
      </c>
      <c r="AB665" s="117">
        <f>IF($B665="","",IF(OR($D665="",$E665="",$O665=""),"EKSİK",IF($O665&lt;=0,"SIFIR/NEGATİF",IF(COUNTIFS($C$6:$C$5000,$C665,$O$6:$O$5000,$O665,$B$6:$B$5000,$B665)&gt;1,"MÜKERRER","OK"))))</f>
        <v/>
      </c>
    </row>
    <row r="666" ht="16.5" customHeight="1" s="80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7">
        <f>IF($B666="",0,IF($S666="EVET",IF($D666="GELİR",$O666,-$O666),0))</f>
        <v/>
      </c>
      <c r="AA666" s="117">
        <f>IF($B666="",0,IF(OR($W666="EVET",$X666="EVET",$Y666="EVET"),0,IF($D666="GELİR",IF($E666="SATIŞ İADESİ/İSKONTO",-$O666,$O666),-$O666)))</f>
        <v/>
      </c>
      <c r="AB666" s="117">
        <f>IF($B666="","",IF(OR($D666="",$E666="",$O666=""),"EKSİK",IF($O666&lt;=0,"SIFIR/NEGATİF",IF(COUNTIFS($C$6:$C$5000,$C666,$O$6:$O$5000,$O666,$B$6:$B$5000,$B666)&gt;1,"MÜKERRER","OK"))))</f>
        <v/>
      </c>
    </row>
    <row r="667" ht="16.5" customHeight="1" s="80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7">
        <f>IF($B667="",0,IF($S667="EVET",IF($D667="GELİR",$O667,-$O667),0))</f>
        <v/>
      </c>
      <c r="AA667" s="117">
        <f>IF($B667="",0,IF(OR($W667="EVET",$X667="EVET",$Y667="EVET"),0,IF($D667="GELİR",IF($E667="SATIŞ İADESİ/İSKONTO",-$O667,$O667),-$O667)))</f>
        <v/>
      </c>
      <c r="AB667" s="117">
        <f>IF($B667="","",IF(OR($D667="",$E667="",$O667=""),"EKSİK",IF($O667&lt;=0,"SIFIR/NEGATİF",IF(COUNTIFS($C$6:$C$5000,$C667,$O$6:$O$5000,$O667,$B$6:$B$5000,$B667)&gt;1,"MÜKERRER","OK"))))</f>
        <v/>
      </c>
    </row>
    <row r="668" ht="16.5" customHeight="1" s="80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7">
        <f>IF($B668="",0,IF($S668="EVET",IF($D668="GELİR",$O668,-$O668),0))</f>
        <v/>
      </c>
      <c r="AA668" s="117">
        <f>IF($B668="",0,IF(OR($W668="EVET",$X668="EVET",$Y668="EVET"),0,IF($D668="GELİR",IF($E668="SATIŞ İADESİ/İSKONTO",-$O668,$O668),-$O668)))</f>
        <v/>
      </c>
      <c r="AB668" s="117">
        <f>IF($B668="","",IF(OR($D668="",$E668="",$O668=""),"EKSİK",IF($O668&lt;=0,"SIFIR/NEGATİF",IF(COUNTIFS($C$6:$C$5000,$C668,$O$6:$O$5000,$O668,$B$6:$B$5000,$B668)&gt;1,"MÜKERRER","OK"))))</f>
        <v/>
      </c>
    </row>
    <row r="669" ht="16.5" customHeight="1" s="80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7">
        <f>IF($B669="",0,IF($S669="EVET",IF($D669="GELİR",$O669,-$O669),0))</f>
        <v/>
      </c>
      <c r="AA669" s="117">
        <f>IF($B669="",0,IF(OR($W669="EVET",$X669="EVET",$Y669="EVET"),0,IF($D669="GELİR",IF($E669="SATIŞ İADESİ/İSKONTO",-$O669,$O669),-$O669)))</f>
        <v/>
      </c>
      <c r="AB669" s="117">
        <f>IF($B669="","",IF(OR($D669="",$E669="",$O669=""),"EKSİK",IF($O669&lt;=0,"SIFIR/NEGATİF",IF(COUNTIFS($C$6:$C$5000,$C669,$O$6:$O$5000,$O669,$B$6:$B$5000,$B669)&gt;1,"MÜKERRER","OK"))))</f>
        <v/>
      </c>
    </row>
    <row r="670" ht="16.5" customHeight="1" s="8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7">
        <f>IF($B670="",0,IF($S670="EVET",IF($D670="GELİR",$O670,-$O670),0))</f>
        <v/>
      </c>
      <c r="AA670" s="117">
        <f>IF($B670="",0,IF(OR($W670="EVET",$X670="EVET",$Y670="EVET"),0,IF($D670="GELİR",IF($E670="SATIŞ İADESİ/İSKONTO",-$O670,$O670),-$O670)))</f>
        <v/>
      </c>
      <c r="AB670" s="117">
        <f>IF($B670="","",IF(OR($D670="",$E670="",$O670=""),"EKSİK",IF($O670&lt;=0,"SIFIR/NEGATİF",IF(COUNTIFS($C$6:$C$5000,$C670,$O$6:$O$5000,$O670,$B$6:$B$5000,$B670)&gt;1,"MÜKERRER","OK"))))</f>
        <v/>
      </c>
    </row>
    <row r="671" ht="16.5" customHeight="1" s="80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7">
        <f>IF($B671="",0,IF($S671="EVET",IF($D671="GELİR",$O671,-$O671),0))</f>
        <v/>
      </c>
      <c r="AA671" s="117">
        <f>IF($B671="",0,IF(OR($W671="EVET",$X671="EVET",$Y671="EVET"),0,IF($D671="GELİR",IF($E671="SATIŞ İADESİ/İSKONTO",-$O671,$O671),-$O671)))</f>
        <v/>
      </c>
      <c r="AB671" s="117">
        <f>IF($B671="","",IF(OR($D671="",$E671="",$O671=""),"EKSİK",IF($O671&lt;=0,"SIFIR/NEGATİF",IF(COUNTIFS($C$6:$C$5000,$C671,$O$6:$O$5000,$O671,$B$6:$B$5000,$B671)&gt;1,"MÜKERRER","OK"))))</f>
        <v/>
      </c>
    </row>
    <row r="672" ht="16.5" customHeight="1" s="80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7">
        <f>IF($B672="",0,IF($S672="EVET",IF($D672="GELİR",$O672,-$O672),0))</f>
        <v/>
      </c>
      <c r="AA672" s="117">
        <f>IF($B672="",0,IF(OR($W672="EVET",$X672="EVET",$Y672="EVET"),0,IF($D672="GELİR",IF($E672="SATIŞ İADESİ/İSKONTO",-$O672,$O672),-$O672)))</f>
        <v/>
      </c>
      <c r="AB672" s="117">
        <f>IF($B672="","",IF(OR($D672="",$E672="",$O672=""),"EKSİK",IF($O672&lt;=0,"SIFIR/NEGATİF",IF(COUNTIFS($C$6:$C$5000,$C672,$O$6:$O$5000,$O672,$B$6:$B$5000,$B672)&gt;1,"MÜKERRER","OK"))))</f>
        <v/>
      </c>
    </row>
    <row r="673" ht="16.5" customHeight="1" s="80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7">
        <f>IF($B673="",0,IF($S673="EVET",IF($D673="GELİR",$O673,-$O673),0))</f>
        <v/>
      </c>
      <c r="AA673" s="117">
        <f>IF($B673="",0,IF(OR($W673="EVET",$X673="EVET",$Y673="EVET"),0,IF($D673="GELİR",IF($E673="SATIŞ İADESİ/İSKONTO",-$O673,$O673),-$O673)))</f>
        <v/>
      </c>
      <c r="AB673" s="117">
        <f>IF($B673="","",IF(OR($D673="",$E673="",$O673=""),"EKSİK",IF($O673&lt;=0,"SIFIR/NEGATİF",IF(COUNTIFS($C$6:$C$5000,$C673,$O$6:$O$5000,$O673,$B$6:$B$5000,$B673)&gt;1,"MÜKERRER","OK"))))</f>
        <v/>
      </c>
    </row>
    <row r="674" ht="16.5" customHeight="1" s="80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7">
        <f>IF($B674="",0,IF($S674="EVET",IF($D674="GELİR",$O674,-$O674),0))</f>
        <v/>
      </c>
      <c r="AA674" s="117">
        <f>IF($B674="",0,IF(OR($W674="EVET",$X674="EVET",$Y674="EVET"),0,IF($D674="GELİR",IF($E674="SATIŞ İADESİ/İSKONTO",-$O674,$O674),-$O674)))</f>
        <v/>
      </c>
      <c r="AB674" s="117">
        <f>IF($B674="","",IF(OR($D674="",$E674="",$O674=""),"EKSİK",IF($O674&lt;=0,"SIFIR/NEGATİF",IF(COUNTIFS($C$6:$C$5000,$C674,$O$6:$O$5000,$O674,$B$6:$B$5000,$B674)&gt;1,"MÜKERRER","OK"))))</f>
        <v/>
      </c>
    </row>
    <row r="675" ht="16.5" customHeight="1" s="80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7">
        <f>IF($B675="",0,IF($S675="EVET",IF($D675="GELİR",$O675,-$O675),0))</f>
        <v/>
      </c>
      <c r="AA675" s="117">
        <f>IF($B675="",0,IF(OR($W675="EVET",$X675="EVET",$Y675="EVET"),0,IF($D675="GELİR",IF($E675="SATIŞ İADESİ/İSKONTO",-$O675,$O675),-$O675)))</f>
        <v/>
      </c>
      <c r="AB675" s="117">
        <f>IF($B675="","",IF(OR($D675="",$E675="",$O675=""),"EKSİK",IF($O675&lt;=0,"SIFIR/NEGATİF",IF(COUNTIFS($C$6:$C$5000,$C675,$O$6:$O$5000,$O675,$B$6:$B$5000,$B675)&gt;1,"MÜKERRER","OK"))))</f>
        <v/>
      </c>
    </row>
    <row r="676" ht="16.5" customHeight="1" s="80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7">
        <f>IF($B676="",0,IF($S676="EVET",IF($D676="GELİR",$O676,-$O676),0))</f>
        <v/>
      </c>
      <c r="AA676" s="117">
        <f>IF($B676="",0,IF(OR($W676="EVET",$X676="EVET",$Y676="EVET"),0,IF($D676="GELİR",IF($E676="SATIŞ İADESİ/İSKONTO",-$O676,$O676),-$O676)))</f>
        <v/>
      </c>
      <c r="AB676" s="117">
        <f>IF($B676="","",IF(OR($D676="",$E676="",$O676=""),"EKSİK",IF($O676&lt;=0,"SIFIR/NEGATİF",IF(COUNTIFS($C$6:$C$5000,$C676,$O$6:$O$5000,$O676,$B$6:$B$5000,$B676)&gt;1,"MÜKERRER","OK"))))</f>
        <v/>
      </c>
    </row>
    <row r="677" ht="16.5" customHeight="1" s="80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7">
        <f>IF($B677="",0,IF($S677="EVET",IF($D677="GELİR",$O677,-$O677),0))</f>
        <v/>
      </c>
      <c r="AA677" s="117">
        <f>IF($B677="",0,IF(OR($W677="EVET",$X677="EVET",$Y677="EVET"),0,IF($D677="GELİR",IF($E677="SATIŞ İADESİ/İSKONTO",-$O677,$O677),-$O677)))</f>
        <v/>
      </c>
      <c r="AB677" s="117">
        <f>IF($B677="","",IF(OR($D677="",$E677="",$O677=""),"EKSİK",IF($O677&lt;=0,"SIFIR/NEGATİF",IF(COUNTIFS($C$6:$C$5000,$C677,$O$6:$O$5000,$O677,$B$6:$B$5000,$B677)&gt;1,"MÜKERRER","OK"))))</f>
        <v/>
      </c>
    </row>
    <row r="678" ht="16.5" customHeight="1" s="80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7">
        <f>IF($B678="",0,IF($S678="EVET",IF($D678="GELİR",$O678,-$O678),0))</f>
        <v/>
      </c>
      <c r="AA678" s="117">
        <f>IF($B678="",0,IF(OR($W678="EVET",$X678="EVET",$Y678="EVET"),0,IF($D678="GELİR",IF($E678="SATIŞ İADESİ/İSKONTO",-$O678,$O678),-$O678)))</f>
        <v/>
      </c>
      <c r="AB678" s="117">
        <f>IF($B678="","",IF(OR($D678="",$E678="",$O678=""),"EKSİK",IF($O678&lt;=0,"SIFIR/NEGATİF",IF(COUNTIFS($C$6:$C$5000,$C678,$O$6:$O$5000,$O678,$B$6:$B$5000,$B678)&gt;1,"MÜKERRER","OK"))))</f>
        <v/>
      </c>
    </row>
    <row r="679" ht="16.5" customHeight="1" s="80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7">
        <f>IF($B679="",0,IF($S679="EVET",IF($D679="GELİR",$O679,-$O679),0))</f>
        <v/>
      </c>
      <c r="AA679" s="117">
        <f>IF($B679="",0,IF(OR($W679="EVET",$X679="EVET",$Y679="EVET"),0,IF($D679="GELİR",IF($E679="SATIŞ İADESİ/İSKONTO",-$O679,$O679),-$O679)))</f>
        <v/>
      </c>
      <c r="AB679" s="117">
        <f>IF($B679="","",IF(OR($D679="",$E679="",$O679=""),"EKSİK",IF($O679&lt;=0,"SIFIR/NEGATİF",IF(COUNTIFS($C$6:$C$5000,$C679,$O$6:$O$5000,$O679,$B$6:$B$5000,$B679)&gt;1,"MÜKERRER","OK"))))</f>
        <v/>
      </c>
    </row>
    <row r="680" ht="16.5" customHeight="1" s="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7">
        <f>IF($B680="",0,IF($S680="EVET",IF($D680="GELİR",$O680,-$O680),0))</f>
        <v/>
      </c>
      <c r="AA680" s="117">
        <f>IF($B680="",0,IF(OR($W680="EVET",$X680="EVET",$Y680="EVET"),0,IF($D680="GELİR",IF($E680="SATIŞ İADESİ/İSKONTO",-$O680,$O680),-$O680)))</f>
        <v/>
      </c>
      <c r="AB680" s="117">
        <f>IF($B680="","",IF(OR($D680="",$E680="",$O680=""),"EKSİK",IF($O680&lt;=0,"SIFIR/NEGATİF",IF(COUNTIFS($C$6:$C$5000,$C680,$O$6:$O$5000,$O680,$B$6:$B$5000,$B680)&gt;1,"MÜKERRER","OK"))))</f>
        <v/>
      </c>
    </row>
    <row r="681" ht="16.5" customHeight="1" s="80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7">
        <f>IF($B681="",0,IF($S681="EVET",IF($D681="GELİR",$O681,-$O681),0))</f>
        <v/>
      </c>
      <c r="AA681" s="117">
        <f>IF($B681="",0,IF(OR($W681="EVET",$X681="EVET",$Y681="EVET"),0,IF($D681="GELİR",IF($E681="SATIŞ İADESİ/İSKONTO",-$O681,$O681),-$O681)))</f>
        <v/>
      </c>
      <c r="AB681" s="117">
        <f>IF($B681="","",IF(OR($D681="",$E681="",$O681=""),"EKSİK",IF($O681&lt;=0,"SIFIR/NEGATİF",IF(COUNTIFS($C$6:$C$5000,$C681,$O$6:$O$5000,$O681,$B$6:$B$5000,$B681)&gt;1,"MÜKERRER","OK"))))</f>
        <v/>
      </c>
    </row>
    <row r="682" ht="16.5" customHeight="1" s="80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7">
        <f>IF($B682="",0,IF($S682="EVET",IF($D682="GELİR",$O682,-$O682),0))</f>
        <v/>
      </c>
      <c r="AA682" s="117">
        <f>IF($B682="",0,IF(OR($W682="EVET",$X682="EVET",$Y682="EVET"),0,IF($D682="GELİR",IF($E682="SATIŞ İADESİ/İSKONTO",-$O682,$O682),-$O682)))</f>
        <v/>
      </c>
      <c r="AB682" s="117">
        <f>IF($B682="","",IF(OR($D682="",$E682="",$O682=""),"EKSİK",IF($O682&lt;=0,"SIFIR/NEGATİF",IF(COUNTIFS($C$6:$C$5000,$C682,$O$6:$O$5000,$O682,$B$6:$B$5000,$B682)&gt;1,"MÜKERRER","OK"))))</f>
        <v/>
      </c>
    </row>
    <row r="683" ht="16.5" customHeight="1" s="80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7">
        <f>IF($B683="",0,IF($S683="EVET",IF($D683="GELİR",$O683,-$O683),0))</f>
        <v/>
      </c>
      <c r="AA683" s="117">
        <f>IF($B683="",0,IF(OR($W683="EVET",$X683="EVET",$Y683="EVET"),0,IF($D683="GELİR",IF($E683="SATIŞ İADESİ/İSKONTO",-$O683,$O683),-$O683)))</f>
        <v/>
      </c>
      <c r="AB683" s="117">
        <f>IF($B683="","",IF(OR($D683="",$E683="",$O683=""),"EKSİK",IF($O683&lt;=0,"SIFIR/NEGATİF",IF(COUNTIFS($C$6:$C$5000,$C683,$O$6:$O$5000,$O683,$B$6:$B$5000,$B683)&gt;1,"MÜKERRER","OK"))))</f>
        <v/>
      </c>
    </row>
    <row r="684" ht="16.5" customHeight="1" s="80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7">
        <f>IF($B684="",0,IF($S684="EVET",IF($D684="GELİR",$O684,-$O684),0))</f>
        <v/>
      </c>
      <c r="AA684" s="117">
        <f>IF($B684="",0,IF(OR($W684="EVET",$X684="EVET",$Y684="EVET"),0,IF($D684="GELİR",IF($E684="SATIŞ İADESİ/İSKONTO",-$O684,$O684),-$O684)))</f>
        <v/>
      </c>
      <c r="AB684" s="117">
        <f>IF($B684="","",IF(OR($D684="",$E684="",$O684=""),"EKSİK",IF($O684&lt;=0,"SIFIR/NEGATİF",IF(COUNTIFS($C$6:$C$5000,$C684,$O$6:$O$5000,$O684,$B$6:$B$5000,$B684)&gt;1,"MÜKERRER","OK"))))</f>
        <v/>
      </c>
    </row>
    <row r="685" ht="16.5" customHeight="1" s="80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7">
        <f>IF($B685="",0,IF($S685="EVET",IF($D685="GELİR",$O685,-$O685),0))</f>
        <v/>
      </c>
      <c r="AA685" s="117">
        <f>IF($B685="",0,IF(OR($W685="EVET",$X685="EVET",$Y685="EVET"),0,IF($D685="GELİR",IF($E685="SATIŞ İADESİ/İSKONTO",-$O685,$O685),-$O685)))</f>
        <v/>
      </c>
      <c r="AB685" s="117">
        <f>IF($B685="","",IF(OR($D685="",$E685="",$O685=""),"EKSİK",IF($O685&lt;=0,"SIFIR/NEGATİF",IF(COUNTIFS($C$6:$C$5000,$C685,$O$6:$O$5000,$O685,$B$6:$B$5000,$B685)&gt;1,"MÜKERRER","OK"))))</f>
        <v/>
      </c>
    </row>
    <row r="686" ht="16.5" customHeight="1" s="80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7">
        <f>IF($B686="",0,IF($S686="EVET",IF($D686="GELİR",$O686,-$O686),0))</f>
        <v/>
      </c>
      <c r="AA686" s="117">
        <f>IF($B686="",0,IF(OR($W686="EVET",$X686="EVET",$Y686="EVET"),0,IF($D686="GELİR",IF($E686="SATIŞ İADESİ/İSKONTO",-$O686,$O686),-$O686)))</f>
        <v/>
      </c>
      <c r="AB686" s="117">
        <f>IF($B686="","",IF(OR($D686="",$E686="",$O686=""),"EKSİK",IF($O686&lt;=0,"SIFIR/NEGATİF",IF(COUNTIFS($C$6:$C$5000,$C686,$O$6:$O$5000,$O686,$B$6:$B$5000,$B686)&gt;1,"MÜKERRER","OK"))))</f>
        <v/>
      </c>
    </row>
    <row r="687" ht="16.5" customHeight="1" s="80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7">
        <f>IF($B687="",0,IF($S687="EVET",IF($D687="GELİR",$O687,-$O687),0))</f>
        <v/>
      </c>
      <c r="AA687" s="117">
        <f>IF($B687="",0,IF(OR($W687="EVET",$X687="EVET",$Y687="EVET"),0,IF($D687="GELİR",IF($E687="SATIŞ İADESİ/İSKONTO",-$O687,$O687),-$O687)))</f>
        <v/>
      </c>
      <c r="AB687" s="117">
        <f>IF($B687="","",IF(OR($D687="",$E687="",$O687=""),"EKSİK",IF($O687&lt;=0,"SIFIR/NEGATİF",IF(COUNTIFS($C$6:$C$5000,$C687,$O$6:$O$5000,$O687,$B$6:$B$5000,$B687)&gt;1,"MÜKERRER","OK"))))</f>
        <v/>
      </c>
    </row>
    <row r="688" ht="16.5" customHeight="1" s="80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7">
        <f>IF($B688="",0,IF($S688="EVET",IF($D688="GELİR",$O688,-$O688),0))</f>
        <v/>
      </c>
      <c r="AA688" s="117">
        <f>IF($B688="",0,IF(OR($W688="EVET",$X688="EVET",$Y688="EVET"),0,IF($D688="GELİR",IF($E688="SATIŞ İADESİ/İSKONTO",-$O688,$O688),-$O688)))</f>
        <v/>
      </c>
      <c r="AB688" s="117">
        <f>IF($B688="","",IF(OR($D688="",$E688="",$O688=""),"EKSİK",IF($O688&lt;=0,"SIFIR/NEGATİF",IF(COUNTIFS($C$6:$C$5000,$C688,$O$6:$O$5000,$O688,$B$6:$B$5000,$B688)&gt;1,"MÜKERRER","OK"))))</f>
        <v/>
      </c>
    </row>
    <row r="689" ht="16.5" customHeight="1" s="80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7">
        <f>IF($B689="",0,IF($S689="EVET",IF($D689="GELİR",$O689,-$O689),0))</f>
        <v/>
      </c>
      <c r="AA689" s="117">
        <f>IF($B689="",0,IF(OR($W689="EVET",$X689="EVET",$Y689="EVET"),0,IF($D689="GELİR",IF($E689="SATIŞ İADESİ/İSKONTO",-$O689,$O689),-$O689)))</f>
        <v/>
      </c>
      <c r="AB689" s="117">
        <f>IF($B689="","",IF(OR($D689="",$E689="",$O689=""),"EKSİK",IF($O689&lt;=0,"SIFIR/NEGATİF",IF(COUNTIFS($C$6:$C$5000,$C689,$O$6:$O$5000,$O689,$B$6:$B$5000,$B689)&gt;1,"MÜKERRER","OK"))))</f>
        <v/>
      </c>
    </row>
    <row r="690" ht="16.5" customHeight="1" s="8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7">
        <f>IF($B690="",0,IF($S690="EVET",IF($D690="GELİR",$O690,-$O690),0))</f>
        <v/>
      </c>
      <c r="AA690" s="117">
        <f>IF($B690="",0,IF(OR($W690="EVET",$X690="EVET",$Y690="EVET"),0,IF($D690="GELİR",IF($E690="SATIŞ İADESİ/İSKONTO",-$O690,$O690),-$O690)))</f>
        <v/>
      </c>
      <c r="AB690" s="117">
        <f>IF($B690="","",IF(OR($D690="",$E690="",$O690=""),"EKSİK",IF($O690&lt;=0,"SIFIR/NEGATİF",IF(COUNTIFS($C$6:$C$5000,$C690,$O$6:$O$5000,$O690,$B$6:$B$5000,$B690)&gt;1,"MÜKERRER","OK"))))</f>
        <v/>
      </c>
    </row>
    <row r="691" ht="16.5" customHeight="1" s="80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7">
        <f>IF($B691="",0,IF($S691="EVET",IF($D691="GELİR",$O691,-$O691),0))</f>
        <v/>
      </c>
      <c r="AA691" s="117">
        <f>IF($B691="",0,IF(OR($W691="EVET",$X691="EVET",$Y691="EVET"),0,IF($D691="GELİR",IF($E691="SATIŞ İADESİ/İSKONTO",-$O691,$O691),-$O691)))</f>
        <v/>
      </c>
      <c r="AB691" s="117">
        <f>IF($B691="","",IF(OR($D691="",$E691="",$O691=""),"EKSİK",IF($O691&lt;=0,"SIFIR/NEGATİF",IF(COUNTIFS($C$6:$C$5000,$C691,$O$6:$O$5000,$O691,$B$6:$B$5000,$B691)&gt;1,"MÜKERRER","OK"))))</f>
        <v/>
      </c>
    </row>
    <row r="692" ht="16.5" customHeight="1" s="80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7">
        <f>IF($B692="",0,IF($S692="EVET",IF($D692="GELİR",$O692,-$O692),0))</f>
        <v/>
      </c>
      <c r="AA692" s="117">
        <f>IF($B692="",0,IF(OR($W692="EVET",$X692="EVET",$Y692="EVET"),0,IF($D692="GELİR",IF($E692="SATIŞ İADESİ/İSKONTO",-$O692,$O692),-$O692)))</f>
        <v/>
      </c>
      <c r="AB692" s="117">
        <f>IF($B692="","",IF(OR($D692="",$E692="",$O692=""),"EKSİK",IF($O692&lt;=0,"SIFIR/NEGATİF",IF(COUNTIFS($C$6:$C$5000,$C692,$O$6:$O$5000,$O692,$B$6:$B$5000,$B692)&gt;1,"MÜKERRER","OK"))))</f>
        <v/>
      </c>
    </row>
    <row r="693" ht="16.5" customHeight="1" s="80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7">
        <f>IF($B693="",0,IF($S693="EVET",IF($D693="GELİR",$O693,-$O693),0))</f>
        <v/>
      </c>
      <c r="AA693" s="117">
        <f>IF($B693="",0,IF(OR($W693="EVET",$X693="EVET",$Y693="EVET"),0,IF($D693="GELİR",IF($E693="SATIŞ İADESİ/İSKONTO",-$O693,$O693),-$O693)))</f>
        <v/>
      </c>
      <c r="AB693" s="117">
        <f>IF($B693="","",IF(OR($D693="",$E693="",$O693=""),"EKSİK",IF($O693&lt;=0,"SIFIR/NEGATİF",IF(COUNTIFS($C$6:$C$5000,$C693,$O$6:$O$5000,$O693,$B$6:$B$5000,$B693)&gt;1,"MÜKERRER","OK"))))</f>
        <v/>
      </c>
    </row>
    <row r="694" ht="16.5" customHeight="1" s="80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7">
        <f>IF($B694="",0,IF($S694="EVET",IF($D694="GELİR",$O694,-$O694),0))</f>
        <v/>
      </c>
      <c r="AA694" s="117">
        <f>IF($B694="",0,IF(OR($W694="EVET",$X694="EVET",$Y694="EVET"),0,IF($D694="GELİR",IF($E694="SATIŞ İADESİ/İSKONTO",-$O694,$O694),-$O694)))</f>
        <v/>
      </c>
      <c r="AB694" s="117">
        <f>IF($B694="","",IF(OR($D694="",$E694="",$O694=""),"EKSİK",IF($O694&lt;=0,"SIFIR/NEGATİF",IF(COUNTIFS($C$6:$C$5000,$C694,$O$6:$O$5000,$O694,$B$6:$B$5000,$B694)&gt;1,"MÜKERRER","OK"))))</f>
        <v/>
      </c>
    </row>
    <row r="695" ht="16.5" customHeight="1" s="80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7">
        <f>IF($B695="",0,IF($S695="EVET",IF($D695="GELİR",$O695,-$O695),0))</f>
        <v/>
      </c>
      <c r="AA695" s="117">
        <f>IF($B695="",0,IF(OR($W695="EVET",$X695="EVET",$Y695="EVET"),0,IF($D695="GELİR",IF($E695="SATIŞ İADESİ/İSKONTO",-$O695,$O695),-$O695)))</f>
        <v/>
      </c>
      <c r="AB695" s="117">
        <f>IF($B695="","",IF(OR($D695="",$E695="",$O695=""),"EKSİK",IF($O695&lt;=0,"SIFIR/NEGATİF",IF(COUNTIFS($C$6:$C$5000,$C695,$O$6:$O$5000,$O695,$B$6:$B$5000,$B695)&gt;1,"MÜKERRER","OK"))))</f>
        <v/>
      </c>
    </row>
    <row r="696" ht="16.5" customHeight="1" s="80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7">
        <f>IF($B696="",0,IF($S696="EVET",IF($D696="GELİR",$O696,-$O696),0))</f>
        <v/>
      </c>
      <c r="AA696" s="117">
        <f>IF($B696="",0,IF(OR($W696="EVET",$X696="EVET",$Y696="EVET"),0,IF($D696="GELİR",IF($E696="SATIŞ İADESİ/İSKONTO",-$O696,$O696),-$O696)))</f>
        <v/>
      </c>
      <c r="AB696" s="117">
        <f>IF($B696="","",IF(OR($D696="",$E696="",$O696=""),"EKSİK",IF($O696&lt;=0,"SIFIR/NEGATİF",IF(COUNTIFS($C$6:$C$5000,$C696,$O$6:$O$5000,$O696,$B$6:$B$5000,$B696)&gt;1,"MÜKERRER","OK"))))</f>
        <v/>
      </c>
    </row>
    <row r="697" ht="16.5" customHeight="1" s="80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7">
        <f>IF($B697="",0,IF($S697="EVET",IF($D697="GELİR",$O697,-$O697),0))</f>
        <v/>
      </c>
      <c r="AA697" s="117">
        <f>IF($B697="",0,IF(OR($W697="EVET",$X697="EVET",$Y697="EVET"),0,IF($D697="GELİR",IF($E697="SATIŞ İADESİ/İSKONTO",-$O697,$O697),-$O697)))</f>
        <v/>
      </c>
      <c r="AB697" s="117">
        <f>IF($B697="","",IF(OR($D697="",$E697="",$O697=""),"EKSİK",IF($O697&lt;=0,"SIFIR/NEGATİF",IF(COUNTIFS($C$6:$C$5000,$C697,$O$6:$O$5000,$O697,$B$6:$B$5000,$B697)&gt;1,"MÜKERRER","OK"))))</f>
        <v/>
      </c>
    </row>
    <row r="698" ht="16.5" customHeight="1" s="80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7">
        <f>IF($B698="",0,IF($S698="EVET",IF($D698="GELİR",$O698,-$O698),0))</f>
        <v/>
      </c>
      <c r="AA698" s="117">
        <f>IF($B698="",0,IF(OR($W698="EVET",$X698="EVET",$Y698="EVET"),0,IF($D698="GELİR",IF($E698="SATIŞ İADESİ/İSKONTO",-$O698,$O698),-$O698)))</f>
        <v/>
      </c>
      <c r="AB698" s="117">
        <f>IF($B698="","",IF(OR($D698="",$E698="",$O698=""),"EKSİK",IF($O698&lt;=0,"SIFIR/NEGATİF",IF(COUNTIFS($C$6:$C$5000,$C698,$O$6:$O$5000,$O698,$B$6:$B$5000,$B698)&gt;1,"MÜKERRER","OK"))))</f>
        <v/>
      </c>
    </row>
    <row r="699" ht="16.5" customHeight="1" s="80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7">
        <f>IF($B699="",0,IF($S699="EVET",IF($D699="GELİR",$O699,-$O699),0))</f>
        <v/>
      </c>
      <c r="AA699" s="117">
        <f>IF($B699="",0,IF(OR($W699="EVET",$X699="EVET",$Y699="EVET"),0,IF($D699="GELİR",IF($E699="SATIŞ İADESİ/İSKONTO",-$O699,$O699),-$O699)))</f>
        <v/>
      </c>
      <c r="AB699" s="117">
        <f>IF($B699="","",IF(OR($D699="",$E699="",$O699=""),"EKSİK",IF($O699&lt;=0,"SIFIR/NEGATİF",IF(COUNTIFS($C$6:$C$5000,$C699,$O$6:$O$5000,$O699,$B$6:$B$5000,$B699)&gt;1,"MÜKERRER","OK"))))</f>
        <v/>
      </c>
    </row>
    <row r="700" ht="16.5" customHeight="1" s="8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7">
        <f>IF($B700="",0,IF($S700="EVET",IF($D700="GELİR",$O700,-$O700),0))</f>
        <v/>
      </c>
      <c r="AA700" s="117">
        <f>IF($B700="",0,IF(OR($W700="EVET",$X700="EVET",$Y700="EVET"),0,IF($D700="GELİR",IF($E700="SATIŞ İADESİ/İSKONTO",-$O700,$O700),-$O700)))</f>
        <v/>
      </c>
      <c r="AB700" s="117">
        <f>IF($B700="","",IF(OR($D700="",$E700="",$O700=""),"EKSİK",IF($O700&lt;=0,"SIFIR/NEGATİF",IF(COUNTIFS($C$6:$C$5000,$C700,$O$6:$O$5000,$O700,$B$6:$B$5000,$B700)&gt;1,"MÜKERRER","OK"))))</f>
        <v/>
      </c>
    </row>
    <row r="701" ht="16.5" customHeight="1" s="80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7">
        <f>IF($B701="",0,IF($S701="EVET",IF($D701="GELİR",$O701,-$O701),0))</f>
        <v/>
      </c>
      <c r="AA701" s="117">
        <f>IF($B701="",0,IF(OR($W701="EVET",$X701="EVET",$Y701="EVET"),0,IF($D701="GELİR",IF($E701="SATIŞ İADESİ/İSKONTO",-$O701,$O701),-$O701)))</f>
        <v/>
      </c>
      <c r="AB701" s="117">
        <f>IF($B701="","",IF(OR($D701="",$E701="",$O701=""),"EKSİK",IF($O701&lt;=0,"SIFIR/NEGATİF",IF(COUNTIFS($C$6:$C$5000,$C701,$O$6:$O$5000,$O701,$B$6:$B$5000,$B701)&gt;1,"MÜKERRER","OK"))))</f>
        <v/>
      </c>
    </row>
    <row r="702" ht="16.5" customHeight="1" s="80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7">
        <f>IF($B702="",0,IF($S702="EVET",IF($D702="GELİR",$O702,-$O702),0))</f>
        <v/>
      </c>
      <c r="AA702" s="117">
        <f>IF($B702="",0,IF(OR($W702="EVET",$X702="EVET",$Y702="EVET"),0,IF($D702="GELİR",IF($E702="SATIŞ İADESİ/İSKONTO",-$O702,$O702),-$O702)))</f>
        <v/>
      </c>
      <c r="AB702" s="117">
        <f>IF($B702="","",IF(OR($D702="",$E702="",$O702=""),"EKSİK",IF($O702&lt;=0,"SIFIR/NEGATİF",IF(COUNTIFS($C$6:$C$5000,$C702,$O$6:$O$5000,$O702,$B$6:$B$5000,$B702)&gt;1,"MÜKERRER","OK"))))</f>
        <v/>
      </c>
    </row>
    <row r="703" ht="16.5" customHeight="1" s="80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7">
        <f>IF($B703="",0,IF($S703="EVET",IF($D703="GELİR",$O703,-$O703),0))</f>
        <v/>
      </c>
      <c r="AA703" s="117">
        <f>IF($B703="",0,IF(OR($W703="EVET",$X703="EVET",$Y703="EVET"),0,IF($D703="GELİR",IF($E703="SATIŞ İADESİ/İSKONTO",-$O703,$O703),-$O703)))</f>
        <v/>
      </c>
      <c r="AB703" s="117">
        <f>IF($B703="","",IF(OR($D703="",$E703="",$O703=""),"EKSİK",IF($O703&lt;=0,"SIFIR/NEGATİF",IF(COUNTIFS($C$6:$C$5000,$C703,$O$6:$O$5000,$O703,$B$6:$B$5000,$B703)&gt;1,"MÜKERRER","OK"))))</f>
        <v/>
      </c>
    </row>
    <row r="704" ht="16.5" customHeight="1" s="80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7">
        <f>IF($B704="",0,IF($S704="EVET",IF($D704="GELİR",$O704,-$O704),0))</f>
        <v/>
      </c>
      <c r="AA704" s="117">
        <f>IF($B704="",0,IF(OR($W704="EVET",$X704="EVET",$Y704="EVET"),0,IF($D704="GELİR",IF($E704="SATIŞ İADESİ/İSKONTO",-$O704,$O704),-$O704)))</f>
        <v/>
      </c>
      <c r="AB704" s="117">
        <f>IF($B704="","",IF(OR($D704="",$E704="",$O704=""),"EKSİK",IF($O704&lt;=0,"SIFIR/NEGATİF",IF(COUNTIFS($C$6:$C$5000,$C704,$O$6:$O$5000,$O704,$B$6:$B$5000,$B704)&gt;1,"MÜKERRER","OK"))))</f>
        <v/>
      </c>
    </row>
    <row r="705" ht="16.5" customHeight="1" s="80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7">
        <f>IF($B705="",0,IF($S705="EVET",IF($D705="GELİR",$O705,-$O705),0))</f>
        <v/>
      </c>
      <c r="AA705" s="117">
        <f>IF($B705="",0,IF(OR($W705="EVET",$X705="EVET",$Y705="EVET"),0,IF($D705="GELİR",IF($E705="SATIŞ İADESİ/İSKONTO",-$O705,$O705),-$O705)))</f>
        <v/>
      </c>
      <c r="AB705" s="117">
        <f>IF($B705="","",IF(OR($D705="",$E705="",$O705=""),"EKSİK",IF($O705&lt;=0,"SIFIR/NEGATİF",IF(COUNTIFS($C$6:$C$5000,$C705,$O$6:$O$5000,$O705,$B$6:$B$5000,$B705)&gt;1,"MÜKERRER","OK"))))</f>
        <v/>
      </c>
    </row>
    <row r="706" ht="16.5" customHeight="1" s="80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7">
        <f>IF($B706="",0,IF($S706="EVET",IF($D706="GELİR",$O706,-$O706),0))</f>
        <v/>
      </c>
      <c r="AA706" s="117">
        <f>IF($B706="",0,IF(OR($W706="EVET",$X706="EVET",$Y706="EVET"),0,IF($D706="GELİR",IF($E706="SATIŞ İADESİ/İSKONTO",-$O706,$O706),-$O706)))</f>
        <v/>
      </c>
      <c r="AB706" s="117">
        <f>IF($B706="","",IF(OR($D706="",$E706="",$O706=""),"EKSİK",IF($O706&lt;=0,"SIFIR/NEGATİF",IF(COUNTIFS($C$6:$C$5000,$C706,$O$6:$O$5000,$O706,$B$6:$B$5000,$B706)&gt;1,"MÜKERRER","OK"))))</f>
        <v/>
      </c>
    </row>
    <row r="707" ht="16.5" customHeight="1" s="80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7">
        <f>IF($B707="",0,IF($S707="EVET",IF($D707="GELİR",$O707,-$O707),0))</f>
        <v/>
      </c>
      <c r="AA707" s="117">
        <f>IF($B707="",0,IF(OR($W707="EVET",$X707="EVET",$Y707="EVET"),0,IF($D707="GELİR",IF($E707="SATIŞ İADESİ/İSKONTO",-$O707,$O707),-$O707)))</f>
        <v/>
      </c>
      <c r="AB707" s="117">
        <f>IF($B707="","",IF(OR($D707="",$E707="",$O707=""),"EKSİK",IF($O707&lt;=0,"SIFIR/NEGATİF",IF(COUNTIFS($C$6:$C$5000,$C707,$O$6:$O$5000,$O707,$B$6:$B$5000,$B707)&gt;1,"MÜKERRER","OK"))))</f>
        <v/>
      </c>
    </row>
    <row r="708" ht="16.5" customHeight="1" s="80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7">
        <f>IF($B708="",0,IF($S708="EVET",IF($D708="GELİR",$O708,-$O708),0))</f>
        <v/>
      </c>
      <c r="AA708" s="117">
        <f>IF($B708="",0,IF(OR($W708="EVET",$X708="EVET",$Y708="EVET"),0,IF($D708="GELİR",IF($E708="SATIŞ İADESİ/İSKONTO",-$O708,$O708),-$O708)))</f>
        <v/>
      </c>
      <c r="AB708" s="117">
        <f>IF($B708="","",IF(OR($D708="",$E708="",$O708=""),"EKSİK",IF($O708&lt;=0,"SIFIR/NEGATİF",IF(COUNTIFS($C$6:$C$5000,$C708,$O$6:$O$5000,$O708,$B$6:$B$5000,$B708)&gt;1,"MÜKERRER","OK"))))</f>
        <v/>
      </c>
    </row>
    <row r="709" ht="16.5" customHeight="1" s="80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7">
        <f>IF($B709="",0,IF($S709="EVET",IF($D709="GELİR",$O709,-$O709),0))</f>
        <v/>
      </c>
      <c r="AA709" s="117">
        <f>IF($B709="",0,IF(OR($W709="EVET",$X709="EVET",$Y709="EVET"),0,IF($D709="GELİR",IF($E709="SATIŞ İADESİ/İSKONTO",-$O709,$O709),-$O709)))</f>
        <v/>
      </c>
      <c r="AB709" s="117">
        <f>IF($B709="","",IF(OR($D709="",$E709="",$O709=""),"EKSİK",IF($O709&lt;=0,"SIFIR/NEGATİF",IF(COUNTIFS($C$6:$C$5000,$C709,$O$6:$O$5000,$O709,$B$6:$B$5000,$B709)&gt;1,"MÜKERRER","OK"))))</f>
        <v/>
      </c>
    </row>
    <row r="710" ht="16.5" customHeight="1" s="8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7">
        <f>IF($B710="",0,IF($S710="EVET",IF($D710="GELİR",$O710,-$O710),0))</f>
        <v/>
      </c>
      <c r="AA710" s="117">
        <f>IF($B710="",0,IF(OR($W710="EVET",$X710="EVET",$Y710="EVET"),0,IF($D710="GELİR",IF($E710="SATIŞ İADESİ/İSKONTO",-$O710,$O710),-$O710)))</f>
        <v/>
      </c>
      <c r="AB710" s="117">
        <f>IF($B710="","",IF(OR($D710="",$E710="",$O710=""),"EKSİK",IF($O710&lt;=0,"SIFIR/NEGATİF",IF(COUNTIFS($C$6:$C$5000,$C710,$O$6:$O$5000,$O710,$B$6:$B$5000,$B710)&gt;1,"MÜKERRER","OK"))))</f>
        <v/>
      </c>
    </row>
    <row r="711" ht="16.5" customHeight="1" s="80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7">
        <f>IF($B711="",0,IF($S711="EVET",IF($D711="GELİR",$O711,-$O711),0))</f>
        <v/>
      </c>
      <c r="AA711" s="117">
        <f>IF($B711="",0,IF(OR($W711="EVET",$X711="EVET",$Y711="EVET"),0,IF($D711="GELİR",IF($E711="SATIŞ İADESİ/İSKONTO",-$O711,$O711),-$O711)))</f>
        <v/>
      </c>
      <c r="AB711" s="117">
        <f>IF($B711="","",IF(OR($D711="",$E711="",$O711=""),"EKSİK",IF($O711&lt;=0,"SIFIR/NEGATİF",IF(COUNTIFS($C$6:$C$5000,$C711,$O$6:$O$5000,$O711,$B$6:$B$5000,$B711)&gt;1,"MÜKERRER","OK"))))</f>
        <v/>
      </c>
    </row>
    <row r="712" ht="16.5" customHeight="1" s="80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7">
        <f>IF($B712="",0,IF($S712="EVET",IF($D712="GELİR",$O712,-$O712),0))</f>
        <v/>
      </c>
      <c r="AA712" s="117">
        <f>IF($B712="",0,IF(OR($W712="EVET",$X712="EVET",$Y712="EVET"),0,IF($D712="GELİR",IF($E712="SATIŞ İADESİ/İSKONTO",-$O712,$O712),-$O712)))</f>
        <v/>
      </c>
      <c r="AB712" s="117">
        <f>IF($B712="","",IF(OR($D712="",$E712="",$O712=""),"EKSİK",IF($O712&lt;=0,"SIFIR/NEGATİF",IF(COUNTIFS($C$6:$C$5000,$C712,$O$6:$O$5000,$O712,$B$6:$B$5000,$B712)&gt;1,"MÜKERRER","OK"))))</f>
        <v/>
      </c>
    </row>
    <row r="713" ht="16.5" customHeight="1" s="80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7">
        <f>IF($B713="",0,IF($S713="EVET",IF($D713="GELİR",$O713,-$O713),0))</f>
        <v/>
      </c>
      <c r="AA713" s="117">
        <f>IF($B713="",0,IF(OR($W713="EVET",$X713="EVET",$Y713="EVET"),0,IF($D713="GELİR",IF($E713="SATIŞ İADESİ/İSKONTO",-$O713,$O713),-$O713)))</f>
        <v/>
      </c>
      <c r="AB713" s="117">
        <f>IF($B713="","",IF(OR($D713="",$E713="",$O713=""),"EKSİK",IF($O713&lt;=0,"SIFIR/NEGATİF",IF(COUNTIFS($C$6:$C$5000,$C713,$O$6:$O$5000,$O713,$B$6:$B$5000,$B713)&gt;1,"MÜKERRER","OK"))))</f>
        <v/>
      </c>
    </row>
    <row r="714" ht="16.5" customHeight="1" s="80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7">
        <f>IF($B714="",0,IF($S714="EVET",IF($D714="GELİR",$O714,-$O714),0))</f>
        <v/>
      </c>
      <c r="AA714" s="117">
        <f>IF($B714="",0,IF(OR($W714="EVET",$X714="EVET",$Y714="EVET"),0,IF($D714="GELİR",IF($E714="SATIŞ İADESİ/İSKONTO",-$O714,$O714),-$O714)))</f>
        <v/>
      </c>
      <c r="AB714" s="117">
        <f>IF($B714="","",IF(OR($D714="",$E714="",$O714=""),"EKSİK",IF($O714&lt;=0,"SIFIR/NEGATİF",IF(COUNTIFS($C$6:$C$5000,$C714,$O$6:$O$5000,$O714,$B$6:$B$5000,$B714)&gt;1,"MÜKERRER","OK"))))</f>
        <v/>
      </c>
    </row>
    <row r="715" ht="16.5" customHeight="1" s="80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7">
        <f>IF($B715="",0,IF($S715="EVET",IF($D715="GELİR",$O715,-$O715),0))</f>
        <v/>
      </c>
      <c r="AA715" s="117">
        <f>IF($B715="",0,IF(OR($W715="EVET",$X715="EVET",$Y715="EVET"),0,IF($D715="GELİR",IF($E715="SATIŞ İADESİ/İSKONTO",-$O715,$O715),-$O715)))</f>
        <v/>
      </c>
      <c r="AB715" s="117">
        <f>IF($B715="","",IF(OR($D715="",$E715="",$O715=""),"EKSİK",IF($O715&lt;=0,"SIFIR/NEGATİF",IF(COUNTIFS($C$6:$C$5000,$C715,$O$6:$O$5000,$O715,$B$6:$B$5000,$B715)&gt;1,"MÜKERRER","OK"))))</f>
        <v/>
      </c>
    </row>
    <row r="716" ht="16.5" customHeight="1" s="80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7">
        <f>IF($B716="",0,IF($S716="EVET",IF($D716="GELİR",$O716,-$O716),0))</f>
        <v/>
      </c>
      <c r="AA716" s="117">
        <f>IF($B716="",0,IF(OR($W716="EVET",$X716="EVET",$Y716="EVET"),0,IF($D716="GELİR",IF($E716="SATIŞ İADESİ/İSKONTO",-$O716,$O716),-$O716)))</f>
        <v/>
      </c>
      <c r="AB716" s="117">
        <f>IF($B716="","",IF(OR($D716="",$E716="",$O716=""),"EKSİK",IF($O716&lt;=0,"SIFIR/NEGATİF",IF(COUNTIFS($C$6:$C$5000,$C716,$O$6:$O$5000,$O716,$B$6:$B$5000,$B716)&gt;1,"MÜKERRER","OK"))))</f>
        <v/>
      </c>
    </row>
    <row r="717" ht="16.5" customHeight="1" s="80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7">
        <f>IF($B717="",0,IF($S717="EVET",IF($D717="GELİR",$O717,-$O717),0))</f>
        <v/>
      </c>
      <c r="AA717" s="117">
        <f>IF($B717="",0,IF(OR($W717="EVET",$X717="EVET",$Y717="EVET"),0,IF($D717="GELİR",IF($E717="SATIŞ İADESİ/İSKONTO",-$O717,$O717),-$O717)))</f>
        <v/>
      </c>
      <c r="AB717" s="117">
        <f>IF($B717="","",IF(OR($D717="",$E717="",$O717=""),"EKSİK",IF($O717&lt;=0,"SIFIR/NEGATİF",IF(COUNTIFS($C$6:$C$5000,$C717,$O$6:$O$5000,$O717,$B$6:$B$5000,$B717)&gt;1,"MÜKERRER","OK"))))</f>
        <v/>
      </c>
    </row>
    <row r="718" ht="16.5" customHeight="1" s="80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7">
        <f>IF($B718="",0,IF($S718="EVET",IF($D718="GELİR",$O718,-$O718),0))</f>
        <v/>
      </c>
      <c r="AA718" s="117">
        <f>IF($B718="",0,IF(OR($W718="EVET",$X718="EVET",$Y718="EVET"),0,IF($D718="GELİR",IF($E718="SATIŞ İADESİ/İSKONTO",-$O718,$O718),-$O718)))</f>
        <v/>
      </c>
      <c r="AB718" s="117">
        <f>IF($B718="","",IF(OR($D718="",$E718="",$O718=""),"EKSİK",IF($O718&lt;=0,"SIFIR/NEGATİF",IF(COUNTIFS($C$6:$C$5000,$C718,$O$6:$O$5000,$O718,$B$6:$B$5000,$B718)&gt;1,"MÜKERRER","OK"))))</f>
        <v/>
      </c>
    </row>
    <row r="719" ht="16.5" customHeight="1" s="80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7">
        <f>IF($B719="",0,IF($S719="EVET",IF($D719="GELİR",$O719,-$O719),0))</f>
        <v/>
      </c>
      <c r="AA719" s="117">
        <f>IF($B719="",0,IF(OR($W719="EVET",$X719="EVET",$Y719="EVET"),0,IF($D719="GELİR",IF($E719="SATIŞ İADESİ/İSKONTO",-$O719,$O719),-$O719)))</f>
        <v/>
      </c>
      <c r="AB719" s="117">
        <f>IF($B719="","",IF(OR($D719="",$E719="",$O719=""),"EKSİK",IF($O719&lt;=0,"SIFIR/NEGATİF",IF(COUNTIFS($C$6:$C$5000,$C719,$O$6:$O$5000,$O719,$B$6:$B$5000,$B719)&gt;1,"MÜKERRER","OK"))))</f>
        <v/>
      </c>
    </row>
    <row r="720" ht="16.5" customHeight="1" s="8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7">
        <f>IF($B720="",0,IF($S720="EVET",IF($D720="GELİR",$O720,-$O720),0))</f>
        <v/>
      </c>
      <c r="AA720" s="117">
        <f>IF($B720="",0,IF(OR($W720="EVET",$X720="EVET",$Y720="EVET"),0,IF($D720="GELİR",IF($E720="SATIŞ İADESİ/İSKONTO",-$O720,$O720),-$O720)))</f>
        <v/>
      </c>
      <c r="AB720" s="117">
        <f>IF($B720="","",IF(OR($D720="",$E720="",$O720=""),"EKSİK",IF($O720&lt;=0,"SIFIR/NEGATİF",IF(COUNTIFS($C$6:$C$5000,$C720,$O$6:$O$5000,$O720,$B$6:$B$5000,$B720)&gt;1,"MÜKERRER","OK"))))</f>
        <v/>
      </c>
    </row>
    <row r="721" ht="16.5" customHeight="1" s="80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7">
        <f>IF($B721="",0,IF($S721="EVET",IF($D721="GELİR",$O721,-$O721),0))</f>
        <v/>
      </c>
      <c r="AA721" s="117">
        <f>IF($B721="",0,IF(OR($W721="EVET",$X721="EVET",$Y721="EVET"),0,IF($D721="GELİR",IF($E721="SATIŞ İADESİ/İSKONTO",-$O721,$O721),-$O721)))</f>
        <v/>
      </c>
      <c r="AB721" s="117">
        <f>IF($B721="","",IF(OR($D721="",$E721="",$O721=""),"EKSİK",IF($O721&lt;=0,"SIFIR/NEGATİF",IF(COUNTIFS($C$6:$C$5000,$C721,$O$6:$O$5000,$O721,$B$6:$B$5000,$B721)&gt;1,"MÜKERRER","OK"))))</f>
        <v/>
      </c>
    </row>
    <row r="722" ht="16.5" customHeight="1" s="80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7">
        <f>IF($B722="",0,IF($S722="EVET",IF($D722="GELİR",$O722,-$O722),0))</f>
        <v/>
      </c>
      <c r="AA722" s="117">
        <f>IF($B722="",0,IF(OR($W722="EVET",$X722="EVET",$Y722="EVET"),0,IF($D722="GELİR",IF($E722="SATIŞ İADESİ/İSKONTO",-$O722,$O722),-$O722)))</f>
        <v/>
      </c>
      <c r="AB722" s="117">
        <f>IF($B722="","",IF(OR($D722="",$E722="",$O722=""),"EKSİK",IF($O722&lt;=0,"SIFIR/NEGATİF",IF(COUNTIFS($C$6:$C$5000,$C722,$O$6:$O$5000,$O722,$B$6:$B$5000,$B722)&gt;1,"MÜKERRER","OK"))))</f>
        <v/>
      </c>
    </row>
    <row r="723" ht="16.5" customHeight="1" s="80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7">
        <f>IF($B723="",0,IF($S723="EVET",IF($D723="GELİR",$O723,-$O723),0))</f>
        <v/>
      </c>
      <c r="AA723" s="117">
        <f>IF($B723="",0,IF(OR($W723="EVET",$X723="EVET",$Y723="EVET"),0,IF($D723="GELİR",IF($E723="SATIŞ İADESİ/İSKONTO",-$O723,$O723),-$O723)))</f>
        <v/>
      </c>
      <c r="AB723" s="117">
        <f>IF($B723="","",IF(OR($D723="",$E723="",$O723=""),"EKSİK",IF($O723&lt;=0,"SIFIR/NEGATİF",IF(COUNTIFS($C$6:$C$5000,$C723,$O$6:$O$5000,$O723,$B$6:$B$5000,$B723)&gt;1,"MÜKERRER","OK"))))</f>
        <v/>
      </c>
    </row>
    <row r="724" ht="16.5" customHeight="1" s="80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7">
        <f>IF($B724="",0,IF($S724="EVET",IF($D724="GELİR",$O724,-$O724),0))</f>
        <v/>
      </c>
      <c r="AA724" s="117">
        <f>IF($B724="",0,IF(OR($W724="EVET",$X724="EVET",$Y724="EVET"),0,IF($D724="GELİR",IF($E724="SATIŞ İADESİ/İSKONTO",-$O724,$O724),-$O724)))</f>
        <v/>
      </c>
      <c r="AB724" s="117">
        <f>IF($B724="","",IF(OR($D724="",$E724="",$O724=""),"EKSİK",IF($O724&lt;=0,"SIFIR/NEGATİF",IF(COUNTIFS($C$6:$C$5000,$C724,$O$6:$O$5000,$O724,$B$6:$B$5000,$B724)&gt;1,"MÜKERRER","OK"))))</f>
        <v/>
      </c>
    </row>
    <row r="725" ht="16.5" customHeight="1" s="80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7">
        <f>IF($B725="",0,IF($S725="EVET",IF($D725="GELİR",$O725,-$O725),0))</f>
        <v/>
      </c>
      <c r="AA725" s="117">
        <f>IF($B725="",0,IF(OR($W725="EVET",$X725="EVET",$Y725="EVET"),0,IF($D725="GELİR",IF($E725="SATIŞ İADESİ/İSKONTO",-$O725,$O725),-$O725)))</f>
        <v/>
      </c>
      <c r="AB725" s="117">
        <f>IF($B725="","",IF(OR($D725="",$E725="",$O725=""),"EKSİK",IF($O725&lt;=0,"SIFIR/NEGATİF",IF(COUNTIFS($C$6:$C$5000,$C725,$O$6:$O$5000,$O725,$B$6:$B$5000,$B725)&gt;1,"MÜKERRER","OK"))))</f>
        <v/>
      </c>
    </row>
    <row r="726" ht="16.5" customHeight="1" s="80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7">
        <f>IF($B726="",0,IF($S726="EVET",IF($D726="GELİR",$O726,-$O726),0))</f>
        <v/>
      </c>
      <c r="AA726" s="117">
        <f>IF($B726="",0,IF(OR($W726="EVET",$X726="EVET",$Y726="EVET"),0,IF($D726="GELİR",IF($E726="SATIŞ İADESİ/İSKONTO",-$O726,$O726),-$O726)))</f>
        <v/>
      </c>
      <c r="AB726" s="117">
        <f>IF($B726="","",IF(OR($D726="",$E726="",$O726=""),"EKSİK",IF($O726&lt;=0,"SIFIR/NEGATİF",IF(COUNTIFS($C$6:$C$5000,$C726,$O$6:$O$5000,$O726,$B$6:$B$5000,$B726)&gt;1,"MÜKERRER","OK"))))</f>
        <v/>
      </c>
    </row>
    <row r="727" ht="16.5" customHeight="1" s="80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7">
        <f>IF($B727="",0,IF($S727="EVET",IF($D727="GELİR",$O727,-$O727),0))</f>
        <v/>
      </c>
      <c r="AA727" s="117">
        <f>IF($B727="",0,IF(OR($W727="EVET",$X727="EVET",$Y727="EVET"),0,IF($D727="GELİR",IF($E727="SATIŞ İADESİ/İSKONTO",-$O727,$O727),-$O727)))</f>
        <v/>
      </c>
      <c r="AB727" s="117">
        <f>IF($B727="","",IF(OR($D727="",$E727="",$O727=""),"EKSİK",IF($O727&lt;=0,"SIFIR/NEGATİF",IF(COUNTIFS($C$6:$C$5000,$C727,$O$6:$O$5000,$O727,$B$6:$B$5000,$B727)&gt;1,"MÜKERRER","OK"))))</f>
        <v/>
      </c>
    </row>
    <row r="728" ht="16.5" customHeight="1" s="80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7">
        <f>IF($B728="",0,IF($S728="EVET",IF($D728="GELİR",$O728,-$O728),0))</f>
        <v/>
      </c>
      <c r="AA728" s="117">
        <f>IF($B728="",0,IF(OR($W728="EVET",$X728="EVET",$Y728="EVET"),0,IF($D728="GELİR",IF($E728="SATIŞ İADESİ/İSKONTO",-$O728,$O728),-$O728)))</f>
        <v/>
      </c>
      <c r="AB728" s="117">
        <f>IF($B728="","",IF(OR($D728="",$E728="",$O728=""),"EKSİK",IF($O728&lt;=0,"SIFIR/NEGATİF",IF(COUNTIFS($C$6:$C$5000,$C728,$O$6:$O$5000,$O728,$B$6:$B$5000,$B728)&gt;1,"MÜKERRER","OK"))))</f>
        <v/>
      </c>
    </row>
    <row r="729" ht="16.5" customHeight="1" s="80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7">
        <f>IF($B729="",0,IF($S729="EVET",IF($D729="GELİR",$O729,-$O729),0))</f>
        <v/>
      </c>
      <c r="AA729" s="117">
        <f>IF($B729="",0,IF(OR($W729="EVET",$X729="EVET",$Y729="EVET"),0,IF($D729="GELİR",IF($E729="SATIŞ İADESİ/İSKONTO",-$O729,$O729),-$O729)))</f>
        <v/>
      </c>
      <c r="AB729" s="117">
        <f>IF($B729="","",IF(OR($D729="",$E729="",$O729=""),"EKSİK",IF($O729&lt;=0,"SIFIR/NEGATİF",IF(COUNTIFS($C$6:$C$5000,$C729,$O$6:$O$5000,$O729,$B$6:$B$5000,$B729)&gt;1,"MÜKERRER","OK"))))</f>
        <v/>
      </c>
    </row>
    <row r="730" ht="16.5" customHeight="1" s="8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7">
        <f>IF($B730="",0,IF($S730="EVET",IF($D730="GELİR",$O730,-$O730),0))</f>
        <v/>
      </c>
      <c r="AA730" s="117">
        <f>IF($B730="",0,IF(OR($W730="EVET",$X730="EVET",$Y730="EVET"),0,IF($D730="GELİR",IF($E730="SATIŞ İADESİ/İSKONTO",-$O730,$O730),-$O730)))</f>
        <v/>
      </c>
      <c r="AB730" s="117">
        <f>IF($B730="","",IF(OR($D730="",$E730="",$O730=""),"EKSİK",IF($O730&lt;=0,"SIFIR/NEGATİF",IF(COUNTIFS($C$6:$C$5000,$C730,$O$6:$O$5000,$O730,$B$6:$B$5000,$B730)&gt;1,"MÜKERRER","OK"))))</f>
        <v/>
      </c>
    </row>
    <row r="731" ht="16.5" customHeight="1" s="80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7">
        <f>IF($B731="",0,IF($S731="EVET",IF($D731="GELİR",$O731,-$O731),0))</f>
        <v/>
      </c>
      <c r="AA731" s="117">
        <f>IF($B731="",0,IF(OR($W731="EVET",$X731="EVET",$Y731="EVET"),0,IF($D731="GELİR",IF($E731="SATIŞ İADESİ/İSKONTO",-$O731,$O731),-$O731)))</f>
        <v/>
      </c>
      <c r="AB731" s="117">
        <f>IF($B731="","",IF(OR($D731="",$E731="",$O731=""),"EKSİK",IF($O731&lt;=0,"SIFIR/NEGATİF",IF(COUNTIFS($C$6:$C$5000,$C731,$O$6:$O$5000,$O731,$B$6:$B$5000,$B731)&gt;1,"MÜKERRER","OK"))))</f>
        <v/>
      </c>
    </row>
    <row r="732" ht="16.5" customHeight="1" s="80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7">
        <f>IF($B732="",0,IF($S732="EVET",IF($D732="GELİR",$O732,-$O732),0))</f>
        <v/>
      </c>
      <c r="AA732" s="117">
        <f>IF($B732="",0,IF(OR($W732="EVET",$X732="EVET",$Y732="EVET"),0,IF($D732="GELİR",IF($E732="SATIŞ İADESİ/İSKONTO",-$O732,$O732),-$O732)))</f>
        <v/>
      </c>
      <c r="AB732" s="117">
        <f>IF($B732="","",IF(OR($D732="",$E732="",$O732=""),"EKSİK",IF($O732&lt;=0,"SIFIR/NEGATİF",IF(COUNTIFS($C$6:$C$5000,$C732,$O$6:$O$5000,$O732,$B$6:$B$5000,$B732)&gt;1,"MÜKERRER","OK"))))</f>
        <v/>
      </c>
    </row>
    <row r="733" ht="16.5" customHeight="1" s="80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7">
        <f>IF($B733="",0,IF($S733="EVET",IF($D733="GELİR",$O733,-$O733),0))</f>
        <v/>
      </c>
      <c r="AA733" s="117">
        <f>IF($B733="",0,IF(OR($W733="EVET",$X733="EVET",$Y733="EVET"),0,IF($D733="GELİR",IF($E733="SATIŞ İADESİ/İSKONTO",-$O733,$O733),-$O733)))</f>
        <v/>
      </c>
      <c r="AB733" s="117">
        <f>IF($B733="","",IF(OR($D733="",$E733="",$O733=""),"EKSİK",IF($O733&lt;=0,"SIFIR/NEGATİF",IF(COUNTIFS($C$6:$C$5000,$C733,$O$6:$O$5000,$O733,$B$6:$B$5000,$B733)&gt;1,"MÜKERRER","OK"))))</f>
        <v/>
      </c>
    </row>
    <row r="734" ht="16.5" customHeight="1" s="80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7">
        <f>IF($B734="",0,IF($S734="EVET",IF($D734="GELİR",$O734,-$O734),0))</f>
        <v/>
      </c>
      <c r="AA734" s="117">
        <f>IF($B734="",0,IF(OR($W734="EVET",$X734="EVET",$Y734="EVET"),0,IF($D734="GELİR",IF($E734="SATIŞ İADESİ/İSKONTO",-$O734,$O734),-$O734)))</f>
        <v/>
      </c>
      <c r="AB734" s="117">
        <f>IF($B734="","",IF(OR($D734="",$E734="",$O734=""),"EKSİK",IF($O734&lt;=0,"SIFIR/NEGATİF",IF(COUNTIFS($C$6:$C$5000,$C734,$O$6:$O$5000,$O734,$B$6:$B$5000,$B734)&gt;1,"MÜKERRER","OK"))))</f>
        <v/>
      </c>
    </row>
    <row r="735" ht="16.5" customHeight="1" s="80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7">
        <f>IF($B735="",0,IF($S735="EVET",IF($D735="GELİR",$O735,-$O735),0))</f>
        <v/>
      </c>
      <c r="AA735" s="117">
        <f>IF($B735="",0,IF(OR($W735="EVET",$X735="EVET",$Y735="EVET"),0,IF($D735="GELİR",IF($E735="SATIŞ İADESİ/İSKONTO",-$O735,$O735),-$O735)))</f>
        <v/>
      </c>
      <c r="AB735" s="117">
        <f>IF($B735="","",IF(OR($D735="",$E735="",$O735=""),"EKSİK",IF($O735&lt;=0,"SIFIR/NEGATİF",IF(COUNTIFS($C$6:$C$5000,$C735,$O$6:$O$5000,$O735,$B$6:$B$5000,$B735)&gt;1,"MÜKERRER","OK"))))</f>
        <v/>
      </c>
    </row>
    <row r="736" ht="16.5" customHeight="1" s="80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7">
        <f>IF($B736="",0,IF($S736="EVET",IF($D736="GELİR",$O736,-$O736),0))</f>
        <v/>
      </c>
      <c r="AA736" s="117">
        <f>IF($B736="",0,IF(OR($W736="EVET",$X736="EVET",$Y736="EVET"),0,IF($D736="GELİR",IF($E736="SATIŞ İADESİ/İSKONTO",-$O736,$O736),-$O736)))</f>
        <v/>
      </c>
      <c r="AB736" s="117">
        <f>IF($B736="","",IF(OR($D736="",$E736="",$O736=""),"EKSİK",IF($O736&lt;=0,"SIFIR/NEGATİF",IF(COUNTIFS($C$6:$C$5000,$C736,$O$6:$O$5000,$O736,$B$6:$B$5000,$B736)&gt;1,"MÜKERRER","OK"))))</f>
        <v/>
      </c>
    </row>
    <row r="737" ht="16.5" customHeight="1" s="80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7">
        <f>IF($B737="",0,IF($S737="EVET",IF($D737="GELİR",$O737,-$O737),0))</f>
        <v/>
      </c>
      <c r="AA737" s="117">
        <f>IF($B737="",0,IF(OR($W737="EVET",$X737="EVET",$Y737="EVET"),0,IF($D737="GELİR",IF($E737="SATIŞ İADESİ/İSKONTO",-$O737,$O737),-$O737)))</f>
        <v/>
      </c>
      <c r="AB737" s="117">
        <f>IF($B737="","",IF(OR($D737="",$E737="",$O737=""),"EKSİK",IF($O737&lt;=0,"SIFIR/NEGATİF",IF(COUNTIFS($C$6:$C$5000,$C737,$O$6:$O$5000,$O737,$B$6:$B$5000,$B737)&gt;1,"MÜKERRER","OK"))))</f>
        <v/>
      </c>
    </row>
    <row r="738" ht="16.5" customHeight="1" s="80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7">
        <f>IF($B738="",0,IF($S738="EVET",IF($D738="GELİR",$O738,-$O738),0))</f>
        <v/>
      </c>
      <c r="AA738" s="117">
        <f>IF($B738="",0,IF(OR($W738="EVET",$X738="EVET",$Y738="EVET"),0,IF($D738="GELİR",IF($E738="SATIŞ İADESİ/İSKONTO",-$O738,$O738),-$O738)))</f>
        <v/>
      </c>
      <c r="AB738" s="117">
        <f>IF($B738="","",IF(OR($D738="",$E738="",$O738=""),"EKSİK",IF($O738&lt;=0,"SIFIR/NEGATİF",IF(COUNTIFS($C$6:$C$5000,$C738,$O$6:$O$5000,$O738,$B$6:$B$5000,$B738)&gt;1,"MÜKERRER","OK"))))</f>
        <v/>
      </c>
    </row>
    <row r="739" ht="16.5" customHeight="1" s="80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7">
        <f>IF($B739="",0,IF($S739="EVET",IF($D739="GELİR",$O739,-$O739),0))</f>
        <v/>
      </c>
      <c r="AA739" s="117">
        <f>IF($B739="",0,IF(OR($W739="EVET",$X739="EVET",$Y739="EVET"),0,IF($D739="GELİR",IF($E739="SATIŞ İADESİ/İSKONTO",-$O739,$O739),-$O739)))</f>
        <v/>
      </c>
      <c r="AB739" s="117">
        <f>IF($B739="","",IF(OR($D739="",$E739="",$O739=""),"EKSİK",IF($O739&lt;=0,"SIFIR/NEGATİF",IF(COUNTIFS($C$6:$C$5000,$C739,$O$6:$O$5000,$O739,$B$6:$B$5000,$B739)&gt;1,"MÜKERRER","OK"))))</f>
        <v/>
      </c>
    </row>
    <row r="740" ht="16.5" customHeight="1" s="8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7">
        <f>IF($B740="",0,IF($S740="EVET",IF($D740="GELİR",$O740,-$O740),0))</f>
        <v/>
      </c>
      <c r="AA740" s="117">
        <f>IF($B740="",0,IF(OR($W740="EVET",$X740="EVET",$Y740="EVET"),0,IF($D740="GELİR",IF($E740="SATIŞ İADESİ/İSKONTO",-$O740,$O740),-$O740)))</f>
        <v/>
      </c>
      <c r="AB740" s="117">
        <f>IF($B740="","",IF(OR($D740="",$E740="",$O740=""),"EKSİK",IF($O740&lt;=0,"SIFIR/NEGATİF",IF(COUNTIFS($C$6:$C$5000,$C740,$O$6:$O$5000,$O740,$B$6:$B$5000,$B740)&gt;1,"MÜKERRER","OK"))))</f>
        <v/>
      </c>
    </row>
    <row r="741" ht="16.5" customHeight="1" s="80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7">
        <f>IF($B741="",0,IF($S741="EVET",IF($D741="GELİR",$O741,-$O741),0))</f>
        <v/>
      </c>
      <c r="AA741" s="117">
        <f>IF($B741="",0,IF(OR($W741="EVET",$X741="EVET",$Y741="EVET"),0,IF($D741="GELİR",IF($E741="SATIŞ İADESİ/İSKONTO",-$O741,$O741),-$O741)))</f>
        <v/>
      </c>
      <c r="AB741" s="117">
        <f>IF($B741="","",IF(OR($D741="",$E741="",$O741=""),"EKSİK",IF($O741&lt;=0,"SIFIR/NEGATİF",IF(COUNTIFS($C$6:$C$5000,$C741,$O$6:$O$5000,$O741,$B$6:$B$5000,$B741)&gt;1,"MÜKERRER","OK"))))</f>
        <v/>
      </c>
    </row>
    <row r="742" ht="16.5" customHeight="1" s="80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7">
        <f>IF($B742="",0,IF($S742="EVET",IF($D742="GELİR",$O742,-$O742),0))</f>
        <v/>
      </c>
      <c r="AA742" s="117">
        <f>IF($B742="",0,IF(OR($W742="EVET",$X742="EVET",$Y742="EVET"),0,IF($D742="GELİR",IF($E742="SATIŞ İADESİ/İSKONTO",-$O742,$O742),-$O742)))</f>
        <v/>
      </c>
      <c r="AB742" s="117">
        <f>IF($B742="","",IF(OR($D742="",$E742="",$O742=""),"EKSİK",IF($O742&lt;=0,"SIFIR/NEGATİF",IF(COUNTIFS($C$6:$C$5000,$C742,$O$6:$O$5000,$O742,$B$6:$B$5000,$B742)&gt;1,"MÜKERRER","OK"))))</f>
        <v/>
      </c>
    </row>
    <row r="743" ht="16.5" customHeight="1" s="80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7">
        <f>IF($B743="",0,IF($S743="EVET",IF($D743="GELİR",$O743,-$O743),0))</f>
        <v/>
      </c>
      <c r="AA743" s="117">
        <f>IF($B743="",0,IF(OR($W743="EVET",$X743="EVET",$Y743="EVET"),0,IF($D743="GELİR",IF($E743="SATIŞ İADESİ/İSKONTO",-$O743,$O743),-$O743)))</f>
        <v/>
      </c>
      <c r="AB743" s="117">
        <f>IF($B743="","",IF(OR($D743="",$E743="",$O743=""),"EKSİK",IF($O743&lt;=0,"SIFIR/NEGATİF",IF(COUNTIFS($C$6:$C$5000,$C743,$O$6:$O$5000,$O743,$B$6:$B$5000,$B743)&gt;1,"MÜKERRER","OK"))))</f>
        <v/>
      </c>
    </row>
    <row r="744" ht="16.5" customHeight="1" s="80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7">
        <f>IF($B744="",0,IF($S744="EVET",IF($D744="GELİR",$O744,-$O744),0))</f>
        <v/>
      </c>
      <c r="AA744" s="117">
        <f>IF($B744="",0,IF(OR($W744="EVET",$X744="EVET",$Y744="EVET"),0,IF($D744="GELİR",IF($E744="SATIŞ İADESİ/İSKONTO",-$O744,$O744),-$O744)))</f>
        <v/>
      </c>
      <c r="AB744" s="117">
        <f>IF($B744="","",IF(OR($D744="",$E744="",$O744=""),"EKSİK",IF($O744&lt;=0,"SIFIR/NEGATİF",IF(COUNTIFS($C$6:$C$5000,$C744,$O$6:$O$5000,$O744,$B$6:$B$5000,$B744)&gt;1,"MÜKERRER","OK"))))</f>
        <v/>
      </c>
    </row>
    <row r="745" ht="16.5" customHeight="1" s="80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7">
        <f>IF($B745="",0,IF($S745="EVET",IF($D745="GELİR",$O745,-$O745),0))</f>
        <v/>
      </c>
      <c r="AA745" s="117">
        <f>IF($B745="",0,IF(OR($W745="EVET",$X745="EVET",$Y745="EVET"),0,IF($D745="GELİR",IF($E745="SATIŞ İADESİ/İSKONTO",-$O745,$O745),-$O745)))</f>
        <v/>
      </c>
      <c r="AB745" s="117">
        <f>IF($B745="","",IF(OR($D745="",$E745="",$O745=""),"EKSİK",IF($O745&lt;=0,"SIFIR/NEGATİF",IF(COUNTIFS($C$6:$C$5000,$C745,$O$6:$O$5000,$O745,$B$6:$B$5000,$B745)&gt;1,"MÜKERRER","OK"))))</f>
        <v/>
      </c>
    </row>
    <row r="746" ht="16.5" customHeight="1" s="80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7">
        <f>IF($B746="",0,IF($S746="EVET",IF($D746="GELİR",$O746,-$O746),0))</f>
        <v/>
      </c>
      <c r="AA746" s="117">
        <f>IF($B746="",0,IF(OR($W746="EVET",$X746="EVET",$Y746="EVET"),0,IF($D746="GELİR",IF($E746="SATIŞ İADESİ/İSKONTO",-$O746,$O746),-$O746)))</f>
        <v/>
      </c>
      <c r="AB746" s="117">
        <f>IF($B746="","",IF(OR($D746="",$E746="",$O746=""),"EKSİK",IF($O746&lt;=0,"SIFIR/NEGATİF",IF(COUNTIFS($C$6:$C$5000,$C746,$O$6:$O$5000,$O746,$B$6:$B$5000,$B746)&gt;1,"MÜKERRER","OK"))))</f>
        <v/>
      </c>
    </row>
    <row r="747" ht="16.5" customHeight="1" s="80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7">
        <f>IF($B747="",0,IF($S747="EVET",IF($D747="GELİR",$O747,-$O747),0))</f>
        <v/>
      </c>
      <c r="AA747" s="117">
        <f>IF($B747="",0,IF(OR($W747="EVET",$X747="EVET",$Y747="EVET"),0,IF($D747="GELİR",IF($E747="SATIŞ İADESİ/İSKONTO",-$O747,$O747),-$O747)))</f>
        <v/>
      </c>
      <c r="AB747" s="117">
        <f>IF($B747="","",IF(OR($D747="",$E747="",$O747=""),"EKSİK",IF($O747&lt;=0,"SIFIR/NEGATİF",IF(COUNTIFS($C$6:$C$5000,$C747,$O$6:$O$5000,$O747,$B$6:$B$5000,$B747)&gt;1,"MÜKERRER","OK"))))</f>
        <v/>
      </c>
    </row>
    <row r="748" ht="16.5" customHeight="1" s="80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7">
        <f>IF($B748="",0,IF($S748="EVET",IF($D748="GELİR",$O748,-$O748),0))</f>
        <v/>
      </c>
      <c r="AA748" s="117">
        <f>IF($B748="",0,IF(OR($W748="EVET",$X748="EVET",$Y748="EVET"),0,IF($D748="GELİR",IF($E748="SATIŞ İADESİ/İSKONTO",-$O748,$O748),-$O748)))</f>
        <v/>
      </c>
      <c r="AB748" s="117">
        <f>IF($B748="","",IF(OR($D748="",$E748="",$O748=""),"EKSİK",IF($O748&lt;=0,"SIFIR/NEGATİF",IF(COUNTIFS($C$6:$C$5000,$C748,$O$6:$O$5000,$O748,$B$6:$B$5000,$B748)&gt;1,"MÜKERRER","OK"))))</f>
        <v/>
      </c>
    </row>
    <row r="749" ht="16.5" customHeight="1" s="80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7">
        <f>IF($B749="",0,IF($S749="EVET",IF($D749="GELİR",$O749,-$O749),0))</f>
        <v/>
      </c>
      <c r="AA749" s="117">
        <f>IF($B749="",0,IF(OR($W749="EVET",$X749="EVET",$Y749="EVET"),0,IF($D749="GELİR",IF($E749="SATIŞ İADESİ/İSKONTO",-$O749,$O749),-$O749)))</f>
        <v/>
      </c>
      <c r="AB749" s="117">
        <f>IF($B749="","",IF(OR($D749="",$E749="",$O749=""),"EKSİK",IF($O749&lt;=0,"SIFIR/NEGATİF",IF(COUNTIFS($C$6:$C$5000,$C749,$O$6:$O$5000,$O749,$B$6:$B$5000,$B749)&gt;1,"MÜKERRER","OK"))))</f>
        <v/>
      </c>
    </row>
    <row r="750" ht="16.5" customHeight="1" s="8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7">
        <f>IF($B750="",0,IF($S750="EVET",IF($D750="GELİR",$O750,-$O750),0))</f>
        <v/>
      </c>
      <c r="AA750" s="117">
        <f>IF($B750="",0,IF(OR($W750="EVET",$X750="EVET",$Y750="EVET"),0,IF($D750="GELİR",IF($E750="SATIŞ İADESİ/İSKONTO",-$O750,$O750),-$O750)))</f>
        <v/>
      </c>
      <c r="AB750" s="117">
        <f>IF($B750="","",IF(OR($D750="",$E750="",$O750=""),"EKSİK",IF($O750&lt;=0,"SIFIR/NEGATİF",IF(COUNTIFS($C$6:$C$5000,$C750,$O$6:$O$5000,$O750,$B$6:$B$5000,$B750)&gt;1,"MÜKERRER","OK"))))</f>
        <v/>
      </c>
    </row>
    <row r="751" ht="16.5" customHeight="1" s="80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7">
        <f>IF($B751="",0,IF($S751="EVET",IF($D751="GELİR",$O751,-$O751),0))</f>
        <v/>
      </c>
      <c r="AA751" s="117">
        <f>IF($B751="",0,IF(OR($W751="EVET",$X751="EVET",$Y751="EVET"),0,IF($D751="GELİR",IF($E751="SATIŞ İADESİ/İSKONTO",-$O751,$O751),-$O751)))</f>
        <v/>
      </c>
      <c r="AB751" s="117">
        <f>IF($B751="","",IF(OR($D751="",$E751="",$O751=""),"EKSİK",IF($O751&lt;=0,"SIFIR/NEGATİF",IF(COUNTIFS($C$6:$C$5000,$C751,$O$6:$O$5000,$O751,$B$6:$B$5000,$B751)&gt;1,"MÜKERRER","OK"))))</f>
        <v/>
      </c>
    </row>
    <row r="752" ht="16.5" customHeight="1" s="80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7">
        <f>IF($B752="",0,IF($S752="EVET",IF($D752="GELİR",$O752,-$O752),0))</f>
        <v/>
      </c>
      <c r="AA752" s="117">
        <f>IF($B752="",0,IF(OR($W752="EVET",$X752="EVET",$Y752="EVET"),0,IF($D752="GELİR",IF($E752="SATIŞ İADESİ/İSKONTO",-$O752,$O752),-$O752)))</f>
        <v/>
      </c>
      <c r="AB752" s="117">
        <f>IF($B752="","",IF(OR($D752="",$E752="",$O752=""),"EKSİK",IF($O752&lt;=0,"SIFIR/NEGATİF",IF(COUNTIFS($C$6:$C$5000,$C752,$O$6:$O$5000,$O752,$B$6:$B$5000,$B752)&gt;1,"MÜKERRER","OK"))))</f>
        <v/>
      </c>
    </row>
    <row r="753" ht="16.5" customHeight="1" s="80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7">
        <f>IF($B753="",0,IF($S753="EVET",IF($D753="GELİR",$O753,-$O753),0))</f>
        <v/>
      </c>
      <c r="AA753" s="117">
        <f>IF($B753="",0,IF(OR($W753="EVET",$X753="EVET",$Y753="EVET"),0,IF($D753="GELİR",IF($E753="SATIŞ İADESİ/İSKONTO",-$O753,$O753),-$O753)))</f>
        <v/>
      </c>
      <c r="AB753" s="117">
        <f>IF($B753="","",IF(OR($D753="",$E753="",$O753=""),"EKSİK",IF($O753&lt;=0,"SIFIR/NEGATİF",IF(COUNTIFS($C$6:$C$5000,$C753,$O$6:$O$5000,$O753,$B$6:$B$5000,$B753)&gt;1,"MÜKERRER","OK"))))</f>
        <v/>
      </c>
    </row>
    <row r="754" ht="16.5" customHeight="1" s="80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7">
        <f>IF($B754="",0,IF($S754="EVET",IF($D754="GELİR",$O754,-$O754),0))</f>
        <v/>
      </c>
      <c r="AA754" s="117">
        <f>IF($B754="",0,IF(OR($W754="EVET",$X754="EVET",$Y754="EVET"),0,IF($D754="GELİR",IF($E754="SATIŞ İADESİ/İSKONTO",-$O754,$O754),-$O754)))</f>
        <v/>
      </c>
      <c r="AB754" s="117">
        <f>IF($B754="","",IF(OR($D754="",$E754="",$O754=""),"EKSİK",IF($O754&lt;=0,"SIFIR/NEGATİF",IF(COUNTIFS($C$6:$C$5000,$C754,$O$6:$O$5000,$O754,$B$6:$B$5000,$B754)&gt;1,"MÜKERRER","OK"))))</f>
        <v/>
      </c>
    </row>
    <row r="755" ht="16.5" customHeight="1" s="80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7">
        <f>IF($B755="",0,IF($S755="EVET",IF($D755="GELİR",$O755,-$O755),0))</f>
        <v/>
      </c>
      <c r="AA755" s="117">
        <f>IF($B755="",0,IF(OR($W755="EVET",$X755="EVET",$Y755="EVET"),0,IF($D755="GELİR",IF($E755="SATIŞ İADESİ/İSKONTO",-$O755,$O755),-$O755)))</f>
        <v/>
      </c>
      <c r="AB755" s="117">
        <f>IF($B755="","",IF(OR($D755="",$E755="",$O755=""),"EKSİK",IF($O755&lt;=0,"SIFIR/NEGATİF",IF(COUNTIFS($C$6:$C$5000,$C755,$O$6:$O$5000,$O755,$B$6:$B$5000,$B755)&gt;1,"MÜKERRER","OK"))))</f>
        <v/>
      </c>
    </row>
    <row r="756" ht="16.5" customHeight="1" s="80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7">
        <f>IF($B756="",0,IF($S756="EVET",IF($D756="GELİR",$O756,-$O756),0))</f>
        <v/>
      </c>
      <c r="AA756" s="117">
        <f>IF($B756="",0,IF(OR($W756="EVET",$X756="EVET",$Y756="EVET"),0,IF($D756="GELİR",IF($E756="SATIŞ İADESİ/İSKONTO",-$O756,$O756),-$O756)))</f>
        <v/>
      </c>
      <c r="AB756" s="117">
        <f>IF($B756="","",IF(OR($D756="",$E756="",$O756=""),"EKSİK",IF($O756&lt;=0,"SIFIR/NEGATİF",IF(COUNTIFS($C$6:$C$5000,$C756,$O$6:$O$5000,$O756,$B$6:$B$5000,$B756)&gt;1,"MÜKERRER","OK"))))</f>
        <v/>
      </c>
    </row>
    <row r="757" ht="16.5" customHeight="1" s="80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7">
        <f>IF($B757="",0,IF($S757="EVET",IF($D757="GELİR",$O757,-$O757),0))</f>
        <v/>
      </c>
      <c r="AA757" s="117">
        <f>IF($B757="",0,IF(OR($W757="EVET",$X757="EVET",$Y757="EVET"),0,IF($D757="GELİR",IF($E757="SATIŞ İADESİ/İSKONTO",-$O757,$O757),-$O757)))</f>
        <v/>
      </c>
      <c r="AB757" s="117">
        <f>IF($B757="","",IF(OR($D757="",$E757="",$O757=""),"EKSİK",IF($O757&lt;=0,"SIFIR/NEGATİF",IF(COUNTIFS($C$6:$C$5000,$C757,$O$6:$O$5000,$O757,$B$6:$B$5000,$B757)&gt;1,"MÜKERRER","OK"))))</f>
        <v/>
      </c>
    </row>
    <row r="758" ht="16.5" customHeight="1" s="80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7">
        <f>IF($B758="",0,IF($S758="EVET",IF($D758="GELİR",$O758,-$O758),0))</f>
        <v/>
      </c>
      <c r="AA758" s="117">
        <f>IF($B758="",0,IF(OR($W758="EVET",$X758="EVET",$Y758="EVET"),0,IF($D758="GELİR",IF($E758="SATIŞ İADESİ/İSKONTO",-$O758,$O758),-$O758)))</f>
        <v/>
      </c>
      <c r="AB758" s="117">
        <f>IF($B758="","",IF(OR($D758="",$E758="",$O758=""),"EKSİK",IF($O758&lt;=0,"SIFIR/NEGATİF",IF(COUNTIFS($C$6:$C$5000,$C758,$O$6:$O$5000,$O758,$B$6:$B$5000,$B758)&gt;1,"MÜKERRER","OK"))))</f>
        <v/>
      </c>
    </row>
    <row r="759" ht="16.5" customHeight="1" s="80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7">
        <f>IF($B759="",0,IF($S759="EVET",IF($D759="GELİR",$O759,-$O759),0))</f>
        <v/>
      </c>
      <c r="AA759" s="117">
        <f>IF($B759="",0,IF(OR($W759="EVET",$X759="EVET",$Y759="EVET"),0,IF($D759="GELİR",IF($E759="SATIŞ İADESİ/İSKONTO",-$O759,$O759),-$O759)))</f>
        <v/>
      </c>
      <c r="AB759" s="117">
        <f>IF($B759="","",IF(OR($D759="",$E759="",$O759=""),"EKSİK",IF($O759&lt;=0,"SIFIR/NEGATİF",IF(COUNTIFS($C$6:$C$5000,$C759,$O$6:$O$5000,$O759,$B$6:$B$5000,$B759)&gt;1,"MÜKERRER","OK"))))</f>
        <v/>
      </c>
    </row>
    <row r="760" ht="16.5" customHeight="1" s="8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7">
        <f>IF($B760="",0,IF($S760="EVET",IF($D760="GELİR",$O760,-$O760),0))</f>
        <v/>
      </c>
      <c r="AA760" s="117">
        <f>IF($B760="",0,IF(OR($W760="EVET",$X760="EVET",$Y760="EVET"),0,IF($D760="GELİR",IF($E760="SATIŞ İADESİ/İSKONTO",-$O760,$O760),-$O760)))</f>
        <v/>
      </c>
      <c r="AB760" s="117">
        <f>IF($B760="","",IF(OR($D760="",$E760="",$O760=""),"EKSİK",IF($O760&lt;=0,"SIFIR/NEGATİF",IF(COUNTIFS($C$6:$C$5000,$C760,$O$6:$O$5000,$O760,$B$6:$B$5000,$B760)&gt;1,"MÜKERRER","OK"))))</f>
        <v/>
      </c>
    </row>
    <row r="761" ht="16.5" customHeight="1" s="80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7">
        <f>IF($B761="",0,IF($S761="EVET",IF($D761="GELİR",$O761,-$O761),0))</f>
        <v/>
      </c>
      <c r="AA761" s="117">
        <f>IF($B761="",0,IF(OR($W761="EVET",$X761="EVET",$Y761="EVET"),0,IF($D761="GELİR",IF($E761="SATIŞ İADESİ/İSKONTO",-$O761,$O761),-$O761)))</f>
        <v/>
      </c>
      <c r="AB761" s="117">
        <f>IF($B761="","",IF(OR($D761="",$E761="",$O761=""),"EKSİK",IF($O761&lt;=0,"SIFIR/NEGATİF",IF(COUNTIFS($C$6:$C$5000,$C761,$O$6:$O$5000,$O761,$B$6:$B$5000,$B761)&gt;1,"MÜKERRER","OK"))))</f>
        <v/>
      </c>
    </row>
    <row r="762" ht="16.5" customHeight="1" s="80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7">
        <f>IF($B762="",0,IF($S762="EVET",IF($D762="GELİR",$O762,-$O762),0))</f>
        <v/>
      </c>
      <c r="AA762" s="117">
        <f>IF($B762="",0,IF(OR($W762="EVET",$X762="EVET",$Y762="EVET"),0,IF($D762="GELİR",IF($E762="SATIŞ İADESİ/İSKONTO",-$O762,$O762),-$O762)))</f>
        <v/>
      </c>
      <c r="AB762" s="117">
        <f>IF($B762="","",IF(OR($D762="",$E762="",$O762=""),"EKSİK",IF($O762&lt;=0,"SIFIR/NEGATİF",IF(COUNTIFS($C$6:$C$5000,$C762,$O$6:$O$5000,$O762,$B$6:$B$5000,$B762)&gt;1,"MÜKERRER","OK"))))</f>
        <v/>
      </c>
    </row>
    <row r="763" ht="16.5" customHeight="1" s="80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7">
        <f>IF($B763="",0,IF($S763="EVET",IF($D763="GELİR",$O763,-$O763),0))</f>
        <v/>
      </c>
      <c r="AA763" s="117">
        <f>IF($B763="",0,IF(OR($W763="EVET",$X763="EVET",$Y763="EVET"),0,IF($D763="GELİR",IF($E763="SATIŞ İADESİ/İSKONTO",-$O763,$O763),-$O763)))</f>
        <v/>
      </c>
      <c r="AB763" s="117">
        <f>IF($B763="","",IF(OR($D763="",$E763="",$O763=""),"EKSİK",IF($O763&lt;=0,"SIFIR/NEGATİF",IF(COUNTIFS($C$6:$C$5000,$C763,$O$6:$O$5000,$O763,$B$6:$B$5000,$B763)&gt;1,"MÜKERRER","OK"))))</f>
        <v/>
      </c>
    </row>
    <row r="764" ht="16.5" customHeight="1" s="80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7">
        <f>IF($B764="",0,IF($S764="EVET",IF($D764="GELİR",$O764,-$O764),0))</f>
        <v/>
      </c>
      <c r="AA764" s="117">
        <f>IF($B764="",0,IF(OR($W764="EVET",$X764="EVET",$Y764="EVET"),0,IF($D764="GELİR",IF($E764="SATIŞ İADESİ/İSKONTO",-$O764,$O764),-$O764)))</f>
        <v/>
      </c>
      <c r="AB764" s="117">
        <f>IF($B764="","",IF(OR($D764="",$E764="",$O764=""),"EKSİK",IF($O764&lt;=0,"SIFIR/NEGATİF",IF(COUNTIFS($C$6:$C$5000,$C764,$O$6:$O$5000,$O764,$B$6:$B$5000,$B764)&gt;1,"MÜKERRER","OK"))))</f>
        <v/>
      </c>
    </row>
    <row r="765" ht="16.5" customHeight="1" s="80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7">
        <f>IF($B765="",0,IF($S765="EVET",IF($D765="GELİR",$O765,-$O765),0))</f>
        <v/>
      </c>
      <c r="AA765" s="117">
        <f>IF($B765="",0,IF(OR($W765="EVET",$X765="EVET",$Y765="EVET"),0,IF($D765="GELİR",IF($E765="SATIŞ İADESİ/İSKONTO",-$O765,$O765),-$O765)))</f>
        <v/>
      </c>
      <c r="AB765" s="117">
        <f>IF($B765="","",IF(OR($D765="",$E765="",$O765=""),"EKSİK",IF($O765&lt;=0,"SIFIR/NEGATİF",IF(COUNTIFS($C$6:$C$5000,$C765,$O$6:$O$5000,$O765,$B$6:$B$5000,$B765)&gt;1,"MÜKERRER","OK"))))</f>
        <v/>
      </c>
    </row>
    <row r="766" ht="16.5" customHeight="1" s="80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7">
        <f>IF($B766="",0,IF($S766="EVET",IF($D766="GELİR",$O766,-$O766),0))</f>
        <v/>
      </c>
      <c r="AA766" s="117">
        <f>IF($B766="",0,IF(OR($W766="EVET",$X766="EVET",$Y766="EVET"),0,IF($D766="GELİR",IF($E766="SATIŞ İADESİ/İSKONTO",-$O766,$O766),-$O766)))</f>
        <v/>
      </c>
      <c r="AB766" s="117">
        <f>IF($B766="","",IF(OR($D766="",$E766="",$O766=""),"EKSİK",IF($O766&lt;=0,"SIFIR/NEGATİF",IF(COUNTIFS($C$6:$C$5000,$C766,$O$6:$O$5000,$O766,$B$6:$B$5000,$B766)&gt;1,"MÜKERRER","OK"))))</f>
        <v/>
      </c>
    </row>
    <row r="767" ht="16.5" customHeight="1" s="80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7">
        <f>IF($B767="",0,IF($S767="EVET",IF($D767="GELİR",$O767,-$O767),0))</f>
        <v/>
      </c>
      <c r="AA767" s="117">
        <f>IF($B767="",0,IF(OR($W767="EVET",$X767="EVET",$Y767="EVET"),0,IF($D767="GELİR",IF($E767="SATIŞ İADESİ/İSKONTO",-$O767,$O767),-$O767)))</f>
        <v/>
      </c>
      <c r="AB767" s="117">
        <f>IF($B767="","",IF(OR($D767="",$E767="",$O767=""),"EKSİK",IF($O767&lt;=0,"SIFIR/NEGATİF",IF(COUNTIFS($C$6:$C$5000,$C767,$O$6:$O$5000,$O767,$B$6:$B$5000,$B767)&gt;1,"MÜKERRER","OK"))))</f>
        <v/>
      </c>
    </row>
    <row r="768" ht="16.5" customHeight="1" s="80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7">
        <f>IF($B768="",0,IF($S768="EVET",IF($D768="GELİR",$O768,-$O768),0))</f>
        <v/>
      </c>
      <c r="AA768" s="117">
        <f>IF($B768="",0,IF(OR($W768="EVET",$X768="EVET",$Y768="EVET"),0,IF($D768="GELİR",IF($E768="SATIŞ İADESİ/İSKONTO",-$O768,$O768),-$O768)))</f>
        <v/>
      </c>
      <c r="AB768" s="117">
        <f>IF($B768="","",IF(OR($D768="",$E768="",$O768=""),"EKSİK",IF($O768&lt;=0,"SIFIR/NEGATİF",IF(COUNTIFS($C$6:$C$5000,$C768,$O$6:$O$5000,$O768,$B$6:$B$5000,$B768)&gt;1,"MÜKERRER","OK"))))</f>
        <v/>
      </c>
    </row>
    <row r="769" ht="16.5" customHeight="1" s="80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7">
        <f>IF($B769="",0,IF($S769="EVET",IF($D769="GELİR",$O769,-$O769),0))</f>
        <v/>
      </c>
      <c r="AA769" s="117">
        <f>IF($B769="",0,IF(OR($W769="EVET",$X769="EVET",$Y769="EVET"),0,IF($D769="GELİR",IF($E769="SATIŞ İADESİ/İSKONTO",-$O769,$O769),-$O769)))</f>
        <v/>
      </c>
      <c r="AB769" s="117">
        <f>IF($B769="","",IF(OR($D769="",$E769="",$O769=""),"EKSİK",IF($O769&lt;=0,"SIFIR/NEGATİF",IF(COUNTIFS($C$6:$C$5000,$C769,$O$6:$O$5000,$O769,$B$6:$B$5000,$B769)&gt;1,"MÜKERRER","OK"))))</f>
        <v/>
      </c>
    </row>
    <row r="770" ht="16.5" customHeight="1" s="8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7">
        <f>IF($B770="",0,IF($S770="EVET",IF($D770="GELİR",$O770,-$O770),0))</f>
        <v/>
      </c>
      <c r="AA770" s="117">
        <f>IF($B770="",0,IF(OR($W770="EVET",$X770="EVET",$Y770="EVET"),0,IF($D770="GELİR",IF($E770="SATIŞ İADESİ/İSKONTO",-$O770,$O770),-$O770)))</f>
        <v/>
      </c>
      <c r="AB770" s="117">
        <f>IF($B770="","",IF(OR($D770="",$E770="",$O770=""),"EKSİK",IF($O770&lt;=0,"SIFIR/NEGATİF",IF(COUNTIFS($C$6:$C$5000,$C770,$O$6:$O$5000,$O770,$B$6:$B$5000,$B770)&gt;1,"MÜKERRER","OK"))))</f>
        <v/>
      </c>
    </row>
    <row r="771" ht="16.5" customHeight="1" s="80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7">
        <f>IF($B771="",0,IF($S771="EVET",IF($D771="GELİR",$O771,-$O771),0))</f>
        <v/>
      </c>
      <c r="AA771" s="117">
        <f>IF($B771="",0,IF(OR($W771="EVET",$X771="EVET",$Y771="EVET"),0,IF($D771="GELİR",IF($E771="SATIŞ İADESİ/İSKONTO",-$O771,$O771),-$O771)))</f>
        <v/>
      </c>
      <c r="AB771" s="117">
        <f>IF($B771="","",IF(OR($D771="",$E771="",$O771=""),"EKSİK",IF($O771&lt;=0,"SIFIR/NEGATİF",IF(COUNTIFS($C$6:$C$5000,$C771,$O$6:$O$5000,$O771,$B$6:$B$5000,$B771)&gt;1,"MÜKERRER","OK"))))</f>
        <v/>
      </c>
    </row>
    <row r="772" ht="16.5" customHeight="1" s="80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7">
        <f>IF($B772="",0,IF($S772="EVET",IF($D772="GELİR",$O772,-$O772),0))</f>
        <v/>
      </c>
      <c r="AA772" s="117">
        <f>IF($B772="",0,IF(OR($W772="EVET",$X772="EVET",$Y772="EVET"),0,IF($D772="GELİR",IF($E772="SATIŞ İADESİ/İSKONTO",-$O772,$O772),-$O772)))</f>
        <v/>
      </c>
      <c r="AB772" s="117">
        <f>IF($B772="","",IF(OR($D772="",$E772="",$O772=""),"EKSİK",IF($O772&lt;=0,"SIFIR/NEGATİF",IF(COUNTIFS($C$6:$C$5000,$C772,$O$6:$O$5000,$O772,$B$6:$B$5000,$B772)&gt;1,"MÜKERRER","OK"))))</f>
        <v/>
      </c>
    </row>
    <row r="773" ht="16.5" customHeight="1" s="80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7">
        <f>IF($B773="",0,IF($S773="EVET",IF($D773="GELİR",$O773,-$O773),0))</f>
        <v/>
      </c>
      <c r="AA773" s="117">
        <f>IF($B773="",0,IF(OR($W773="EVET",$X773="EVET",$Y773="EVET"),0,IF($D773="GELİR",IF($E773="SATIŞ İADESİ/İSKONTO",-$O773,$O773),-$O773)))</f>
        <v/>
      </c>
      <c r="AB773" s="117">
        <f>IF($B773="","",IF(OR($D773="",$E773="",$O773=""),"EKSİK",IF($O773&lt;=0,"SIFIR/NEGATİF",IF(COUNTIFS($C$6:$C$5000,$C773,$O$6:$O$5000,$O773,$B$6:$B$5000,$B773)&gt;1,"MÜKERRER","OK"))))</f>
        <v/>
      </c>
    </row>
    <row r="774" ht="16.5" customHeight="1" s="80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7">
        <f>IF($B774="",0,IF($S774="EVET",IF($D774="GELİR",$O774,-$O774),0))</f>
        <v/>
      </c>
      <c r="AA774" s="117">
        <f>IF($B774="",0,IF(OR($W774="EVET",$X774="EVET",$Y774="EVET"),0,IF($D774="GELİR",IF($E774="SATIŞ İADESİ/İSKONTO",-$O774,$O774),-$O774)))</f>
        <v/>
      </c>
      <c r="AB774" s="117">
        <f>IF($B774="","",IF(OR($D774="",$E774="",$O774=""),"EKSİK",IF($O774&lt;=0,"SIFIR/NEGATİF",IF(COUNTIFS($C$6:$C$5000,$C774,$O$6:$O$5000,$O774,$B$6:$B$5000,$B774)&gt;1,"MÜKERRER","OK"))))</f>
        <v/>
      </c>
    </row>
    <row r="775" ht="16.5" customHeight="1" s="80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7">
        <f>IF($B775="",0,IF($S775="EVET",IF($D775="GELİR",$O775,-$O775),0))</f>
        <v/>
      </c>
      <c r="AA775" s="117">
        <f>IF($B775="",0,IF(OR($W775="EVET",$X775="EVET",$Y775="EVET"),0,IF($D775="GELİR",IF($E775="SATIŞ İADESİ/İSKONTO",-$O775,$O775),-$O775)))</f>
        <v/>
      </c>
      <c r="AB775" s="117">
        <f>IF($B775="","",IF(OR($D775="",$E775="",$O775=""),"EKSİK",IF($O775&lt;=0,"SIFIR/NEGATİF",IF(COUNTIFS($C$6:$C$5000,$C775,$O$6:$O$5000,$O775,$B$6:$B$5000,$B775)&gt;1,"MÜKERRER","OK"))))</f>
        <v/>
      </c>
    </row>
    <row r="776" ht="16.5" customHeight="1" s="80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7">
        <f>IF($B776="",0,IF($S776="EVET",IF($D776="GELİR",$O776,-$O776),0))</f>
        <v/>
      </c>
      <c r="AA776" s="117">
        <f>IF($B776="",0,IF(OR($W776="EVET",$X776="EVET",$Y776="EVET"),0,IF($D776="GELİR",IF($E776="SATIŞ İADESİ/İSKONTO",-$O776,$O776),-$O776)))</f>
        <v/>
      </c>
      <c r="AB776" s="117">
        <f>IF($B776="","",IF(OR($D776="",$E776="",$O776=""),"EKSİK",IF($O776&lt;=0,"SIFIR/NEGATİF",IF(COUNTIFS($C$6:$C$5000,$C776,$O$6:$O$5000,$O776,$B$6:$B$5000,$B776)&gt;1,"MÜKERRER","OK"))))</f>
        <v/>
      </c>
    </row>
    <row r="777" ht="16.5" customHeight="1" s="80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7">
        <f>IF($B777="",0,IF($S777="EVET",IF($D777="GELİR",$O777,-$O777),0))</f>
        <v/>
      </c>
      <c r="AA777" s="117">
        <f>IF($B777="",0,IF(OR($W777="EVET",$X777="EVET",$Y777="EVET"),0,IF($D777="GELİR",IF($E777="SATIŞ İADESİ/İSKONTO",-$O777,$O777),-$O777)))</f>
        <v/>
      </c>
      <c r="AB777" s="117">
        <f>IF($B777="","",IF(OR($D777="",$E777="",$O777=""),"EKSİK",IF($O777&lt;=0,"SIFIR/NEGATİF",IF(COUNTIFS($C$6:$C$5000,$C777,$O$6:$O$5000,$O777,$B$6:$B$5000,$B777)&gt;1,"MÜKERRER","OK"))))</f>
        <v/>
      </c>
    </row>
    <row r="778" ht="16.5" customHeight="1" s="80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7">
        <f>IF($B778="",0,IF($S778="EVET",IF($D778="GELİR",$O778,-$O778),0))</f>
        <v/>
      </c>
      <c r="AA778" s="117">
        <f>IF($B778="",0,IF(OR($W778="EVET",$X778="EVET",$Y778="EVET"),0,IF($D778="GELİR",IF($E778="SATIŞ İADESİ/İSKONTO",-$O778,$O778),-$O778)))</f>
        <v/>
      </c>
      <c r="AB778" s="117">
        <f>IF($B778="","",IF(OR($D778="",$E778="",$O778=""),"EKSİK",IF($O778&lt;=0,"SIFIR/NEGATİF",IF(COUNTIFS($C$6:$C$5000,$C778,$O$6:$O$5000,$O778,$B$6:$B$5000,$B778)&gt;1,"MÜKERRER","OK"))))</f>
        <v/>
      </c>
    </row>
    <row r="779" ht="16.5" customHeight="1" s="80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7">
        <f>IF($B779="",0,IF($S779="EVET",IF($D779="GELİR",$O779,-$O779),0))</f>
        <v/>
      </c>
      <c r="AA779" s="117">
        <f>IF($B779="",0,IF(OR($W779="EVET",$X779="EVET",$Y779="EVET"),0,IF($D779="GELİR",IF($E779="SATIŞ İADESİ/İSKONTO",-$O779,$O779),-$O779)))</f>
        <v/>
      </c>
      <c r="AB779" s="117">
        <f>IF($B779="","",IF(OR($D779="",$E779="",$O779=""),"EKSİK",IF($O779&lt;=0,"SIFIR/NEGATİF",IF(COUNTIFS($C$6:$C$5000,$C779,$O$6:$O$5000,$O779,$B$6:$B$5000,$B779)&gt;1,"MÜKERRER","OK"))))</f>
        <v/>
      </c>
    </row>
    <row r="780" ht="16.5" customHeight="1" s="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7">
        <f>IF($B780="",0,IF($S780="EVET",IF($D780="GELİR",$O780,-$O780),0))</f>
        <v/>
      </c>
      <c r="AA780" s="117">
        <f>IF($B780="",0,IF(OR($W780="EVET",$X780="EVET",$Y780="EVET"),0,IF($D780="GELİR",IF($E780="SATIŞ İADESİ/İSKONTO",-$O780,$O780),-$O780)))</f>
        <v/>
      </c>
      <c r="AB780" s="117">
        <f>IF($B780="","",IF(OR($D780="",$E780="",$O780=""),"EKSİK",IF($O780&lt;=0,"SIFIR/NEGATİF",IF(COUNTIFS($C$6:$C$5000,$C780,$O$6:$O$5000,$O780,$B$6:$B$5000,$B780)&gt;1,"MÜKERRER","OK"))))</f>
        <v/>
      </c>
    </row>
    <row r="781" ht="16.5" customHeight="1" s="80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7">
        <f>IF($B781="",0,IF($S781="EVET",IF($D781="GELİR",$O781,-$O781),0))</f>
        <v/>
      </c>
      <c r="AA781" s="117">
        <f>IF($B781="",0,IF(OR($W781="EVET",$X781="EVET",$Y781="EVET"),0,IF($D781="GELİR",IF($E781="SATIŞ İADESİ/İSKONTO",-$O781,$O781),-$O781)))</f>
        <v/>
      </c>
      <c r="AB781" s="117">
        <f>IF($B781="","",IF(OR($D781="",$E781="",$O781=""),"EKSİK",IF($O781&lt;=0,"SIFIR/NEGATİF",IF(COUNTIFS($C$6:$C$5000,$C781,$O$6:$O$5000,$O781,$B$6:$B$5000,$B781)&gt;1,"MÜKERRER","OK"))))</f>
        <v/>
      </c>
    </row>
    <row r="782" ht="16.5" customHeight="1" s="80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7">
        <f>IF($B782="",0,IF($S782="EVET",IF($D782="GELİR",$O782,-$O782),0))</f>
        <v/>
      </c>
      <c r="AA782" s="117">
        <f>IF($B782="",0,IF(OR($W782="EVET",$X782="EVET",$Y782="EVET"),0,IF($D782="GELİR",IF($E782="SATIŞ İADESİ/İSKONTO",-$O782,$O782),-$O782)))</f>
        <v/>
      </c>
      <c r="AB782" s="117">
        <f>IF($B782="","",IF(OR($D782="",$E782="",$O782=""),"EKSİK",IF($O782&lt;=0,"SIFIR/NEGATİF",IF(COUNTIFS($C$6:$C$5000,$C782,$O$6:$O$5000,$O782,$B$6:$B$5000,$B782)&gt;1,"MÜKERRER","OK"))))</f>
        <v/>
      </c>
    </row>
    <row r="783" ht="16.5" customHeight="1" s="80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7">
        <f>IF($B783="",0,IF($S783="EVET",IF($D783="GELİR",$O783,-$O783),0))</f>
        <v/>
      </c>
      <c r="AA783" s="117">
        <f>IF($B783="",0,IF(OR($W783="EVET",$X783="EVET",$Y783="EVET"),0,IF($D783="GELİR",IF($E783="SATIŞ İADESİ/İSKONTO",-$O783,$O783),-$O783)))</f>
        <v/>
      </c>
      <c r="AB783" s="117">
        <f>IF($B783="","",IF(OR($D783="",$E783="",$O783=""),"EKSİK",IF($O783&lt;=0,"SIFIR/NEGATİF",IF(COUNTIFS($C$6:$C$5000,$C783,$O$6:$O$5000,$O783,$B$6:$B$5000,$B783)&gt;1,"MÜKERRER","OK"))))</f>
        <v/>
      </c>
    </row>
    <row r="784" ht="16.5" customHeight="1" s="80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7">
        <f>IF($B784="",0,IF($S784="EVET",IF($D784="GELİR",$O784,-$O784),0))</f>
        <v/>
      </c>
      <c r="AA784" s="117">
        <f>IF($B784="",0,IF(OR($W784="EVET",$X784="EVET",$Y784="EVET"),0,IF($D784="GELİR",IF($E784="SATIŞ İADESİ/İSKONTO",-$O784,$O784),-$O784)))</f>
        <v/>
      </c>
      <c r="AB784" s="117">
        <f>IF($B784="","",IF(OR($D784="",$E784="",$O784=""),"EKSİK",IF($O784&lt;=0,"SIFIR/NEGATİF",IF(COUNTIFS($C$6:$C$5000,$C784,$O$6:$O$5000,$O784,$B$6:$B$5000,$B784)&gt;1,"MÜKERRER","OK"))))</f>
        <v/>
      </c>
    </row>
    <row r="785" ht="16.5" customHeight="1" s="80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7">
        <f>IF($B785="",0,IF($S785="EVET",IF($D785="GELİR",$O785,-$O785),0))</f>
        <v/>
      </c>
      <c r="AA785" s="117">
        <f>IF($B785="",0,IF(OR($W785="EVET",$X785="EVET",$Y785="EVET"),0,IF($D785="GELİR",IF($E785="SATIŞ İADESİ/İSKONTO",-$O785,$O785),-$O785)))</f>
        <v/>
      </c>
      <c r="AB785" s="117">
        <f>IF($B785="","",IF(OR($D785="",$E785="",$O785=""),"EKSİK",IF($O785&lt;=0,"SIFIR/NEGATİF",IF(COUNTIFS($C$6:$C$5000,$C785,$O$6:$O$5000,$O785,$B$6:$B$5000,$B785)&gt;1,"MÜKERRER","OK"))))</f>
        <v/>
      </c>
    </row>
    <row r="786" ht="16.5" customHeight="1" s="80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7">
        <f>IF($B786="",0,IF($S786="EVET",IF($D786="GELİR",$O786,-$O786),0))</f>
        <v/>
      </c>
      <c r="AA786" s="117">
        <f>IF($B786="",0,IF(OR($W786="EVET",$X786="EVET",$Y786="EVET"),0,IF($D786="GELİR",IF($E786="SATIŞ İADESİ/İSKONTO",-$O786,$O786),-$O786)))</f>
        <v/>
      </c>
      <c r="AB786" s="117">
        <f>IF($B786="","",IF(OR($D786="",$E786="",$O786=""),"EKSİK",IF($O786&lt;=0,"SIFIR/NEGATİF",IF(COUNTIFS($C$6:$C$5000,$C786,$O$6:$O$5000,$O786,$B$6:$B$5000,$B786)&gt;1,"MÜKERRER","OK"))))</f>
        <v/>
      </c>
    </row>
    <row r="787" ht="16.5" customHeight="1" s="80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7">
        <f>IF($B787="",0,IF($S787="EVET",IF($D787="GELİR",$O787,-$O787),0))</f>
        <v/>
      </c>
      <c r="AA787" s="117">
        <f>IF($B787="",0,IF(OR($W787="EVET",$X787="EVET",$Y787="EVET"),0,IF($D787="GELİR",IF($E787="SATIŞ İADESİ/İSKONTO",-$O787,$O787),-$O787)))</f>
        <v/>
      </c>
      <c r="AB787" s="117">
        <f>IF($B787="","",IF(OR($D787="",$E787="",$O787=""),"EKSİK",IF($O787&lt;=0,"SIFIR/NEGATİF",IF(COUNTIFS($C$6:$C$5000,$C787,$O$6:$O$5000,$O787,$B$6:$B$5000,$B787)&gt;1,"MÜKERRER","OK"))))</f>
        <v/>
      </c>
    </row>
    <row r="788" ht="16.5" customHeight="1" s="80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7">
        <f>IF($B788="",0,IF($S788="EVET",IF($D788="GELİR",$O788,-$O788),0))</f>
        <v/>
      </c>
      <c r="AA788" s="117">
        <f>IF($B788="",0,IF(OR($W788="EVET",$X788="EVET",$Y788="EVET"),0,IF($D788="GELİR",IF($E788="SATIŞ İADESİ/İSKONTO",-$O788,$O788),-$O788)))</f>
        <v/>
      </c>
      <c r="AB788" s="117">
        <f>IF($B788="","",IF(OR($D788="",$E788="",$O788=""),"EKSİK",IF($O788&lt;=0,"SIFIR/NEGATİF",IF(COUNTIFS($C$6:$C$5000,$C788,$O$6:$O$5000,$O788,$B$6:$B$5000,$B788)&gt;1,"MÜKERRER","OK"))))</f>
        <v/>
      </c>
    </row>
    <row r="789" ht="16.5" customHeight="1" s="80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7">
        <f>IF($B789="",0,IF($S789="EVET",IF($D789="GELİR",$O789,-$O789),0))</f>
        <v/>
      </c>
      <c r="AA789" s="117">
        <f>IF($B789="",0,IF(OR($W789="EVET",$X789="EVET",$Y789="EVET"),0,IF($D789="GELİR",IF($E789="SATIŞ İADESİ/İSKONTO",-$O789,$O789),-$O789)))</f>
        <v/>
      </c>
      <c r="AB789" s="117">
        <f>IF($B789="","",IF(OR($D789="",$E789="",$O789=""),"EKSİK",IF($O789&lt;=0,"SIFIR/NEGATİF",IF(COUNTIFS($C$6:$C$5000,$C789,$O$6:$O$5000,$O789,$B$6:$B$5000,$B789)&gt;1,"MÜKERRER","OK"))))</f>
        <v/>
      </c>
    </row>
    <row r="790" ht="16.5" customHeight="1" s="8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7">
        <f>IF($B790="",0,IF($S790="EVET",IF($D790="GELİR",$O790,-$O790),0))</f>
        <v/>
      </c>
      <c r="AA790" s="117">
        <f>IF($B790="",0,IF(OR($W790="EVET",$X790="EVET",$Y790="EVET"),0,IF($D790="GELİR",IF($E790="SATIŞ İADESİ/İSKONTO",-$O790,$O790),-$O790)))</f>
        <v/>
      </c>
      <c r="AB790" s="117">
        <f>IF($B790="","",IF(OR($D790="",$E790="",$O790=""),"EKSİK",IF($O790&lt;=0,"SIFIR/NEGATİF",IF(COUNTIFS($C$6:$C$5000,$C790,$O$6:$O$5000,$O790,$B$6:$B$5000,$B790)&gt;1,"MÜKERRER","OK"))))</f>
        <v/>
      </c>
    </row>
    <row r="791" ht="16.5" customHeight="1" s="80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7">
        <f>IF($B791="",0,IF($S791="EVET",IF($D791="GELİR",$O791,-$O791),0))</f>
        <v/>
      </c>
      <c r="AA791" s="117">
        <f>IF($B791="",0,IF(OR($W791="EVET",$X791="EVET",$Y791="EVET"),0,IF($D791="GELİR",IF($E791="SATIŞ İADESİ/İSKONTO",-$O791,$O791),-$O791)))</f>
        <v/>
      </c>
      <c r="AB791" s="117">
        <f>IF($B791="","",IF(OR($D791="",$E791="",$O791=""),"EKSİK",IF($O791&lt;=0,"SIFIR/NEGATİF",IF(COUNTIFS($C$6:$C$5000,$C791,$O$6:$O$5000,$O791,$B$6:$B$5000,$B791)&gt;1,"MÜKERRER","OK"))))</f>
        <v/>
      </c>
    </row>
    <row r="792" ht="16.5" customHeight="1" s="80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7">
        <f>IF($B792="",0,IF($S792="EVET",IF($D792="GELİR",$O792,-$O792),0))</f>
        <v/>
      </c>
      <c r="AA792" s="117">
        <f>IF($B792="",0,IF(OR($W792="EVET",$X792="EVET",$Y792="EVET"),0,IF($D792="GELİR",IF($E792="SATIŞ İADESİ/İSKONTO",-$O792,$O792),-$O792)))</f>
        <v/>
      </c>
      <c r="AB792" s="117">
        <f>IF($B792="","",IF(OR($D792="",$E792="",$O792=""),"EKSİK",IF($O792&lt;=0,"SIFIR/NEGATİF",IF(COUNTIFS($C$6:$C$5000,$C792,$O$6:$O$5000,$O792,$B$6:$B$5000,$B792)&gt;1,"MÜKERRER","OK"))))</f>
        <v/>
      </c>
    </row>
    <row r="793" ht="16.5" customHeight="1" s="80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7">
        <f>IF($B793="",0,IF($S793="EVET",IF($D793="GELİR",$O793,-$O793),0))</f>
        <v/>
      </c>
      <c r="AA793" s="117">
        <f>IF($B793="",0,IF(OR($W793="EVET",$X793="EVET",$Y793="EVET"),0,IF($D793="GELİR",IF($E793="SATIŞ İADESİ/İSKONTO",-$O793,$O793),-$O793)))</f>
        <v/>
      </c>
      <c r="AB793" s="117">
        <f>IF($B793="","",IF(OR($D793="",$E793="",$O793=""),"EKSİK",IF($O793&lt;=0,"SIFIR/NEGATİF",IF(COUNTIFS($C$6:$C$5000,$C793,$O$6:$O$5000,$O793,$B$6:$B$5000,$B793)&gt;1,"MÜKERRER","OK"))))</f>
        <v/>
      </c>
    </row>
    <row r="794" ht="16.5" customHeight="1" s="80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7">
        <f>IF($B794="",0,IF($S794="EVET",IF($D794="GELİR",$O794,-$O794),0))</f>
        <v/>
      </c>
      <c r="AA794" s="117">
        <f>IF($B794="",0,IF(OR($W794="EVET",$X794="EVET",$Y794="EVET"),0,IF($D794="GELİR",IF($E794="SATIŞ İADESİ/İSKONTO",-$O794,$O794),-$O794)))</f>
        <v/>
      </c>
      <c r="AB794" s="117">
        <f>IF($B794="","",IF(OR($D794="",$E794="",$O794=""),"EKSİK",IF($O794&lt;=0,"SIFIR/NEGATİF",IF(COUNTIFS($C$6:$C$5000,$C794,$O$6:$O$5000,$O794,$B$6:$B$5000,$B794)&gt;1,"MÜKERRER","OK"))))</f>
        <v/>
      </c>
    </row>
    <row r="795" ht="16.5" customHeight="1" s="80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7">
        <f>IF($B795="",0,IF($S795="EVET",IF($D795="GELİR",$O795,-$O795),0))</f>
        <v/>
      </c>
      <c r="AA795" s="117">
        <f>IF($B795="",0,IF(OR($W795="EVET",$X795="EVET",$Y795="EVET"),0,IF($D795="GELİR",IF($E795="SATIŞ İADESİ/İSKONTO",-$O795,$O795),-$O795)))</f>
        <v/>
      </c>
      <c r="AB795" s="117">
        <f>IF($B795="","",IF(OR($D795="",$E795="",$O795=""),"EKSİK",IF($O795&lt;=0,"SIFIR/NEGATİF",IF(COUNTIFS($C$6:$C$5000,$C795,$O$6:$O$5000,$O795,$B$6:$B$5000,$B795)&gt;1,"MÜKERRER","OK"))))</f>
        <v/>
      </c>
    </row>
    <row r="796" ht="16.5" customHeight="1" s="80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7">
        <f>IF($B796="",0,IF($S796="EVET",IF($D796="GELİR",$O796,-$O796),0))</f>
        <v/>
      </c>
      <c r="AA796" s="117">
        <f>IF($B796="",0,IF(OR($W796="EVET",$X796="EVET",$Y796="EVET"),0,IF($D796="GELİR",IF($E796="SATIŞ İADESİ/İSKONTO",-$O796,$O796),-$O796)))</f>
        <v/>
      </c>
      <c r="AB796" s="117">
        <f>IF($B796="","",IF(OR($D796="",$E796="",$O796=""),"EKSİK",IF($O796&lt;=0,"SIFIR/NEGATİF",IF(COUNTIFS($C$6:$C$5000,$C796,$O$6:$O$5000,$O796,$B$6:$B$5000,$B796)&gt;1,"MÜKERRER","OK"))))</f>
        <v/>
      </c>
    </row>
    <row r="797" ht="16.5" customHeight="1" s="80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7">
        <f>IF($B797="",0,IF($S797="EVET",IF($D797="GELİR",$O797,-$O797),0))</f>
        <v/>
      </c>
      <c r="AA797" s="117">
        <f>IF($B797="",0,IF(OR($W797="EVET",$X797="EVET",$Y797="EVET"),0,IF($D797="GELİR",IF($E797="SATIŞ İADESİ/İSKONTO",-$O797,$O797),-$O797)))</f>
        <v/>
      </c>
      <c r="AB797" s="117">
        <f>IF($B797="","",IF(OR($D797="",$E797="",$O797=""),"EKSİK",IF($O797&lt;=0,"SIFIR/NEGATİF",IF(COUNTIFS($C$6:$C$5000,$C797,$O$6:$O$5000,$O797,$B$6:$B$5000,$B797)&gt;1,"MÜKERRER","OK"))))</f>
        <v/>
      </c>
    </row>
    <row r="798" ht="16.5" customHeight="1" s="80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7">
        <f>IF($B798="",0,IF($S798="EVET",IF($D798="GELİR",$O798,-$O798),0))</f>
        <v/>
      </c>
      <c r="AA798" s="117">
        <f>IF($B798="",0,IF(OR($W798="EVET",$X798="EVET",$Y798="EVET"),0,IF($D798="GELİR",IF($E798="SATIŞ İADESİ/İSKONTO",-$O798,$O798),-$O798)))</f>
        <v/>
      </c>
      <c r="AB798" s="117">
        <f>IF($B798="","",IF(OR($D798="",$E798="",$O798=""),"EKSİK",IF($O798&lt;=0,"SIFIR/NEGATİF",IF(COUNTIFS($C$6:$C$5000,$C798,$O$6:$O$5000,$O798,$B$6:$B$5000,$B798)&gt;1,"MÜKERRER","OK"))))</f>
        <v/>
      </c>
    </row>
    <row r="799" ht="16.5" customHeight="1" s="80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7">
        <f>IF($B799="",0,IF($S799="EVET",IF($D799="GELİR",$O799,-$O799),0))</f>
        <v/>
      </c>
      <c r="AA799" s="117">
        <f>IF($B799="",0,IF(OR($W799="EVET",$X799="EVET",$Y799="EVET"),0,IF($D799="GELİR",IF($E799="SATIŞ İADESİ/İSKONTO",-$O799,$O799),-$O799)))</f>
        <v/>
      </c>
      <c r="AB799" s="117">
        <f>IF($B799="","",IF(OR($D799="",$E799="",$O799=""),"EKSİK",IF($O799&lt;=0,"SIFIR/NEGATİF",IF(COUNTIFS($C$6:$C$5000,$C799,$O$6:$O$5000,$O799,$B$6:$B$5000,$B799)&gt;1,"MÜKERRER","OK"))))</f>
        <v/>
      </c>
    </row>
    <row r="800" ht="16.5" customHeight="1" s="8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7">
        <f>IF($B800="",0,IF($S800="EVET",IF($D800="GELİR",$O800,-$O800),0))</f>
        <v/>
      </c>
      <c r="AA800" s="117">
        <f>IF($B800="",0,IF(OR($W800="EVET",$X800="EVET",$Y800="EVET"),0,IF($D800="GELİR",IF($E800="SATIŞ İADESİ/İSKONTO",-$O800,$O800),-$O800)))</f>
        <v/>
      </c>
      <c r="AB800" s="117">
        <f>IF($B800="","",IF(OR($D800="",$E800="",$O800=""),"EKSİK",IF($O800&lt;=0,"SIFIR/NEGATİF",IF(COUNTIFS($C$6:$C$5000,$C800,$O$6:$O$5000,$O800,$B$6:$B$5000,$B800)&gt;1,"MÜKERRER","OK"))))</f>
        <v/>
      </c>
    </row>
    <row r="801" ht="16.5" customHeight="1" s="80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7">
        <f>IF($B801="",0,IF($S801="EVET",IF($D801="GELİR",$O801,-$O801),0))</f>
        <v/>
      </c>
      <c r="AA801" s="117">
        <f>IF($B801="",0,IF(OR($W801="EVET",$X801="EVET",$Y801="EVET"),0,IF($D801="GELİR",IF($E801="SATIŞ İADESİ/İSKONTO",-$O801,$O801),-$O801)))</f>
        <v/>
      </c>
      <c r="AB801" s="117">
        <f>IF($B801="","",IF(OR($D801="",$E801="",$O801=""),"EKSİK",IF($O801&lt;=0,"SIFIR/NEGATİF",IF(COUNTIFS($C$6:$C$5000,$C801,$O$6:$O$5000,$O801,$B$6:$B$5000,$B801)&gt;1,"MÜKERRER","OK"))))</f>
        <v/>
      </c>
    </row>
    <row r="802" ht="16.5" customHeight="1" s="80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7">
        <f>IF($B802="",0,IF($S802="EVET",IF($D802="GELİR",$O802,-$O802),0))</f>
        <v/>
      </c>
      <c r="AA802" s="117">
        <f>IF($B802="",0,IF(OR($W802="EVET",$X802="EVET",$Y802="EVET"),0,IF($D802="GELİR",IF($E802="SATIŞ İADESİ/İSKONTO",-$O802,$O802),-$O802)))</f>
        <v/>
      </c>
      <c r="AB802" s="117">
        <f>IF($B802="","",IF(OR($D802="",$E802="",$O802=""),"EKSİK",IF($O802&lt;=0,"SIFIR/NEGATİF",IF(COUNTIFS($C$6:$C$5000,$C802,$O$6:$O$5000,$O802,$B$6:$B$5000,$B802)&gt;1,"MÜKERRER","OK"))))</f>
        <v/>
      </c>
    </row>
    <row r="803" ht="16.5" customHeight="1" s="80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7">
        <f>IF($B803="",0,IF($S803="EVET",IF($D803="GELİR",$O803,-$O803),0))</f>
        <v/>
      </c>
      <c r="AA803" s="117">
        <f>IF($B803="",0,IF(OR($W803="EVET",$X803="EVET",$Y803="EVET"),0,IF($D803="GELİR",IF($E803="SATIŞ İADESİ/İSKONTO",-$O803,$O803),-$O803)))</f>
        <v/>
      </c>
      <c r="AB803" s="117">
        <f>IF($B803="","",IF(OR($D803="",$E803="",$O803=""),"EKSİK",IF($O803&lt;=0,"SIFIR/NEGATİF",IF(COUNTIFS($C$6:$C$5000,$C803,$O$6:$O$5000,$O803,$B$6:$B$5000,$B803)&gt;1,"MÜKERRER","OK"))))</f>
        <v/>
      </c>
    </row>
    <row r="804" ht="16.5" customHeight="1" s="80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7">
        <f>IF($B804="",0,IF($S804="EVET",IF($D804="GELİR",$O804,-$O804),0))</f>
        <v/>
      </c>
      <c r="AA804" s="117">
        <f>IF($B804="",0,IF(OR($W804="EVET",$X804="EVET",$Y804="EVET"),0,IF($D804="GELİR",IF($E804="SATIŞ İADESİ/İSKONTO",-$O804,$O804),-$O804)))</f>
        <v/>
      </c>
      <c r="AB804" s="117">
        <f>IF($B804="","",IF(OR($D804="",$E804="",$O804=""),"EKSİK",IF($O804&lt;=0,"SIFIR/NEGATİF",IF(COUNTIFS($C$6:$C$5000,$C804,$O$6:$O$5000,$O804,$B$6:$B$5000,$B804)&gt;1,"MÜKERRER","OK"))))</f>
        <v/>
      </c>
    </row>
    <row r="805" ht="16.5" customHeight="1" s="80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7">
        <f>IF($B805="",0,IF($S805="EVET",IF($D805="GELİR",$O805,-$O805),0))</f>
        <v/>
      </c>
      <c r="AA805" s="117">
        <f>IF($B805="",0,IF(OR($W805="EVET",$X805="EVET",$Y805="EVET"),0,IF($D805="GELİR",IF($E805="SATIŞ İADESİ/İSKONTO",-$O805,$O805),-$O805)))</f>
        <v/>
      </c>
      <c r="AB805" s="117">
        <f>IF($B805="","",IF(OR($D805="",$E805="",$O805=""),"EKSİK",IF($O805&lt;=0,"SIFIR/NEGATİF",IF(COUNTIFS($C$6:$C$5000,$C805,$O$6:$O$5000,$O805,$B$6:$B$5000,$B805)&gt;1,"MÜKERRER","OK"))))</f>
        <v/>
      </c>
    </row>
    <row r="806" ht="16.5" customHeight="1" s="80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7">
        <f>IF($B806="",0,IF($S806="EVET",IF($D806="GELİR",$O806,-$O806),0))</f>
        <v/>
      </c>
      <c r="AA806" s="117">
        <f>IF($B806="",0,IF(OR($W806="EVET",$X806="EVET",$Y806="EVET"),0,IF($D806="GELİR",IF($E806="SATIŞ İADESİ/İSKONTO",-$O806,$O806),-$O806)))</f>
        <v/>
      </c>
      <c r="AB806" s="117">
        <f>IF($B806="","",IF(OR($D806="",$E806="",$O806=""),"EKSİK",IF($O806&lt;=0,"SIFIR/NEGATİF",IF(COUNTIFS($C$6:$C$5000,$C806,$O$6:$O$5000,$O806,$B$6:$B$5000,$B806)&gt;1,"MÜKERRER","OK"))))</f>
        <v/>
      </c>
    </row>
    <row r="807" ht="16.5" customHeight="1" s="80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7">
        <f>IF($B807="",0,IF($S807="EVET",IF($D807="GELİR",$O807,-$O807),0))</f>
        <v/>
      </c>
      <c r="AA807" s="117">
        <f>IF($B807="",0,IF(OR($W807="EVET",$X807="EVET",$Y807="EVET"),0,IF($D807="GELİR",IF($E807="SATIŞ İADESİ/İSKONTO",-$O807,$O807),-$O807)))</f>
        <v/>
      </c>
      <c r="AB807" s="117">
        <f>IF($B807="","",IF(OR($D807="",$E807="",$O807=""),"EKSİK",IF($O807&lt;=0,"SIFIR/NEGATİF",IF(COUNTIFS($C$6:$C$5000,$C807,$O$6:$O$5000,$O807,$B$6:$B$5000,$B807)&gt;1,"MÜKERRER","OK"))))</f>
        <v/>
      </c>
    </row>
    <row r="808" ht="16.5" customHeight="1" s="80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7">
        <f>IF($B808="",0,IF($S808="EVET",IF($D808="GELİR",$O808,-$O808),0))</f>
        <v/>
      </c>
      <c r="AA808" s="117">
        <f>IF($B808="",0,IF(OR($W808="EVET",$X808="EVET",$Y808="EVET"),0,IF($D808="GELİR",IF($E808="SATIŞ İADESİ/İSKONTO",-$O808,$O808),-$O808)))</f>
        <v/>
      </c>
      <c r="AB808" s="117">
        <f>IF($B808="","",IF(OR($D808="",$E808="",$O808=""),"EKSİK",IF($O808&lt;=0,"SIFIR/NEGATİF",IF(COUNTIFS($C$6:$C$5000,$C808,$O$6:$O$5000,$O808,$B$6:$B$5000,$B808)&gt;1,"MÜKERRER","OK"))))</f>
        <v/>
      </c>
    </row>
    <row r="809" ht="16.5" customHeight="1" s="80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7">
        <f>IF($B809="",0,IF($S809="EVET",IF($D809="GELİR",$O809,-$O809),0))</f>
        <v/>
      </c>
      <c r="AA809" s="117">
        <f>IF($B809="",0,IF(OR($W809="EVET",$X809="EVET",$Y809="EVET"),0,IF($D809="GELİR",IF($E809="SATIŞ İADESİ/İSKONTO",-$O809,$O809),-$O809)))</f>
        <v/>
      </c>
      <c r="AB809" s="117">
        <f>IF($B809="","",IF(OR($D809="",$E809="",$O809=""),"EKSİK",IF($O809&lt;=0,"SIFIR/NEGATİF",IF(COUNTIFS($C$6:$C$5000,$C809,$O$6:$O$5000,$O809,$B$6:$B$5000,$B809)&gt;1,"MÜKERRER","OK"))))</f>
        <v/>
      </c>
    </row>
    <row r="810" ht="16.5" customHeight="1" s="8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7">
        <f>IF($B810="",0,IF($S810="EVET",IF($D810="GELİR",$O810,-$O810),0))</f>
        <v/>
      </c>
      <c r="AA810" s="117">
        <f>IF($B810="",0,IF(OR($W810="EVET",$X810="EVET",$Y810="EVET"),0,IF($D810="GELİR",IF($E810="SATIŞ İADESİ/İSKONTO",-$O810,$O810),-$O810)))</f>
        <v/>
      </c>
      <c r="AB810" s="117">
        <f>IF($B810="","",IF(OR($D810="",$E810="",$O810=""),"EKSİK",IF($O810&lt;=0,"SIFIR/NEGATİF",IF(COUNTIFS($C$6:$C$5000,$C810,$O$6:$O$5000,$O810,$B$6:$B$5000,$B810)&gt;1,"MÜKERRER","OK"))))</f>
        <v/>
      </c>
    </row>
    <row r="811" ht="16.5" customHeight="1" s="80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7">
        <f>IF($B811="",0,IF($S811="EVET",IF($D811="GELİR",$O811,-$O811),0))</f>
        <v/>
      </c>
      <c r="AA811" s="117">
        <f>IF($B811="",0,IF(OR($W811="EVET",$X811="EVET",$Y811="EVET"),0,IF($D811="GELİR",IF($E811="SATIŞ İADESİ/İSKONTO",-$O811,$O811),-$O811)))</f>
        <v/>
      </c>
      <c r="AB811" s="117">
        <f>IF($B811="","",IF(OR($D811="",$E811="",$O811=""),"EKSİK",IF($O811&lt;=0,"SIFIR/NEGATİF",IF(COUNTIFS($C$6:$C$5000,$C811,$O$6:$O$5000,$O811,$B$6:$B$5000,$B811)&gt;1,"MÜKERRER","OK"))))</f>
        <v/>
      </c>
    </row>
    <row r="812" ht="16.5" customHeight="1" s="80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7">
        <f>IF($B812="",0,IF($S812="EVET",IF($D812="GELİR",$O812,-$O812),0))</f>
        <v/>
      </c>
      <c r="AA812" s="117">
        <f>IF($B812="",0,IF(OR($W812="EVET",$X812="EVET",$Y812="EVET"),0,IF($D812="GELİR",IF($E812="SATIŞ İADESİ/İSKONTO",-$O812,$O812),-$O812)))</f>
        <v/>
      </c>
      <c r="AB812" s="117">
        <f>IF($B812="","",IF(OR($D812="",$E812="",$O812=""),"EKSİK",IF($O812&lt;=0,"SIFIR/NEGATİF",IF(COUNTIFS($C$6:$C$5000,$C812,$O$6:$O$5000,$O812,$B$6:$B$5000,$B812)&gt;1,"MÜKERRER","OK"))))</f>
        <v/>
      </c>
    </row>
    <row r="813" ht="16.5" customHeight="1" s="80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7">
        <f>IF($B813="",0,IF($S813="EVET",IF($D813="GELİR",$O813,-$O813),0))</f>
        <v/>
      </c>
      <c r="AA813" s="117">
        <f>IF($B813="",0,IF(OR($W813="EVET",$X813="EVET",$Y813="EVET"),0,IF($D813="GELİR",IF($E813="SATIŞ İADESİ/İSKONTO",-$O813,$O813),-$O813)))</f>
        <v/>
      </c>
      <c r="AB813" s="117">
        <f>IF($B813="","",IF(OR($D813="",$E813="",$O813=""),"EKSİK",IF($O813&lt;=0,"SIFIR/NEGATİF",IF(COUNTIFS($C$6:$C$5000,$C813,$O$6:$O$5000,$O813,$B$6:$B$5000,$B813)&gt;1,"MÜKERRER","OK"))))</f>
        <v/>
      </c>
    </row>
    <row r="814" ht="16.5" customHeight="1" s="80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7">
        <f>IF($B814="",0,IF($S814="EVET",IF($D814="GELİR",$O814,-$O814),0))</f>
        <v/>
      </c>
      <c r="AA814" s="117">
        <f>IF($B814="",0,IF(OR($W814="EVET",$X814="EVET",$Y814="EVET"),0,IF($D814="GELİR",IF($E814="SATIŞ İADESİ/İSKONTO",-$O814,$O814),-$O814)))</f>
        <v/>
      </c>
      <c r="AB814" s="117">
        <f>IF($B814="","",IF(OR($D814="",$E814="",$O814=""),"EKSİK",IF($O814&lt;=0,"SIFIR/NEGATİF",IF(COUNTIFS($C$6:$C$5000,$C814,$O$6:$O$5000,$O814,$B$6:$B$5000,$B814)&gt;1,"MÜKERRER","OK"))))</f>
        <v/>
      </c>
    </row>
    <row r="815" ht="16.5" customHeight="1" s="80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7">
        <f>IF($B815="",0,IF($S815="EVET",IF($D815="GELİR",$O815,-$O815),0))</f>
        <v/>
      </c>
      <c r="AA815" s="117">
        <f>IF($B815="",0,IF(OR($W815="EVET",$X815="EVET",$Y815="EVET"),0,IF($D815="GELİR",IF($E815="SATIŞ İADESİ/İSKONTO",-$O815,$O815),-$O815)))</f>
        <v/>
      </c>
      <c r="AB815" s="117">
        <f>IF($B815="","",IF(OR($D815="",$E815="",$O815=""),"EKSİK",IF($O815&lt;=0,"SIFIR/NEGATİF",IF(COUNTIFS($C$6:$C$5000,$C815,$O$6:$O$5000,$O815,$B$6:$B$5000,$B815)&gt;1,"MÜKERRER","OK"))))</f>
        <v/>
      </c>
    </row>
    <row r="816" ht="16.5" customHeight="1" s="80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7">
        <f>IF($B816="",0,IF($S816="EVET",IF($D816="GELİR",$O816,-$O816),0))</f>
        <v/>
      </c>
      <c r="AA816" s="117">
        <f>IF($B816="",0,IF(OR($W816="EVET",$X816="EVET",$Y816="EVET"),0,IF($D816="GELİR",IF($E816="SATIŞ İADESİ/İSKONTO",-$O816,$O816),-$O816)))</f>
        <v/>
      </c>
      <c r="AB816" s="117">
        <f>IF($B816="","",IF(OR($D816="",$E816="",$O816=""),"EKSİK",IF($O816&lt;=0,"SIFIR/NEGATİF",IF(COUNTIFS($C$6:$C$5000,$C816,$O$6:$O$5000,$O816,$B$6:$B$5000,$B816)&gt;1,"MÜKERRER","OK"))))</f>
        <v/>
      </c>
    </row>
    <row r="817" ht="16.5" customHeight="1" s="80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7">
        <f>IF($B817="",0,IF($S817="EVET",IF($D817="GELİR",$O817,-$O817),0))</f>
        <v/>
      </c>
      <c r="AA817" s="117">
        <f>IF($B817="",0,IF(OR($W817="EVET",$X817="EVET",$Y817="EVET"),0,IF($D817="GELİR",IF($E817="SATIŞ İADESİ/İSKONTO",-$O817,$O817),-$O817)))</f>
        <v/>
      </c>
      <c r="AB817" s="117">
        <f>IF($B817="","",IF(OR($D817="",$E817="",$O817=""),"EKSİK",IF($O817&lt;=0,"SIFIR/NEGATİF",IF(COUNTIFS($C$6:$C$5000,$C817,$O$6:$O$5000,$O817,$B$6:$B$5000,$B817)&gt;1,"MÜKERRER","OK"))))</f>
        <v/>
      </c>
    </row>
    <row r="818" ht="16.5" customHeight="1" s="80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7">
        <f>IF($B818="",0,IF($S818="EVET",IF($D818="GELİR",$O818,-$O818),0))</f>
        <v/>
      </c>
      <c r="AA818" s="117">
        <f>IF($B818="",0,IF(OR($W818="EVET",$X818="EVET",$Y818="EVET"),0,IF($D818="GELİR",IF($E818="SATIŞ İADESİ/İSKONTO",-$O818,$O818),-$O818)))</f>
        <v/>
      </c>
      <c r="AB818" s="117">
        <f>IF($B818="","",IF(OR($D818="",$E818="",$O818=""),"EKSİK",IF($O818&lt;=0,"SIFIR/NEGATİF",IF(COUNTIFS($C$6:$C$5000,$C818,$O$6:$O$5000,$O818,$B$6:$B$5000,$B818)&gt;1,"MÜKERRER","OK"))))</f>
        <v/>
      </c>
    </row>
    <row r="819" ht="16.5" customHeight="1" s="80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7">
        <f>IF($B819="",0,IF($S819="EVET",IF($D819="GELİR",$O819,-$O819),0))</f>
        <v/>
      </c>
      <c r="AA819" s="117">
        <f>IF($B819="",0,IF(OR($W819="EVET",$X819="EVET",$Y819="EVET"),0,IF($D819="GELİR",IF($E819="SATIŞ İADESİ/İSKONTO",-$O819,$O819),-$O819)))</f>
        <v/>
      </c>
      <c r="AB819" s="117">
        <f>IF($B819="","",IF(OR($D819="",$E819="",$O819=""),"EKSİK",IF($O819&lt;=0,"SIFIR/NEGATİF",IF(COUNTIFS($C$6:$C$5000,$C819,$O$6:$O$5000,$O819,$B$6:$B$5000,$B819)&gt;1,"MÜKERRER","OK"))))</f>
        <v/>
      </c>
    </row>
    <row r="820" ht="16.5" customHeight="1" s="8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7">
        <f>IF($B820="",0,IF($S820="EVET",IF($D820="GELİR",$O820,-$O820),0))</f>
        <v/>
      </c>
      <c r="AA820" s="117">
        <f>IF($B820="",0,IF(OR($W820="EVET",$X820="EVET",$Y820="EVET"),0,IF($D820="GELİR",IF($E820="SATIŞ İADESİ/İSKONTO",-$O820,$O820),-$O820)))</f>
        <v/>
      </c>
      <c r="AB820" s="117">
        <f>IF($B820="","",IF(OR($D820="",$E820="",$O820=""),"EKSİK",IF($O820&lt;=0,"SIFIR/NEGATİF",IF(COUNTIFS($C$6:$C$5000,$C820,$O$6:$O$5000,$O820,$B$6:$B$5000,$B820)&gt;1,"MÜKERRER","OK"))))</f>
        <v/>
      </c>
    </row>
    <row r="821" ht="16.5" customHeight="1" s="80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7">
        <f>IF($B821="",0,IF($S821="EVET",IF($D821="GELİR",$O821,-$O821),0))</f>
        <v/>
      </c>
      <c r="AA821" s="117">
        <f>IF($B821="",0,IF(OR($W821="EVET",$X821="EVET",$Y821="EVET"),0,IF($D821="GELİR",IF($E821="SATIŞ İADESİ/İSKONTO",-$O821,$O821),-$O821)))</f>
        <v/>
      </c>
      <c r="AB821" s="117">
        <f>IF($B821="","",IF(OR($D821="",$E821="",$O821=""),"EKSİK",IF($O821&lt;=0,"SIFIR/NEGATİF",IF(COUNTIFS($C$6:$C$5000,$C821,$O$6:$O$5000,$O821,$B$6:$B$5000,$B821)&gt;1,"MÜKERRER","OK"))))</f>
        <v/>
      </c>
    </row>
    <row r="822" ht="16.5" customHeight="1" s="80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7">
        <f>IF($B822="",0,IF($S822="EVET",IF($D822="GELİR",$O822,-$O822),0))</f>
        <v/>
      </c>
      <c r="AA822" s="117">
        <f>IF($B822="",0,IF(OR($W822="EVET",$X822="EVET",$Y822="EVET"),0,IF($D822="GELİR",IF($E822="SATIŞ İADESİ/İSKONTO",-$O822,$O822),-$O822)))</f>
        <v/>
      </c>
      <c r="AB822" s="117">
        <f>IF($B822="","",IF(OR($D822="",$E822="",$O822=""),"EKSİK",IF($O822&lt;=0,"SIFIR/NEGATİF",IF(COUNTIFS($C$6:$C$5000,$C822,$O$6:$O$5000,$O822,$B$6:$B$5000,$B822)&gt;1,"MÜKERRER","OK"))))</f>
        <v/>
      </c>
    </row>
    <row r="823" ht="16.5" customHeight="1" s="80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7">
        <f>IF($B823="",0,IF($S823="EVET",IF($D823="GELİR",$O823,-$O823),0))</f>
        <v/>
      </c>
      <c r="AA823" s="117">
        <f>IF($B823="",0,IF(OR($W823="EVET",$X823="EVET",$Y823="EVET"),0,IF($D823="GELİR",IF($E823="SATIŞ İADESİ/İSKONTO",-$O823,$O823),-$O823)))</f>
        <v/>
      </c>
      <c r="AB823" s="117">
        <f>IF($B823="","",IF(OR($D823="",$E823="",$O823=""),"EKSİK",IF($O823&lt;=0,"SIFIR/NEGATİF",IF(COUNTIFS($C$6:$C$5000,$C823,$O$6:$O$5000,$O823,$B$6:$B$5000,$B823)&gt;1,"MÜKERRER","OK"))))</f>
        <v/>
      </c>
    </row>
    <row r="824" ht="16.5" customHeight="1" s="80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7">
        <f>IF($B824="",0,IF($S824="EVET",IF($D824="GELİR",$O824,-$O824),0))</f>
        <v/>
      </c>
      <c r="AA824" s="117">
        <f>IF($B824="",0,IF(OR($W824="EVET",$X824="EVET",$Y824="EVET"),0,IF($D824="GELİR",IF($E824="SATIŞ İADESİ/İSKONTO",-$O824,$O824),-$O824)))</f>
        <v/>
      </c>
      <c r="AB824" s="117">
        <f>IF($B824="","",IF(OR($D824="",$E824="",$O824=""),"EKSİK",IF($O824&lt;=0,"SIFIR/NEGATİF",IF(COUNTIFS($C$6:$C$5000,$C824,$O$6:$O$5000,$O824,$B$6:$B$5000,$B824)&gt;1,"MÜKERRER","OK"))))</f>
        <v/>
      </c>
    </row>
    <row r="825" ht="16.5" customHeight="1" s="80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7">
        <f>IF($B825="",0,IF($S825="EVET",IF($D825="GELİR",$O825,-$O825),0))</f>
        <v/>
      </c>
      <c r="AA825" s="117">
        <f>IF($B825="",0,IF(OR($W825="EVET",$X825="EVET",$Y825="EVET"),0,IF($D825="GELİR",IF($E825="SATIŞ İADESİ/İSKONTO",-$O825,$O825),-$O825)))</f>
        <v/>
      </c>
      <c r="AB825" s="117">
        <f>IF($B825="","",IF(OR($D825="",$E825="",$O825=""),"EKSİK",IF($O825&lt;=0,"SIFIR/NEGATİF",IF(COUNTIFS($C$6:$C$5000,$C825,$O$6:$O$5000,$O825,$B$6:$B$5000,$B825)&gt;1,"MÜKERRER","OK"))))</f>
        <v/>
      </c>
    </row>
    <row r="826" ht="16.5" customHeight="1" s="80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7">
        <f>IF($B826="",0,IF($S826="EVET",IF($D826="GELİR",$O826,-$O826),0))</f>
        <v/>
      </c>
      <c r="AA826" s="117">
        <f>IF($B826="",0,IF(OR($W826="EVET",$X826="EVET",$Y826="EVET"),0,IF($D826="GELİR",IF($E826="SATIŞ İADESİ/İSKONTO",-$O826,$O826),-$O826)))</f>
        <v/>
      </c>
      <c r="AB826" s="117">
        <f>IF($B826="","",IF(OR($D826="",$E826="",$O826=""),"EKSİK",IF($O826&lt;=0,"SIFIR/NEGATİF",IF(COUNTIFS($C$6:$C$5000,$C826,$O$6:$O$5000,$O826,$B$6:$B$5000,$B826)&gt;1,"MÜKERRER","OK"))))</f>
        <v/>
      </c>
    </row>
    <row r="827" ht="16.5" customHeight="1" s="80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7">
        <f>IF($B827="",0,IF($S827="EVET",IF($D827="GELİR",$O827,-$O827),0))</f>
        <v/>
      </c>
      <c r="AA827" s="117">
        <f>IF($B827="",0,IF(OR($W827="EVET",$X827="EVET",$Y827="EVET"),0,IF($D827="GELİR",IF($E827="SATIŞ İADESİ/İSKONTO",-$O827,$O827),-$O827)))</f>
        <v/>
      </c>
      <c r="AB827" s="117">
        <f>IF($B827="","",IF(OR($D827="",$E827="",$O827=""),"EKSİK",IF($O827&lt;=0,"SIFIR/NEGATİF",IF(COUNTIFS($C$6:$C$5000,$C827,$O$6:$O$5000,$O827,$B$6:$B$5000,$B827)&gt;1,"MÜKERRER","OK"))))</f>
        <v/>
      </c>
    </row>
    <row r="828" ht="16.5" customHeight="1" s="80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7">
        <f>IF($B828="",0,IF($S828="EVET",IF($D828="GELİR",$O828,-$O828),0))</f>
        <v/>
      </c>
      <c r="AA828" s="117">
        <f>IF($B828="",0,IF(OR($W828="EVET",$X828="EVET",$Y828="EVET"),0,IF($D828="GELİR",IF($E828="SATIŞ İADESİ/İSKONTO",-$O828,$O828),-$O828)))</f>
        <v/>
      </c>
      <c r="AB828" s="117">
        <f>IF($B828="","",IF(OR($D828="",$E828="",$O828=""),"EKSİK",IF($O828&lt;=0,"SIFIR/NEGATİF",IF(COUNTIFS($C$6:$C$5000,$C828,$O$6:$O$5000,$O828,$B$6:$B$5000,$B828)&gt;1,"MÜKERRER","OK"))))</f>
        <v/>
      </c>
    </row>
    <row r="829" ht="16.5" customHeight="1" s="80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7">
        <f>IF($B829="",0,IF($S829="EVET",IF($D829="GELİR",$O829,-$O829),0))</f>
        <v/>
      </c>
      <c r="AA829" s="117">
        <f>IF($B829="",0,IF(OR($W829="EVET",$X829="EVET",$Y829="EVET"),0,IF($D829="GELİR",IF($E829="SATIŞ İADESİ/İSKONTO",-$O829,$O829),-$O829)))</f>
        <v/>
      </c>
      <c r="AB829" s="117">
        <f>IF($B829="","",IF(OR($D829="",$E829="",$O829=""),"EKSİK",IF($O829&lt;=0,"SIFIR/NEGATİF",IF(COUNTIFS($C$6:$C$5000,$C829,$O$6:$O$5000,$O829,$B$6:$B$5000,$B829)&gt;1,"MÜKERRER","OK"))))</f>
        <v/>
      </c>
    </row>
    <row r="830" ht="16.5" customHeight="1" s="8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7">
        <f>IF($B830="",0,IF($S830="EVET",IF($D830="GELİR",$O830,-$O830),0))</f>
        <v/>
      </c>
      <c r="AA830" s="117">
        <f>IF($B830="",0,IF(OR($W830="EVET",$X830="EVET",$Y830="EVET"),0,IF($D830="GELİR",IF($E830="SATIŞ İADESİ/İSKONTO",-$O830,$O830),-$O830)))</f>
        <v/>
      </c>
      <c r="AB830" s="117">
        <f>IF($B830="","",IF(OR($D830="",$E830="",$O830=""),"EKSİK",IF($O830&lt;=0,"SIFIR/NEGATİF",IF(COUNTIFS($C$6:$C$5000,$C830,$O$6:$O$5000,$O830,$B$6:$B$5000,$B830)&gt;1,"MÜKERRER","OK"))))</f>
        <v/>
      </c>
    </row>
    <row r="831" ht="16.5" customHeight="1" s="80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7">
        <f>IF($B831="",0,IF($S831="EVET",IF($D831="GELİR",$O831,-$O831),0))</f>
        <v/>
      </c>
      <c r="AA831" s="117">
        <f>IF($B831="",0,IF(OR($W831="EVET",$X831="EVET",$Y831="EVET"),0,IF($D831="GELİR",IF($E831="SATIŞ İADESİ/İSKONTO",-$O831,$O831),-$O831)))</f>
        <v/>
      </c>
      <c r="AB831" s="117">
        <f>IF($B831="","",IF(OR($D831="",$E831="",$O831=""),"EKSİK",IF($O831&lt;=0,"SIFIR/NEGATİF",IF(COUNTIFS($C$6:$C$5000,$C831,$O$6:$O$5000,$O831,$B$6:$B$5000,$B831)&gt;1,"MÜKERRER","OK"))))</f>
        <v/>
      </c>
    </row>
    <row r="832" ht="16.5" customHeight="1" s="80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7">
        <f>IF($B832="",0,IF($S832="EVET",IF($D832="GELİR",$O832,-$O832),0))</f>
        <v/>
      </c>
      <c r="AA832" s="117">
        <f>IF($B832="",0,IF(OR($W832="EVET",$X832="EVET",$Y832="EVET"),0,IF($D832="GELİR",IF($E832="SATIŞ İADESİ/İSKONTO",-$O832,$O832),-$O832)))</f>
        <v/>
      </c>
      <c r="AB832" s="117">
        <f>IF($B832="","",IF(OR($D832="",$E832="",$O832=""),"EKSİK",IF($O832&lt;=0,"SIFIR/NEGATİF",IF(COUNTIFS($C$6:$C$5000,$C832,$O$6:$O$5000,$O832,$B$6:$B$5000,$B832)&gt;1,"MÜKERRER","OK"))))</f>
        <v/>
      </c>
    </row>
    <row r="833" ht="16.5" customHeight="1" s="80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7">
        <f>IF($B833="",0,IF($S833="EVET",IF($D833="GELİR",$O833,-$O833),0))</f>
        <v/>
      </c>
      <c r="AA833" s="117">
        <f>IF($B833="",0,IF(OR($W833="EVET",$X833="EVET",$Y833="EVET"),0,IF($D833="GELİR",IF($E833="SATIŞ İADESİ/İSKONTO",-$O833,$O833),-$O833)))</f>
        <v/>
      </c>
      <c r="AB833" s="117">
        <f>IF($B833="","",IF(OR($D833="",$E833="",$O833=""),"EKSİK",IF($O833&lt;=0,"SIFIR/NEGATİF",IF(COUNTIFS($C$6:$C$5000,$C833,$O$6:$O$5000,$O833,$B$6:$B$5000,$B833)&gt;1,"MÜKERRER","OK"))))</f>
        <v/>
      </c>
    </row>
    <row r="834" ht="16.5" customHeight="1" s="80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7">
        <f>IF($B834="",0,IF($S834="EVET",IF($D834="GELİR",$O834,-$O834),0))</f>
        <v/>
      </c>
      <c r="AA834" s="117">
        <f>IF($B834="",0,IF(OR($W834="EVET",$X834="EVET",$Y834="EVET"),0,IF($D834="GELİR",IF($E834="SATIŞ İADESİ/İSKONTO",-$O834,$O834),-$O834)))</f>
        <v/>
      </c>
      <c r="AB834" s="117">
        <f>IF($B834="","",IF(OR($D834="",$E834="",$O834=""),"EKSİK",IF($O834&lt;=0,"SIFIR/NEGATİF",IF(COUNTIFS($C$6:$C$5000,$C834,$O$6:$O$5000,$O834,$B$6:$B$5000,$B834)&gt;1,"MÜKERRER","OK"))))</f>
        <v/>
      </c>
    </row>
    <row r="835" ht="16.5" customHeight="1" s="80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7">
        <f>IF($B835="",0,IF($S835="EVET",IF($D835="GELİR",$O835,-$O835),0))</f>
        <v/>
      </c>
      <c r="AA835" s="117">
        <f>IF($B835="",0,IF(OR($W835="EVET",$X835="EVET",$Y835="EVET"),0,IF($D835="GELİR",IF($E835="SATIŞ İADESİ/İSKONTO",-$O835,$O835),-$O835)))</f>
        <v/>
      </c>
      <c r="AB835" s="117">
        <f>IF($B835="","",IF(OR($D835="",$E835="",$O835=""),"EKSİK",IF($O835&lt;=0,"SIFIR/NEGATİF",IF(COUNTIFS($C$6:$C$5000,$C835,$O$6:$O$5000,$O835,$B$6:$B$5000,$B835)&gt;1,"MÜKERRER","OK"))))</f>
        <v/>
      </c>
    </row>
    <row r="836" ht="16.5" customHeight="1" s="80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7">
        <f>IF($B836="",0,IF($S836="EVET",IF($D836="GELİR",$O836,-$O836),0))</f>
        <v/>
      </c>
      <c r="AA836" s="117">
        <f>IF($B836="",0,IF(OR($W836="EVET",$X836="EVET",$Y836="EVET"),0,IF($D836="GELİR",IF($E836="SATIŞ İADESİ/İSKONTO",-$O836,$O836),-$O836)))</f>
        <v/>
      </c>
      <c r="AB836" s="117">
        <f>IF($B836="","",IF(OR($D836="",$E836="",$O836=""),"EKSİK",IF($O836&lt;=0,"SIFIR/NEGATİF",IF(COUNTIFS($C$6:$C$5000,$C836,$O$6:$O$5000,$O836,$B$6:$B$5000,$B836)&gt;1,"MÜKERRER","OK"))))</f>
        <v/>
      </c>
    </row>
    <row r="837" ht="16.5" customHeight="1" s="80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7">
        <f>IF($B837="",0,IF($S837="EVET",IF($D837="GELİR",$O837,-$O837),0))</f>
        <v/>
      </c>
      <c r="AA837" s="117">
        <f>IF($B837="",0,IF(OR($W837="EVET",$X837="EVET",$Y837="EVET"),0,IF($D837="GELİR",IF($E837="SATIŞ İADESİ/İSKONTO",-$O837,$O837),-$O837)))</f>
        <v/>
      </c>
      <c r="AB837" s="117">
        <f>IF($B837="","",IF(OR($D837="",$E837="",$O837=""),"EKSİK",IF($O837&lt;=0,"SIFIR/NEGATİF",IF(COUNTIFS($C$6:$C$5000,$C837,$O$6:$O$5000,$O837,$B$6:$B$5000,$B837)&gt;1,"MÜKERRER","OK"))))</f>
        <v/>
      </c>
    </row>
    <row r="838" ht="16.5" customHeight="1" s="80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7">
        <f>IF($B838="",0,IF($S838="EVET",IF($D838="GELİR",$O838,-$O838),0))</f>
        <v/>
      </c>
      <c r="AA838" s="117">
        <f>IF($B838="",0,IF(OR($W838="EVET",$X838="EVET",$Y838="EVET"),0,IF($D838="GELİR",IF($E838="SATIŞ İADESİ/İSKONTO",-$O838,$O838),-$O838)))</f>
        <v/>
      </c>
      <c r="AB838" s="117">
        <f>IF($B838="","",IF(OR($D838="",$E838="",$O838=""),"EKSİK",IF($O838&lt;=0,"SIFIR/NEGATİF",IF(COUNTIFS($C$6:$C$5000,$C838,$O$6:$O$5000,$O838,$B$6:$B$5000,$B838)&gt;1,"MÜKERRER","OK"))))</f>
        <v/>
      </c>
    </row>
    <row r="839" ht="16.5" customHeight="1" s="80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7">
        <f>IF($B839="",0,IF($S839="EVET",IF($D839="GELİR",$O839,-$O839),0))</f>
        <v/>
      </c>
      <c r="AA839" s="117">
        <f>IF($B839="",0,IF(OR($W839="EVET",$X839="EVET",$Y839="EVET"),0,IF($D839="GELİR",IF($E839="SATIŞ İADESİ/İSKONTO",-$O839,$O839),-$O839)))</f>
        <v/>
      </c>
      <c r="AB839" s="117">
        <f>IF($B839="","",IF(OR($D839="",$E839="",$O839=""),"EKSİK",IF($O839&lt;=0,"SIFIR/NEGATİF",IF(COUNTIFS($C$6:$C$5000,$C839,$O$6:$O$5000,$O839,$B$6:$B$5000,$B839)&gt;1,"MÜKERRER","OK"))))</f>
        <v/>
      </c>
    </row>
    <row r="840" ht="16.5" customHeight="1" s="8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7">
        <f>IF($B840="",0,IF($S840="EVET",IF($D840="GELİR",$O840,-$O840),0))</f>
        <v/>
      </c>
      <c r="AA840" s="117">
        <f>IF($B840="",0,IF(OR($W840="EVET",$X840="EVET",$Y840="EVET"),0,IF($D840="GELİR",IF($E840="SATIŞ İADESİ/İSKONTO",-$O840,$O840),-$O840)))</f>
        <v/>
      </c>
      <c r="AB840" s="117">
        <f>IF($B840="","",IF(OR($D840="",$E840="",$O840=""),"EKSİK",IF($O840&lt;=0,"SIFIR/NEGATİF",IF(COUNTIFS($C$6:$C$5000,$C840,$O$6:$O$5000,$O840,$B$6:$B$5000,$B840)&gt;1,"MÜKERRER","OK"))))</f>
        <v/>
      </c>
    </row>
    <row r="841" ht="16.5" customHeight="1" s="80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7">
        <f>IF($B841="",0,IF($S841="EVET",IF($D841="GELİR",$O841,-$O841),0))</f>
        <v/>
      </c>
      <c r="AA841" s="117">
        <f>IF($B841="",0,IF(OR($W841="EVET",$X841="EVET",$Y841="EVET"),0,IF($D841="GELİR",IF($E841="SATIŞ İADESİ/İSKONTO",-$O841,$O841),-$O841)))</f>
        <v/>
      </c>
      <c r="AB841" s="117">
        <f>IF($B841="","",IF(OR($D841="",$E841="",$O841=""),"EKSİK",IF($O841&lt;=0,"SIFIR/NEGATİF",IF(COUNTIFS($C$6:$C$5000,$C841,$O$6:$O$5000,$O841,$B$6:$B$5000,$B841)&gt;1,"MÜKERRER","OK"))))</f>
        <v/>
      </c>
    </row>
    <row r="842" ht="16.5" customHeight="1" s="80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7">
        <f>IF($B842="",0,IF($S842="EVET",IF($D842="GELİR",$O842,-$O842),0))</f>
        <v/>
      </c>
      <c r="AA842" s="117">
        <f>IF($B842="",0,IF(OR($W842="EVET",$X842="EVET",$Y842="EVET"),0,IF($D842="GELİR",IF($E842="SATIŞ İADESİ/İSKONTO",-$O842,$O842),-$O842)))</f>
        <v/>
      </c>
      <c r="AB842" s="117">
        <f>IF($B842="","",IF(OR($D842="",$E842="",$O842=""),"EKSİK",IF($O842&lt;=0,"SIFIR/NEGATİF",IF(COUNTIFS($C$6:$C$5000,$C842,$O$6:$O$5000,$O842,$B$6:$B$5000,$B842)&gt;1,"MÜKERRER","OK"))))</f>
        <v/>
      </c>
    </row>
    <row r="843" ht="16.5" customHeight="1" s="80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7">
        <f>IF($B843="",0,IF($S843="EVET",IF($D843="GELİR",$O843,-$O843),0))</f>
        <v/>
      </c>
      <c r="AA843" s="117">
        <f>IF($B843="",0,IF(OR($W843="EVET",$X843="EVET",$Y843="EVET"),0,IF($D843="GELİR",IF($E843="SATIŞ İADESİ/İSKONTO",-$O843,$O843),-$O843)))</f>
        <v/>
      </c>
      <c r="AB843" s="117">
        <f>IF($B843="","",IF(OR($D843="",$E843="",$O843=""),"EKSİK",IF($O843&lt;=0,"SIFIR/NEGATİF",IF(COUNTIFS($C$6:$C$5000,$C843,$O$6:$O$5000,$O843,$B$6:$B$5000,$B843)&gt;1,"MÜKERRER","OK"))))</f>
        <v/>
      </c>
    </row>
    <row r="844" ht="16.5" customHeight="1" s="80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7">
        <f>IF($B844="",0,IF($S844="EVET",IF($D844="GELİR",$O844,-$O844),0))</f>
        <v/>
      </c>
      <c r="AA844" s="117">
        <f>IF($B844="",0,IF(OR($W844="EVET",$X844="EVET",$Y844="EVET"),0,IF($D844="GELİR",IF($E844="SATIŞ İADESİ/İSKONTO",-$O844,$O844),-$O844)))</f>
        <v/>
      </c>
      <c r="AB844" s="117">
        <f>IF($B844="","",IF(OR($D844="",$E844="",$O844=""),"EKSİK",IF($O844&lt;=0,"SIFIR/NEGATİF",IF(COUNTIFS($C$6:$C$5000,$C844,$O$6:$O$5000,$O844,$B$6:$B$5000,$B844)&gt;1,"MÜKERRER","OK"))))</f>
        <v/>
      </c>
    </row>
    <row r="845" ht="16.5" customHeight="1" s="80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7">
        <f>IF($B845="",0,IF($S845="EVET",IF($D845="GELİR",$O845,-$O845),0))</f>
        <v/>
      </c>
      <c r="AA845" s="117">
        <f>IF($B845="",0,IF(OR($W845="EVET",$X845="EVET",$Y845="EVET"),0,IF($D845="GELİR",IF($E845="SATIŞ İADESİ/İSKONTO",-$O845,$O845),-$O845)))</f>
        <v/>
      </c>
      <c r="AB845" s="117">
        <f>IF($B845="","",IF(OR($D845="",$E845="",$O845=""),"EKSİK",IF($O845&lt;=0,"SIFIR/NEGATİF",IF(COUNTIFS($C$6:$C$5000,$C845,$O$6:$O$5000,$O845,$B$6:$B$5000,$B845)&gt;1,"MÜKERRER","OK"))))</f>
        <v/>
      </c>
    </row>
    <row r="846" ht="16.5" customHeight="1" s="80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7">
        <f>IF($B846="",0,IF($S846="EVET",IF($D846="GELİR",$O846,-$O846),0))</f>
        <v/>
      </c>
      <c r="AA846" s="117">
        <f>IF($B846="",0,IF(OR($W846="EVET",$X846="EVET",$Y846="EVET"),0,IF($D846="GELİR",IF($E846="SATIŞ İADESİ/İSKONTO",-$O846,$O846),-$O846)))</f>
        <v/>
      </c>
      <c r="AB846" s="117">
        <f>IF($B846="","",IF(OR($D846="",$E846="",$O846=""),"EKSİK",IF($O846&lt;=0,"SIFIR/NEGATİF",IF(COUNTIFS($C$6:$C$5000,$C846,$O$6:$O$5000,$O846,$B$6:$B$5000,$B846)&gt;1,"MÜKERRER","OK"))))</f>
        <v/>
      </c>
    </row>
    <row r="847" ht="16.5" customHeight="1" s="80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7">
        <f>IF($B847="",0,IF($S847="EVET",IF($D847="GELİR",$O847,-$O847),0))</f>
        <v/>
      </c>
      <c r="AA847" s="117">
        <f>IF($B847="",0,IF(OR($W847="EVET",$X847="EVET",$Y847="EVET"),0,IF($D847="GELİR",IF($E847="SATIŞ İADESİ/İSKONTO",-$O847,$O847),-$O847)))</f>
        <v/>
      </c>
      <c r="AB847" s="117">
        <f>IF($B847="","",IF(OR($D847="",$E847="",$O847=""),"EKSİK",IF($O847&lt;=0,"SIFIR/NEGATİF",IF(COUNTIFS($C$6:$C$5000,$C847,$O$6:$O$5000,$O847,$B$6:$B$5000,$B847)&gt;1,"MÜKERRER","OK"))))</f>
        <v/>
      </c>
    </row>
    <row r="848" ht="16.5" customHeight="1" s="80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7">
        <f>IF($B848="",0,IF($S848="EVET",IF($D848="GELİR",$O848,-$O848),0))</f>
        <v/>
      </c>
      <c r="AA848" s="117">
        <f>IF($B848="",0,IF(OR($W848="EVET",$X848="EVET",$Y848="EVET"),0,IF($D848="GELİR",IF($E848="SATIŞ İADESİ/İSKONTO",-$O848,$O848),-$O848)))</f>
        <v/>
      </c>
      <c r="AB848" s="117">
        <f>IF($B848="","",IF(OR($D848="",$E848="",$O848=""),"EKSİK",IF($O848&lt;=0,"SIFIR/NEGATİF",IF(COUNTIFS($C$6:$C$5000,$C848,$O$6:$O$5000,$O848,$B$6:$B$5000,$B848)&gt;1,"MÜKERRER","OK"))))</f>
        <v/>
      </c>
    </row>
    <row r="849" ht="16.5" customHeight="1" s="80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7">
        <f>IF($B849="",0,IF($S849="EVET",IF($D849="GELİR",$O849,-$O849),0))</f>
        <v/>
      </c>
      <c r="AA849" s="117">
        <f>IF($B849="",0,IF(OR($W849="EVET",$X849="EVET",$Y849="EVET"),0,IF($D849="GELİR",IF($E849="SATIŞ İADESİ/İSKONTO",-$O849,$O849),-$O849)))</f>
        <v/>
      </c>
      <c r="AB849" s="117">
        <f>IF($B849="","",IF(OR($D849="",$E849="",$O849=""),"EKSİK",IF($O849&lt;=0,"SIFIR/NEGATİF",IF(COUNTIFS($C$6:$C$5000,$C849,$O$6:$O$5000,$O849,$B$6:$B$5000,$B849)&gt;1,"MÜKERRER","OK"))))</f>
        <v/>
      </c>
    </row>
    <row r="850" ht="16.5" customHeight="1" s="8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7">
        <f>IF($B850="",0,IF($S850="EVET",IF($D850="GELİR",$O850,-$O850),0))</f>
        <v/>
      </c>
      <c r="AA850" s="117">
        <f>IF($B850="",0,IF(OR($W850="EVET",$X850="EVET",$Y850="EVET"),0,IF($D850="GELİR",IF($E850="SATIŞ İADESİ/İSKONTO",-$O850,$O850),-$O850)))</f>
        <v/>
      </c>
      <c r="AB850" s="117">
        <f>IF($B850="","",IF(OR($D850="",$E850="",$O850=""),"EKSİK",IF($O850&lt;=0,"SIFIR/NEGATİF",IF(COUNTIFS($C$6:$C$5000,$C850,$O$6:$O$5000,$O850,$B$6:$B$5000,$B850)&gt;1,"MÜKERRER","OK"))))</f>
        <v/>
      </c>
    </row>
    <row r="851" ht="16.5" customHeight="1" s="80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7">
        <f>IF($B851="",0,IF($S851="EVET",IF($D851="GELİR",$O851,-$O851),0))</f>
        <v/>
      </c>
      <c r="AA851" s="117">
        <f>IF($B851="",0,IF(OR($W851="EVET",$X851="EVET",$Y851="EVET"),0,IF($D851="GELİR",IF($E851="SATIŞ İADESİ/İSKONTO",-$O851,$O851),-$O851)))</f>
        <v/>
      </c>
      <c r="AB851" s="117">
        <f>IF($B851="","",IF(OR($D851="",$E851="",$O851=""),"EKSİK",IF($O851&lt;=0,"SIFIR/NEGATİF",IF(COUNTIFS($C$6:$C$5000,$C851,$O$6:$O$5000,$O851,$B$6:$B$5000,$B851)&gt;1,"MÜKERRER","OK"))))</f>
        <v/>
      </c>
    </row>
    <row r="852" ht="16.5" customHeight="1" s="80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7">
        <f>IF($B852="",0,IF($S852="EVET",IF($D852="GELİR",$O852,-$O852),0))</f>
        <v/>
      </c>
      <c r="AA852" s="117">
        <f>IF($B852="",0,IF(OR($W852="EVET",$X852="EVET",$Y852="EVET"),0,IF($D852="GELİR",IF($E852="SATIŞ İADESİ/İSKONTO",-$O852,$O852),-$O852)))</f>
        <v/>
      </c>
      <c r="AB852" s="117">
        <f>IF($B852="","",IF(OR($D852="",$E852="",$O852=""),"EKSİK",IF($O852&lt;=0,"SIFIR/NEGATİF",IF(COUNTIFS($C$6:$C$5000,$C852,$O$6:$O$5000,$O852,$B$6:$B$5000,$B852)&gt;1,"MÜKERRER","OK"))))</f>
        <v/>
      </c>
    </row>
    <row r="853" ht="16.5" customHeight="1" s="80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7">
        <f>IF($B853="",0,IF($S853="EVET",IF($D853="GELİR",$O853,-$O853),0))</f>
        <v/>
      </c>
      <c r="AA853" s="117">
        <f>IF($B853="",0,IF(OR($W853="EVET",$X853="EVET",$Y853="EVET"),0,IF($D853="GELİR",IF($E853="SATIŞ İADESİ/İSKONTO",-$O853,$O853),-$O853)))</f>
        <v/>
      </c>
      <c r="AB853" s="117">
        <f>IF($B853="","",IF(OR($D853="",$E853="",$O853=""),"EKSİK",IF($O853&lt;=0,"SIFIR/NEGATİF",IF(COUNTIFS($C$6:$C$5000,$C853,$O$6:$O$5000,$O853,$B$6:$B$5000,$B853)&gt;1,"MÜKERRER","OK"))))</f>
        <v/>
      </c>
    </row>
    <row r="854" ht="16.5" customHeight="1" s="80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7">
        <f>IF($B854="",0,IF($S854="EVET",IF($D854="GELİR",$O854,-$O854),0))</f>
        <v/>
      </c>
      <c r="AA854" s="117">
        <f>IF($B854="",0,IF(OR($W854="EVET",$X854="EVET",$Y854="EVET"),0,IF($D854="GELİR",IF($E854="SATIŞ İADESİ/İSKONTO",-$O854,$O854),-$O854)))</f>
        <v/>
      </c>
      <c r="AB854" s="117">
        <f>IF($B854="","",IF(OR($D854="",$E854="",$O854=""),"EKSİK",IF($O854&lt;=0,"SIFIR/NEGATİF",IF(COUNTIFS($C$6:$C$5000,$C854,$O$6:$O$5000,$O854,$B$6:$B$5000,$B854)&gt;1,"MÜKERRER","OK"))))</f>
        <v/>
      </c>
    </row>
    <row r="855" ht="16.5" customHeight="1" s="80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7">
        <f>IF($B855="",0,IF($S855="EVET",IF($D855="GELİR",$O855,-$O855),0))</f>
        <v/>
      </c>
      <c r="AA855" s="117">
        <f>IF($B855="",0,IF(OR($W855="EVET",$X855="EVET",$Y855="EVET"),0,IF($D855="GELİR",IF($E855="SATIŞ İADESİ/İSKONTO",-$O855,$O855),-$O855)))</f>
        <v/>
      </c>
      <c r="AB855" s="117">
        <f>IF($B855="","",IF(OR($D855="",$E855="",$O855=""),"EKSİK",IF($O855&lt;=0,"SIFIR/NEGATİF",IF(COUNTIFS($C$6:$C$5000,$C855,$O$6:$O$5000,$O855,$B$6:$B$5000,$B855)&gt;1,"MÜKERRER","OK"))))</f>
        <v/>
      </c>
    </row>
    <row r="856" ht="16.5" customHeight="1" s="80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7">
        <f>IF($B856="",0,IF($S856="EVET",IF($D856="GELİR",$O856,-$O856),0))</f>
        <v/>
      </c>
      <c r="AA856" s="117">
        <f>IF($B856="",0,IF(OR($W856="EVET",$X856="EVET",$Y856="EVET"),0,IF($D856="GELİR",IF($E856="SATIŞ İADESİ/İSKONTO",-$O856,$O856),-$O856)))</f>
        <v/>
      </c>
      <c r="AB856" s="117">
        <f>IF($B856="","",IF(OR($D856="",$E856="",$O856=""),"EKSİK",IF($O856&lt;=0,"SIFIR/NEGATİF",IF(COUNTIFS($C$6:$C$5000,$C856,$O$6:$O$5000,$O856,$B$6:$B$5000,$B856)&gt;1,"MÜKERRER","OK"))))</f>
        <v/>
      </c>
    </row>
    <row r="857" ht="16.5" customHeight="1" s="80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7">
        <f>IF($B857="",0,IF($S857="EVET",IF($D857="GELİR",$O857,-$O857),0))</f>
        <v/>
      </c>
      <c r="AA857" s="117">
        <f>IF($B857="",0,IF(OR($W857="EVET",$X857="EVET",$Y857="EVET"),0,IF($D857="GELİR",IF($E857="SATIŞ İADESİ/İSKONTO",-$O857,$O857),-$O857)))</f>
        <v/>
      </c>
      <c r="AB857" s="117">
        <f>IF($B857="","",IF(OR($D857="",$E857="",$O857=""),"EKSİK",IF($O857&lt;=0,"SIFIR/NEGATİF",IF(COUNTIFS($C$6:$C$5000,$C857,$O$6:$O$5000,$O857,$B$6:$B$5000,$B857)&gt;1,"MÜKERRER","OK"))))</f>
        <v/>
      </c>
    </row>
    <row r="858" ht="16.5" customHeight="1" s="80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7">
        <f>IF($B858="",0,IF($S858="EVET",IF($D858="GELİR",$O858,-$O858),0))</f>
        <v/>
      </c>
      <c r="AA858" s="117">
        <f>IF($B858="",0,IF(OR($W858="EVET",$X858="EVET",$Y858="EVET"),0,IF($D858="GELİR",IF($E858="SATIŞ İADESİ/İSKONTO",-$O858,$O858),-$O858)))</f>
        <v/>
      </c>
      <c r="AB858" s="117">
        <f>IF($B858="","",IF(OR($D858="",$E858="",$O858=""),"EKSİK",IF($O858&lt;=0,"SIFIR/NEGATİF",IF(COUNTIFS($C$6:$C$5000,$C858,$O$6:$O$5000,$O858,$B$6:$B$5000,$B858)&gt;1,"MÜKERRER","OK"))))</f>
        <v/>
      </c>
    </row>
    <row r="859" ht="16.5" customHeight="1" s="80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7">
        <f>IF($B859="",0,IF($S859="EVET",IF($D859="GELİR",$O859,-$O859),0))</f>
        <v/>
      </c>
      <c r="AA859" s="117">
        <f>IF($B859="",0,IF(OR($W859="EVET",$X859="EVET",$Y859="EVET"),0,IF($D859="GELİR",IF($E859="SATIŞ İADESİ/İSKONTO",-$O859,$O859),-$O859)))</f>
        <v/>
      </c>
      <c r="AB859" s="117">
        <f>IF($B859="","",IF(OR($D859="",$E859="",$O859=""),"EKSİK",IF($O859&lt;=0,"SIFIR/NEGATİF",IF(COUNTIFS($C$6:$C$5000,$C859,$O$6:$O$5000,$O859,$B$6:$B$5000,$B859)&gt;1,"MÜKERRER","OK"))))</f>
        <v/>
      </c>
    </row>
    <row r="860" ht="16.5" customHeight="1" s="8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7">
        <f>IF($B860="",0,IF($S860="EVET",IF($D860="GELİR",$O860,-$O860),0))</f>
        <v/>
      </c>
      <c r="AA860" s="117">
        <f>IF($B860="",0,IF(OR($W860="EVET",$X860="EVET",$Y860="EVET"),0,IF($D860="GELİR",IF($E860="SATIŞ İADESİ/İSKONTO",-$O860,$O860),-$O860)))</f>
        <v/>
      </c>
      <c r="AB860" s="117">
        <f>IF($B860="","",IF(OR($D860="",$E860="",$O860=""),"EKSİK",IF($O860&lt;=0,"SIFIR/NEGATİF",IF(COUNTIFS($C$6:$C$5000,$C860,$O$6:$O$5000,$O860,$B$6:$B$5000,$B860)&gt;1,"MÜKERRER","OK"))))</f>
        <v/>
      </c>
    </row>
    <row r="861" ht="16.5" customHeight="1" s="80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7">
        <f>IF($B861="",0,IF($S861="EVET",IF($D861="GELİR",$O861,-$O861),0))</f>
        <v/>
      </c>
      <c r="AA861" s="117">
        <f>IF($B861="",0,IF(OR($W861="EVET",$X861="EVET",$Y861="EVET"),0,IF($D861="GELİR",IF($E861="SATIŞ İADESİ/İSKONTO",-$O861,$O861),-$O861)))</f>
        <v/>
      </c>
      <c r="AB861" s="117">
        <f>IF($B861="","",IF(OR($D861="",$E861="",$O861=""),"EKSİK",IF($O861&lt;=0,"SIFIR/NEGATİF",IF(COUNTIFS($C$6:$C$5000,$C861,$O$6:$O$5000,$O861,$B$6:$B$5000,$B861)&gt;1,"MÜKERRER","OK"))))</f>
        <v/>
      </c>
    </row>
    <row r="862" ht="16.5" customHeight="1" s="80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7">
        <f>IF($B862="",0,IF($S862="EVET",IF($D862="GELİR",$O862,-$O862),0))</f>
        <v/>
      </c>
      <c r="AA862" s="117">
        <f>IF($B862="",0,IF(OR($W862="EVET",$X862="EVET",$Y862="EVET"),0,IF($D862="GELİR",IF($E862="SATIŞ İADESİ/İSKONTO",-$O862,$O862),-$O862)))</f>
        <v/>
      </c>
      <c r="AB862" s="117">
        <f>IF($B862="","",IF(OR($D862="",$E862="",$O862=""),"EKSİK",IF($O862&lt;=0,"SIFIR/NEGATİF",IF(COUNTIFS($C$6:$C$5000,$C862,$O$6:$O$5000,$O862,$B$6:$B$5000,$B862)&gt;1,"MÜKERRER","OK"))))</f>
        <v/>
      </c>
    </row>
    <row r="863" ht="16.5" customHeight="1" s="80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7">
        <f>IF($B863="",0,IF($S863="EVET",IF($D863="GELİR",$O863,-$O863),0))</f>
        <v/>
      </c>
      <c r="AA863" s="117">
        <f>IF($B863="",0,IF(OR($W863="EVET",$X863="EVET",$Y863="EVET"),0,IF($D863="GELİR",IF($E863="SATIŞ İADESİ/İSKONTO",-$O863,$O863),-$O863)))</f>
        <v/>
      </c>
      <c r="AB863" s="117">
        <f>IF($B863="","",IF(OR($D863="",$E863="",$O863=""),"EKSİK",IF($O863&lt;=0,"SIFIR/NEGATİF",IF(COUNTIFS($C$6:$C$5000,$C863,$O$6:$O$5000,$O863,$B$6:$B$5000,$B863)&gt;1,"MÜKERRER","OK"))))</f>
        <v/>
      </c>
    </row>
    <row r="864" ht="16.5" customHeight="1" s="80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7">
        <f>IF($B864="",0,IF($S864="EVET",IF($D864="GELİR",$O864,-$O864),0))</f>
        <v/>
      </c>
      <c r="AA864" s="117">
        <f>IF($B864="",0,IF(OR($W864="EVET",$X864="EVET",$Y864="EVET"),0,IF($D864="GELİR",IF($E864="SATIŞ İADESİ/İSKONTO",-$O864,$O864),-$O864)))</f>
        <v/>
      </c>
      <c r="AB864" s="117">
        <f>IF($B864="","",IF(OR($D864="",$E864="",$O864=""),"EKSİK",IF($O864&lt;=0,"SIFIR/NEGATİF",IF(COUNTIFS($C$6:$C$5000,$C864,$O$6:$O$5000,$O864,$B$6:$B$5000,$B864)&gt;1,"MÜKERRER","OK"))))</f>
        <v/>
      </c>
    </row>
    <row r="865" ht="16.5" customHeight="1" s="80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7">
        <f>IF($B865="",0,IF($S865="EVET",IF($D865="GELİR",$O865,-$O865),0))</f>
        <v/>
      </c>
      <c r="AA865" s="117">
        <f>IF($B865="",0,IF(OR($W865="EVET",$X865="EVET",$Y865="EVET"),0,IF($D865="GELİR",IF($E865="SATIŞ İADESİ/İSKONTO",-$O865,$O865),-$O865)))</f>
        <v/>
      </c>
      <c r="AB865" s="117">
        <f>IF($B865="","",IF(OR($D865="",$E865="",$O865=""),"EKSİK",IF($O865&lt;=0,"SIFIR/NEGATİF",IF(COUNTIFS($C$6:$C$5000,$C865,$O$6:$O$5000,$O865,$B$6:$B$5000,$B865)&gt;1,"MÜKERRER","OK"))))</f>
        <v/>
      </c>
    </row>
    <row r="866" ht="16.5" customHeight="1" s="80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7">
        <f>IF($B866="",0,IF($S866="EVET",IF($D866="GELİR",$O866,-$O866),0))</f>
        <v/>
      </c>
      <c r="AA866" s="117">
        <f>IF($B866="",0,IF(OR($W866="EVET",$X866="EVET",$Y866="EVET"),0,IF($D866="GELİR",IF($E866="SATIŞ İADESİ/İSKONTO",-$O866,$O866),-$O866)))</f>
        <v/>
      </c>
      <c r="AB866" s="117">
        <f>IF($B866="","",IF(OR($D866="",$E866="",$O866=""),"EKSİK",IF($O866&lt;=0,"SIFIR/NEGATİF",IF(COUNTIFS($C$6:$C$5000,$C866,$O$6:$O$5000,$O866,$B$6:$B$5000,$B866)&gt;1,"MÜKERRER","OK"))))</f>
        <v/>
      </c>
    </row>
    <row r="867" ht="16.5" customHeight="1" s="80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7">
        <f>IF($B867="",0,IF($S867="EVET",IF($D867="GELİR",$O867,-$O867),0))</f>
        <v/>
      </c>
      <c r="AA867" s="117">
        <f>IF($B867="",0,IF(OR($W867="EVET",$X867="EVET",$Y867="EVET"),0,IF($D867="GELİR",IF($E867="SATIŞ İADESİ/İSKONTO",-$O867,$O867),-$O867)))</f>
        <v/>
      </c>
      <c r="AB867" s="117">
        <f>IF($B867="","",IF(OR($D867="",$E867="",$O867=""),"EKSİK",IF($O867&lt;=0,"SIFIR/NEGATİF",IF(COUNTIFS($C$6:$C$5000,$C867,$O$6:$O$5000,$O867,$B$6:$B$5000,$B867)&gt;1,"MÜKERRER","OK"))))</f>
        <v/>
      </c>
    </row>
    <row r="868" ht="16.5" customHeight="1" s="80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7">
        <f>IF($B868="",0,IF($S868="EVET",IF($D868="GELİR",$O868,-$O868),0))</f>
        <v/>
      </c>
      <c r="AA868" s="117">
        <f>IF($B868="",0,IF(OR($W868="EVET",$X868="EVET",$Y868="EVET"),0,IF($D868="GELİR",IF($E868="SATIŞ İADESİ/İSKONTO",-$O868,$O868),-$O868)))</f>
        <v/>
      </c>
      <c r="AB868" s="117">
        <f>IF($B868="","",IF(OR($D868="",$E868="",$O868=""),"EKSİK",IF($O868&lt;=0,"SIFIR/NEGATİF",IF(COUNTIFS($C$6:$C$5000,$C868,$O$6:$O$5000,$O868,$B$6:$B$5000,$B868)&gt;1,"MÜKERRER","OK"))))</f>
        <v/>
      </c>
    </row>
    <row r="869" ht="16.5" customHeight="1" s="80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7">
        <f>IF($B869="",0,IF($S869="EVET",IF($D869="GELİR",$O869,-$O869),0))</f>
        <v/>
      </c>
      <c r="AA869" s="117">
        <f>IF($B869="",0,IF(OR($W869="EVET",$X869="EVET",$Y869="EVET"),0,IF($D869="GELİR",IF($E869="SATIŞ İADESİ/İSKONTO",-$O869,$O869),-$O869)))</f>
        <v/>
      </c>
      <c r="AB869" s="117">
        <f>IF($B869="","",IF(OR($D869="",$E869="",$O869=""),"EKSİK",IF($O869&lt;=0,"SIFIR/NEGATİF",IF(COUNTIFS($C$6:$C$5000,$C869,$O$6:$O$5000,$O869,$B$6:$B$5000,$B869)&gt;1,"MÜKERRER","OK"))))</f>
        <v/>
      </c>
    </row>
    <row r="870" ht="16.5" customHeight="1" s="8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7">
        <f>IF($B870="",0,IF($S870="EVET",IF($D870="GELİR",$O870,-$O870),0))</f>
        <v/>
      </c>
      <c r="AA870" s="117">
        <f>IF($B870="",0,IF(OR($W870="EVET",$X870="EVET",$Y870="EVET"),0,IF($D870="GELİR",IF($E870="SATIŞ İADESİ/İSKONTO",-$O870,$O870),-$O870)))</f>
        <v/>
      </c>
      <c r="AB870" s="117">
        <f>IF($B870="","",IF(OR($D870="",$E870="",$O870=""),"EKSİK",IF($O870&lt;=0,"SIFIR/NEGATİF",IF(COUNTIFS($C$6:$C$5000,$C870,$O$6:$O$5000,$O870,$B$6:$B$5000,$B870)&gt;1,"MÜKERRER","OK"))))</f>
        <v/>
      </c>
    </row>
    <row r="871" ht="16.5" customHeight="1" s="80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7">
        <f>IF($B871="",0,IF($S871="EVET",IF($D871="GELİR",$O871,-$O871),0))</f>
        <v/>
      </c>
      <c r="AA871" s="117">
        <f>IF($B871="",0,IF(OR($W871="EVET",$X871="EVET",$Y871="EVET"),0,IF($D871="GELİR",IF($E871="SATIŞ İADESİ/İSKONTO",-$O871,$O871),-$O871)))</f>
        <v/>
      </c>
      <c r="AB871" s="117">
        <f>IF($B871="","",IF(OR($D871="",$E871="",$O871=""),"EKSİK",IF($O871&lt;=0,"SIFIR/NEGATİF",IF(COUNTIFS($C$6:$C$5000,$C871,$O$6:$O$5000,$O871,$B$6:$B$5000,$B871)&gt;1,"MÜKERRER","OK"))))</f>
        <v/>
      </c>
    </row>
    <row r="872" ht="16.5" customHeight="1" s="80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7">
        <f>IF($B872="",0,IF($S872="EVET",IF($D872="GELİR",$O872,-$O872),0))</f>
        <v/>
      </c>
      <c r="AA872" s="117">
        <f>IF($B872="",0,IF(OR($W872="EVET",$X872="EVET",$Y872="EVET"),0,IF($D872="GELİR",IF($E872="SATIŞ İADESİ/İSKONTO",-$O872,$O872),-$O872)))</f>
        <v/>
      </c>
      <c r="AB872" s="117">
        <f>IF($B872="","",IF(OR($D872="",$E872="",$O872=""),"EKSİK",IF($O872&lt;=0,"SIFIR/NEGATİF",IF(COUNTIFS($C$6:$C$5000,$C872,$O$6:$O$5000,$O872,$B$6:$B$5000,$B872)&gt;1,"MÜKERRER","OK"))))</f>
        <v/>
      </c>
    </row>
    <row r="873" ht="16.5" customHeight="1" s="80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7">
        <f>IF($B873="",0,IF($S873="EVET",IF($D873="GELİR",$O873,-$O873),0))</f>
        <v/>
      </c>
      <c r="AA873" s="117">
        <f>IF($B873="",0,IF(OR($W873="EVET",$X873="EVET",$Y873="EVET"),0,IF($D873="GELİR",IF($E873="SATIŞ İADESİ/İSKONTO",-$O873,$O873),-$O873)))</f>
        <v/>
      </c>
      <c r="AB873" s="117">
        <f>IF($B873="","",IF(OR($D873="",$E873="",$O873=""),"EKSİK",IF($O873&lt;=0,"SIFIR/NEGATİF",IF(COUNTIFS($C$6:$C$5000,$C873,$O$6:$O$5000,$O873,$B$6:$B$5000,$B873)&gt;1,"MÜKERRER","OK"))))</f>
        <v/>
      </c>
    </row>
    <row r="874" ht="16.5" customHeight="1" s="80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7">
        <f>IF($B874="",0,IF($S874="EVET",IF($D874="GELİR",$O874,-$O874),0))</f>
        <v/>
      </c>
      <c r="AA874" s="117">
        <f>IF($B874="",0,IF(OR($W874="EVET",$X874="EVET",$Y874="EVET"),0,IF($D874="GELİR",IF($E874="SATIŞ İADESİ/İSKONTO",-$O874,$O874),-$O874)))</f>
        <v/>
      </c>
      <c r="AB874" s="117">
        <f>IF($B874="","",IF(OR($D874="",$E874="",$O874=""),"EKSİK",IF($O874&lt;=0,"SIFIR/NEGATİF",IF(COUNTIFS($C$6:$C$5000,$C874,$O$6:$O$5000,$O874,$B$6:$B$5000,$B874)&gt;1,"MÜKERRER","OK"))))</f>
        <v/>
      </c>
    </row>
    <row r="875" ht="16.5" customHeight="1" s="80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7">
        <f>IF($B875="",0,IF($S875="EVET",IF($D875="GELİR",$O875,-$O875),0))</f>
        <v/>
      </c>
      <c r="AA875" s="117">
        <f>IF($B875="",0,IF(OR($W875="EVET",$X875="EVET",$Y875="EVET"),0,IF($D875="GELİR",IF($E875="SATIŞ İADESİ/İSKONTO",-$O875,$O875),-$O875)))</f>
        <v/>
      </c>
      <c r="AB875" s="117">
        <f>IF($B875="","",IF(OR($D875="",$E875="",$O875=""),"EKSİK",IF($O875&lt;=0,"SIFIR/NEGATİF",IF(COUNTIFS($C$6:$C$5000,$C875,$O$6:$O$5000,$O875,$B$6:$B$5000,$B875)&gt;1,"MÜKERRER","OK"))))</f>
        <v/>
      </c>
    </row>
    <row r="876" ht="16.5" customHeight="1" s="80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7">
        <f>IF($B876="",0,IF($S876="EVET",IF($D876="GELİR",$O876,-$O876),0))</f>
        <v/>
      </c>
      <c r="AA876" s="117">
        <f>IF($B876="",0,IF(OR($W876="EVET",$X876="EVET",$Y876="EVET"),0,IF($D876="GELİR",IF($E876="SATIŞ İADESİ/İSKONTO",-$O876,$O876),-$O876)))</f>
        <v/>
      </c>
      <c r="AB876" s="117">
        <f>IF($B876="","",IF(OR($D876="",$E876="",$O876=""),"EKSİK",IF($O876&lt;=0,"SIFIR/NEGATİF",IF(COUNTIFS($C$6:$C$5000,$C876,$O$6:$O$5000,$O876,$B$6:$B$5000,$B876)&gt;1,"MÜKERRER","OK"))))</f>
        <v/>
      </c>
    </row>
    <row r="877" ht="16.5" customHeight="1" s="80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7">
        <f>IF($B877="",0,IF($S877="EVET",IF($D877="GELİR",$O877,-$O877),0))</f>
        <v/>
      </c>
      <c r="AA877" s="117">
        <f>IF($B877="",0,IF(OR($W877="EVET",$X877="EVET",$Y877="EVET"),0,IF($D877="GELİR",IF($E877="SATIŞ İADESİ/İSKONTO",-$O877,$O877),-$O877)))</f>
        <v/>
      </c>
      <c r="AB877" s="117">
        <f>IF($B877="","",IF(OR($D877="",$E877="",$O877=""),"EKSİK",IF($O877&lt;=0,"SIFIR/NEGATİF",IF(COUNTIFS($C$6:$C$5000,$C877,$O$6:$O$5000,$O877,$B$6:$B$5000,$B877)&gt;1,"MÜKERRER","OK"))))</f>
        <v/>
      </c>
    </row>
    <row r="878" ht="16.5" customHeight="1" s="80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7">
        <f>IF($B878="",0,IF($S878="EVET",IF($D878="GELİR",$O878,-$O878),0))</f>
        <v/>
      </c>
      <c r="AA878" s="117">
        <f>IF($B878="",0,IF(OR($W878="EVET",$X878="EVET",$Y878="EVET"),0,IF($D878="GELİR",IF($E878="SATIŞ İADESİ/İSKONTO",-$O878,$O878),-$O878)))</f>
        <v/>
      </c>
      <c r="AB878" s="117">
        <f>IF($B878="","",IF(OR($D878="",$E878="",$O878=""),"EKSİK",IF($O878&lt;=0,"SIFIR/NEGATİF",IF(COUNTIFS($C$6:$C$5000,$C878,$O$6:$O$5000,$O878,$B$6:$B$5000,$B878)&gt;1,"MÜKERRER","OK"))))</f>
        <v/>
      </c>
    </row>
    <row r="879" ht="16.5" customHeight="1" s="80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7">
        <f>IF($B879="",0,IF($S879="EVET",IF($D879="GELİR",$O879,-$O879),0))</f>
        <v/>
      </c>
      <c r="AA879" s="117">
        <f>IF($B879="",0,IF(OR($W879="EVET",$X879="EVET",$Y879="EVET"),0,IF($D879="GELİR",IF($E879="SATIŞ İADESİ/İSKONTO",-$O879,$O879),-$O879)))</f>
        <v/>
      </c>
      <c r="AB879" s="117">
        <f>IF($B879="","",IF(OR($D879="",$E879="",$O879=""),"EKSİK",IF($O879&lt;=0,"SIFIR/NEGATİF",IF(COUNTIFS($C$6:$C$5000,$C879,$O$6:$O$5000,$O879,$B$6:$B$5000,$B879)&gt;1,"MÜKERRER","OK"))))</f>
        <v/>
      </c>
    </row>
    <row r="880" ht="16.5" customHeight="1" s="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7">
        <f>IF($B880="",0,IF($S880="EVET",IF($D880="GELİR",$O880,-$O880),0))</f>
        <v/>
      </c>
      <c r="AA880" s="117">
        <f>IF($B880="",0,IF(OR($W880="EVET",$X880="EVET",$Y880="EVET"),0,IF($D880="GELİR",IF($E880="SATIŞ İADESİ/İSKONTO",-$O880,$O880),-$O880)))</f>
        <v/>
      </c>
      <c r="AB880" s="117">
        <f>IF($B880="","",IF(OR($D880="",$E880="",$O880=""),"EKSİK",IF($O880&lt;=0,"SIFIR/NEGATİF",IF(COUNTIFS($C$6:$C$5000,$C880,$O$6:$O$5000,$O880,$B$6:$B$5000,$B880)&gt;1,"MÜKERRER","OK"))))</f>
        <v/>
      </c>
    </row>
    <row r="881" ht="16.5" customHeight="1" s="80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7">
        <f>IF($B881="",0,IF($S881="EVET",IF($D881="GELİR",$O881,-$O881),0))</f>
        <v/>
      </c>
      <c r="AA881" s="117">
        <f>IF($B881="",0,IF(OR($W881="EVET",$X881="EVET",$Y881="EVET"),0,IF($D881="GELİR",IF($E881="SATIŞ İADESİ/İSKONTO",-$O881,$O881),-$O881)))</f>
        <v/>
      </c>
      <c r="AB881" s="117">
        <f>IF($B881="","",IF(OR($D881="",$E881="",$O881=""),"EKSİK",IF($O881&lt;=0,"SIFIR/NEGATİF",IF(COUNTIFS($C$6:$C$5000,$C881,$O$6:$O$5000,$O881,$B$6:$B$5000,$B881)&gt;1,"MÜKERRER","OK"))))</f>
        <v/>
      </c>
    </row>
    <row r="882" ht="16.5" customHeight="1" s="80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7">
        <f>IF($B882="",0,IF($S882="EVET",IF($D882="GELİR",$O882,-$O882),0))</f>
        <v/>
      </c>
      <c r="AA882" s="117">
        <f>IF($B882="",0,IF(OR($W882="EVET",$X882="EVET",$Y882="EVET"),0,IF($D882="GELİR",IF($E882="SATIŞ İADESİ/İSKONTO",-$O882,$O882),-$O882)))</f>
        <v/>
      </c>
      <c r="AB882" s="117">
        <f>IF($B882="","",IF(OR($D882="",$E882="",$O882=""),"EKSİK",IF($O882&lt;=0,"SIFIR/NEGATİF",IF(COUNTIFS($C$6:$C$5000,$C882,$O$6:$O$5000,$O882,$B$6:$B$5000,$B882)&gt;1,"MÜKERRER","OK"))))</f>
        <v/>
      </c>
    </row>
    <row r="883" ht="16.5" customHeight="1" s="80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7">
        <f>IF($B883="",0,IF($S883="EVET",IF($D883="GELİR",$O883,-$O883),0))</f>
        <v/>
      </c>
      <c r="AA883" s="117">
        <f>IF($B883="",0,IF(OR($W883="EVET",$X883="EVET",$Y883="EVET"),0,IF($D883="GELİR",IF($E883="SATIŞ İADESİ/İSKONTO",-$O883,$O883),-$O883)))</f>
        <v/>
      </c>
      <c r="AB883" s="117">
        <f>IF($B883="","",IF(OR($D883="",$E883="",$O883=""),"EKSİK",IF($O883&lt;=0,"SIFIR/NEGATİF",IF(COUNTIFS($C$6:$C$5000,$C883,$O$6:$O$5000,$O883,$B$6:$B$5000,$B883)&gt;1,"MÜKERRER","OK"))))</f>
        <v/>
      </c>
    </row>
    <row r="884" ht="16.5" customHeight="1" s="80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7">
        <f>IF($B884="",0,IF($S884="EVET",IF($D884="GELİR",$O884,-$O884),0))</f>
        <v/>
      </c>
      <c r="AA884" s="117">
        <f>IF($B884="",0,IF(OR($W884="EVET",$X884="EVET",$Y884="EVET"),0,IF($D884="GELİR",IF($E884="SATIŞ İADESİ/İSKONTO",-$O884,$O884),-$O884)))</f>
        <v/>
      </c>
      <c r="AB884" s="117">
        <f>IF($B884="","",IF(OR($D884="",$E884="",$O884=""),"EKSİK",IF($O884&lt;=0,"SIFIR/NEGATİF",IF(COUNTIFS($C$6:$C$5000,$C884,$O$6:$O$5000,$O884,$B$6:$B$5000,$B884)&gt;1,"MÜKERRER","OK"))))</f>
        <v/>
      </c>
    </row>
    <row r="885" ht="16.5" customHeight="1" s="80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7">
        <f>IF($B885="",0,IF($S885="EVET",IF($D885="GELİR",$O885,-$O885),0))</f>
        <v/>
      </c>
      <c r="AA885" s="117">
        <f>IF($B885="",0,IF(OR($W885="EVET",$X885="EVET",$Y885="EVET"),0,IF($D885="GELİR",IF($E885="SATIŞ İADESİ/İSKONTO",-$O885,$O885),-$O885)))</f>
        <v/>
      </c>
      <c r="AB885" s="117">
        <f>IF($B885="","",IF(OR($D885="",$E885="",$O885=""),"EKSİK",IF($O885&lt;=0,"SIFIR/NEGATİF",IF(COUNTIFS($C$6:$C$5000,$C885,$O$6:$O$5000,$O885,$B$6:$B$5000,$B885)&gt;1,"MÜKERRER","OK"))))</f>
        <v/>
      </c>
    </row>
    <row r="886" ht="16.5" customHeight="1" s="80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7">
        <f>IF($B886="",0,IF($S886="EVET",IF($D886="GELİR",$O886,-$O886),0))</f>
        <v/>
      </c>
      <c r="AA886" s="117">
        <f>IF($B886="",0,IF(OR($W886="EVET",$X886="EVET",$Y886="EVET"),0,IF($D886="GELİR",IF($E886="SATIŞ İADESİ/İSKONTO",-$O886,$O886),-$O886)))</f>
        <v/>
      </c>
      <c r="AB886" s="117">
        <f>IF($B886="","",IF(OR($D886="",$E886="",$O886=""),"EKSİK",IF($O886&lt;=0,"SIFIR/NEGATİF",IF(COUNTIFS($C$6:$C$5000,$C886,$O$6:$O$5000,$O886,$B$6:$B$5000,$B886)&gt;1,"MÜKERRER","OK"))))</f>
        <v/>
      </c>
    </row>
    <row r="887" ht="16.5" customHeight="1" s="80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7">
        <f>IF($B887="",0,IF($S887="EVET",IF($D887="GELİR",$O887,-$O887),0))</f>
        <v/>
      </c>
      <c r="AA887" s="117">
        <f>IF($B887="",0,IF(OR($W887="EVET",$X887="EVET",$Y887="EVET"),0,IF($D887="GELİR",IF($E887="SATIŞ İADESİ/İSKONTO",-$O887,$O887),-$O887)))</f>
        <v/>
      </c>
      <c r="AB887" s="117">
        <f>IF($B887="","",IF(OR($D887="",$E887="",$O887=""),"EKSİK",IF($O887&lt;=0,"SIFIR/NEGATİF",IF(COUNTIFS($C$6:$C$5000,$C887,$O$6:$O$5000,$O887,$B$6:$B$5000,$B887)&gt;1,"MÜKERRER","OK"))))</f>
        <v/>
      </c>
    </row>
    <row r="888" ht="16.5" customHeight="1" s="80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7">
        <f>IF($B888="",0,IF($S888="EVET",IF($D888="GELİR",$O888,-$O888),0))</f>
        <v/>
      </c>
      <c r="AA888" s="117">
        <f>IF($B888="",0,IF(OR($W888="EVET",$X888="EVET",$Y888="EVET"),0,IF($D888="GELİR",IF($E888="SATIŞ İADESİ/İSKONTO",-$O888,$O888),-$O888)))</f>
        <v/>
      </c>
      <c r="AB888" s="117">
        <f>IF($B888="","",IF(OR($D888="",$E888="",$O888=""),"EKSİK",IF($O888&lt;=0,"SIFIR/NEGATİF",IF(COUNTIFS($C$6:$C$5000,$C888,$O$6:$O$5000,$O888,$B$6:$B$5000,$B888)&gt;1,"MÜKERRER","OK"))))</f>
        <v/>
      </c>
    </row>
    <row r="889" ht="16.5" customHeight="1" s="80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7">
        <f>IF($B889="",0,IF($S889="EVET",IF($D889="GELİR",$O889,-$O889),0))</f>
        <v/>
      </c>
      <c r="AA889" s="117">
        <f>IF($B889="",0,IF(OR($W889="EVET",$X889="EVET",$Y889="EVET"),0,IF($D889="GELİR",IF($E889="SATIŞ İADESİ/İSKONTO",-$O889,$O889),-$O889)))</f>
        <v/>
      </c>
      <c r="AB889" s="117">
        <f>IF($B889="","",IF(OR($D889="",$E889="",$O889=""),"EKSİK",IF($O889&lt;=0,"SIFIR/NEGATİF",IF(COUNTIFS($C$6:$C$5000,$C889,$O$6:$O$5000,$O889,$B$6:$B$5000,$B889)&gt;1,"MÜKERRER","OK"))))</f>
        <v/>
      </c>
    </row>
    <row r="890" ht="16.5" customHeight="1" s="8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7">
        <f>IF($B890="",0,IF($S890="EVET",IF($D890="GELİR",$O890,-$O890),0))</f>
        <v/>
      </c>
      <c r="AA890" s="117">
        <f>IF($B890="",0,IF(OR($W890="EVET",$X890="EVET",$Y890="EVET"),0,IF($D890="GELİR",IF($E890="SATIŞ İADESİ/İSKONTO",-$O890,$O890),-$O890)))</f>
        <v/>
      </c>
      <c r="AB890" s="117">
        <f>IF($B890="","",IF(OR($D890="",$E890="",$O890=""),"EKSİK",IF($O890&lt;=0,"SIFIR/NEGATİF",IF(COUNTIFS($C$6:$C$5000,$C890,$O$6:$O$5000,$O890,$B$6:$B$5000,$B890)&gt;1,"MÜKERRER","OK"))))</f>
        <v/>
      </c>
    </row>
    <row r="891" ht="16.5" customHeight="1" s="80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7">
        <f>IF($B891="",0,IF($S891="EVET",IF($D891="GELİR",$O891,-$O891),0))</f>
        <v/>
      </c>
      <c r="AA891" s="117">
        <f>IF($B891="",0,IF(OR($W891="EVET",$X891="EVET",$Y891="EVET"),0,IF($D891="GELİR",IF($E891="SATIŞ İADESİ/İSKONTO",-$O891,$O891),-$O891)))</f>
        <v/>
      </c>
      <c r="AB891" s="117">
        <f>IF($B891="","",IF(OR($D891="",$E891="",$O891=""),"EKSİK",IF($O891&lt;=0,"SIFIR/NEGATİF",IF(COUNTIFS($C$6:$C$5000,$C891,$O$6:$O$5000,$O891,$B$6:$B$5000,$B891)&gt;1,"MÜKERRER","OK"))))</f>
        <v/>
      </c>
    </row>
    <row r="892" ht="16.5" customHeight="1" s="80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7">
        <f>IF($B892="",0,IF($S892="EVET",IF($D892="GELİR",$O892,-$O892),0))</f>
        <v/>
      </c>
      <c r="AA892" s="117">
        <f>IF($B892="",0,IF(OR($W892="EVET",$X892="EVET",$Y892="EVET"),0,IF($D892="GELİR",IF($E892="SATIŞ İADESİ/İSKONTO",-$O892,$O892),-$O892)))</f>
        <v/>
      </c>
      <c r="AB892" s="117">
        <f>IF($B892="","",IF(OR($D892="",$E892="",$O892=""),"EKSİK",IF($O892&lt;=0,"SIFIR/NEGATİF",IF(COUNTIFS($C$6:$C$5000,$C892,$O$6:$O$5000,$O892,$B$6:$B$5000,$B892)&gt;1,"MÜKERRER","OK"))))</f>
        <v/>
      </c>
    </row>
    <row r="893" ht="16.5" customHeight="1" s="80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7">
        <f>IF($B893="",0,IF($S893="EVET",IF($D893="GELİR",$O893,-$O893),0))</f>
        <v/>
      </c>
      <c r="AA893" s="117">
        <f>IF($B893="",0,IF(OR($W893="EVET",$X893="EVET",$Y893="EVET"),0,IF($D893="GELİR",IF($E893="SATIŞ İADESİ/İSKONTO",-$O893,$O893),-$O893)))</f>
        <v/>
      </c>
      <c r="AB893" s="117">
        <f>IF($B893="","",IF(OR($D893="",$E893="",$O893=""),"EKSİK",IF($O893&lt;=0,"SIFIR/NEGATİF",IF(COUNTIFS($C$6:$C$5000,$C893,$O$6:$O$5000,$O893,$B$6:$B$5000,$B893)&gt;1,"MÜKERRER","OK"))))</f>
        <v/>
      </c>
    </row>
    <row r="894" ht="16.5" customHeight="1" s="80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7">
        <f>IF($B894="",0,IF($S894="EVET",IF($D894="GELİR",$O894,-$O894),0))</f>
        <v/>
      </c>
      <c r="AA894" s="117">
        <f>IF($B894="",0,IF(OR($W894="EVET",$X894="EVET",$Y894="EVET"),0,IF($D894="GELİR",IF($E894="SATIŞ İADESİ/İSKONTO",-$O894,$O894),-$O894)))</f>
        <v/>
      </c>
      <c r="AB894" s="117">
        <f>IF($B894="","",IF(OR($D894="",$E894="",$O894=""),"EKSİK",IF($O894&lt;=0,"SIFIR/NEGATİF",IF(COUNTIFS($C$6:$C$5000,$C894,$O$6:$O$5000,$O894,$B$6:$B$5000,$B894)&gt;1,"MÜKERRER","OK"))))</f>
        <v/>
      </c>
    </row>
    <row r="895" ht="16.5" customHeight="1" s="80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7">
        <f>IF($B895="",0,IF($S895="EVET",IF($D895="GELİR",$O895,-$O895),0))</f>
        <v/>
      </c>
      <c r="AA895" s="117">
        <f>IF($B895="",0,IF(OR($W895="EVET",$X895="EVET",$Y895="EVET"),0,IF($D895="GELİR",IF($E895="SATIŞ İADESİ/İSKONTO",-$O895,$O895),-$O895)))</f>
        <v/>
      </c>
      <c r="AB895" s="117">
        <f>IF($B895="","",IF(OR($D895="",$E895="",$O895=""),"EKSİK",IF($O895&lt;=0,"SIFIR/NEGATİF",IF(COUNTIFS($C$6:$C$5000,$C895,$O$6:$O$5000,$O895,$B$6:$B$5000,$B895)&gt;1,"MÜKERRER","OK"))))</f>
        <v/>
      </c>
    </row>
    <row r="896" ht="16.5" customHeight="1" s="80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7">
        <f>IF($B896="",0,IF($S896="EVET",IF($D896="GELİR",$O896,-$O896),0))</f>
        <v/>
      </c>
      <c r="AA896" s="117">
        <f>IF($B896="",0,IF(OR($W896="EVET",$X896="EVET",$Y896="EVET"),0,IF($D896="GELİR",IF($E896="SATIŞ İADESİ/İSKONTO",-$O896,$O896),-$O896)))</f>
        <v/>
      </c>
      <c r="AB896" s="117">
        <f>IF($B896="","",IF(OR($D896="",$E896="",$O896=""),"EKSİK",IF($O896&lt;=0,"SIFIR/NEGATİF",IF(COUNTIFS($C$6:$C$5000,$C896,$O$6:$O$5000,$O896,$B$6:$B$5000,$B896)&gt;1,"MÜKERRER","OK"))))</f>
        <v/>
      </c>
    </row>
    <row r="897" ht="16.5" customHeight="1" s="80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7">
        <f>IF($B897="",0,IF($S897="EVET",IF($D897="GELİR",$O897,-$O897),0))</f>
        <v/>
      </c>
      <c r="AA897" s="117">
        <f>IF($B897="",0,IF(OR($W897="EVET",$X897="EVET",$Y897="EVET"),0,IF($D897="GELİR",IF($E897="SATIŞ İADESİ/İSKONTO",-$O897,$O897),-$O897)))</f>
        <v/>
      </c>
      <c r="AB897" s="117">
        <f>IF($B897="","",IF(OR($D897="",$E897="",$O897=""),"EKSİK",IF($O897&lt;=0,"SIFIR/NEGATİF",IF(COUNTIFS($C$6:$C$5000,$C897,$O$6:$O$5000,$O897,$B$6:$B$5000,$B897)&gt;1,"MÜKERRER","OK"))))</f>
        <v/>
      </c>
    </row>
    <row r="898" ht="16.5" customHeight="1" s="80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7">
        <f>IF($B898="",0,IF($S898="EVET",IF($D898="GELİR",$O898,-$O898),0))</f>
        <v/>
      </c>
      <c r="AA898" s="117">
        <f>IF($B898="",0,IF(OR($W898="EVET",$X898="EVET",$Y898="EVET"),0,IF($D898="GELİR",IF($E898="SATIŞ İADESİ/İSKONTO",-$O898,$O898),-$O898)))</f>
        <v/>
      </c>
      <c r="AB898" s="117">
        <f>IF($B898="","",IF(OR($D898="",$E898="",$O898=""),"EKSİK",IF($O898&lt;=0,"SIFIR/NEGATİF",IF(COUNTIFS($C$6:$C$5000,$C898,$O$6:$O$5000,$O898,$B$6:$B$5000,$B898)&gt;1,"MÜKERRER","OK"))))</f>
        <v/>
      </c>
    </row>
    <row r="899" ht="16.5" customHeight="1" s="80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7">
        <f>IF($B899="",0,IF($S899="EVET",IF($D899="GELİR",$O899,-$O899),0))</f>
        <v/>
      </c>
      <c r="AA899" s="117">
        <f>IF($B899="",0,IF(OR($W899="EVET",$X899="EVET",$Y899="EVET"),0,IF($D899="GELİR",IF($E899="SATIŞ İADESİ/İSKONTO",-$O899,$O899),-$O899)))</f>
        <v/>
      </c>
      <c r="AB899" s="117">
        <f>IF($B899="","",IF(OR($D899="",$E899="",$O899=""),"EKSİK",IF($O899&lt;=0,"SIFIR/NEGATİF",IF(COUNTIFS($C$6:$C$5000,$C899,$O$6:$O$5000,$O899,$B$6:$B$5000,$B899)&gt;1,"MÜKERRER","OK"))))</f>
        <v/>
      </c>
    </row>
    <row r="900" ht="16.5" customHeight="1" s="8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7">
        <f>IF($B900="",0,IF($S900="EVET",IF($D900="GELİR",$O900,-$O900),0))</f>
        <v/>
      </c>
      <c r="AA900" s="117">
        <f>IF($B900="",0,IF(OR($W900="EVET",$X900="EVET",$Y900="EVET"),0,IF($D900="GELİR",IF($E900="SATIŞ İADESİ/İSKONTO",-$O900,$O900),-$O900)))</f>
        <v/>
      </c>
      <c r="AB900" s="117">
        <f>IF($B900="","",IF(OR($D900="",$E900="",$O900=""),"EKSİK",IF($O900&lt;=0,"SIFIR/NEGATİF",IF(COUNTIFS($C$6:$C$5000,$C900,$O$6:$O$5000,$O900,$B$6:$B$5000,$B900)&gt;1,"MÜKERRER","OK"))))</f>
        <v/>
      </c>
    </row>
    <row r="901" ht="16.5" customHeight="1" s="80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7">
        <f>IF($B901="",0,IF($S901="EVET",IF($D901="GELİR",$O901,-$O901),0))</f>
        <v/>
      </c>
      <c r="AA901" s="117">
        <f>IF($B901="",0,IF(OR($W901="EVET",$X901="EVET",$Y901="EVET"),0,IF($D901="GELİR",IF($E901="SATIŞ İADESİ/İSKONTO",-$O901,$O901),-$O901)))</f>
        <v/>
      </c>
      <c r="AB901" s="117">
        <f>IF($B901="","",IF(OR($D901="",$E901="",$O901=""),"EKSİK",IF($O901&lt;=0,"SIFIR/NEGATİF",IF(COUNTIFS($C$6:$C$5000,$C901,$O$6:$O$5000,$O901,$B$6:$B$5000,$B901)&gt;1,"MÜKERRER","OK"))))</f>
        <v/>
      </c>
    </row>
    <row r="902" ht="16.5" customHeight="1" s="80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7">
        <f>IF($B902="",0,IF($S902="EVET",IF($D902="GELİR",$O902,-$O902),0))</f>
        <v/>
      </c>
      <c r="AA902" s="117">
        <f>IF($B902="",0,IF(OR($W902="EVET",$X902="EVET",$Y902="EVET"),0,IF($D902="GELİR",IF($E902="SATIŞ İADESİ/İSKONTO",-$O902,$O902),-$O902)))</f>
        <v/>
      </c>
      <c r="AB902" s="117">
        <f>IF($B902="","",IF(OR($D902="",$E902="",$O902=""),"EKSİK",IF($O902&lt;=0,"SIFIR/NEGATİF",IF(COUNTIFS($C$6:$C$5000,$C902,$O$6:$O$5000,$O902,$B$6:$B$5000,$B902)&gt;1,"MÜKERRER","OK"))))</f>
        <v/>
      </c>
    </row>
    <row r="903" ht="16.5" customHeight="1" s="80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7">
        <f>IF($B903="",0,IF($S903="EVET",IF($D903="GELİR",$O903,-$O903),0))</f>
        <v/>
      </c>
      <c r="AA903" s="117">
        <f>IF($B903="",0,IF(OR($W903="EVET",$X903="EVET",$Y903="EVET"),0,IF($D903="GELİR",IF($E903="SATIŞ İADESİ/İSKONTO",-$O903,$O903),-$O903)))</f>
        <v/>
      </c>
      <c r="AB903" s="117">
        <f>IF($B903="","",IF(OR($D903="",$E903="",$O903=""),"EKSİK",IF($O903&lt;=0,"SIFIR/NEGATİF",IF(COUNTIFS($C$6:$C$5000,$C903,$O$6:$O$5000,$O903,$B$6:$B$5000,$B903)&gt;1,"MÜKERRER","OK"))))</f>
        <v/>
      </c>
    </row>
    <row r="904" ht="16.5" customHeight="1" s="80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7">
        <f>IF($B904="",0,IF($S904="EVET",IF($D904="GELİR",$O904,-$O904),0))</f>
        <v/>
      </c>
      <c r="AA904" s="117">
        <f>IF($B904="",0,IF(OR($W904="EVET",$X904="EVET",$Y904="EVET"),0,IF($D904="GELİR",IF($E904="SATIŞ İADESİ/İSKONTO",-$O904,$O904),-$O904)))</f>
        <v/>
      </c>
      <c r="AB904" s="117">
        <f>IF($B904="","",IF(OR($D904="",$E904="",$O904=""),"EKSİK",IF($O904&lt;=0,"SIFIR/NEGATİF",IF(COUNTIFS($C$6:$C$5000,$C904,$O$6:$O$5000,$O904,$B$6:$B$5000,$B904)&gt;1,"MÜKERRER","OK"))))</f>
        <v/>
      </c>
    </row>
    <row r="905" ht="16.5" customHeight="1" s="80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7">
        <f>IF($B905="",0,IF($S905="EVET",IF($D905="GELİR",$O905,-$O905),0))</f>
        <v/>
      </c>
      <c r="AA905" s="117">
        <f>IF($B905="",0,IF(OR($W905="EVET",$X905="EVET",$Y905="EVET"),0,IF($D905="GELİR",IF($E905="SATIŞ İADESİ/İSKONTO",-$O905,$O905),-$O905)))</f>
        <v/>
      </c>
      <c r="AB905" s="117">
        <f>IF($B905="","",IF(OR($D905="",$E905="",$O905=""),"EKSİK",IF($O905&lt;=0,"SIFIR/NEGATİF",IF(COUNTIFS($C$6:$C$5000,$C905,$O$6:$O$5000,$O905,$B$6:$B$5000,$B905)&gt;1,"MÜKERRER","OK"))))</f>
        <v/>
      </c>
    </row>
    <row r="906" ht="16.5" customHeight="1" s="80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7">
        <f>IF($B906="",0,IF($S906="EVET",IF($D906="GELİR",$O906,-$O906),0))</f>
        <v/>
      </c>
      <c r="AA906" s="117">
        <f>IF($B906="",0,IF(OR($W906="EVET",$X906="EVET",$Y906="EVET"),0,IF($D906="GELİR",IF($E906="SATIŞ İADESİ/İSKONTO",-$O906,$O906),-$O906)))</f>
        <v/>
      </c>
      <c r="AB906" s="117">
        <f>IF($B906="","",IF(OR($D906="",$E906="",$O906=""),"EKSİK",IF($O906&lt;=0,"SIFIR/NEGATİF",IF(COUNTIFS($C$6:$C$5000,$C906,$O$6:$O$5000,$O906,$B$6:$B$5000,$B906)&gt;1,"MÜKERRER","OK"))))</f>
        <v/>
      </c>
    </row>
    <row r="907" ht="16.5" customHeight="1" s="80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7">
        <f>IF($B907="",0,IF($S907="EVET",IF($D907="GELİR",$O907,-$O907),0))</f>
        <v/>
      </c>
      <c r="AA907" s="117">
        <f>IF($B907="",0,IF(OR($W907="EVET",$X907="EVET",$Y907="EVET"),0,IF($D907="GELİR",IF($E907="SATIŞ İADESİ/İSKONTO",-$O907,$O907),-$O907)))</f>
        <v/>
      </c>
      <c r="AB907" s="117">
        <f>IF($B907="","",IF(OR($D907="",$E907="",$O907=""),"EKSİK",IF($O907&lt;=0,"SIFIR/NEGATİF",IF(COUNTIFS($C$6:$C$5000,$C907,$O$6:$O$5000,$O907,$B$6:$B$5000,$B907)&gt;1,"MÜKERRER","OK"))))</f>
        <v/>
      </c>
    </row>
    <row r="908" ht="16.5" customHeight="1" s="80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7">
        <f>IF($B908="",0,IF($S908="EVET",IF($D908="GELİR",$O908,-$O908),0))</f>
        <v/>
      </c>
      <c r="AA908" s="117">
        <f>IF($B908="",0,IF(OR($W908="EVET",$X908="EVET",$Y908="EVET"),0,IF($D908="GELİR",IF($E908="SATIŞ İADESİ/İSKONTO",-$O908,$O908),-$O908)))</f>
        <v/>
      </c>
      <c r="AB908" s="117">
        <f>IF($B908="","",IF(OR($D908="",$E908="",$O908=""),"EKSİK",IF($O908&lt;=0,"SIFIR/NEGATİF",IF(COUNTIFS($C$6:$C$5000,$C908,$O$6:$O$5000,$O908,$B$6:$B$5000,$B908)&gt;1,"MÜKERRER","OK"))))</f>
        <v/>
      </c>
    </row>
    <row r="909" ht="16.5" customHeight="1" s="80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7">
        <f>IF($B909="",0,IF($S909="EVET",IF($D909="GELİR",$O909,-$O909),0))</f>
        <v/>
      </c>
      <c r="AA909" s="117">
        <f>IF($B909="",0,IF(OR($W909="EVET",$X909="EVET",$Y909="EVET"),0,IF($D909="GELİR",IF($E909="SATIŞ İADESİ/İSKONTO",-$O909,$O909),-$O909)))</f>
        <v/>
      </c>
      <c r="AB909" s="117">
        <f>IF($B909="","",IF(OR($D909="",$E909="",$O909=""),"EKSİK",IF($O909&lt;=0,"SIFIR/NEGATİF",IF(COUNTIFS($C$6:$C$5000,$C909,$O$6:$O$5000,$O909,$B$6:$B$5000,$B909)&gt;1,"MÜKERRER","OK"))))</f>
        <v/>
      </c>
    </row>
    <row r="910" ht="16.5" customHeight="1" s="8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7">
        <f>IF($B910="",0,IF($S910="EVET",IF($D910="GELİR",$O910,-$O910),0))</f>
        <v/>
      </c>
      <c r="AA910" s="117">
        <f>IF($B910="",0,IF(OR($W910="EVET",$X910="EVET",$Y910="EVET"),0,IF($D910="GELİR",IF($E910="SATIŞ İADESİ/İSKONTO",-$O910,$O910),-$O910)))</f>
        <v/>
      </c>
      <c r="AB910" s="117">
        <f>IF($B910="","",IF(OR($D910="",$E910="",$O910=""),"EKSİK",IF($O910&lt;=0,"SIFIR/NEGATİF",IF(COUNTIFS($C$6:$C$5000,$C910,$O$6:$O$5000,$O910,$B$6:$B$5000,$B910)&gt;1,"MÜKERRER","OK"))))</f>
        <v/>
      </c>
    </row>
    <row r="911" ht="16.5" customHeight="1" s="80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7">
        <f>IF($B911="",0,IF($S911="EVET",IF($D911="GELİR",$O911,-$O911),0))</f>
        <v/>
      </c>
      <c r="AA911" s="117">
        <f>IF($B911="",0,IF(OR($W911="EVET",$X911="EVET",$Y911="EVET"),0,IF($D911="GELİR",IF($E911="SATIŞ İADESİ/İSKONTO",-$O911,$O911),-$O911)))</f>
        <v/>
      </c>
      <c r="AB911" s="117">
        <f>IF($B911="","",IF(OR($D911="",$E911="",$O911=""),"EKSİK",IF($O911&lt;=0,"SIFIR/NEGATİF",IF(COUNTIFS($C$6:$C$5000,$C911,$O$6:$O$5000,$O911,$B$6:$B$5000,$B911)&gt;1,"MÜKERRER","OK"))))</f>
        <v/>
      </c>
    </row>
    <row r="912" ht="16.5" customHeight="1" s="80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7">
        <f>IF($B912="",0,IF($S912="EVET",IF($D912="GELİR",$O912,-$O912),0))</f>
        <v/>
      </c>
      <c r="AA912" s="117">
        <f>IF($B912="",0,IF(OR($W912="EVET",$X912="EVET",$Y912="EVET"),0,IF($D912="GELİR",IF($E912="SATIŞ İADESİ/İSKONTO",-$O912,$O912),-$O912)))</f>
        <v/>
      </c>
      <c r="AB912" s="117">
        <f>IF($B912="","",IF(OR($D912="",$E912="",$O912=""),"EKSİK",IF($O912&lt;=0,"SIFIR/NEGATİF",IF(COUNTIFS($C$6:$C$5000,$C912,$O$6:$O$5000,$O912,$B$6:$B$5000,$B912)&gt;1,"MÜKERRER","OK"))))</f>
        <v/>
      </c>
    </row>
    <row r="913" ht="16.5" customHeight="1" s="80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7">
        <f>IF($B913="",0,IF($S913="EVET",IF($D913="GELİR",$O913,-$O913),0))</f>
        <v/>
      </c>
      <c r="AA913" s="117">
        <f>IF($B913="",0,IF(OR($W913="EVET",$X913="EVET",$Y913="EVET"),0,IF($D913="GELİR",IF($E913="SATIŞ İADESİ/İSKONTO",-$O913,$O913),-$O913)))</f>
        <v/>
      </c>
      <c r="AB913" s="117">
        <f>IF($B913="","",IF(OR($D913="",$E913="",$O913=""),"EKSİK",IF($O913&lt;=0,"SIFIR/NEGATİF",IF(COUNTIFS($C$6:$C$5000,$C913,$O$6:$O$5000,$O913,$B$6:$B$5000,$B913)&gt;1,"MÜKERRER","OK"))))</f>
        <v/>
      </c>
    </row>
    <row r="914" ht="16.5" customHeight="1" s="80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7">
        <f>IF($B914="",0,IF($S914="EVET",IF($D914="GELİR",$O914,-$O914),0))</f>
        <v/>
      </c>
      <c r="AA914" s="117">
        <f>IF($B914="",0,IF(OR($W914="EVET",$X914="EVET",$Y914="EVET"),0,IF($D914="GELİR",IF($E914="SATIŞ İADESİ/İSKONTO",-$O914,$O914),-$O914)))</f>
        <v/>
      </c>
      <c r="AB914" s="117">
        <f>IF($B914="","",IF(OR($D914="",$E914="",$O914=""),"EKSİK",IF($O914&lt;=0,"SIFIR/NEGATİF",IF(COUNTIFS($C$6:$C$5000,$C914,$O$6:$O$5000,$O914,$B$6:$B$5000,$B914)&gt;1,"MÜKERRER","OK"))))</f>
        <v/>
      </c>
    </row>
    <row r="915" ht="16.5" customHeight="1" s="80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7">
        <f>IF($B915="",0,IF($S915="EVET",IF($D915="GELİR",$O915,-$O915),0))</f>
        <v/>
      </c>
      <c r="AA915" s="117">
        <f>IF($B915="",0,IF(OR($W915="EVET",$X915="EVET",$Y915="EVET"),0,IF($D915="GELİR",IF($E915="SATIŞ İADESİ/İSKONTO",-$O915,$O915),-$O915)))</f>
        <v/>
      </c>
      <c r="AB915" s="117">
        <f>IF($B915="","",IF(OR($D915="",$E915="",$O915=""),"EKSİK",IF($O915&lt;=0,"SIFIR/NEGATİF",IF(COUNTIFS($C$6:$C$5000,$C915,$O$6:$O$5000,$O915,$B$6:$B$5000,$B915)&gt;1,"MÜKERRER","OK"))))</f>
        <v/>
      </c>
    </row>
    <row r="916" ht="16.5" customHeight="1" s="80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7">
        <f>IF($B916="",0,IF($S916="EVET",IF($D916="GELİR",$O916,-$O916),0))</f>
        <v/>
      </c>
      <c r="AA916" s="117">
        <f>IF($B916="",0,IF(OR($W916="EVET",$X916="EVET",$Y916="EVET"),0,IF($D916="GELİR",IF($E916="SATIŞ İADESİ/İSKONTO",-$O916,$O916),-$O916)))</f>
        <v/>
      </c>
      <c r="AB916" s="117">
        <f>IF($B916="","",IF(OR($D916="",$E916="",$O916=""),"EKSİK",IF($O916&lt;=0,"SIFIR/NEGATİF",IF(COUNTIFS($C$6:$C$5000,$C916,$O$6:$O$5000,$O916,$B$6:$B$5000,$B916)&gt;1,"MÜKERRER","OK"))))</f>
        <v/>
      </c>
    </row>
    <row r="917" ht="16.5" customHeight="1" s="80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7">
        <f>IF($B917="",0,IF($S917="EVET",IF($D917="GELİR",$O917,-$O917),0))</f>
        <v/>
      </c>
      <c r="AA917" s="117">
        <f>IF($B917="",0,IF(OR($W917="EVET",$X917="EVET",$Y917="EVET"),0,IF($D917="GELİR",IF($E917="SATIŞ İADESİ/İSKONTO",-$O917,$O917),-$O917)))</f>
        <v/>
      </c>
      <c r="AB917" s="117">
        <f>IF($B917="","",IF(OR($D917="",$E917="",$O917=""),"EKSİK",IF($O917&lt;=0,"SIFIR/NEGATİF",IF(COUNTIFS($C$6:$C$5000,$C917,$O$6:$O$5000,$O917,$B$6:$B$5000,$B917)&gt;1,"MÜKERRER","OK"))))</f>
        <v/>
      </c>
    </row>
    <row r="918" ht="16.5" customHeight="1" s="80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7">
        <f>IF($B918="",0,IF($S918="EVET",IF($D918="GELİR",$O918,-$O918),0))</f>
        <v/>
      </c>
      <c r="AA918" s="117">
        <f>IF($B918="",0,IF(OR($W918="EVET",$X918="EVET",$Y918="EVET"),0,IF($D918="GELİR",IF($E918="SATIŞ İADESİ/İSKONTO",-$O918,$O918),-$O918)))</f>
        <v/>
      </c>
      <c r="AB918" s="117">
        <f>IF($B918="","",IF(OR($D918="",$E918="",$O918=""),"EKSİK",IF($O918&lt;=0,"SIFIR/NEGATİF",IF(COUNTIFS($C$6:$C$5000,$C918,$O$6:$O$5000,$O918,$B$6:$B$5000,$B918)&gt;1,"MÜKERRER","OK"))))</f>
        <v/>
      </c>
    </row>
    <row r="919" ht="16.5" customHeight="1" s="80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7">
        <f>IF($B919="",0,IF($S919="EVET",IF($D919="GELİR",$O919,-$O919),0))</f>
        <v/>
      </c>
      <c r="AA919" s="117">
        <f>IF($B919="",0,IF(OR($W919="EVET",$X919="EVET",$Y919="EVET"),0,IF($D919="GELİR",IF($E919="SATIŞ İADESİ/İSKONTO",-$O919,$O919),-$O919)))</f>
        <v/>
      </c>
      <c r="AB919" s="117">
        <f>IF($B919="","",IF(OR($D919="",$E919="",$O919=""),"EKSİK",IF($O919&lt;=0,"SIFIR/NEGATİF",IF(COUNTIFS($C$6:$C$5000,$C919,$O$6:$O$5000,$O919,$B$6:$B$5000,$B919)&gt;1,"MÜKERRER","OK"))))</f>
        <v/>
      </c>
    </row>
    <row r="920" ht="16.5" customHeight="1" s="8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7">
        <f>IF($B920="",0,IF($S920="EVET",IF($D920="GELİR",$O920,-$O920),0))</f>
        <v/>
      </c>
      <c r="AA920" s="117">
        <f>IF($B920="",0,IF(OR($W920="EVET",$X920="EVET",$Y920="EVET"),0,IF($D920="GELİR",IF($E920="SATIŞ İADESİ/İSKONTO",-$O920,$O920),-$O920)))</f>
        <v/>
      </c>
      <c r="AB920" s="117">
        <f>IF($B920="","",IF(OR($D920="",$E920="",$O920=""),"EKSİK",IF($O920&lt;=0,"SIFIR/NEGATİF",IF(COUNTIFS($C$6:$C$5000,$C920,$O$6:$O$5000,$O920,$B$6:$B$5000,$B920)&gt;1,"MÜKERRER","OK"))))</f>
        <v/>
      </c>
    </row>
    <row r="921" ht="16.5" customHeight="1" s="80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7">
        <f>IF($B921="",0,IF($S921="EVET",IF($D921="GELİR",$O921,-$O921),0))</f>
        <v/>
      </c>
      <c r="AA921" s="117">
        <f>IF($B921="",0,IF(OR($W921="EVET",$X921="EVET",$Y921="EVET"),0,IF($D921="GELİR",IF($E921="SATIŞ İADESİ/İSKONTO",-$O921,$O921),-$O921)))</f>
        <v/>
      </c>
      <c r="AB921" s="117">
        <f>IF($B921="","",IF(OR($D921="",$E921="",$O921=""),"EKSİK",IF($O921&lt;=0,"SIFIR/NEGATİF",IF(COUNTIFS($C$6:$C$5000,$C921,$O$6:$O$5000,$O921,$B$6:$B$5000,$B921)&gt;1,"MÜKERRER","OK"))))</f>
        <v/>
      </c>
    </row>
    <row r="922" ht="16.5" customHeight="1" s="80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7">
        <f>IF($B922="",0,IF($S922="EVET",IF($D922="GELİR",$O922,-$O922),0))</f>
        <v/>
      </c>
      <c r="AA922" s="117">
        <f>IF($B922="",0,IF(OR($W922="EVET",$X922="EVET",$Y922="EVET"),0,IF($D922="GELİR",IF($E922="SATIŞ İADESİ/İSKONTO",-$O922,$O922),-$O922)))</f>
        <v/>
      </c>
      <c r="AB922" s="117">
        <f>IF($B922="","",IF(OR($D922="",$E922="",$O922=""),"EKSİK",IF($O922&lt;=0,"SIFIR/NEGATİF",IF(COUNTIFS($C$6:$C$5000,$C922,$O$6:$O$5000,$O922,$B$6:$B$5000,$B922)&gt;1,"MÜKERRER","OK"))))</f>
        <v/>
      </c>
    </row>
    <row r="923" ht="16.5" customHeight="1" s="80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7">
        <f>IF($B923="",0,IF($S923="EVET",IF($D923="GELİR",$O923,-$O923),0))</f>
        <v/>
      </c>
      <c r="AA923" s="117">
        <f>IF($B923="",0,IF(OR($W923="EVET",$X923="EVET",$Y923="EVET"),0,IF($D923="GELİR",IF($E923="SATIŞ İADESİ/İSKONTO",-$O923,$O923),-$O923)))</f>
        <v/>
      </c>
      <c r="AB923" s="117">
        <f>IF($B923="","",IF(OR($D923="",$E923="",$O923=""),"EKSİK",IF($O923&lt;=0,"SIFIR/NEGATİF",IF(COUNTIFS($C$6:$C$5000,$C923,$O$6:$O$5000,$O923,$B$6:$B$5000,$B923)&gt;1,"MÜKERRER","OK"))))</f>
        <v/>
      </c>
    </row>
    <row r="924" ht="16.5" customHeight="1" s="80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7">
        <f>IF($B924="",0,IF($S924="EVET",IF($D924="GELİR",$O924,-$O924),0))</f>
        <v/>
      </c>
      <c r="AA924" s="117">
        <f>IF($B924="",0,IF(OR($W924="EVET",$X924="EVET",$Y924="EVET"),0,IF($D924="GELİR",IF($E924="SATIŞ İADESİ/İSKONTO",-$O924,$O924),-$O924)))</f>
        <v/>
      </c>
      <c r="AB924" s="117">
        <f>IF($B924="","",IF(OR($D924="",$E924="",$O924=""),"EKSİK",IF($O924&lt;=0,"SIFIR/NEGATİF",IF(COUNTIFS($C$6:$C$5000,$C924,$O$6:$O$5000,$O924,$B$6:$B$5000,$B924)&gt;1,"MÜKERRER","OK"))))</f>
        <v/>
      </c>
    </row>
    <row r="925" ht="16.5" customHeight="1" s="80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7">
        <f>IF($B925="",0,IF($S925="EVET",IF($D925="GELİR",$O925,-$O925),0))</f>
        <v/>
      </c>
      <c r="AA925" s="117">
        <f>IF($B925="",0,IF(OR($W925="EVET",$X925="EVET",$Y925="EVET"),0,IF($D925="GELİR",IF($E925="SATIŞ İADESİ/İSKONTO",-$O925,$O925),-$O925)))</f>
        <v/>
      </c>
      <c r="AB925" s="117">
        <f>IF($B925="","",IF(OR($D925="",$E925="",$O925=""),"EKSİK",IF($O925&lt;=0,"SIFIR/NEGATİF",IF(COUNTIFS($C$6:$C$5000,$C925,$O$6:$O$5000,$O925,$B$6:$B$5000,$B925)&gt;1,"MÜKERRER","OK"))))</f>
        <v/>
      </c>
    </row>
    <row r="926" ht="16.5" customHeight="1" s="80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7">
        <f>IF($B926="",0,IF($S926="EVET",IF($D926="GELİR",$O926,-$O926),0))</f>
        <v/>
      </c>
      <c r="AA926" s="117">
        <f>IF($B926="",0,IF(OR($W926="EVET",$X926="EVET",$Y926="EVET"),0,IF($D926="GELİR",IF($E926="SATIŞ İADESİ/İSKONTO",-$O926,$O926),-$O926)))</f>
        <v/>
      </c>
      <c r="AB926" s="117">
        <f>IF($B926="","",IF(OR($D926="",$E926="",$O926=""),"EKSİK",IF($O926&lt;=0,"SIFIR/NEGATİF",IF(COUNTIFS($C$6:$C$5000,$C926,$O$6:$O$5000,$O926,$B$6:$B$5000,$B926)&gt;1,"MÜKERRER","OK"))))</f>
        <v/>
      </c>
    </row>
    <row r="927" ht="16.5" customHeight="1" s="80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7">
        <f>IF($B927="",0,IF($S927="EVET",IF($D927="GELİR",$O927,-$O927),0))</f>
        <v/>
      </c>
      <c r="AA927" s="117">
        <f>IF($B927="",0,IF(OR($W927="EVET",$X927="EVET",$Y927="EVET"),0,IF($D927="GELİR",IF($E927="SATIŞ İADESİ/İSKONTO",-$O927,$O927),-$O927)))</f>
        <v/>
      </c>
      <c r="AB927" s="117">
        <f>IF($B927="","",IF(OR($D927="",$E927="",$O927=""),"EKSİK",IF($O927&lt;=0,"SIFIR/NEGATİF",IF(COUNTIFS($C$6:$C$5000,$C927,$O$6:$O$5000,$O927,$B$6:$B$5000,$B927)&gt;1,"MÜKERRER","OK"))))</f>
        <v/>
      </c>
    </row>
    <row r="928" ht="16.5" customHeight="1" s="80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7">
        <f>IF($B928="",0,IF($S928="EVET",IF($D928="GELİR",$O928,-$O928),0))</f>
        <v/>
      </c>
      <c r="AA928" s="117">
        <f>IF($B928="",0,IF(OR($W928="EVET",$X928="EVET",$Y928="EVET"),0,IF($D928="GELİR",IF($E928="SATIŞ İADESİ/İSKONTO",-$O928,$O928),-$O928)))</f>
        <v/>
      </c>
      <c r="AB928" s="117">
        <f>IF($B928="","",IF(OR($D928="",$E928="",$O928=""),"EKSİK",IF($O928&lt;=0,"SIFIR/NEGATİF",IF(COUNTIFS($C$6:$C$5000,$C928,$O$6:$O$5000,$O928,$B$6:$B$5000,$B928)&gt;1,"MÜKERRER","OK"))))</f>
        <v/>
      </c>
    </row>
    <row r="929" ht="16.5" customHeight="1" s="80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7">
        <f>IF($B929="",0,IF($S929="EVET",IF($D929="GELİR",$O929,-$O929),0))</f>
        <v/>
      </c>
      <c r="AA929" s="117">
        <f>IF($B929="",0,IF(OR($W929="EVET",$X929="EVET",$Y929="EVET"),0,IF($D929="GELİR",IF($E929="SATIŞ İADESİ/İSKONTO",-$O929,$O929),-$O929)))</f>
        <v/>
      </c>
      <c r="AB929" s="117">
        <f>IF($B929="","",IF(OR($D929="",$E929="",$O929=""),"EKSİK",IF($O929&lt;=0,"SIFIR/NEGATİF",IF(COUNTIFS($C$6:$C$5000,$C929,$O$6:$O$5000,$O929,$B$6:$B$5000,$B929)&gt;1,"MÜKERRER","OK"))))</f>
        <v/>
      </c>
    </row>
    <row r="930" ht="16.5" customHeight="1" s="8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7">
        <f>IF($B930="",0,IF($S930="EVET",IF($D930="GELİR",$O930,-$O930),0))</f>
        <v/>
      </c>
      <c r="AA930" s="117">
        <f>IF($B930="",0,IF(OR($W930="EVET",$X930="EVET",$Y930="EVET"),0,IF($D930="GELİR",IF($E930="SATIŞ İADESİ/İSKONTO",-$O930,$O930),-$O930)))</f>
        <v/>
      </c>
      <c r="AB930" s="117">
        <f>IF($B930="","",IF(OR($D930="",$E930="",$O930=""),"EKSİK",IF($O930&lt;=0,"SIFIR/NEGATİF",IF(COUNTIFS($C$6:$C$5000,$C930,$O$6:$O$5000,$O930,$B$6:$B$5000,$B930)&gt;1,"MÜKERRER","OK"))))</f>
        <v/>
      </c>
    </row>
    <row r="931" ht="16.5" customHeight="1" s="80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7">
        <f>IF($B931="",0,IF($S931="EVET",IF($D931="GELİR",$O931,-$O931),0))</f>
        <v/>
      </c>
      <c r="AA931" s="117">
        <f>IF($B931="",0,IF(OR($W931="EVET",$X931="EVET",$Y931="EVET"),0,IF($D931="GELİR",IF($E931="SATIŞ İADESİ/İSKONTO",-$O931,$O931),-$O931)))</f>
        <v/>
      </c>
      <c r="AB931" s="117">
        <f>IF($B931="","",IF(OR($D931="",$E931="",$O931=""),"EKSİK",IF($O931&lt;=0,"SIFIR/NEGATİF",IF(COUNTIFS($C$6:$C$5000,$C931,$O$6:$O$5000,$O931,$B$6:$B$5000,$B931)&gt;1,"MÜKERRER","OK"))))</f>
        <v/>
      </c>
    </row>
    <row r="932" ht="16.5" customHeight="1" s="80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7">
        <f>IF($B932="",0,IF($S932="EVET",IF($D932="GELİR",$O932,-$O932),0))</f>
        <v/>
      </c>
      <c r="AA932" s="117">
        <f>IF($B932="",0,IF(OR($W932="EVET",$X932="EVET",$Y932="EVET"),0,IF($D932="GELİR",IF($E932="SATIŞ İADESİ/İSKONTO",-$O932,$O932),-$O932)))</f>
        <v/>
      </c>
      <c r="AB932" s="117">
        <f>IF($B932="","",IF(OR($D932="",$E932="",$O932=""),"EKSİK",IF($O932&lt;=0,"SIFIR/NEGATİF",IF(COUNTIFS($C$6:$C$5000,$C932,$O$6:$O$5000,$O932,$B$6:$B$5000,$B932)&gt;1,"MÜKERRER","OK"))))</f>
        <v/>
      </c>
    </row>
    <row r="933" ht="16.5" customHeight="1" s="80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7">
        <f>IF($B933="",0,IF($S933="EVET",IF($D933="GELİR",$O933,-$O933),0))</f>
        <v/>
      </c>
      <c r="AA933" s="117">
        <f>IF($B933="",0,IF(OR($W933="EVET",$X933="EVET",$Y933="EVET"),0,IF($D933="GELİR",IF($E933="SATIŞ İADESİ/İSKONTO",-$O933,$O933),-$O933)))</f>
        <v/>
      </c>
      <c r="AB933" s="117">
        <f>IF($B933="","",IF(OR($D933="",$E933="",$O933=""),"EKSİK",IF($O933&lt;=0,"SIFIR/NEGATİF",IF(COUNTIFS($C$6:$C$5000,$C933,$O$6:$O$5000,$O933,$B$6:$B$5000,$B933)&gt;1,"MÜKERRER","OK"))))</f>
        <v/>
      </c>
    </row>
    <row r="934" ht="16.5" customHeight="1" s="80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7">
        <f>IF($B934="",0,IF($S934="EVET",IF($D934="GELİR",$O934,-$O934),0))</f>
        <v/>
      </c>
      <c r="AA934" s="117">
        <f>IF($B934="",0,IF(OR($W934="EVET",$X934="EVET",$Y934="EVET"),0,IF($D934="GELİR",IF($E934="SATIŞ İADESİ/İSKONTO",-$O934,$O934),-$O934)))</f>
        <v/>
      </c>
      <c r="AB934" s="117">
        <f>IF($B934="","",IF(OR($D934="",$E934="",$O934=""),"EKSİK",IF($O934&lt;=0,"SIFIR/NEGATİF",IF(COUNTIFS($C$6:$C$5000,$C934,$O$6:$O$5000,$O934,$B$6:$B$5000,$B934)&gt;1,"MÜKERRER","OK"))))</f>
        <v/>
      </c>
    </row>
    <row r="935" ht="16.5" customHeight="1" s="80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7">
        <f>IF($B935="",0,IF($S935="EVET",IF($D935="GELİR",$O935,-$O935),0))</f>
        <v/>
      </c>
      <c r="AA935" s="117">
        <f>IF($B935="",0,IF(OR($W935="EVET",$X935="EVET",$Y935="EVET"),0,IF($D935="GELİR",IF($E935="SATIŞ İADESİ/İSKONTO",-$O935,$O935),-$O935)))</f>
        <v/>
      </c>
      <c r="AB935" s="117">
        <f>IF($B935="","",IF(OR($D935="",$E935="",$O935=""),"EKSİK",IF($O935&lt;=0,"SIFIR/NEGATİF",IF(COUNTIFS($C$6:$C$5000,$C935,$O$6:$O$5000,$O935,$B$6:$B$5000,$B935)&gt;1,"MÜKERRER","OK"))))</f>
        <v/>
      </c>
    </row>
    <row r="936" ht="16.5" customHeight="1" s="80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7">
        <f>IF($B936="",0,IF($S936="EVET",IF($D936="GELİR",$O936,-$O936),0))</f>
        <v/>
      </c>
      <c r="AA936" s="117">
        <f>IF($B936="",0,IF(OR($W936="EVET",$X936="EVET",$Y936="EVET"),0,IF($D936="GELİR",IF($E936="SATIŞ İADESİ/İSKONTO",-$O936,$O936),-$O936)))</f>
        <v/>
      </c>
      <c r="AB936" s="117">
        <f>IF($B936="","",IF(OR($D936="",$E936="",$O936=""),"EKSİK",IF($O936&lt;=0,"SIFIR/NEGATİF",IF(COUNTIFS($C$6:$C$5000,$C936,$O$6:$O$5000,$O936,$B$6:$B$5000,$B936)&gt;1,"MÜKERRER","OK"))))</f>
        <v/>
      </c>
    </row>
    <row r="937" ht="16.5" customHeight="1" s="80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7">
        <f>IF($B937="",0,IF($S937="EVET",IF($D937="GELİR",$O937,-$O937),0))</f>
        <v/>
      </c>
      <c r="AA937" s="117">
        <f>IF($B937="",0,IF(OR($W937="EVET",$X937="EVET",$Y937="EVET"),0,IF($D937="GELİR",IF($E937="SATIŞ İADESİ/İSKONTO",-$O937,$O937),-$O937)))</f>
        <v/>
      </c>
      <c r="AB937" s="117">
        <f>IF($B937="","",IF(OR($D937="",$E937="",$O937=""),"EKSİK",IF($O937&lt;=0,"SIFIR/NEGATİF",IF(COUNTIFS($C$6:$C$5000,$C937,$O$6:$O$5000,$O937,$B$6:$B$5000,$B937)&gt;1,"MÜKERRER","OK"))))</f>
        <v/>
      </c>
    </row>
    <row r="938" ht="16.5" customHeight="1" s="80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7">
        <f>IF($B938="",0,IF($S938="EVET",IF($D938="GELİR",$O938,-$O938),0))</f>
        <v/>
      </c>
      <c r="AA938" s="117">
        <f>IF($B938="",0,IF(OR($W938="EVET",$X938="EVET",$Y938="EVET"),0,IF($D938="GELİR",IF($E938="SATIŞ İADESİ/İSKONTO",-$O938,$O938),-$O938)))</f>
        <v/>
      </c>
      <c r="AB938" s="117">
        <f>IF($B938="","",IF(OR($D938="",$E938="",$O938=""),"EKSİK",IF($O938&lt;=0,"SIFIR/NEGATİF",IF(COUNTIFS($C$6:$C$5000,$C938,$O$6:$O$5000,$O938,$B$6:$B$5000,$B938)&gt;1,"MÜKERRER","OK"))))</f>
        <v/>
      </c>
    </row>
    <row r="939" ht="16.5" customHeight="1" s="80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7">
        <f>IF($B939="",0,IF($S939="EVET",IF($D939="GELİR",$O939,-$O939),0))</f>
        <v/>
      </c>
      <c r="AA939" s="117">
        <f>IF($B939="",0,IF(OR($W939="EVET",$X939="EVET",$Y939="EVET"),0,IF($D939="GELİR",IF($E939="SATIŞ İADESİ/İSKONTO",-$O939,$O939),-$O939)))</f>
        <v/>
      </c>
      <c r="AB939" s="117">
        <f>IF($B939="","",IF(OR($D939="",$E939="",$O939=""),"EKSİK",IF($O939&lt;=0,"SIFIR/NEGATİF",IF(COUNTIFS($C$6:$C$5000,$C939,$O$6:$O$5000,$O939,$B$6:$B$5000,$B939)&gt;1,"MÜKERRER","OK"))))</f>
        <v/>
      </c>
    </row>
    <row r="940" ht="16.5" customHeight="1" s="8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7">
        <f>IF($B940="",0,IF($S940="EVET",IF($D940="GELİR",$O940,-$O940),0))</f>
        <v/>
      </c>
      <c r="AA940" s="117">
        <f>IF($B940="",0,IF(OR($W940="EVET",$X940="EVET",$Y940="EVET"),0,IF($D940="GELİR",IF($E940="SATIŞ İADESİ/İSKONTO",-$O940,$O940),-$O940)))</f>
        <v/>
      </c>
      <c r="AB940" s="117">
        <f>IF($B940="","",IF(OR($D940="",$E940="",$O940=""),"EKSİK",IF($O940&lt;=0,"SIFIR/NEGATİF",IF(COUNTIFS($C$6:$C$5000,$C940,$O$6:$O$5000,$O940,$B$6:$B$5000,$B940)&gt;1,"MÜKERRER","OK"))))</f>
        <v/>
      </c>
    </row>
    <row r="941" ht="16.5" customHeight="1" s="80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7">
        <f>IF($B941="",0,IF($S941="EVET",IF($D941="GELİR",$O941,-$O941),0))</f>
        <v/>
      </c>
      <c r="AA941" s="117">
        <f>IF($B941="",0,IF(OR($W941="EVET",$X941="EVET",$Y941="EVET"),0,IF($D941="GELİR",IF($E941="SATIŞ İADESİ/İSKONTO",-$O941,$O941),-$O941)))</f>
        <v/>
      </c>
      <c r="AB941" s="117">
        <f>IF($B941="","",IF(OR($D941="",$E941="",$O941=""),"EKSİK",IF($O941&lt;=0,"SIFIR/NEGATİF",IF(COUNTIFS($C$6:$C$5000,$C941,$O$6:$O$5000,$O941,$B$6:$B$5000,$B941)&gt;1,"MÜKERRER","OK"))))</f>
        <v/>
      </c>
    </row>
    <row r="942" ht="16.5" customHeight="1" s="80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7">
        <f>IF($B942="",0,IF($S942="EVET",IF($D942="GELİR",$O942,-$O942),0))</f>
        <v/>
      </c>
      <c r="AA942" s="117">
        <f>IF($B942="",0,IF(OR($W942="EVET",$X942="EVET",$Y942="EVET"),0,IF($D942="GELİR",IF($E942="SATIŞ İADESİ/İSKONTO",-$O942,$O942),-$O942)))</f>
        <v/>
      </c>
      <c r="AB942" s="117">
        <f>IF($B942="","",IF(OR($D942="",$E942="",$O942=""),"EKSİK",IF($O942&lt;=0,"SIFIR/NEGATİF",IF(COUNTIFS($C$6:$C$5000,$C942,$O$6:$O$5000,$O942,$B$6:$B$5000,$B942)&gt;1,"MÜKERRER","OK"))))</f>
        <v/>
      </c>
    </row>
    <row r="943" ht="16.5" customHeight="1" s="80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7">
        <f>IF($B943="",0,IF($S943="EVET",IF($D943="GELİR",$O943,-$O943),0))</f>
        <v/>
      </c>
      <c r="AA943" s="117">
        <f>IF($B943="",0,IF(OR($W943="EVET",$X943="EVET",$Y943="EVET"),0,IF($D943="GELİR",IF($E943="SATIŞ İADESİ/İSKONTO",-$O943,$O943),-$O943)))</f>
        <v/>
      </c>
      <c r="AB943" s="117">
        <f>IF($B943="","",IF(OR($D943="",$E943="",$O943=""),"EKSİK",IF($O943&lt;=0,"SIFIR/NEGATİF",IF(COUNTIFS($C$6:$C$5000,$C943,$O$6:$O$5000,$O943,$B$6:$B$5000,$B943)&gt;1,"MÜKERRER","OK"))))</f>
        <v/>
      </c>
    </row>
    <row r="944" ht="16.5" customHeight="1" s="80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7">
        <f>IF($B944="",0,IF($S944="EVET",IF($D944="GELİR",$O944,-$O944),0))</f>
        <v/>
      </c>
      <c r="AA944" s="117">
        <f>IF($B944="",0,IF(OR($W944="EVET",$X944="EVET",$Y944="EVET"),0,IF($D944="GELİR",IF($E944="SATIŞ İADESİ/İSKONTO",-$O944,$O944),-$O944)))</f>
        <v/>
      </c>
      <c r="AB944" s="117">
        <f>IF($B944="","",IF(OR($D944="",$E944="",$O944=""),"EKSİK",IF($O944&lt;=0,"SIFIR/NEGATİF",IF(COUNTIFS($C$6:$C$5000,$C944,$O$6:$O$5000,$O944,$B$6:$B$5000,$B944)&gt;1,"MÜKERRER","OK"))))</f>
        <v/>
      </c>
    </row>
    <row r="945" ht="16.5" customHeight="1" s="80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7">
        <f>IF($B945="",0,IF($S945="EVET",IF($D945="GELİR",$O945,-$O945),0))</f>
        <v/>
      </c>
      <c r="AA945" s="117">
        <f>IF($B945="",0,IF(OR($W945="EVET",$X945="EVET",$Y945="EVET"),0,IF($D945="GELİR",IF($E945="SATIŞ İADESİ/İSKONTO",-$O945,$O945),-$O945)))</f>
        <v/>
      </c>
      <c r="AB945" s="117">
        <f>IF($B945="","",IF(OR($D945="",$E945="",$O945=""),"EKSİK",IF($O945&lt;=0,"SIFIR/NEGATİF",IF(COUNTIFS($C$6:$C$5000,$C945,$O$6:$O$5000,$O945,$B$6:$B$5000,$B945)&gt;1,"MÜKERRER","OK"))))</f>
        <v/>
      </c>
    </row>
    <row r="946" ht="16.5" customHeight="1" s="80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7">
        <f>IF($B946="",0,IF($S946="EVET",IF($D946="GELİR",$O946,-$O946),0))</f>
        <v/>
      </c>
      <c r="AA946" s="117">
        <f>IF($B946="",0,IF(OR($W946="EVET",$X946="EVET",$Y946="EVET"),0,IF($D946="GELİR",IF($E946="SATIŞ İADESİ/İSKONTO",-$O946,$O946),-$O946)))</f>
        <v/>
      </c>
      <c r="AB946" s="117">
        <f>IF($B946="","",IF(OR($D946="",$E946="",$O946=""),"EKSİK",IF($O946&lt;=0,"SIFIR/NEGATİF",IF(COUNTIFS($C$6:$C$5000,$C946,$O$6:$O$5000,$O946,$B$6:$B$5000,$B946)&gt;1,"MÜKERRER","OK"))))</f>
        <v/>
      </c>
    </row>
    <row r="947" ht="16.5" customHeight="1" s="80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7">
        <f>IF($B947="",0,IF($S947="EVET",IF($D947="GELİR",$O947,-$O947),0))</f>
        <v/>
      </c>
      <c r="AA947" s="117">
        <f>IF($B947="",0,IF(OR($W947="EVET",$X947="EVET",$Y947="EVET"),0,IF($D947="GELİR",IF($E947="SATIŞ İADESİ/İSKONTO",-$O947,$O947),-$O947)))</f>
        <v/>
      </c>
      <c r="AB947" s="117">
        <f>IF($B947="","",IF(OR($D947="",$E947="",$O947=""),"EKSİK",IF($O947&lt;=0,"SIFIR/NEGATİF",IF(COUNTIFS($C$6:$C$5000,$C947,$O$6:$O$5000,$O947,$B$6:$B$5000,$B947)&gt;1,"MÜKERRER","OK"))))</f>
        <v/>
      </c>
    </row>
    <row r="948" ht="16.5" customHeight="1" s="80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7">
        <f>IF($B948="",0,IF($S948="EVET",IF($D948="GELİR",$O948,-$O948),0))</f>
        <v/>
      </c>
      <c r="AA948" s="117">
        <f>IF($B948="",0,IF(OR($W948="EVET",$X948="EVET",$Y948="EVET"),0,IF($D948="GELİR",IF($E948="SATIŞ İADESİ/İSKONTO",-$O948,$O948),-$O948)))</f>
        <v/>
      </c>
      <c r="AB948" s="117">
        <f>IF($B948="","",IF(OR($D948="",$E948="",$O948=""),"EKSİK",IF($O948&lt;=0,"SIFIR/NEGATİF",IF(COUNTIFS($C$6:$C$5000,$C948,$O$6:$O$5000,$O948,$B$6:$B$5000,$B948)&gt;1,"MÜKERRER","OK"))))</f>
        <v/>
      </c>
    </row>
    <row r="949" ht="16.5" customHeight="1" s="80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7">
        <f>IF($B949="",0,IF($S949="EVET",IF($D949="GELİR",$O949,-$O949),0))</f>
        <v/>
      </c>
      <c r="AA949" s="117">
        <f>IF($B949="",0,IF(OR($W949="EVET",$X949="EVET",$Y949="EVET"),0,IF($D949="GELİR",IF($E949="SATIŞ İADESİ/İSKONTO",-$O949,$O949),-$O949)))</f>
        <v/>
      </c>
      <c r="AB949" s="117">
        <f>IF($B949="","",IF(OR($D949="",$E949="",$O949=""),"EKSİK",IF($O949&lt;=0,"SIFIR/NEGATİF",IF(COUNTIFS($C$6:$C$5000,$C949,$O$6:$O$5000,$O949,$B$6:$B$5000,$B949)&gt;1,"MÜKERRER","OK"))))</f>
        <v/>
      </c>
    </row>
    <row r="950" ht="16.5" customHeight="1" s="8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7">
        <f>IF($B950="",0,IF($S950="EVET",IF($D950="GELİR",$O950,-$O950),0))</f>
        <v/>
      </c>
      <c r="AA950" s="117">
        <f>IF($B950="",0,IF(OR($W950="EVET",$X950="EVET",$Y950="EVET"),0,IF($D950="GELİR",IF($E950="SATIŞ İADESİ/İSKONTO",-$O950,$O950),-$O950)))</f>
        <v/>
      </c>
      <c r="AB950" s="117">
        <f>IF($B950="","",IF(OR($D950="",$E950="",$O950=""),"EKSİK",IF($O950&lt;=0,"SIFIR/NEGATİF",IF(COUNTIFS($C$6:$C$5000,$C950,$O$6:$O$5000,$O950,$B$6:$B$5000,$B950)&gt;1,"MÜKERRER","OK"))))</f>
        <v/>
      </c>
    </row>
    <row r="951" ht="16.5" customHeight="1" s="80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7">
        <f>IF($B951="",0,IF($S951="EVET",IF($D951="GELİR",$O951,-$O951),0))</f>
        <v/>
      </c>
      <c r="AA951" s="117">
        <f>IF($B951="",0,IF(OR($W951="EVET",$X951="EVET",$Y951="EVET"),0,IF($D951="GELİR",IF($E951="SATIŞ İADESİ/İSKONTO",-$O951,$O951),-$O951)))</f>
        <v/>
      </c>
      <c r="AB951" s="117">
        <f>IF($B951="","",IF(OR($D951="",$E951="",$O951=""),"EKSİK",IF($O951&lt;=0,"SIFIR/NEGATİF",IF(COUNTIFS($C$6:$C$5000,$C951,$O$6:$O$5000,$O951,$B$6:$B$5000,$B951)&gt;1,"MÜKERRER","OK"))))</f>
        <v/>
      </c>
    </row>
    <row r="952" ht="16.5" customHeight="1" s="80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7">
        <f>IF($B952="",0,IF($S952="EVET",IF($D952="GELİR",$O952,-$O952),0))</f>
        <v/>
      </c>
      <c r="AA952" s="117">
        <f>IF($B952="",0,IF(OR($W952="EVET",$X952="EVET",$Y952="EVET"),0,IF($D952="GELİR",IF($E952="SATIŞ İADESİ/İSKONTO",-$O952,$O952),-$O952)))</f>
        <v/>
      </c>
      <c r="AB952" s="117">
        <f>IF($B952="","",IF(OR($D952="",$E952="",$O952=""),"EKSİK",IF($O952&lt;=0,"SIFIR/NEGATİF",IF(COUNTIFS($C$6:$C$5000,$C952,$O$6:$O$5000,$O952,$B$6:$B$5000,$B952)&gt;1,"MÜKERRER","OK"))))</f>
        <v/>
      </c>
    </row>
    <row r="953" ht="16.5" customHeight="1" s="80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7">
        <f>IF($B953="",0,IF($S953="EVET",IF($D953="GELİR",$O953,-$O953),0))</f>
        <v/>
      </c>
      <c r="AA953" s="117">
        <f>IF($B953="",0,IF(OR($W953="EVET",$X953="EVET",$Y953="EVET"),0,IF($D953="GELİR",IF($E953="SATIŞ İADESİ/İSKONTO",-$O953,$O953),-$O953)))</f>
        <v/>
      </c>
      <c r="AB953" s="117">
        <f>IF($B953="","",IF(OR($D953="",$E953="",$O953=""),"EKSİK",IF($O953&lt;=0,"SIFIR/NEGATİF",IF(COUNTIFS($C$6:$C$5000,$C953,$O$6:$O$5000,$O953,$B$6:$B$5000,$B953)&gt;1,"MÜKERRER","OK"))))</f>
        <v/>
      </c>
    </row>
    <row r="954" ht="16.5" customHeight="1" s="80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7">
        <f>IF($B954="",0,IF($S954="EVET",IF($D954="GELİR",$O954,-$O954),0))</f>
        <v/>
      </c>
      <c r="AA954" s="117">
        <f>IF($B954="",0,IF(OR($W954="EVET",$X954="EVET",$Y954="EVET"),0,IF($D954="GELİR",IF($E954="SATIŞ İADESİ/İSKONTO",-$O954,$O954),-$O954)))</f>
        <v/>
      </c>
      <c r="AB954" s="117">
        <f>IF($B954="","",IF(OR($D954="",$E954="",$O954=""),"EKSİK",IF($O954&lt;=0,"SIFIR/NEGATİF",IF(COUNTIFS($C$6:$C$5000,$C954,$O$6:$O$5000,$O954,$B$6:$B$5000,$B954)&gt;1,"MÜKERRER","OK"))))</f>
        <v/>
      </c>
    </row>
    <row r="955" ht="16.5" customHeight="1" s="80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7">
        <f>IF($B955="",0,IF($S955="EVET",IF($D955="GELİR",$O955,-$O955),0))</f>
        <v/>
      </c>
      <c r="AA955" s="117">
        <f>IF($B955="",0,IF(OR($W955="EVET",$X955="EVET",$Y955="EVET"),0,IF($D955="GELİR",IF($E955="SATIŞ İADESİ/İSKONTO",-$O955,$O955),-$O955)))</f>
        <v/>
      </c>
      <c r="AB955" s="117">
        <f>IF($B955="","",IF(OR($D955="",$E955="",$O955=""),"EKSİK",IF($O955&lt;=0,"SIFIR/NEGATİF",IF(COUNTIFS($C$6:$C$5000,$C955,$O$6:$O$5000,$O955,$B$6:$B$5000,$B955)&gt;1,"MÜKERRER","OK"))))</f>
        <v/>
      </c>
    </row>
    <row r="956" ht="16.5" customHeight="1" s="80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7">
        <f>IF($B956="",0,IF($S956="EVET",IF($D956="GELİR",$O956,-$O956),0))</f>
        <v/>
      </c>
      <c r="AA956" s="117">
        <f>IF($B956="",0,IF(OR($W956="EVET",$X956="EVET",$Y956="EVET"),0,IF($D956="GELİR",IF($E956="SATIŞ İADESİ/İSKONTO",-$O956,$O956),-$O956)))</f>
        <v/>
      </c>
      <c r="AB956" s="117">
        <f>IF($B956="","",IF(OR($D956="",$E956="",$O956=""),"EKSİK",IF($O956&lt;=0,"SIFIR/NEGATİF",IF(COUNTIFS($C$6:$C$5000,$C956,$O$6:$O$5000,$O956,$B$6:$B$5000,$B956)&gt;1,"MÜKERRER","OK"))))</f>
        <v/>
      </c>
    </row>
    <row r="957" ht="16.5" customHeight="1" s="80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7">
        <f>IF($B957="",0,IF($S957="EVET",IF($D957="GELİR",$O957,-$O957),0))</f>
        <v/>
      </c>
      <c r="AA957" s="117">
        <f>IF($B957="",0,IF(OR($W957="EVET",$X957="EVET",$Y957="EVET"),0,IF($D957="GELİR",IF($E957="SATIŞ İADESİ/İSKONTO",-$O957,$O957),-$O957)))</f>
        <v/>
      </c>
      <c r="AB957" s="117">
        <f>IF($B957="","",IF(OR($D957="",$E957="",$O957=""),"EKSİK",IF($O957&lt;=0,"SIFIR/NEGATİF",IF(COUNTIFS($C$6:$C$5000,$C957,$O$6:$O$5000,$O957,$B$6:$B$5000,$B957)&gt;1,"MÜKERRER","OK"))))</f>
        <v/>
      </c>
    </row>
    <row r="958" ht="16.5" customHeight="1" s="80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7">
        <f>IF($B958="",0,IF($S958="EVET",IF($D958="GELİR",$O958,-$O958),0))</f>
        <v/>
      </c>
      <c r="AA958" s="117">
        <f>IF($B958="",0,IF(OR($W958="EVET",$X958="EVET",$Y958="EVET"),0,IF($D958="GELİR",IF($E958="SATIŞ İADESİ/İSKONTO",-$O958,$O958),-$O958)))</f>
        <v/>
      </c>
      <c r="AB958" s="117">
        <f>IF($B958="","",IF(OR($D958="",$E958="",$O958=""),"EKSİK",IF($O958&lt;=0,"SIFIR/NEGATİF",IF(COUNTIFS($C$6:$C$5000,$C958,$O$6:$O$5000,$O958,$B$6:$B$5000,$B958)&gt;1,"MÜKERRER","OK"))))</f>
        <v/>
      </c>
    </row>
    <row r="959" ht="16.5" customHeight="1" s="80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7">
        <f>IF($B959="",0,IF($S959="EVET",IF($D959="GELİR",$O959,-$O959),0))</f>
        <v/>
      </c>
      <c r="AA959" s="117">
        <f>IF($B959="",0,IF(OR($W959="EVET",$X959="EVET",$Y959="EVET"),0,IF($D959="GELİR",IF($E959="SATIŞ İADESİ/İSKONTO",-$O959,$O959),-$O959)))</f>
        <v/>
      </c>
      <c r="AB959" s="117">
        <f>IF($B959="","",IF(OR($D959="",$E959="",$O959=""),"EKSİK",IF($O959&lt;=0,"SIFIR/NEGATİF",IF(COUNTIFS($C$6:$C$5000,$C959,$O$6:$O$5000,$O959,$B$6:$B$5000,$B959)&gt;1,"MÜKERRER","OK"))))</f>
        <v/>
      </c>
    </row>
    <row r="960" ht="16.5" customHeight="1" s="8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7">
        <f>IF($B960="",0,IF($S960="EVET",IF($D960="GELİR",$O960,-$O960),0))</f>
        <v/>
      </c>
      <c r="AA960" s="117">
        <f>IF($B960="",0,IF(OR($W960="EVET",$X960="EVET",$Y960="EVET"),0,IF($D960="GELİR",IF($E960="SATIŞ İADESİ/İSKONTO",-$O960,$O960),-$O960)))</f>
        <v/>
      </c>
      <c r="AB960" s="117">
        <f>IF($B960="","",IF(OR($D960="",$E960="",$O960=""),"EKSİK",IF($O960&lt;=0,"SIFIR/NEGATİF",IF(COUNTIFS($C$6:$C$5000,$C960,$O$6:$O$5000,$O960,$B$6:$B$5000,$B960)&gt;1,"MÜKERRER","OK"))))</f>
        <v/>
      </c>
    </row>
    <row r="961" ht="16.5" customHeight="1" s="80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7">
        <f>IF($B961="",0,IF($S961="EVET",IF($D961="GELİR",$O961,-$O961),0))</f>
        <v/>
      </c>
      <c r="AA961" s="117">
        <f>IF($B961="",0,IF(OR($W961="EVET",$X961="EVET",$Y961="EVET"),0,IF($D961="GELİR",IF($E961="SATIŞ İADESİ/İSKONTO",-$O961,$O961),-$O961)))</f>
        <v/>
      </c>
      <c r="AB961" s="117">
        <f>IF($B961="","",IF(OR($D961="",$E961="",$O961=""),"EKSİK",IF($O961&lt;=0,"SIFIR/NEGATİF",IF(COUNTIFS($C$6:$C$5000,$C961,$O$6:$O$5000,$O961,$B$6:$B$5000,$B961)&gt;1,"MÜKERRER","OK"))))</f>
        <v/>
      </c>
    </row>
    <row r="962" ht="16.5" customHeight="1" s="80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7">
        <f>IF($B962="",0,IF($S962="EVET",IF($D962="GELİR",$O962,-$O962),0))</f>
        <v/>
      </c>
      <c r="AA962" s="117">
        <f>IF($B962="",0,IF(OR($W962="EVET",$X962="EVET",$Y962="EVET"),0,IF($D962="GELİR",IF($E962="SATIŞ İADESİ/İSKONTO",-$O962,$O962),-$O962)))</f>
        <v/>
      </c>
      <c r="AB962" s="117">
        <f>IF($B962="","",IF(OR($D962="",$E962="",$O962=""),"EKSİK",IF($O962&lt;=0,"SIFIR/NEGATİF",IF(COUNTIFS($C$6:$C$5000,$C962,$O$6:$O$5000,$O962,$B$6:$B$5000,$B962)&gt;1,"MÜKERRER","OK"))))</f>
        <v/>
      </c>
    </row>
    <row r="963" ht="16.5" customHeight="1" s="80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7">
        <f>IF($B963="",0,IF($S963="EVET",IF($D963="GELİR",$O963,-$O963),0))</f>
        <v/>
      </c>
      <c r="AA963" s="117">
        <f>IF($B963="",0,IF(OR($W963="EVET",$X963="EVET",$Y963="EVET"),0,IF($D963="GELİR",IF($E963="SATIŞ İADESİ/İSKONTO",-$O963,$O963),-$O963)))</f>
        <v/>
      </c>
      <c r="AB963" s="117">
        <f>IF($B963="","",IF(OR($D963="",$E963="",$O963=""),"EKSİK",IF($O963&lt;=0,"SIFIR/NEGATİF",IF(COUNTIFS($C$6:$C$5000,$C963,$O$6:$O$5000,$O963,$B$6:$B$5000,$B963)&gt;1,"MÜKERRER","OK"))))</f>
        <v/>
      </c>
    </row>
    <row r="964" ht="16.5" customHeight="1" s="80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7">
        <f>IF($B964="",0,IF($S964="EVET",IF($D964="GELİR",$O964,-$O964),0))</f>
        <v/>
      </c>
      <c r="AA964" s="117">
        <f>IF($B964="",0,IF(OR($W964="EVET",$X964="EVET",$Y964="EVET"),0,IF($D964="GELİR",IF($E964="SATIŞ İADESİ/İSKONTO",-$O964,$O964),-$O964)))</f>
        <v/>
      </c>
      <c r="AB964" s="117">
        <f>IF($B964="","",IF(OR($D964="",$E964="",$O964=""),"EKSİK",IF($O964&lt;=0,"SIFIR/NEGATİF",IF(COUNTIFS($C$6:$C$5000,$C964,$O$6:$O$5000,$O964,$B$6:$B$5000,$B964)&gt;1,"MÜKERRER","OK"))))</f>
        <v/>
      </c>
    </row>
    <row r="965" ht="16.5" customHeight="1" s="80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7">
        <f>IF($B965="",0,IF($S965="EVET",IF($D965="GELİR",$O965,-$O965),0))</f>
        <v/>
      </c>
      <c r="AA965" s="117">
        <f>IF($B965="",0,IF(OR($W965="EVET",$X965="EVET",$Y965="EVET"),0,IF($D965="GELİR",IF($E965="SATIŞ İADESİ/İSKONTO",-$O965,$O965),-$O965)))</f>
        <v/>
      </c>
      <c r="AB965" s="117">
        <f>IF($B965="","",IF(OR($D965="",$E965="",$O965=""),"EKSİK",IF($O965&lt;=0,"SIFIR/NEGATİF",IF(COUNTIFS($C$6:$C$5000,$C965,$O$6:$O$5000,$O965,$B$6:$B$5000,$B965)&gt;1,"MÜKERRER","OK"))))</f>
        <v/>
      </c>
    </row>
    <row r="966" ht="16.5" customHeight="1" s="80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7">
        <f>IF($B966="",0,IF($S966="EVET",IF($D966="GELİR",$O966,-$O966),0))</f>
        <v/>
      </c>
      <c r="AA966" s="117">
        <f>IF($B966="",0,IF(OR($W966="EVET",$X966="EVET",$Y966="EVET"),0,IF($D966="GELİR",IF($E966="SATIŞ İADESİ/İSKONTO",-$O966,$O966),-$O966)))</f>
        <v/>
      </c>
      <c r="AB966" s="117">
        <f>IF($B966="","",IF(OR($D966="",$E966="",$O966=""),"EKSİK",IF($O966&lt;=0,"SIFIR/NEGATİF",IF(COUNTIFS($C$6:$C$5000,$C966,$O$6:$O$5000,$O966,$B$6:$B$5000,$B966)&gt;1,"MÜKERRER","OK"))))</f>
        <v/>
      </c>
    </row>
    <row r="967" ht="16.5" customHeight="1" s="80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7">
        <f>IF($B967="",0,IF($S967="EVET",IF($D967="GELİR",$O967,-$O967),0))</f>
        <v/>
      </c>
      <c r="AA967" s="117">
        <f>IF($B967="",0,IF(OR($W967="EVET",$X967="EVET",$Y967="EVET"),0,IF($D967="GELİR",IF($E967="SATIŞ İADESİ/İSKONTO",-$O967,$O967),-$O967)))</f>
        <v/>
      </c>
      <c r="AB967" s="117">
        <f>IF($B967="","",IF(OR($D967="",$E967="",$O967=""),"EKSİK",IF($O967&lt;=0,"SIFIR/NEGATİF",IF(COUNTIFS($C$6:$C$5000,$C967,$O$6:$O$5000,$O967,$B$6:$B$5000,$B967)&gt;1,"MÜKERRER","OK"))))</f>
        <v/>
      </c>
    </row>
    <row r="968" ht="16.5" customHeight="1" s="80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7">
        <f>IF($B968="",0,IF($S968="EVET",IF($D968="GELİR",$O968,-$O968),0))</f>
        <v/>
      </c>
      <c r="AA968" s="117">
        <f>IF($B968="",0,IF(OR($W968="EVET",$X968="EVET",$Y968="EVET"),0,IF($D968="GELİR",IF($E968="SATIŞ İADESİ/İSKONTO",-$O968,$O968),-$O968)))</f>
        <v/>
      </c>
      <c r="AB968" s="117">
        <f>IF($B968="","",IF(OR($D968="",$E968="",$O968=""),"EKSİK",IF($O968&lt;=0,"SIFIR/NEGATİF",IF(COUNTIFS($C$6:$C$5000,$C968,$O$6:$O$5000,$O968,$B$6:$B$5000,$B968)&gt;1,"MÜKERRER","OK"))))</f>
        <v/>
      </c>
    </row>
    <row r="969" ht="16.5" customHeight="1" s="80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7">
        <f>IF($B969="",0,IF($S969="EVET",IF($D969="GELİR",$O969,-$O969),0))</f>
        <v/>
      </c>
      <c r="AA969" s="117">
        <f>IF($B969="",0,IF(OR($W969="EVET",$X969="EVET",$Y969="EVET"),0,IF($D969="GELİR",IF($E969="SATIŞ İADESİ/İSKONTO",-$O969,$O969),-$O969)))</f>
        <v/>
      </c>
      <c r="AB969" s="117">
        <f>IF($B969="","",IF(OR($D969="",$E969="",$O969=""),"EKSİK",IF($O969&lt;=0,"SIFIR/NEGATİF",IF(COUNTIFS($C$6:$C$5000,$C969,$O$6:$O$5000,$O969,$B$6:$B$5000,$B969)&gt;1,"MÜKERRER","OK"))))</f>
        <v/>
      </c>
    </row>
    <row r="970" ht="16.5" customHeight="1" s="8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7">
        <f>IF($B970="",0,IF($S970="EVET",IF($D970="GELİR",$O970,-$O970),0))</f>
        <v/>
      </c>
      <c r="AA970" s="117">
        <f>IF($B970="",0,IF(OR($W970="EVET",$X970="EVET",$Y970="EVET"),0,IF($D970="GELİR",IF($E970="SATIŞ İADESİ/İSKONTO",-$O970,$O970),-$O970)))</f>
        <v/>
      </c>
      <c r="AB970" s="117">
        <f>IF($B970="","",IF(OR($D970="",$E970="",$O970=""),"EKSİK",IF($O970&lt;=0,"SIFIR/NEGATİF",IF(COUNTIFS($C$6:$C$5000,$C970,$O$6:$O$5000,$O970,$B$6:$B$5000,$B970)&gt;1,"MÜKERRER","OK"))))</f>
        <v/>
      </c>
    </row>
    <row r="971" ht="16.5" customHeight="1" s="80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7">
        <f>IF($B971="",0,IF($S971="EVET",IF($D971="GELİR",$O971,-$O971),0))</f>
        <v/>
      </c>
      <c r="AA971" s="117">
        <f>IF($B971="",0,IF(OR($W971="EVET",$X971="EVET",$Y971="EVET"),0,IF($D971="GELİR",IF($E971="SATIŞ İADESİ/İSKONTO",-$O971,$O971),-$O971)))</f>
        <v/>
      </c>
      <c r="AB971" s="117">
        <f>IF($B971="","",IF(OR($D971="",$E971="",$O971=""),"EKSİK",IF($O971&lt;=0,"SIFIR/NEGATİF",IF(COUNTIFS($C$6:$C$5000,$C971,$O$6:$O$5000,$O971,$B$6:$B$5000,$B971)&gt;1,"MÜKERRER","OK"))))</f>
        <v/>
      </c>
    </row>
    <row r="972" ht="16.5" customHeight="1" s="80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7">
        <f>IF($B972="",0,IF($S972="EVET",IF($D972="GELİR",$O972,-$O972),0))</f>
        <v/>
      </c>
      <c r="AA972" s="117">
        <f>IF($B972="",0,IF(OR($W972="EVET",$X972="EVET",$Y972="EVET"),0,IF($D972="GELİR",IF($E972="SATIŞ İADESİ/İSKONTO",-$O972,$O972),-$O972)))</f>
        <v/>
      </c>
      <c r="AB972" s="117">
        <f>IF($B972="","",IF(OR($D972="",$E972="",$O972=""),"EKSİK",IF($O972&lt;=0,"SIFIR/NEGATİF",IF(COUNTIFS($C$6:$C$5000,$C972,$O$6:$O$5000,$O972,$B$6:$B$5000,$B972)&gt;1,"MÜKERRER","OK"))))</f>
        <v/>
      </c>
    </row>
    <row r="973" ht="16.5" customHeight="1" s="80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7">
        <f>IF($B973="",0,IF($S973="EVET",IF($D973="GELİR",$O973,-$O973),0))</f>
        <v/>
      </c>
      <c r="AA973" s="117">
        <f>IF($B973="",0,IF(OR($W973="EVET",$X973="EVET",$Y973="EVET"),0,IF($D973="GELİR",IF($E973="SATIŞ İADESİ/İSKONTO",-$O973,$O973),-$O973)))</f>
        <v/>
      </c>
      <c r="AB973" s="117">
        <f>IF($B973="","",IF(OR($D973="",$E973="",$O973=""),"EKSİK",IF($O973&lt;=0,"SIFIR/NEGATİF",IF(COUNTIFS($C$6:$C$5000,$C973,$O$6:$O$5000,$O973,$B$6:$B$5000,$B973)&gt;1,"MÜKERRER","OK"))))</f>
        <v/>
      </c>
    </row>
    <row r="974" ht="16.5" customHeight="1" s="80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7">
        <f>IF($B974="",0,IF($S974="EVET",IF($D974="GELİR",$O974,-$O974),0))</f>
        <v/>
      </c>
      <c r="AA974" s="117">
        <f>IF($B974="",0,IF(OR($W974="EVET",$X974="EVET",$Y974="EVET"),0,IF($D974="GELİR",IF($E974="SATIŞ İADESİ/İSKONTO",-$O974,$O974),-$O974)))</f>
        <v/>
      </c>
      <c r="AB974" s="117">
        <f>IF($B974="","",IF(OR($D974="",$E974="",$O974=""),"EKSİK",IF($O974&lt;=0,"SIFIR/NEGATİF",IF(COUNTIFS($C$6:$C$5000,$C974,$O$6:$O$5000,$O974,$B$6:$B$5000,$B974)&gt;1,"MÜKERRER","OK"))))</f>
        <v/>
      </c>
    </row>
    <row r="975" ht="16.5" customHeight="1" s="80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7">
        <f>IF($B975="",0,IF($S975="EVET",IF($D975="GELİR",$O975,-$O975),0))</f>
        <v/>
      </c>
      <c r="AA975" s="117">
        <f>IF($B975="",0,IF(OR($W975="EVET",$X975="EVET",$Y975="EVET"),0,IF($D975="GELİR",IF($E975="SATIŞ İADESİ/İSKONTO",-$O975,$O975),-$O975)))</f>
        <v/>
      </c>
      <c r="AB975" s="117">
        <f>IF($B975="","",IF(OR($D975="",$E975="",$O975=""),"EKSİK",IF($O975&lt;=0,"SIFIR/NEGATİF",IF(COUNTIFS($C$6:$C$5000,$C975,$O$6:$O$5000,$O975,$B$6:$B$5000,$B975)&gt;1,"MÜKERRER","OK"))))</f>
        <v/>
      </c>
    </row>
    <row r="976" ht="16.5" customHeight="1" s="80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7">
        <f>IF($B976="",0,IF($S976="EVET",IF($D976="GELİR",$O976,-$O976),0))</f>
        <v/>
      </c>
      <c r="AA976" s="117">
        <f>IF($B976="",0,IF(OR($W976="EVET",$X976="EVET",$Y976="EVET"),0,IF($D976="GELİR",IF($E976="SATIŞ İADESİ/İSKONTO",-$O976,$O976),-$O976)))</f>
        <v/>
      </c>
      <c r="AB976" s="117">
        <f>IF($B976="","",IF(OR($D976="",$E976="",$O976=""),"EKSİK",IF($O976&lt;=0,"SIFIR/NEGATİF",IF(COUNTIFS($C$6:$C$5000,$C976,$O$6:$O$5000,$O976,$B$6:$B$5000,$B976)&gt;1,"MÜKERRER","OK"))))</f>
        <v/>
      </c>
    </row>
    <row r="977" ht="16.5" customHeight="1" s="80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7">
        <f>IF($B977="",0,IF($S977="EVET",IF($D977="GELİR",$O977,-$O977),0))</f>
        <v/>
      </c>
      <c r="AA977" s="117">
        <f>IF($B977="",0,IF(OR($W977="EVET",$X977="EVET",$Y977="EVET"),0,IF($D977="GELİR",IF($E977="SATIŞ İADESİ/İSKONTO",-$O977,$O977),-$O977)))</f>
        <v/>
      </c>
      <c r="AB977" s="117">
        <f>IF($B977="","",IF(OR($D977="",$E977="",$O977=""),"EKSİK",IF($O977&lt;=0,"SIFIR/NEGATİF",IF(COUNTIFS($C$6:$C$5000,$C977,$O$6:$O$5000,$O977,$B$6:$B$5000,$B977)&gt;1,"MÜKERRER","OK"))))</f>
        <v/>
      </c>
    </row>
    <row r="978" ht="16.5" customHeight="1" s="80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7">
        <f>IF($B978="",0,IF($S978="EVET",IF($D978="GELİR",$O978,-$O978),0))</f>
        <v/>
      </c>
      <c r="AA978" s="117">
        <f>IF($B978="",0,IF(OR($W978="EVET",$X978="EVET",$Y978="EVET"),0,IF($D978="GELİR",IF($E978="SATIŞ İADESİ/İSKONTO",-$O978,$O978),-$O978)))</f>
        <v/>
      </c>
      <c r="AB978" s="117">
        <f>IF($B978="","",IF(OR($D978="",$E978="",$O978=""),"EKSİK",IF($O978&lt;=0,"SIFIR/NEGATİF",IF(COUNTIFS($C$6:$C$5000,$C978,$O$6:$O$5000,$O978,$B$6:$B$5000,$B978)&gt;1,"MÜKERRER","OK"))))</f>
        <v/>
      </c>
    </row>
    <row r="979" ht="16.5" customHeight="1" s="80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7">
        <f>IF($B979="",0,IF($S979="EVET",IF($D979="GELİR",$O979,-$O979),0))</f>
        <v/>
      </c>
      <c r="AA979" s="117">
        <f>IF($B979="",0,IF(OR($W979="EVET",$X979="EVET",$Y979="EVET"),0,IF($D979="GELİR",IF($E979="SATIŞ İADESİ/İSKONTO",-$O979,$O979),-$O979)))</f>
        <v/>
      </c>
      <c r="AB979" s="117">
        <f>IF($B979="","",IF(OR($D979="",$E979="",$O979=""),"EKSİK",IF($O979&lt;=0,"SIFIR/NEGATİF",IF(COUNTIFS($C$6:$C$5000,$C979,$O$6:$O$5000,$O979,$B$6:$B$5000,$B979)&gt;1,"MÜKERRER","OK"))))</f>
        <v/>
      </c>
    </row>
    <row r="980" ht="16.5" customHeight="1" s="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7">
        <f>IF($B980="",0,IF($S980="EVET",IF($D980="GELİR",$O980,-$O980),0))</f>
        <v/>
      </c>
      <c r="AA980" s="117">
        <f>IF($B980="",0,IF(OR($W980="EVET",$X980="EVET",$Y980="EVET"),0,IF($D980="GELİR",IF($E980="SATIŞ İADESİ/İSKONTO",-$O980,$O980),-$O980)))</f>
        <v/>
      </c>
      <c r="AB980" s="117">
        <f>IF($B980="","",IF(OR($D980="",$E980="",$O980=""),"EKSİK",IF($O980&lt;=0,"SIFIR/NEGATİF",IF(COUNTIFS($C$6:$C$5000,$C980,$O$6:$O$5000,$O980,$B$6:$B$5000,$B980)&gt;1,"MÜKERRER","OK"))))</f>
        <v/>
      </c>
    </row>
    <row r="981" ht="16.5" customHeight="1" s="80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7">
        <f>IF($B981="",0,IF($S981="EVET",IF($D981="GELİR",$O981,-$O981),0))</f>
        <v/>
      </c>
      <c r="AA981" s="117">
        <f>IF($B981="",0,IF(OR($W981="EVET",$X981="EVET",$Y981="EVET"),0,IF($D981="GELİR",IF($E981="SATIŞ İADESİ/İSKONTO",-$O981,$O981),-$O981)))</f>
        <v/>
      </c>
      <c r="AB981" s="117">
        <f>IF($B981="","",IF(OR($D981="",$E981="",$O981=""),"EKSİK",IF($O981&lt;=0,"SIFIR/NEGATİF",IF(COUNTIFS($C$6:$C$5000,$C981,$O$6:$O$5000,$O981,$B$6:$B$5000,$B981)&gt;1,"MÜKERRER","OK"))))</f>
        <v/>
      </c>
    </row>
    <row r="982" ht="16.5" customHeight="1" s="80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7">
        <f>IF($B982="",0,IF($S982="EVET",IF($D982="GELİR",$O982,-$O982),0))</f>
        <v/>
      </c>
      <c r="AA982" s="117">
        <f>IF($B982="",0,IF(OR($W982="EVET",$X982="EVET",$Y982="EVET"),0,IF($D982="GELİR",IF($E982="SATIŞ İADESİ/İSKONTO",-$O982,$O982),-$O982)))</f>
        <v/>
      </c>
      <c r="AB982" s="117">
        <f>IF($B982="","",IF(OR($D982="",$E982="",$O982=""),"EKSİK",IF($O982&lt;=0,"SIFIR/NEGATİF",IF(COUNTIFS($C$6:$C$5000,$C982,$O$6:$O$5000,$O982,$B$6:$B$5000,$B982)&gt;1,"MÜKERRER","OK"))))</f>
        <v/>
      </c>
    </row>
    <row r="983" ht="16.5" customHeight="1" s="80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7">
        <f>IF($B983="",0,IF($S983="EVET",IF($D983="GELİR",$O983,-$O983),0))</f>
        <v/>
      </c>
      <c r="AA983" s="117">
        <f>IF($B983="",0,IF(OR($W983="EVET",$X983="EVET",$Y983="EVET"),0,IF($D983="GELİR",IF($E983="SATIŞ İADESİ/İSKONTO",-$O983,$O983),-$O983)))</f>
        <v/>
      </c>
      <c r="AB983" s="117">
        <f>IF($B983="","",IF(OR($D983="",$E983="",$O983=""),"EKSİK",IF($O983&lt;=0,"SIFIR/NEGATİF",IF(COUNTIFS($C$6:$C$5000,$C983,$O$6:$O$5000,$O983,$B$6:$B$5000,$B983)&gt;1,"MÜKERRER","OK"))))</f>
        <v/>
      </c>
    </row>
    <row r="984" ht="16.5" customHeight="1" s="80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7">
        <f>IF($B984="",0,IF($S984="EVET",IF($D984="GELİR",$O984,-$O984),0))</f>
        <v/>
      </c>
      <c r="AA984" s="117">
        <f>IF($B984="",0,IF(OR($W984="EVET",$X984="EVET",$Y984="EVET"),0,IF($D984="GELİR",IF($E984="SATIŞ İADESİ/İSKONTO",-$O984,$O984),-$O984)))</f>
        <v/>
      </c>
      <c r="AB984" s="117">
        <f>IF($B984="","",IF(OR($D984="",$E984="",$O984=""),"EKSİK",IF($O984&lt;=0,"SIFIR/NEGATİF",IF(COUNTIFS($C$6:$C$5000,$C984,$O$6:$O$5000,$O984,$B$6:$B$5000,$B984)&gt;1,"MÜKERRER","OK"))))</f>
        <v/>
      </c>
    </row>
    <row r="985" ht="16.5" customHeight="1" s="80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7">
        <f>IF($B985="",0,IF($S985="EVET",IF($D985="GELİR",$O985,-$O985),0))</f>
        <v/>
      </c>
      <c r="AA985" s="117">
        <f>IF($B985="",0,IF(OR($W985="EVET",$X985="EVET",$Y985="EVET"),0,IF($D985="GELİR",IF($E985="SATIŞ İADESİ/İSKONTO",-$O985,$O985),-$O985)))</f>
        <v/>
      </c>
      <c r="AB985" s="117">
        <f>IF($B985="","",IF(OR($D985="",$E985="",$O985=""),"EKSİK",IF($O985&lt;=0,"SIFIR/NEGATİF",IF(COUNTIFS($C$6:$C$5000,$C985,$O$6:$O$5000,$O985,$B$6:$B$5000,$B985)&gt;1,"MÜKERRER","OK"))))</f>
        <v/>
      </c>
    </row>
    <row r="986" ht="16.5" customHeight="1" s="80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7">
        <f>IF($B986="",0,IF($S986="EVET",IF($D986="GELİR",$O986,-$O986),0))</f>
        <v/>
      </c>
      <c r="AA986" s="117">
        <f>IF($B986="",0,IF(OR($W986="EVET",$X986="EVET",$Y986="EVET"),0,IF($D986="GELİR",IF($E986="SATIŞ İADESİ/İSKONTO",-$O986,$O986),-$O986)))</f>
        <v/>
      </c>
      <c r="AB986" s="117">
        <f>IF($B986="","",IF(OR($D986="",$E986="",$O986=""),"EKSİK",IF($O986&lt;=0,"SIFIR/NEGATİF",IF(COUNTIFS($C$6:$C$5000,$C986,$O$6:$O$5000,$O986,$B$6:$B$5000,$B986)&gt;1,"MÜKERRER","OK"))))</f>
        <v/>
      </c>
    </row>
    <row r="987" ht="16.5" customHeight="1" s="80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7">
        <f>IF($B987="",0,IF($S987="EVET",IF($D987="GELİR",$O987,-$O987),0))</f>
        <v/>
      </c>
      <c r="AA987" s="117">
        <f>IF($B987="",0,IF(OR($W987="EVET",$X987="EVET",$Y987="EVET"),0,IF($D987="GELİR",IF($E987="SATIŞ İADESİ/İSKONTO",-$O987,$O987),-$O987)))</f>
        <v/>
      </c>
      <c r="AB987" s="117">
        <f>IF($B987="","",IF(OR($D987="",$E987="",$O987=""),"EKSİK",IF($O987&lt;=0,"SIFIR/NEGATİF",IF(COUNTIFS($C$6:$C$5000,$C987,$O$6:$O$5000,$O987,$B$6:$B$5000,$B987)&gt;1,"MÜKERRER","OK"))))</f>
        <v/>
      </c>
    </row>
    <row r="988" ht="16.5" customHeight="1" s="80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7">
        <f>IF($B988="",0,IF($S988="EVET",IF($D988="GELİR",$O988,-$O988),0))</f>
        <v/>
      </c>
      <c r="AA988" s="117">
        <f>IF($B988="",0,IF(OR($W988="EVET",$X988="EVET",$Y988="EVET"),0,IF($D988="GELİR",IF($E988="SATIŞ İADESİ/İSKONTO",-$O988,$O988),-$O988)))</f>
        <v/>
      </c>
      <c r="AB988" s="117">
        <f>IF($B988="","",IF(OR($D988="",$E988="",$O988=""),"EKSİK",IF($O988&lt;=0,"SIFIR/NEGATİF",IF(COUNTIFS($C$6:$C$5000,$C988,$O$6:$O$5000,$O988,$B$6:$B$5000,$B988)&gt;1,"MÜKERRER","OK"))))</f>
        <v/>
      </c>
    </row>
    <row r="989" ht="16.5" customHeight="1" s="80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7">
        <f>IF($B989="",0,IF($S989="EVET",IF($D989="GELİR",$O989,-$O989),0))</f>
        <v/>
      </c>
      <c r="AA989" s="117">
        <f>IF($B989="",0,IF(OR($W989="EVET",$X989="EVET",$Y989="EVET"),0,IF($D989="GELİR",IF($E989="SATIŞ İADESİ/İSKONTO",-$O989,$O989),-$O989)))</f>
        <v/>
      </c>
      <c r="AB989" s="117">
        <f>IF($B989="","",IF(OR($D989="",$E989="",$O989=""),"EKSİK",IF($O989&lt;=0,"SIFIR/NEGATİF",IF(COUNTIFS($C$6:$C$5000,$C989,$O$6:$O$5000,$O989,$B$6:$B$5000,$B989)&gt;1,"MÜKERRER","OK"))))</f>
        <v/>
      </c>
    </row>
    <row r="990" ht="16.5" customHeight="1" s="8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7">
        <f>IF($B990="",0,IF($S990="EVET",IF($D990="GELİR",$O990,-$O990),0))</f>
        <v/>
      </c>
      <c r="AA990" s="117">
        <f>IF($B990="",0,IF(OR($W990="EVET",$X990="EVET",$Y990="EVET"),0,IF($D990="GELİR",IF($E990="SATIŞ İADESİ/İSKONTO",-$O990,$O990),-$O990)))</f>
        <v/>
      </c>
      <c r="AB990" s="117">
        <f>IF($B990="","",IF(OR($D990="",$E990="",$O990=""),"EKSİK",IF($O990&lt;=0,"SIFIR/NEGATİF",IF(COUNTIFS($C$6:$C$5000,$C990,$O$6:$O$5000,$O990,$B$6:$B$5000,$B990)&gt;1,"MÜKERRER","OK"))))</f>
        <v/>
      </c>
    </row>
    <row r="991" ht="16.5" customHeight="1" s="80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7">
        <f>IF($B991="",0,IF($S991="EVET",IF($D991="GELİR",$O991,-$O991),0))</f>
        <v/>
      </c>
      <c r="AA991" s="117">
        <f>IF($B991="",0,IF(OR($W991="EVET",$X991="EVET",$Y991="EVET"),0,IF($D991="GELİR",IF($E991="SATIŞ İADESİ/İSKONTO",-$O991,$O991),-$O991)))</f>
        <v/>
      </c>
      <c r="AB991" s="117">
        <f>IF($B991="","",IF(OR($D991="",$E991="",$O991=""),"EKSİK",IF($O991&lt;=0,"SIFIR/NEGATİF",IF(COUNTIFS($C$6:$C$5000,$C991,$O$6:$O$5000,$O991,$B$6:$B$5000,$B991)&gt;1,"MÜKERRER","OK"))))</f>
        <v/>
      </c>
    </row>
    <row r="992" ht="16.5" customHeight="1" s="80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7">
        <f>IF($B992="",0,IF($S992="EVET",IF($D992="GELİR",$O992,-$O992),0))</f>
        <v/>
      </c>
      <c r="AA992" s="117">
        <f>IF($B992="",0,IF(OR($W992="EVET",$X992="EVET",$Y992="EVET"),0,IF($D992="GELİR",IF($E992="SATIŞ İADESİ/İSKONTO",-$O992,$O992),-$O992)))</f>
        <v/>
      </c>
      <c r="AB992" s="117">
        <f>IF($B992="","",IF(OR($D992="",$E992="",$O992=""),"EKSİK",IF($O992&lt;=0,"SIFIR/NEGATİF",IF(COUNTIFS($C$6:$C$5000,$C992,$O$6:$O$5000,$O992,$B$6:$B$5000,$B992)&gt;1,"MÜKERRER","OK"))))</f>
        <v/>
      </c>
    </row>
    <row r="993" ht="16.5" customHeight="1" s="80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7">
        <f>IF($B993="",0,IF($S993="EVET",IF($D993="GELİR",$O993,-$O993),0))</f>
        <v/>
      </c>
      <c r="AA993" s="117">
        <f>IF($B993="",0,IF(OR($W993="EVET",$X993="EVET",$Y993="EVET"),0,IF($D993="GELİR",IF($E993="SATIŞ İADESİ/İSKONTO",-$O993,$O993),-$O993)))</f>
        <v/>
      </c>
      <c r="AB993" s="117">
        <f>IF($B993="","",IF(OR($D993="",$E993="",$O993=""),"EKSİK",IF($O993&lt;=0,"SIFIR/NEGATİF",IF(COUNTIFS($C$6:$C$5000,$C993,$O$6:$O$5000,$O993,$B$6:$B$5000,$B993)&gt;1,"MÜKERRER","OK"))))</f>
        <v/>
      </c>
    </row>
    <row r="994" ht="16.5" customHeight="1" s="80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7">
        <f>IF($B994="",0,IF($S994="EVET",IF($D994="GELİR",$O994,-$O994),0))</f>
        <v/>
      </c>
      <c r="AA994" s="117">
        <f>IF($B994="",0,IF(OR($W994="EVET",$X994="EVET",$Y994="EVET"),0,IF($D994="GELİR",IF($E994="SATIŞ İADESİ/İSKONTO",-$O994,$O994),-$O994)))</f>
        <v/>
      </c>
      <c r="AB994" s="117">
        <f>IF($B994="","",IF(OR($D994="",$E994="",$O994=""),"EKSİK",IF($O994&lt;=0,"SIFIR/NEGATİF",IF(COUNTIFS($C$6:$C$5000,$C994,$O$6:$O$5000,$O994,$B$6:$B$5000,$B994)&gt;1,"MÜKERRER","OK"))))</f>
        <v/>
      </c>
    </row>
    <row r="995" ht="16.5" customHeight="1" s="80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7">
        <f>IF($B995="",0,IF($S995="EVET",IF($D995="GELİR",$O995,-$O995),0))</f>
        <v/>
      </c>
      <c r="AA995" s="117">
        <f>IF($B995="",0,IF(OR($W995="EVET",$X995="EVET",$Y995="EVET"),0,IF($D995="GELİR",IF($E995="SATIŞ İADESİ/İSKONTO",-$O995,$O995),-$O995)))</f>
        <v/>
      </c>
      <c r="AB995" s="117">
        <f>IF($B995="","",IF(OR($D995="",$E995="",$O995=""),"EKSİK",IF($O995&lt;=0,"SIFIR/NEGATİF",IF(COUNTIFS($C$6:$C$5000,$C995,$O$6:$O$5000,$O995,$B$6:$B$5000,$B995)&gt;1,"MÜKERRER","OK"))))</f>
        <v/>
      </c>
    </row>
    <row r="996" ht="16.5" customHeight="1" s="80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7">
        <f>IF($B996="",0,IF($S996="EVET",IF($D996="GELİR",$O996,-$O996),0))</f>
        <v/>
      </c>
      <c r="AA996" s="117">
        <f>IF($B996="",0,IF(OR($W996="EVET",$X996="EVET",$Y996="EVET"),0,IF($D996="GELİR",IF($E996="SATIŞ İADESİ/İSKONTO",-$O996,$O996),-$O996)))</f>
        <v/>
      </c>
      <c r="AB996" s="117">
        <f>IF($B996="","",IF(OR($D996="",$E996="",$O996=""),"EKSİK",IF($O996&lt;=0,"SIFIR/NEGATİF",IF(COUNTIFS($C$6:$C$5000,$C996,$O$6:$O$5000,$O996,$B$6:$B$5000,$B996)&gt;1,"MÜKERRER","OK"))))</f>
        <v/>
      </c>
    </row>
    <row r="997" ht="16.5" customHeight="1" s="80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7">
        <f>IF($B997="",0,IF($S997="EVET",IF($D997="GELİR",$O997,-$O997),0))</f>
        <v/>
      </c>
      <c r="AA997" s="117">
        <f>IF($B997="",0,IF(OR($W997="EVET",$X997="EVET",$Y997="EVET"),0,IF($D997="GELİR",IF($E997="SATIŞ İADESİ/İSKONTO",-$O997,$O997),-$O997)))</f>
        <v/>
      </c>
      <c r="AB997" s="117">
        <f>IF($B997="","",IF(OR($D997="",$E997="",$O997=""),"EKSİK",IF($O997&lt;=0,"SIFIR/NEGATİF",IF(COUNTIFS($C$6:$C$5000,$C997,$O$6:$O$5000,$O997,$B$6:$B$5000,$B997)&gt;1,"MÜKERRER","OK"))))</f>
        <v/>
      </c>
    </row>
    <row r="998" ht="16.5" customHeight="1" s="80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7">
        <f>IF($B998="",0,IF($S998="EVET",IF($D998="GELİR",$O998,-$O998),0))</f>
        <v/>
      </c>
      <c r="AA998" s="117">
        <f>IF($B998="",0,IF(OR($W998="EVET",$X998="EVET",$Y998="EVET"),0,IF($D998="GELİR",IF($E998="SATIŞ İADESİ/İSKONTO",-$O998,$O998),-$O998)))</f>
        <v/>
      </c>
      <c r="AB998" s="117">
        <f>IF($B998="","",IF(OR($D998="",$E998="",$O998=""),"EKSİK",IF($O998&lt;=0,"SIFIR/NEGATİF",IF(COUNTIFS($C$6:$C$5000,$C998,$O$6:$O$5000,$O998,$B$6:$B$5000,$B998)&gt;1,"MÜKERRER","OK"))))</f>
        <v/>
      </c>
    </row>
    <row r="999" ht="16.5" customHeight="1" s="80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7">
        <f>IF($B999="",0,IF($S999="EVET",IF($D999="GELİR",$O999,-$O999),0))</f>
        <v/>
      </c>
      <c r="AA999" s="117">
        <f>IF($B999="",0,IF(OR($W999="EVET",$X999="EVET",$Y999="EVET"),0,IF($D999="GELİR",IF($E999="SATIŞ İADESİ/İSKONTO",-$O999,$O999),-$O999)))</f>
        <v/>
      </c>
      <c r="AB999" s="117">
        <f>IF($B999="","",IF(OR($D999="",$E999="",$O999=""),"EKSİK",IF($O999&lt;=0,"SIFIR/NEGATİF",IF(COUNTIFS($C$6:$C$5000,$C999,$O$6:$O$5000,$O999,$B$6:$B$5000,$B999)&gt;1,"MÜKERRER","OK"))))</f>
        <v/>
      </c>
    </row>
    <row r="1000" ht="16.5" customHeight="1" s="8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7">
        <f>IF($B1000="",0,IF($S1000="EVET",IF($D1000="GELİR",$O1000,-$O1000),0))</f>
        <v/>
      </c>
      <c r="AA1000" s="117">
        <f>IF($B1000="",0,IF(OR($W1000="EVET",$X1000="EVET",$Y1000="EVET"),0,IF($D1000="GELİR",IF($E1000="SATIŞ İADESİ/İSKONTO",-$O1000,$O1000),-$O1000)))</f>
        <v/>
      </c>
      <c r="AB1000" s="117">
        <f>IF($B1000="","",IF(OR($D1000="",$E1000="",$O1000=""),"EKSİK",IF($O1000&lt;=0,"SIFIR/NEGATİF",IF(COUNTIFS($C$6:$C$5000,$C1000,$O$6:$O$5000,$O1000,$B$6:$B$5000,$B1000)&gt;1,"MÜKERRER","OK"))))</f>
        <v/>
      </c>
    </row>
    <row r="1001" ht="16.5" customHeight="1" s="80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113" t="n"/>
      <c r="U1001" s="113" t="n"/>
      <c r="V1001" s="113" t="n"/>
      <c r="W1001" s="113" t="n"/>
      <c r="X1001" s="113" t="n"/>
      <c r="Y1001" s="113" t="n"/>
      <c r="Z1001" s="117">
        <f>IF($B1001="",0,IF($S1001="EVET",IF($D1001="GELİR",$O1001,-$O1001),0))</f>
        <v/>
      </c>
      <c r="AA1001" s="117">
        <f>IF($B1001="",0,IF(OR($W1001="EVET",$X1001="EVET",$Y1001="EVET"),0,IF($D1001="GELİR",IF($E1001="SATIŞ İADESİ/İSKONTO",-$O1001,$O1001),-$O1001)))</f>
        <v/>
      </c>
      <c r="AB1001" s="117">
        <f>IF($B1001="","",IF(OR($D1001="",$E1001="",$O1001=""),"EKSİK",IF($O1001&lt;=0,"SIFIR/NEGATİF",IF(COUNTIFS($C$6:$C$5000,$C1001,$O$6:$O$5000,$O1001,$B$6:$B$5000,$B1001)&gt;1,"MÜKERRER","OK"))))</f>
        <v/>
      </c>
    </row>
    <row r="1002" ht="16.5" customHeight="1" s="80">
      <c r="A1002" s="113" t="n"/>
      <c r="B1002" s="113" t="n"/>
      <c r="C1002" s="113" t="n"/>
      <c r="D1002" s="113" t="n"/>
      <c r="E1002" s="113" t="n"/>
      <c r="F1002" s="113" t="n"/>
      <c r="G1002" s="113" t="n"/>
      <c r="H1002" s="113" t="n"/>
      <c r="I1002" s="113" t="n"/>
      <c r="J1002" s="113" t="n"/>
      <c r="K1002" s="113" t="n"/>
      <c r="L1002" s="113" t="n"/>
      <c r="M1002" s="113" t="n"/>
      <c r="N1002" s="113" t="n"/>
      <c r="O1002" s="113" t="n"/>
      <c r="P1002" s="113" t="n"/>
      <c r="Q1002" s="113" t="n"/>
      <c r="R1002" s="113" t="n"/>
      <c r="S1002" s="113" t="n"/>
      <c r="T1002" s="113" t="n"/>
      <c r="U1002" s="113" t="n"/>
      <c r="V1002" s="113" t="n"/>
      <c r="W1002" s="113" t="n"/>
      <c r="X1002" s="113" t="n"/>
      <c r="Y1002" s="113" t="n"/>
      <c r="Z1002" s="117">
        <f>IF($B1002="",0,IF($S1002="EVET",IF($D1002="GELİR",$O1002,-$O1002),0))</f>
        <v/>
      </c>
      <c r="AA1002" s="117">
        <f>IF($B1002="",0,IF(OR($W1002="EVET",$X1002="EVET",$Y1002="EVET"),0,IF($D1002="GELİR",IF($E1002="SATIŞ İADESİ/İSKONTO",-$O1002,$O1002),-$O1002)))</f>
        <v/>
      </c>
      <c r="AB1002" s="117">
        <f>IF($B1002="","",IF(OR($D1002="",$E1002="",$O1002=""),"EKSİK",IF($O1002&lt;=0,"SIFIR/NEGATİF",IF(COUNTIFS($C$6:$C$5000,$C1002,$O$6:$O$5000,$O1002,$B$6:$B$5000,$B1002)&gt;1,"MÜKERRER","OK"))))</f>
        <v/>
      </c>
    </row>
    <row r="1003" ht="16.5" customHeight="1" s="80">
      <c r="A1003" s="113" t="n"/>
      <c r="B1003" s="113" t="n"/>
      <c r="C1003" s="113" t="n"/>
      <c r="D1003" s="113" t="n"/>
      <c r="E1003" s="113" t="n"/>
      <c r="F1003" s="113" t="n"/>
      <c r="G1003" s="113" t="n"/>
      <c r="H1003" s="113" t="n"/>
      <c r="I1003" s="113" t="n"/>
      <c r="J1003" s="113" t="n"/>
      <c r="K1003" s="113" t="n"/>
      <c r="L1003" s="113" t="n"/>
      <c r="M1003" s="113" t="n"/>
      <c r="N1003" s="113" t="n"/>
      <c r="O1003" s="113" t="n"/>
      <c r="P1003" s="113" t="n"/>
      <c r="Q1003" s="113" t="n"/>
      <c r="R1003" s="113" t="n"/>
      <c r="S1003" s="113" t="n"/>
      <c r="T1003" s="113" t="n"/>
      <c r="U1003" s="113" t="n"/>
      <c r="V1003" s="113" t="n"/>
      <c r="W1003" s="113" t="n"/>
      <c r="X1003" s="113" t="n"/>
      <c r="Y1003" s="113" t="n"/>
      <c r="Z1003" s="117">
        <f>IF($B1003="",0,IF($S1003="EVET",IF($D1003="GELİR",$O1003,-$O1003),0))</f>
        <v/>
      </c>
      <c r="AA1003" s="117">
        <f>IF($B1003="",0,IF(OR($W1003="EVET",$X1003="EVET",$Y1003="EVET"),0,IF($D1003="GELİR",IF($E1003="SATIŞ İADESİ/İSKONTO",-$O1003,$O1003),-$O1003)))</f>
        <v/>
      </c>
      <c r="AB1003" s="117">
        <f>IF($B1003="","",IF(OR($D1003="",$E1003="",$O1003=""),"EKSİK",IF($O1003&lt;=0,"SIFIR/NEGATİF",IF(COUNTIFS($C$6:$C$5000,$C1003,$O$6:$O$5000,$O1003,$B$6:$B$5000,$B1003)&gt;1,"MÜKERRER","OK"))))</f>
        <v/>
      </c>
    </row>
    <row r="1004" ht="16.5" customHeight="1" s="80">
      <c r="A1004" s="113" t="n"/>
      <c r="B1004" s="113" t="n"/>
      <c r="C1004" s="113" t="n"/>
      <c r="D1004" s="113" t="n"/>
      <c r="E1004" s="113" t="n"/>
      <c r="F1004" s="113" t="n"/>
      <c r="G1004" s="113" t="n"/>
      <c r="H1004" s="113" t="n"/>
      <c r="I1004" s="113" t="n"/>
      <c r="J1004" s="113" t="n"/>
      <c r="K1004" s="113" t="n"/>
      <c r="L1004" s="113" t="n"/>
      <c r="M1004" s="113" t="n"/>
      <c r="N1004" s="113" t="n"/>
      <c r="O1004" s="113" t="n"/>
      <c r="P1004" s="113" t="n"/>
      <c r="Q1004" s="113" t="n"/>
      <c r="R1004" s="113" t="n"/>
      <c r="S1004" s="113" t="n"/>
      <c r="T1004" s="113" t="n"/>
      <c r="U1004" s="113" t="n"/>
      <c r="V1004" s="113" t="n"/>
      <c r="W1004" s="113" t="n"/>
      <c r="X1004" s="113" t="n"/>
      <c r="Y1004" s="113" t="n"/>
      <c r="Z1004" s="117">
        <f>IF($B1004="",0,IF($S1004="EVET",IF($D1004="GELİR",$O1004,-$O1004),0))</f>
        <v/>
      </c>
      <c r="AA1004" s="117">
        <f>IF($B1004="",0,IF(OR($W1004="EVET",$X1004="EVET",$Y1004="EVET"),0,IF($D1004="GELİR",IF($E1004="SATIŞ İADESİ/İSKONTO",-$O1004,$O1004),-$O1004)))</f>
        <v/>
      </c>
      <c r="AB1004" s="117">
        <f>IF($B1004="","",IF(OR($D1004="",$E1004="",$O1004=""),"EKSİK",IF($O1004&lt;=0,"SIFIR/NEGATİF",IF(COUNTIFS($C$6:$C$5000,$C1004,$O$6:$O$5000,$O1004,$B$6:$B$5000,$B1004)&gt;1,"MÜKERRER","OK"))))</f>
        <v/>
      </c>
    </row>
    <row r="1005" ht="16.5" customHeight="1" s="80">
      <c r="A1005" s="113" t="n"/>
      <c r="B1005" s="113" t="n"/>
      <c r="C1005" s="113" t="n"/>
      <c r="D1005" s="113" t="n"/>
      <c r="E1005" s="113" t="n"/>
      <c r="F1005" s="113" t="n"/>
      <c r="G1005" s="113" t="n"/>
      <c r="H1005" s="113" t="n"/>
      <c r="I1005" s="113" t="n"/>
      <c r="J1005" s="113" t="n"/>
      <c r="K1005" s="113" t="n"/>
      <c r="L1005" s="113" t="n"/>
      <c r="M1005" s="113" t="n"/>
      <c r="N1005" s="113" t="n"/>
      <c r="O1005" s="113" t="n"/>
      <c r="P1005" s="113" t="n"/>
      <c r="Q1005" s="113" t="n"/>
      <c r="R1005" s="113" t="n"/>
      <c r="S1005" s="113" t="n"/>
      <c r="T1005" s="113" t="n"/>
      <c r="U1005" s="113" t="n"/>
      <c r="V1005" s="113" t="n"/>
      <c r="W1005" s="113" t="n"/>
      <c r="X1005" s="113" t="n"/>
      <c r="Y1005" s="113" t="n"/>
      <c r="Z1005" s="117">
        <f>IF($B1005="",0,IF($S1005="EVET",IF($D1005="GELİR",$O1005,-$O1005),0))</f>
        <v/>
      </c>
      <c r="AA1005" s="117">
        <f>IF($B1005="",0,IF(OR($W1005="EVET",$X1005="EVET",$Y1005="EVET"),0,IF($D1005="GELİR",IF($E1005="SATIŞ İADESİ/İSKONTO",-$O1005,$O1005),-$O1005)))</f>
        <v/>
      </c>
      <c r="AB1005" s="117">
        <f>IF($B1005="","",IF(OR($D1005="",$E1005="",$O1005=""),"EKSİK",IF($O1005&lt;=0,"SIFIR/NEGATİF",IF(COUNTIFS($C$6:$C$5000,$C1005,$O$6:$O$5000,$O1005,$B$6:$B$5000,$B1005)&gt;1,"MÜKERRER","OK"))))</f>
        <v/>
      </c>
    </row>
    <row r="1006" ht="16.5" customHeight="1" s="80">
      <c r="A1006" s="113" t="n"/>
      <c r="B1006" s="113" t="n"/>
      <c r="C1006" s="113" t="n"/>
      <c r="D1006" s="113" t="n"/>
      <c r="E1006" s="113" t="n"/>
      <c r="F1006" s="113" t="n"/>
      <c r="G1006" s="113" t="n"/>
      <c r="H1006" s="113" t="n"/>
      <c r="I1006" s="113" t="n"/>
      <c r="J1006" s="113" t="n"/>
      <c r="K1006" s="113" t="n"/>
      <c r="L1006" s="113" t="n"/>
      <c r="M1006" s="113" t="n"/>
      <c r="N1006" s="113" t="n"/>
      <c r="O1006" s="113" t="n"/>
      <c r="P1006" s="113" t="n"/>
      <c r="Q1006" s="113" t="n"/>
      <c r="R1006" s="113" t="n"/>
      <c r="S1006" s="113" t="n"/>
      <c r="T1006" s="113" t="n"/>
      <c r="U1006" s="113" t="n"/>
      <c r="V1006" s="113" t="n"/>
      <c r="W1006" s="113" t="n"/>
      <c r="X1006" s="113" t="n"/>
      <c r="Y1006" s="113" t="n"/>
      <c r="Z1006" s="117">
        <f>IF($B1006="",0,IF($S1006="EVET",IF($D1006="GELİR",$O1006,-$O1006),0))</f>
        <v/>
      </c>
      <c r="AA1006" s="117">
        <f>IF($B1006="",0,IF(OR($W1006="EVET",$X1006="EVET",$Y1006="EVET"),0,IF($D1006="GELİR",IF($E1006="SATIŞ İADESİ/İSKONTO",-$O1006,$O1006),-$O1006)))</f>
        <v/>
      </c>
      <c r="AB1006" s="117">
        <f>IF($B1006="","",IF(OR($D1006="",$E1006="",$O1006=""),"EKSİK",IF($O1006&lt;=0,"SIFIR/NEGATİF",IF(COUNTIFS($C$6:$C$5000,$C1006,$O$6:$O$5000,$O1006,$B$6:$B$5000,$B1006)&gt;1,"MÜKERRER","OK"))))</f>
        <v/>
      </c>
    </row>
    <row r="1007" ht="16.5" customHeight="1" s="80">
      <c r="A1007" s="113" t="n"/>
      <c r="B1007" s="113" t="n"/>
      <c r="C1007" s="113" t="n"/>
      <c r="D1007" s="113" t="n"/>
      <c r="E1007" s="113" t="n"/>
      <c r="F1007" s="113" t="n"/>
      <c r="G1007" s="113" t="n"/>
      <c r="H1007" s="113" t="n"/>
      <c r="I1007" s="113" t="n"/>
      <c r="J1007" s="113" t="n"/>
      <c r="K1007" s="113" t="n"/>
      <c r="L1007" s="113" t="n"/>
      <c r="M1007" s="113" t="n"/>
      <c r="N1007" s="113" t="n"/>
      <c r="O1007" s="113" t="n"/>
      <c r="P1007" s="113" t="n"/>
      <c r="Q1007" s="113" t="n"/>
      <c r="R1007" s="113" t="n"/>
      <c r="S1007" s="113" t="n"/>
      <c r="T1007" s="113" t="n"/>
      <c r="U1007" s="113" t="n"/>
      <c r="V1007" s="113" t="n"/>
      <c r="W1007" s="113" t="n"/>
      <c r="X1007" s="113" t="n"/>
      <c r="Y1007" s="113" t="n"/>
      <c r="Z1007" s="117">
        <f>IF($B1007="",0,IF($S1007="EVET",IF($D1007="GELİR",$O1007,-$O1007),0))</f>
        <v/>
      </c>
      <c r="AA1007" s="117">
        <f>IF($B1007="",0,IF(OR($W1007="EVET",$X1007="EVET",$Y1007="EVET"),0,IF($D1007="GELİR",IF($E1007="SATIŞ İADESİ/İSKONTO",-$O1007,$O1007),-$O1007)))</f>
        <v/>
      </c>
      <c r="AB1007" s="117">
        <f>IF($B1007="","",IF(OR($D1007="",$E1007="",$O1007=""),"EKSİK",IF($O1007&lt;=0,"SIFIR/NEGATİF",IF(COUNTIFS($C$6:$C$5000,$C1007,$O$6:$O$5000,$O1007,$B$6:$B$5000,$B1007)&gt;1,"MÜKERRER","OK"))))</f>
        <v/>
      </c>
    </row>
    <row r="1008" ht="16.5" customHeight="1" s="80">
      <c r="A1008" s="113" t="n"/>
      <c r="B1008" s="113" t="n"/>
      <c r="C1008" s="113" t="n"/>
      <c r="D1008" s="113" t="n"/>
      <c r="E1008" s="113" t="n"/>
      <c r="F1008" s="113" t="n"/>
      <c r="G1008" s="113" t="n"/>
      <c r="H1008" s="113" t="n"/>
      <c r="I1008" s="113" t="n"/>
      <c r="J1008" s="113" t="n"/>
      <c r="K1008" s="113" t="n"/>
      <c r="L1008" s="113" t="n"/>
      <c r="M1008" s="113" t="n"/>
      <c r="N1008" s="113" t="n"/>
      <c r="O1008" s="113" t="n"/>
      <c r="P1008" s="113" t="n"/>
      <c r="Q1008" s="113" t="n"/>
      <c r="R1008" s="113" t="n"/>
      <c r="S1008" s="113" t="n"/>
      <c r="T1008" s="113" t="n"/>
      <c r="U1008" s="113" t="n"/>
      <c r="V1008" s="113" t="n"/>
      <c r="W1008" s="113" t="n"/>
      <c r="X1008" s="113" t="n"/>
      <c r="Y1008" s="113" t="n"/>
      <c r="Z1008" s="117">
        <f>IF($B1008="",0,IF($S1008="EVET",IF($D1008="GELİR",$O1008,-$O1008),0))</f>
        <v/>
      </c>
      <c r="AA1008" s="117">
        <f>IF($B1008="",0,IF(OR($W1008="EVET",$X1008="EVET",$Y1008="EVET"),0,IF($D1008="GELİR",IF($E1008="SATIŞ İADESİ/İSKONTO",-$O1008,$O1008),-$O1008)))</f>
        <v/>
      </c>
      <c r="AB1008" s="117">
        <f>IF($B1008="","",IF(OR($D1008="",$E1008="",$O1008=""),"EKSİK",IF($O1008&lt;=0,"SIFIR/NEGATİF",IF(COUNTIFS($C$6:$C$5000,$C1008,$O$6:$O$5000,$O1008,$B$6:$B$5000,$B1008)&gt;1,"MÜKERRER","OK"))))</f>
        <v/>
      </c>
    </row>
    <row r="1009" ht="16.5" customHeight="1" s="80">
      <c r="A1009" s="113" t="n"/>
      <c r="B1009" s="113" t="n"/>
      <c r="C1009" s="113" t="n"/>
      <c r="D1009" s="113" t="n"/>
      <c r="E1009" s="113" t="n"/>
      <c r="F1009" s="113" t="n"/>
      <c r="G1009" s="113" t="n"/>
      <c r="H1009" s="113" t="n"/>
      <c r="I1009" s="113" t="n"/>
      <c r="J1009" s="113" t="n"/>
      <c r="K1009" s="113" t="n"/>
      <c r="L1009" s="113" t="n"/>
      <c r="M1009" s="113" t="n"/>
      <c r="N1009" s="113" t="n"/>
      <c r="O1009" s="113" t="n"/>
      <c r="P1009" s="113" t="n"/>
      <c r="Q1009" s="113" t="n"/>
      <c r="R1009" s="113" t="n"/>
      <c r="S1009" s="113" t="n"/>
      <c r="T1009" s="113" t="n"/>
      <c r="U1009" s="113" t="n"/>
      <c r="V1009" s="113" t="n"/>
      <c r="W1009" s="113" t="n"/>
      <c r="X1009" s="113" t="n"/>
      <c r="Y1009" s="113" t="n"/>
      <c r="Z1009" s="117">
        <f>IF($B1009="",0,IF($S1009="EVET",IF($D1009="GELİR",$O1009,-$O1009),0))</f>
        <v/>
      </c>
      <c r="AA1009" s="117">
        <f>IF($B1009="",0,IF(OR($W1009="EVET",$X1009="EVET",$Y1009="EVET"),0,IF($D1009="GELİR",IF($E1009="SATIŞ İADESİ/İSKONTO",-$O1009,$O1009),-$O1009)))</f>
        <v/>
      </c>
      <c r="AB1009" s="117">
        <f>IF($B1009="","",IF(OR($D1009="",$E1009="",$O1009=""),"EKSİK",IF($O1009&lt;=0,"SIFIR/NEGATİF",IF(COUNTIFS($C$6:$C$5000,$C1009,$O$6:$O$5000,$O1009,$B$6:$B$5000,$B1009)&gt;1,"MÜKERRER","OK"))))</f>
        <v/>
      </c>
    </row>
    <row r="1010" ht="16.5" customHeight="1" s="80">
      <c r="A1010" s="113" t="n"/>
      <c r="B1010" s="113" t="n"/>
      <c r="C1010" s="113" t="n"/>
      <c r="D1010" s="113" t="n"/>
      <c r="E1010" s="113" t="n"/>
      <c r="F1010" s="113" t="n"/>
      <c r="G1010" s="113" t="n"/>
      <c r="H1010" s="113" t="n"/>
      <c r="I1010" s="113" t="n"/>
      <c r="J1010" s="113" t="n"/>
      <c r="K1010" s="113" t="n"/>
      <c r="L1010" s="113" t="n"/>
      <c r="M1010" s="113" t="n"/>
      <c r="N1010" s="113" t="n"/>
      <c r="O1010" s="113" t="n"/>
      <c r="P1010" s="113" t="n"/>
      <c r="Q1010" s="113" t="n"/>
      <c r="R1010" s="113" t="n"/>
      <c r="S1010" s="113" t="n"/>
      <c r="T1010" s="113" t="n"/>
      <c r="U1010" s="113" t="n"/>
      <c r="V1010" s="113" t="n"/>
      <c r="W1010" s="113" t="n"/>
      <c r="X1010" s="113" t="n"/>
      <c r="Y1010" s="113" t="n"/>
      <c r="Z1010" s="117">
        <f>IF($B1010="",0,IF($S1010="EVET",IF($D1010="GELİR",$O1010,-$O1010),0))</f>
        <v/>
      </c>
      <c r="AA1010" s="117">
        <f>IF($B1010="",0,IF(OR($W1010="EVET",$X1010="EVET",$Y1010="EVET"),0,IF($D1010="GELİR",IF($E1010="SATIŞ İADESİ/İSKONTO",-$O1010,$O1010),-$O1010)))</f>
        <v/>
      </c>
      <c r="AB1010" s="117">
        <f>IF($B1010="","",IF(OR($D1010="",$E1010="",$O1010=""),"EKSİK",IF($O1010&lt;=0,"SIFIR/NEGATİF",IF(COUNTIFS($C$6:$C$5000,$C1010,$O$6:$O$5000,$O1010,$B$6:$B$5000,$B1010)&gt;1,"MÜKERRER","OK"))))</f>
        <v/>
      </c>
    </row>
    <row r="1011" ht="16.5" customHeight="1" s="80">
      <c r="A1011" s="113" t="n"/>
      <c r="B1011" s="113" t="n"/>
      <c r="C1011" s="113" t="n"/>
      <c r="D1011" s="113" t="n"/>
      <c r="E1011" s="113" t="n"/>
      <c r="F1011" s="113" t="n"/>
      <c r="G1011" s="113" t="n"/>
      <c r="H1011" s="113" t="n"/>
      <c r="I1011" s="113" t="n"/>
      <c r="J1011" s="113" t="n"/>
      <c r="K1011" s="113" t="n"/>
      <c r="L1011" s="113" t="n"/>
      <c r="M1011" s="113" t="n"/>
      <c r="N1011" s="113" t="n"/>
      <c r="O1011" s="113" t="n"/>
      <c r="P1011" s="113" t="n"/>
      <c r="Q1011" s="113" t="n"/>
      <c r="R1011" s="113" t="n"/>
      <c r="S1011" s="113" t="n"/>
      <c r="T1011" s="113" t="n"/>
      <c r="U1011" s="113" t="n"/>
      <c r="V1011" s="113" t="n"/>
      <c r="W1011" s="113" t="n"/>
      <c r="X1011" s="113" t="n"/>
      <c r="Y1011" s="113" t="n"/>
      <c r="Z1011" s="117">
        <f>IF($B1011="",0,IF($S1011="EVET",IF($D1011="GELİR",$O1011,-$O1011),0))</f>
        <v/>
      </c>
      <c r="AA1011" s="117">
        <f>IF($B1011="",0,IF(OR($W1011="EVET",$X1011="EVET",$Y1011="EVET"),0,IF($D1011="GELİR",IF($E1011="SATIŞ İADESİ/İSKONTO",-$O1011,$O1011),-$O1011)))</f>
        <v/>
      </c>
      <c r="AB1011" s="117">
        <f>IF($B1011="","",IF(OR($D1011="",$E1011="",$O1011=""),"EKSİK",IF($O1011&lt;=0,"SIFIR/NEGATİF",IF(COUNTIFS($C$6:$C$5000,$C1011,$O$6:$O$5000,$O1011,$B$6:$B$5000,$B1011)&gt;1,"MÜKERRER","OK"))))</f>
        <v/>
      </c>
    </row>
    <row r="1012" ht="16.5" customHeight="1" s="80">
      <c r="A1012" s="113" t="n"/>
      <c r="B1012" s="113" t="n"/>
      <c r="C1012" s="113" t="n"/>
      <c r="D1012" s="113" t="n"/>
      <c r="E1012" s="113" t="n"/>
      <c r="F1012" s="113" t="n"/>
      <c r="G1012" s="113" t="n"/>
      <c r="H1012" s="113" t="n"/>
      <c r="I1012" s="113" t="n"/>
      <c r="J1012" s="113" t="n"/>
      <c r="K1012" s="113" t="n"/>
      <c r="L1012" s="113" t="n"/>
      <c r="M1012" s="113" t="n"/>
      <c r="N1012" s="113" t="n"/>
      <c r="O1012" s="113" t="n"/>
      <c r="P1012" s="113" t="n"/>
      <c r="Q1012" s="113" t="n"/>
      <c r="R1012" s="113" t="n"/>
      <c r="S1012" s="113" t="n"/>
      <c r="T1012" s="113" t="n"/>
      <c r="U1012" s="113" t="n"/>
      <c r="V1012" s="113" t="n"/>
      <c r="W1012" s="113" t="n"/>
      <c r="X1012" s="113" t="n"/>
      <c r="Y1012" s="113" t="n"/>
      <c r="Z1012" s="117">
        <f>IF($B1012="",0,IF($S1012="EVET",IF($D1012="GELİR",$O1012,-$O1012),0))</f>
        <v/>
      </c>
      <c r="AA1012" s="117">
        <f>IF($B1012="",0,IF(OR($W1012="EVET",$X1012="EVET",$Y1012="EVET"),0,IF($D1012="GELİR",IF($E1012="SATIŞ İADESİ/İSKONTO",-$O1012,$O1012),-$O1012)))</f>
        <v/>
      </c>
      <c r="AB1012" s="117">
        <f>IF($B1012="","",IF(OR($D1012="",$E1012="",$O1012=""),"EKSİK",IF($O1012&lt;=0,"SIFIR/NEGATİF",IF(COUNTIFS($C$6:$C$5000,$C1012,$O$6:$O$5000,$O1012,$B$6:$B$5000,$B1012)&gt;1,"MÜKERRER","OK"))))</f>
        <v/>
      </c>
    </row>
    <row r="1013" ht="16.5" customHeight="1" s="80">
      <c r="A1013" s="113" t="n"/>
      <c r="B1013" s="113" t="n"/>
      <c r="C1013" s="113" t="n"/>
      <c r="D1013" s="113" t="n"/>
      <c r="E1013" s="113" t="n"/>
      <c r="F1013" s="113" t="n"/>
      <c r="G1013" s="113" t="n"/>
      <c r="H1013" s="113" t="n"/>
      <c r="I1013" s="113" t="n"/>
      <c r="J1013" s="113" t="n"/>
      <c r="K1013" s="113" t="n"/>
      <c r="L1013" s="113" t="n"/>
      <c r="M1013" s="113" t="n"/>
      <c r="N1013" s="113" t="n"/>
      <c r="O1013" s="113" t="n"/>
      <c r="P1013" s="113" t="n"/>
      <c r="Q1013" s="113" t="n"/>
      <c r="R1013" s="113" t="n"/>
      <c r="S1013" s="113" t="n"/>
      <c r="T1013" s="113" t="n"/>
      <c r="U1013" s="113" t="n"/>
      <c r="V1013" s="113" t="n"/>
      <c r="W1013" s="113" t="n"/>
      <c r="X1013" s="113" t="n"/>
      <c r="Y1013" s="113" t="n"/>
      <c r="Z1013" s="117">
        <f>IF($B1013="",0,IF($S1013="EVET",IF($D1013="GELİR",$O1013,-$O1013),0))</f>
        <v/>
      </c>
      <c r="AA1013" s="117">
        <f>IF($B1013="",0,IF(OR($W1013="EVET",$X1013="EVET",$Y1013="EVET"),0,IF($D1013="GELİR",IF($E1013="SATIŞ İADESİ/İSKONTO",-$O1013,$O1013),-$O1013)))</f>
        <v/>
      </c>
      <c r="AB1013" s="117">
        <f>IF($B1013="","",IF(OR($D1013="",$E1013="",$O1013=""),"EKSİK",IF($O1013&lt;=0,"SIFIR/NEGATİF",IF(COUNTIFS($C$6:$C$5000,$C1013,$O$6:$O$5000,$O1013,$B$6:$B$5000,$B1013)&gt;1,"MÜKERRER","OK"))))</f>
        <v/>
      </c>
    </row>
    <row r="1014" ht="16.5" customHeight="1" s="80">
      <c r="A1014" s="113" t="n"/>
      <c r="B1014" s="113" t="n"/>
      <c r="C1014" s="113" t="n"/>
      <c r="D1014" s="113" t="n"/>
      <c r="E1014" s="113" t="n"/>
      <c r="F1014" s="113" t="n"/>
      <c r="G1014" s="113" t="n"/>
      <c r="H1014" s="113" t="n"/>
      <c r="I1014" s="113" t="n"/>
      <c r="J1014" s="113" t="n"/>
      <c r="K1014" s="113" t="n"/>
      <c r="L1014" s="113" t="n"/>
      <c r="M1014" s="113" t="n"/>
      <c r="N1014" s="113" t="n"/>
      <c r="O1014" s="113" t="n"/>
      <c r="P1014" s="113" t="n"/>
      <c r="Q1014" s="113" t="n"/>
      <c r="R1014" s="113" t="n"/>
      <c r="S1014" s="113" t="n"/>
      <c r="T1014" s="113" t="n"/>
      <c r="U1014" s="113" t="n"/>
      <c r="V1014" s="113" t="n"/>
      <c r="W1014" s="113" t="n"/>
      <c r="X1014" s="113" t="n"/>
      <c r="Y1014" s="113" t="n"/>
      <c r="Z1014" s="117">
        <f>IF($B1014="",0,IF($S1014="EVET",IF($D1014="GELİR",$O1014,-$O1014),0))</f>
        <v/>
      </c>
      <c r="AA1014" s="117">
        <f>IF($B1014="",0,IF(OR($W1014="EVET",$X1014="EVET",$Y1014="EVET"),0,IF($D1014="GELİR",IF($E1014="SATIŞ İADESİ/İSKONTO",-$O1014,$O1014),-$O1014)))</f>
        <v/>
      </c>
      <c r="AB1014" s="117">
        <f>IF($B1014="","",IF(OR($D1014="",$E1014="",$O1014=""),"EKSİK",IF($O1014&lt;=0,"SIFIR/NEGATİF",IF(COUNTIFS($C$6:$C$5000,$C1014,$O$6:$O$5000,$O1014,$B$6:$B$5000,$B1014)&gt;1,"MÜKERRER","OK"))))</f>
        <v/>
      </c>
    </row>
    <row r="1015" ht="16.5" customHeight="1" s="80">
      <c r="A1015" s="113" t="n"/>
      <c r="B1015" s="113" t="n"/>
      <c r="C1015" s="113" t="n"/>
      <c r="D1015" s="113" t="n"/>
      <c r="E1015" s="113" t="n"/>
      <c r="F1015" s="113" t="n"/>
      <c r="G1015" s="113" t="n"/>
      <c r="H1015" s="113" t="n"/>
      <c r="I1015" s="113" t="n"/>
      <c r="J1015" s="113" t="n"/>
      <c r="K1015" s="113" t="n"/>
      <c r="L1015" s="113" t="n"/>
      <c r="M1015" s="113" t="n"/>
      <c r="N1015" s="113" t="n"/>
      <c r="O1015" s="113" t="n"/>
      <c r="P1015" s="113" t="n"/>
      <c r="Q1015" s="113" t="n"/>
      <c r="R1015" s="113" t="n"/>
      <c r="S1015" s="113" t="n"/>
      <c r="T1015" s="113" t="n"/>
      <c r="U1015" s="113" t="n"/>
      <c r="V1015" s="113" t="n"/>
      <c r="W1015" s="113" t="n"/>
      <c r="X1015" s="113" t="n"/>
      <c r="Y1015" s="113" t="n"/>
      <c r="Z1015" s="117">
        <f>IF($B1015="",0,IF($S1015="EVET",IF($D1015="GELİR",$O1015,-$O1015),0))</f>
        <v/>
      </c>
      <c r="AA1015" s="117">
        <f>IF($B1015="",0,IF(OR($W1015="EVET",$X1015="EVET",$Y1015="EVET"),0,IF($D1015="GELİR",IF($E1015="SATIŞ İADESİ/İSKONTO",-$O1015,$O1015),-$O1015)))</f>
        <v/>
      </c>
      <c r="AB1015" s="117">
        <f>IF($B1015="","",IF(OR($D1015="",$E1015="",$O1015=""),"EKSİK",IF($O1015&lt;=0,"SIFIR/NEGATİF",IF(COUNTIFS($C$6:$C$5000,$C1015,$O$6:$O$5000,$O1015,$B$6:$B$5000,$B1015)&gt;1,"MÜKERRER","OK"))))</f>
        <v/>
      </c>
    </row>
    <row r="1016" ht="16.5" customHeight="1" s="80">
      <c r="A1016" s="113" t="n"/>
      <c r="B1016" s="113" t="n"/>
      <c r="C1016" s="113" t="n"/>
      <c r="D1016" s="113" t="n"/>
      <c r="E1016" s="113" t="n"/>
      <c r="F1016" s="113" t="n"/>
      <c r="G1016" s="113" t="n"/>
      <c r="H1016" s="113" t="n"/>
      <c r="I1016" s="113" t="n"/>
      <c r="J1016" s="113" t="n"/>
      <c r="K1016" s="113" t="n"/>
      <c r="L1016" s="113" t="n"/>
      <c r="M1016" s="113" t="n"/>
      <c r="N1016" s="113" t="n"/>
      <c r="O1016" s="113" t="n"/>
      <c r="P1016" s="113" t="n"/>
      <c r="Q1016" s="113" t="n"/>
      <c r="R1016" s="113" t="n"/>
      <c r="S1016" s="113" t="n"/>
      <c r="T1016" s="113" t="n"/>
      <c r="U1016" s="113" t="n"/>
      <c r="V1016" s="113" t="n"/>
      <c r="W1016" s="113" t="n"/>
      <c r="X1016" s="113" t="n"/>
      <c r="Y1016" s="113" t="n"/>
      <c r="Z1016" s="117">
        <f>IF($B1016="",0,IF($S1016="EVET",IF($D1016="GELİR",$O1016,-$O1016),0))</f>
        <v/>
      </c>
      <c r="AA1016" s="117">
        <f>IF($B1016="",0,IF(OR($W1016="EVET",$X1016="EVET",$Y1016="EVET"),0,IF($D1016="GELİR",IF($E1016="SATIŞ İADESİ/İSKONTO",-$O1016,$O1016),-$O1016)))</f>
        <v/>
      </c>
      <c r="AB1016" s="117">
        <f>IF($B1016="","",IF(OR($D1016="",$E1016="",$O1016=""),"EKSİK",IF($O1016&lt;=0,"SIFIR/NEGATİF",IF(COUNTIFS($C$6:$C$5000,$C1016,$O$6:$O$5000,$O1016,$B$6:$B$5000,$B1016)&gt;1,"MÜKERRER","OK"))))</f>
        <v/>
      </c>
    </row>
    <row r="1017" ht="16.5" customHeight="1" s="80">
      <c r="A1017" s="113" t="n"/>
      <c r="B1017" s="113" t="n"/>
      <c r="C1017" s="113" t="n"/>
      <c r="D1017" s="113" t="n"/>
      <c r="E1017" s="113" t="n"/>
      <c r="F1017" s="113" t="n"/>
      <c r="G1017" s="113" t="n"/>
      <c r="H1017" s="113" t="n"/>
      <c r="I1017" s="113" t="n"/>
      <c r="J1017" s="113" t="n"/>
      <c r="K1017" s="113" t="n"/>
      <c r="L1017" s="113" t="n"/>
      <c r="M1017" s="113" t="n"/>
      <c r="N1017" s="113" t="n"/>
      <c r="O1017" s="113" t="n"/>
      <c r="P1017" s="113" t="n"/>
      <c r="Q1017" s="113" t="n"/>
      <c r="R1017" s="113" t="n"/>
      <c r="S1017" s="113" t="n"/>
      <c r="T1017" s="113" t="n"/>
      <c r="U1017" s="113" t="n"/>
      <c r="V1017" s="113" t="n"/>
      <c r="W1017" s="113" t="n"/>
      <c r="X1017" s="113" t="n"/>
      <c r="Y1017" s="113" t="n"/>
      <c r="Z1017" s="117">
        <f>IF($B1017="",0,IF($S1017="EVET",IF($D1017="GELİR",$O1017,-$O1017),0))</f>
        <v/>
      </c>
      <c r="AA1017" s="117">
        <f>IF($B1017="",0,IF(OR($W1017="EVET",$X1017="EVET",$Y1017="EVET"),0,IF($D1017="GELİR",IF($E1017="SATIŞ İADESİ/İSKONTO",-$O1017,$O1017),-$O1017)))</f>
        <v/>
      </c>
      <c r="AB1017" s="117">
        <f>IF($B1017="","",IF(OR($D1017="",$E1017="",$O1017=""),"EKSİK",IF($O1017&lt;=0,"SIFIR/NEGATİF",IF(COUNTIFS($C$6:$C$5000,$C1017,$O$6:$O$5000,$O1017,$B$6:$B$5000,$B1017)&gt;1,"MÜKERRER","OK"))))</f>
        <v/>
      </c>
    </row>
    <row r="1018" ht="16.5" customHeight="1" s="80">
      <c r="A1018" s="113" t="n"/>
      <c r="B1018" s="113" t="n"/>
      <c r="C1018" s="113" t="n"/>
      <c r="D1018" s="113" t="n"/>
      <c r="E1018" s="113" t="n"/>
      <c r="F1018" s="113" t="n"/>
      <c r="G1018" s="113" t="n"/>
      <c r="H1018" s="113" t="n"/>
      <c r="I1018" s="113" t="n"/>
      <c r="J1018" s="113" t="n"/>
      <c r="K1018" s="113" t="n"/>
      <c r="L1018" s="113" t="n"/>
      <c r="M1018" s="113" t="n"/>
      <c r="N1018" s="113" t="n"/>
      <c r="O1018" s="113" t="n"/>
      <c r="P1018" s="113" t="n"/>
      <c r="Q1018" s="113" t="n"/>
      <c r="R1018" s="113" t="n"/>
      <c r="S1018" s="113" t="n"/>
      <c r="T1018" s="113" t="n"/>
      <c r="U1018" s="113" t="n"/>
      <c r="V1018" s="113" t="n"/>
      <c r="W1018" s="113" t="n"/>
      <c r="X1018" s="113" t="n"/>
      <c r="Y1018" s="113" t="n"/>
      <c r="Z1018" s="117">
        <f>IF($B1018="",0,IF($S1018="EVET",IF($D1018="GELİR",$O1018,-$O1018),0))</f>
        <v/>
      </c>
      <c r="AA1018" s="117">
        <f>IF($B1018="",0,IF(OR($W1018="EVET",$X1018="EVET",$Y1018="EVET"),0,IF($D1018="GELİR",IF($E1018="SATIŞ İADESİ/İSKONTO",-$O1018,$O1018),-$O1018)))</f>
        <v/>
      </c>
      <c r="AB1018" s="117">
        <f>IF($B1018="","",IF(OR($D1018="",$E1018="",$O1018=""),"EKSİK",IF($O1018&lt;=0,"SIFIR/NEGATİF",IF(COUNTIFS($C$6:$C$5000,$C1018,$O$6:$O$5000,$O1018,$B$6:$B$5000,$B1018)&gt;1,"MÜKERRER","OK"))))</f>
        <v/>
      </c>
    </row>
    <row r="1019" ht="16.5" customHeight="1" s="80">
      <c r="A1019" s="113" t="n"/>
      <c r="B1019" s="113" t="n"/>
      <c r="C1019" s="113" t="n"/>
      <c r="D1019" s="113" t="n"/>
      <c r="E1019" s="113" t="n"/>
      <c r="F1019" s="113" t="n"/>
      <c r="G1019" s="113" t="n"/>
      <c r="H1019" s="113" t="n"/>
      <c r="I1019" s="113" t="n"/>
      <c r="J1019" s="113" t="n"/>
      <c r="K1019" s="113" t="n"/>
      <c r="L1019" s="113" t="n"/>
      <c r="M1019" s="113" t="n"/>
      <c r="N1019" s="113" t="n"/>
      <c r="O1019" s="113" t="n"/>
      <c r="P1019" s="113" t="n"/>
      <c r="Q1019" s="113" t="n"/>
      <c r="R1019" s="113" t="n"/>
      <c r="S1019" s="113" t="n"/>
      <c r="T1019" s="113" t="n"/>
      <c r="U1019" s="113" t="n"/>
      <c r="V1019" s="113" t="n"/>
      <c r="W1019" s="113" t="n"/>
      <c r="X1019" s="113" t="n"/>
      <c r="Y1019" s="113" t="n"/>
      <c r="Z1019" s="117">
        <f>IF($B1019="",0,IF($S1019="EVET",IF($D1019="GELİR",$O1019,-$O1019),0))</f>
        <v/>
      </c>
      <c r="AA1019" s="117">
        <f>IF($B1019="",0,IF(OR($W1019="EVET",$X1019="EVET",$Y1019="EVET"),0,IF($D1019="GELİR",IF($E1019="SATIŞ İADESİ/İSKONTO",-$O1019,$O1019),-$O1019)))</f>
        <v/>
      </c>
      <c r="AB1019" s="117">
        <f>IF($B1019="","",IF(OR($D1019="",$E1019="",$O1019=""),"EKSİK",IF($O1019&lt;=0,"SIFIR/NEGATİF",IF(COUNTIFS($C$6:$C$5000,$C1019,$O$6:$O$5000,$O1019,$B$6:$B$5000,$B1019)&gt;1,"MÜKERRER","OK"))))</f>
        <v/>
      </c>
    </row>
    <row r="1020" ht="16.5" customHeight="1" s="80">
      <c r="A1020" s="113" t="n"/>
      <c r="B1020" s="113" t="n"/>
      <c r="C1020" s="113" t="n"/>
      <c r="D1020" s="113" t="n"/>
      <c r="E1020" s="113" t="n"/>
      <c r="F1020" s="113" t="n"/>
      <c r="G1020" s="113" t="n"/>
      <c r="H1020" s="113" t="n"/>
      <c r="I1020" s="113" t="n"/>
      <c r="J1020" s="113" t="n"/>
      <c r="K1020" s="113" t="n"/>
      <c r="L1020" s="113" t="n"/>
      <c r="M1020" s="113" t="n"/>
      <c r="N1020" s="113" t="n"/>
      <c r="O1020" s="113" t="n"/>
      <c r="P1020" s="113" t="n"/>
      <c r="Q1020" s="113" t="n"/>
      <c r="R1020" s="113" t="n"/>
      <c r="S1020" s="113" t="n"/>
      <c r="T1020" s="113" t="n"/>
      <c r="U1020" s="113" t="n"/>
      <c r="V1020" s="113" t="n"/>
      <c r="W1020" s="113" t="n"/>
      <c r="X1020" s="113" t="n"/>
      <c r="Y1020" s="113" t="n"/>
      <c r="Z1020" s="117">
        <f>IF($B1020="",0,IF($S1020="EVET",IF($D1020="GELİR",$O1020,-$O1020),0))</f>
        <v/>
      </c>
      <c r="AA1020" s="117">
        <f>IF($B1020="",0,IF(OR($W1020="EVET",$X1020="EVET",$Y1020="EVET"),0,IF($D1020="GELİR",IF($E1020="SATIŞ İADESİ/İSKONTO",-$O1020,$O1020),-$O1020)))</f>
        <v/>
      </c>
      <c r="AB1020" s="117">
        <f>IF($B1020="","",IF(OR($D1020="",$E1020="",$O1020=""),"EKSİK",IF($O1020&lt;=0,"SIFIR/NEGATİF",IF(COUNTIFS($C$6:$C$5000,$C1020,$O$6:$O$5000,$O1020,$B$6:$B$5000,$B1020)&gt;1,"MÜKERRER","OK"))))</f>
        <v/>
      </c>
    </row>
    <row r="1021" ht="16.5" customHeight="1" s="80">
      <c r="A1021" s="113" t="n"/>
      <c r="B1021" s="113" t="n"/>
      <c r="C1021" s="113" t="n"/>
      <c r="D1021" s="113" t="n"/>
      <c r="E1021" s="113" t="n"/>
      <c r="F1021" s="113" t="n"/>
      <c r="G1021" s="113" t="n"/>
      <c r="H1021" s="113" t="n"/>
      <c r="I1021" s="113" t="n"/>
      <c r="J1021" s="113" t="n"/>
      <c r="K1021" s="113" t="n"/>
      <c r="L1021" s="113" t="n"/>
      <c r="M1021" s="113" t="n"/>
      <c r="N1021" s="113" t="n"/>
      <c r="O1021" s="113" t="n"/>
      <c r="P1021" s="113" t="n"/>
      <c r="Q1021" s="113" t="n"/>
      <c r="R1021" s="113" t="n"/>
      <c r="S1021" s="113" t="n"/>
      <c r="T1021" s="113" t="n"/>
      <c r="U1021" s="113" t="n"/>
      <c r="V1021" s="113" t="n"/>
      <c r="W1021" s="113" t="n"/>
      <c r="X1021" s="113" t="n"/>
      <c r="Y1021" s="113" t="n"/>
      <c r="Z1021" s="117">
        <f>IF($B1021="",0,IF($S1021="EVET",IF($D1021="GELİR",$O1021,-$O1021),0))</f>
        <v/>
      </c>
      <c r="AA1021" s="117">
        <f>IF($B1021="",0,IF(OR($W1021="EVET",$X1021="EVET",$Y1021="EVET"),0,IF($D1021="GELİR",IF($E1021="SATIŞ İADESİ/İSKONTO",-$O1021,$O1021),-$O1021)))</f>
        <v/>
      </c>
      <c r="AB1021" s="117">
        <f>IF($B1021="","",IF(OR($D1021="",$E1021="",$O1021=""),"EKSİK",IF($O1021&lt;=0,"SIFIR/NEGATİF",IF(COUNTIFS($C$6:$C$5000,$C1021,$O$6:$O$5000,$O1021,$B$6:$B$5000,$B1021)&gt;1,"MÜKERRER","OK"))))</f>
        <v/>
      </c>
    </row>
    <row r="1022" ht="16.5" customHeight="1" s="80">
      <c r="A1022" s="113" t="n"/>
      <c r="B1022" s="113" t="n"/>
      <c r="C1022" s="113" t="n"/>
      <c r="D1022" s="113" t="n"/>
      <c r="E1022" s="113" t="n"/>
      <c r="F1022" s="113" t="n"/>
      <c r="G1022" s="113" t="n"/>
      <c r="H1022" s="113" t="n"/>
      <c r="I1022" s="113" t="n"/>
      <c r="J1022" s="113" t="n"/>
      <c r="K1022" s="113" t="n"/>
      <c r="L1022" s="113" t="n"/>
      <c r="M1022" s="113" t="n"/>
      <c r="N1022" s="113" t="n"/>
      <c r="O1022" s="113" t="n"/>
      <c r="P1022" s="113" t="n"/>
      <c r="Q1022" s="113" t="n"/>
      <c r="R1022" s="113" t="n"/>
      <c r="S1022" s="113" t="n"/>
      <c r="T1022" s="113" t="n"/>
      <c r="U1022" s="113" t="n"/>
      <c r="V1022" s="113" t="n"/>
      <c r="W1022" s="113" t="n"/>
      <c r="X1022" s="113" t="n"/>
      <c r="Y1022" s="113" t="n"/>
      <c r="Z1022" s="117">
        <f>IF($B1022="",0,IF($S1022="EVET",IF($D1022="GELİR",$O1022,-$O1022),0))</f>
        <v/>
      </c>
      <c r="AA1022" s="117">
        <f>IF($B1022="",0,IF(OR($W1022="EVET",$X1022="EVET",$Y1022="EVET"),0,IF($D1022="GELİR",IF($E1022="SATIŞ İADESİ/İSKONTO",-$O1022,$O1022),-$O1022)))</f>
        <v/>
      </c>
      <c r="AB1022" s="117">
        <f>IF($B1022="","",IF(OR($D1022="",$E1022="",$O1022=""),"EKSİK",IF($O1022&lt;=0,"SIFIR/NEGATİF",IF(COUNTIFS($C$6:$C$5000,$C1022,$O$6:$O$5000,$O1022,$B$6:$B$5000,$B1022)&gt;1,"MÜKERRER","OK"))))</f>
        <v/>
      </c>
    </row>
    <row r="1023" ht="16.5" customHeight="1" s="80">
      <c r="A1023" s="113" t="n"/>
      <c r="B1023" s="113" t="n"/>
      <c r="C1023" s="113" t="n"/>
      <c r="D1023" s="113" t="n"/>
      <c r="E1023" s="113" t="n"/>
      <c r="F1023" s="113" t="n"/>
      <c r="G1023" s="113" t="n"/>
      <c r="H1023" s="113" t="n"/>
      <c r="I1023" s="113" t="n"/>
      <c r="J1023" s="113" t="n"/>
      <c r="K1023" s="113" t="n"/>
      <c r="L1023" s="113" t="n"/>
      <c r="M1023" s="113" t="n"/>
      <c r="N1023" s="113" t="n"/>
      <c r="O1023" s="113" t="n"/>
      <c r="P1023" s="113" t="n"/>
      <c r="Q1023" s="113" t="n"/>
      <c r="R1023" s="113" t="n"/>
      <c r="S1023" s="113" t="n"/>
      <c r="T1023" s="113" t="n"/>
      <c r="U1023" s="113" t="n"/>
      <c r="V1023" s="113" t="n"/>
      <c r="W1023" s="113" t="n"/>
      <c r="X1023" s="113" t="n"/>
      <c r="Y1023" s="113" t="n"/>
      <c r="Z1023" s="117">
        <f>IF($B1023="",0,IF($S1023="EVET",IF($D1023="GELİR",$O1023,-$O1023),0))</f>
        <v/>
      </c>
      <c r="AA1023" s="117">
        <f>IF($B1023="",0,IF(OR($W1023="EVET",$X1023="EVET",$Y1023="EVET"),0,IF($D1023="GELİR",IF($E1023="SATIŞ İADESİ/İSKONTO",-$O1023,$O1023),-$O1023)))</f>
        <v/>
      </c>
      <c r="AB1023" s="117">
        <f>IF($B1023="","",IF(OR($D1023="",$E1023="",$O1023=""),"EKSİK",IF($O1023&lt;=0,"SIFIR/NEGATİF",IF(COUNTIFS($C$6:$C$5000,$C1023,$O$6:$O$5000,$O1023,$B$6:$B$5000,$B1023)&gt;1,"MÜKERRER","OK"))))</f>
        <v/>
      </c>
    </row>
    <row r="1024" ht="16.5" customHeight="1" s="80">
      <c r="A1024" s="113" t="n"/>
      <c r="B1024" s="113" t="n"/>
      <c r="C1024" s="113" t="n"/>
      <c r="D1024" s="113" t="n"/>
      <c r="E1024" s="113" t="n"/>
      <c r="F1024" s="113" t="n"/>
      <c r="G1024" s="113" t="n"/>
      <c r="H1024" s="113" t="n"/>
      <c r="I1024" s="113" t="n"/>
      <c r="J1024" s="113" t="n"/>
      <c r="K1024" s="113" t="n"/>
      <c r="L1024" s="113" t="n"/>
      <c r="M1024" s="113" t="n"/>
      <c r="N1024" s="113" t="n"/>
      <c r="O1024" s="113" t="n"/>
      <c r="P1024" s="113" t="n"/>
      <c r="Q1024" s="113" t="n"/>
      <c r="R1024" s="113" t="n"/>
      <c r="S1024" s="113" t="n"/>
      <c r="T1024" s="113" t="n"/>
      <c r="U1024" s="113" t="n"/>
      <c r="V1024" s="113" t="n"/>
      <c r="W1024" s="113" t="n"/>
      <c r="X1024" s="113" t="n"/>
      <c r="Y1024" s="113" t="n"/>
      <c r="Z1024" s="117">
        <f>IF($B1024="",0,IF($S1024="EVET",IF($D1024="GELİR",$O1024,-$O1024),0))</f>
        <v/>
      </c>
      <c r="AA1024" s="117">
        <f>IF($B1024="",0,IF(OR($W1024="EVET",$X1024="EVET",$Y1024="EVET"),0,IF($D1024="GELİR",IF($E1024="SATIŞ İADESİ/İSKONTO",-$O1024,$O1024),-$O1024)))</f>
        <v/>
      </c>
      <c r="AB1024" s="117">
        <f>IF($B1024="","",IF(OR($D1024="",$E1024="",$O1024=""),"EKSİK",IF($O1024&lt;=0,"SIFIR/NEGATİF",IF(COUNTIFS($C$6:$C$5000,$C1024,$O$6:$O$5000,$O1024,$B$6:$B$5000,$B1024)&gt;1,"MÜKERRER","OK"))))</f>
        <v/>
      </c>
    </row>
    <row r="1025" ht="16.5" customHeight="1" s="80">
      <c r="A1025" s="113" t="n"/>
      <c r="B1025" s="113" t="n"/>
      <c r="C1025" s="113" t="n"/>
      <c r="D1025" s="113" t="n"/>
      <c r="E1025" s="113" t="n"/>
      <c r="F1025" s="113" t="n"/>
      <c r="G1025" s="113" t="n"/>
      <c r="H1025" s="113" t="n"/>
      <c r="I1025" s="113" t="n"/>
      <c r="J1025" s="113" t="n"/>
      <c r="K1025" s="113" t="n"/>
      <c r="L1025" s="113" t="n"/>
      <c r="M1025" s="113" t="n"/>
      <c r="N1025" s="113" t="n"/>
      <c r="O1025" s="113" t="n"/>
      <c r="P1025" s="113" t="n"/>
      <c r="Q1025" s="113" t="n"/>
      <c r="R1025" s="113" t="n"/>
      <c r="S1025" s="113" t="n"/>
      <c r="T1025" s="113" t="n"/>
      <c r="U1025" s="113" t="n"/>
      <c r="V1025" s="113" t="n"/>
      <c r="W1025" s="113" t="n"/>
      <c r="X1025" s="113" t="n"/>
      <c r="Y1025" s="113" t="n"/>
      <c r="Z1025" s="117">
        <f>IF($B1025="",0,IF($S1025="EVET",IF($D1025="GELİR",$O1025,-$O1025),0))</f>
        <v/>
      </c>
      <c r="AA1025" s="117">
        <f>IF($B1025="",0,IF(OR($W1025="EVET",$X1025="EVET",$Y1025="EVET"),0,IF($D1025="GELİR",IF($E1025="SATIŞ İADESİ/İSKONTO",-$O1025,$O1025),-$O1025)))</f>
        <v/>
      </c>
      <c r="AB1025" s="117">
        <f>IF($B1025="","",IF(OR($D1025="",$E1025="",$O1025=""),"EKSİK",IF($O1025&lt;=0,"SIFIR/NEGATİF",IF(COUNTIFS($C$6:$C$5000,$C1025,$O$6:$O$5000,$O1025,$B$6:$B$5000,$B1025)&gt;1,"MÜKERRER","OK"))))</f>
        <v/>
      </c>
    </row>
    <row r="1026" ht="16.5" customHeight="1" s="80">
      <c r="A1026" s="113" t="n"/>
      <c r="B1026" s="113" t="n"/>
      <c r="C1026" s="113" t="n"/>
      <c r="D1026" s="113" t="n"/>
      <c r="E1026" s="113" t="n"/>
      <c r="F1026" s="113" t="n"/>
      <c r="G1026" s="113" t="n"/>
      <c r="H1026" s="113" t="n"/>
      <c r="I1026" s="113" t="n"/>
      <c r="J1026" s="113" t="n"/>
      <c r="K1026" s="113" t="n"/>
      <c r="L1026" s="113" t="n"/>
      <c r="M1026" s="113" t="n"/>
      <c r="N1026" s="113" t="n"/>
      <c r="O1026" s="113" t="n"/>
      <c r="P1026" s="113" t="n"/>
      <c r="Q1026" s="113" t="n"/>
      <c r="R1026" s="113" t="n"/>
      <c r="S1026" s="113" t="n"/>
      <c r="T1026" s="113" t="n"/>
      <c r="U1026" s="113" t="n"/>
      <c r="V1026" s="113" t="n"/>
      <c r="W1026" s="113" t="n"/>
      <c r="X1026" s="113" t="n"/>
      <c r="Y1026" s="113" t="n"/>
      <c r="Z1026" s="117">
        <f>IF($B1026="",0,IF($S1026="EVET",IF($D1026="GELİR",$O1026,-$O1026),0))</f>
        <v/>
      </c>
      <c r="AA1026" s="117">
        <f>IF($B1026="",0,IF(OR($W1026="EVET",$X1026="EVET",$Y1026="EVET"),0,IF($D1026="GELİR",IF($E1026="SATIŞ İADESİ/İSKONTO",-$O1026,$O1026),-$O1026)))</f>
        <v/>
      </c>
      <c r="AB1026" s="117">
        <f>IF($B1026="","",IF(OR($D1026="",$E1026="",$O1026=""),"EKSİK",IF($O1026&lt;=0,"SIFIR/NEGATİF",IF(COUNTIFS($C$6:$C$5000,$C1026,$O$6:$O$5000,$O1026,$B$6:$B$5000,$B1026)&gt;1,"MÜKERRER","OK"))))</f>
        <v/>
      </c>
    </row>
    <row r="1027" ht="16.5" customHeight="1" s="80">
      <c r="A1027" s="113" t="n"/>
      <c r="B1027" s="113" t="n"/>
      <c r="C1027" s="113" t="n"/>
      <c r="D1027" s="113" t="n"/>
      <c r="E1027" s="113" t="n"/>
      <c r="F1027" s="113" t="n"/>
      <c r="G1027" s="113" t="n"/>
      <c r="H1027" s="113" t="n"/>
      <c r="I1027" s="113" t="n"/>
      <c r="J1027" s="113" t="n"/>
      <c r="K1027" s="113" t="n"/>
      <c r="L1027" s="113" t="n"/>
      <c r="M1027" s="113" t="n"/>
      <c r="N1027" s="113" t="n"/>
      <c r="O1027" s="113" t="n"/>
      <c r="P1027" s="113" t="n"/>
      <c r="Q1027" s="113" t="n"/>
      <c r="R1027" s="113" t="n"/>
      <c r="S1027" s="113" t="n"/>
      <c r="T1027" s="113" t="n"/>
      <c r="U1027" s="113" t="n"/>
      <c r="V1027" s="113" t="n"/>
      <c r="W1027" s="113" t="n"/>
      <c r="X1027" s="113" t="n"/>
      <c r="Y1027" s="113" t="n"/>
      <c r="Z1027" s="117">
        <f>IF($B1027="",0,IF($S1027="EVET",IF($D1027="GELİR",$O1027,-$O1027),0))</f>
        <v/>
      </c>
      <c r="AA1027" s="117">
        <f>IF($B1027="",0,IF(OR($W1027="EVET",$X1027="EVET",$Y1027="EVET"),0,IF($D1027="GELİR",IF($E1027="SATIŞ İADESİ/İSKONTO",-$O1027,$O1027),-$O1027)))</f>
        <v/>
      </c>
      <c r="AB1027" s="117">
        <f>IF($B1027="","",IF(OR($D1027="",$E1027="",$O1027=""),"EKSİK",IF($O1027&lt;=0,"SIFIR/NEGATİF",IF(COUNTIFS($C$6:$C$5000,$C1027,$O$6:$O$5000,$O1027,$B$6:$B$5000,$B1027)&gt;1,"MÜKERRER","OK"))))</f>
        <v/>
      </c>
    </row>
    <row r="1028" ht="16.5" customHeight="1" s="80">
      <c r="A1028" s="113" t="n"/>
      <c r="B1028" s="113" t="n"/>
      <c r="C1028" s="113" t="n"/>
      <c r="D1028" s="113" t="n"/>
      <c r="E1028" s="113" t="n"/>
      <c r="F1028" s="113" t="n"/>
      <c r="G1028" s="113" t="n"/>
      <c r="H1028" s="113" t="n"/>
      <c r="I1028" s="113" t="n"/>
      <c r="J1028" s="113" t="n"/>
      <c r="K1028" s="113" t="n"/>
      <c r="L1028" s="113" t="n"/>
      <c r="M1028" s="113" t="n"/>
      <c r="N1028" s="113" t="n"/>
      <c r="O1028" s="113" t="n"/>
      <c r="P1028" s="113" t="n"/>
      <c r="Q1028" s="113" t="n"/>
      <c r="R1028" s="113" t="n"/>
      <c r="S1028" s="113" t="n"/>
      <c r="T1028" s="113" t="n"/>
      <c r="U1028" s="113" t="n"/>
      <c r="V1028" s="113" t="n"/>
      <c r="W1028" s="113" t="n"/>
      <c r="X1028" s="113" t="n"/>
      <c r="Y1028" s="113" t="n"/>
      <c r="Z1028" s="117">
        <f>IF($B1028="",0,IF($S1028="EVET",IF($D1028="GELİR",$O1028,-$O1028),0))</f>
        <v/>
      </c>
      <c r="AA1028" s="117">
        <f>IF($B1028="",0,IF(OR($W1028="EVET",$X1028="EVET",$Y1028="EVET"),0,IF($D1028="GELİR",IF($E1028="SATIŞ İADESİ/İSKONTO",-$O1028,$O1028),-$O1028)))</f>
        <v/>
      </c>
      <c r="AB1028" s="117">
        <f>IF($B1028="","",IF(OR($D1028="",$E1028="",$O1028=""),"EKSİK",IF($O1028&lt;=0,"SIFIR/NEGATİF",IF(COUNTIFS($C$6:$C$5000,$C1028,$O$6:$O$5000,$O1028,$B$6:$B$5000,$B1028)&gt;1,"MÜKERRER","OK"))))</f>
        <v/>
      </c>
    </row>
    <row r="1029" ht="16.5" customHeight="1" s="80">
      <c r="A1029" s="113" t="n"/>
      <c r="B1029" s="113" t="n"/>
      <c r="C1029" s="113" t="n"/>
      <c r="D1029" s="113" t="n"/>
      <c r="E1029" s="113" t="n"/>
      <c r="F1029" s="113" t="n"/>
      <c r="G1029" s="113" t="n"/>
      <c r="H1029" s="113" t="n"/>
      <c r="I1029" s="113" t="n"/>
      <c r="J1029" s="113" t="n"/>
      <c r="K1029" s="113" t="n"/>
      <c r="L1029" s="113" t="n"/>
      <c r="M1029" s="113" t="n"/>
      <c r="N1029" s="113" t="n"/>
      <c r="O1029" s="113" t="n"/>
      <c r="P1029" s="113" t="n"/>
      <c r="Q1029" s="113" t="n"/>
      <c r="R1029" s="113" t="n"/>
      <c r="S1029" s="113" t="n"/>
      <c r="T1029" s="113" t="n"/>
      <c r="U1029" s="113" t="n"/>
      <c r="V1029" s="113" t="n"/>
      <c r="W1029" s="113" t="n"/>
      <c r="X1029" s="113" t="n"/>
      <c r="Y1029" s="113" t="n"/>
      <c r="Z1029" s="117">
        <f>IF($B1029="",0,IF($S1029="EVET",IF($D1029="GELİR",$O1029,-$O1029),0))</f>
        <v/>
      </c>
      <c r="AA1029" s="117">
        <f>IF($B1029="",0,IF(OR($W1029="EVET",$X1029="EVET",$Y1029="EVET"),0,IF($D1029="GELİR",IF($E1029="SATIŞ İADESİ/İSKONTO",-$O1029,$O1029),-$O1029)))</f>
        <v/>
      </c>
      <c r="AB1029" s="117">
        <f>IF($B1029="","",IF(OR($D1029="",$E1029="",$O1029=""),"EKSİK",IF($O1029&lt;=0,"SIFIR/NEGATİF",IF(COUNTIFS($C$6:$C$5000,$C1029,$O$6:$O$5000,$O1029,$B$6:$B$5000,$B1029)&gt;1,"MÜKERRER","OK"))))</f>
        <v/>
      </c>
    </row>
    <row r="1030" ht="16.5" customHeight="1" s="80">
      <c r="A1030" s="113" t="n"/>
      <c r="B1030" s="113" t="n"/>
      <c r="C1030" s="113" t="n"/>
      <c r="D1030" s="113" t="n"/>
      <c r="E1030" s="113" t="n"/>
      <c r="F1030" s="113" t="n"/>
      <c r="G1030" s="113" t="n"/>
      <c r="H1030" s="113" t="n"/>
      <c r="I1030" s="113" t="n"/>
      <c r="J1030" s="113" t="n"/>
      <c r="K1030" s="113" t="n"/>
      <c r="L1030" s="113" t="n"/>
      <c r="M1030" s="113" t="n"/>
      <c r="N1030" s="113" t="n"/>
      <c r="O1030" s="113" t="n"/>
      <c r="P1030" s="113" t="n"/>
      <c r="Q1030" s="113" t="n"/>
      <c r="R1030" s="113" t="n"/>
      <c r="S1030" s="113" t="n"/>
      <c r="T1030" s="113" t="n"/>
      <c r="U1030" s="113" t="n"/>
      <c r="V1030" s="113" t="n"/>
      <c r="W1030" s="113" t="n"/>
      <c r="X1030" s="113" t="n"/>
      <c r="Y1030" s="113" t="n"/>
      <c r="Z1030" s="117">
        <f>IF($B1030="",0,IF($S1030="EVET",IF($D1030="GELİR",$O1030,-$O1030),0))</f>
        <v/>
      </c>
      <c r="AA1030" s="117">
        <f>IF($B1030="",0,IF(OR($W1030="EVET",$X1030="EVET",$Y1030="EVET"),0,IF($D1030="GELİR",IF($E1030="SATIŞ İADESİ/İSKONTO",-$O1030,$O1030),-$O1030)))</f>
        <v/>
      </c>
      <c r="AB1030" s="117">
        <f>IF($B1030="","",IF(OR($D1030="",$E1030="",$O1030=""),"EKSİK",IF($O1030&lt;=0,"SIFIR/NEGATİF",IF(COUNTIFS($C$6:$C$5000,$C1030,$O$6:$O$5000,$O1030,$B$6:$B$5000,$B1030)&gt;1,"MÜKERRER","OK"))))</f>
        <v/>
      </c>
    </row>
    <row r="1031" ht="16.5" customHeight="1" s="80">
      <c r="A1031" s="113" t="n"/>
      <c r="B1031" s="113" t="n"/>
      <c r="C1031" s="113" t="n"/>
      <c r="D1031" s="113" t="n"/>
      <c r="E1031" s="113" t="n"/>
      <c r="F1031" s="113" t="n"/>
      <c r="G1031" s="113" t="n"/>
      <c r="H1031" s="113" t="n"/>
      <c r="I1031" s="113" t="n"/>
      <c r="J1031" s="113" t="n"/>
      <c r="K1031" s="113" t="n"/>
      <c r="L1031" s="113" t="n"/>
      <c r="M1031" s="113" t="n"/>
      <c r="N1031" s="113" t="n"/>
      <c r="O1031" s="113" t="n"/>
      <c r="P1031" s="113" t="n"/>
      <c r="Q1031" s="113" t="n"/>
      <c r="R1031" s="113" t="n"/>
      <c r="S1031" s="113" t="n"/>
      <c r="T1031" s="113" t="n"/>
      <c r="U1031" s="113" t="n"/>
      <c r="V1031" s="113" t="n"/>
      <c r="W1031" s="113" t="n"/>
      <c r="X1031" s="113" t="n"/>
      <c r="Y1031" s="113" t="n"/>
      <c r="Z1031" s="117">
        <f>IF($B1031="",0,IF($S1031="EVET",IF($D1031="GELİR",$O1031,-$O1031),0))</f>
        <v/>
      </c>
      <c r="AA1031" s="117">
        <f>IF($B1031="",0,IF(OR($W1031="EVET",$X1031="EVET",$Y1031="EVET"),0,IF($D1031="GELİR",IF($E1031="SATIŞ İADESİ/İSKONTO",-$O1031,$O1031),-$O1031)))</f>
        <v/>
      </c>
      <c r="AB1031" s="117">
        <f>IF($B1031="","",IF(OR($D1031="",$E1031="",$O1031=""),"EKSİK",IF($O1031&lt;=0,"SIFIR/NEGATİF",IF(COUNTIFS($C$6:$C$5000,$C1031,$O$6:$O$5000,$O1031,$B$6:$B$5000,$B1031)&gt;1,"MÜKERRER","OK"))))</f>
        <v/>
      </c>
    </row>
    <row r="1032" ht="16.5" customHeight="1" s="80">
      <c r="A1032" s="113" t="n"/>
      <c r="B1032" s="113" t="n"/>
      <c r="C1032" s="113" t="n"/>
      <c r="D1032" s="113" t="n"/>
      <c r="E1032" s="113" t="n"/>
      <c r="F1032" s="113" t="n"/>
      <c r="G1032" s="113" t="n"/>
      <c r="H1032" s="113" t="n"/>
      <c r="I1032" s="113" t="n"/>
      <c r="J1032" s="113" t="n"/>
      <c r="K1032" s="113" t="n"/>
      <c r="L1032" s="113" t="n"/>
      <c r="M1032" s="113" t="n"/>
      <c r="N1032" s="113" t="n"/>
      <c r="O1032" s="113" t="n"/>
      <c r="P1032" s="113" t="n"/>
      <c r="Q1032" s="113" t="n"/>
      <c r="R1032" s="113" t="n"/>
      <c r="S1032" s="113" t="n"/>
      <c r="T1032" s="113" t="n"/>
      <c r="U1032" s="113" t="n"/>
      <c r="V1032" s="113" t="n"/>
      <c r="W1032" s="113" t="n"/>
      <c r="X1032" s="113" t="n"/>
      <c r="Y1032" s="113" t="n"/>
      <c r="Z1032" s="117">
        <f>IF($B1032="",0,IF($S1032="EVET",IF($D1032="GELİR",$O1032,-$O1032),0))</f>
        <v/>
      </c>
      <c r="AA1032" s="117">
        <f>IF($B1032="",0,IF(OR($W1032="EVET",$X1032="EVET",$Y1032="EVET"),0,IF($D1032="GELİR",IF($E1032="SATIŞ İADESİ/İSKONTO",-$O1032,$O1032),-$O1032)))</f>
        <v/>
      </c>
      <c r="AB1032" s="117">
        <f>IF($B1032="","",IF(OR($D1032="",$E1032="",$O1032=""),"EKSİK",IF($O1032&lt;=0,"SIFIR/NEGATİF",IF(COUNTIFS($C$6:$C$5000,$C1032,$O$6:$O$5000,$O1032,$B$6:$B$5000,$B1032)&gt;1,"MÜKERRER","OK"))))</f>
        <v/>
      </c>
    </row>
    <row r="1033" ht="16.5" customHeight="1" s="80">
      <c r="A1033" s="113" t="n"/>
      <c r="B1033" s="113" t="n"/>
      <c r="C1033" s="113" t="n"/>
      <c r="D1033" s="113" t="n"/>
      <c r="E1033" s="113" t="n"/>
      <c r="F1033" s="113" t="n"/>
      <c r="G1033" s="113" t="n"/>
      <c r="H1033" s="113" t="n"/>
      <c r="I1033" s="113" t="n"/>
      <c r="J1033" s="113" t="n"/>
      <c r="K1033" s="113" t="n"/>
      <c r="L1033" s="113" t="n"/>
      <c r="M1033" s="113" t="n"/>
      <c r="N1033" s="113" t="n"/>
      <c r="O1033" s="113" t="n"/>
      <c r="P1033" s="113" t="n"/>
      <c r="Q1033" s="113" t="n"/>
      <c r="R1033" s="113" t="n"/>
      <c r="S1033" s="113" t="n"/>
      <c r="T1033" s="113" t="n"/>
      <c r="U1033" s="113" t="n"/>
      <c r="V1033" s="113" t="n"/>
      <c r="W1033" s="113" t="n"/>
      <c r="X1033" s="113" t="n"/>
      <c r="Y1033" s="113" t="n"/>
      <c r="Z1033" s="117">
        <f>IF($B1033="",0,IF($S1033="EVET",IF($D1033="GELİR",$O1033,-$O1033),0))</f>
        <v/>
      </c>
      <c r="AA1033" s="117">
        <f>IF($B1033="",0,IF(OR($W1033="EVET",$X1033="EVET",$Y1033="EVET"),0,IF($D1033="GELİR",IF($E1033="SATIŞ İADESİ/İSKONTO",-$O1033,$O1033),-$O1033)))</f>
        <v/>
      </c>
      <c r="AB1033" s="117">
        <f>IF($B1033="","",IF(OR($D1033="",$E1033="",$O1033=""),"EKSİK",IF($O1033&lt;=0,"SIFIR/NEGATİF",IF(COUNTIFS($C$6:$C$5000,$C1033,$O$6:$O$5000,$O1033,$B$6:$B$5000,$B1033)&gt;1,"MÜKERRER","OK"))))</f>
        <v/>
      </c>
    </row>
    <row r="1034" ht="16.5" customHeight="1" s="80">
      <c r="A1034" s="113" t="n"/>
      <c r="B1034" s="113" t="n"/>
      <c r="C1034" s="113" t="n"/>
      <c r="D1034" s="113" t="n"/>
      <c r="E1034" s="113" t="n"/>
      <c r="F1034" s="113" t="n"/>
      <c r="G1034" s="113" t="n"/>
      <c r="H1034" s="113" t="n"/>
      <c r="I1034" s="113" t="n"/>
      <c r="J1034" s="113" t="n"/>
      <c r="K1034" s="113" t="n"/>
      <c r="L1034" s="113" t="n"/>
      <c r="M1034" s="113" t="n"/>
      <c r="N1034" s="113" t="n"/>
      <c r="O1034" s="113" t="n"/>
      <c r="P1034" s="113" t="n"/>
      <c r="Q1034" s="113" t="n"/>
      <c r="R1034" s="113" t="n"/>
      <c r="S1034" s="113" t="n"/>
      <c r="T1034" s="113" t="n"/>
      <c r="U1034" s="113" t="n"/>
      <c r="V1034" s="113" t="n"/>
      <c r="W1034" s="113" t="n"/>
      <c r="X1034" s="113" t="n"/>
      <c r="Y1034" s="113" t="n"/>
      <c r="Z1034" s="117">
        <f>IF($B1034="",0,IF($S1034="EVET",IF($D1034="GELİR",$O1034,-$O1034),0))</f>
        <v/>
      </c>
      <c r="AA1034" s="117">
        <f>IF($B1034="",0,IF(OR($W1034="EVET",$X1034="EVET",$Y1034="EVET"),0,IF($D1034="GELİR",IF($E1034="SATIŞ İADESİ/İSKONTO",-$O1034,$O1034),-$O1034)))</f>
        <v/>
      </c>
      <c r="AB1034" s="117">
        <f>IF($B1034="","",IF(OR($D1034="",$E1034="",$O1034=""),"EKSİK",IF($O1034&lt;=0,"SIFIR/NEGATİF",IF(COUNTIFS($C$6:$C$5000,$C1034,$O$6:$O$5000,$O1034,$B$6:$B$5000,$B1034)&gt;1,"MÜKERRER","OK"))))</f>
        <v/>
      </c>
    </row>
    <row r="1035" ht="16.5" customHeight="1" s="80">
      <c r="A1035" s="113" t="n"/>
      <c r="B1035" s="113" t="n"/>
      <c r="C1035" s="113" t="n"/>
      <c r="D1035" s="113" t="n"/>
      <c r="E1035" s="113" t="n"/>
      <c r="F1035" s="113" t="n"/>
      <c r="G1035" s="113" t="n"/>
      <c r="H1035" s="113" t="n"/>
      <c r="I1035" s="113" t="n"/>
      <c r="J1035" s="113" t="n"/>
      <c r="K1035" s="113" t="n"/>
      <c r="L1035" s="113" t="n"/>
      <c r="M1035" s="113" t="n"/>
      <c r="N1035" s="113" t="n"/>
      <c r="O1035" s="113" t="n"/>
      <c r="P1035" s="113" t="n"/>
      <c r="Q1035" s="113" t="n"/>
      <c r="R1035" s="113" t="n"/>
      <c r="S1035" s="113" t="n"/>
      <c r="T1035" s="113" t="n"/>
      <c r="U1035" s="113" t="n"/>
      <c r="V1035" s="113" t="n"/>
      <c r="W1035" s="113" t="n"/>
      <c r="X1035" s="113" t="n"/>
      <c r="Y1035" s="113" t="n"/>
      <c r="Z1035" s="117">
        <f>IF($B1035="",0,IF($S1035="EVET",IF($D1035="GELİR",$O1035,-$O1035),0))</f>
        <v/>
      </c>
      <c r="AA1035" s="117">
        <f>IF($B1035="",0,IF(OR($W1035="EVET",$X1035="EVET",$Y1035="EVET"),0,IF($D1035="GELİR",IF($E1035="SATIŞ İADESİ/İSKONTO",-$O1035,$O1035),-$O1035)))</f>
        <v/>
      </c>
      <c r="AB1035" s="117">
        <f>IF($B1035="","",IF(OR($D1035="",$E1035="",$O1035=""),"EKSİK",IF($O1035&lt;=0,"SIFIR/NEGATİF",IF(COUNTIFS($C$6:$C$5000,$C1035,$O$6:$O$5000,$O1035,$B$6:$B$5000,$B1035)&gt;1,"MÜKERRER","OK"))))</f>
        <v/>
      </c>
    </row>
    <row r="1036" ht="16.5" customHeight="1" s="80">
      <c r="A1036" s="113" t="n"/>
      <c r="B1036" s="113" t="n"/>
      <c r="C1036" s="113" t="n"/>
      <c r="D1036" s="113" t="n"/>
      <c r="E1036" s="113" t="n"/>
      <c r="F1036" s="113" t="n"/>
      <c r="G1036" s="113" t="n"/>
      <c r="H1036" s="113" t="n"/>
      <c r="I1036" s="113" t="n"/>
      <c r="J1036" s="113" t="n"/>
      <c r="K1036" s="113" t="n"/>
      <c r="L1036" s="113" t="n"/>
      <c r="M1036" s="113" t="n"/>
      <c r="N1036" s="113" t="n"/>
      <c r="O1036" s="113" t="n"/>
      <c r="P1036" s="113" t="n"/>
      <c r="Q1036" s="113" t="n"/>
      <c r="R1036" s="113" t="n"/>
      <c r="S1036" s="113" t="n"/>
      <c r="T1036" s="113" t="n"/>
      <c r="U1036" s="113" t="n"/>
      <c r="V1036" s="113" t="n"/>
      <c r="W1036" s="113" t="n"/>
      <c r="X1036" s="113" t="n"/>
      <c r="Y1036" s="113" t="n"/>
      <c r="Z1036" s="117">
        <f>IF($B1036="",0,IF($S1036="EVET",IF($D1036="GELİR",$O1036,-$O1036),0))</f>
        <v/>
      </c>
      <c r="AA1036" s="117">
        <f>IF($B1036="",0,IF(OR($W1036="EVET",$X1036="EVET",$Y1036="EVET"),0,IF($D1036="GELİR",IF($E1036="SATIŞ İADESİ/İSKONTO",-$O1036,$O1036),-$O1036)))</f>
        <v/>
      </c>
      <c r="AB1036" s="117">
        <f>IF($B1036="","",IF(OR($D1036="",$E1036="",$O1036=""),"EKSİK",IF($O1036&lt;=0,"SIFIR/NEGATİF",IF(COUNTIFS($C$6:$C$5000,$C1036,$O$6:$O$5000,$O1036,$B$6:$B$5000,$B1036)&gt;1,"MÜKERRER","OK"))))</f>
        <v/>
      </c>
    </row>
    <row r="1037" ht="16.5" customHeight="1" s="80">
      <c r="A1037" s="113" t="n"/>
      <c r="B1037" s="113" t="n"/>
      <c r="C1037" s="113" t="n"/>
      <c r="D1037" s="113" t="n"/>
      <c r="E1037" s="113" t="n"/>
      <c r="F1037" s="113" t="n"/>
      <c r="G1037" s="113" t="n"/>
      <c r="H1037" s="113" t="n"/>
      <c r="I1037" s="113" t="n"/>
      <c r="J1037" s="113" t="n"/>
      <c r="K1037" s="113" t="n"/>
      <c r="L1037" s="113" t="n"/>
      <c r="M1037" s="113" t="n"/>
      <c r="N1037" s="113" t="n"/>
      <c r="O1037" s="113" t="n"/>
      <c r="P1037" s="113" t="n"/>
      <c r="Q1037" s="113" t="n"/>
      <c r="R1037" s="113" t="n"/>
      <c r="S1037" s="113" t="n"/>
      <c r="T1037" s="113" t="n"/>
      <c r="U1037" s="113" t="n"/>
      <c r="V1037" s="113" t="n"/>
      <c r="W1037" s="113" t="n"/>
      <c r="X1037" s="113" t="n"/>
      <c r="Y1037" s="113" t="n"/>
      <c r="Z1037" s="117">
        <f>IF($B1037="",0,IF($S1037="EVET",IF($D1037="GELİR",$O1037,-$O1037),0))</f>
        <v/>
      </c>
      <c r="AA1037" s="117">
        <f>IF($B1037="",0,IF(OR($W1037="EVET",$X1037="EVET",$Y1037="EVET"),0,IF($D1037="GELİR",IF($E1037="SATIŞ İADESİ/İSKONTO",-$O1037,$O1037),-$O1037)))</f>
        <v/>
      </c>
      <c r="AB1037" s="117">
        <f>IF($B1037="","",IF(OR($D1037="",$E1037="",$O1037=""),"EKSİK",IF($O1037&lt;=0,"SIFIR/NEGATİF",IF(COUNTIFS($C$6:$C$5000,$C1037,$O$6:$O$5000,$O1037,$B$6:$B$5000,$B1037)&gt;1,"MÜKERRER","OK"))))</f>
        <v/>
      </c>
    </row>
    <row r="1038" ht="16.5" customHeight="1" s="80">
      <c r="A1038" s="113" t="n"/>
      <c r="B1038" s="113" t="n"/>
      <c r="C1038" s="113" t="n"/>
      <c r="D1038" s="113" t="n"/>
      <c r="E1038" s="113" t="n"/>
      <c r="F1038" s="113" t="n"/>
      <c r="G1038" s="113" t="n"/>
      <c r="H1038" s="113" t="n"/>
      <c r="I1038" s="113" t="n"/>
      <c r="J1038" s="113" t="n"/>
      <c r="K1038" s="113" t="n"/>
      <c r="L1038" s="113" t="n"/>
      <c r="M1038" s="113" t="n"/>
      <c r="N1038" s="113" t="n"/>
      <c r="O1038" s="113" t="n"/>
      <c r="P1038" s="113" t="n"/>
      <c r="Q1038" s="113" t="n"/>
      <c r="R1038" s="113" t="n"/>
      <c r="S1038" s="113" t="n"/>
      <c r="T1038" s="113" t="n"/>
      <c r="U1038" s="113" t="n"/>
      <c r="V1038" s="113" t="n"/>
      <c r="W1038" s="113" t="n"/>
      <c r="X1038" s="113" t="n"/>
      <c r="Y1038" s="113" t="n"/>
      <c r="Z1038" s="117">
        <f>IF($B1038="",0,IF($S1038="EVET",IF($D1038="GELİR",$O1038,-$O1038),0))</f>
        <v/>
      </c>
      <c r="AA1038" s="117">
        <f>IF($B1038="",0,IF(OR($W1038="EVET",$X1038="EVET",$Y1038="EVET"),0,IF($D1038="GELİR",IF($E1038="SATIŞ İADESİ/İSKONTO",-$O1038,$O1038),-$O1038)))</f>
        <v/>
      </c>
      <c r="AB1038" s="117">
        <f>IF($B1038="","",IF(OR($D1038="",$E1038="",$O1038=""),"EKSİK",IF($O1038&lt;=0,"SIFIR/NEGATİF",IF(COUNTIFS($C$6:$C$5000,$C1038,$O$6:$O$5000,$O1038,$B$6:$B$5000,$B1038)&gt;1,"MÜKERRER","OK"))))</f>
        <v/>
      </c>
    </row>
    <row r="1039" ht="16.5" customHeight="1" s="80">
      <c r="A1039" s="113" t="n"/>
      <c r="B1039" s="113" t="n"/>
      <c r="C1039" s="113" t="n"/>
      <c r="D1039" s="113" t="n"/>
      <c r="E1039" s="113" t="n"/>
      <c r="F1039" s="113" t="n"/>
      <c r="G1039" s="113" t="n"/>
      <c r="H1039" s="113" t="n"/>
      <c r="I1039" s="113" t="n"/>
      <c r="J1039" s="113" t="n"/>
      <c r="K1039" s="113" t="n"/>
      <c r="L1039" s="113" t="n"/>
      <c r="M1039" s="113" t="n"/>
      <c r="N1039" s="113" t="n"/>
      <c r="O1039" s="113" t="n"/>
      <c r="P1039" s="113" t="n"/>
      <c r="Q1039" s="113" t="n"/>
      <c r="R1039" s="113" t="n"/>
      <c r="S1039" s="113" t="n"/>
      <c r="T1039" s="113" t="n"/>
      <c r="U1039" s="113" t="n"/>
      <c r="V1039" s="113" t="n"/>
      <c r="W1039" s="113" t="n"/>
      <c r="X1039" s="113" t="n"/>
      <c r="Y1039" s="113" t="n"/>
      <c r="Z1039" s="117">
        <f>IF($B1039="",0,IF($S1039="EVET",IF($D1039="GELİR",$O1039,-$O1039),0))</f>
        <v/>
      </c>
      <c r="AA1039" s="117">
        <f>IF($B1039="",0,IF(OR($W1039="EVET",$X1039="EVET",$Y1039="EVET"),0,IF($D1039="GELİR",IF($E1039="SATIŞ İADESİ/İSKONTO",-$O1039,$O1039),-$O1039)))</f>
        <v/>
      </c>
      <c r="AB1039" s="117">
        <f>IF($B1039="","",IF(OR($D1039="",$E1039="",$O1039=""),"EKSİK",IF($O1039&lt;=0,"SIFIR/NEGATİF",IF(COUNTIFS($C$6:$C$5000,$C1039,$O$6:$O$5000,$O1039,$B$6:$B$5000,$B1039)&gt;1,"MÜKERRER","OK"))))</f>
        <v/>
      </c>
    </row>
    <row r="1040" ht="16.5" customHeight="1" s="80">
      <c r="A1040" s="113" t="n"/>
      <c r="B1040" s="113" t="n"/>
      <c r="C1040" s="113" t="n"/>
      <c r="D1040" s="113" t="n"/>
      <c r="E1040" s="113" t="n"/>
      <c r="F1040" s="113" t="n"/>
      <c r="G1040" s="113" t="n"/>
      <c r="H1040" s="113" t="n"/>
      <c r="I1040" s="113" t="n"/>
      <c r="J1040" s="113" t="n"/>
      <c r="K1040" s="113" t="n"/>
      <c r="L1040" s="113" t="n"/>
      <c r="M1040" s="113" t="n"/>
      <c r="N1040" s="113" t="n"/>
      <c r="O1040" s="113" t="n"/>
      <c r="P1040" s="113" t="n"/>
      <c r="Q1040" s="113" t="n"/>
      <c r="R1040" s="113" t="n"/>
      <c r="S1040" s="113" t="n"/>
      <c r="T1040" s="113" t="n"/>
      <c r="U1040" s="113" t="n"/>
      <c r="V1040" s="113" t="n"/>
      <c r="W1040" s="113" t="n"/>
      <c r="X1040" s="113" t="n"/>
      <c r="Y1040" s="113" t="n"/>
      <c r="Z1040" s="117">
        <f>IF($B1040="",0,IF($S1040="EVET",IF($D1040="GELİR",$O1040,-$O1040),0))</f>
        <v/>
      </c>
      <c r="AA1040" s="117">
        <f>IF($B1040="",0,IF(OR($W1040="EVET",$X1040="EVET",$Y1040="EVET"),0,IF($D1040="GELİR",IF($E1040="SATIŞ İADESİ/İSKONTO",-$O1040,$O1040),-$O1040)))</f>
        <v/>
      </c>
      <c r="AB1040" s="117">
        <f>IF($B1040="","",IF(OR($D1040="",$E1040="",$O1040=""),"EKSİK",IF($O1040&lt;=0,"SIFIR/NEGATİF",IF(COUNTIFS($C$6:$C$5000,$C1040,$O$6:$O$5000,$O1040,$B$6:$B$5000,$B1040)&gt;1,"MÜKERRER","OK"))))</f>
        <v/>
      </c>
    </row>
    <row r="1041" ht="16.5" customHeight="1" s="80">
      <c r="A1041" s="113" t="n"/>
      <c r="B1041" s="113" t="n"/>
      <c r="C1041" s="113" t="n"/>
      <c r="D1041" s="113" t="n"/>
      <c r="E1041" s="113" t="n"/>
      <c r="F1041" s="113" t="n"/>
      <c r="G1041" s="113" t="n"/>
      <c r="H1041" s="113" t="n"/>
      <c r="I1041" s="113" t="n"/>
      <c r="J1041" s="113" t="n"/>
      <c r="K1041" s="113" t="n"/>
      <c r="L1041" s="113" t="n"/>
      <c r="M1041" s="113" t="n"/>
      <c r="N1041" s="113" t="n"/>
      <c r="O1041" s="113" t="n"/>
      <c r="P1041" s="113" t="n"/>
      <c r="Q1041" s="113" t="n"/>
      <c r="R1041" s="113" t="n"/>
      <c r="S1041" s="113" t="n"/>
      <c r="T1041" s="113" t="n"/>
      <c r="U1041" s="113" t="n"/>
      <c r="V1041" s="113" t="n"/>
      <c r="W1041" s="113" t="n"/>
      <c r="X1041" s="113" t="n"/>
      <c r="Y1041" s="113" t="n"/>
      <c r="Z1041" s="117">
        <f>IF($B1041="",0,IF($S1041="EVET",IF($D1041="GELİR",$O1041,-$O1041),0))</f>
        <v/>
      </c>
      <c r="AA1041" s="117">
        <f>IF($B1041="",0,IF(OR($W1041="EVET",$X1041="EVET",$Y1041="EVET"),0,IF($D1041="GELİR",IF($E1041="SATIŞ İADESİ/İSKONTO",-$O1041,$O1041),-$O1041)))</f>
        <v/>
      </c>
      <c r="AB1041" s="117">
        <f>IF($B1041="","",IF(OR($D1041="",$E1041="",$O1041=""),"EKSİK",IF($O1041&lt;=0,"SIFIR/NEGATİF",IF(COUNTIFS($C$6:$C$5000,$C1041,$O$6:$O$5000,$O1041,$B$6:$B$5000,$B1041)&gt;1,"MÜKERRER","OK"))))</f>
        <v/>
      </c>
    </row>
    <row r="1042" ht="16.5" customHeight="1" s="80">
      <c r="A1042" s="113" t="n"/>
      <c r="B1042" s="113" t="n"/>
      <c r="C1042" s="113" t="n"/>
      <c r="D1042" s="113" t="n"/>
      <c r="E1042" s="113" t="n"/>
      <c r="F1042" s="113" t="n"/>
      <c r="G1042" s="113" t="n"/>
      <c r="H1042" s="113" t="n"/>
      <c r="I1042" s="113" t="n"/>
      <c r="J1042" s="113" t="n"/>
      <c r="K1042" s="113" t="n"/>
      <c r="L1042" s="113" t="n"/>
      <c r="M1042" s="113" t="n"/>
      <c r="N1042" s="113" t="n"/>
      <c r="O1042" s="113" t="n"/>
      <c r="P1042" s="113" t="n"/>
      <c r="Q1042" s="113" t="n"/>
      <c r="R1042" s="113" t="n"/>
      <c r="S1042" s="113" t="n"/>
      <c r="T1042" s="113" t="n"/>
      <c r="U1042" s="113" t="n"/>
      <c r="V1042" s="113" t="n"/>
      <c r="W1042" s="113" t="n"/>
      <c r="X1042" s="113" t="n"/>
      <c r="Y1042" s="113" t="n"/>
      <c r="Z1042" s="117">
        <f>IF($B1042="",0,IF($S1042="EVET",IF($D1042="GELİR",$O1042,-$O1042),0))</f>
        <v/>
      </c>
      <c r="AA1042" s="117">
        <f>IF($B1042="",0,IF(OR($W1042="EVET",$X1042="EVET",$Y1042="EVET"),0,IF($D1042="GELİR",IF($E1042="SATIŞ İADESİ/İSKONTO",-$O1042,$O1042),-$O1042)))</f>
        <v/>
      </c>
      <c r="AB1042" s="117">
        <f>IF($B1042="","",IF(OR($D1042="",$E1042="",$O1042=""),"EKSİK",IF($O1042&lt;=0,"SIFIR/NEGATİF",IF(COUNTIFS($C$6:$C$5000,$C1042,$O$6:$O$5000,$O1042,$B$6:$B$5000,$B1042)&gt;1,"MÜKERRER","OK"))))</f>
        <v/>
      </c>
    </row>
    <row r="1043" ht="16.5" customHeight="1" s="80">
      <c r="A1043" s="113" t="n"/>
      <c r="B1043" s="113" t="n"/>
      <c r="C1043" s="113" t="n"/>
      <c r="D1043" s="113" t="n"/>
      <c r="E1043" s="113" t="n"/>
      <c r="F1043" s="113" t="n"/>
      <c r="G1043" s="113" t="n"/>
      <c r="H1043" s="113" t="n"/>
      <c r="I1043" s="113" t="n"/>
      <c r="J1043" s="113" t="n"/>
      <c r="K1043" s="113" t="n"/>
      <c r="L1043" s="113" t="n"/>
      <c r="M1043" s="113" t="n"/>
      <c r="N1043" s="113" t="n"/>
      <c r="O1043" s="113" t="n"/>
      <c r="P1043" s="113" t="n"/>
      <c r="Q1043" s="113" t="n"/>
      <c r="R1043" s="113" t="n"/>
      <c r="S1043" s="113" t="n"/>
      <c r="T1043" s="113" t="n"/>
      <c r="U1043" s="113" t="n"/>
      <c r="V1043" s="113" t="n"/>
      <c r="W1043" s="113" t="n"/>
      <c r="X1043" s="113" t="n"/>
      <c r="Y1043" s="113" t="n"/>
      <c r="Z1043" s="117">
        <f>IF($B1043="",0,IF($S1043="EVET",IF($D1043="GELİR",$O1043,-$O1043),0))</f>
        <v/>
      </c>
      <c r="AA1043" s="117">
        <f>IF($B1043="",0,IF(OR($W1043="EVET",$X1043="EVET",$Y1043="EVET"),0,IF($D1043="GELİR",IF($E1043="SATIŞ İADESİ/İSKONTO",-$O1043,$O1043),-$O1043)))</f>
        <v/>
      </c>
      <c r="AB1043" s="117">
        <f>IF($B1043="","",IF(OR($D1043="",$E1043="",$O1043=""),"EKSİK",IF($O1043&lt;=0,"SIFIR/NEGATİF",IF(COUNTIFS($C$6:$C$5000,$C1043,$O$6:$O$5000,$O1043,$B$6:$B$5000,$B1043)&gt;1,"MÜKERRER","OK"))))</f>
        <v/>
      </c>
    </row>
    <row r="1044" ht="16.5" customHeight="1" s="80">
      <c r="A1044" s="113" t="n"/>
      <c r="B1044" s="113" t="n"/>
      <c r="C1044" s="113" t="n"/>
      <c r="D1044" s="113" t="n"/>
      <c r="E1044" s="113" t="n"/>
      <c r="F1044" s="113" t="n"/>
      <c r="G1044" s="113" t="n"/>
      <c r="H1044" s="113" t="n"/>
      <c r="I1044" s="113" t="n"/>
      <c r="J1044" s="113" t="n"/>
      <c r="K1044" s="113" t="n"/>
      <c r="L1044" s="113" t="n"/>
      <c r="M1044" s="113" t="n"/>
      <c r="N1044" s="113" t="n"/>
      <c r="O1044" s="113" t="n"/>
      <c r="P1044" s="113" t="n"/>
      <c r="Q1044" s="113" t="n"/>
      <c r="R1044" s="113" t="n"/>
      <c r="S1044" s="113" t="n"/>
      <c r="T1044" s="113" t="n"/>
      <c r="U1044" s="113" t="n"/>
      <c r="V1044" s="113" t="n"/>
      <c r="W1044" s="113" t="n"/>
      <c r="X1044" s="113" t="n"/>
      <c r="Y1044" s="113" t="n"/>
      <c r="Z1044" s="117">
        <f>IF($B1044="",0,IF($S1044="EVET",IF($D1044="GELİR",$O1044,-$O1044),0))</f>
        <v/>
      </c>
      <c r="AA1044" s="117">
        <f>IF($B1044="",0,IF(OR($W1044="EVET",$X1044="EVET",$Y1044="EVET"),0,IF($D1044="GELİR",IF($E1044="SATIŞ İADESİ/İSKONTO",-$O1044,$O1044),-$O1044)))</f>
        <v/>
      </c>
      <c r="AB1044" s="117">
        <f>IF($B1044="","",IF(OR($D1044="",$E1044="",$O1044=""),"EKSİK",IF($O1044&lt;=0,"SIFIR/NEGATİF",IF(COUNTIFS($C$6:$C$5000,$C1044,$O$6:$O$5000,$O1044,$B$6:$B$5000,$B1044)&gt;1,"MÜKERRER","OK"))))</f>
        <v/>
      </c>
    </row>
    <row r="1045" ht="16.5" customHeight="1" s="80">
      <c r="A1045" s="113" t="n"/>
      <c r="B1045" s="113" t="n"/>
      <c r="C1045" s="113" t="n"/>
      <c r="D1045" s="113" t="n"/>
      <c r="E1045" s="113" t="n"/>
      <c r="F1045" s="113" t="n"/>
      <c r="G1045" s="113" t="n"/>
      <c r="H1045" s="113" t="n"/>
      <c r="I1045" s="113" t="n"/>
      <c r="J1045" s="113" t="n"/>
      <c r="K1045" s="113" t="n"/>
      <c r="L1045" s="113" t="n"/>
      <c r="M1045" s="113" t="n"/>
      <c r="N1045" s="113" t="n"/>
      <c r="O1045" s="113" t="n"/>
      <c r="P1045" s="113" t="n"/>
      <c r="Q1045" s="113" t="n"/>
      <c r="R1045" s="113" t="n"/>
      <c r="S1045" s="113" t="n"/>
      <c r="T1045" s="113" t="n"/>
      <c r="U1045" s="113" t="n"/>
      <c r="V1045" s="113" t="n"/>
      <c r="W1045" s="113" t="n"/>
      <c r="X1045" s="113" t="n"/>
      <c r="Y1045" s="113" t="n"/>
      <c r="Z1045" s="117">
        <f>IF($B1045="",0,IF($S1045="EVET",IF($D1045="GELİR",$O1045,-$O1045),0))</f>
        <v/>
      </c>
      <c r="AA1045" s="117">
        <f>IF($B1045="",0,IF(OR($W1045="EVET",$X1045="EVET",$Y1045="EVET"),0,IF($D1045="GELİR",IF($E1045="SATIŞ İADESİ/İSKONTO",-$O1045,$O1045),-$O1045)))</f>
        <v/>
      </c>
      <c r="AB1045" s="117">
        <f>IF($B1045="","",IF(OR($D1045="",$E1045="",$O1045=""),"EKSİK",IF($O1045&lt;=0,"SIFIR/NEGATİF",IF(COUNTIFS($C$6:$C$5000,$C1045,$O$6:$O$5000,$O1045,$B$6:$B$5000,$B1045)&gt;1,"MÜKERRER","OK"))))</f>
        <v/>
      </c>
    </row>
    <row r="1046" ht="16.5" customHeight="1" s="80">
      <c r="A1046" s="113" t="n"/>
      <c r="B1046" s="113" t="n"/>
      <c r="C1046" s="113" t="n"/>
      <c r="D1046" s="113" t="n"/>
      <c r="E1046" s="113" t="n"/>
      <c r="F1046" s="113" t="n"/>
      <c r="G1046" s="113" t="n"/>
      <c r="H1046" s="113" t="n"/>
      <c r="I1046" s="113" t="n"/>
      <c r="J1046" s="113" t="n"/>
      <c r="K1046" s="113" t="n"/>
      <c r="L1046" s="113" t="n"/>
      <c r="M1046" s="113" t="n"/>
      <c r="N1046" s="113" t="n"/>
      <c r="O1046" s="113" t="n"/>
      <c r="P1046" s="113" t="n"/>
      <c r="Q1046" s="113" t="n"/>
      <c r="R1046" s="113" t="n"/>
      <c r="S1046" s="113" t="n"/>
      <c r="T1046" s="113" t="n"/>
      <c r="U1046" s="113" t="n"/>
      <c r="V1046" s="113" t="n"/>
      <c r="W1046" s="113" t="n"/>
      <c r="X1046" s="113" t="n"/>
      <c r="Y1046" s="113" t="n"/>
      <c r="Z1046" s="117">
        <f>IF($B1046="",0,IF($S1046="EVET",IF($D1046="GELİR",$O1046,-$O1046),0))</f>
        <v/>
      </c>
      <c r="AA1046" s="117">
        <f>IF($B1046="",0,IF(OR($W1046="EVET",$X1046="EVET",$Y1046="EVET"),0,IF($D1046="GELİR",IF($E1046="SATIŞ İADESİ/İSKONTO",-$O1046,$O1046),-$O1046)))</f>
        <v/>
      </c>
      <c r="AB1046" s="117">
        <f>IF($B1046="","",IF(OR($D1046="",$E1046="",$O1046=""),"EKSİK",IF($O1046&lt;=0,"SIFIR/NEGATİF",IF(COUNTIFS($C$6:$C$5000,$C1046,$O$6:$O$5000,$O1046,$B$6:$B$5000,$B1046)&gt;1,"MÜKERRER","OK"))))</f>
        <v/>
      </c>
    </row>
    <row r="1047" ht="16.5" customHeight="1" s="80">
      <c r="A1047" s="113" t="n"/>
      <c r="B1047" s="113" t="n"/>
      <c r="C1047" s="113" t="n"/>
      <c r="D1047" s="113" t="n"/>
      <c r="E1047" s="113" t="n"/>
      <c r="F1047" s="113" t="n"/>
      <c r="G1047" s="113" t="n"/>
      <c r="H1047" s="113" t="n"/>
      <c r="I1047" s="113" t="n"/>
      <c r="J1047" s="113" t="n"/>
      <c r="K1047" s="113" t="n"/>
      <c r="L1047" s="113" t="n"/>
      <c r="M1047" s="113" t="n"/>
      <c r="N1047" s="113" t="n"/>
      <c r="O1047" s="113" t="n"/>
      <c r="P1047" s="113" t="n"/>
      <c r="Q1047" s="113" t="n"/>
      <c r="R1047" s="113" t="n"/>
      <c r="S1047" s="113" t="n"/>
      <c r="T1047" s="113" t="n"/>
      <c r="U1047" s="113" t="n"/>
      <c r="V1047" s="113" t="n"/>
      <c r="W1047" s="113" t="n"/>
      <c r="X1047" s="113" t="n"/>
      <c r="Y1047" s="113" t="n"/>
      <c r="Z1047" s="117">
        <f>IF($B1047="",0,IF($S1047="EVET",IF($D1047="GELİR",$O1047,-$O1047),0))</f>
        <v/>
      </c>
      <c r="AA1047" s="117">
        <f>IF($B1047="",0,IF(OR($W1047="EVET",$X1047="EVET",$Y1047="EVET"),0,IF($D1047="GELİR",IF($E1047="SATIŞ İADESİ/İSKONTO",-$O1047,$O1047),-$O1047)))</f>
        <v/>
      </c>
      <c r="AB1047" s="117">
        <f>IF($B1047="","",IF(OR($D1047="",$E1047="",$O1047=""),"EKSİK",IF($O1047&lt;=0,"SIFIR/NEGATİF",IF(COUNTIFS($C$6:$C$5000,$C1047,$O$6:$O$5000,$O1047,$B$6:$B$5000,$B1047)&gt;1,"MÜKERRER","OK"))))</f>
        <v/>
      </c>
    </row>
    <row r="1048" ht="16.5" customHeight="1" s="80">
      <c r="A1048" s="113" t="n"/>
      <c r="B1048" s="113" t="n"/>
      <c r="C1048" s="113" t="n"/>
      <c r="D1048" s="113" t="n"/>
      <c r="E1048" s="113" t="n"/>
      <c r="F1048" s="113" t="n"/>
      <c r="G1048" s="113" t="n"/>
      <c r="H1048" s="113" t="n"/>
      <c r="I1048" s="113" t="n"/>
      <c r="J1048" s="113" t="n"/>
      <c r="K1048" s="113" t="n"/>
      <c r="L1048" s="113" t="n"/>
      <c r="M1048" s="113" t="n"/>
      <c r="N1048" s="113" t="n"/>
      <c r="O1048" s="113" t="n"/>
      <c r="P1048" s="113" t="n"/>
      <c r="Q1048" s="113" t="n"/>
      <c r="R1048" s="113" t="n"/>
      <c r="S1048" s="113" t="n"/>
      <c r="T1048" s="113" t="n"/>
      <c r="U1048" s="113" t="n"/>
      <c r="V1048" s="113" t="n"/>
      <c r="W1048" s="113" t="n"/>
      <c r="X1048" s="113" t="n"/>
      <c r="Y1048" s="113" t="n"/>
      <c r="Z1048" s="117">
        <f>IF($B1048="",0,IF($S1048="EVET",IF($D1048="GELİR",$O1048,-$O1048),0))</f>
        <v/>
      </c>
      <c r="AA1048" s="117">
        <f>IF($B1048="",0,IF(OR($W1048="EVET",$X1048="EVET",$Y1048="EVET"),0,IF($D1048="GELİR",IF($E1048="SATIŞ İADESİ/İSKONTO",-$O1048,$O1048),-$O1048)))</f>
        <v/>
      </c>
      <c r="AB1048" s="117">
        <f>IF($B1048="","",IF(OR($D1048="",$E1048="",$O1048=""),"EKSİK",IF($O1048&lt;=0,"SIFIR/NEGATİF",IF(COUNTIFS($C$6:$C$5000,$C1048,$O$6:$O$5000,$O1048,$B$6:$B$5000,$B1048)&gt;1,"MÜKERRER","OK"))))</f>
        <v/>
      </c>
    </row>
    <row r="1049" ht="16.5" customHeight="1" s="80">
      <c r="A1049" s="113" t="n"/>
      <c r="B1049" s="113" t="n"/>
      <c r="C1049" s="113" t="n"/>
      <c r="D1049" s="113" t="n"/>
      <c r="E1049" s="113" t="n"/>
      <c r="F1049" s="113" t="n"/>
      <c r="G1049" s="113" t="n"/>
      <c r="H1049" s="113" t="n"/>
      <c r="I1049" s="113" t="n"/>
      <c r="J1049" s="113" t="n"/>
      <c r="K1049" s="113" t="n"/>
      <c r="L1049" s="113" t="n"/>
      <c r="M1049" s="113" t="n"/>
      <c r="N1049" s="113" t="n"/>
      <c r="O1049" s="113" t="n"/>
      <c r="P1049" s="113" t="n"/>
      <c r="Q1049" s="113" t="n"/>
      <c r="R1049" s="113" t="n"/>
      <c r="S1049" s="113" t="n"/>
      <c r="T1049" s="113" t="n"/>
      <c r="U1049" s="113" t="n"/>
      <c r="V1049" s="113" t="n"/>
      <c r="W1049" s="113" t="n"/>
      <c r="X1049" s="113" t="n"/>
      <c r="Y1049" s="113" t="n"/>
      <c r="Z1049" s="117">
        <f>IF($B1049="",0,IF($S1049="EVET",IF($D1049="GELİR",$O1049,-$O1049),0))</f>
        <v/>
      </c>
      <c r="AA1049" s="117">
        <f>IF($B1049="",0,IF(OR($W1049="EVET",$X1049="EVET",$Y1049="EVET"),0,IF($D1049="GELİR",IF($E1049="SATIŞ İADESİ/İSKONTO",-$O1049,$O1049),-$O1049)))</f>
        <v/>
      </c>
      <c r="AB1049" s="117">
        <f>IF($B1049="","",IF(OR($D1049="",$E1049="",$O1049=""),"EKSİK",IF($O1049&lt;=0,"SIFIR/NEGATİF",IF(COUNTIFS($C$6:$C$5000,$C1049,$O$6:$O$5000,$O1049,$B$6:$B$5000,$B1049)&gt;1,"MÜKERRER","OK"))))</f>
        <v/>
      </c>
    </row>
    <row r="1050" ht="16.5" customHeight="1" s="80">
      <c r="A1050" s="113" t="n"/>
      <c r="B1050" s="113" t="n"/>
      <c r="C1050" s="113" t="n"/>
      <c r="D1050" s="113" t="n"/>
      <c r="E1050" s="113" t="n"/>
      <c r="F1050" s="113" t="n"/>
      <c r="G1050" s="113" t="n"/>
      <c r="H1050" s="113" t="n"/>
      <c r="I1050" s="113" t="n"/>
      <c r="J1050" s="113" t="n"/>
      <c r="K1050" s="113" t="n"/>
      <c r="L1050" s="113" t="n"/>
      <c r="M1050" s="113" t="n"/>
      <c r="N1050" s="113" t="n"/>
      <c r="O1050" s="113" t="n"/>
      <c r="P1050" s="113" t="n"/>
      <c r="Q1050" s="113" t="n"/>
      <c r="R1050" s="113" t="n"/>
      <c r="S1050" s="113" t="n"/>
      <c r="T1050" s="113" t="n"/>
      <c r="U1050" s="113" t="n"/>
      <c r="V1050" s="113" t="n"/>
      <c r="W1050" s="113" t="n"/>
      <c r="X1050" s="113" t="n"/>
      <c r="Y1050" s="113" t="n"/>
      <c r="Z1050" s="117">
        <f>IF($B1050="",0,IF($S1050="EVET",IF($D1050="GELİR",$O1050,-$O1050),0))</f>
        <v/>
      </c>
      <c r="AA1050" s="117">
        <f>IF($B1050="",0,IF(OR($W1050="EVET",$X1050="EVET",$Y1050="EVET"),0,IF($D1050="GELİR",IF($E1050="SATIŞ İADESİ/İSKONTO",-$O1050,$O1050),-$O1050)))</f>
        <v/>
      </c>
      <c r="AB1050" s="117">
        <f>IF($B1050="","",IF(OR($D1050="",$E1050="",$O1050=""),"EKSİK",IF($O1050&lt;=0,"SIFIR/NEGATİF",IF(COUNTIFS($C$6:$C$5000,$C1050,$O$6:$O$5000,$O1050,$B$6:$B$5000,$B1050)&gt;1,"MÜKERRER","OK"))))</f>
        <v/>
      </c>
    </row>
    <row r="1051" ht="16.5" customHeight="1" s="80">
      <c r="A1051" s="113" t="n"/>
      <c r="B1051" s="113" t="n"/>
      <c r="C1051" s="113" t="n"/>
      <c r="D1051" s="113" t="n"/>
      <c r="E1051" s="113" t="n"/>
      <c r="F1051" s="113" t="n"/>
      <c r="G1051" s="113" t="n"/>
      <c r="H1051" s="113" t="n"/>
      <c r="I1051" s="113" t="n"/>
      <c r="J1051" s="113" t="n"/>
      <c r="K1051" s="113" t="n"/>
      <c r="L1051" s="113" t="n"/>
      <c r="M1051" s="113" t="n"/>
      <c r="N1051" s="113" t="n"/>
      <c r="O1051" s="113" t="n"/>
      <c r="P1051" s="113" t="n"/>
      <c r="Q1051" s="113" t="n"/>
      <c r="R1051" s="113" t="n"/>
      <c r="S1051" s="113" t="n"/>
      <c r="T1051" s="113" t="n"/>
      <c r="U1051" s="113" t="n"/>
      <c r="V1051" s="113" t="n"/>
      <c r="W1051" s="113" t="n"/>
      <c r="X1051" s="113" t="n"/>
      <c r="Y1051" s="113" t="n"/>
      <c r="Z1051" s="117">
        <f>IF($B1051="",0,IF($S1051="EVET",IF($D1051="GELİR",$O1051,-$O1051),0))</f>
        <v/>
      </c>
      <c r="AA1051" s="117">
        <f>IF($B1051="",0,IF(OR($W1051="EVET",$X1051="EVET",$Y1051="EVET"),0,IF($D1051="GELİR",IF($E1051="SATIŞ İADESİ/İSKONTO",-$O1051,$O1051),-$O1051)))</f>
        <v/>
      </c>
      <c r="AB1051" s="117">
        <f>IF($B1051="","",IF(OR($D1051="",$E1051="",$O1051=""),"EKSİK",IF($O1051&lt;=0,"SIFIR/NEGATİF",IF(COUNTIFS($C$6:$C$5000,$C1051,$O$6:$O$5000,$O1051,$B$6:$B$5000,$B1051)&gt;1,"MÜKERRER","OK"))))</f>
        <v/>
      </c>
    </row>
    <row r="1052" ht="16.5" customHeight="1" s="80">
      <c r="A1052" s="113" t="n"/>
      <c r="B1052" s="113" t="n"/>
      <c r="C1052" s="113" t="n"/>
      <c r="D1052" s="113" t="n"/>
      <c r="E1052" s="113" t="n"/>
      <c r="F1052" s="113" t="n"/>
      <c r="G1052" s="113" t="n"/>
      <c r="H1052" s="113" t="n"/>
      <c r="I1052" s="113" t="n"/>
      <c r="J1052" s="113" t="n"/>
      <c r="K1052" s="113" t="n"/>
      <c r="L1052" s="113" t="n"/>
      <c r="M1052" s="113" t="n"/>
      <c r="N1052" s="113" t="n"/>
      <c r="O1052" s="113" t="n"/>
      <c r="P1052" s="113" t="n"/>
      <c r="Q1052" s="113" t="n"/>
      <c r="R1052" s="113" t="n"/>
      <c r="S1052" s="113" t="n"/>
      <c r="T1052" s="113" t="n"/>
      <c r="U1052" s="113" t="n"/>
      <c r="V1052" s="113" t="n"/>
      <c r="W1052" s="113" t="n"/>
      <c r="X1052" s="113" t="n"/>
      <c r="Y1052" s="113" t="n"/>
      <c r="Z1052" s="117">
        <f>IF($B1052="",0,IF($S1052="EVET",IF($D1052="GELİR",$O1052,-$O1052),0))</f>
        <v/>
      </c>
      <c r="AA1052" s="117">
        <f>IF($B1052="",0,IF(OR($W1052="EVET",$X1052="EVET",$Y1052="EVET"),0,IF($D1052="GELİR",IF($E1052="SATIŞ İADESİ/İSKONTO",-$O1052,$O1052),-$O1052)))</f>
        <v/>
      </c>
      <c r="AB1052" s="117">
        <f>IF($B1052="","",IF(OR($D1052="",$E1052="",$O1052=""),"EKSİK",IF($O1052&lt;=0,"SIFIR/NEGATİF",IF(COUNTIFS($C$6:$C$5000,$C1052,$O$6:$O$5000,$O1052,$B$6:$B$5000,$B1052)&gt;1,"MÜKERRER","OK"))))</f>
        <v/>
      </c>
    </row>
    <row r="1053" ht="16.5" customHeight="1" s="80">
      <c r="A1053" s="113" t="n"/>
      <c r="B1053" s="113" t="n"/>
      <c r="C1053" s="113" t="n"/>
      <c r="D1053" s="113" t="n"/>
      <c r="E1053" s="113" t="n"/>
      <c r="F1053" s="113" t="n"/>
      <c r="G1053" s="113" t="n"/>
      <c r="H1053" s="113" t="n"/>
      <c r="I1053" s="113" t="n"/>
      <c r="J1053" s="113" t="n"/>
      <c r="K1053" s="113" t="n"/>
      <c r="L1053" s="113" t="n"/>
      <c r="M1053" s="113" t="n"/>
      <c r="N1053" s="113" t="n"/>
      <c r="O1053" s="113" t="n"/>
      <c r="P1053" s="113" t="n"/>
      <c r="Q1053" s="113" t="n"/>
      <c r="R1053" s="113" t="n"/>
      <c r="S1053" s="113" t="n"/>
      <c r="T1053" s="113" t="n"/>
      <c r="U1053" s="113" t="n"/>
      <c r="V1053" s="113" t="n"/>
      <c r="W1053" s="113" t="n"/>
      <c r="X1053" s="113" t="n"/>
      <c r="Y1053" s="113" t="n"/>
      <c r="Z1053" s="117">
        <f>IF($B1053="",0,IF($S1053="EVET",IF($D1053="GELİR",$O1053,-$O1053),0))</f>
        <v/>
      </c>
      <c r="AA1053" s="117">
        <f>IF($B1053="",0,IF(OR($W1053="EVET",$X1053="EVET",$Y1053="EVET"),0,IF($D1053="GELİR",IF($E1053="SATIŞ İADESİ/İSKONTO",-$O1053,$O1053),-$O1053)))</f>
        <v/>
      </c>
      <c r="AB1053" s="117">
        <f>IF($B1053="","",IF(OR($D1053="",$E1053="",$O1053=""),"EKSİK",IF($O1053&lt;=0,"SIFIR/NEGATİF",IF(COUNTIFS($C$6:$C$5000,$C1053,$O$6:$O$5000,$O1053,$B$6:$B$5000,$B1053)&gt;1,"MÜKERRER","OK"))))</f>
        <v/>
      </c>
    </row>
    <row r="1054" ht="16.5" customHeight="1" s="80">
      <c r="A1054" s="113" t="n"/>
      <c r="B1054" s="113" t="n"/>
      <c r="C1054" s="113" t="n"/>
      <c r="D1054" s="113" t="n"/>
      <c r="E1054" s="113" t="n"/>
      <c r="F1054" s="113" t="n"/>
      <c r="G1054" s="113" t="n"/>
      <c r="H1054" s="113" t="n"/>
      <c r="I1054" s="113" t="n"/>
      <c r="J1054" s="113" t="n"/>
      <c r="K1054" s="113" t="n"/>
      <c r="L1054" s="113" t="n"/>
      <c r="M1054" s="113" t="n"/>
      <c r="N1054" s="113" t="n"/>
      <c r="O1054" s="113" t="n"/>
      <c r="P1054" s="113" t="n"/>
      <c r="Q1054" s="113" t="n"/>
      <c r="R1054" s="113" t="n"/>
      <c r="S1054" s="113" t="n"/>
      <c r="T1054" s="113" t="n"/>
      <c r="U1054" s="113" t="n"/>
      <c r="V1054" s="113" t="n"/>
      <c r="W1054" s="113" t="n"/>
      <c r="X1054" s="113" t="n"/>
      <c r="Y1054" s="113" t="n"/>
      <c r="Z1054" s="117">
        <f>IF($B1054="",0,IF($S1054="EVET",IF($D1054="GELİR",$O1054,-$O1054),0))</f>
        <v/>
      </c>
      <c r="AA1054" s="117">
        <f>IF($B1054="",0,IF(OR($W1054="EVET",$X1054="EVET",$Y1054="EVET"),0,IF($D1054="GELİR",IF($E1054="SATIŞ İADESİ/İSKONTO",-$O1054,$O1054),-$O1054)))</f>
        <v/>
      </c>
      <c r="AB1054" s="117">
        <f>IF($B1054="","",IF(OR($D1054="",$E1054="",$O1054=""),"EKSİK",IF($O1054&lt;=0,"SIFIR/NEGATİF",IF(COUNTIFS($C$6:$C$5000,$C1054,$O$6:$O$5000,$O1054,$B$6:$B$5000,$B1054)&gt;1,"MÜKERRER","OK"))))</f>
        <v/>
      </c>
    </row>
    <row r="1055" ht="16.5" customHeight="1" s="80">
      <c r="A1055" s="113" t="n"/>
      <c r="B1055" s="113" t="n"/>
      <c r="C1055" s="113" t="n"/>
      <c r="D1055" s="113" t="n"/>
      <c r="E1055" s="113" t="n"/>
      <c r="F1055" s="113" t="n"/>
      <c r="G1055" s="113" t="n"/>
      <c r="H1055" s="113" t="n"/>
      <c r="I1055" s="113" t="n"/>
      <c r="J1055" s="113" t="n"/>
      <c r="K1055" s="113" t="n"/>
      <c r="L1055" s="113" t="n"/>
      <c r="M1055" s="113" t="n"/>
      <c r="N1055" s="113" t="n"/>
      <c r="O1055" s="113" t="n"/>
      <c r="P1055" s="113" t="n"/>
      <c r="Q1055" s="113" t="n"/>
      <c r="R1055" s="113" t="n"/>
      <c r="S1055" s="113" t="n"/>
      <c r="T1055" s="113" t="n"/>
      <c r="U1055" s="113" t="n"/>
      <c r="V1055" s="113" t="n"/>
      <c r="W1055" s="113" t="n"/>
      <c r="X1055" s="113" t="n"/>
      <c r="Y1055" s="113" t="n"/>
      <c r="Z1055" s="117">
        <f>IF($B1055="",0,IF($S1055="EVET",IF($D1055="GELİR",$O1055,-$O1055),0))</f>
        <v/>
      </c>
      <c r="AA1055" s="117">
        <f>IF($B1055="",0,IF(OR($W1055="EVET",$X1055="EVET",$Y1055="EVET"),0,IF($D1055="GELİR",IF($E1055="SATIŞ İADESİ/İSKONTO",-$O1055,$O1055),-$O1055)))</f>
        <v/>
      </c>
      <c r="AB1055" s="117">
        <f>IF($B1055="","",IF(OR($D1055="",$E1055="",$O1055=""),"EKSİK",IF($O1055&lt;=0,"SIFIR/NEGATİF",IF(COUNTIFS($C$6:$C$5000,$C1055,$O$6:$O$5000,$O1055,$B$6:$B$5000,$B1055)&gt;1,"MÜKERRER","OK"))))</f>
        <v/>
      </c>
    </row>
    <row r="1056" ht="16.5" customHeight="1" s="80">
      <c r="A1056" s="113" t="n"/>
      <c r="B1056" s="113" t="n"/>
      <c r="C1056" s="113" t="n"/>
      <c r="D1056" s="113" t="n"/>
      <c r="E1056" s="113" t="n"/>
      <c r="F1056" s="113" t="n"/>
      <c r="G1056" s="113" t="n"/>
      <c r="H1056" s="113" t="n"/>
      <c r="I1056" s="113" t="n"/>
      <c r="J1056" s="113" t="n"/>
      <c r="K1056" s="113" t="n"/>
      <c r="L1056" s="113" t="n"/>
      <c r="M1056" s="113" t="n"/>
      <c r="N1056" s="113" t="n"/>
      <c r="O1056" s="113" t="n"/>
      <c r="P1056" s="113" t="n"/>
      <c r="Q1056" s="113" t="n"/>
      <c r="R1056" s="113" t="n"/>
      <c r="S1056" s="113" t="n"/>
      <c r="T1056" s="113" t="n"/>
      <c r="U1056" s="113" t="n"/>
      <c r="V1056" s="113" t="n"/>
      <c r="W1056" s="113" t="n"/>
      <c r="X1056" s="113" t="n"/>
      <c r="Y1056" s="113" t="n"/>
      <c r="Z1056" s="117">
        <f>IF($B1056="",0,IF($S1056="EVET",IF($D1056="GELİR",$O1056,-$O1056),0))</f>
        <v/>
      </c>
      <c r="AA1056" s="117">
        <f>IF($B1056="",0,IF(OR($W1056="EVET",$X1056="EVET",$Y1056="EVET"),0,IF($D1056="GELİR",IF($E1056="SATIŞ İADESİ/İSKONTO",-$O1056,$O1056),-$O1056)))</f>
        <v/>
      </c>
      <c r="AB1056" s="117">
        <f>IF($B1056="","",IF(OR($D1056="",$E1056="",$O1056=""),"EKSİK",IF($O1056&lt;=0,"SIFIR/NEGATİF",IF(COUNTIFS($C$6:$C$5000,$C1056,$O$6:$O$5000,$O1056,$B$6:$B$5000,$B1056)&gt;1,"MÜKERRER","OK"))))</f>
        <v/>
      </c>
    </row>
    <row r="1057" ht="16.5" customHeight="1" s="80">
      <c r="A1057" s="113" t="n"/>
      <c r="B1057" s="113" t="n"/>
      <c r="C1057" s="113" t="n"/>
      <c r="D1057" s="113" t="n"/>
      <c r="E1057" s="113" t="n"/>
      <c r="F1057" s="113" t="n"/>
      <c r="G1057" s="113" t="n"/>
      <c r="H1057" s="113" t="n"/>
      <c r="I1057" s="113" t="n"/>
      <c r="J1057" s="113" t="n"/>
      <c r="K1057" s="113" t="n"/>
      <c r="L1057" s="113" t="n"/>
      <c r="M1057" s="113" t="n"/>
      <c r="N1057" s="113" t="n"/>
      <c r="O1057" s="113" t="n"/>
      <c r="P1057" s="113" t="n"/>
      <c r="Q1057" s="113" t="n"/>
      <c r="R1057" s="113" t="n"/>
      <c r="S1057" s="113" t="n"/>
      <c r="T1057" s="113" t="n"/>
      <c r="U1057" s="113" t="n"/>
      <c r="V1057" s="113" t="n"/>
      <c r="W1057" s="113" t="n"/>
      <c r="X1057" s="113" t="n"/>
      <c r="Y1057" s="113" t="n"/>
      <c r="Z1057" s="117">
        <f>IF($B1057="",0,IF($S1057="EVET",IF($D1057="GELİR",$O1057,-$O1057),0))</f>
        <v/>
      </c>
      <c r="AA1057" s="117">
        <f>IF($B1057="",0,IF(OR($W1057="EVET",$X1057="EVET",$Y1057="EVET"),0,IF($D1057="GELİR",IF($E1057="SATIŞ İADESİ/İSKONTO",-$O1057,$O1057),-$O1057)))</f>
        <v/>
      </c>
      <c r="AB1057" s="117">
        <f>IF($B1057="","",IF(OR($D1057="",$E1057="",$O1057=""),"EKSİK",IF($O1057&lt;=0,"SIFIR/NEGATİF",IF(COUNTIFS($C$6:$C$5000,$C1057,$O$6:$O$5000,$O1057,$B$6:$B$5000,$B1057)&gt;1,"MÜKERRER","OK"))))</f>
        <v/>
      </c>
    </row>
    <row r="1058" ht="16.5" customHeight="1" s="80">
      <c r="A1058" s="113" t="n"/>
      <c r="B1058" s="113" t="n"/>
      <c r="C1058" s="113" t="n"/>
      <c r="D1058" s="113" t="n"/>
      <c r="E1058" s="113" t="n"/>
      <c r="F1058" s="113" t="n"/>
      <c r="G1058" s="113" t="n"/>
      <c r="H1058" s="113" t="n"/>
      <c r="I1058" s="113" t="n"/>
      <c r="J1058" s="113" t="n"/>
      <c r="K1058" s="113" t="n"/>
      <c r="L1058" s="113" t="n"/>
      <c r="M1058" s="113" t="n"/>
      <c r="N1058" s="113" t="n"/>
      <c r="O1058" s="113" t="n"/>
      <c r="P1058" s="113" t="n"/>
      <c r="Q1058" s="113" t="n"/>
      <c r="R1058" s="113" t="n"/>
      <c r="S1058" s="113" t="n"/>
      <c r="T1058" s="113" t="n"/>
      <c r="U1058" s="113" t="n"/>
      <c r="V1058" s="113" t="n"/>
      <c r="W1058" s="113" t="n"/>
      <c r="X1058" s="113" t="n"/>
      <c r="Y1058" s="113" t="n"/>
      <c r="Z1058" s="117">
        <f>IF($B1058="",0,IF($S1058="EVET",IF($D1058="GELİR",$O1058,-$O1058),0))</f>
        <v/>
      </c>
      <c r="AA1058" s="117">
        <f>IF($B1058="",0,IF(OR($W1058="EVET",$X1058="EVET",$Y1058="EVET"),0,IF($D1058="GELİR",IF($E1058="SATIŞ İADESİ/İSKONTO",-$O1058,$O1058),-$O1058)))</f>
        <v/>
      </c>
      <c r="AB1058" s="117">
        <f>IF($B1058="","",IF(OR($D1058="",$E1058="",$O1058=""),"EKSİK",IF($O1058&lt;=0,"SIFIR/NEGATİF",IF(COUNTIFS($C$6:$C$5000,$C1058,$O$6:$O$5000,$O1058,$B$6:$B$5000,$B1058)&gt;1,"MÜKERRER","OK"))))</f>
        <v/>
      </c>
    </row>
    <row r="1059" ht="16.5" customHeight="1" s="80">
      <c r="A1059" s="113" t="n"/>
      <c r="B1059" s="113" t="n"/>
      <c r="C1059" s="113" t="n"/>
      <c r="D1059" s="113" t="n"/>
      <c r="E1059" s="113" t="n"/>
      <c r="F1059" s="113" t="n"/>
      <c r="G1059" s="113" t="n"/>
      <c r="H1059" s="113" t="n"/>
      <c r="I1059" s="113" t="n"/>
      <c r="J1059" s="113" t="n"/>
      <c r="K1059" s="113" t="n"/>
      <c r="L1059" s="113" t="n"/>
      <c r="M1059" s="113" t="n"/>
      <c r="N1059" s="113" t="n"/>
      <c r="O1059" s="113" t="n"/>
      <c r="P1059" s="113" t="n"/>
      <c r="Q1059" s="113" t="n"/>
      <c r="R1059" s="113" t="n"/>
      <c r="S1059" s="113" t="n"/>
      <c r="T1059" s="113" t="n"/>
      <c r="U1059" s="113" t="n"/>
      <c r="V1059" s="113" t="n"/>
      <c r="W1059" s="113" t="n"/>
      <c r="X1059" s="113" t="n"/>
      <c r="Y1059" s="113" t="n"/>
      <c r="Z1059" s="117">
        <f>IF($B1059="",0,IF($S1059="EVET",IF($D1059="GELİR",$O1059,-$O1059),0))</f>
        <v/>
      </c>
      <c r="AA1059" s="117">
        <f>IF($B1059="",0,IF(OR($W1059="EVET",$X1059="EVET",$Y1059="EVET"),0,IF($D1059="GELİR",IF($E1059="SATIŞ İADESİ/İSKONTO",-$O1059,$O1059),-$O1059)))</f>
        <v/>
      </c>
      <c r="AB1059" s="117">
        <f>IF($B1059="","",IF(OR($D1059="",$E1059="",$O1059=""),"EKSİK",IF($O1059&lt;=0,"SIFIR/NEGATİF",IF(COUNTIFS($C$6:$C$5000,$C1059,$O$6:$O$5000,$O1059,$B$6:$B$5000,$B1059)&gt;1,"MÜKERRER","OK"))))</f>
        <v/>
      </c>
    </row>
    <row r="1060" ht="16.5" customHeight="1" s="80">
      <c r="A1060" s="113" t="n"/>
      <c r="B1060" s="113" t="n"/>
      <c r="C1060" s="113" t="n"/>
      <c r="D1060" s="113" t="n"/>
      <c r="E1060" s="113" t="n"/>
      <c r="F1060" s="113" t="n"/>
      <c r="G1060" s="113" t="n"/>
      <c r="H1060" s="113" t="n"/>
      <c r="I1060" s="113" t="n"/>
      <c r="J1060" s="113" t="n"/>
      <c r="K1060" s="113" t="n"/>
      <c r="L1060" s="113" t="n"/>
      <c r="M1060" s="113" t="n"/>
      <c r="N1060" s="113" t="n"/>
      <c r="O1060" s="113" t="n"/>
      <c r="P1060" s="113" t="n"/>
      <c r="Q1060" s="113" t="n"/>
      <c r="R1060" s="113" t="n"/>
      <c r="S1060" s="113" t="n"/>
      <c r="T1060" s="113" t="n"/>
      <c r="U1060" s="113" t="n"/>
      <c r="V1060" s="113" t="n"/>
      <c r="W1060" s="113" t="n"/>
      <c r="X1060" s="113" t="n"/>
      <c r="Y1060" s="113" t="n"/>
      <c r="Z1060" s="117">
        <f>IF($B1060="",0,IF($S1060="EVET",IF($D1060="GELİR",$O1060,-$O1060),0))</f>
        <v/>
      </c>
      <c r="AA1060" s="117">
        <f>IF($B1060="",0,IF(OR($W1060="EVET",$X1060="EVET",$Y1060="EVET"),0,IF($D1060="GELİR",IF($E1060="SATIŞ İADESİ/İSKONTO",-$O1060,$O1060),-$O1060)))</f>
        <v/>
      </c>
      <c r="AB1060" s="117">
        <f>IF($B1060="","",IF(OR($D1060="",$E1060="",$O1060=""),"EKSİK",IF($O1060&lt;=0,"SIFIR/NEGATİF",IF(COUNTIFS($C$6:$C$5000,$C1060,$O$6:$O$5000,$O1060,$B$6:$B$5000,$B1060)&gt;1,"MÜKERRER","OK"))))</f>
        <v/>
      </c>
    </row>
    <row r="1061" ht="16.5" customHeight="1" s="80">
      <c r="A1061" s="113" t="n"/>
      <c r="B1061" s="113" t="n"/>
      <c r="C1061" s="113" t="n"/>
      <c r="D1061" s="113" t="n"/>
      <c r="E1061" s="113" t="n"/>
      <c r="F1061" s="113" t="n"/>
      <c r="G1061" s="113" t="n"/>
      <c r="H1061" s="113" t="n"/>
      <c r="I1061" s="113" t="n"/>
      <c r="J1061" s="113" t="n"/>
      <c r="K1061" s="113" t="n"/>
      <c r="L1061" s="113" t="n"/>
      <c r="M1061" s="113" t="n"/>
      <c r="N1061" s="113" t="n"/>
      <c r="O1061" s="113" t="n"/>
      <c r="P1061" s="113" t="n"/>
      <c r="Q1061" s="113" t="n"/>
      <c r="R1061" s="113" t="n"/>
      <c r="S1061" s="113" t="n"/>
      <c r="T1061" s="113" t="n"/>
      <c r="U1061" s="113" t="n"/>
      <c r="V1061" s="113" t="n"/>
      <c r="W1061" s="113" t="n"/>
      <c r="X1061" s="113" t="n"/>
      <c r="Y1061" s="113" t="n"/>
      <c r="Z1061" s="117">
        <f>IF($B1061="",0,IF($S1061="EVET",IF($D1061="GELİR",$O1061,-$O1061),0))</f>
        <v/>
      </c>
      <c r="AA1061" s="117">
        <f>IF($B1061="",0,IF(OR($W1061="EVET",$X1061="EVET",$Y1061="EVET"),0,IF($D1061="GELİR",IF($E1061="SATIŞ İADESİ/İSKONTO",-$O1061,$O1061),-$O1061)))</f>
        <v/>
      </c>
      <c r="AB1061" s="117">
        <f>IF($B1061="","",IF(OR($D1061="",$E1061="",$O1061=""),"EKSİK",IF($O1061&lt;=0,"SIFIR/NEGATİF",IF(COUNTIFS($C$6:$C$5000,$C1061,$O$6:$O$5000,$O1061,$B$6:$B$5000,$B1061)&gt;1,"MÜKERRER","OK"))))</f>
        <v/>
      </c>
    </row>
    <row r="1062" ht="16.5" customHeight="1" s="80">
      <c r="A1062" s="113" t="n"/>
      <c r="B1062" s="113" t="n"/>
      <c r="C1062" s="113" t="n"/>
      <c r="D1062" s="113" t="n"/>
      <c r="E1062" s="113" t="n"/>
      <c r="F1062" s="113" t="n"/>
      <c r="G1062" s="113" t="n"/>
      <c r="H1062" s="113" t="n"/>
      <c r="I1062" s="113" t="n"/>
      <c r="J1062" s="113" t="n"/>
      <c r="K1062" s="113" t="n"/>
      <c r="L1062" s="113" t="n"/>
      <c r="M1062" s="113" t="n"/>
      <c r="N1062" s="113" t="n"/>
      <c r="O1062" s="113" t="n"/>
      <c r="P1062" s="113" t="n"/>
      <c r="Q1062" s="113" t="n"/>
      <c r="R1062" s="113" t="n"/>
      <c r="S1062" s="113" t="n"/>
      <c r="T1062" s="113" t="n"/>
      <c r="U1062" s="113" t="n"/>
      <c r="V1062" s="113" t="n"/>
      <c r="W1062" s="113" t="n"/>
      <c r="X1062" s="113" t="n"/>
      <c r="Y1062" s="113" t="n"/>
      <c r="Z1062" s="117">
        <f>IF($B1062="",0,IF($S1062="EVET",IF($D1062="GELİR",$O1062,-$O1062),0))</f>
        <v/>
      </c>
      <c r="AA1062" s="117">
        <f>IF($B1062="",0,IF(OR($W1062="EVET",$X1062="EVET",$Y1062="EVET"),0,IF($D1062="GELİR",IF($E1062="SATIŞ İADESİ/İSKONTO",-$O1062,$O1062),-$O1062)))</f>
        <v/>
      </c>
      <c r="AB1062" s="117">
        <f>IF($B1062="","",IF(OR($D1062="",$E1062="",$O1062=""),"EKSİK",IF($O1062&lt;=0,"SIFIR/NEGATİF",IF(COUNTIFS($C$6:$C$5000,$C1062,$O$6:$O$5000,$O1062,$B$6:$B$5000,$B1062)&gt;1,"MÜKERRER","OK"))))</f>
        <v/>
      </c>
    </row>
    <row r="1063" ht="16.5" customHeight="1" s="80">
      <c r="A1063" s="113" t="n"/>
      <c r="B1063" s="113" t="n"/>
      <c r="C1063" s="113" t="n"/>
      <c r="D1063" s="113" t="n"/>
      <c r="E1063" s="113" t="n"/>
      <c r="F1063" s="113" t="n"/>
      <c r="G1063" s="113" t="n"/>
      <c r="H1063" s="113" t="n"/>
      <c r="I1063" s="113" t="n"/>
      <c r="J1063" s="113" t="n"/>
      <c r="K1063" s="113" t="n"/>
      <c r="L1063" s="113" t="n"/>
      <c r="M1063" s="113" t="n"/>
      <c r="N1063" s="113" t="n"/>
      <c r="O1063" s="113" t="n"/>
      <c r="P1063" s="113" t="n"/>
      <c r="Q1063" s="113" t="n"/>
      <c r="R1063" s="113" t="n"/>
      <c r="S1063" s="113" t="n"/>
      <c r="T1063" s="113" t="n"/>
      <c r="U1063" s="113" t="n"/>
      <c r="V1063" s="113" t="n"/>
      <c r="W1063" s="113" t="n"/>
      <c r="X1063" s="113" t="n"/>
      <c r="Y1063" s="113" t="n"/>
      <c r="Z1063" s="117">
        <f>IF($B1063="",0,IF($S1063="EVET",IF($D1063="GELİR",$O1063,-$O1063),0))</f>
        <v/>
      </c>
      <c r="AA1063" s="117">
        <f>IF($B1063="",0,IF(OR($W1063="EVET",$X1063="EVET",$Y1063="EVET"),0,IF($D1063="GELİR",IF($E1063="SATIŞ İADESİ/İSKONTO",-$O1063,$O1063),-$O1063)))</f>
        <v/>
      </c>
      <c r="AB1063" s="117">
        <f>IF($B1063="","",IF(OR($D1063="",$E1063="",$O1063=""),"EKSİK",IF($O1063&lt;=0,"SIFIR/NEGATİF",IF(COUNTIFS($C$6:$C$5000,$C1063,$O$6:$O$5000,$O1063,$B$6:$B$5000,$B1063)&gt;1,"MÜKERRER","OK"))))</f>
        <v/>
      </c>
    </row>
    <row r="1064" ht="16.5" customHeight="1" s="80">
      <c r="A1064" s="113" t="n"/>
      <c r="B1064" s="113" t="n"/>
      <c r="C1064" s="113" t="n"/>
      <c r="D1064" s="113" t="n"/>
      <c r="E1064" s="113" t="n"/>
      <c r="F1064" s="113" t="n"/>
      <c r="G1064" s="113" t="n"/>
      <c r="H1064" s="113" t="n"/>
      <c r="I1064" s="113" t="n"/>
      <c r="J1064" s="113" t="n"/>
      <c r="K1064" s="113" t="n"/>
      <c r="L1064" s="113" t="n"/>
      <c r="M1064" s="113" t="n"/>
      <c r="N1064" s="113" t="n"/>
      <c r="O1064" s="113" t="n"/>
      <c r="P1064" s="113" t="n"/>
      <c r="Q1064" s="113" t="n"/>
      <c r="R1064" s="113" t="n"/>
      <c r="S1064" s="113" t="n"/>
      <c r="T1064" s="113" t="n"/>
      <c r="U1064" s="113" t="n"/>
      <c r="V1064" s="113" t="n"/>
      <c r="W1064" s="113" t="n"/>
      <c r="X1064" s="113" t="n"/>
      <c r="Y1064" s="113" t="n"/>
      <c r="Z1064" s="117">
        <f>IF($B1064="",0,IF($S1064="EVET",IF($D1064="GELİR",$O1064,-$O1064),0))</f>
        <v/>
      </c>
      <c r="AA1064" s="117">
        <f>IF($B1064="",0,IF(OR($W1064="EVET",$X1064="EVET",$Y1064="EVET"),0,IF($D1064="GELİR",IF($E1064="SATIŞ İADESİ/İSKONTO",-$O1064,$O1064),-$O1064)))</f>
        <v/>
      </c>
      <c r="AB1064" s="117">
        <f>IF($B1064="","",IF(OR($D1064="",$E1064="",$O1064=""),"EKSİK",IF($O1064&lt;=0,"SIFIR/NEGATİF",IF(COUNTIFS($C$6:$C$5000,$C1064,$O$6:$O$5000,$O1064,$B$6:$B$5000,$B1064)&gt;1,"MÜKERRER","OK"))))</f>
        <v/>
      </c>
    </row>
    <row r="1065" ht="16.5" customHeight="1" s="80">
      <c r="A1065" s="113" t="n"/>
      <c r="B1065" s="113" t="n"/>
      <c r="C1065" s="113" t="n"/>
      <c r="D1065" s="113" t="n"/>
      <c r="E1065" s="113" t="n"/>
      <c r="F1065" s="113" t="n"/>
      <c r="G1065" s="113" t="n"/>
      <c r="H1065" s="113" t="n"/>
      <c r="I1065" s="113" t="n"/>
      <c r="J1065" s="113" t="n"/>
      <c r="K1065" s="113" t="n"/>
      <c r="L1065" s="113" t="n"/>
      <c r="M1065" s="113" t="n"/>
      <c r="N1065" s="113" t="n"/>
      <c r="O1065" s="113" t="n"/>
      <c r="P1065" s="113" t="n"/>
      <c r="Q1065" s="113" t="n"/>
      <c r="R1065" s="113" t="n"/>
      <c r="S1065" s="113" t="n"/>
      <c r="T1065" s="113" t="n"/>
      <c r="U1065" s="113" t="n"/>
      <c r="V1065" s="113" t="n"/>
      <c r="W1065" s="113" t="n"/>
      <c r="X1065" s="113" t="n"/>
      <c r="Y1065" s="113" t="n"/>
      <c r="Z1065" s="117">
        <f>IF($B1065="",0,IF($S1065="EVET",IF($D1065="GELİR",$O1065,-$O1065),0))</f>
        <v/>
      </c>
      <c r="AA1065" s="117">
        <f>IF($B1065="",0,IF(OR($W1065="EVET",$X1065="EVET",$Y1065="EVET"),0,IF($D1065="GELİR",IF($E1065="SATIŞ İADESİ/İSKONTO",-$O1065,$O1065),-$O1065)))</f>
        <v/>
      </c>
      <c r="AB1065" s="117">
        <f>IF($B1065="","",IF(OR($D1065="",$E1065="",$O1065=""),"EKSİK",IF($O1065&lt;=0,"SIFIR/NEGATİF",IF(COUNTIFS($C$6:$C$5000,$C1065,$O$6:$O$5000,$O1065,$B$6:$B$5000,$B1065)&gt;1,"MÜKERRER","OK"))))</f>
        <v/>
      </c>
    </row>
    <row r="1066" ht="16.5" customHeight="1" s="80">
      <c r="A1066" s="113" t="n"/>
      <c r="B1066" s="113" t="n"/>
      <c r="C1066" s="113" t="n"/>
      <c r="D1066" s="113" t="n"/>
      <c r="E1066" s="113" t="n"/>
      <c r="F1066" s="113" t="n"/>
      <c r="G1066" s="113" t="n"/>
      <c r="H1066" s="113" t="n"/>
      <c r="I1066" s="113" t="n"/>
      <c r="J1066" s="113" t="n"/>
      <c r="K1066" s="113" t="n"/>
      <c r="L1066" s="113" t="n"/>
      <c r="M1066" s="113" t="n"/>
      <c r="N1066" s="113" t="n"/>
      <c r="O1066" s="113" t="n"/>
      <c r="P1066" s="113" t="n"/>
      <c r="Q1066" s="113" t="n"/>
      <c r="R1066" s="113" t="n"/>
      <c r="S1066" s="113" t="n"/>
      <c r="T1066" s="113" t="n"/>
      <c r="U1066" s="113" t="n"/>
      <c r="V1066" s="113" t="n"/>
      <c r="W1066" s="113" t="n"/>
      <c r="X1066" s="113" t="n"/>
      <c r="Y1066" s="113" t="n"/>
      <c r="Z1066" s="117">
        <f>IF($B1066="",0,IF($S1066="EVET",IF($D1066="GELİR",$O1066,-$O1066),0))</f>
        <v/>
      </c>
      <c r="AA1066" s="117">
        <f>IF($B1066="",0,IF(OR($W1066="EVET",$X1066="EVET",$Y1066="EVET"),0,IF($D1066="GELİR",IF($E1066="SATIŞ İADESİ/İSKONTO",-$O1066,$O1066),-$O1066)))</f>
        <v/>
      </c>
      <c r="AB1066" s="117">
        <f>IF($B1066="","",IF(OR($D1066="",$E1066="",$O1066=""),"EKSİK",IF($O1066&lt;=0,"SIFIR/NEGATİF",IF(COUNTIFS($C$6:$C$5000,$C1066,$O$6:$O$5000,$O1066,$B$6:$B$5000,$B1066)&gt;1,"MÜKERRER","OK"))))</f>
        <v/>
      </c>
    </row>
    <row r="1067" ht="16.5" customHeight="1" s="80">
      <c r="A1067" s="113" t="n"/>
      <c r="B1067" s="113" t="n"/>
      <c r="C1067" s="113" t="n"/>
      <c r="D1067" s="113" t="n"/>
      <c r="E1067" s="113" t="n"/>
      <c r="F1067" s="113" t="n"/>
      <c r="G1067" s="113" t="n"/>
      <c r="H1067" s="113" t="n"/>
      <c r="I1067" s="113" t="n"/>
      <c r="J1067" s="113" t="n"/>
      <c r="K1067" s="113" t="n"/>
      <c r="L1067" s="113" t="n"/>
      <c r="M1067" s="113" t="n"/>
      <c r="N1067" s="113" t="n"/>
      <c r="O1067" s="113" t="n"/>
      <c r="P1067" s="113" t="n"/>
      <c r="Q1067" s="113" t="n"/>
      <c r="R1067" s="113" t="n"/>
      <c r="S1067" s="113" t="n"/>
      <c r="T1067" s="113" t="n"/>
      <c r="U1067" s="113" t="n"/>
      <c r="V1067" s="113" t="n"/>
      <c r="W1067" s="113" t="n"/>
      <c r="X1067" s="113" t="n"/>
      <c r="Y1067" s="113" t="n"/>
      <c r="Z1067" s="117">
        <f>IF($B1067="",0,IF($S1067="EVET",IF($D1067="GELİR",$O1067,-$O1067),0))</f>
        <v/>
      </c>
      <c r="AA1067" s="117">
        <f>IF($B1067="",0,IF(OR($W1067="EVET",$X1067="EVET",$Y1067="EVET"),0,IF($D1067="GELİR",IF($E1067="SATIŞ İADESİ/İSKONTO",-$O1067,$O1067),-$O1067)))</f>
        <v/>
      </c>
      <c r="AB1067" s="117">
        <f>IF($B1067="","",IF(OR($D1067="",$E1067="",$O1067=""),"EKSİK",IF($O1067&lt;=0,"SIFIR/NEGATİF",IF(COUNTIFS($C$6:$C$5000,$C1067,$O$6:$O$5000,$O1067,$B$6:$B$5000,$B1067)&gt;1,"MÜKERRER","OK"))))</f>
        <v/>
      </c>
    </row>
    <row r="1068" ht="16.5" customHeight="1" s="80">
      <c r="A1068" s="113" t="n"/>
      <c r="B1068" s="113" t="n"/>
      <c r="C1068" s="113" t="n"/>
      <c r="D1068" s="113" t="n"/>
      <c r="E1068" s="113" t="n"/>
      <c r="F1068" s="113" t="n"/>
      <c r="G1068" s="113" t="n"/>
      <c r="H1068" s="113" t="n"/>
      <c r="I1068" s="113" t="n"/>
      <c r="J1068" s="113" t="n"/>
      <c r="K1068" s="113" t="n"/>
      <c r="L1068" s="113" t="n"/>
      <c r="M1068" s="113" t="n"/>
      <c r="N1068" s="113" t="n"/>
      <c r="O1068" s="113" t="n"/>
      <c r="P1068" s="113" t="n"/>
      <c r="Q1068" s="113" t="n"/>
      <c r="R1068" s="113" t="n"/>
      <c r="S1068" s="113" t="n"/>
      <c r="T1068" s="113" t="n"/>
      <c r="U1068" s="113" t="n"/>
      <c r="V1068" s="113" t="n"/>
      <c r="W1068" s="113" t="n"/>
      <c r="X1068" s="113" t="n"/>
      <c r="Y1068" s="113" t="n"/>
      <c r="Z1068" s="117">
        <f>IF($B1068="",0,IF($S1068="EVET",IF($D1068="GELİR",$O1068,-$O1068),0))</f>
        <v/>
      </c>
      <c r="AA1068" s="117">
        <f>IF($B1068="",0,IF(OR($W1068="EVET",$X1068="EVET",$Y1068="EVET"),0,IF($D1068="GELİR",IF($E1068="SATIŞ İADESİ/İSKONTO",-$O1068,$O1068),-$O1068)))</f>
        <v/>
      </c>
      <c r="AB1068" s="117">
        <f>IF($B1068="","",IF(OR($D1068="",$E1068="",$O1068=""),"EKSİK",IF($O1068&lt;=0,"SIFIR/NEGATİF",IF(COUNTIFS($C$6:$C$5000,$C1068,$O$6:$O$5000,$O1068,$B$6:$B$5000,$B1068)&gt;1,"MÜKERRER","OK"))))</f>
        <v/>
      </c>
    </row>
    <row r="1069" ht="16.5" customHeight="1" s="80">
      <c r="A1069" s="113" t="n"/>
      <c r="B1069" s="113" t="n"/>
      <c r="C1069" s="113" t="n"/>
      <c r="D1069" s="113" t="n"/>
      <c r="E1069" s="113" t="n"/>
      <c r="F1069" s="113" t="n"/>
      <c r="G1069" s="113" t="n"/>
      <c r="H1069" s="113" t="n"/>
      <c r="I1069" s="113" t="n"/>
      <c r="J1069" s="113" t="n"/>
      <c r="K1069" s="113" t="n"/>
      <c r="L1069" s="113" t="n"/>
      <c r="M1069" s="113" t="n"/>
      <c r="N1069" s="113" t="n"/>
      <c r="O1069" s="113" t="n"/>
      <c r="P1069" s="113" t="n"/>
      <c r="Q1069" s="113" t="n"/>
      <c r="R1069" s="113" t="n"/>
      <c r="S1069" s="113" t="n"/>
      <c r="T1069" s="113" t="n"/>
      <c r="U1069" s="113" t="n"/>
      <c r="V1069" s="113" t="n"/>
      <c r="W1069" s="113" t="n"/>
      <c r="X1069" s="113" t="n"/>
      <c r="Y1069" s="113" t="n"/>
      <c r="Z1069" s="117">
        <f>IF($B1069="",0,IF($S1069="EVET",IF($D1069="GELİR",$O1069,-$O1069),0))</f>
        <v/>
      </c>
      <c r="AA1069" s="117">
        <f>IF($B1069="",0,IF(OR($W1069="EVET",$X1069="EVET",$Y1069="EVET"),0,IF($D1069="GELİR",IF($E1069="SATIŞ İADESİ/İSKONTO",-$O1069,$O1069),-$O1069)))</f>
        <v/>
      </c>
      <c r="AB1069" s="117">
        <f>IF($B1069="","",IF(OR($D1069="",$E1069="",$O1069=""),"EKSİK",IF($O1069&lt;=0,"SIFIR/NEGATİF",IF(COUNTIFS($C$6:$C$5000,$C1069,$O$6:$O$5000,$O1069,$B$6:$B$5000,$B1069)&gt;1,"MÜKERRER","OK"))))</f>
        <v/>
      </c>
    </row>
    <row r="1070" ht="16.5" customHeight="1" s="80">
      <c r="A1070" s="113" t="n"/>
      <c r="B1070" s="113" t="n"/>
      <c r="C1070" s="113" t="n"/>
      <c r="D1070" s="113" t="n"/>
      <c r="E1070" s="113" t="n"/>
      <c r="F1070" s="113" t="n"/>
      <c r="G1070" s="113" t="n"/>
      <c r="H1070" s="113" t="n"/>
      <c r="I1070" s="113" t="n"/>
      <c r="J1070" s="113" t="n"/>
      <c r="K1070" s="113" t="n"/>
      <c r="L1070" s="113" t="n"/>
      <c r="M1070" s="113" t="n"/>
      <c r="N1070" s="113" t="n"/>
      <c r="O1070" s="113" t="n"/>
      <c r="P1070" s="113" t="n"/>
      <c r="Q1070" s="113" t="n"/>
      <c r="R1070" s="113" t="n"/>
      <c r="S1070" s="113" t="n"/>
      <c r="T1070" s="113" t="n"/>
      <c r="U1070" s="113" t="n"/>
      <c r="V1070" s="113" t="n"/>
      <c r="W1070" s="113" t="n"/>
      <c r="X1070" s="113" t="n"/>
      <c r="Y1070" s="113" t="n"/>
      <c r="Z1070" s="117">
        <f>IF($B1070="",0,IF($S1070="EVET",IF($D1070="GELİR",$O1070,-$O1070),0))</f>
        <v/>
      </c>
      <c r="AA1070" s="117">
        <f>IF($B1070="",0,IF(OR($W1070="EVET",$X1070="EVET",$Y1070="EVET"),0,IF($D1070="GELİR",IF($E1070="SATIŞ İADESİ/İSKONTO",-$O1070,$O1070),-$O1070)))</f>
        <v/>
      </c>
      <c r="AB1070" s="117">
        <f>IF($B1070="","",IF(OR($D1070="",$E1070="",$O1070=""),"EKSİK",IF($O1070&lt;=0,"SIFIR/NEGATİF",IF(COUNTIFS($C$6:$C$5000,$C1070,$O$6:$O$5000,$O1070,$B$6:$B$5000,$B1070)&gt;1,"MÜKERRER","OK"))))</f>
        <v/>
      </c>
    </row>
    <row r="1071" ht="16.5" customHeight="1" s="80">
      <c r="A1071" s="113" t="n"/>
      <c r="B1071" s="113" t="n"/>
      <c r="C1071" s="113" t="n"/>
      <c r="D1071" s="113" t="n"/>
      <c r="E1071" s="113" t="n"/>
      <c r="F1071" s="113" t="n"/>
      <c r="G1071" s="113" t="n"/>
      <c r="H1071" s="113" t="n"/>
      <c r="I1071" s="113" t="n"/>
      <c r="J1071" s="113" t="n"/>
      <c r="K1071" s="113" t="n"/>
      <c r="L1071" s="113" t="n"/>
      <c r="M1071" s="113" t="n"/>
      <c r="N1071" s="113" t="n"/>
      <c r="O1071" s="113" t="n"/>
      <c r="P1071" s="113" t="n"/>
      <c r="Q1071" s="113" t="n"/>
      <c r="R1071" s="113" t="n"/>
      <c r="S1071" s="113" t="n"/>
      <c r="T1071" s="113" t="n"/>
      <c r="U1071" s="113" t="n"/>
      <c r="V1071" s="113" t="n"/>
      <c r="W1071" s="113" t="n"/>
      <c r="X1071" s="113" t="n"/>
      <c r="Y1071" s="113" t="n"/>
      <c r="Z1071" s="117">
        <f>IF($B1071="",0,IF($S1071="EVET",IF($D1071="GELİR",$O1071,-$O1071),0))</f>
        <v/>
      </c>
      <c r="AA1071" s="117">
        <f>IF($B1071="",0,IF(OR($W1071="EVET",$X1071="EVET",$Y1071="EVET"),0,IF($D1071="GELİR",IF($E1071="SATIŞ İADESİ/İSKONTO",-$O1071,$O1071),-$O1071)))</f>
        <v/>
      </c>
      <c r="AB1071" s="117">
        <f>IF($B1071="","",IF(OR($D1071="",$E1071="",$O1071=""),"EKSİK",IF($O1071&lt;=0,"SIFIR/NEGATİF",IF(COUNTIFS($C$6:$C$5000,$C1071,$O$6:$O$5000,$O1071,$B$6:$B$5000,$B1071)&gt;1,"MÜKERRER","OK"))))</f>
        <v/>
      </c>
    </row>
    <row r="1072" ht="16.5" customHeight="1" s="80">
      <c r="A1072" s="113" t="n"/>
      <c r="B1072" s="113" t="n"/>
      <c r="C1072" s="113" t="n"/>
      <c r="D1072" s="113" t="n"/>
      <c r="E1072" s="113" t="n"/>
      <c r="F1072" s="113" t="n"/>
      <c r="G1072" s="113" t="n"/>
      <c r="H1072" s="113" t="n"/>
      <c r="I1072" s="113" t="n"/>
      <c r="J1072" s="113" t="n"/>
      <c r="K1072" s="113" t="n"/>
      <c r="L1072" s="113" t="n"/>
      <c r="M1072" s="113" t="n"/>
      <c r="N1072" s="113" t="n"/>
      <c r="O1072" s="113" t="n"/>
      <c r="P1072" s="113" t="n"/>
      <c r="Q1072" s="113" t="n"/>
      <c r="R1072" s="113" t="n"/>
      <c r="S1072" s="113" t="n"/>
      <c r="T1072" s="113" t="n"/>
      <c r="U1072" s="113" t="n"/>
      <c r="V1072" s="113" t="n"/>
      <c r="W1072" s="113" t="n"/>
      <c r="X1072" s="113" t="n"/>
      <c r="Y1072" s="113" t="n"/>
      <c r="Z1072" s="117">
        <f>IF($B1072="",0,IF($S1072="EVET",IF($D1072="GELİR",$O1072,-$O1072),0))</f>
        <v/>
      </c>
      <c r="AA1072" s="117">
        <f>IF($B1072="",0,IF(OR($W1072="EVET",$X1072="EVET",$Y1072="EVET"),0,IF($D1072="GELİR",IF($E1072="SATIŞ İADESİ/İSKONTO",-$O1072,$O1072),-$O1072)))</f>
        <v/>
      </c>
      <c r="AB1072" s="117">
        <f>IF($B1072="","",IF(OR($D1072="",$E1072="",$O1072=""),"EKSİK",IF($O1072&lt;=0,"SIFIR/NEGATİF",IF(COUNTIFS($C$6:$C$5000,$C1072,$O$6:$O$5000,$O1072,$B$6:$B$5000,$B1072)&gt;1,"MÜKERRER","OK"))))</f>
        <v/>
      </c>
    </row>
    <row r="1073" ht="16.5" customHeight="1" s="80">
      <c r="A1073" s="113" t="n"/>
      <c r="B1073" s="113" t="n"/>
      <c r="C1073" s="113" t="n"/>
      <c r="D1073" s="113" t="n"/>
      <c r="E1073" s="113" t="n"/>
      <c r="F1073" s="113" t="n"/>
      <c r="G1073" s="113" t="n"/>
      <c r="H1073" s="113" t="n"/>
      <c r="I1073" s="113" t="n"/>
      <c r="J1073" s="113" t="n"/>
      <c r="K1073" s="113" t="n"/>
      <c r="L1073" s="113" t="n"/>
      <c r="M1073" s="113" t="n"/>
      <c r="N1073" s="113" t="n"/>
      <c r="O1073" s="113" t="n"/>
      <c r="P1073" s="113" t="n"/>
      <c r="Q1073" s="113" t="n"/>
      <c r="R1073" s="113" t="n"/>
      <c r="S1073" s="113" t="n"/>
      <c r="T1073" s="113" t="n"/>
      <c r="U1073" s="113" t="n"/>
      <c r="V1073" s="113" t="n"/>
      <c r="W1073" s="113" t="n"/>
      <c r="X1073" s="113" t="n"/>
      <c r="Y1073" s="113" t="n"/>
      <c r="Z1073" s="117">
        <f>IF($B1073="",0,IF($S1073="EVET",IF($D1073="GELİR",$O1073,-$O1073),0))</f>
        <v/>
      </c>
      <c r="AA1073" s="117">
        <f>IF($B1073="",0,IF(OR($W1073="EVET",$X1073="EVET",$Y1073="EVET"),0,IF($D1073="GELİR",IF($E1073="SATIŞ İADESİ/İSKONTO",-$O1073,$O1073),-$O1073)))</f>
        <v/>
      </c>
      <c r="AB1073" s="117">
        <f>IF($B1073="","",IF(OR($D1073="",$E1073="",$O1073=""),"EKSİK",IF($O1073&lt;=0,"SIFIR/NEGATİF",IF(COUNTIFS($C$6:$C$5000,$C1073,$O$6:$O$5000,$O1073,$B$6:$B$5000,$B1073)&gt;1,"MÜKERRER","OK"))))</f>
        <v/>
      </c>
    </row>
    <row r="1074" ht="16.5" customHeight="1" s="80">
      <c r="A1074" s="113" t="n"/>
      <c r="B1074" s="113" t="n"/>
      <c r="C1074" s="113" t="n"/>
      <c r="D1074" s="113" t="n"/>
      <c r="E1074" s="113" t="n"/>
      <c r="F1074" s="113" t="n"/>
      <c r="G1074" s="113" t="n"/>
      <c r="H1074" s="113" t="n"/>
      <c r="I1074" s="113" t="n"/>
      <c r="J1074" s="113" t="n"/>
      <c r="K1074" s="113" t="n"/>
      <c r="L1074" s="113" t="n"/>
      <c r="M1074" s="113" t="n"/>
      <c r="N1074" s="113" t="n"/>
      <c r="O1074" s="113" t="n"/>
      <c r="P1074" s="113" t="n"/>
      <c r="Q1074" s="113" t="n"/>
      <c r="R1074" s="113" t="n"/>
      <c r="S1074" s="113" t="n"/>
      <c r="T1074" s="113" t="n"/>
      <c r="U1074" s="113" t="n"/>
      <c r="V1074" s="113" t="n"/>
      <c r="W1074" s="113" t="n"/>
      <c r="X1074" s="113" t="n"/>
      <c r="Y1074" s="113" t="n"/>
      <c r="Z1074" s="117">
        <f>IF($B1074="",0,IF($S1074="EVET",IF($D1074="GELİR",$O1074,-$O1074),0))</f>
        <v/>
      </c>
      <c r="AA1074" s="117">
        <f>IF($B1074="",0,IF(OR($W1074="EVET",$X1074="EVET",$Y1074="EVET"),0,IF($D1074="GELİR",IF($E1074="SATIŞ İADESİ/İSKONTO",-$O1074,$O1074),-$O1074)))</f>
        <v/>
      </c>
      <c r="AB1074" s="117">
        <f>IF($B1074="","",IF(OR($D1074="",$E1074="",$O1074=""),"EKSİK",IF($O1074&lt;=0,"SIFIR/NEGATİF",IF(COUNTIFS($C$6:$C$5000,$C1074,$O$6:$O$5000,$O1074,$B$6:$B$5000,$B1074)&gt;1,"MÜKERRER","OK"))))</f>
        <v/>
      </c>
    </row>
    <row r="1075" ht="16.5" customHeight="1" s="80">
      <c r="A1075" s="113" t="n"/>
      <c r="B1075" s="113" t="n"/>
      <c r="C1075" s="113" t="n"/>
      <c r="D1075" s="113" t="n"/>
      <c r="E1075" s="113" t="n"/>
      <c r="F1075" s="113" t="n"/>
      <c r="G1075" s="113" t="n"/>
      <c r="H1075" s="113" t="n"/>
      <c r="I1075" s="113" t="n"/>
      <c r="J1075" s="113" t="n"/>
      <c r="K1075" s="113" t="n"/>
      <c r="L1075" s="113" t="n"/>
      <c r="M1075" s="113" t="n"/>
      <c r="N1075" s="113" t="n"/>
      <c r="O1075" s="113" t="n"/>
      <c r="P1075" s="113" t="n"/>
      <c r="Q1075" s="113" t="n"/>
      <c r="R1075" s="113" t="n"/>
      <c r="S1075" s="113" t="n"/>
      <c r="T1075" s="113" t="n"/>
      <c r="U1075" s="113" t="n"/>
      <c r="V1075" s="113" t="n"/>
      <c r="W1075" s="113" t="n"/>
      <c r="X1075" s="113" t="n"/>
      <c r="Y1075" s="113" t="n"/>
      <c r="Z1075" s="117">
        <f>IF($B1075="",0,IF($S1075="EVET",IF($D1075="GELİR",$O1075,-$O1075),0))</f>
        <v/>
      </c>
      <c r="AA1075" s="117">
        <f>IF($B1075="",0,IF(OR($W1075="EVET",$X1075="EVET",$Y1075="EVET"),0,IF($D1075="GELİR",IF($E1075="SATIŞ İADESİ/İSKONTO",-$O1075,$O1075),-$O1075)))</f>
        <v/>
      </c>
      <c r="AB1075" s="117">
        <f>IF($B1075="","",IF(OR($D1075="",$E1075="",$O1075=""),"EKSİK",IF($O1075&lt;=0,"SIFIR/NEGATİF",IF(COUNTIFS($C$6:$C$5000,$C1075,$O$6:$O$5000,$O1075,$B$6:$B$5000,$B1075)&gt;1,"MÜKERRER","OK"))))</f>
        <v/>
      </c>
    </row>
    <row r="1076" ht="16.5" customHeight="1" s="80">
      <c r="A1076" s="113" t="n"/>
      <c r="B1076" s="113" t="n"/>
      <c r="C1076" s="113" t="n"/>
      <c r="D1076" s="113" t="n"/>
      <c r="E1076" s="113" t="n"/>
      <c r="F1076" s="113" t="n"/>
      <c r="G1076" s="113" t="n"/>
      <c r="H1076" s="113" t="n"/>
      <c r="I1076" s="113" t="n"/>
      <c r="J1076" s="113" t="n"/>
      <c r="K1076" s="113" t="n"/>
      <c r="L1076" s="113" t="n"/>
      <c r="M1076" s="113" t="n"/>
      <c r="N1076" s="113" t="n"/>
      <c r="O1076" s="113" t="n"/>
      <c r="P1076" s="113" t="n"/>
      <c r="Q1076" s="113" t="n"/>
      <c r="R1076" s="113" t="n"/>
      <c r="S1076" s="113" t="n"/>
      <c r="T1076" s="113" t="n"/>
      <c r="U1076" s="113" t="n"/>
      <c r="V1076" s="113" t="n"/>
      <c r="W1076" s="113" t="n"/>
      <c r="X1076" s="113" t="n"/>
      <c r="Y1076" s="113" t="n"/>
      <c r="Z1076" s="117">
        <f>IF($B1076="",0,IF($S1076="EVET",IF($D1076="GELİR",$O1076,-$O1076),0))</f>
        <v/>
      </c>
      <c r="AA1076" s="117">
        <f>IF($B1076="",0,IF(OR($W1076="EVET",$X1076="EVET",$Y1076="EVET"),0,IF($D1076="GELİR",IF($E1076="SATIŞ İADESİ/İSKONTO",-$O1076,$O1076),-$O1076)))</f>
        <v/>
      </c>
      <c r="AB1076" s="117">
        <f>IF($B1076="","",IF(OR($D1076="",$E1076="",$O1076=""),"EKSİK",IF($O1076&lt;=0,"SIFIR/NEGATİF",IF(COUNTIFS($C$6:$C$5000,$C1076,$O$6:$O$5000,$O1076,$B$6:$B$5000,$B1076)&gt;1,"MÜKERRER","OK"))))</f>
        <v/>
      </c>
    </row>
    <row r="1077" ht="16.5" customHeight="1" s="80">
      <c r="A1077" s="113" t="n"/>
      <c r="B1077" s="113" t="n"/>
      <c r="C1077" s="113" t="n"/>
      <c r="D1077" s="113" t="n"/>
      <c r="E1077" s="113" t="n"/>
      <c r="F1077" s="113" t="n"/>
      <c r="G1077" s="113" t="n"/>
      <c r="H1077" s="113" t="n"/>
      <c r="I1077" s="113" t="n"/>
      <c r="J1077" s="113" t="n"/>
      <c r="K1077" s="113" t="n"/>
      <c r="L1077" s="113" t="n"/>
      <c r="M1077" s="113" t="n"/>
      <c r="N1077" s="113" t="n"/>
      <c r="O1077" s="113" t="n"/>
      <c r="P1077" s="113" t="n"/>
      <c r="Q1077" s="113" t="n"/>
      <c r="R1077" s="113" t="n"/>
      <c r="S1077" s="113" t="n"/>
      <c r="T1077" s="113" t="n"/>
      <c r="U1077" s="113" t="n"/>
      <c r="V1077" s="113" t="n"/>
      <c r="W1077" s="113" t="n"/>
      <c r="X1077" s="113" t="n"/>
      <c r="Y1077" s="113" t="n"/>
      <c r="Z1077" s="117">
        <f>IF($B1077="",0,IF($S1077="EVET",IF($D1077="GELİR",$O1077,-$O1077),0))</f>
        <v/>
      </c>
      <c r="AA1077" s="117">
        <f>IF($B1077="",0,IF(OR($W1077="EVET",$X1077="EVET",$Y1077="EVET"),0,IF($D1077="GELİR",IF($E1077="SATIŞ İADESİ/İSKONTO",-$O1077,$O1077),-$O1077)))</f>
        <v/>
      </c>
      <c r="AB1077" s="117">
        <f>IF($B1077="","",IF(OR($D1077="",$E1077="",$O1077=""),"EKSİK",IF($O1077&lt;=0,"SIFIR/NEGATİF",IF(COUNTIFS($C$6:$C$5000,$C1077,$O$6:$O$5000,$O1077,$B$6:$B$5000,$B1077)&gt;1,"MÜKERRER","OK"))))</f>
        <v/>
      </c>
    </row>
    <row r="1078" ht="16.5" customHeight="1" s="80">
      <c r="A1078" s="113" t="n"/>
      <c r="B1078" s="113" t="n"/>
      <c r="C1078" s="113" t="n"/>
      <c r="D1078" s="113" t="n"/>
      <c r="E1078" s="113" t="n"/>
      <c r="F1078" s="113" t="n"/>
      <c r="G1078" s="113" t="n"/>
      <c r="H1078" s="113" t="n"/>
      <c r="I1078" s="113" t="n"/>
      <c r="J1078" s="113" t="n"/>
      <c r="K1078" s="113" t="n"/>
      <c r="L1078" s="113" t="n"/>
      <c r="M1078" s="113" t="n"/>
      <c r="N1078" s="113" t="n"/>
      <c r="O1078" s="113" t="n"/>
      <c r="P1078" s="113" t="n"/>
      <c r="Q1078" s="113" t="n"/>
      <c r="R1078" s="113" t="n"/>
      <c r="S1078" s="113" t="n"/>
      <c r="T1078" s="113" t="n"/>
      <c r="U1078" s="113" t="n"/>
      <c r="V1078" s="113" t="n"/>
      <c r="W1078" s="113" t="n"/>
      <c r="X1078" s="113" t="n"/>
      <c r="Y1078" s="113" t="n"/>
      <c r="Z1078" s="117">
        <f>IF($B1078="",0,IF($S1078="EVET",IF($D1078="GELİR",$O1078,-$O1078),0))</f>
        <v/>
      </c>
      <c r="AA1078" s="117">
        <f>IF($B1078="",0,IF(OR($W1078="EVET",$X1078="EVET",$Y1078="EVET"),0,IF($D1078="GELİR",IF($E1078="SATIŞ İADESİ/İSKONTO",-$O1078,$O1078),-$O1078)))</f>
        <v/>
      </c>
      <c r="AB1078" s="117">
        <f>IF($B1078="","",IF(OR($D1078="",$E1078="",$O1078=""),"EKSİK",IF($O1078&lt;=0,"SIFIR/NEGATİF",IF(COUNTIFS($C$6:$C$5000,$C1078,$O$6:$O$5000,$O1078,$B$6:$B$5000,$B1078)&gt;1,"MÜKERRER","OK"))))</f>
        <v/>
      </c>
    </row>
    <row r="1079" ht="16.5" customHeight="1" s="80">
      <c r="A1079" s="113" t="n"/>
      <c r="B1079" s="113" t="n"/>
      <c r="C1079" s="113" t="n"/>
      <c r="D1079" s="113" t="n"/>
      <c r="E1079" s="113" t="n"/>
      <c r="F1079" s="113" t="n"/>
      <c r="G1079" s="113" t="n"/>
      <c r="H1079" s="113" t="n"/>
      <c r="I1079" s="113" t="n"/>
      <c r="J1079" s="113" t="n"/>
      <c r="K1079" s="113" t="n"/>
      <c r="L1079" s="113" t="n"/>
      <c r="M1079" s="113" t="n"/>
      <c r="N1079" s="113" t="n"/>
      <c r="O1079" s="113" t="n"/>
      <c r="P1079" s="113" t="n"/>
      <c r="Q1079" s="113" t="n"/>
      <c r="R1079" s="113" t="n"/>
      <c r="S1079" s="113" t="n"/>
      <c r="T1079" s="113" t="n"/>
      <c r="U1079" s="113" t="n"/>
      <c r="V1079" s="113" t="n"/>
      <c r="W1079" s="113" t="n"/>
      <c r="X1079" s="113" t="n"/>
      <c r="Y1079" s="113" t="n"/>
      <c r="Z1079" s="117">
        <f>IF($B1079="",0,IF($S1079="EVET",IF($D1079="GELİR",$O1079,-$O1079),0))</f>
        <v/>
      </c>
      <c r="AA1079" s="117">
        <f>IF($B1079="",0,IF(OR($W1079="EVET",$X1079="EVET",$Y1079="EVET"),0,IF($D1079="GELİR",IF($E1079="SATIŞ İADESİ/İSKONTO",-$O1079,$O1079),-$O1079)))</f>
        <v/>
      </c>
      <c r="AB1079" s="117">
        <f>IF($B1079="","",IF(OR($D1079="",$E1079="",$O1079=""),"EKSİK",IF($O1079&lt;=0,"SIFIR/NEGATİF",IF(COUNTIFS($C$6:$C$5000,$C1079,$O$6:$O$5000,$O1079,$B$6:$B$5000,$B1079)&gt;1,"MÜKERRER","OK"))))</f>
        <v/>
      </c>
    </row>
    <row r="1080" ht="16.5" customHeight="1" s="80">
      <c r="A1080" s="113" t="n"/>
      <c r="B1080" s="113" t="n"/>
      <c r="C1080" s="113" t="n"/>
      <c r="D1080" s="113" t="n"/>
      <c r="E1080" s="113" t="n"/>
      <c r="F1080" s="113" t="n"/>
      <c r="G1080" s="113" t="n"/>
      <c r="H1080" s="113" t="n"/>
      <c r="I1080" s="113" t="n"/>
      <c r="J1080" s="113" t="n"/>
      <c r="K1080" s="113" t="n"/>
      <c r="L1080" s="113" t="n"/>
      <c r="M1080" s="113" t="n"/>
      <c r="N1080" s="113" t="n"/>
      <c r="O1080" s="113" t="n"/>
      <c r="P1080" s="113" t="n"/>
      <c r="Q1080" s="113" t="n"/>
      <c r="R1080" s="113" t="n"/>
      <c r="S1080" s="113" t="n"/>
      <c r="T1080" s="113" t="n"/>
      <c r="U1080" s="113" t="n"/>
      <c r="V1080" s="113" t="n"/>
      <c r="W1080" s="113" t="n"/>
      <c r="X1080" s="113" t="n"/>
      <c r="Y1080" s="113" t="n"/>
      <c r="Z1080" s="117">
        <f>IF($B1080="",0,IF($S1080="EVET",IF($D1080="GELİR",$O1080,-$O1080),0))</f>
        <v/>
      </c>
      <c r="AA1080" s="117">
        <f>IF($B1080="",0,IF(OR($W1080="EVET",$X1080="EVET",$Y1080="EVET"),0,IF($D1080="GELİR",IF($E1080="SATIŞ İADESİ/İSKONTO",-$O1080,$O1080),-$O1080)))</f>
        <v/>
      </c>
      <c r="AB1080" s="117">
        <f>IF($B1080="","",IF(OR($D1080="",$E1080="",$O1080=""),"EKSİK",IF($O1080&lt;=0,"SIFIR/NEGATİF",IF(COUNTIFS($C$6:$C$5000,$C1080,$O$6:$O$5000,$O1080,$B$6:$B$5000,$B1080)&gt;1,"MÜKERRER","OK"))))</f>
        <v/>
      </c>
    </row>
    <row r="1081" ht="16.5" customHeight="1" s="80">
      <c r="A1081" s="113" t="n"/>
      <c r="B1081" s="113" t="n"/>
      <c r="C1081" s="113" t="n"/>
      <c r="D1081" s="113" t="n"/>
      <c r="E1081" s="113" t="n"/>
      <c r="F1081" s="113" t="n"/>
      <c r="G1081" s="113" t="n"/>
      <c r="H1081" s="113" t="n"/>
      <c r="I1081" s="113" t="n"/>
      <c r="J1081" s="113" t="n"/>
      <c r="K1081" s="113" t="n"/>
      <c r="L1081" s="113" t="n"/>
      <c r="M1081" s="113" t="n"/>
      <c r="N1081" s="113" t="n"/>
      <c r="O1081" s="113" t="n"/>
      <c r="P1081" s="113" t="n"/>
      <c r="Q1081" s="113" t="n"/>
      <c r="R1081" s="113" t="n"/>
      <c r="S1081" s="113" t="n"/>
      <c r="T1081" s="113" t="n"/>
      <c r="U1081" s="113" t="n"/>
      <c r="V1081" s="113" t="n"/>
      <c r="W1081" s="113" t="n"/>
      <c r="X1081" s="113" t="n"/>
      <c r="Y1081" s="113" t="n"/>
      <c r="Z1081" s="117">
        <f>IF($B1081="",0,IF($S1081="EVET",IF($D1081="GELİR",$O1081,-$O1081),0))</f>
        <v/>
      </c>
      <c r="AA1081" s="117">
        <f>IF($B1081="",0,IF(OR($W1081="EVET",$X1081="EVET",$Y1081="EVET"),0,IF($D1081="GELİR",IF($E1081="SATIŞ İADESİ/İSKONTO",-$O1081,$O1081),-$O1081)))</f>
        <v/>
      </c>
      <c r="AB1081" s="117">
        <f>IF($B1081="","",IF(OR($D1081="",$E1081="",$O1081=""),"EKSİK",IF($O1081&lt;=0,"SIFIR/NEGATİF",IF(COUNTIFS($C$6:$C$5000,$C1081,$O$6:$O$5000,$O1081,$B$6:$B$5000,$B1081)&gt;1,"MÜKERRER","OK"))))</f>
        <v/>
      </c>
    </row>
    <row r="1082" ht="16.5" customHeight="1" s="80">
      <c r="A1082" s="113" t="n"/>
      <c r="B1082" s="113" t="n"/>
      <c r="C1082" s="113" t="n"/>
      <c r="D1082" s="113" t="n"/>
      <c r="E1082" s="113" t="n"/>
      <c r="F1082" s="113" t="n"/>
      <c r="G1082" s="113" t="n"/>
      <c r="H1082" s="113" t="n"/>
      <c r="I1082" s="113" t="n"/>
      <c r="J1082" s="113" t="n"/>
      <c r="K1082" s="113" t="n"/>
      <c r="L1082" s="113" t="n"/>
      <c r="M1082" s="113" t="n"/>
      <c r="N1082" s="113" t="n"/>
      <c r="O1082" s="113" t="n"/>
      <c r="P1082" s="113" t="n"/>
      <c r="Q1082" s="113" t="n"/>
      <c r="R1082" s="113" t="n"/>
      <c r="S1082" s="113" t="n"/>
      <c r="T1082" s="113" t="n"/>
      <c r="U1082" s="113" t="n"/>
      <c r="V1082" s="113" t="n"/>
      <c r="W1082" s="113" t="n"/>
      <c r="X1082" s="113" t="n"/>
      <c r="Y1082" s="113" t="n"/>
      <c r="Z1082" s="117">
        <f>IF($B1082="",0,IF($S1082="EVET",IF($D1082="GELİR",$O1082,-$O1082),0))</f>
        <v/>
      </c>
      <c r="AA1082" s="117">
        <f>IF($B1082="",0,IF(OR($W1082="EVET",$X1082="EVET",$Y1082="EVET"),0,IF($D1082="GELİR",IF($E1082="SATIŞ İADESİ/İSKONTO",-$O1082,$O1082),-$O1082)))</f>
        <v/>
      </c>
      <c r="AB1082" s="117">
        <f>IF($B1082="","",IF(OR($D1082="",$E1082="",$O1082=""),"EKSİK",IF($O1082&lt;=0,"SIFIR/NEGATİF",IF(COUNTIFS($C$6:$C$5000,$C1082,$O$6:$O$5000,$O1082,$B$6:$B$5000,$B1082)&gt;1,"MÜKERRER","OK"))))</f>
        <v/>
      </c>
    </row>
    <row r="1083" ht="16.5" customHeight="1" s="80">
      <c r="A1083" s="113" t="n"/>
      <c r="B1083" s="113" t="n"/>
      <c r="C1083" s="113" t="n"/>
      <c r="D1083" s="113" t="n"/>
      <c r="E1083" s="113" t="n"/>
      <c r="F1083" s="113" t="n"/>
      <c r="G1083" s="113" t="n"/>
      <c r="H1083" s="113" t="n"/>
      <c r="I1083" s="113" t="n"/>
      <c r="J1083" s="113" t="n"/>
      <c r="K1083" s="113" t="n"/>
      <c r="L1083" s="113" t="n"/>
      <c r="M1083" s="113" t="n"/>
      <c r="N1083" s="113" t="n"/>
      <c r="O1083" s="113" t="n"/>
      <c r="P1083" s="113" t="n"/>
      <c r="Q1083" s="113" t="n"/>
      <c r="R1083" s="113" t="n"/>
      <c r="S1083" s="113" t="n"/>
      <c r="T1083" s="113" t="n"/>
      <c r="U1083" s="113" t="n"/>
      <c r="V1083" s="113" t="n"/>
      <c r="W1083" s="113" t="n"/>
      <c r="X1083" s="113" t="n"/>
      <c r="Y1083" s="113" t="n"/>
      <c r="Z1083" s="117">
        <f>IF($B1083="",0,IF($S1083="EVET",IF($D1083="GELİR",$O1083,-$O1083),0))</f>
        <v/>
      </c>
      <c r="AA1083" s="117">
        <f>IF($B1083="",0,IF(OR($W1083="EVET",$X1083="EVET",$Y1083="EVET"),0,IF($D1083="GELİR",IF($E1083="SATIŞ İADESİ/İSKONTO",-$O1083,$O1083),-$O1083)))</f>
        <v/>
      </c>
      <c r="AB1083" s="117">
        <f>IF($B1083="","",IF(OR($D1083="",$E1083="",$O1083=""),"EKSİK",IF($O1083&lt;=0,"SIFIR/NEGATİF",IF(COUNTIFS($C$6:$C$5000,$C1083,$O$6:$O$5000,$O1083,$B$6:$B$5000,$B1083)&gt;1,"MÜKERRER","OK"))))</f>
        <v/>
      </c>
    </row>
    <row r="1084" ht="16.5" customHeight="1" s="80">
      <c r="A1084" s="113" t="n"/>
      <c r="B1084" s="113" t="n"/>
      <c r="C1084" s="113" t="n"/>
      <c r="D1084" s="113" t="n"/>
      <c r="E1084" s="113" t="n"/>
      <c r="F1084" s="113" t="n"/>
      <c r="G1084" s="113" t="n"/>
      <c r="H1084" s="113" t="n"/>
      <c r="I1084" s="113" t="n"/>
      <c r="J1084" s="113" t="n"/>
      <c r="K1084" s="113" t="n"/>
      <c r="L1084" s="113" t="n"/>
      <c r="M1084" s="113" t="n"/>
      <c r="N1084" s="113" t="n"/>
      <c r="O1084" s="113" t="n"/>
      <c r="P1084" s="113" t="n"/>
      <c r="Q1084" s="113" t="n"/>
      <c r="R1084" s="113" t="n"/>
      <c r="S1084" s="113" t="n"/>
      <c r="T1084" s="113" t="n"/>
      <c r="U1084" s="113" t="n"/>
      <c r="V1084" s="113" t="n"/>
      <c r="W1084" s="113" t="n"/>
      <c r="X1084" s="113" t="n"/>
      <c r="Y1084" s="113" t="n"/>
      <c r="Z1084" s="117">
        <f>IF($B1084="",0,IF($S1084="EVET",IF($D1084="GELİR",$O1084,-$O1084),0))</f>
        <v/>
      </c>
      <c r="AA1084" s="117">
        <f>IF($B1084="",0,IF(OR($W1084="EVET",$X1084="EVET",$Y1084="EVET"),0,IF($D1084="GELİR",IF($E1084="SATIŞ İADESİ/İSKONTO",-$O1084,$O1084),-$O1084)))</f>
        <v/>
      </c>
      <c r="AB1084" s="117">
        <f>IF($B1084="","",IF(OR($D1084="",$E1084="",$O1084=""),"EKSİK",IF($O1084&lt;=0,"SIFIR/NEGATİF",IF(COUNTIFS($C$6:$C$5000,$C1084,$O$6:$O$5000,$O1084,$B$6:$B$5000,$B1084)&gt;1,"MÜKERRER","OK"))))</f>
        <v/>
      </c>
    </row>
    <row r="1085" ht="16.5" customHeight="1" s="80">
      <c r="A1085" s="113" t="n"/>
      <c r="B1085" s="113" t="n"/>
      <c r="C1085" s="113" t="n"/>
      <c r="D1085" s="113" t="n"/>
      <c r="E1085" s="113" t="n"/>
      <c r="F1085" s="113" t="n"/>
      <c r="G1085" s="113" t="n"/>
      <c r="H1085" s="113" t="n"/>
      <c r="I1085" s="113" t="n"/>
      <c r="J1085" s="113" t="n"/>
      <c r="K1085" s="113" t="n"/>
      <c r="L1085" s="113" t="n"/>
      <c r="M1085" s="113" t="n"/>
      <c r="N1085" s="113" t="n"/>
      <c r="O1085" s="113" t="n"/>
      <c r="P1085" s="113" t="n"/>
      <c r="Q1085" s="113" t="n"/>
      <c r="R1085" s="113" t="n"/>
      <c r="S1085" s="113" t="n"/>
      <c r="T1085" s="113" t="n"/>
      <c r="U1085" s="113" t="n"/>
      <c r="V1085" s="113" t="n"/>
      <c r="W1085" s="113" t="n"/>
      <c r="X1085" s="113" t="n"/>
      <c r="Y1085" s="113" t="n"/>
      <c r="Z1085" s="117">
        <f>IF($B1085="",0,IF($S1085="EVET",IF($D1085="GELİR",$O1085,-$O1085),0))</f>
        <v/>
      </c>
      <c r="AA1085" s="117">
        <f>IF($B1085="",0,IF(OR($W1085="EVET",$X1085="EVET",$Y1085="EVET"),0,IF($D1085="GELİR",IF($E1085="SATIŞ İADESİ/İSKONTO",-$O1085,$O1085),-$O1085)))</f>
        <v/>
      </c>
      <c r="AB1085" s="117">
        <f>IF($B1085="","",IF(OR($D1085="",$E1085="",$O1085=""),"EKSİK",IF($O1085&lt;=0,"SIFIR/NEGATİF",IF(COUNTIFS($C$6:$C$5000,$C1085,$O$6:$O$5000,$O1085,$B$6:$B$5000,$B1085)&gt;1,"MÜKERRER","OK"))))</f>
        <v/>
      </c>
    </row>
    <row r="1086" ht="16.5" customHeight="1" s="80">
      <c r="A1086" s="113" t="n"/>
      <c r="B1086" s="113" t="n"/>
      <c r="C1086" s="113" t="n"/>
      <c r="D1086" s="113" t="n"/>
      <c r="E1086" s="113" t="n"/>
      <c r="F1086" s="113" t="n"/>
      <c r="G1086" s="113" t="n"/>
      <c r="H1086" s="113" t="n"/>
      <c r="I1086" s="113" t="n"/>
      <c r="J1086" s="113" t="n"/>
      <c r="K1086" s="113" t="n"/>
      <c r="L1086" s="113" t="n"/>
      <c r="M1086" s="113" t="n"/>
      <c r="N1086" s="113" t="n"/>
      <c r="O1086" s="113" t="n"/>
      <c r="P1086" s="113" t="n"/>
      <c r="Q1086" s="113" t="n"/>
      <c r="R1086" s="113" t="n"/>
      <c r="S1086" s="113" t="n"/>
      <c r="T1086" s="113" t="n"/>
      <c r="U1086" s="113" t="n"/>
      <c r="V1086" s="113" t="n"/>
      <c r="W1086" s="113" t="n"/>
      <c r="X1086" s="113" t="n"/>
      <c r="Y1086" s="113" t="n"/>
      <c r="Z1086" s="117">
        <f>IF($B1086="",0,IF($S1086="EVET",IF($D1086="GELİR",$O1086,-$O1086),0))</f>
        <v/>
      </c>
      <c r="AA1086" s="117">
        <f>IF($B1086="",0,IF(OR($W1086="EVET",$X1086="EVET",$Y1086="EVET"),0,IF($D1086="GELİR",IF($E1086="SATIŞ İADESİ/İSKONTO",-$O1086,$O1086),-$O1086)))</f>
        <v/>
      </c>
      <c r="AB1086" s="117">
        <f>IF($B1086="","",IF(OR($D1086="",$E1086="",$O1086=""),"EKSİK",IF($O1086&lt;=0,"SIFIR/NEGATİF",IF(COUNTIFS($C$6:$C$5000,$C1086,$O$6:$O$5000,$O1086,$B$6:$B$5000,$B1086)&gt;1,"MÜKERRER","OK"))))</f>
        <v/>
      </c>
    </row>
    <row r="1087" ht="16.5" customHeight="1" s="80">
      <c r="A1087" s="113" t="n"/>
      <c r="B1087" s="113" t="n"/>
      <c r="C1087" s="113" t="n"/>
      <c r="D1087" s="113" t="n"/>
      <c r="E1087" s="113" t="n"/>
      <c r="F1087" s="113" t="n"/>
      <c r="G1087" s="113" t="n"/>
      <c r="H1087" s="113" t="n"/>
      <c r="I1087" s="113" t="n"/>
      <c r="J1087" s="113" t="n"/>
      <c r="K1087" s="113" t="n"/>
      <c r="L1087" s="113" t="n"/>
      <c r="M1087" s="113" t="n"/>
      <c r="N1087" s="113" t="n"/>
      <c r="O1087" s="113" t="n"/>
      <c r="P1087" s="113" t="n"/>
      <c r="Q1087" s="113" t="n"/>
      <c r="R1087" s="113" t="n"/>
      <c r="S1087" s="113" t="n"/>
      <c r="T1087" s="113" t="n"/>
      <c r="U1087" s="113" t="n"/>
      <c r="V1087" s="113" t="n"/>
      <c r="W1087" s="113" t="n"/>
      <c r="X1087" s="113" t="n"/>
      <c r="Y1087" s="113" t="n"/>
      <c r="Z1087" s="117">
        <f>IF($B1087="",0,IF($S1087="EVET",IF($D1087="GELİR",$O1087,-$O1087),0))</f>
        <v/>
      </c>
      <c r="AA1087" s="117">
        <f>IF($B1087="",0,IF(OR($W1087="EVET",$X1087="EVET",$Y1087="EVET"),0,IF($D1087="GELİR",IF($E1087="SATIŞ İADESİ/İSKONTO",-$O1087,$O1087),-$O1087)))</f>
        <v/>
      </c>
      <c r="AB1087" s="117">
        <f>IF($B1087="","",IF(OR($D1087="",$E1087="",$O1087=""),"EKSİK",IF($O1087&lt;=0,"SIFIR/NEGATİF",IF(COUNTIFS($C$6:$C$5000,$C1087,$O$6:$O$5000,$O1087,$B$6:$B$5000,$B1087)&gt;1,"MÜKERRER","OK"))))</f>
        <v/>
      </c>
    </row>
    <row r="1088" ht="16.5" customHeight="1" s="80">
      <c r="A1088" s="113" t="n"/>
      <c r="B1088" s="113" t="n"/>
      <c r="C1088" s="113" t="n"/>
      <c r="D1088" s="113" t="n"/>
      <c r="E1088" s="113" t="n"/>
      <c r="F1088" s="113" t="n"/>
      <c r="G1088" s="113" t="n"/>
      <c r="H1088" s="113" t="n"/>
      <c r="I1088" s="113" t="n"/>
      <c r="J1088" s="113" t="n"/>
      <c r="K1088" s="113" t="n"/>
      <c r="L1088" s="113" t="n"/>
      <c r="M1088" s="113" t="n"/>
      <c r="N1088" s="113" t="n"/>
      <c r="O1088" s="113" t="n"/>
      <c r="P1088" s="113" t="n"/>
      <c r="Q1088" s="113" t="n"/>
      <c r="R1088" s="113" t="n"/>
      <c r="S1088" s="113" t="n"/>
      <c r="T1088" s="113" t="n"/>
      <c r="U1088" s="113" t="n"/>
      <c r="V1088" s="113" t="n"/>
      <c r="W1088" s="113" t="n"/>
      <c r="X1088" s="113" t="n"/>
      <c r="Y1088" s="113" t="n"/>
      <c r="Z1088" s="117">
        <f>IF($B1088="",0,IF($S1088="EVET",IF($D1088="GELİR",$O1088,-$O1088),0))</f>
        <v/>
      </c>
      <c r="AA1088" s="117">
        <f>IF($B1088="",0,IF(OR($W1088="EVET",$X1088="EVET",$Y1088="EVET"),0,IF($D1088="GELİR",IF($E1088="SATIŞ İADESİ/İSKONTO",-$O1088,$O1088),-$O1088)))</f>
        <v/>
      </c>
      <c r="AB1088" s="117">
        <f>IF($B1088="","",IF(OR($D1088="",$E1088="",$O1088=""),"EKSİK",IF($O1088&lt;=0,"SIFIR/NEGATİF",IF(COUNTIFS($C$6:$C$5000,$C1088,$O$6:$O$5000,$O1088,$B$6:$B$5000,$B1088)&gt;1,"MÜKERRER","OK"))))</f>
        <v/>
      </c>
    </row>
    <row r="1089" ht="16.5" customHeight="1" s="80">
      <c r="A1089" s="113" t="n"/>
      <c r="B1089" s="113" t="n"/>
      <c r="C1089" s="113" t="n"/>
      <c r="D1089" s="113" t="n"/>
      <c r="E1089" s="113" t="n"/>
      <c r="F1089" s="113" t="n"/>
      <c r="G1089" s="113" t="n"/>
      <c r="H1089" s="113" t="n"/>
      <c r="I1089" s="113" t="n"/>
      <c r="J1089" s="113" t="n"/>
      <c r="K1089" s="113" t="n"/>
      <c r="L1089" s="113" t="n"/>
      <c r="M1089" s="113" t="n"/>
      <c r="N1089" s="113" t="n"/>
      <c r="O1089" s="113" t="n"/>
      <c r="P1089" s="113" t="n"/>
      <c r="Q1089" s="113" t="n"/>
      <c r="R1089" s="113" t="n"/>
      <c r="S1089" s="113" t="n"/>
      <c r="T1089" s="113" t="n"/>
      <c r="U1089" s="113" t="n"/>
      <c r="V1089" s="113" t="n"/>
      <c r="W1089" s="113" t="n"/>
      <c r="X1089" s="113" t="n"/>
      <c r="Y1089" s="113" t="n"/>
      <c r="Z1089" s="117">
        <f>IF($B1089="",0,IF($S1089="EVET",IF($D1089="GELİR",$O1089,-$O1089),0))</f>
        <v/>
      </c>
      <c r="AA1089" s="117">
        <f>IF($B1089="",0,IF(OR($W1089="EVET",$X1089="EVET",$Y1089="EVET"),0,IF($D1089="GELİR",IF($E1089="SATIŞ İADESİ/İSKONTO",-$O1089,$O1089),-$O1089)))</f>
        <v/>
      </c>
      <c r="AB1089" s="117">
        <f>IF($B1089="","",IF(OR($D1089="",$E1089="",$O1089=""),"EKSİK",IF($O1089&lt;=0,"SIFIR/NEGATİF",IF(COUNTIFS($C$6:$C$5000,$C1089,$O$6:$O$5000,$O1089,$B$6:$B$5000,$B1089)&gt;1,"MÜKERRER","OK"))))</f>
        <v/>
      </c>
    </row>
    <row r="1090" ht="16.5" customHeight="1" s="80">
      <c r="A1090" s="113" t="n"/>
      <c r="B1090" s="113" t="n"/>
      <c r="C1090" s="113" t="n"/>
      <c r="D1090" s="113" t="n"/>
      <c r="E1090" s="113" t="n"/>
      <c r="F1090" s="113" t="n"/>
      <c r="G1090" s="113" t="n"/>
      <c r="H1090" s="113" t="n"/>
      <c r="I1090" s="113" t="n"/>
      <c r="J1090" s="113" t="n"/>
      <c r="K1090" s="113" t="n"/>
      <c r="L1090" s="113" t="n"/>
      <c r="M1090" s="113" t="n"/>
      <c r="N1090" s="113" t="n"/>
      <c r="O1090" s="113" t="n"/>
      <c r="P1090" s="113" t="n"/>
      <c r="Q1090" s="113" t="n"/>
      <c r="R1090" s="113" t="n"/>
      <c r="S1090" s="113" t="n"/>
      <c r="T1090" s="113" t="n"/>
      <c r="U1090" s="113" t="n"/>
      <c r="V1090" s="113" t="n"/>
      <c r="W1090" s="113" t="n"/>
      <c r="X1090" s="113" t="n"/>
      <c r="Y1090" s="113" t="n"/>
      <c r="Z1090" s="117">
        <f>IF($B1090="",0,IF($S1090="EVET",IF($D1090="GELİR",$O1090,-$O1090),0))</f>
        <v/>
      </c>
      <c r="AA1090" s="117">
        <f>IF($B1090="",0,IF(OR($W1090="EVET",$X1090="EVET",$Y1090="EVET"),0,IF($D1090="GELİR",IF($E1090="SATIŞ İADESİ/İSKONTO",-$O1090,$O1090),-$O1090)))</f>
        <v/>
      </c>
      <c r="AB1090" s="117">
        <f>IF($B1090="","",IF(OR($D1090="",$E1090="",$O1090=""),"EKSİK",IF($O1090&lt;=0,"SIFIR/NEGATİF",IF(COUNTIFS($C$6:$C$5000,$C1090,$O$6:$O$5000,$O1090,$B$6:$B$5000,$B1090)&gt;1,"MÜKERRER","OK"))))</f>
        <v/>
      </c>
    </row>
    <row r="1091" ht="16.5" customHeight="1" s="80">
      <c r="A1091" s="113" t="n"/>
      <c r="B1091" s="113" t="n"/>
      <c r="C1091" s="113" t="n"/>
      <c r="D1091" s="113" t="n"/>
      <c r="E1091" s="113" t="n"/>
      <c r="F1091" s="113" t="n"/>
      <c r="G1091" s="113" t="n"/>
      <c r="H1091" s="113" t="n"/>
      <c r="I1091" s="113" t="n"/>
      <c r="J1091" s="113" t="n"/>
      <c r="K1091" s="113" t="n"/>
      <c r="L1091" s="113" t="n"/>
      <c r="M1091" s="113" t="n"/>
      <c r="N1091" s="113" t="n"/>
      <c r="O1091" s="113" t="n"/>
      <c r="P1091" s="113" t="n"/>
      <c r="Q1091" s="113" t="n"/>
      <c r="R1091" s="113" t="n"/>
      <c r="S1091" s="113" t="n"/>
      <c r="T1091" s="113" t="n"/>
      <c r="U1091" s="113" t="n"/>
      <c r="V1091" s="113" t="n"/>
      <c r="W1091" s="113" t="n"/>
      <c r="X1091" s="113" t="n"/>
      <c r="Y1091" s="113" t="n"/>
      <c r="Z1091" s="117">
        <f>IF($B1091="",0,IF($S1091="EVET",IF($D1091="GELİR",$O1091,-$O1091),0))</f>
        <v/>
      </c>
      <c r="AA1091" s="117">
        <f>IF($B1091="",0,IF(OR($W1091="EVET",$X1091="EVET",$Y1091="EVET"),0,IF($D1091="GELİR",IF($E1091="SATIŞ İADESİ/İSKONTO",-$O1091,$O1091),-$O1091)))</f>
        <v/>
      </c>
      <c r="AB1091" s="117">
        <f>IF($B1091="","",IF(OR($D1091="",$E1091="",$O1091=""),"EKSİK",IF($O1091&lt;=0,"SIFIR/NEGATİF",IF(COUNTIFS($C$6:$C$5000,$C1091,$O$6:$O$5000,$O1091,$B$6:$B$5000,$B1091)&gt;1,"MÜKERRER","OK"))))</f>
        <v/>
      </c>
    </row>
    <row r="1092" ht="16.5" customHeight="1" s="80">
      <c r="A1092" s="113" t="n"/>
      <c r="B1092" s="113" t="n"/>
      <c r="C1092" s="113" t="n"/>
      <c r="D1092" s="113" t="n"/>
      <c r="E1092" s="113" t="n"/>
      <c r="F1092" s="113" t="n"/>
      <c r="G1092" s="113" t="n"/>
      <c r="H1092" s="113" t="n"/>
      <c r="I1092" s="113" t="n"/>
      <c r="J1092" s="113" t="n"/>
      <c r="K1092" s="113" t="n"/>
      <c r="L1092" s="113" t="n"/>
      <c r="M1092" s="113" t="n"/>
      <c r="N1092" s="113" t="n"/>
      <c r="O1092" s="113" t="n"/>
      <c r="P1092" s="113" t="n"/>
      <c r="Q1092" s="113" t="n"/>
      <c r="R1092" s="113" t="n"/>
      <c r="S1092" s="113" t="n"/>
      <c r="T1092" s="113" t="n"/>
      <c r="U1092" s="113" t="n"/>
      <c r="V1092" s="113" t="n"/>
      <c r="W1092" s="113" t="n"/>
      <c r="X1092" s="113" t="n"/>
      <c r="Y1092" s="113" t="n"/>
      <c r="Z1092" s="117">
        <f>IF($B1092="",0,IF($S1092="EVET",IF($D1092="GELİR",$O1092,-$O1092),0))</f>
        <v/>
      </c>
      <c r="AA1092" s="117">
        <f>IF($B1092="",0,IF(OR($W1092="EVET",$X1092="EVET",$Y1092="EVET"),0,IF($D1092="GELİR",IF($E1092="SATIŞ İADESİ/İSKONTO",-$O1092,$O1092),-$O1092)))</f>
        <v/>
      </c>
      <c r="AB1092" s="117">
        <f>IF($B1092="","",IF(OR($D1092="",$E1092="",$O1092=""),"EKSİK",IF($O1092&lt;=0,"SIFIR/NEGATİF",IF(COUNTIFS($C$6:$C$5000,$C1092,$O$6:$O$5000,$O1092,$B$6:$B$5000,$B1092)&gt;1,"MÜKERRER","OK"))))</f>
        <v/>
      </c>
    </row>
    <row r="1093" ht="16.5" customHeight="1" s="80">
      <c r="A1093" s="113" t="n"/>
      <c r="B1093" s="113" t="n"/>
      <c r="C1093" s="113" t="n"/>
      <c r="D1093" s="113" t="n"/>
      <c r="E1093" s="113" t="n"/>
      <c r="F1093" s="113" t="n"/>
      <c r="G1093" s="113" t="n"/>
      <c r="H1093" s="113" t="n"/>
      <c r="I1093" s="113" t="n"/>
      <c r="J1093" s="113" t="n"/>
      <c r="K1093" s="113" t="n"/>
      <c r="L1093" s="113" t="n"/>
      <c r="M1093" s="113" t="n"/>
      <c r="N1093" s="113" t="n"/>
      <c r="O1093" s="113" t="n"/>
      <c r="P1093" s="113" t="n"/>
      <c r="Q1093" s="113" t="n"/>
      <c r="R1093" s="113" t="n"/>
      <c r="S1093" s="113" t="n"/>
      <c r="T1093" s="113" t="n"/>
      <c r="U1093" s="113" t="n"/>
      <c r="V1093" s="113" t="n"/>
      <c r="W1093" s="113" t="n"/>
      <c r="X1093" s="113" t="n"/>
      <c r="Y1093" s="113" t="n"/>
      <c r="Z1093" s="117">
        <f>IF($B1093="",0,IF($S1093="EVET",IF($D1093="GELİR",$O1093,-$O1093),0))</f>
        <v/>
      </c>
      <c r="AA1093" s="117">
        <f>IF($B1093="",0,IF(OR($W1093="EVET",$X1093="EVET",$Y1093="EVET"),0,IF($D1093="GELİR",IF($E1093="SATIŞ İADESİ/İSKONTO",-$O1093,$O1093),-$O1093)))</f>
        <v/>
      </c>
      <c r="AB1093" s="117">
        <f>IF($B1093="","",IF(OR($D1093="",$E1093="",$O1093=""),"EKSİK",IF($O1093&lt;=0,"SIFIR/NEGATİF",IF(COUNTIFS($C$6:$C$5000,$C1093,$O$6:$O$5000,$O1093,$B$6:$B$5000,$B1093)&gt;1,"MÜKERRER","OK"))))</f>
        <v/>
      </c>
    </row>
    <row r="1094" ht="16.5" customHeight="1" s="80">
      <c r="A1094" s="113" t="n"/>
      <c r="B1094" s="113" t="n"/>
      <c r="C1094" s="113" t="n"/>
      <c r="D1094" s="113" t="n"/>
      <c r="E1094" s="113" t="n"/>
      <c r="F1094" s="113" t="n"/>
      <c r="G1094" s="113" t="n"/>
      <c r="H1094" s="113" t="n"/>
      <c r="I1094" s="113" t="n"/>
      <c r="J1094" s="113" t="n"/>
      <c r="K1094" s="113" t="n"/>
      <c r="L1094" s="113" t="n"/>
      <c r="M1094" s="113" t="n"/>
      <c r="N1094" s="113" t="n"/>
      <c r="O1094" s="113" t="n"/>
      <c r="P1094" s="113" t="n"/>
      <c r="Q1094" s="113" t="n"/>
      <c r="R1094" s="113" t="n"/>
      <c r="S1094" s="113" t="n"/>
      <c r="T1094" s="113" t="n"/>
      <c r="U1094" s="113" t="n"/>
      <c r="V1094" s="113" t="n"/>
      <c r="W1094" s="113" t="n"/>
      <c r="X1094" s="113" t="n"/>
      <c r="Y1094" s="113" t="n"/>
      <c r="Z1094" s="117">
        <f>IF($B1094="",0,IF($S1094="EVET",IF($D1094="GELİR",$O1094,-$O1094),0))</f>
        <v/>
      </c>
      <c r="AA1094" s="117">
        <f>IF($B1094="",0,IF(OR($W1094="EVET",$X1094="EVET",$Y1094="EVET"),0,IF($D1094="GELİR",IF($E1094="SATIŞ İADESİ/İSKONTO",-$O1094,$O1094),-$O1094)))</f>
        <v/>
      </c>
      <c r="AB1094" s="117">
        <f>IF($B1094="","",IF(OR($D1094="",$E1094="",$O1094=""),"EKSİK",IF($O1094&lt;=0,"SIFIR/NEGATİF",IF(COUNTIFS($C$6:$C$5000,$C1094,$O$6:$O$5000,$O1094,$B$6:$B$5000,$B1094)&gt;1,"MÜKERRER","OK"))))</f>
        <v/>
      </c>
    </row>
    <row r="1095" ht="16.5" customHeight="1" s="80">
      <c r="A1095" s="113" t="n"/>
      <c r="B1095" s="113" t="n"/>
      <c r="C1095" s="113" t="n"/>
      <c r="D1095" s="113" t="n"/>
      <c r="E1095" s="113" t="n"/>
      <c r="F1095" s="113" t="n"/>
      <c r="G1095" s="113" t="n"/>
      <c r="H1095" s="113" t="n"/>
      <c r="I1095" s="113" t="n"/>
      <c r="J1095" s="113" t="n"/>
      <c r="K1095" s="113" t="n"/>
      <c r="L1095" s="113" t="n"/>
      <c r="M1095" s="113" t="n"/>
      <c r="N1095" s="113" t="n"/>
      <c r="O1095" s="113" t="n"/>
      <c r="P1095" s="113" t="n"/>
      <c r="Q1095" s="113" t="n"/>
      <c r="R1095" s="113" t="n"/>
      <c r="S1095" s="113" t="n"/>
      <c r="T1095" s="113" t="n"/>
      <c r="U1095" s="113" t="n"/>
      <c r="V1095" s="113" t="n"/>
      <c r="W1095" s="113" t="n"/>
      <c r="X1095" s="113" t="n"/>
      <c r="Y1095" s="113" t="n"/>
      <c r="Z1095" s="117">
        <f>IF($B1095="",0,IF($S1095="EVET",IF($D1095="GELİR",$O1095,-$O1095),0))</f>
        <v/>
      </c>
      <c r="AA1095" s="117">
        <f>IF($B1095="",0,IF(OR($W1095="EVET",$X1095="EVET",$Y1095="EVET"),0,IF($D1095="GELİR",IF($E1095="SATIŞ İADESİ/İSKONTO",-$O1095,$O1095),-$O1095)))</f>
        <v/>
      </c>
      <c r="AB1095" s="117">
        <f>IF($B1095="","",IF(OR($D1095="",$E1095="",$O1095=""),"EKSİK",IF($O1095&lt;=0,"SIFIR/NEGATİF",IF(COUNTIFS($C$6:$C$5000,$C1095,$O$6:$O$5000,$O1095,$B$6:$B$5000,$B1095)&gt;1,"MÜKERRER","OK"))))</f>
        <v/>
      </c>
    </row>
    <row r="1096" ht="16.5" customHeight="1" s="80">
      <c r="A1096" s="113" t="n"/>
      <c r="B1096" s="113" t="n"/>
      <c r="C1096" s="113" t="n"/>
      <c r="D1096" s="113" t="n"/>
      <c r="E1096" s="113" t="n"/>
      <c r="F1096" s="113" t="n"/>
      <c r="G1096" s="113" t="n"/>
      <c r="H1096" s="113" t="n"/>
      <c r="I1096" s="113" t="n"/>
      <c r="J1096" s="113" t="n"/>
      <c r="K1096" s="113" t="n"/>
      <c r="L1096" s="113" t="n"/>
      <c r="M1096" s="113" t="n"/>
      <c r="N1096" s="113" t="n"/>
      <c r="O1096" s="113" t="n"/>
      <c r="P1096" s="113" t="n"/>
      <c r="Q1096" s="113" t="n"/>
      <c r="R1096" s="113" t="n"/>
      <c r="S1096" s="113" t="n"/>
      <c r="T1096" s="113" t="n"/>
      <c r="U1096" s="113" t="n"/>
      <c r="V1096" s="113" t="n"/>
      <c r="W1096" s="113" t="n"/>
      <c r="X1096" s="113" t="n"/>
      <c r="Y1096" s="113" t="n"/>
      <c r="Z1096" s="117">
        <f>IF($B1096="",0,IF($S1096="EVET",IF($D1096="GELİR",$O1096,-$O1096),0))</f>
        <v/>
      </c>
      <c r="AA1096" s="117">
        <f>IF($B1096="",0,IF(OR($W1096="EVET",$X1096="EVET",$Y1096="EVET"),0,IF($D1096="GELİR",IF($E1096="SATIŞ İADESİ/İSKONTO",-$O1096,$O1096),-$O1096)))</f>
        <v/>
      </c>
      <c r="AB1096" s="117">
        <f>IF($B1096="","",IF(OR($D1096="",$E1096="",$O1096=""),"EKSİK",IF($O1096&lt;=0,"SIFIR/NEGATİF",IF(COUNTIFS($C$6:$C$5000,$C1096,$O$6:$O$5000,$O1096,$B$6:$B$5000,$B1096)&gt;1,"MÜKERRER","OK"))))</f>
        <v/>
      </c>
    </row>
    <row r="1097" ht="16.5" customHeight="1" s="80">
      <c r="A1097" s="113" t="n"/>
      <c r="B1097" s="113" t="n"/>
      <c r="C1097" s="113" t="n"/>
      <c r="D1097" s="113" t="n"/>
      <c r="E1097" s="113" t="n"/>
      <c r="F1097" s="113" t="n"/>
      <c r="G1097" s="113" t="n"/>
      <c r="H1097" s="113" t="n"/>
      <c r="I1097" s="113" t="n"/>
      <c r="J1097" s="113" t="n"/>
      <c r="K1097" s="113" t="n"/>
      <c r="L1097" s="113" t="n"/>
      <c r="M1097" s="113" t="n"/>
      <c r="N1097" s="113" t="n"/>
      <c r="O1097" s="113" t="n"/>
      <c r="P1097" s="113" t="n"/>
      <c r="Q1097" s="113" t="n"/>
      <c r="R1097" s="113" t="n"/>
      <c r="S1097" s="113" t="n"/>
      <c r="T1097" s="113" t="n"/>
      <c r="U1097" s="113" t="n"/>
      <c r="V1097" s="113" t="n"/>
      <c r="W1097" s="113" t="n"/>
      <c r="X1097" s="113" t="n"/>
      <c r="Y1097" s="113" t="n"/>
      <c r="Z1097" s="117">
        <f>IF($B1097="",0,IF($S1097="EVET",IF($D1097="GELİR",$O1097,-$O1097),0))</f>
        <v/>
      </c>
      <c r="AA1097" s="117">
        <f>IF($B1097="",0,IF(OR($W1097="EVET",$X1097="EVET",$Y1097="EVET"),0,IF($D1097="GELİR",IF($E1097="SATIŞ İADESİ/İSKONTO",-$O1097,$O1097),-$O1097)))</f>
        <v/>
      </c>
      <c r="AB1097" s="117">
        <f>IF($B1097="","",IF(OR($D1097="",$E1097="",$O1097=""),"EKSİK",IF($O1097&lt;=0,"SIFIR/NEGATİF",IF(COUNTIFS($C$6:$C$5000,$C1097,$O$6:$O$5000,$O1097,$B$6:$B$5000,$B1097)&gt;1,"MÜKERRER","OK"))))</f>
        <v/>
      </c>
    </row>
    <row r="1098" ht="16.5" customHeight="1" s="80">
      <c r="A1098" s="113" t="n"/>
      <c r="B1098" s="113" t="n"/>
      <c r="C1098" s="113" t="n"/>
      <c r="D1098" s="113" t="n"/>
      <c r="E1098" s="113" t="n"/>
      <c r="F1098" s="113" t="n"/>
      <c r="G1098" s="113" t="n"/>
      <c r="H1098" s="113" t="n"/>
      <c r="I1098" s="113" t="n"/>
      <c r="J1098" s="113" t="n"/>
      <c r="K1098" s="113" t="n"/>
      <c r="L1098" s="113" t="n"/>
      <c r="M1098" s="113" t="n"/>
      <c r="N1098" s="113" t="n"/>
      <c r="O1098" s="113" t="n"/>
      <c r="P1098" s="113" t="n"/>
      <c r="Q1098" s="113" t="n"/>
      <c r="R1098" s="113" t="n"/>
      <c r="S1098" s="113" t="n"/>
      <c r="T1098" s="113" t="n"/>
      <c r="U1098" s="113" t="n"/>
      <c r="V1098" s="113" t="n"/>
      <c r="W1098" s="113" t="n"/>
      <c r="X1098" s="113" t="n"/>
      <c r="Y1098" s="113" t="n"/>
      <c r="Z1098" s="117">
        <f>IF($B1098="",0,IF($S1098="EVET",IF($D1098="GELİR",$O1098,-$O1098),0))</f>
        <v/>
      </c>
      <c r="AA1098" s="117">
        <f>IF($B1098="",0,IF(OR($W1098="EVET",$X1098="EVET",$Y1098="EVET"),0,IF($D1098="GELİR",IF($E1098="SATIŞ İADESİ/İSKONTO",-$O1098,$O1098),-$O1098)))</f>
        <v/>
      </c>
      <c r="AB1098" s="117">
        <f>IF($B1098="","",IF(OR($D1098="",$E1098="",$O1098=""),"EKSİK",IF($O1098&lt;=0,"SIFIR/NEGATİF",IF(COUNTIFS($C$6:$C$5000,$C1098,$O$6:$O$5000,$O1098,$B$6:$B$5000,$B1098)&gt;1,"MÜKERRER","OK"))))</f>
        <v/>
      </c>
    </row>
    <row r="1099" ht="16.5" customHeight="1" s="80">
      <c r="A1099" s="113" t="n"/>
      <c r="B1099" s="113" t="n"/>
      <c r="C1099" s="113" t="n"/>
      <c r="D1099" s="113" t="n"/>
      <c r="E1099" s="113" t="n"/>
      <c r="F1099" s="113" t="n"/>
      <c r="G1099" s="113" t="n"/>
      <c r="H1099" s="113" t="n"/>
      <c r="I1099" s="113" t="n"/>
      <c r="J1099" s="113" t="n"/>
      <c r="K1099" s="113" t="n"/>
      <c r="L1099" s="113" t="n"/>
      <c r="M1099" s="113" t="n"/>
      <c r="N1099" s="113" t="n"/>
      <c r="O1099" s="113" t="n"/>
      <c r="P1099" s="113" t="n"/>
      <c r="Q1099" s="113" t="n"/>
      <c r="R1099" s="113" t="n"/>
      <c r="S1099" s="113" t="n"/>
      <c r="T1099" s="113" t="n"/>
      <c r="U1099" s="113" t="n"/>
      <c r="V1099" s="113" t="n"/>
      <c r="W1099" s="113" t="n"/>
      <c r="X1099" s="113" t="n"/>
      <c r="Y1099" s="113" t="n"/>
      <c r="Z1099" s="117">
        <f>IF($B1099="",0,IF($S1099="EVET",IF($D1099="GELİR",$O1099,-$O1099),0))</f>
        <v/>
      </c>
      <c r="AA1099" s="117">
        <f>IF($B1099="",0,IF(OR($W1099="EVET",$X1099="EVET",$Y1099="EVET"),0,IF($D1099="GELİR",IF($E1099="SATIŞ İADESİ/İSKONTO",-$O1099,$O1099),-$O1099)))</f>
        <v/>
      </c>
      <c r="AB1099" s="117">
        <f>IF($B1099="","",IF(OR($D1099="",$E1099="",$O1099=""),"EKSİK",IF($O1099&lt;=0,"SIFIR/NEGATİF",IF(COUNTIFS($C$6:$C$5000,$C1099,$O$6:$O$5000,$O1099,$B$6:$B$5000,$B1099)&gt;1,"MÜKERRER","OK"))))</f>
        <v/>
      </c>
    </row>
    <row r="1100" ht="16.5" customHeight="1" s="80">
      <c r="A1100" s="113" t="n"/>
      <c r="B1100" s="113" t="n"/>
      <c r="C1100" s="113" t="n"/>
      <c r="D1100" s="113" t="n"/>
      <c r="E1100" s="113" t="n"/>
      <c r="F1100" s="113" t="n"/>
      <c r="G1100" s="113" t="n"/>
      <c r="H1100" s="113" t="n"/>
      <c r="I1100" s="113" t="n"/>
      <c r="J1100" s="113" t="n"/>
      <c r="K1100" s="113" t="n"/>
      <c r="L1100" s="113" t="n"/>
      <c r="M1100" s="113" t="n"/>
      <c r="N1100" s="113" t="n"/>
      <c r="O1100" s="113" t="n"/>
      <c r="P1100" s="113" t="n"/>
      <c r="Q1100" s="113" t="n"/>
      <c r="R1100" s="113" t="n"/>
      <c r="S1100" s="113" t="n"/>
      <c r="T1100" s="113" t="n"/>
      <c r="U1100" s="113" t="n"/>
      <c r="V1100" s="113" t="n"/>
      <c r="W1100" s="113" t="n"/>
      <c r="X1100" s="113" t="n"/>
      <c r="Y1100" s="113" t="n"/>
      <c r="Z1100" s="117">
        <f>IF($B1100="",0,IF($S1100="EVET",IF($D1100="GELİR",$O1100,-$O1100),0))</f>
        <v/>
      </c>
      <c r="AA1100" s="117">
        <f>IF($B1100="",0,IF(OR($W1100="EVET",$X1100="EVET",$Y1100="EVET"),0,IF($D1100="GELİR",IF($E1100="SATIŞ İADESİ/İSKONTO",-$O1100,$O1100),-$O1100)))</f>
        <v/>
      </c>
      <c r="AB1100" s="117">
        <f>IF($B1100="","",IF(OR($D1100="",$E1100="",$O1100=""),"EKSİK",IF($O1100&lt;=0,"SIFIR/NEGATİF",IF(COUNTIFS($C$6:$C$5000,$C1100,$O$6:$O$5000,$O1100,$B$6:$B$5000,$B1100)&gt;1,"MÜKERRER","OK"))))</f>
        <v/>
      </c>
    </row>
    <row r="1101" ht="16.5" customHeight="1" s="80">
      <c r="A1101" s="113" t="n"/>
      <c r="B1101" s="113" t="n"/>
      <c r="C1101" s="113" t="n"/>
      <c r="D1101" s="113" t="n"/>
      <c r="E1101" s="113" t="n"/>
      <c r="F1101" s="113" t="n"/>
      <c r="G1101" s="113" t="n"/>
      <c r="H1101" s="113" t="n"/>
      <c r="I1101" s="113" t="n"/>
      <c r="J1101" s="113" t="n"/>
      <c r="K1101" s="113" t="n"/>
      <c r="L1101" s="113" t="n"/>
      <c r="M1101" s="113" t="n"/>
      <c r="N1101" s="113" t="n"/>
      <c r="O1101" s="113" t="n"/>
      <c r="P1101" s="113" t="n"/>
      <c r="Q1101" s="113" t="n"/>
      <c r="R1101" s="113" t="n"/>
      <c r="S1101" s="113" t="n"/>
      <c r="T1101" s="113" t="n"/>
      <c r="U1101" s="113" t="n"/>
      <c r="V1101" s="113" t="n"/>
      <c r="W1101" s="113" t="n"/>
      <c r="X1101" s="113" t="n"/>
      <c r="Y1101" s="113" t="n"/>
      <c r="Z1101" s="117">
        <f>IF($B1101="",0,IF($S1101="EVET",IF($D1101="GELİR",$O1101,-$O1101),0))</f>
        <v/>
      </c>
      <c r="AA1101" s="117">
        <f>IF($B1101="",0,IF(OR($W1101="EVET",$X1101="EVET",$Y1101="EVET"),0,IF($D1101="GELİR",IF($E1101="SATIŞ İADESİ/İSKONTO",-$O1101,$O1101),-$O1101)))</f>
        <v/>
      </c>
      <c r="AB1101" s="117">
        <f>IF($B1101="","",IF(OR($D1101="",$E1101="",$O1101=""),"EKSİK",IF($O1101&lt;=0,"SIFIR/NEGATİF",IF(COUNTIFS($C$6:$C$5000,$C1101,$O$6:$O$5000,$O1101,$B$6:$B$5000,$B1101)&gt;1,"MÜKERRER","OK"))))</f>
        <v/>
      </c>
    </row>
    <row r="1102" ht="16.5" customHeight="1" s="80">
      <c r="A1102" s="113" t="n"/>
      <c r="B1102" s="113" t="n"/>
      <c r="C1102" s="113" t="n"/>
      <c r="D1102" s="113" t="n"/>
      <c r="E1102" s="113" t="n"/>
      <c r="F1102" s="113" t="n"/>
      <c r="G1102" s="113" t="n"/>
      <c r="H1102" s="113" t="n"/>
      <c r="I1102" s="113" t="n"/>
      <c r="J1102" s="113" t="n"/>
      <c r="K1102" s="113" t="n"/>
      <c r="L1102" s="113" t="n"/>
      <c r="M1102" s="113" t="n"/>
      <c r="N1102" s="113" t="n"/>
      <c r="O1102" s="113" t="n"/>
      <c r="P1102" s="113" t="n"/>
      <c r="Q1102" s="113" t="n"/>
      <c r="R1102" s="113" t="n"/>
      <c r="S1102" s="113" t="n"/>
      <c r="T1102" s="113" t="n"/>
      <c r="U1102" s="113" t="n"/>
      <c r="V1102" s="113" t="n"/>
      <c r="W1102" s="113" t="n"/>
      <c r="X1102" s="113" t="n"/>
      <c r="Y1102" s="113" t="n"/>
      <c r="Z1102" s="117">
        <f>IF($B1102="",0,IF($S1102="EVET",IF($D1102="GELİR",$O1102,-$O1102),0))</f>
        <v/>
      </c>
      <c r="AA1102" s="117">
        <f>IF($B1102="",0,IF(OR($W1102="EVET",$X1102="EVET",$Y1102="EVET"),0,IF($D1102="GELİR",IF($E1102="SATIŞ İADESİ/İSKONTO",-$O1102,$O1102),-$O1102)))</f>
        <v/>
      </c>
      <c r="AB1102" s="117">
        <f>IF($B1102="","",IF(OR($D1102="",$E1102="",$O1102=""),"EKSİK",IF($O1102&lt;=0,"SIFIR/NEGATİF",IF(COUNTIFS($C$6:$C$5000,$C1102,$O$6:$O$5000,$O1102,$B$6:$B$5000,$B1102)&gt;1,"MÜKERRER","OK"))))</f>
        <v/>
      </c>
    </row>
    <row r="1103" ht="16.5" customHeight="1" s="80">
      <c r="A1103" s="113" t="n"/>
      <c r="B1103" s="113" t="n"/>
      <c r="C1103" s="113" t="n"/>
      <c r="D1103" s="113" t="n"/>
      <c r="E1103" s="113" t="n"/>
      <c r="F1103" s="113" t="n"/>
      <c r="G1103" s="113" t="n"/>
      <c r="H1103" s="113" t="n"/>
      <c r="I1103" s="113" t="n"/>
      <c r="J1103" s="113" t="n"/>
      <c r="K1103" s="113" t="n"/>
      <c r="L1103" s="113" t="n"/>
      <c r="M1103" s="113" t="n"/>
      <c r="N1103" s="113" t="n"/>
      <c r="O1103" s="113" t="n"/>
      <c r="P1103" s="113" t="n"/>
      <c r="Q1103" s="113" t="n"/>
      <c r="R1103" s="113" t="n"/>
      <c r="S1103" s="113" t="n"/>
      <c r="T1103" s="113" t="n"/>
      <c r="U1103" s="113" t="n"/>
      <c r="V1103" s="113" t="n"/>
      <c r="W1103" s="113" t="n"/>
      <c r="X1103" s="113" t="n"/>
      <c r="Y1103" s="113" t="n"/>
      <c r="Z1103" s="117">
        <f>IF($B1103="",0,IF($S1103="EVET",IF($D1103="GELİR",$O1103,-$O1103),0))</f>
        <v/>
      </c>
      <c r="AA1103" s="117">
        <f>IF($B1103="",0,IF(OR($W1103="EVET",$X1103="EVET",$Y1103="EVET"),0,IF($D1103="GELİR",IF($E1103="SATIŞ İADESİ/İSKONTO",-$O1103,$O1103),-$O1103)))</f>
        <v/>
      </c>
      <c r="AB1103" s="117">
        <f>IF($B1103="","",IF(OR($D1103="",$E1103="",$O1103=""),"EKSİK",IF($O1103&lt;=0,"SIFIR/NEGATİF",IF(COUNTIFS($C$6:$C$5000,$C1103,$O$6:$O$5000,$O1103,$B$6:$B$5000,$B1103)&gt;1,"MÜKERRER","OK"))))</f>
        <v/>
      </c>
    </row>
    <row r="1104" ht="16.5" customHeight="1" s="80">
      <c r="A1104" s="113" t="n"/>
      <c r="B1104" s="113" t="n"/>
      <c r="C1104" s="113" t="n"/>
      <c r="D1104" s="113" t="n"/>
      <c r="E1104" s="113" t="n"/>
      <c r="F1104" s="113" t="n"/>
      <c r="G1104" s="113" t="n"/>
      <c r="H1104" s="113" t="n"/>
      <c r="I1104" s="113" t="n"/>
      <c r="J1104" s="113" t="n"/>
      <c r="K1104" s="113" t="n"/>
      <c r="L1104" s="113" t="n"/>
      <c r="M1104" s="113" t="n"/>
      <c r="N1104" s="113" t="n"/>
      <c r="O1104" s="113" t="n"/>
      <c r="P1104" s="113" t="n"/>
      <c r="Q1104" s="113" t="n"/>
      <c r="R1104" s="113" t="n"/>
      <c r="S1104" s="113" t="n"/>
      <c r="T1104" s="113" t="n"/>
      <c r="U1104" s="113" t="n"/>
      <c r="V1104" s="113" t="n"/>
      <c r="W1104" s="113" t="n"/>
      <c r="X1104" s="113" t="n"/>
      <c r="Y1104" s="113" t="n"/>
      <c r="Z1104" s="117">
        <f>IF($B1104="",0,IF($S1104="EVET",IF($D1104="GELİR",$O1104,-$O1104),0))</f>
        <v/>
      </c>
      <c r="AA1104" s="117">
        <f>IF($B1104="",0,IF(OR($W1104="EVET",$X1104="EVET",$Y1104="EVET"),0,IF($D1104="GELİR",IF($E1104="SATIŞ İADESİ/İSKONTO",-$O1104,$O1104),-$O1104)))</f>
        <v/>
      </c>
      <c r="AB1104" s="117">
        <f>IF($B1104="","",IF(OR($D1104="",$E1104="",$O1104=""),"EKSİK",IF($O1104&lt;=0,"SIFIR/NEGATİF",IF(COUNTIFS($C$6:$C$5000,$C1104,$O$6:$O$5000,$O1104,$B$6:$B$5000,$B1104)&gt;1,"MÜKERRER","OK"))))</f>
        <v/>
      </c>
    </row>
    <row r="1105" ht="16.5" customHeight="1" s="80">
      <c r="A1105" s="113" t="n"/>
      <c r="B1105" s="113" t="n"/>
      <c r="C1105" s="113" t="n"/>
      <c r="D1105" s="113" t="n"/>
      <c r="E1105" s="113" t="n"/>
      <c r="F1105" s="113" t="n"/>
      <c r="G1105" s="113" t="n"/>
      <c r="H1105" s="113" t="n"/>
      <c r="I1105" s="113" t="n"/>
      <c r="J1105" s="113" t="n"/>
      <c r="K1105" s="113" t="n"/>
      <c r="L1105" s="113" t="n"/>
      <c r="M1105" s="113" t="n"/>
      <c r="N1105" s="113" t="n"/>
      <c r="O1105" s="113" t="n"/>
      <c r="P1105" s="113" t="n"/>
      <c r="Q1105" s="113" t="n"/>
      <c r="R1105" s="113" t="n"/>
      <c r="S1105" s="113" t="n"/>
      <c r="T1105" s="113" t="n"/>
      <c r="U1105" s="113" t="n"/>
      <c r="V1105" s="113" t="n"/>
      <c r="W1105" s="113" t="n"/>
      <c r="X1105" s="113" t="n"/>
      <c r="Y1105" s="113" t="n"/>
      <c r="Z1105" s="117">
        <f>IF($B1105="",0,IF($S1105="EVET",IF($D1105="GELİR",$O1105,-$O1105),0))</f>
        <v/>
      </c>
      <c r="AA1105" s="117">
        <f>IF($B1105="",0,IF(OR($W1105="EVET",$X1105="EVET",$Y1105="EVET"),0,IF($D1105="GELİR",IF($E1105="SATIŞ İADESİ/İSKONTO",-$O1105,$O1105),-$O1105)))</f>
        <v/>
      </c>
      <c r="AB1105" s="117">
        <f>IF($B1105="","",IF(OR($D1105="",$E1105="",$O1105=""),"EKSİK",IF($O1105&lt;=0,"SIFIR/NEGATİF",IF(COUNTIFS($C$6:$C$5000,$C1105,$O$6:$O$5000,$O1105,$B$6:$B$5000,$B1105)&gt;1,"MÜKERRER","OK"))))</f>
        <v/>
      </c>
    </row>
    <row r="1106" ht="16.5" customHeight="1" s="80">
      <c r="A1106" s="113" t="n"/>
      <c r="B1106" s="113" t="n"/>
      <c r="C1106" s="113" t="n"/>
      <c r="D1106" s="113" t="n"/>
      <c r="E1106" s="113" t="n"/>
      <c r="F1106" s="113" t="n"/>
      <c r="G1106" s="113" t="n"/>
      <c r="H1106" s="113" t="n"/>
      <c r="I1106" s="113" t="n"/>
      <c r="J1106" s="113" t="n"/>
      <c r="K1106" s="113" t="n"/>
      <c r="L1106" s="113" t="n"/>
      <c r="M1106" s="113" t="n"/>
      <c r="N1106" s="113" t="n"/>
      <c r="O1106" s="113" t="n"/>
      <c r="P1106" s="113" t="n"/>
      <c r="Q1106" s="113" t="n"/>
      <c r="R1106" s="113" t="n"/>
      <c r="S1106" s="113" t="n"/>
      <c r="T1106" s="113" t="n"/>
      <c r="U1106" s="113" t="n"/>
      <c r="V1106" s="113" t="n"/>
      <c r="W1106" s="113" t="n"/>
      <c r="X1106" s="113" t="n"/>
      <c r="Y1106" s="113" t="n"/>
      <c r="Z1106" s="117">
        <f>IF($B1106="",0,IF($S1106="EVET",IF($D1106="GELİR",$O1106,-$O1106),0))</f>
        <v/>
      </c>
      <c r="AA1106" s="117">
        <f>IF($B1106="",0,IF(OR($W1106="EVET",$X1106="EVET",$Y1106="EVET"),0,IF($D1106="GELİR",IF($E1106="SATIŞ İADESİ/İSKONTO",-$O1106,$O1106),-$O1106)))</f>
        <v/>
      </c>
      <c r="AB1106" s="117">
        <f>IF($B1106="","",IF(OR($D1106="",$E1106="",$O1106=""),"EKSİK",IF($O1106&lt;=0,"SIFIR/NEGATİF",IF(COUNTIFS($C$6:$C$5000,$C1106,$O$6:$O$5000,$O1106,$B$6:$B$5000,$B1106)&gt;1,"MÜKERRER","OK"))))</f>
        <v/>
      </c>
    </row>
    <row r="1107" ht="16.5" customHeight="1" s="80">
      <c r="A1107" s="113" t="n"/>
      <c r="B1107" s="113" t="n"/>
      <c r="C1107" s="113" t="n"/>
      <c r="D1107" s="113" t="n"/>
      <c r="E1107" s="113" t="n"/>
      <c r="F1107" s="113" t="n"/>
      <c r="G1107" s="113" t="n"/>
      <c r="H1107" s="113" t="n"/>
      <c r="I1107" s="113" t="n"/>
      <c r="J1107" s="113" t="n"/>
      <c r="K1107" s="113" t="n"/>
      <c r="L1107" s="113" t="n"/>
      <c r="M1107" s="113" t="n"/>
      <c r="N1107" s="113" t="n"/>
      <c r="O1107" s="113" t="n"/>
      <c r="P1107" s="113" t="n"/>
      <c r="Q1107" s="113" t="n"/>
      <c r="R1107" s="113" t="n"/>
      <c r="S1107" s="113" t="n"/>
      <c r="T1107" s="113" t="n"/>
      <c r="U1107" s="113" t="n"/>
      <c r="V1107" s="113" t="n"/>
      <c r="W1107" s="113" t="n"/>
      <c r="X1107" s="113" t="n"/>
      <c r="Y1107" s="113" t="n"/>
      <c r="Z1107" s="117">
        <f>IF($B1107="",0,IF($S1107="EVET",IF($D1107="GELİR",$O1107,-$O1107),0))</f>
        <v/>
      </c>
      <c r="AA1107" s="117">
        <f>IF($B1107="",0,IF(OR($W1107="EVET",$X1107="EVET",$Y1107="EVET"),0,IF($D1107="GELİR",IF($E1107="SATIŞ İADESİ/İSKONTO",-$O1107,$O1107),-$O1107)))</f>
        <v/>
      </c>
      <c r="AB1107" s="117">
        <f>IF($B1107="","",IF(OR($D1107="",$E1107="",$O1107=""),"EKSİK",IF($O1107&lt;=0,"SIFIR/NEGATİF",IF(COUNTIFS($C$6:$C$5000,$C1107,$O$6:$O$5000,$O1107,$B$6:$B$5000,$B1107)&gt;1,"MÜKERRER","OK"))))</f>
        <v/>
      </c>
    </row>
    <row r="1108" ht="16.5" customHeight="1" s="80">
      <c r="A1108" s="113" t="n"/>
      <c r="B1108" s="113" t="n"/>
      <c r="C1108" s="113" t="n"/>
      <c r="D1108" s="113" t="n"/>
      <c r="E1108" s="113" t="n"/>
      <c r="F1108" s="113" t="n"/>
      <c r="G1108" s="113" t="n"/>
      <c r="H1108" s="113" t="n"/>
      <c r="I1108" s="113" t="n"/>
      <c r="J1108" s="113" t="n"/>
      <c r="K1108" s="113" t="n"/>
      <c r="L1108" s="113" t="n"/>
      <c r="M1108" s="113" t="n"/>
      <c r="N1108" s="113" t="n"/>
      <c r="O1108" s="113" t="n"/>
      <c r="P1108" s="113" t="n"/>
      <c r="Q1108" s="113" t="n"/>
      <c r="R1108" s="113" t="n"/>
      <c r="S1108" s="113" t="n"/>
      <c r="T1108" s="113" t="n"/>
      <c r="U1108" s="113" t="n"/>
      <c r="V1108" s="113" t="n"/>
      <c r="W1108" s="113" t="n"/>
      <c r="X1108" s="113" t="n"/>
      <c r="Y1108" s="113" t="n"/>
      <c r="Z1108" s="117">
        <f>IF($B1108="",0,IF($S1108="EVET",IF($D1108="GELİR",$O1108,-$O1108),0))</f>
        <v/>
      </c>
      <c r="AA1108" s="117">
        <f>IF($B1108="",0,IF(OR($W1108="EVET",$X1108="EVET",$Y1108="EVET"),0,IF($D1108="GELİR",IF($E1108="SATIŞ İADESİ/İSKONTO",-$O1108,$O1108),-$O1108)))</f>
        <v/>
      </c>
      <c r="AB1108" s="117">
        <f>IF($B1108="","",IF(OR($D1108="",$E1108="",$O1108=""),"EKSİK",IF($O1108&lt;=0,"SIFIR/NEGATİF",IF(COUNTIFS($C$6:$C$5000,$C1108,$O$6:$O$5000,$O1108,$B$6:$B$5000,$B1108)&gt;1,"MÜKERRER","OK"))))</f>
        <v/>
      </c>
    </row>
    <row r="1109" ht="16.5" customHeight="1" s="80">
      <c r="A1109" s="113" t="n"/>
      <c r="B1109" s="113" t="n"/>
      <c r="C1109" s="113" t="n"/>
      <c r="D1109" s="113" t="n"/>
      <c r="E1109" s="113" t="n"/>
      <c r="F1109" s="113" t="n"/>
      <c r="G1109" s="113" t="n"/>
      <c r="H1109" s="113" t="n"/>
      <c r="I1109" s="113" t="n"/>
      <c r="J1109" s="113" t="n"/>
      <c r="K1109" s="113" t="n"/>
      <c r="L1109" s="113" t="n"/>
      <c r="M1109" s="113" t="n"/>
      <c r="N1109" s="113" t="n"/>
      <c r="O1109" s="113" t="n"/>
      <c r="P1109" s="113" t="n"/>
      <c r="Q1109" s="113" t="n"/>
      <c r="R1109" s="113" t="n"/>
      <c r="S1109" s="113" t="n"/>
      <c r="T1109" s="113" t="n"/>
      <c r="U1109" s="113" t="n"/>
      <c r="V1109" s="113" t="n"/>
      <c r="W1109" s="113" t="n"/>
      <c r="X1109" s="113" t="n"/>
      <c r="Y1109" s="113" t="n"/>
      <c r="Z1109" s="117">
        <f>IF($B1109="",0,IF($S1109="EVET",IF($D1109="GELİR",$O1109,-$O1109),0))</f>
        <v/>
      </c>
      <c r="AA1109" s="117">
        <f>IF($B1109="",0,IF(OR($W1109="EVET",$X1109="EVET",$Y1109="EVET"),0,IF($D1109="GELİR",IF($E1109="SATIŞ İADESİ/İSKONTO",-$O1109,$O1109),-$O1109)))</f>
        <v/>
      </c>
      <c r="AB1109" s="117">
        <f>IF($B1109="","",IF(OR($D1109="",$E1109="",$O1109=""),"EKSİK",IF($O1109&lt;=0,"SIFIR/NEGATİF",IF(COUNTIFS($C$6:$C$5000,$C1109,$O$6:$O$5000,$O1109,$B$6:$B$5000,$B1109)&gt;1,"MÜKERRER","OK"))))</f>
        <v/>
      </c>
    </row>
    <row r="1110" ht="16.5" customHeight="1" s="80">
      <c r="A1110" s="113" t="n"/>
      <c r="B1110" s="113" t="n"/>
      <c r="C1110" s="113" t="n"/>
      <c r="D1110" s="113" t="n"/>
      <c r="E1110" s="113" t="n"/>
      <c r="F1110" s="113" t="n"/>
      <c r="G1110" s="113" t="n"/>
      <c r="H1110" s="113" t="n"/>
      <c r="I1110" s="113" t="n"/>
      <c r="J1110" s="113" t="n"/>
      <c r="K1110" s="113" t="n"/>
      <c r="L1110" s="113" t="n"/>
      <c r="M1110" s="113" t="n"/>
      <c r="N1110" s="113" t="n"/>
      <c r="O1110" s="113" t="n"/>
      <c r="P1110" s="113" t="n"/>
      <c r="Q1110" s="113" t="n"/>
      <c r="R1110" s="113" t="n"/>
      <c r="S1110" s="113" t="n"/>
      <c r="T1110" s="113" t="n"/>
      <c r="U1110" s="113" t="n"/>
      <c r="V1110" s="113" t="n"/>
      <c r="W1110" s="113" t="n"/>
      <c r="X1110" s="113" t="n"/>
      <c r="Y1110" s="113" t="n"/>
      <c r="Z1110" s="117">
        <f>IF($B1110="",0,IF($S1110="EVET",IF($D1110="GELİR",$O1110,-$O1110),0))</f>
        <v/>
      </c>
      <c r="AA1110" s="117">
        <f>IF($B1110="",0,IF(OR($W1110="EVET",$X1110="EVET",$Y1110="EVET"),0,IF($D1110="GELİR",IF($E1110="SATIŞ İADESİ/İSKONTO",-$O1110,$O1110),-$O1110)))</f>
        <v/>
      </c>
      <c r="AB1110" s="117">
        <f>IF($B1110="","",IF(OR($D1110="",$E1110="",$O1110=""),"EKSİK",IF($O1110&lt;=0,"SIFIR/NEGATİF",IF(COUNTIFS($C$6:$C$5000,$C1110,$O$6:$O$5000,$O1110,$B$6:$B$5000,$B1110)&gt;1,"MÜKERRER","OK"))))</f>
        <v/>
      </c>
    </row>
    <row r="1111" ht="16.5" customHeight="1" s="80">
      <c r="A1111" s="113" t="n"/>
      <c r="B1111" s="113" t="n"/>
      <c r="C1111" s="113" t="n"/>
      <c r="D1111" s="113" t="n"/>
      <c r="E1111" s="113" t="n"/>
      <c r="F1111" s="113" t="n"/>
      <c r="G1111" s="113" t="n"/>
      <c r="H1111" s="113" t="n"/>
      <c r="I1111" s="113" t="n"/>
      <c r="J1111" s="113" t="n"/>
      <c r="K1111" s="113" t="n"/>
      <c r="L1111" s="113" t="n"/>
      <c r="M1111" s="113" t="n"/>
      <c r="N1111" s="113" t="n"/>
      <c r="O1111" s="113" t="n"/>
      <c r="P1111" s="113" t="n"/>
      <c r="Q1111" s="113" t="n"/>
      <c r="R1111" s="113" t="n"/>
      <c r="S1111" s="113" t="n"/>
      <c r="T1111" s="113" t="n"/>
      <c r="U1111" s="113" t="n"/>
      <c r="V1111" s="113" t="n"/>
      <c r="W1111" s="113" t="n"/>
      <c r="X1111" s="113" t="n"/>
      <c r="Y1111" s="113" t="n"/>
      <c r="Z1111" s="117">
        <f>IF($B1111="",0,IF($S1111="EVET",IF($D1111="GELİR",$O1111,-$O1111),0))</f>
        <v/>
      </c>
      <c r="AA1111" s="117">
        <f>IF($B1111="",0,IF(OR($W1111="EVET",$X1111="EVET",$Y1111="EVET"),0,IF($D1111="GELİR",IF($E1111="SATIŞ İADESİ/İSKONTO",-$O1111,$O1111),-$O1111)))</f>
        <v/>
      </c>
      <c r="AB1111" s="117">
        <f>IF($B1111="","",IF(OR($D1111="",$E1111="",$O1111=""),"EKSİK",IF($O1111&lt;=0,"SIFIR/NEGATİF",IF(COUNTIFS($C$6:$C$5000,$C1111,$O$6:$O$5000,$O1111,$B$6:$B$5000,$B1111)&gt;1,"MÜKERRER","OK"))))</f>
        <v/>
      </c>
    </row>
    <row r="1112" ht="16.5" customHeight="1" s="80">
      <c r="A1112" s="113" t="n"/>
      <c r="B1112" s="113" t="n"/>
      <c r="C1112" s="113" t="n"/>
      <c r="D1112" s="113" t="n"/>
      <c r="E1112" s="113" t="n"/>
      <c r="F1112" s="113" t="n"/>
      <c r="G1112" s="113" t="n"/>
      <c r="H1112" s="113" t="n"/>
      <c r="I1112" s="113" t="n"/>
      <c r="J1112" s="113" t="n"/>
      <c r="K1112" s="113" t="n"/>
      <c r="L1112" s="113" t="n"/>
      <c r="M1112" s="113" t="n"/>
      <c r="N1112" s="113" t="n"/>
      <c r="O1112" s="113" t="n"/>
      <c r="P1112" s="113" t="n"/>
      <c r="Q1112" s="113" t="n"/>
      <c r="R1112" s="113" t="n"/>
      <c r="S1112" s="113" t="n"/>
      <c r="T1112" s="113" t="n"/>
      <c r="U1112" s="113" t="n"/>
      <c r="V1112" s="113" t="n"/>
      <c r="W1112" s="113" t="n"/>
      <c r="X1112" s="113" t="n"/>
      <c r="Y1112" s="113" t="n"/>
      <c r="Z1112" s="117">
        <f>IF($B1112="",0,IF($S1112="EVET",IF($D1112="GELİR",$O1112,-$O1112),0))</f>
        <v/>
      </c>
      <c r="AA1112" s="117">
        <f>IF($B1112="",0,IF(OR($W1112="EVET",$X1112="EVET",$Y1112="EVET"),0,IF($D1112="GELİR",IF($E1112="SATIŞ İADESİ/İSKONTO",-$O1112,$O1112),-$O1112)))</f>
        <v/>
      </c>
      <c r="AB1112" s="117">
        <f>IF($B1112="","",IF(OR($D1112="",$E1112="",$O1112=""),"EKSİK",IF($O1112&lt;=0,"SIFIR/NEGATİF",IF(COUNTIFS($C$6:$C$5000,$C1112,$O$6:$O$5000,$O1112,$B$6:$B$5000,$B1112)&gt;1,"MÜKERRER","OK"))))</f>
        <v/>
      </c>
    </row>
    <row r="1113" ht="16.5" customHeight="1" s="80">
      <c r="A1113" s="113" t="n"/>
      <c r="B1113" s="113" t="n"/>
      <c r="C1113" s="113" t="n"/>
      <c r="D1113" s="113" t="n"/>
      <c r="E1113" s="113" t="n"/>
      <c r="F1113" s="113" t="n"/>
      <c r="G1113" s="113" t="n"/>
      <c r="H1113" s="113" t="n"/>
      <c r="I1113" s="113" t="n"/>
      <c r="J1113" s="113" t="n"/>
      <c r="K1113" s="113" t="n"/>
      <c r="L1113" s="113" t="n"/>
      <c r="M1113" s="113" t="n"/>
      <c r="N1113" s="113" t="n"/>
      <c r="O1113" s="113" t="n"/>
      <c r="P1113" s="113" t="n"/>
      <c r="Q1113" s="113" t="n"/>
      <c r="R1113" s="113" t="n"/>
      <c r="S1113" s="113" t="n"/>
      <c r="T1113" s="113" t="n"/>
      <c r="U1113" s="113" t="n"/>
      <c r="V1113" s="113" t="n"/>
      <c r="W1113" s="113" t="n"/>
      <c r="X1113" s="113" t="n"/>
      <c r="Y1113" s="113" t="n"/>
      <c r="Z1113" s="117">
        <f>IF($B1113="",0,IF($S1113="EVET",IF($D1113="GELİR",$O1113,-$O1113),0))</f>
        <v/>
      </c>
      <c r="AA1113" s="117">
        <f>IF($B1113="",0,IF(OR($W1113="EVET",$X1113="EVET",$Y1113="EVET"),0,IF($D1113="GELİR",IF($E1113="SATIŞ İADESİ/İSKONTO",-$O1113,$O1113),-$O1113)))</f>
        <v/>
      </c>
      <c r="AB1113" s="117">
        <f>IF($B1113="","",IF(OR($D1113="",$E1113="",$O1113=""),"EKSİK",IF($O1113&lt;=0,"SIFIR/NEGATİF",IF(COUNTIFS($C$6:$C$5000,$C1113,$O$6:$O$5000,$O1113,$B$6:$B$5000,$B1113)&gt;1,"MÜKERRER","OK"))))</f>
        <v/>
      </c>
    </row>
    <row r="1114" ht="16.5" customHeight="1" s="80">
      <c r="A1114" s="113" t="n"/>
      <c r="B1114" s="113" t="n"/>
      <c r="C1114" s="113" t="n"/>
      <c r="D1114" s="113" t="n"/>
      <c r="E1114" s="113" t="n"/>
      <c r="F1114" s="113" t="n"/>
      <c r="G1114" s="113" t="n"/>
      <c r="H1114" s="113" t="n"/>
      <c r="I1114" s="113" t="n"/>
      <c r="J1114" s="113" t="n"/>
      <c r="K1114" s="113" t="n"/>
      <c r="L1114" s="113" t="n"/>
      <c r="M1114" s="113" t="n"/>
      <c r="N1114" s="113" t="n"/>
      <c r="O1114" s="113" t="n"/>
      <c r="P1114" s="113" t="n"/>
      <c r="Q1114" s="113" t="n"/>
      <c r="R1114" s="113" t="n"/>
      <c r="S1114" s="113" t="n"/>
      <c r="T1114" s="113" t="n"/>
      <c r="U1114" s="113" t="n"/>
      <c r="V1114" s="113" t="n"/>
      <c r="W1114" s="113" t="n"/>
      <c r="X1114" s="113" t="n"/>
      <c r="Y1114" s="113" t="n"/>
      <c r="Z1114" s="117">
        <f>IF($B1114="",0,IF($S1114="EVET",IF($D1114="GELİR",$O1114,-$O1114),0))</f>
        <v/>
      </c>
      <c r="AA1114" s="117">
        <f>IF($B1114="",0,IF(OR($W1114="EVET",$X1114="EVET",$Y1114="EVET"),0,IF($D1114="GELİR",IF($E1114="SATIŞ İADESİ/İSKONTO",-$O1114,$O1114),-$O1114)))</f>
        <v/>
      </c>
      <c r="AB1114" s="117">
        <f>IF($B1114="","",IF(OR($D1114="",$E1114="",$O1114=""),"EKSİK",IF($O1114&lt;=0,"SIFIR/NEGATİF",IF(COUNTIFS($C$6:$C$5000,$C1114,$O$6:$O$5000,$O1114,$B$6:$B$5000,$B1114)&gt;1,"MÜKERRER","OK"))))</f>
        <v/>
      </c>
    </row>
    <row r="1115" ht="16.5" customHeight="1" s="80">
      <c r="A1115" s="113" t="n"/>
      <c r="B1115" s="113" t="n"/>
      <c r="C1115" s="113" t="n"/>
      <c r="D1115" s="113" t="n"/>
      <c r="E1115" s="113" t="n"/>
      <c r="F1115" s="113" t="n"/>
      <c r="G1115" s="113" t="n"/>
      <c r="H1115" s="113" t="n"/>
      <c r="I1115" s="113" t="n"/>
      <c r="J1115" s="113" t="n"/>
      <c r="K1115" s="113" t="n"/>
      <c r="L1115" s="113" t="n"/>
      <c r="M1115" s="113" t="n"/>
      <c r="N1115" s="113" t="n"/>
      <c r="O1115" s="113" t="n"/>
      <c r="P1115" s="113" t="n"/>
      <c r="Q1115" s="113" t="n"/>
      <c r="R1115" s="113" t="n"/>
      <c r="S1115" s="113" t="n"/>
      <c r="T1115" s="113" t="n"/>
      <c r="U1115" s="113" t="n"/>
      <c r="V1115" s="113" t="n"/>
      <c r="W1115" s="113" t="n"/>
      <c r="X1115" s="113" t="n"/>
      <c r="Y1115" s="113" t="n"/>
      <c r="Z1115" s="117">
        <f>IF($B1115="",0,IF($S1115="EVET",IF($D1115="GELİR",$O1115,-$O1115),0))</f>
        <v/>
      </c>
      <c r="AA1115" s="117">
        <f>IF($B1115="",0,IF(OR($W1115="EVET",$X1115="EVET",$Y1115="EVET"),0,IF($D1115="GELİR",IF($E1115="SATIŞ İADESİ/İSKONTO",-$O1115,$O1115),-$O1115)))</f>
        <v/>
      </c>
      <c r="AB1115" s="117">
        <f>IF($B1115="","",IF(OR($D1115="",$E1115="",$O1115=""),"EKSİK",IF($O1115&lt;=0,"SIFIR/NEGATİF",IF(COUNTIFS($C$6:$C$5000,$C1115,$O$6:$O$5000,$O1115,$B$6:$B$5000,$B1115)&gt;1,"MÜKERRER","OK"))))</f>
        <v/>
      </c>
    </row>
    <row r="1116" ht="16.5" customHeight="1" s="80">
      <c r="A1116" s="113" t="n"/>
      <c r="B1116" s="113" t="n"/>
      <c r="C1116" s="113" t="n"/>
      <c r="D1116" s="113" t="n"/>
      <c r="E1116" s="113" t="n"/>
      <c r="F1116" s="113" t="n"/>
      <c r="G1116" s="113" t="n"/>
      <c r="H1116" s="113" t="n"/>
      <c r="I1116" s="113" t="n"/>
      <c r="J1116" s="113" t="n"/>
      <c r="K1116" s="113" t="n"/>
      <c r="L1116" s="113" t="n"/>
      <c r="M1116" s="113" t="n"/>
      <c r="N1116" s="113" t="n"/>
      <c r="O1116" s="113" t="n"/>
      <c r="P1116" s="113" t="n"/>
      <c r="Q1116" s="113" t="n"/>
      <c r="R1116" s="113" t="n"/>
      <c r="S1116" s="113" t="n"/>
      <c r="T1116" s="113" t="n"/>
      <c r="U1116" s="113" t="n"/>
      <c r="V1116" s="113" t="n"/>
      <c r="W1116" s="113" t="n"/>
      <c r="X1116" s="113" t="n"/>
      <c r="Y1116" s="113" t="n"/>
      <c r="Z1116" s="117">
        <f>IF($B1116="",0,IF($S1116="EVET",IF($D1116="GELİR",$O1116,-$O1116),0))</f>
        <v/>
      </c>
      <c r="AA1116" s="117">
        <f>IF($B1116="",0,IF(OR($W1116="EVET",$X1116="EVET",$Y1116="EVET"),0,IF($D1116="GELİR",IF($E1116="SATIŞ İADESİ/İSKONTO",-$O1116,$O1116),-$O1116)))</f>
        <v/>
      </c>
      <c r="AB1116" s="117">
        <f>IF($B1116="","",IF(OR($D1116="",$E1116="",$O1116=""),"EKSİK",IF($O1116&lt;=0,"SIFIR/NEGATİF",IF(COUNTIFS($C$6:$C$5000,$C1116,$O$6:$O$5000,$O1116,$B$6:$B$5000,$B1116)&gt;1,"MÜKERRER","OK"))))</f>
        <v/>
      </c>
    </row>
    <row r="1117" ht="16.5" customHeight="1" s="80">
      <c r="A1117" s="113" t="n"/>
      <c r="B1117" s="113" t="n"/>
      <c r="C1117" s="113" t="n"/>
      <c r="D1117" s="113" t="n"/>
      <c r="E1117" s="113" t="n"/>
      <c r="F1117" s="113" t="n"/>
      <c r="G1117" s="113" t="n"/>
      <c r="H1117" s="113" t="n"/>
      <c r="I1117" s="113" t="n"/>
      <c r="J1117" s="113" t="n"/>
      <c r="K1117" s="113" t="n"/>
      <c r="L1117" s="113" t="n"/>
      <c r="M1117" s="113" t="n"/>
      <c r="N1117" s="113" t="n"/>
      <c r="O1117" s="113" t="n"/>
      <c r="P1117" s="113" t="n"/>
      <c r="Q1117" s="113" t="n"/>
      <c r="R1117" s="113" t="n"/>
      <c r="S1117" s="113" t="n"/>
      <c r="T1117" s="113" t="n"/>
      <c r="U1117" s="113" t="n"/>
      <c r="V1117" s="113" t="n"/>
      <c r="W1117" s="113" t="n"/>
      <c r="X1117" s="113" t="n"/>
      <c r="Y1117" s="113" t="n"/>
      <c r="Z1117" s="117">
        <f>IF($B1117="",0,IF($S1117="EVET",IF($D1117="GELİR",$O1117,-$O1117),0))</f>
        <v/>
      </c>
      <c r="AA1117" s="117">
        <f>IF($B1117="",0,IF(OR($W1117="EVET",$X1117="EVET",$Y1117="EVET"),0,IF($D1117="GELİR",IF($E1117="SATIŞ İADESİ/İSKONTO",-$O1117,$O1117),-$O1117)))</f>
        <v/>
      </c>
      <c r="AB1117" s="117">
        <f>IF($B1117="","",IF(OR($D1117="",$E1117="",$O1117=""),"EKSİK",IF($O1117&lt;=0,"SIFIR/NEGATİF",IF(COUNTIFS($C$6:$C$5000,$C1117,$O$6:$O$5000,$O1117,$B$6:$B$5000,$B1117)&gt;1,"MÜKERRER","OK"))))</f>
        <v/>
      </c>
    </row>
    <row r="1118" ht="16.5" customHeight="1" s="80">
      <c r="A1118" s="113" t="n"/>
      <c r="B1118" s="113" t="n"/>
      <c r="C1118" s="113" t="n"/>
      <c r="D1118" s="113" t="n"/>
      <c r="E1118" s="113" t="n"/>
      <c r="F1118" s="113" t="n"/>
      <c r="G1118" s="113" t="n"/>
      <c r="H1118" s="113" t="n"/>
      <c r="I1118" s="113" t="n"/>
      <c r="J1118" s="113" t="n"/>
      <c r="K1118" s="113" t="n"/>
      <c r="L1118" s="113" t="n"/>
      <c r="M1118" s="113" t="n"/>
      <c r="N1118" s="113" t="n"/>
      <c r="O1118" s="113" t="n"/>
      <c r="P1118" s="113" t="n"/>
      <c r="Q1118" s="113" t="n"/>
      <c r="R1118" s="113" t="n"/>
      <c r="S1118" s="113" t="n"/>
      <c r="T1118" s="113" t="n"/>
      <c r="U1118" s="113" t="n"/>
      <c r="V1118" s="113" t="n"/>
      <c r="W1118" s="113" t="n"/>
      <c r="X1118" s="113" t="n"/>
      <c r="Y1118" s="113" t="n"/>
      <c r="Z1118" s="117">
        <f>IF($B1118="",0,IF($S1118="EVET",IF($D1118="GELİR",$O1118,-$O1118),0))</f>
        <v/>
      </c>
      <c r="AA1118" s="117">
        <f>IF($B1118="",0,IF(OR($W1118="EVET",$X1118="EVET",$Y1118="EVET"),0,IF($D1118="GELİR",IF($E1118="SATIŞ İADESİ/İSKONTO",-$O1118,$O1118),-$O1118)))</f>
        <v/>
      </c>
      <c r="AB1118" s="117">
        <f>IF($B1118="","",IF(OR($D1118="",$E1118="",$O1118=""),"EKSİK",IF($O1118&lt;=0,"SIFIR/NEGATİF",IF(COUNTIFS($C$6:$C$5000,$C1118,$O$6:$O$5000,$O1118,$B$6:$B$5000,$B1118)&gt;1,"MÜKERRER","OK"))))</f>
        <v/>
      </c>
    </row>
    <row r="1119" ht="16.5" customHeight="1" s="80">
      <c r="A1119" s="113" t="n"/>
      <c r="B1119" s="113" t="n"/>
      <c r="C1119" s="113" t="n"/>
      <c r="D1119" s="113" t="n"/>
      <c r="E1119" s="113" t="n"/>
      <c r="F1119" s="113" t="n"/>
      <c r="G1119" s="113" t="n"/>
      <c r="H1119" s="113" t="n"/>
      <c r="I1119" s="113" t="n"/>
      <c r="J1119" s="113" t="n"/>
      <c r="K1119" s="113" t="n"/>
      <c r="L1119" s="113" t="n"/>
      <c r="M1119" s="113" t="n"/>
      <c r="N1119" s="113" t="n"/>
      <c r="O1119" s="113" t="n"/>
      <c r="P1119" s="113" t="n"/>
      <c r="Q1119" s="113" t="n"/>
      <c r="R1119" s="113" t="n"/>
      <c r="S1119" s="113" t="n"/>
      <c r="T1119" s="113" t="n"/>
      <c r="U1119" s="113" t="n"/>
      <c r="V1119" s="113" t="n"/>
      <c r="W1119" s="113" t="n"/>
      <c r="X1119" s="113" t="n"/>
      <c r="Y1119" s="113" t="n"/>
      <c r="Z1119" s="117">
        <f>IF($B1119="",0,IF($S1119="EVET",IF($D1119="GELİR",$O1119,-$O1119),0))</f>
        <v/>
      </c>
      <c r="AA1119" s="117">
        <f>IF($B1119="",0,IF(OR($W1119="EVET",$X1119="EVET",$Y1119="EVET"),0,IF($D1119="GELİR",IF($E1119="SATIŞ İADESİ/İSKONTO",-$O1119,$O1119),-$O1119)))</f>
        <v/>
      </c>
      <c r="AB1119" s="117">
        <f>IF($B1119="","",IF(OR($D1119="",$E1119="",$O1119=""),"EKSİK",IF($O1119&lt;=0,"SIFIR/NEGATİF",IF(COUNTIFS($C$6:$C$5000,$C1119,$O$6:$O$5000,$O1119,$B$6:$B$5000,$B1119)&gt;1,"MÜKERRER","OK"))))</f>
        <v/>
      </c>
    </row>
    <row r="1120" ht="16.5" customHeight="1" s="80">
      <c r="A1120" s="113" t="n"/>
      <c r="B1120" s="113" t="n"/>
      <c r="C1120" s="113" t="n"/>
      <c r="D1120" s="113" t="n"/>
      <c r="E1120" s="113" t="n"/>
      <c r="F1120" s="113" t="n"/>
      <c r="G1120" s="113" t="n"/>
      <c r="H1120" s="113" t="n"/>
      <c r="I1120" s="113" t="n"/>
      <c r="J1120" s="113" t="n"/>
      <c r="K1120" s="113" t="n"/>
      <c r="L1120" s="113" t="n"/>
      <c r="M1120" s="113" t="n"/>
      <c r="N1120" s="113" t="n"/>
      <c r="O1120" s="113" t="n"/>
      <c r="P1120" s="113" t="n"/>
      <c r="Q1120" s="113" t="n"/>
      <c r="R1120" s="113" t="n"/>
      <c r="S1120" s="113" t="n"/>
      <c r="T1120" s="113" t="n"/>
      <c r="U1120" s="113" t="n"/>
      <c r="V1120" s="113" t="n"/>
      <c r="W1120" s="113" t="n"/>
      <c r="X1120" s="113" t="n"/>
      <c r="Y1120" s="113" t="n"/>
      <c r="Z1120" s="117">
        <f>IF($B1120="",0,IF($S1120="EVET",IF($D1120="GELİR",$O1120,-$O1120),0))</f>
        <v/>
      </c>
      <c r="AA1120" s="117">
        <f>IF($B1120="",0,IF(OR($W1120="EVET",$X1120="EVET",$Y1120="EVET"),0,IF($D1120="GELİR",IF($E1120="SATIŞ İADESİ/İSKONTO",-$O1120,$O1120),-$O1120)))</f>
        <v/>
      </c>
      <c r="AB1120" s="117">
        <f>IF($B1120="","",IF(OR($D1120="",$E1120="",$O1120=""),"EKSİK",IF($O1120&lt;=0,"SIFIR/NEGATİF",IF(COUNTIFS($C$6:$C$5000,$C1120,$O$6:$O$5000,$O1120,$B$6:$B$5000,$B1120)&gt;1,"MÜKERRER","OK"))))</f>
        <v/>
      </c>
    </row>
    <row r="1121" ht="16.5" customHeight="1" s="80">
      <c r="A1121" s="113" t="n"/>
      <c r="B1121" s="113" t="n"/>
      <c r="C1121" s="113" t="n"/>
      <c r="D1121" s="113" t="n"/>
      <c r="E1121" s="113" t="n"/>
      <c r="F1121" s="113" t="n"/>
      <c r="G1121" s="113" t="n"/>
      <c r="H1121" s="113" t="n"/>
      <c r="I1121" s="113" t="n"/>
      <c r="J1121" s="113" t="n"/>
      <c r="K1121" s="113" t="n"/>
      <c r="L1121" s="113" t="n"/>
      <c r="M1121" s="113" t="n"/>
      <c r="N1121" s="113" t="n"/>
      <c r="O1121" s="113" t="n"/>
      <c r="P1121" s="113" t="n"/>
      <c r="Q1121" s="113" t="n"/>
      <c r="R1121" s="113" t="n"/>
      <c r="S1121" s="113" t="n"/>
      <c r="T1121" s="113" t="n"/>
      <c r="U1121" s="113" t="n"/>
      <c r="V1121" s="113" t="n"/>
      <c r="W1121" s="113" t="n"/>
      <c r="X1121" s="113" t="n"/>
      <c r="Y1121" s="113" t="n"/>
      <c r="Z1121" s="117">
        <f>IF($B1121="",0,IF($S1121="EVET",IF($D1121="GELİR",$O1121,-$O1121),0))</f>
        <v/>
      </c>
      <c r="AA1121" s="117">
        <f>IF($B1121="",0,IF(OR($W1121="EVET",$X1121="EVET",$Y1121="EVET"),0,IF($D1121="GELİR",IF($E1121="SATIŞ İADESİ/İSKONTO",-$O1121,$O1121),-$O1121)))</f>
        <v/>
      </c>
      <c r="AB1121" s="117">
        <f>IF($B1121="","",IF(OR($D1121="",$E1121="",$O1121=""),"EKSİK",IF($O1121&lt;=0,"SIFIR/NEGATİF",IF(COUNTIFS($C$6:$C$5000,$C1121,$O$6:$O$5000,$O1121,$B$6:$B$5000,$B1121)&gt;1,"MÜKERRER","OK"))))</f>
        <v/>
      </c>
    </row>
    <row r="1122" ht="16.5" customHeight="1" s="80">
      <c r="A1122" s="113" t="n"/>
      <c r="B1122" s="113" t="n"/>
      <c r="C1122" s="113" t="n"/>
      <c r="D1122" s="113" t="n"/>
      <c r="E1122" s="113" t="n"/>
      <c r="F1122" s="113" t="n"/>
      <c r="G1122" s="113" t="n"/>
      <c r="H1122" s="113" t="n"/>
      <c r="I1122" s="113" t="n"/>
      <c r="J1122" s="113" t="n"/>
      <c r="K1122" s="113" t="n"/>
      <c r="L1122" s="113" t="n"/>
      <c r="M1122" s="113" t="n"/>
      <c r="N1122" s="113" t="n"/>
      <c r="O1122" s="113" t="n"/>
      <c r="P1122" s="113" t="n"/>
      <c r="Q1122" s="113" t="n"/>
      <c r="R1122" s="113" t="n"/>
      <c r="S1122" s="113" t="n"/>
      <c r="T1122" s="113" t="n"/>
      <c r="U1122" s="113" t="n"/>
      <c r="V1122" s="113" t="n"/>
      <c r="W1122" s="113" t="n"/>
      <c r="X1122" s="113" t="n"/>
      <c r="Y1122" s="113" t="n"/>
      <c r="Z1122" s="117">
        <f>IF($B1122="",0,IF($S1122="EVET",IF($D1122="GELİR",$O1122,-$O1122),0))</f>
        <v/>
      </c>
      <c r="AA1122" s="117">
        <f>IF($B1122="",0,IF(OR($W1122="EVET",$X1122="EVET",$Y1122="EVET"),0,IF($D1122="GELİR",IF($E1122="SATIŞ İADESİ/İSKONTO",-$O1122,$O1122),-$O1122)))</f>
        <v/>
      </c>
      <c r="AB1122" s="117">
        <f>IF($B1122="","",IF(OR($D1122="",$E1122="",$O1122=""),"EKSİK",IF($O1122&lt;=0,"SIFIR/NEGATİF",IF(COUNTIFS($C$6:$C$5000,$C1122,$O$6:$O$5000,$O1122,$B$6:$B$5000,$B1122)&gt;1,"MÜKERRER","OK"))))</f>
        <v/>
      </c>
    </row>
    <row r="1123" ht="16.5" customHeight="1" s="80">
      <c r="A1123" s="113" t="n"/>
      <c r="B1123" s="113" t="n"/>
      <c r="C1123" s="113" t="n"/>
      <c r="D1123" s="113" t="n"/>
      <c r="E1123" s="113" t="n"/>
      <c r="F1123" s="113" t="n"/>
      <c r="G1123" s="113" t="n"/>
      <c r="H1123" s="113" t="n"/>
      <c r="I1123" s="113" t="n"/>
      <c r="J1123" s="113" t="n"/>
      <c r="K1123" s="113" t="n"/>
      <c r="L1123" s="113" t="n"/>
      <c r="M1123" s="113" t="n"/>
      <c r="N1123" s="113" t="n"/>
      <c r="O1123" s="113" t="n"/>
      <c r="P1123" s="113" t="n"/>
      <c r="Q1123" s="113" t="n"/>
      <c r="R1123" s="113" t="n"/>
      <c r="S1123" s="113" t="n"/>
      <c r="T1123" s="113" t="n"/>
      <c r="U1123" s="113" t="n"/>
      <c r="V1123" s="113" t="n"/>
      <c r="W1123" s="113" t="n"/>
      <c r="X1123" s="113" t="n"/>
      <c r="Y1123" s="113" t="n"/>
      <c r="Z1123" s="117">
        <f>IF($B1123="",0,IF($S1123="EVET",IF($D1123="GELİR",$O1123,-$O1123),0))</f>
        <v/>
      </c>
      <c r="AA1123" s="117">
        <f>IF($B1123="",0,IF(OR($W1123="EVET",$X1123="EVET",$Y1123="EVET"),0,IF($D1123="GELİR",IF($E1123="SATIŞ İADESİ/İSKONTO",-$O1123,$O1123),-$O1123)))</f>
        <v/>
      </c>
      <c r="AB1123" s="117">
        <f>IF($B1123="","",IF(OR($D1123="",$E1123="",$O1123=""),"EKSİK",IF($O1123&lt;=0,"SIFIR/NEGATİF",IF(COUNTIFS($C$6:$C$5000,$C1123,$O$6:$O$5000,$O1123,$B$6:$B$5000,$B1123)&gt;1,"MÜKERRER","OK"))))</f>
        <v/>
      </c>
    </row>
    <row r="1124" ht="16.5" customHeight="1" s="80">
      <c r="A1124" s="113" t="n"/>
      <c r="B1124" s="113" t="n"/>
      <c r="C1124" s="113" t="n"/>
      <c r="D1124" s="113" t="n"/>
      <c r="E1124" s="113" t="n"/>
      <c r="F1124" s="113" t="n"/>
      <c r="G1124" s="113" t="n"/>
      <c r="H1124" s="113" t="n"/>
      <c r="I1124" s="113" t="n"/>
      <c r="J1124" s="113" t="n"/>
      <c r="K1124" s="113" t="n"/>
      <c r="L1124" s="113" t="n"/>
      <c r="M1124" s="113" t="n"/>
      <c r="N1124" s="113" t="n"/>
      <c r="O1124" s="113" t="n"/>
      <c r="P1124" s="113" t="n"/>
      <c r="Q1124" s="113" t="n"/>
      <c r="R1124" s="113" t="n"/>
      <c r="S1124" s="113" t="n"/>
      <c r="T1124" s="113" t="n"/>
      <c r="U1124" s="113" t="n"/>
      <c r="V1124" s="113" t="n"/>
      <c r="W1124" s="113" t="n"/>
      <c r="X1124" s="113" t="n"/>
      <c r="Y1124" s="113" t="n"/>
      <c r="Z1124" s="117">
        <f>IF($B1124="",0,IF($S1124="EVET",IF($D1124="GELİR",$O1124,-$O1124),0))</f>
        <v/>
      </c>
      <c r="AA1124" s="117">
        <f>IF($B1124="",0,IF(OR($W1124="EVET",$X1124="EVET",$Y1124="EVET"),0,IF($D1124="GELİR",IF($E1124="SATIŞ İADESİ/İSKONTO",-$O1124,$O1124),-$O1124)))</f>
        <v/>
      </c>
      <c r="AB1124" s="117">
        <f>IF($B1124="","",IF(OR($D1124="",$E1124="",$O1124=""),"EKSİK",IF($O1124&lt;=0,"SIFIR/NEGATİF",IF(COUNTIFS($C$6:$C$5000,$C1124,$O$6:$O$5000,$O1124,$B$6:$B$5000,$B1124)&gt;1,"MÜKERRER","OK"))))</f>
        <v/>
      </c>
    </row>
    <row r="1125" ht="16.5" customHeight="1" s="80">
      <c r="A1125" s="113" t="n"/>
      <c r="B1125" s="113" t="n"/>
      <c r="C1125" s="113" t="n"/>
      <c r="D1125" s="113" t="n"/>
      <c r="E1125" s="113" t="n"/>
      <c r="F1125" s="113" t="n"/>
      <c r="G1125" s="113" t="n"/>
      <c r="H1125" s="113" t="n"/>
      <c r="I1125" s="113" t="n"/>
      <c r="J1125" s="113" t="n"/>
      <c r="K1125" s="113" t="n"/>
      <c r="L1125" s="113" t="n"/>
      <c r="M1125" s="113" t="n"/>
      <c r="N1125" s="113" t="n"/>
      <c r="O1125" s="113" t="n"/>
      <c r="P1125" s="113" t="n"/>
      <c r="Q1125" s="113" t="n"/>
      <c r="R1125" s="113" t="n"/>
      <c r="S1125" s="113" t="n"/>
      <c r="T1125" s="113" t="n"/>
      <c r="U1125" s="113" t="n"/>
      <c r="V1125" s="113" t="n"/>
      <c r="W1125" s="113" t="n"/>
      <c r="X1125" s="113" t="n"/>
      <c r="Y1125" s="113" t="n"/>
      <c r="Z1125" s="117">
        <f>IF($B1125="",0,IF($S1125="EVET",IF($D1125="GELİR",$O1125,-$O1125),0))</f>
        <v/>
      </c>
      <c r="AA1125" s="117">
        <f>IF($B1125="",0,IF(OR($W1125="EVET",$X1125="EVET",$Y1125="EVET"),0,IF($D1125="GELİR",IF($E1125="SATIŞ İADESİ/İSKONTO",-$O1125,$O1125),-$O1125)))</f>
        <v/>
      </c>
      <c r="AB1125" s="117">
        <f>IF($B1125="","",IF(OR($D1125="",$E1125="",$O1125=""),"EKSİK",IF($O1125&lt;=0,"SIFIR/NEGATİF",IF(COUNTIFS($C$6:$C$5000,$C1125,$O$6:$O$5000,$O1125,$B$6:$B$5000,$B1125)&gt;1,"MÜKERRER","OK"))))</f>
        <v/>
      </c>
    </row>
    <row r="1126" ht="16.5" customHeight="1" s="80">
      <c r="A1126" s="113" t="n"/>
      <c r="B1126" s="113" t="n"/>
      <c r="C1126" s="113" t="n"/>
      <c r="D1126" s="113" t="n"/>
      <c r="E1126" s="113" t="n"/>
      <c r="F1126" s="113" t="n"/>
      <c r="G1126" s="113" t="n"/>
      <c r="H1126" s="113" t="n"/>
      <c r="I1126" s="113" t="n"/>
      <c r="J1126" s="113" t="n"/>
      <c r="K1126" s="113" t="n"/>
      <c r="L1126" s="113" t="n"/>
      <c r="M1126" s="113" t="n"/>
      <c r="N1126" s="113" t="n"/>
      <c r="O1126" s="113" t="n"/>
      <c r="P1126" s="113" t="n"/>
      <c r="Q1126" s="113" t="n"/>
      <c r="R1126" s="113" t="n"/>
      <c r="S1126" s="113" t="n"/>
      <c r="T1126" s="113" t="n"/>
      <c r="U1126" s="113" t="n"/>
      <c r="V1126" s="113" t="n"/>
      <c r="W1126" s="113" t="n"/>
      <c r="X1126" s="113" t="n"/>
      <c r="Y1126" s="113" t="n"/>
      <c r="Z1126" s="117">
        <f>IF($B1126="",0,IF($S1126="EVET",IF($D1126="GELİR",$O1126,-$O1126),0))</f>
        <v/>
      </c>
      <c r="AA1126" s="117">
        <f>IF($B1126="",0,IF(OR($W1126="EVET",$X1126="EVET",$Y1126="EVET"),0,IF($D1126="GELİR",IF($E1126="SATIŞ İADESİ/İSKONTO",-$O1126,$O1126),-$O1126)))</f>
        <v/>
      </c>
      <c r="AB1126" s="117">
        <f>IF($B1126="","",IF(OR($D1126="",$E1126="",$O1126=""),"EKSİK",IF($O1126&lt;=0,"SIFIR/NEGATİF",IF(COUNTIFS($C$6:$C$5000,$C1126,$O$6:$O$5000,$O1126,$B$6:$B$5000,$B1126)&gt;1,"MÜKERRER","OK"))))</f>
        <v/>
      </c>
    </row>
    <row r="1127" ht="16.5" customHeight="1" s="80">
      <c r="A1127" s="113" t="n"/>
      <c r="B1127" s="113" t="n"/>
      <c r="C1127" s="113" t="n"/>
      <c r="D1127" s="113" t="n"/>
      <c r="E1127" s="113" t="n"/>
      <c r="F1127" s="113" t="n"/>
      <c r="G1127" s="113" t="n"/>
      <c r="H1127" s="113" t="n"/>
      <c r="I1127" s="113" t="n"/>
      <c r="J1127" s="113" t="n"/>
      <c r="K1127" s="113" t="n"/>
      <c r="L1127" s="113" t="n"/>
      <c r="M1127" s="113" t="n"/>
      <c r="N1127" s="113" t="n"/>
      <c r="O1127" s="113" t="n"/>
      <c r="P1127" s="113" t="n"/>
      <c r="Q1127" s="113" t="n"/>
      <c r="R1127" s="113" t="n"/>
      <c r="S1127" s="113" t="n"/>
      <c r="T1127" s="113" t="n"/>
      <c r="U1127" s="113" t="n"/>
      <c r="V1127" s="113" t="n"/>
      <c r="W1127" s="113" t="n"/>
      <c r="X1127" s="113" t="n"/>
      <c r="Y1127" s="113" t="n"/>
      <c r="Z1127" s="117">
        <f>IF($B1127="",0,IF($S1127="EVET",IF($D1127="GELİR",$O1127,-$O1127),0))</f>
        <v/>
      </c>
      <c r="AA1127" s="117">
        <f>IF($B1127="",0,IF(OR($W1127="EVET",$X1127="EVET",$Y1127="EVET"),0,IF($D1127="GELİR",IF($E1127="SATIŞ İADESİ/İSKONTO",-$O1127,$O1127),-$O1127)))</f>
        <v/>
      </c>
      <c r="AB1127" s="117">
        <f>IF($B1127="","",IF(OR($D1127="",$E1127="",$O1127=""),"EKSİK",IF($O1127&lt;=0,"SIFIR/NEGATİF",IF(COUNTIFS($C$6:$C$5000,$C1127,$O$6:$O$5000,$O1127,$B$6:$B$5000,$B1127)&gt;1,"MÜKERRER","OK"))))</f>
        <v/>
      </c>
    </row>
    <row r="1128" ht="16.5" customHeight="1" s="80">
      <c r="A1128" s="113" t="n"/>
      <c r="B1128" s="113" t="n"/>
      <c r="C1128" s="113" t="n"/>
      <c r="D1128" s="113" t="n"/>
      <c r="E1128" s="113" t="n"/>
      <c r="F1128" s="113" t="n"/>
      <c r="G1128" s="113" t="n"/>
      <c r="H1128" s="113" t="n"/>
      <c r="I1128" s="113" t="n"/>
      <c r="J1128" s="113" t="n"/>
      <c r="K1128" s="113" t="n"/>
      <c r="L1128" s="113" t="n"/>
      <c r="M1128" s="113" t="n"/>
      <c r="N1128" s="113" t="n"/>
      <c r="O1128" s="113" t="n"/>
      <c r="P1128" s="113" t="n"/>
      <c r="Q1128" s="113" t="n"/>
      <c r="R1128" s="113" t="n"/>
      <c r="S1128" s="113" t="n"/>
      <c r="T1128" s="113" t="n"/>
      <c r="U1128" s="113" t="n"/>
      <c r="V1128" s="113" t="n"/>
      <c r="W1128" s="113" t="n"/>
      <c r="X1128" s="113" t="n"/>
      <c r="Y1128" s="113" t="n"/>
      <c r="Z1128" s="117">
        <f>IF($B1128="",0,IF($S1128="EVET",IF($D1128="GELİR",$O1128,-$O1128),0))</f>
        <v/>
      </c>
      <c r="AA1128" s="117">
        <f>IF($B1128="",0,IF(OR($W1128="EVET",$X1128="EVET",$Y1128="EVET"),0,IF($D1128="GELİR",IF($E1128="SATIŞ İADESİ/İSKONTO",-$O1128,$O1128),-$O1128)))</f>
        <v/>
      </c>
      <c r="AB1128" s="117">
        <f>IF($B1128="","",IF(OR($D1128="",$E1128="",$O1128=""),"EKSİK",IF($O1128&lt;=0,"SIFIR/NEGATİF",IF(COUNTIFS($C$6:$C$5000,$C1128,$O$6:$O$5000,$O1128,$B$6:$B$5000,$B1128)&gt;1,"MÜKERRER","OK"))))</f>
        <v/>
      </c>
    </row>
    <row r="1129" ht="16.5" customHeight="1" s="80">
      <c r="A1129" s="113" t="n"/>
      <c r="B1129" s="113" t="n"/>
      <c r="C1129" s="113" t="n"/>
      <c r="D1129" s="113" t="n"/>
      <c r="E1129" s="113" t="n"/>
      <c r="F1129" s="113" t="n"/>
      <c r="G1129" s="113" t="n"/>
      <c r="H1129" s="113" t="n"/>
      <c r="I1129" s="113" t="n"/>
      <c r="J1129" s="113" t="n"/>
      <c r="K1129" s="113" t="n"/>
      <c r="L1129" s="113" t="n"/>
      <c r="M1129" s="113" t="n"/>
      <c r="N1129" s="113" t="n"/>
      <c r="O1129" s="113" t="n"/>
      <c r="P1129" s="113" t="n"/>
      <c r="Q1129" s="113" t="n"/>
      <c r="R1129" s="113" t="n"/>
      <c r="S1129" s="113" t="n"/>
      <c r="T1129" s="113" t="n"/>
      <c r="U1129" s="113" t="n"/>
      <c r="V1129" s="113" t="n"/>
      <c r="W1129" s="113" t="n"/>
      <c r="X1129" s="113" t="n"/>
      <c r="Y1129" s="113" t="n"/>
      <c r="Z1129" s="117">
        <f>IF($B1129="",0,IF($S1129="EVET",IF($D1129="GELİR",$O1129,-$O1129),0))</f>
        <v/>
      </c>
      <c r="AA1129" s="117">
        <f>IF($B1129="",0,IF(OR($W1129="EVET",$X1129="EVET",$Y1129="EVET"),0,IF($D1129="GELİR",IF($E1129="SATIŞ İADESİ/İSKONTO",-$O1129,$O1129),-$O1129)))</f>
        <v/>
      </c>
      <c r="AB1129" s="117">
        <f>IF($B1129="","",IF(OR($D1129="",$E1129="",$O1129=""),"EKSİK",IF($O1129&lt;=0,"SIFIR/NEGATİF",IF(COUNTIFS($C$6:$C$5000,$C1129,$O$6:$O$5000,$O1129,$B$6:$B$5000,$B1129)&gt;1,"MÜKERRER","OK"))))</f>
        <v/>
      </c>
    </row>
    <row r="1130" ht="16.5" customHeight="1" s="80">
      <c r="A1130" s="113" t="n"/>
      <c r="B1130" s="113" t="n"/>
      <c r="C1130" s="113" t="n"/>
      <c r="D1130" s="113" t="n"/>
      <c r="E1130" s="113" t="n"/>
      <c r="F1130" s="113" t="n"/>
      <c r="G1130" s="113" t="n"/>
      <c r="H1130" s="113" t="n"/>
      <c r="I1130" s="113" t="n"/>
      <c r="J1130" s="113" t="n"/>
      <c r="K1130" s="113" t="n"/>
      <c r="L1130" s="113" t="n"/>
      <c r="M1130" s="113" t="n"/>
      <c r="N1130" s="113" t="n"/>
      <c r="O1130" s="113" t="n"/>
      <c r="P1130" s="113" t="n"/>
      <c r="Q1130" s="113" t="n"/>
      <c r="R1130" s="113" t="n"/>
      <c r="S1130" s="113" t="n"/>
      <c r="T1130" s="113" t="n"/>
      <c r="U1130" s="113" t="n"/>
      <c r="V1130" s="113" t="n"/>
      <c r="W1130" s="113" t="n"/>
      <c r="X1130" s="113" t="n"/>
      <c r="Y1130" s="113" t="n"/>
      <c r="Z1130" s="117">
        <f>IF($B1130="",0,IF($S1130="EVET",IF($D1130="GELİR",$O1130,-$O1130),0))</f>
        <v/>
      </c>
      <c r="AA1130" s="117">
        <f>IF($B1130="",0,IF(OR($W1130="EVET",$X1130="EVET",$Y1130="EVET"),0,IF($D1130="GELİR",IF($E1130="SATIŞ İADESİ/İSKONTO",-$O1130,$O1130),-$O1130)))</f>
        <v/>
      </c>
      <c r="AB1130" s="117">
        <f>IF($B1130="","",IF(OR($D1130="",$E1130="",$O1130=""),"EKSİK",IF($O1130&lt;=0,"SIFIR/NEGATİF",IF(COUNTIFS($C$6:$C$5000,$C1130,$O$6:$O$5000,$O1130,$B$6:$B$5000,$B1130)&gt;1,"MÜKERRER","OK"))))</f>
        <v/>
      </c>
    </row>
    <row r="1131" ht="16.5" customHeight="1" s="80">
      <c r="A1131" s="113" t="n"/>
      <c r="B1131" s="113" t="n"/>
      <c r="C1131" s="113" t="n"/>
      <c r="D1131" s="113" t="n"/>
      <c r="E1131" s="113" t="n"/>
      <c r="F1131" s="113" t="n"/>
      <c r="G1131" s="113" t="n"/>
      <c r="H1131" s="113" t="n"/>
      <c r="I1131" s="113" t="n"/>
      <c r="J1131" s="113" t="n"/>
      <c r="K1131" s="113" t="n"/>
      <c r="L1131" s="113" t="n"/>
      <c r="M1131" s="113" t="n"/>
      <c r="N1131" s="113" t="n"/>
      <c r="O1131" s="113" t="n"/>
      <c r="P1131" s="113" t="n"/>
      <c r="Q1131" s="113" t="n"/>
      <c r="R1131" s="113" t="n"/>
      <c r="S1131" s="113" t="n"/>
      <c r="T1131" s="113" t="n"/>
      <c r="U1131" s="113" t="n"/>
      <c r="V1131" s="113" t="n"/>
      <c r="W1131" s="113" t="n"/>
      <c r="X1131" s="113" t="n"/>
      <c r="Y1131" s="113" t="n"/>
      <c r="Z1131" s="117">
        <f>IF($B1131="",0,IF($S1131="EVET",IF($D1131="GELİR",$O1131,-$O1131),0))</f>
        <v/>
      </c>
      <c r="AA1131" s="117">
        <f>IF($B1131="",0,IF(OR($W1131="EVET",$X1131="EVET",$Y1131="EVET"),0,IF($D1131="GELİR",IF($E1131="SATIŞ İADESİ/İSKONTO",-$O1131,$O1131),-$O1131)))</f>
        <v/>
      </c>
      <c r="AB1131" s="117">
        <f>IF($B1131="","",IF(OR($D1131="",$E1131="",$O1131=""),"EKSİK",IF($O1131&lt;=0,"SIFIR/NEGATİF",IF(COUNTIFS($C$6:$C$5000,$C1131,$O$6:$O$5000,$O1131,$B$6:$B$5000,$B1131)&gt;1,"MÜKERRER","OK"))))</f>
        <v/>
      </c>
    </row>
    <row r="1132" ht="16.5" customHeight="1" s="80">
      <c r="A1132" s="113" t="n"/>
      <c r="B1132" s="113" t="n"/>
      <c r="C1132" s="113" t="n"/>
      <c r="D1132" s="113" t="n"/>
      <c r="E1132" s="113" t="n"/>
      <c r="F1132" s="113" t="n"/>
      <c r="G1132" s="113" t="n"/>
      <c r="H1132" s="113" t="n"/>
      <c r="I1132" s="113" t="n"/>
      <c r="J1132" s="113" t="n"/>
      <c r="K1132" s="113" t="n"/>
      <c r="L1132" s="113" t="n"/>
      <c r="M1132" s="113" t="n"/>
      <c r="N1132" s="113" t="n"/>
      <c r="O1132" s="113" t="n"/>
      <c r="P1132" s="113" t="n"/>
      <c r="Q1132" s="113" t="n"/>
      <c r="R1132" s="113" t="n"/>
      <c r="S1132" s="113" t="n"/>
      <c r="T1132" s="113" t="n"/>
      <c r="U1132" s="113" t="n"/>
      <c r="V1132" s="113" t="n"/>
      <c r="W1132" s="113" t="n"/>
      <c r="X1132" s="113" t="n"/>
      <c r="Y1132" s="113" t="n"/>
      <c r="Z1132" s="117">
        <f>IF($B1132="",0,IF($S1132="EVET",IF($D1132="GELİR",$O1132,-$O1132),0))</f>
        <v/>
      </c>
      <c r="AA1132" s="117">
        <f>IF($B1132="",0,IF(OR($W1132="EVET",$X1132="EVET",$Y1132="EVET"),0,IF($D1132="GELİR",IF($E1132="SATIŞ İADESİ/İSKONTO",-$O1132,$O1132),-$O1132)))</f>
        <v/>
      </c>
      <c r="AB1132" s="117">
        <f>IF($B1132="","",IF(OR($D1132="",$E1132="",$O1132=""),"EKSİK",IF($O1132&lt;=0,"SIFIR/NEGATİF",IF(COUNTIFS($C$6:$C$5000,$C1132,$O$6:$O$5000,$O1132,$B$6:$B$5000,$B1132)&gt;1,"MÜKERRER","OK"))))</f>
        <v/>
      </c>
    </row>
    <row r="1133" ht="16.5" customHeight="1" s="80">
      <c r="A1133" s="113" t="n"/>
      <c r="B1133" s="113" t="n"/>
      <c r="C1133" s="113" t="n"/>
      <c r="D1133" s="113" t="n"/>
      <c r="E1133" s="113" t="n"/>
      <c r="F1133" s="113" t="n"/>
      <c r="G1133" s="113" t="n"/>
      <c r="H1133" s="113" t="n"/>
      <c r="I1133" s="113" t="n"/>
      <c r="J1133" s="113" t="n"/>
      <c r="K1133" s="113" t="n"/>
      <c r="L1133" s="113" t="n"/>
      <c r="M1133" s="113" t="n"/>
      <c r="N1133" s="113" t="n"/>
      <c r="O1133" s="113" t="n"/>
      <c r="P1133" s="113" t="n"/>
      <c r="Q1133" s="113" t="n"/>
      <c r="R1133" s="113" t="n"/>
      <c r="S1133" s="113" t="n"/>
      <c r="T1133" s="113" t="n"/>
      <c r="U1133" s="113" t="n"/>
      <c r="V1133" s="113" t="n"/>
      <c r="W1133" s="113" t="n"/>
      <c r="X1133" s="113" t="n"/>
      <c r="Y1133" s="113" t="n"/>
      <c r="Z1133" s="117">
        <f>IF($B1133="",0,IF($S1133="EVET",IF($D1133="GELİR",$O1133,-$O1133),0))</f>
        <v/>
      </c>
      <c r="AA1133" s="117">
        <f>IF($B1133="",0,IF(OR($W1133="EVET",$X1133="EVET",$Y1133="EVET"),0,IF($D1133="GELİR",IF($E1133="SATIŞ İADESİ/İSKONTO",-$O1133,$O1133),-$O1133)))</f>
        <v/>
      </c>
      <c r="AB1133" s="117">
        <f>IF($B1133="","",IF(OR($D1133="",$E1133="",$O1133=""),"EKSİK",IF($O1133&lt;=0,"SIFIR/NEGATİF",IF(COUNTIFS($C$6:$C$5000,$C1133,$O$6:$O$5000,$O1133,$B$6:$B$5000,$B1133)&gt;1,"MÜKERRER","OK"))))</f>
        <v/>
      </c>
    </row>
    <row r="1134" ht="16.5" customHeight="1" s="80">
      <c r="A1134" s="113" t="n"/>
      <c r="B1134" s="113" t="n"/>
      <c r="C1134" s="113" t="n"/>
      <c r="D1134" s="113" t="n"/>
      <c r="E1134" s="113" t="n"/>
      <c r="F1134" s="113" t="n"/>
      <c r="G1134" s="113" t="n"/>
      <c r="H1134" s="113" t="n"/>
      <c r="I1134" s="113" t="n"/>
      <c r="J1134" s="113" t="n"/>
      <c r="K1134" s="113" t="n"/>
      <c r="L1134" s="113" t="n"/>
      <c r="M1134" s="113" t="n"/>
      <c r="N1134" s="113" t="n"/>
      <c r="O1134" s="113" t="n"/>
      <c r="P1134" s="113" t="n"/>
      <c r="Q1134" s="113" t="n"/>
      <c r="R1134" s="113" t="n"/>
      <c r="S1134" s="113" t="n"/>
      <c r="T1134" s="113" t="n"/>
      <c r="U1134" s="113" t="n"/>
      <c r="V1134" s="113" t="n"/>
      <c r="W1134" s="113" t="n"/>
      <c r="X1134" s="113" t="n"/>
      <c r="Y1134" s="113" t="n"/>
      <c r="Z1134" s="117">
        <f>IF($B1134="",0,IF($S1134="EVET",IF($D1134="GELİR",$O1134,-$O1134),0))</f>
        <v/>
      </c>
      <c r="AA1134" s="117">
        <f>IF($B1134="",0,IF(OR($W1134="EVET",$X1134="EVET",$Y1134="EVET"),0,IF($D1134="GELİR",IF($E1134="SATIŞ İADESİ/İSKONTO",-$O1134,$O1134),-$O1134)))</f>
        <v/>
      </c>
      <c r="AB1134" s="117">
        <f>IF($B1134="","",IF(OR($D1134="",$E1134="",$O1134=""),"EKSİK",IF($O1134&lt;=0,"SIFIR/NEGATİF",IF(COUNTIFS($C$6:$C$5000,$C1134,$O$6:$O$5000,$O1134,$B$6:$B$5000,$B1134)&gt;1,"MÜKERRER","OK"))))</f>
        <v/>
      </c>
    </row>
    <row r="1135" ht="16.5" customHeight="1" s="80">
      <c r="A1135" s="113" t="n"/>
      <c r="B1135" s="113" t="n"/>
      <c r="C1135" s="113" t="n"/>
      <c r="D1135" s="113" t="n"/>
      <c r="E1135" s="113" t="n"/>
      <c r="F1135" s="113" t="n"/>
      <c r="G1135" s="113" t="n"/>
      <c r="H1135" s="113" t="n"/>
      <c r="I1135" s="113" t="n"/>
      <c r="J1135" s="113" t="n"/>
      <c r="K1135" s="113" t="n"/>
      <c r="L1135" s="113" t="n"/>
      <c r="M1135" s="113" t="n"/>
      <c r="N1135" s="113" t="n"/>
      <c r="O1135" s="113" t="n"/>
      <c r="P1135" s="113" t="n"/>
      <c r="Q1135" s="113" t="n"/>
      <c r="R1135" s="113" t="n"/>
      <c r="S1135" s="113" t="n"/>
      <c r="T1135" s="113" t="n"/>
      <c r="U1135" s="113" t="n"/>
      <c r="V1135" s="113" t="n"/>
      <c r="W1135" s="113" t="n"/>
      <c r="X1135" s="113" t="n"/>
      <c r="Y1135" s="113" t="n"/>
      <c r="Z1135" s="117">
        <f>IF($B1135="",0,IF($S1135="EVET",IF($D1135="GELİR",$O1135,-$O1135),0))</f>
        <v/>
      </c>
      <c r="AA1135" s="117">
        <f>IF($B1135="",0,IF(OR($W1135="EVET",$X1135="EVET",$Y1135="EVET"),0,IF($D1135="GELİR",IF($E1135="SATIŞ İADESİ/İSKONTO",-$O1135,$O1135),-$O1135)))</f>
        <v/>
      </c>
      <c r="AB1135" s="117">
        <f>IF($B1135="","",IF(OR($D1135="",$E1135="",$O1135=""),"EKSİK",IF($O1135&lt;=0,"SIFIR/NEGATİF",IF(COUNTIFS($C$6:$C$5000,$C1135,$O$6:$O$5000,$O1135,$B$6:$B$5000,$B1135)&gt;1,"MÜKERRER","OK"))))</f>
        <v/>
      </c>
    </row>
    <row r="1136" ht="16.5" customHeight="1" s="80">
      <c r="A1136" s="113" t="n"/>
      <c r="B1136" s="113" t="n"/>
      <c r="C1136" s="113" t="n"/>
      <c r="D1136" s="113" t="n"/>
      <c r="E1136" s="113" t="n"/>
      <c r="F1136" s="113" t="n"/>
      <c r="G1136" s="113" t="n"/>
      <c r="H1136" s="113" t="n"/>
      <c r="I1136" s="113" t="n"/>
      <c r="J1136" s="113" t="n"/>
      <c r="K1136" s="113" t="n"/>
      <c r="L1136" s="113" t="n"/>
      <c r="M1136" s="113" t="n"/>
      <c r="N1136" s="113" t="n"/>
      <c r="O1136" s="113" t="n"/>
      <c r="P1136" s="113" t="n"/>
      <c r="Q1136" s="113" t="n"/>
      <c r="R1136" s="113" t="n"/>
      <c r="S1136" s="113" t="n"/>
      <c r="T1136" s="113" t="n"/>
      <c r="U1136" s="113" t="n"/>
      <c r="V1136" s="113" t="n"/>
      <c r="W1136" s="113" t="n"/>
      <c r="X1136" s="113" t="n"/>
      <c r="Y1136" s="113" t="n"/>
      <c r="Z1136" s="117">
        <f>IF($B1136="",0,IF($S1136="EVET",IF($D1136="GELİR",$O1136,-$O1136),0))</f>
        <v/>
      </c>
      <c r="AA1136" s="117">
        <f>IF($B1136="",0,IF(OR($W1136="EVET",$X1136="EVET",$Y1136="EVET"),0,IF($D1136="GELİR",IF($E1136="SATIŞ İADESİ/İSKONTO",-$O1136,$O1136),-$O1136)))</f>
        <v/>
      </c>
      <c r="AB1136" s="117">
        <f>IF($B1136="","",IF(OR($D1136="",$E1136="",$O1136=""),"EKSİK",IF($O1136&lt;=0,"SIFIR/NEGATİF",IF(COUNTIFS($C$6:$C$5000,$C1136,$O$6:$O$5000,$O1136,$B$6:$B$5000,$B1136)&gt;1,"MÜKERRER","OK"))))</f>
        <v/>
      </c>
    </row>
    <row r="1137" ht="16.5" customHeight="1" s="80">
      <c r="A1137" s="113" t="n"/>
      <c r="B1137" s="113" t="n"/>
      <c r="C1137" s="113" t="n"/>
      <c r="D1137" s="113" t="n"/>
      <c r="E1137" s="113" t="n"/>
      <c r="F1137" s="113" t="n"/>
      <c r="G1137" s="113" t="n"/>
      <c r="H1137" s="113" t="n"/>
      <c r="I1137" s="113" t="n"/>
      <c r="J1137" s="113" t="n"/>
      <c r="K1137" s="113" t="n"/>
      <c r="L1137" s="113" t="n"/>
      <c r="M1137" s="113" t="n"/>
      <c r="N1137" s="113" t="n"/>
      <c r="O1137" s="113" t="n"/>
      <c r="P1137" s="113" t="n"/>
      <c r="Q1137" s="113" t="n"/>
      <c r="R1137" s="113" t="n"/>
      <c r="S1137" s="113" t="n"/>
      <c r="T1137" s="113" t="n"/>
      <c r="U1137" s="113" t="n"/>
      <c r="V1137" s="113" t="n"/>
      <c r="W1137" s="113" t="n"/>
      <c r="X1137" s="113" t="n"/>
      <c r="Y1137" s="113" t="n"/>
      <c r="Z1137" s="117">
        <f>IF($B1137="",0,IF($S1137="EVET",IF($D1137="GELİR",$O1137,-$O1137),0))</f>
        <v/>
      </c>
      <c r="AA1137" s="117">
        <f>IF($B1137="",0,IF(OR($W1137="EVET",$X1137="EVET",$Y1137="EVET"),0,IF($D1137="GELİR",IF($E1137="SATIŞ İADESİ/İSKONTO",-$O1137,$O1137),-$O1137)))</f>
        <v/>
      </c>
      <c r="AB1137" s="117">
        <f>IF($B1137="","",IF(OR($D1137="",$E1137="",$O1137=""),"EKSİK",IF($O1137&lt;=0,"SIFIR/NEGATİF",IF(COUNTIFS($C$6:$C$5000,$C1137,$O$6:$O$5000,$O1137,$B$6:$B$5000,$B1137)&gt;1,"MÜKERRER","OK"))))</f>
        <v/>
      </c>
    </row>
    <row r="1138" ht="16.5" customHeight="1" s="80">
      <c r="A1138" s="113" t="n"/>
      <c r="B1138" s="113" t="n"/>
      <c r="C1138" s="113" t="n"/>
      <c r="D1138" s="113" t="n"/>
      <c r="E1138" s="113" t="n"/>
      <c r="F1138" s="113" t="n"/>
      <c r="G1138" s="113" t="n"/>
      <c r="H1138" s="113" t="n"/>
      <c r="I1138" s="113" t="n"/>
      <c r="J1138" s="113" t="n"/>
      <c r="K1138" s="113" t="n"/>
      <c r="L1138" s="113" t="n"/>
      <c r="M1138" s="113" t="n"/>
      <c r="N1138" s="113" t="n"/>
      <c r="O1138" s="113" t="n"/>
      <c r="P1138" s="113" t="n"/>
      <c r="Q1138" s="113" t="n"/>
      <c r="R1138" s="113" t="n"/>
      <c r="S1138" s="113" t="n"/>
      <c r="T1138" s="113" t="n"/>
      <c r="U1138" s="113" t="n"/>
      <c r="V1138" s="113" t="n"/>
      <c r="W1138" s="113" t="n"/>
      <c r="X1138" s="113" t="n"/>
      <c r="Y1138" s="113" t="n"/>
      <c r="Z1138" s="117">
        <f>IF($B1138="",0,IF($S1138="EVET",IF($D1138="GELİR",$O1138,-$O1138),0))</f>
        <v/>
      </c>
      <c r="AA1138" s="117">
        <f>IF($B1138="",0,IF(OR($W1138="EVET",$X1138="EVET",$Y1138="EVET"),0,IF($D1138="GELİR",IF($E1138="SATIŞ İADESİ/İSKONTO",-$O1138,$O1138),-$O1138)))</f>
        <v/>
      </c>
      <c r="AB1138" s="117">
        <f>IF($B1138="","",IF(OR($D1138="",$E1138="",$O1138=""),"EKSİK",IF($O1138&lt;=0,"SIFIR/NEGATİF",IF(COUNTIFS($C$6:$C$5000,$C1138,$O$6:$O$5000,$O1138,$B$6:$B$5000,$B1138)&gt;1,"MÜKERRER","OK"))))</f>
        <v/>
      </c>
    </row>
    <row r="1139" ht="16.5" customHeight="1" s="80">
      <c r="A1139" s="113" t="n"/>
      <c r="B1139" s="113" t="n"/>
      <c r="C1139" s="113" t="n"/>
      <c r="D1139" s="113" t="n"/>
      <c r="E1139" s="113" t="n"/>
      <c r="F1139" s="113" t="n"/>
      <c r="G1139" s="113" t="n"/>
      <c r="H1139" s="113" t="n"/>
      <c r="I1139" s="113" t="n"/>
      <c r="J1139" s="113" t="n"/>
      <c r="K1139" s="113" t="n"/>
      <c r="L1139" s="113" t="n"/>
      <c r="M1139" s="113" t="n"/>
      <c r="N1139" s="113" t="n"/>
      <c r="O1139" s="113" t="n"/>
      <c r="P1139" s="113" t="n"/>
      <c r="Q1139" s="113" t="n"/>
      <c r="R1139" s="113" t="n"/>
      <c r="S1139" s="113" t="n"/>
      <c r="T1139" s="113" t="n"/>
      <c r="U1139" s="113" t="n"/>
      <c r="V1139" s="113" t="n"/>
      <c r="W1139" s="113" t="n"/>
      <c r="X1139" s="113" t="n"/>
      <c r="Y1139" s="113" t="n"/>
      <c r="Z1139" s="117">
        <f>IF($B1139="",0,IF($S1139="EVET",IF($D1139="GELİR",$O1139,-$O1139),0))</f>
        <v/>
      </c>
      <c r="AA1139" s="117">
        <f>IF($B1139="",0,IF(OR($W1139="EVET",$X1139="EVET",$Y1139="EVET"),0,IF($D1139="GELİR",IF($E1139="SATIŞ İADESİ/İSKONTO",-$O1139,$O1139),-$O1139)))</f>
        <v/>
      </c>
      <c r="AB1139" s="117">
        <f>IF($B1139="","",IF(OR($D1139="",$E1139="",$O1139=""),"EKSİK",IF($O1139&lt;=0,"SIFIR/NEGATİF",IF(COUNTIFS($C$6:$C$5000,$C1139,$O$6:$O$5000,$O1139,$B$6:$B$5000,$B1139)&gt;1,"MÜKERRER","OK"))))</f>
        <v/>
      </c>
    </row>
    <row r="1140" ht="16.5" customHeight="1" s="80">
      <c r="A1140" s="113" t="n"/>
      <c r="B1140" s="113" t="n"/>
      <c r="C1140" s="113" t="n"/>
      <c r="D1140" s="113" t="n"/>
      <c r="E1140" s="113" t="n"/>
      <c r="F1140" s="113" t="n"/>
      <c r="G1140" s="113" t="n"/>
      <c r="H1140" s="113" t="n"/>
      <c r="I1140" s="113" t="n"/>
      <c r="J1140" s="113" t="n"/>
      <c r="K1140" s="113" t="n"/>
      <c r="L1140" s="113" t="n"/>
      <c r="M1140" s="113" t="n"/>
      <c r="N1140" s="113" t="n"/>
      <c r="O1140" s="113" t="n"/>
      <c r="P1140" s="113" t="n"/>
      <c r="Q1140" s="113" t="n"/>
      <c r="R1140" s="113" t="n"/>
      <c r="S1140" s="113" t="n"/>
      <c r="T1140" s="113" t="n"/>
      <c r="U1140" s="113" t="n"/>
      <c r="V1140" s="113" t="n"/>
      <c r="W1140" s="113" t="n"/>
      <c r="X1140" s="113" t="n"/>
      <c r="Y1140" s="113" t="n"/>
      <c r="Z1140" s="117">
        <f>IF($B1140="",0,IF($S1140="EVET",IF($D1140="GELİR",$O1140,-$O1140),0))</f>
        <v/>
      </c>
      <c r="AA1140" s="117">
        <f>IF($B1140="",0,IF(OR($W1140="EVET",$X1140="EVET",$Y1140="EVET"),0,IF($D1140="GELİR",IF($E1140="SATIŞ İADESİ/İSKONTO",-$O1140,$O1140),-$O1140)))</f>
        <v/>
      </c>
      <c r="AB1140" s="117">
        <f>IF($B1140="","",IF(OR($D1140="",$E1140="",$O1140=""),"EKSİK",IF($O1140&lt;=0,"SIFIR/NEGATİF",IF(COUNTIFS($C$6:$C$5000,$C1140,$O$6:$O$5000,$O1140,$B$6:$B$5000,$B1140)&gt;1,"MÜKERRER","OK"))))</f>
        <v/>
      </c>
    </row>
    <row r="1141" ht="16.5" customHeight="1" s="80">
      <c r="A1141" s="113" t="n"/>
      <c r="B1141" s="113" t="n"/>
      <c r="C1141" s="113" t="n"/>
      <c r="D1141" s="113" t="n"/>
      <c r="E1141" s="113" t="n"/>
      <c r="F1141" s="113" t="n"/>
      <c r="G1141" s="113" t="n"/>
      <c r="H1141" s="113" t="n"/>
      <c r="I1141" s="113" t="n"/>
      <c r="J1141" s="113" t="n"/>
      <c r="K1141" s="113" t="n"/>
      <c r="L1141" s="113" t="n"/>
      <c r="M1141" s="113" t="n"/>
      <c r="N1141" s="113" t="n"/>
      <c r="O1141" s="113" t="n"/>
      <c r="P1141" s="113" t="n"/>
      <c r="Q1141" s="113" t="n"/>
      <c r="R1141" s="113" t="n"/>
      <c r="S1141" s="113" t="n"/>
      <c r="T1141" s="113" t="n"/>
      <c r="U1141" s="113" t="n"/>
      <c r="V1141" s="113" t="n"/>
      <c r="W1141" s="113" t="n"/>
      <c r="X1141" s="113" t="n"/>
      <c r="Y1141" s="113" t="n"/>
      <c r="Z1141" s="117">
        <f>IF($B1141="",0,IF($S1141="EVET",IF($D1141="GELİR",$O1141,-$O1141),0))</f>
        <v/>
      </c>
      <c r="AA1141" s="117">
        <f>IF($B1141="",0,IF(OR($W1141="EVET",$X1141="EVET",$Y1141="EVET"),0,IF($D1141="GELİR",IF($E1141="SATIŞ İADESİ/İSKONTO",-$O1141,$O1141),-$O1141)))</f>
        <v/>
      </c>
      <c r="AB1141" s="117">
        <f>IF($B1141="","",IF(OR($D1141="",$E1141="",$O1141=""),"EKSİK",IF($O1141&lt;=0,"SIFIR/NEGATİF",IF(COUNTIFS($C$6:$C$5000,$C1141,$O$6:$O$5000,$O1141,$B$6:$B$5000,$B1141)&gt;1,"MÜKERRER","OK"))))</f>
        <v/>
      </c>
    </row>
    <row r="1142" ht="16.5" customHeight="1" s="80">
      <c r="A1142" s="113" t="n"/>
      <c r="B1142" s="113" t="n"/>
      <c r="C1142" s="113" t="n"/>
      <c r="D1142" s="113" t="n"/>
      <c r="E1142" s="113" t="n"/>
      <c r="F1142" s="113" t="n"/>
      <c r="G1142" s="113" t="n"/>
      <c r="H1142" s="113" t="n"/>
      <c r="I1142" s="113" t="n"/>
      <c r="J1142" s="113" t="n"/>
      <c r="K1142" s="113" t="n"/>
      <c r="L1142" s="113" t="n"/>
      <c r="M1142" s="113" t="n"/>
      <c r="N1142" s="113" t="n"/>
      <c r="O1142" s="113" t="n"/>
      <c r="P1142" s="113" t="n"/>
      <c r="Q1142" s="113" t="n"/>
      <c r="R1142" s="113" t="n"/>
      <c r="S1142" s="113" t="n"/>
      <c r="T1142" s="113" t="n"/>
      <c r="U1142" s="113" t="n"/>
      <c r="V1142" s="113" t="n"/>
      <c r="W1142" s="113" t="n"/>
      <c r="X1142" s="113" t="n"/>
      <c r="Y1142" s="113" t="n"/>
      <c r="Z1142" s="117">
        <f>IF($B1142="",0,IF($S1142="EVET",IF($D1142="GELİR",$O1142,-$O1142),0))</f>
        <v/>
      </c>
      <c r="AA1142" s="117">
        <f>IF($B1142="",0,IF(OR($W1142="EVET",$X1142="EVET",$Y1142="EVET"),0,IF($D1142="GELİR",IF($E1142="SATIŞ İADESİ/İSKONTO",-$O1142,$O1142),-$O1142)))</f>
        <v/>
      </c>
      <c r="AB1142" s="117">
        <f>IF($B1142="","",IF(OR($D1142="",$E1142="",$O1142=""),"EKSİK",IF($O1142&lt;=0,"SIFIR/NEGATİF",IF(COUNTIFS($C$6:$C$5000,$C1142,$O$6:$O$5000,$O1142,$B$6:$B$5000,$B1142)&gt;1,"MÜKERRER","OK"))))</f>
        <v/>
      </c>
    </row>
    <row r="1143" ht="16.5" customHeight="1" s="80">
      <c r="A1143" s="113" t="n"/>
      <c r="B1143" s="113" t="n"/>
      <c r="C1143" s="113" t="n"/>
      <c r="D1143" s="113" t="n"/>
      <c r="E1143" s="113" t="n"/>
      <c r="F1143" s="113" t="n"/>
      <c r="G1143" s="113" t="n"/>
      <c r="H1143" s="113" t="n"/>
      <c r="I1143" s="113" t="n"/>
      <c r="J1143" s="113" t="n"/>
      <c r="K1143" s="113" t="n"/>
      <c r="L1143" s="113" t="n"/>
      <c r="M1143" s="113" t="n"/>
      <c r="N1143" s="113" t="n"/>
      <c r="O1143" s="113" t="n"/>
      <c r="P1143" s="113" t="n"/>
      <c r="Q1143" s="113" t="n"/>
      <c r="R1143" s="113" t="n"/>
      <c r="S1143" s="113" t="n"/>
      <c r="T1143" s="113" t="n"/>
      <c r="U1143" s="113" t="n"/>
      <c r="V1143" s="113" t="n"/>
      <c r="W1143" s="113" t="n"/>
      <c r="X1143" s="113" t="n"/>
      <c r="Y1143" s="113" t="n"/>
      <c r="Z1143" s="117">
        <f>IF($B1143="",0,IF($S1143="EVET",IF($D1143="GELİR",$O1143,-$O1143),0))</f>
        <v/>
      </c>
      <c r="AA1143" s="117">
        <f>IF($B1143="",0,IF(OR($W1143="EVET",$X1143="EVET",$Y1143="EVET"),0,IF($D1143="GELİR",IF($E1143="SATIŞ İADESİ/İSKONTO",-$O1143,$O1143),-$O1143)))</f>
        <v/>
      </c>
      <c r="AB1143" s="117">
        <f>IF($B1143="","",IF(OR($D1143="",$E1143="",$O1143=""),"EKSİK",IF($O1143&lt;=0,"SIFIR/NEGATİF",IF(COUNTIFS($C$6:$C$5000,$C1143,$O$6:$O$5000,$O1143,$B$6:$B$5000,$B1143)&gt;1,"MÜKERRER","OK"))))</f>
        <v/>
      </c>
    </row>
    <row r="1144" ht="16.5" customHeight="1" s="80">
      <c r="A1144" s="113" t="n"/>
      <c r="B1144" s="113" t="n"/>
      <c r="C1144" s="113" t="n"/>
      <c r="D1144" s="113" t="n"/>
      <c r="E1144" s="113" t="n"/>
      <c r="F1144" s="113" t="n"/>
      <c r="G1144" s="113" t="n"/>
      <c r="H1144" s="113" t="n"/>
      <c r="I1144" s="113" t="n"/>
      <c r="J1144" s="113" t="n"/>
      <c r="K1144" s="113" t="n"/>
      <c r="L1144" s="113" t="n"/>
      <c r="M1144" s="113" t="n"/>
      <c r="N1144" s="113" t="n"/>
      <c r="O1144" s="113" t="n"/>
      <c r="P1144" s="113" t="n"/>
      <c r="Q1144" s="113" t="n"/>
      <c r="R1144" s="113" t="n"/>
      <c r="S1144" s="113" t="n"/>
      <c r="T1144" s="113" t="n"/>
      <c r="U1144" s="113" t="n"/>
      <c r="V1144" s="113" t="n"/>
      <c r="W1144" s="113" t="n"/>
      <c r="X1144" s="113" t="n"/>
      <c r="Y1144" s="113" t="n"/>
      <c r="Z1144" s="117">
        <f>IF($B1144="",0,IF($S1144="EVET",IF($D1144="GELİR",$O1144,-$O1144),0))</f>
        <v/>
      </c>
      <c r="AA1144" s="117">
        <f>IF($B1144="",0,IF(OR($W1144="EVET",$X1144="EVET",$Y1144="EVET"),0,IF($D1144="GELİR",IF($E1144="SATIŞ İADESİ/İSKONTO",-$O1144,$O1144),-$O1144)))</f>
        <v/>
      </c>
      <c r="AB1144" s="117">
        <f>IF($B1144="","",IF(OR($D1144="",$E1144="",$O1144=""),"EKSİK",IF($O1144&lt;=0,"SIFIR/NEGATİF",IF(COUNTIFS($C$6:$C$5000,$C1144,$O$6:$O$5000,$O1144,$B$6:$B$5000,$B1144)&gt;1,"MÜKERRER","OK"))))</f>
        <v/>
      </c>
    </row>
    <row r="1145" ht="16.5" customHeight="1" s="80">
      <c r="A1145" s="113" t="n"/>
      <c r="B1145" s="113" t="n"/>
      <c r="C1145" s="113" t="n"/>
      <c r="D1145" s="113" t="n"/>
      <c r="E1145" s="113" t="n"/>
      <c r="F1145" s="113" t="n"/>
      <c r="G1145" s="113" t="n"/>
      <c r="H1145" s="113" t="n"/>
      <c r="I1145" s="113" t="n"/>
      <c r="J1145" s="113" t="n"/>
      <c r="K1145" s="113" t="n"/>
      <c r="L1145" s="113" t="n"/>
      <c r="M1145" s="113" t="n"/>
      <c r="N1145" s="113" t="n"/>
      <c r="O1145" s="113" t="n"/>
      <c r="P1145" s="113" t="n"/>
      <c r="Q1145" s="113" t="n"/>
      <c r="R1145" s="113" t="n"/>
      <c r="S1145" s="113" t="n"/>
      <c r="T1145" s="113" t="n"/>
      <c r="U1145" s="113" t="n"/>
      <c r="V1145" s="113" t="n"/>
      <c r="W1145" s="113" t="n"/>
      <c r="X1145" s="113" t="n"/>
      <c r="Y1145" s="113" t="n"/>
      <c r="Z1145" s="117">
        <f>IF($B1145="",0,IF($S1145="EVET",IF($D1145="GELİR",$O1145,-$O1145),0))</f>
        <v/>
      </c>
      <c r="AA1145" s="117">
        <f>IF($B1145="",0,IF(OR($W1145="EVET",$X1145="EVET",$Y1145="EVET"),0,IF($D1145="GELİR",IF($E1145="SATIŞ İADESİ/İSKONTO",-$O1145,$O1145),-$O1145)))</f>
        <v/>
      </c>
      <c r="AB1145" s="117">
        <f>IF($B1145="","",IF(OR($D1145="",$E1145="",$O1145=""),"EKSİK",IF($O1145&lt;=0,"SIFIR/NEGATİF",IF(COUNTIFS($C$6:$C$5000,$C1145,$O$6:$O$5000,$O1145,$B$6:$B$5000,$B1145)&gt;1,"MÜKERRER","OK"))))</f>
        <v/>
      </c>
    </row>
    <row r="1146" ht="16.5" customHeight="1" s="80">
      <c r="A1146" s="113" t="n"/>
      <c r="B1146" s="113" t="n"/>
      <c r="C1146" s="113" t="n"/>
      <c r="D1146" s="113" t="n"/>
      <c r="E1146" s="113" t="n"/>
      <c r="F1146" s="113" t="n"/>
      <c r="G1146" s="113" t="n"/>
      <c r="H1146" s="113" t="n"/>
      <c r="I1146" s="113" t="n"/>
      <c r="J1146" s="113" t="n"/>
      <c r="K1146" s="113" t="n"/>
      <c r="L1146" s="113" t="n"/>
      <c r="M1146" s="113" t="n"/>
      <c r="N1146" s="113" t="n"/>
      <c r="O1146" s="113" t="n"/>
      <c r="P1146" s="113" t="n"/>
      <c r="Q1146" s="113" t="n"/>
      <c r="R1146" s="113" t="n"/>
      <c r="S1146" s="113" t="n"/>
      <c r="T1146" s="113" t="n"/>
      <c r="U1146" s="113" t="n"/>
      <c r="V1146" s="113" t="n"/>
      <c r="W1146" s="113" t="n"/>
      <c r="X1146" s="113" t="n"/>
      <c r="Y1146" s="113" t="n"/>
      <c r="Z1146" s="117">
        <f>IF($B1146="",0,IF($S1146="EVET",IF($D1146="GELİR",$O1146,-$O1146),0))</f>
        <v/>
      </c>
      <c r="AA1146" s="117">
        <f>IF($B1146="",0,IF(OR($W1146="EVET",$X1146="EVET",$Y1146="EVET"),0,IF($D1146="GELİR",IF($E1146="SATIŞ İADESİ/İSKONTO",-$O1146,$O1146),-$O1146)))</f>
        <v/>
      </c>
      <c r="AB1146" s="117">
        <f>IF($B1146="","",IF(OR($D1146="",$E1146="",$O1146=""),"EKSİK",IF($O1146&lt;=0,"SIFIR/NEGATİF",IF(COUNTIFS($C$6:$C$5000,$C1146,$O$6:$O$5000,$O1146,$B$6:$B$5000,$B1146)&gt;1,"MÜKERRER","OK"))))</f>
        <v/>
      </c>
    </row>
    <row r="1147" ht="16.5" customHeight="1" s="80">
      <c r="A1147" s="113" t="n"/>
      <c r="B1147" s="113" t="n"/>
      <c r="C1147" s="113" t="n"/>
      <c r="D1147" s="113" t="n"/>
      <c r="E1147" s="113" t="n"/>
      <c r="F1147" s="113" t="n"/>
      <c r="G1147" s="113" t="n"/>
      <c r="H1147" s="113" t="n"/>
      <c r="I1147" s="113" t="n"/>
      <c r="J1147" s="113" t="n"/>
      <c r="K1147" s="113" t="n"/>
      <c r="L1147" s="113" t="n"/>
      <c r="M1147" s="113" t="n"/>
      <c r="N1147" s="113" t="n"/>
      <c r="O1147" s="113" t="n"/>
      <c r="P1147" s="113" t="n"/>
      <c r="Q1147" s="113" t="n"/>
      <c r="R1147" s="113" t="n"/>
      <c r="S1147" s="113" t="n"/>
      <c r="T1147" s="113" t="n"/>
      <c r="U1147" s="113" t="n"/>
      <c r="V1147" s="113" t="n"/>
      <c r="W1147" s="113" t="n"/>
      <c r="X1147" s="113" t="n"/>
      <c r="Y1147" s="113" t="n"/>
      <c r="Z1147" s="117">
        <f>IF($B1147="",0,IF($S1147="EVET",IF($D1147="GELİR",$O1147,-$O1147),0))</f>
        <v/>
      </c>
      <c r="AA1147" s="117">
        <f>IF($B1147="",0,IF(OR($W1147="EVET",$X1147="EVET",$Y1147="EVET"),0,IF($D1147="GELİR",IF($E1147="SATIŞ İADESİ/İSKONTO",-$O1147,$O1147),-$O1147)))</f>
        <v/>
      </c>
      <c r="AB1147" s="117">
        <f>IF($B1147="","",IF(OR($D1147="",$E1147="",$O1147=""),"EKSİK",IF($O1147&lt;=0,"SIFIR/NEGATİF",IF(COUNTIFS($C$6:$C$5000,$C1147,$O$6:$O$5000,$O1147,$B$6:$B$5000,$B1147)&gt;1,"MÜKERRER","OK"))))</f>
        <v/>
      </c>
    </row>
    <row r="1148" ht="16.5" customHeight="1" s="80">
      <c r="A1148" s="113" t="n"/>
      <c r="B1148" s="113" t="n"/>
      <c r="C1148" s="113" t="n"/>
      <c r="D1148" s="113" t="n"/>
      <c r="E1148" s="113" t="n"/>
      <c r="F1148" s="113" t="n"/>
      <c r="G1148" s="113" t="n"/>
      <c r="H1148" s="113" t="n"/>
      <c r="I1148" s="113" t="n"/>
      <c r="J1148" s="113" t="n"/>
      <c r="K1148" s="113" t="n"/>
      <c r="L1148" s="113" t="n"/>
      <c r="M1148" s="113" t="n"/>
      <c r="N1148" s="113" t="n"/>
      <c r="O1148" s="113" t="n"/>
      <c r="P1148" s="113" t="n"/>
      <c r="Q1148" s="113" t="n"/>
      <c r="R1148" s="113" t="n"/>
      <c r="S1148" s="113" t="n"/>
      <c r="T1148" s="113" t="n"/>
      <c r="U1148" s="113" t="n"/>
      <c r="V1148" s="113" t="n"/>
      <c r="W1148" s="113" t="n"/>
      <c r="X1148" s="113" t="n"/>
      <c r="Y1148" s="113" t="n"/>
      <c r="Z1148" s="117">
        <f>IF($B1148="",0,IF($S1148="EVET",IF($D1148="GELİR",$O1148,-$O1148),0))</f>
        <v/>
      </c>
      <c r="AA1148" s="117">
        <f>IF($B1148="",0,IF(OR($W1148="EVET",$X1148="EVET",$Y1148="EVET"),0,IF($D1148="GELİR",IF($E1148="SATIŞ İADESİ/İSKONTO",-$O1148,$O1148),-$O1148)))</f>
        <v/>
      </c>
      <c r="AB1148" s="117">
        <f>IF($B1148="","",IF(OR($D1148="",$E1148="",$O1148=""),"EKSİK",IF($O1148&lt;=0,"SIFIR/NEGATİF",IF(COUNTIFS($C$6:$C$5000,$C1148,$O$6:$O$5000,$O1148,$B$6:$B$5000,$B1148)&gt;1,"MÜKERRER","OK"))))</f>
        <v/>
      </c>
    </row>
    <row r="1149" ht="16.5" customHeight="1" s="80">
      <c r="A1149" s="113" t="n"/>
      <c r="B1149" s="113" t="n"/>
      <c r="C1149" s="113" t="n"/>
      <c r="D1149" s="113" t="n"/>
      <c r="E1149" s="113" t="n"/>
      <c r="F1149" s="113" t="n"/>
      <c r="G1149" s="113" t="n"/>
      <c r="H1149" s="113" t="n"/>
      <c r="I1149" s="113" t="n"/>
      <c r="J1149" s="113" t="n"/>
      <c r="K1149" s="113" t="n"/>
      <c r="L1149" s="113" t="n"/>
      <c r="M1149" s="113" t="n"/>
      <c r="N1149" s="113" t="n"/>
      <c r="O1149" s="113" t="n"/>
      <c r="P1149" s="113" t="n"/>
      <c r="Q1149" s="113" t="n"/>
      <c r="R1149" s="113" t="n"/>
      <c r="S1149" s="113" t="n"/>
      <c r="T1149" s="113" t="n"/>
      <c r="U1149" s="113" t="n"/>
      <c r="V1149" s="113" t="n"/>
      <c r="W1149" s="113" t="n"/>
      <c r="X1149" s="113" t="n"/>
      <c r="Y1149" s="113" t="n"/>
      <c r="Z1149" s="117">
        <f>IF($B1149="",0,IF($S1149="EVET",IF($D1149="GELİR",$O1149,-$O1149),0))</f>
        <v/>
      </c>
      <c r="AA1149" s="117">
        <f>IF($B1149="",0,IF(OR($W1149="EVET",$X1149="EVET",$Y1149="EVET"),0,IF($D1149="GELİR",IF($E1149="SATIŞ İADESİ/İSKONTO",-$O1149,$O1149),-$O1149)))</f>
        <v/>
      </c>
      <c r="AB1149" s="117">
        <f>IF($B1149="","",IF(OR($D1149="",$E1149="",$O1149=""),"EKSİK",IF($O1149&lt;=0,"SIFIR/NEGATİF",IF(COUNTIFS($C$6:$C$5000,$C1149,$O$6:$O$5000,$O1149,$B$6:$B$5000,$B1149)&gt;1,"MÜKERRER","OK"))))</f>
        <v/>
      </c>
    </row>
    <row r="1150" ht="16.5" customHeight="1" s="80">
      <c r="A1150" s="113" t="n"/>
      <c r="B1150" s="113" t="n"/>
      <c r="C1150" s="113" t="n"/>
      <c r="D1150" s="113" t="n"/>
      <c r="E1150" s="113" t="n"/>
      <c r="F1150" s="113" t="n"/>
      <c r="G1150" s="113" t="n"/>
      <c r="H1150" s="113" t="n"/>
      <c r="I1150" s="113" t="n"/>
      <c r="J1150" s="113" t="n"/>
      <c r="K1150" s="113" t="n"/>
      <c r="L1150" s="113" t="n"/>
      <c r="M1150" s="113" t="n"/>
      <c r="N1150" s="113" t="n"/>
      <c r="O1150" s="113" t="n"/>
      <c r="P1150" s="113" t="n"/>
      <c r="Q1150" s="113" t="n"/>
      <c r="R1150" s="113" t="n"/>
      <c r="S1150" s="113" t="n"/>
      <c r="T1150" s="113" t="n"/>
      <c r="U1150" s="113" t="n"/>
      <c r="V1150" s="113" t="n"/>
      <c r="W1150" s="113" t="n"/>
      <c r="X1150" s="113" t="n"/>
      <c r="Y1150" s="113" t="n"/>
      <c r="Z1150" s="117">
        <f>IF($B1150="",0,IF($S1150="EVET",IF($D1150="GELİR",$O1150,-$O1150),0))</f>
        <v/>
      </c>
      <c r="AA1150" s="117">
        <f>IF($B1150="",0,IF(OR($W1150="EVET",$X1150="EVET",$Y1150="EVET"),0,IF($D1150="GELİR",IF($E1150="SATIŞ İADESİ/İSKONTO",-$O1150,$O1150),-$O1150)))</f>
        <v/>
      </c>
      <c r="AB1150" s="117">
        <f>IF($B1150="","",IF(OR($D1150="",$E1150="",$O1150=""),"EKSİK",IF($O1150&lt;=0,"SIFIR/NEGATİF",IF(COUNTIFS($C$6:$C$5000,$C1150,$O$6:$O$5000,$O1150,$B$6:$B$5000,$B1150)&gt;1,"MÜKERRER","OK"))))</f>
        <v/>
      </c>
    </row>
    <row r="1151" ht="16.5" customHeight="1" s="80">
      <c r="A1151" s="113" t="n"/>
      <c r="B1151" s="113" t="n"/>
      <c r="C1151" s="113" t="n"/>
      <c r="D1151" s="113" t="n"/>
      <c r="E1151" s="113" t="n"/>
      <c r="F1151" s="113" t="n"/>
      <c r="G1151" s="113" t="n"/>
      <c r="H1151" s="113" t="n"/>
      <c r="I1151" s="113" t="n"/>
      <c r="J1151" s="113" t="n"/>
      <c r="K1151" s="113" t="n"/>
      <c r="L1151" s="113" t="n"/>
      <c r="M1151" s="113" t="n"/>
      <c r="N1151" s="113" t="n"/>
      <c r="O1151" s="113" t="n"/>
      <c r="P1151" s="113" t="n"/>
      <c r="Q1151" s="113" t="n"/>
      <c r="R1151" s="113" t="n"/>
      <c r="S1151" s="113" t="n"/>
      <c r="T1151" s="113" t="n"/>
      <c r="U1151" s="113" t="n"/>
      <c r="V1151" s="113" t="n"/>
      <c r="W1151" s="113" t="n"/>
      <c r="X1151" s="113" t="n"/>
      <c r="Y1151" s="113" t="n"/>
      <c r="Z1151" s="117">
        <f>IF($B1151="",0,IF($S1151="EVET",IF($D1151="GELİR",$O1151,-$O1151),0))</f>
        <v/>
      </c>
      <c r="AA1151" s="117">
        <f>IF($B1151="",0,IF(OR($W1151="EVET",$X1151="EVET",$Y1151="EVET"),0,IF($D1151="GELİR",IF($E1151="SATIŞ İADESİ/İSKONTO",-$O1151,$O1151),-$O1151)))</f>
        <v/>
      </c>
      <c r="AB1151" s="117">
        <f>IF($B1151="","",IF(OR($D1151="",$E1151="",$O1151=""),"EKSİK",IF($O1151&lt;=0,"SIFIR/NEGATİF",IF(COUNTIFS($C$6:$C$5000,$C1151,$O$6:$O$5000,$O1151,$B$6:$B$5000,$B1151)&gt;1,"MÜKERRER","OK"))))</f>
        <v/>
      </c>
    </row>
    <row r="1152" ht="16.5" customHeight="1" s="80">
      <c r="A1152" s="113" t="n"/>
      <c r="B1152" s="113" t="n"/>
      <c r="C1152" s="113" t="n"/>
      <c r="D1152" s="113" t="n"/>
      <c r="E1152" s="113" t="n"/>
      <c r="F1152" s="113" t="n"/>
      <c r="G1152" s="113" t="n"/>
      <c r="H1152" s="113" t="n"/>
      <c r="I1152" s="113" t="n"/>
      <c r="J1152" s="113" t="n"/>
      <c r="K1152" s="113" t="n"/>
      <c r="L1152" s="113" t="n"/>
      <c r="M1152" s="113" t="n"/>
      <c r="N1152" s="113" t="n"/>
      <c r="O1152" s="113" t="n"/>
      <c r="P1152" s="113" t="n"/>
      <c r="Q1152" s="113" t="n"/>
      <c r="R1152" s="113" t="n"/>
      <c r="S1152" s="113" t="n"/>
      <c r="T1152" s="113" t="n"/>
      <c r="U1152" s="113" t="n"/>
      <c r="V1152" s="113" t="n"/>
      <c r="W1152" s="113" t="n"/>
      <c r="X1152" s="113" t="n"/>
      <c r="Y1152" s="113" t="n"/>
      <c r="Z1152" s="117">
        <f>IF($B1152="",0,IF($S1152="EVET",IF($D1152="GELİR",$O1152,-$O1152),0))</f>
        <v/>
      </c>
      <c r="AA1152" s="117">
        <f>IF($B1152="",0,IF(OR($W1152="EVET",$X1152="EVET",$Y1152="EVET"),0,IF($D1152="GELİR",IF($E1152="SATIŞ İADESİ/İSKONTO",-$O1152,$O1152),-$O1152)))</f>
        <v/>
      </c>
      <c r="AB1152" s="117">
        <f>IF($B1152="","",IF(OR($D1152="",$E1152="",$O1152=""),"EKSİK",IF($O1152&lt;=0,"SIFIR/NEGATİF",IF(COUNTIFS($C$6:$C$5000,$C1152,$O$6:$O$5000,$O1152,$B$6:$B$5000,$B1152)&gt;1,"MÜKERRER","OK"))))</f>
        <v/>
      </c>
    </row>
    <row r="1153" ht="16.5" customHeight="1" s="80">
      <c r="A1153" s="113" t="n"/>
      <c r="B1153" s="113" t="n"/>
      <c r="C1153" s="113" t="n"/>
      <c r="D1153" s="113" t="n"/>
      <c r="E1153" s="113" t="n"/>
      <c r="F1153" s="113" t="n"/>
      <c r="G1153" s="113" t="n"/>
      <c r="H1153" s="113" t="n"/>
      <c r="I1153" s="113" t="n"/>
      <c r="J1153" s="113" t="n"/>
      <c r="K1153" s="113" t="n"/>
      <c r="L1153" s="113" t="n"/>
      <c r="M1153" s="113" t="n"/>
      <c r="N1153" s="113" t="n"/>
      <c r="O1153" s="113" t="n"/>
      <c r="P1153" s="113" t="n"/>
      <c r="Q1153" s="113" t="n"/>
      <c r="R1153" s="113" t="n"/>
      <c r="S1153" s="113" t="n"/>
      <c r="T1153" s="113" t="n"/>
      <c r="U1153" s="113" t="n"/>
      <c r="V1153" s="113" t="n"/>
      <c r="W1153" s="113" t="n"/>
      <c r="X1153" s="113" t="n"/>
      <c r="Y1153" s="113" t="n"/>
      <c r="Z1153" s="117">
        <f>IF($B1153="",0,IF($S1153="EVET",IF($D1153="GELİR",$O1153,-$O1153),0))</f>
        <v/>
      </c>
      <c r="AA1153" s="117">
        <f>IF($B1153="",0,IF(OR($W1153="EVET",$X1153="EVET",$Y1153="EVET"),0,IF($D1153="GELİR",IF($E1153="SATIŞ İADESİ/İSKONTO",-$O1153,$O1153),-$O1153)))</f>
        <v/>
      </c>
      <c r="AB1153" s="117">
        <f>IF($B1153="","",IF(OR($D1153="",$E1153="",$O1153=""),"EKSİK",IF($O1153&lt;=0,"SIFIR/NEGATİF",IF(COUNTIFS($C$6:$C$5000,$C1153,$O$6:$O$5000,$O1153,$B$6:$B$5000,$B1153)&gt;1,"MÜKERRER","OK"))))</f>
        <v/>
      </c>
    </row>
    <row r="1154" ht="16.5" customHeight="1" s="80">
      <c r="A1154" s="113" t="n"/>
      <c r="B1154" s="113" t="n"/>
      <c r="C1154" s="113" t="n"/>
      <c r="D1154" s="113" t="n"/>
      <c r="E1154" s="113" t="n"/>
      <c r="F1154" s="113" t="n"/>
      <c r="G1154" s="113" t="n"/>
      <c r="H1154" s="113" t="n"/>
      <c r="I1154" s="113" t="n"/>
      <c r="J1154" s="113" t="n"/>
      <c r="K1154" s="113" t="n"/>
      <c r="L1154" s="113" t="n"/>
      <c r="M1154" s="113" t="n"/>
      <c r="N1154" s="113" t="n"/>
      <c r="O1154" s="113" t="n"/>
      <c r="P1154" s="113" t="n"/>
      <c r="Q1154" s="113" t="n"/>
      <c r="R1154" s="113" t="n"/>
      <c r="S1154" s="113" t="n"/>
      <c r="T1154" s="113" t="n"/>
      <c r="U1154" s="113" t="n"/>
      <c r="V1154" s="113" t="n"/>
      <c r="W1154" s="113" t="n"/>
      <c r="X1154" s="113" t="n"/>
      <c r="Y1154" s="113" t="n"/>
      <c r="Z1154" s="117">
        <f>IF($B1154="",0,IF($S1154="EVET",IF($D1154="GELİR",$O1154,-$O1154),0))</f>
        <v/>
      </c>
      <c r="AA1154" s="117">
        <f>IF($B1154="",0,IF(OR($W1154="EVET",$X1154="EVET",$Y1154="EVET"),0,IF($D1154="GELİR",IF($E1154="SATIŞ İADESİ/İSKONTO",-$O1154,$O1154),-$O1154)))</f>
        <v/>
      </c>
      <c r="AB1154" s="117">
        <f>IF($B1154="","",IF(OR($D1154="",$E1154="",$O1154=""),"EKSİK",IF($O1154&lt;=0,"SIFIR/NEGATİF",IF(COUNTIFS($C$6:$C$5000,$C1154,$O$6:$O$5000,$O1154,$B$6:$B$5000,$B1154)&gt;1,"MÜKERRER","OK"))))</f>
        <v/>
      </c>
    </row>
    <row r="1155" ht="16.5" customHeight="1" s="80">
      <c r="A1155" s="113" t="n"/>
      <c r="B1155" s="113" t="n"/>
      <c r="C1155" s="113" t="n"/>
      <c r="D1155" s="113" t="n"/>
      <c r="E1155" s="113" t="n"/>
      <c r="F1155" s="113" t="n"/>
      <c r="G1155" s="113" t="n"/>
      <c r="H1155" s="113" t="n"/>
      <c r="I1155" s="113" t="n"/>
      <c r="J1155" s="113" t="n"/>
      <c r="K1155" s="113" t="n"/>
      <c r="L1155" s="113" t="n"/>
      <c r="M1155" s="113" t="n"/>
      <c r="N1155" s="113" t="n"/>
      <c r="O1155" s="113" t="n"/>
      <c r="P1155" s="113" t="n"/>
      <c r="Q1155" s="113" t="n"/>
      <c r="R1155" s="113" t="n"/>
      <c r="S1155" s="113" t="n"/>
      <c r="T1155" s="113" t="n"/>
      <c r="U1155" s="113" t="n"/>
      <c r="V1155" s="113" t="n"/>
      <c r="W1155" s="113" t="n"/>
      <c r="X1155" s="113" t="n"/>
      <c r="Y1155" s="113" t="n"/>
      <c r="Z1155" s="117">
        <f>IF($B1155="",0,IF($S1155="EVET",IF($D1155="GELİR",$O1155,-$O1155),0))</f>
        <v/>
      </c>
      <c r="AA1155" s="117">
        <f>IF($B1155="",0,IF(OR($W1155="EVET",$X1155="EVET",$Y1155="EVET"),0,IF($D1155="GELİR",IF($E1155="SATIŞ İADESİ/İSKONTO",-$O1155,$O1155),-$O1155)))</f>
        <v/>
      </c>
      <c r="AB1155" s="117">
        <f>IF($B1155="","",IF(OR($D1155="",$E1155="",$O1155=""),"EKSİK",IF($O1155&lt;=0,"SIFIR/NEGATİF",IF(COUNTIFS($C$6:$C$5000,$C1155,$O$6:$O$5000,$O1155,$B$6:$B$5000,$B1155)&gt;1,"MÜKERRER","OK"))))</f>
        <v/>
      </c>
    </row>
    <row r="1156" ht="16.5" customHeight="1" s="80">
      <c r="A1156" s="113" t="n"/>
      <c r="B1156" s="113" t="n"/>
      <c r="C1156" s="113" t="n"/>
      <c r="D1156" s="113" t="n"/>
      <c r="E1156" s="113" t="n"/>
      <c r="F1156" s="113" t="n"/>
      <c r="G1156" s="113" t="n"/>
      <c r="H1156" s="113" t="n"/>
      <c r="I1156" s="113" t="n"/>
      <c r="J1156" s="113" t="n"/>
      <c r="K1156" s="113" t="n"/>
      <c r="L1156" s="113" t="n"/>
      <c r="M1156" s="113" t="n"/>
      <c r="N1156" s="113" t="n"/>
      <c r="O1156" s="113" t="n"/>
      <c r="P1156" s="113" t="n"/>
      <c r="Q1156" s="113" t="n"/>
      <c r="R1156" s="113" t="n"/>
      <c r="S1156" s="113" t="n"/>
      <c r="T1156" s="113" t="n"/>
      <c r="U1156" s="113" t="n"/>
      <c r="V1156" s="113" t="n"/>
      <c r="W1156" s="113" t="n"/>
      <c r="X1156" s="113" t="n"/>
      <c r="Y1156" s="113" t="n"/>
      <c r="Z1156" s="117">
        <f>IF($B1156="",0,IF($S1156="EVET",IF($D1156="GELİR",$O1156,-$O1156),0))</f>
        <v/>
      </c>
      <c r="AA1156" s="117">
        <f>IF($B1156="",0,IF(OR($W1156="EVET",$X1156="EVET",$Y1156="EVET"),0,IF($D1156="GELİR",IF($E1156="SATIŞ İADESİ/İSKONTO",-$O1156,$O1156),-$O1156)))</f>
        <v/>
      </c>
      <c r="AB1156" s="117">
        <f>IF($B1156="","",IF(OR($D1156="",$E1156="",$O1156=""),"EKSİK",IF($O1156&lt;=0,"SIFIR/NEGATİF",IF(COUNTIFS($C$6:$C$5000,$C1156,$O$6:$O$5000,$O1156,$B$6:$B$5000,$B1156)&gt;1,"MÜKERRER","OK"))))</f>
        <v/>
      </c>
    </row>
    <row r="1157" ht="16.5" customHeight="1" s="80">
      <c r="A1157" s="113" t="n"/>
      <c r="B1157" s="113" t="n"/>
      <c r="C1157" s="113" t="n"/>
      <c r="D1157" s="113" t="n"/>
      <c r="E1157" s="113" t="n"/>
      <c r="F1157" s="113" t="n"/>
      <c r="G1157" s="113" t="n"/>
      <c r="H1157" s="113" t="n"/>
      <c r="I1157" s="113" t="n"/>
      <c r="J1157" s="113" t="n"/>
      <c r="K1157" s="113" t="n"/>
      <c r="L1157" s="113" t="n"/>
      <c r="M1157" s="113" t="n"/>
      <c r="N1157" s="113" t="n"/>
      <c r="O1157" s="113" t="n"/>
      <c r="P1157" s="113" t="n"/>
      <c r="Q1157" s="113" t="n"/>
      <c r="R1157" s="113" t="n"/>
      <c r="S1157" s="113" t="n"/>
      <c r="T1157" s="113" t="n"/>
      <c r="U1157" s="113" t="n"/>
      <c r="V1157" s="113" t="n"/>
      <c r="W1157" s="113" t="n"/>
      <c r="X1157" s="113" t="n"/>
      <c r="Y1157" s="113" t="n"/>
      <c r="Z1157" s="117">
        <f>IF($B1157="",0,IF($S1157="EVET",IF($D1157="GELİR",$O1157,-$O1157),0))</f>
        <v/>
      </c>
      <c r="AA1157" s="117">
        <f>IF($B1157="",0,IF(OR($W1157="EVET",$X1157="EVET",$Y1157="EVET"),0,IF($D1157="GELİR",IF($E1157="SATIŞ İADESİ/İSKONTO",-$O1157,$O1157),-$O1157)))</f>
        <v/>
      </c>
      <c r="AB1157" s="117">
        <f>IF($B1157="","",IF(OR($D1157="",$E1157="",$O1157=""),"EKSİK",IF($O1157&lt;=0,"SIFIR/NEGATİF",IF(COUNTIFS($C$6:$C$5000,$C1157,$O$6:$O$5000,$O1157,$B$6:$B$5000,$B1157)&gt;1,"MÜKERRER","OK"))))</f>
        <v/>
      </c>
    </row>
    <row r="1158" ht="16.5" customHeight="1" s="80">
      <c r="A1158" s="113" t="n"/>
      <c r="B1158" s="113" t="n"/>
      <c r="C1158" s="113" t="n"/>
      <c r="D1158" s="113" t="n"/>
      <c r="E1158" s="113" t="n"/>
      <c r="F1158" s="113" t="n"/>
      <c r="G1158" s="113" t="n"/>
      <c r="H1158" s="113" t="n"/>
      <c r="I1158" s="113" t="n"/>
      <c r="J1158" s="113" t="n"/>
      <c r="K1158" s="113" t="n"/>
      <c r="L1158" s="113" t="n"/>
      <c r="M1158" s="113" t="n"/>
      <c r="N1158" s="113" t="n"/>
      <c r="O1158" s="113" t="n"/>
      <c r="P1158" s="113" t="n"/>
      <c r="Q1158" s="113" t="n"/>
      <c r="R1158" s="113" t="n"/>
      <c r="S1158" s="113" t="n"/>
      <c r="T1158" s="113" t="n"/>
      <c r="U1158" s="113" t="n"/>
      <c r="V1158" s="113" t="n"/>
      <c r="W1158" s="113" t="n"/>
      <c r="X1158" s="113" t="n"/>
      <c r="Y1158" s="113" t="n"/>
      <c r="Z1158" s="117">
        <f>IF($B1158="",0,IF($S1158="EVET",IF($D1158="GELİR",$O1158,-$O1158),0))</f>
        <v/>
      </c>
      <c r="AA1158" s="117">
        <f>IF($B1158="",0,IF(OR($W1158="EVET",$X1158="EVET",$Y1158="EVET"),0,IF($D1158="GELİR",IF($E1158="SATIŞ İADESİ/İSKONTO",-$O1158,$O1158),-$O1158)))</f>
        <v/>
      </c>
      <c r="AB1158" s="117">
        <f>IF($B1158="","",IF(OR($D1158="",$E1158="",$O1158=""),"EKSİK",IF($O1158&lt;=0,"SIFIR/NEGATİF",IF(COUNTIFS($C$6:$C$5000,$C1158,$O$6:$O$5000,$O1158,$B$6:$B$5000,$B1158)&gt;1,"MÜKERRER","OK"))))</f>
        <v/>
      </c>
    </row>
    <row r="1159" ht="16.5" customHeight="1" s="80">
      <c r="A1159" s="113" t="n"/>
      <c r="B1159" s="113" t="n"/>
      <c r="C1159" s="113" t="n"/>
      <c r="D1159" s="113" t="n"/>
      <c r="E1159" s="113" t="n"/>
      <c r="F1159" s="113" t="n"/>
      <c r="G1159" s="113" t="n"/>
      <c r="H1159" s="113" t="n"/>
      <c r="I1159" s="113" t="n"/>
      <c r="J1159" s="113" t="n"/>
      <c r="K1159" s="113" t="n"/>
      <c r="L1159" s="113" t="n"/>
      <c r="M1159" s="113" t="n"/>
      <c r="N1159" s="113" t="n"/>
      <c r="O1159" s="113" t="n"/>
      <c r="P1159" s="113" t="n"/>
      <c r="Q1159" s="113" t="n"/>
      <c r="R1159" s="113" t="n"/>
      <c r="S1159" s="113" t="n"/>
      <c r="T1159" s="113" t="n"/>
      <c r="U1159" s="113" t="n"/>
      <c r="V1159" s="113" t="n"/>
      <c r="W1159" s="113" t="n"/>
      <c r="X1159" s="113" t="n"/>
      <c r="Y1159" s="113" t="n"/>
      <c r="Z1159" s="117">
        <f>IF($B1159="",0,IF($S1159="EVET",IF($D1159="GELİR",$O1159,-$O1159),0))</f>
        <v/>
      </c>
      <c r="AA1159" s="117">
        <f>IF($B1159="",0,IF(OR($W1159="EVET",$X1159="EVET",$Y1159="EVET"),0,IF($D1159="GELİR",IF($E1159="SATIŞ İADESİ/İSKONTO",-$O1159,$O1159),-$O1159)))</f>
        <v/>
      </c>
      <c r="AB1159" s="117">
        <f>IF($B1159="","",IF(OR($D1159="",$E1159="",$O1159=""),"EKSİK",IF($O1159&lt;=0,"SIFIR/NEGATİF",IF(COUNTIFS($C$6:$C$5000,$C1159,$O$6:$O$5000,$O1159,$B$6:$B$5000,$B1159)&gt;1,"MÜKERRER","OK"))))</f>
        <v/>
      </c>
    </row>
    <row r="1160" ht="16.5" customHeight="1" s="80">
      <c r="A1160" s="113" t="n"/>
      <c r="B1160" s="113" t="n"/>
      <c r="C1160" s="113" t="n"/>
      <c r="D1160" s="113" t="n"/>
      <c r="E1160" s="113" t="n"/>
      <c r="F1160" s="113" t="n"/>
      <c r="G1160" s="113" t="n"/>
      <c r="H1160" s="113" t="n"/>
      <c r="I1160" s="113" t="n"/>
      <c r="J1160" s="113" t="n"/>
      <c r="K1160" s="113" t="n"/>
      <c r="L1160" s="113" t="n"/>
      <c r="M1160" s="113" t="n"/>
      <c r="N1160" s="113" t="n"/>
      <c r="O1160" s="113" t="n"/>
      <c r="P1160" s="113" t="n"/>
      <c r="Q1160" s="113" t="n"/>
      <c r="R1160" s="113" t="n"/>
      <c r="S1160" s="113" t="n"/>
      <c r="T1160" s="113" t="n"/>
      <c r="U1160" s="113" t="n"/>
      <c r="V1160" s="113" t="n"/>
      <c r="W1160" s="113" t="n"/>
      <c r="X1160" s="113" t="n"/>
      <c r="Y1160" s="113" t="n"/>
      <c r="Z1160" s="117">
        <f>IF($B1160="",0,IF($S1160="EVET",IF($D1160="GELİR",$O1160,-$O1160),0))</f>
        <v/>
      </c>
      <c r="AA1160" s="117">
        <f>IF($B1160="",0,IF(OR($W1160="EVET",$X1160="EVET",$Y1160="EVET"),0,IF($D1160="GELİR",IF($E1160="SATIŞ İADESİ/İSKONTO",-$O1160,$O1160),-$O1160)))</f>
        <v/>
      </c>
      <c r="AB1160" s="117">
        <f>IF($B1160="","",IF(OR($D1160="",$E1160="",$O1160=""),"EKSİK",IF($O1160&lt;=0,"SIFIR/NEGATİF",IF(COUNTIFS($C$6:$C$5000,$C1160,$O$6:$O$5000,$O1160,$B$6:$B$5000,$B1160)&gt;1,"MÜKERRER","OK"))))</f>
        <v/>
      </c>
    </row>
    <row r="1161" ht="16.5" customHeight="1" s="80">
      <c r="A1161" s="113" t="n"/>
      <c r="B1161" s="113" t="n"/>
      <c r="C1161" s="113" t="n"/>
      <c r="D1161" s="113" t="n"/>
      <c r="E1161" s="113" t="n"/>
      <c r="F1161" s="113" t="n"/>
      <c r="G1161" s="113" t="n"/>
      <c r="H1161" s="113" t="n"/>
      <c r="I1161" s="113" t="n"/>
      <c r="J1161" s="113" t="n"/>
      <c r="K1161" s="113" t="n"/>
      <c r="L1161" s="113" t="n"/>
      <c r="M1161" s="113" t="n"/>
      <c r="N1161" s="113" t="n"/>
      <c r="O1161" s="113" t="n"/>
      <c r="P1161" s="113" t="n"/>
      <c r="Q1161" s="113" t="n"/>
      <c r="R1161" s="113" t="n"/>
      <c r="S1161" s="113" t="n"/>
      <c r="T1161" s="113" t="n"/>
      <c r="U1161" s="113" t="n"/>
      <c r="V1161" s="113" t="n"/>
      <c r="W1161" s="113" t="n"/>
      <c r="X1161" s="113" t="n"/>
      <c r="Y1161" s="113" t="n"/>
      <c r="Z1161" s="117">
        <f>IF($B1161="",0,IF($S1161="EVET",IF($D1161="GELİR",$O1161,-$O1161),0))</f>
        <v/>
      </c>
      <c r="AA1161" s="117">
        <f>IF($B1161="",0,IF(OR($W1161="EVET",$X1161="EVET",$Y1161="EVET"),0,IF($D1161="GELİR",IF($E1161="SATIŞ İADESİ/İSKONTO",-$O1161,$O1161),-$O1161)))</f>
        <v/>
      </c>
      <c r="AB1161" s="117">
        <f>IF($B1161="","",IF(OR($D1161="",$E1161="",$O1161=""),"EKSİK",IF($O1161&lt;=0,"SIFIR/NEGATİF",IF(COUNTIFS($C$6:$C$5000,$C1161,$O$6:$O$5000,$O1161,$B$6:$B$5000,$B1161)&gt;1,"MÜKERRER","OK"))))</f>
        <v/>
      </c>
    </row>
    <row r="1162" ht="16.5" customHeight="1" s="80">
      <c r="A1162" s="113" t="n"/>
      <c r="B1162" s="113" t="n"/>
      <c r="C1162" s="113" t="n"/>
      <c r="D1162" s="113" t="n"/>
      <c r="E1162" s="113" t="n"/>
      <c r="F1162" s="113" t="n"/>
      <c r="G1162" s="113" t="n"/>
      <c r="H1162" s="113" t="n"/>
      <c r="I1162" s="113" t="n"/>
      <c r="J1162" s="113" t="n"/>
      <c r="K1162" s="113" t="n"/>
      <c r="L1162" s="113" t="n"/>
      <c r="M1162" s="113" t="n"/>
      <c r="N1162" s="113" t="n"/>
      <c r="O1162" s="113" t="n"/>
      <c r="P1162" s="113" t="n"/>
      <c r="Q1162" s="113" t="n"/>
      <c r="R1162" s="113" t="n"/>
      <c r="S1162" s="113" t="n"/>
      <c r="T1162" s="113" t="n"/>
      <c r="U1162" s="113" t="n"/>
      <c r="V1162" s="113" t="n"/>
      <c r="W1162" s="113" t="n"/>
      <c r="X1162" s="113" t="n"/>
      <c r="Y1162" s="113" t="n"/>
      <c r="Z1162" s="117">
        <f>IF($B1162="",0,IF($S1162="EVET",IF($D1162="GELİR",$O1162,-$O1162),0))</f>
        <v/>
      </c>
      <c r="AA1162" s="117">
        <f>IF($B1162="",0,IF(OR($W1162="EVET",$X1162="EVET",$Y1162="EVET"),0,IF($D1162="GELİR",IF($E1162="SATIŞ İADESİ/İSKONTO",-$O1162,$O1162),-$O1162)))</f>
        <v/>
      </c>
      <c r="AB1162" s="117">
        <f>IF($B1162="","",IF(OR($D1162="",$E1162="",$O1162=""),"EKSİK",IF($O1162&lt;=0,"SIFIR/NEGATİF",IF(COUNTIFS($C$6:$C$5000,$C1162,$O$6:$O$5000,$O1162,$B$6:$B$5000,$B1162)&gt;1,"MÜKERRER","OK"))))</f>
        <v/>
      </c>
    </row>
    <row r="1163" ht="16.5" customHeight="1" s="80">
      <c r="A1163" s="113" t="n"/>
      <c r="B1163" s="113" t="n"/>
      <c r="C1163" s="113" t="n"/>
      <c r="D1163" s="113" t="n"/>
      <c r="E1163" s="113" t="n"/>
      <c r="F1163" s="113" t="n"/>
      <c r="G1163" s="113" t="n"/>
      <c r="H1163" s="113" t="n"/>
      <c r="I1163" s="113" t="n"/>
      <c r="J1163" s="113" t="n"/>
      <c r="K1163" s="113" t="n"/>
      <c r="L1163" s="113" t="n"/>
      <c r="M1163" s="113" t="n"/>
      <c r="N1163" s="113" t="n"/>
      <c r="O1163" s="113" t="n"/>
      <c r="P1163" s="113" t="n"/>
      <c r="Q1163" s="113" t="n"/>
      <c r="R1163" s="113" t="n"/>
      <c r="S1163" s="113" t="n"/>
      <c r="T1163" s="113" t="n"/>
      <c r="U1163" s="113" t="n"/>
      <c r="V1163" s="113" t="n"/>
      <c r="W1163" s="113" t="n"/>
      <c r="X1163" s="113" t="n"/>
      <c r="Y1163" s="113" t="n"/>
      <c r="Z1163" s="117">
        <f>IF($B1163="",0,IF($S1163="EVET",IF($D1163="GELİR",$O1163,-$O1163),0))</f>
        <v/>
      </c>
      <c r="AA1163" s="117">
        <f>IF($B1163="",0,IF(OR($W1163="EVET",$X1163="EVET",$Y1163="EVET"),0,IF($D1163="GELİR",IF($E1163="SATIŞ İADESİ/İSKONTO",-$O1163,$O1163),-$O1163)))</f>
        <v/>
      </c>
      <c r="AB1163" s="117">
        <f>IF($B1163="","",IF(OR($D1163="",$E1163="",$O1163=""),"EKSİK",IF($O1163&lt;=0,"SIFIR/NEGATİF",IF(COUNTIFS($C$6:$C$5000,$C1163,$O$6:$O$5000,$O1163,$B$6:$B$5000,$B1163)&gt;1,"MÜKERRER","OK"))))</f>
        <v/>
      </c>
    </row>
    <row r="1164" ht="16.5" customHeight="1" s="80">
      <c r="A1164" s="113" t="n"/>
      <c r="B1164" s="113" t="n"/>
      <c r="C1164" s="113" t="n"/>
      <c r="D1164" s="113" t="n"/>
      <c r="E1164" s="113" t="n"/>
      <c r="F1164" s="113" t="n"/>
      <c r="G1164" s="113" t="n"/>
      <c r="H1164" s="113" t="n"/>
      <c r="I1164" s="113" t="n"/>
      <c r="J1164" s="113" t="n"/>
      <c r="K1164" s="113" t="n"/>
      <c r="L1164" s="113" t="n"/>
      <c r="M1164" s="113" t="n"/>
      <c r="N1164" s="113" t="n"/>
      <c r="O1164" s="113" t="n"/>
      <c r="P1164" s="113" t="n"/>
      <c r="Q1164" s="113" t="n"/>
      <c r="R1164" s="113" t="n"/>
      <c r="S1164" s="113" t="n"/>
      <c r="T1164" s="113" t="n"/>
      <c r="U1164" s="113" t="n"/>
      <c r="V1164" s="113" t="n"/>
      <c r="W1164" s="113" t="n"/>
      <c r="X1164" s="113" t="n"/>
      <c r="Y1164" s="113" t="n"/>
      <c r="Z1164" s="117">
        <f>IF($B1164="",0,IF($S1164="EVET",IF($D1164="GELİR",$O1164,-$O1164),0))</f>
        <v/>
      </c>
      <c r="AA1164" s="117">
        <f>IF($B1164="",0,IF(OR($W1164="EVET",$X1164="EVET",$Y1164="EVET"),0,IF($D1164="GELİR",IF($E1164="SATIŞ İADESİ/İSKONTO",-$O1164,$O1164),-$O1164)))</f>
        <v/>
      </c>
      <c r="AB1164" s="117">
        <f>IF($B1164="","",IF(OR($D1164="",$E1164="",$O1164=""),"EKSİK",IF($O1164&lt;=0,"SIFIR/NEGATİF",IF(COUNTIFS($C$6:$C$5000,$C1164,$O$6:$O$5000,$O1164,$B$6:$B$5000,$B1164)&gt;1,"MÜKERRER","OK"))))</f>
        <v/>
      </c>
    </row>
    <row r="1165" ht="16.5" customHeight="1" s="80">
      <c r="A1165" s="113" t="n"/>
      <c r="B1165" s="113" t="n"/>
      <c r="C1165" s="113" t="n"/>
      <c r="D1165" s="113" t="n"/>
      <c r="E1165" s="113" t="n"/>
      <c r="F1165" s="113" t="n"/>
      <c r="G1165" s="113" t="n"/>
      <c r="H1165" s="113" t="n"/>
      <c r="I1165" s="113" t="n"/>
      <c r="J1165" s="113" t="n"/>
      <c r="K1165" s="113" t="n"/>
      <c r="L1165" s="113" t="n"/>
      <c r="M1165" s="113" t="n"/>
      <c r="N1165" s="113" t="n"/>
      <c r="O1165" s="113" t="n"/>
      <c r="P1165" s="113" t="n"/>
      <c r="Q1165" s="113" t="n"/>
      <c r="R1165" s="113" t="n"/>
      <c r="S1165" s="113" t="n"/>
      <c r="T1165" s="113" t="n"/>
      <c r="U1165" s="113" t="n"/>
      <c r="V1165" s="113" t="n"/>
      <c r="W1165" s="113" t="n"/>
      <c r="X1165" s="113" t="n"/>
      <c r="Y1165" s="113" t="n"/>
      <c r="Z1165" s="117">
        <f>IF($B1165="",0,IF($S1165="EVET",IF($D1165="GELİR",$O1165,-$O1165),0))</f>
        <v/>
      </c>
      <c r="AA1165" s="117">
        <f>IF($B1165="",0,IF(OR($W1165="EVET",$X1165="EVET",$Y1165="EVET"),0,IF($D1165="GELİR",IF($E1165="SATIŞ İADESİ/İSKONTO",-$O1165,$O1165),-$O1165)))</f>
        <v/>
      </c>
      <c r="AB1165" s="117">
        <f>IF($B1165="","",IF(OR($D1165="",$E1165="",$O1165=""),"EKSİK",IF($O1165&lt;=0,"SIFIR/NEGATİF",IF(COUNTIFS($C$6:$C$5000,$C1165,$O$6:$O$5000,$O1165,$B$6:$B$5000,$B1165)&gt;1,"MÜKERRER","OK"))))</f>
        <v/>
      </c>
    </row>
    <row r="1166" ht="16.5" customHeight="1" s="80">
      <c r="A1166" s="113" t="n"/>
      <c r="B1166" s="113" t="n"/>
      <c r="C1166" s="113" t="n"/>
      <c r="D1166" s="113" t="n"/>
      <c r="E1166" s="113" t="n"/>
      <c r="F1166" s="113" t="n"/>
      <c r="G1166" s="113" t="n"/>
      <c r="H1166" s="113" t="n"/>
      <c r="I1166" s="113" t="n"/>
      <c r="J1166" s="113" t="n"/>
      <c r="K1166" s="113" t="n"/>
      <c r="L1166" s="113" t="n"/>
      <c r="M1166" s="113" t="n"/>
      <c r="N1166" s="113" t="n"/>
      <c r="O1166" s="113" t="n"/>
      <c r="P1166" s="113" t="n"/>
      <c r="Q1166" s="113" t="n"/>
      <c r="R1166" s="113" t="n"/>
      <c r="S1166" s="113" t="n"/>
      <c r="T1166" s="113" t="n"/>
      <c r="U1166" s="113" t="n"/>
      <c r="V1166" s="113" t="n"/>
      <c r="W1166" s="113" t="n"/>
      <c r="X1166" s="113" t="n"/>
      <c r="Y1166" s="113" t="n"/>
      <c r="Z1166" s="117">
        <f>IF($B1166="",0,IF($S1166="EVET",IF($D1166="GELİR",$O1166,-$O1166),0))</f>
        <v/>
      </c>
      <c r="AA1166" s="117">
        <f>IF($B1166="",0,IF(OR($W1166="EVET",$X1166="EVET",$Y1166="EVET"),0,IF($D1166="GELİR",IF($E1166="SATIŞ İADESİ/İSKONTO",-$O1166,$O1166),-$O1166)))</f>
        <v/>
      </c>
      <c r="AB1166" s="117">
        <f>IF($B1166="","",IF(OR($D1166="",$E1166="",$O1166=""),"EKSİK",IF($O1166&lt;=0,"SIFIR/NEGATİF",IF(COUNTIFS($C$6:$C$5000,$C1166,$O$6:$O$5000,$O1166,$B$6:$B$5000,$B1166)&gt;1,"MÜKERRER","OK"))))</f>
        <v/>
      </c>
    </row>
    <row r="1167" ht="16.5" customHeight="1" s="80">
      <c r="A1167" s="113" t="n"/>
      <c r="B1167" s="113" t="n"/>
      <c r="C1167" s="113" t="n"/>
      <c r="D1167" s="113" t="n"/>
      <c r="E1167" s="113" t="n"/>
      <c r="F1167" s="113" t="n"/>
      <c r="G1167" s="113" t="n"/>
      <c r="H1167" s="113" t="n"/>
      <c r="I1167" s="113" t="n"/>
      <c r="J1167" s="113" t="n"/>
      <c r="K1167" s="113" t="n"/>
      <c r="L1167" s="113" t="n"/>
      <c r="M1167" s="113" t="n"/>
      <c r="N1167" s="113" t="n"/>
      <c r="O1167" s="113" t="n"/>
      <c r="P1167" s="113" t="n"/>
      <c r="Q1167" s="113" t="n"/>
      <c r="R1167" s="113" t="n"/>
      <c r="S1167" s="113" t="n"/>
      <c r="T1167" s="113" t="n"/>
      <c r="U1167" s="113" t="n"/>
      <c r="V1167" s="113" t="n"/>
      <c r="W1167" s="113" t="n"/>
      <c r="X1167" s="113" t="n"/>
      <c r="Y1167" s="113" t="n"/>
      <c r="Z1167" s="117">
        <f>IF($B1167="",0,IF($S1167="EVET",IF($D1167="GELİR",$O1167,-$O1167),0))</f>
        <v/>
      </c>
      <c r="AA1167" s="117">
        <f>IF($B1167="",0,IF(OR($W1167="EVET",$X1167="EVET",$Y1167="EVET"),0,IF($D1167="GELİR",IF($E1167="SATIŞ İADESİ/İSKONTO",-$O1167,$O1167),-$O1167)))</f>
        <v/>
      </c>
      <c r="AB1167" s="117">
        <f>IF($B1167="","",IF(OR($D1167="",$E1167="",$O1167=""),"EKSİK",IF($O1167&lt;=0,"SIFIR/NEGATİF",IF(COUNTIFS($C$6:$C$5000,$C1167,$O$6:$O$5000,$O1167,$B$6:$B$5000,$B1167)&gt;1,"MÜKERRER","OK"))))</f>
        <v/>
      </c>
    </row>
    <row r="1168" ht="16.5" customHeight="1" s="80">
      <c r="A1168" s="113" t="n"/>
      <c r="B1168" s="113" t="n"/>
      <c r="C1168" s="113" t="n"/>
      <c r="D1168" s="113" t="n"/>
      <c r="E1168" s="113" t="n"/>
      <c r="F1168" s="113" t="n"/>
      <c r="G1168" s="113" t="n"/>
      <c r="H1168" s="113" t="n"/>
      <c r="I1168" s="113" t="n"/>
      <c r="J1168" s="113" t="n"/>
      <c r="K1168" s="113" t="n"/>
      <c r="L1168" s="113" t="n"/>
      <c r="M1168" s="113" t="n"/>
      <c r="N1168" s="113" t="n"/>
      <c r="O1168" s="113" t="n"/>
      <c r="P1168" s="113" t="n"/>
      <c r="Q1168" s="113" t="n"/>
      <c r="R1168" s="113" t="n"/>
      <c r="S1168" s="113" t="n"/>
      <c r="T1168" s="113" t="n"/>
      <c r="U1168" s="113" t="n"/>
      <c r="V1168" s="113" t="n"/>
      <c r="W1168" s="113" t="n"/>
      <c r="X1168" s="113" t="n"/>
      <c r="Y1168" s="113" t="n"/>
      <c r="Z1168" s="117">
        <f>IF($B1168="",0,IF($S1168="EVET",IF($D1168="GELİR",$O1168,-$O1168),0))</f>
        <v/>
      </c>
      <c r="AA1168" s="117">
        <f>IF($B1168="",0,IF(OR($W1168="EVET",$X1168="EVET",$Y1168="EVET"),0,IF($D1168="GELİR",IF($E1168="SATIŞ İADESİ/İSKONTO",-$O1168,$O1168),-$O1168)))</f>
        <v/>
      </c>
      <c r="AB1168" s="117">
        <f>IF($B1168="","",IF(OR($D1168="",$E1168="",$O1168=""),"EKSİK",IF($O1168&lt;=0,"SIFIR/NEGATİF",IF(COUNTIFS($C$6:$C$5000,$C1168,$O$6:$O$5000,$O1168,$B$6:$B$5000,$B1168)&gt;1,"MÜKERRER","OK"))))</f>
        <v/>
      </c>
    </row>
    <row r="1169" ht="16.5" customHeight="1" s="80">
      <c r="A1169" s="113" t="n"/>
      <c r="B1169" s="113" t="n"/>
      <c r="C1169" s="113" t="n"/>
      <c r="D1169" s="113" t="n"/>
      <c r="E1169" s="113" t="n"/>
      <c r="F1169" s="113" t="n"/>
      <c r="G1169" s="113" t="n"/>
      <c r="H1169" s="113" t="n"/>
      <c r="I1169" s="113" t="n"/>
      <c r="J1169" s="113" t="n"/>
      <c r="K1169" s="113" t="n"/>
      <c r="L1169" s="113" t="n"/>
      <c r="M1169" s="113" t="n"/>
      <c r="N1169" s="113" t="n"/>
      <c r="O1169" s="113" t="n"/>
      <c r="P1169" s="113" t="n"/>
      <c r="Q1169" s="113" t="n"/>
      <c r="R1169" s="113" t="n"/>
      <c r="S1169" s="113" t="n"/>
      <c r="T1169" s="113" t="n"/>
      <c r="U1169" s="113" t="n"/>
      <c r="V1169" s="113" t="n"/>
      <c r="W1169" s="113" t="n"/>
      <c r="X1169" s="113" t="n"/>
      <c r="Y1169" s="113" t="n"/>
      <c r="Z1169" s="117">
        <f>IF($B1169="",0,IF($S1169="EVET",IF($D1169="GELİR",$O1169,-$O1169),0))</f>
        <v/>
      </c>
      <c r="AA1169" s="117">
        <f>IF($B1169="",0,IF(OR($W1169="EVET",$X1169="EVET",$Y1169="EVET"),0,IF($D1169="GELİR",IF($E1169="SATIŞ İADESİ/İSKONTO",-$O1169,$O1169),-$O1169)))</f>
        <v/>
      </c>
      <c r="AB1169" s="117">
        <f>IF($B1169="","",IF(OR($D1169="",$E1169="",$O1169=""),"EKSİK",IF($O1169&lt;=0,"SIFIR/NEGATİF",IF(COUNTIFS($C$6:$C$5000,$C1169,$O$6:$O$5000,$O1169,$B$6:$B$5000,$B1169)&gt;1,"MÜKERRER","OK"))))</f>
        <v/>
      </c>
    </row>
    <row r="1170" ht="16.5" customHeight="1" s="80">
      <c r="A1170" s="113" t="n"/>
      <c r="B1170" s="113" t="n"/>
      <c r="C1170" s="113" t="n"/>
      <c r="D1170" s="113" t="n"/>
      <c r="E1170" s="113" t="n"/>
      <c r="F1170" s="113" t="n"/>
      <c r="G1170" s="113" t="n"/>
      <c r="H1170" s="113" t="n"/>
      <c r="I1170" s="113" t="n"/>
      <c r="J1170" s="113" t="n"/>
      <c r="K1170" s="113" t="n"/>
      <c r="L1170" s="113" t="n"/>
      <c r="M1170" s="113" t="n"/>
      <c r="N1170" s="113" t="n"/>
      <c r="O1170" s="113" t="n"/>
      <c r="P1170" s="113" t="n"/>
      <c r="Q1170" s="113" t="n"/>
      <c r="R1170" s="113" t="n"/>
      <c r="S1170" s="113" t="n"/>
      <c r="T1170" s="113" t="n"/>
      <c r="U1170" s="113" t="n"/>
      <c r="V1170" s="113" t="n"/>
      <c r="W1170" s="113" t="n"/>
      <c r="X1170" s="113" t="n"/>
      <c r="Y1170" s="113" t="n"/>
      <c r="Z1170" s="117">
        <f>IF($B1170="",0,IF($S1170="EVET",IF($D1170="GELİR",$O1170,-$O1170),0))</f>
        <v/>
      </c>
      <c r="AA1170" s="117">
        <f>IF($B1170="",0,IF(OR($W1170="EVET",$X1170="EVET",$Y1170="EVET"),0,IF($D1170="GELİR",IF($E1170="SATIŞ İADESİ/İSKONTO",-$O1170,$O1170),-$O1170)))</f>
        <v/>
      </c>
      <c r="AB1170" s="117">
        <f>IF($B1170="","",IF(OR($D1170="",$E1170="",$O1170=""),"EKSİK",IF($O1170&lt;=0,"SIFIR/NEGATİF",IF(COUNTIFS($C$6:$C$5000,$C1170,$O$6:$O$5000,$O1170,$B$6:$B$5000,$B1170)&gt;1,"MÜKERRER","OK"))))</f>
        <v/>
      </c>
    </row>
    <row r="1171" ht="16.5" customHeight="1" s="80">
      <c r="A1171" s="113" t="n"/>
      <c r="B1171" s="113" t="n"/>
      <c r="C1171" s="113" t="n"/>
      <c r="D1171" s="113" t="n"/>
      <c r="E1171" s="113" t="n"/>
      <c r="F1171" s="113" t="n"/>
      <c r="G1171" s="113" t="n"/>
      <c r="H1171" s="113" t="n"/>
      <c r="I1171" s="113" t="n"/>
      <c r="J1171" s="113" t="n"/>
      <c r="K1171" s="113" t="n"/>
      <c r="L1171" s="113" t="n"/>
      <c r="M1171" s="113" t="n"/>
      <c r="N1171" s="113" t="n"/>
      <c r="O1171" s="113" t="n"/>
      <c r="P1171" s="113" t="n"/>
      <c r="Q1171" s="113" t="n"/>
      <c r="R1171" s="113" t="n"/>
      <c r="S1171" s="113" t="n"/>
      <c r="T1171" s="113" t="n"/>
      <c r="U1171" s="113" t="n"/>
      <c r="V1171" s="113" t="n"/>
      <c r="W1171" s="113" t="n"/>
      <c r="X1171" s="113" t="n"/>
      <c r="Y1171" s="113" t="n"/>
      <c r="Z1171" s="117">
        <f>IF($B1171="",0,IF($S1171="EVET",IF($D1171="GELİR",$O1171,-$O1171),0))</f>
        <v/>
      </c>
      <c r="AA1171" s="117">
        <f>IF($B1171="",0,IF(OR($W1171="EVET",$X1171="EVET",$Y1171="EVET"),0,IF($D1171="GELİR",IF($E1171="SATIŞ İADESİ/İSKONTO",-$O1171,$O1171),-$O1171)))</f>
        <v/>
      </c>
      <c r="AB1171" s="117">
        <f>IF($B1171="","",IF(OR($D1171="",$E1171="",$O1171=""),"EKSİK",IF($O1171&lt;=0,"SIFIR/NEGATİF",IF(COUNTIFS($C$6:$C$5000,$C1171,$O$6:$O$5000,$O1171,$B$6:$B$5000,$B1171)&gt;1,"MÜKERRER","OK"))))</f>
        <v/>
      </c>
    </row>
    <row r="1172" ht="16.5" customHeight="1" s="80">
      <c r="A1172" s="113" t="n"/>
      <c r="B1172" s="113" t="n"/>
      <c r="C1172" s="113" t="n"/>
      <c r="D1172" s="113" t="n"/>
      <c r="E1172" s="113" t="n"/>
      <c r="F1172" s="113" t="n"/>
      <c r="G1172" s="113" t="n"/>
      <c r="H1172" s="113" t="n"/>
      <c r="I1172" s="113" t="n"/>
      <c r="J1172" s="113" t="n"/>
      <c r="K1172" s="113" t="n"/>
      <c r="L1172" s="113" t="n"/>
      <c r="M1172" s="113" t="n"/>
      <c r="N1172" s="113" t="n"/>
      <c r="O1172" s="113" t="n"/>
      <c r="P1172" s="113" t="n"/>
      <c r="Q1172" s="113" t="n"/>
      <c r="R1172" s="113" t="n"/>
      <c r="S1172" s="113" t="n"/>
      <c r="T1172" s="113" t="n"/>
      <c r="U1172" s="113" t="n"/>
      <c r="V1172" s="113" t="n"/>
      <c r="W1172" s="113" t="n"/>
      <c r="X1172" s="113" t="n"/>
      <c r="Y1172" s="113" t="n"/>
      <c r="Z1172" s="117">
        <f>IF($B1172="",0,IF($S1172="EVET",IF($D1172="GELİR",$O1172,-$O1172),0))</f>
        <v/>
      </c>
      <c r="AA1172" s="117">
        <f>IF($B1172="",0,IF(OR($W1172="EVET",$X1172="EVET",$Y1172="EVET"),0,IF($D1172="GELİR",IF($E1172="SATIŞ İADESİ/İSKONTO",-$O1172,$O1172),-$O1172)))</f>
        <v/>
      </c>
      <c r="AB1172" s="117">
        <f>IF($B1172="","",IF(OR($D1172="",$E1172="",$O1172=""),"EKSİK",IF($O1172&lt;=0,"SIFIR/NEGATİF",IF(COUNTIFS($C$6:$C$5000,$C1172,$O$6:$O$5000,$O1172,$B$6:$B$5000,$B1172)&gt;1,"MÜKERRER","OK"))))</f>
        <v/>
      </c>
    </row>
    <row r="1173" ht="16.5" customHeight="1" s="80">
      <c r="A1173" s="113" t="n"/>
      <c r="B1173" s="113" t="n"/>
      <c r="C1173" s="113" t="n"/>
      <c r="D1173" s="113" t="n"/>
      <c r="E1173" s="113" t="n"/>
      <c r="F1173" s="113" t="n"/>
      <c r="G1173" s="113" t="n"/>
      <c r="H1173" s="113" t="n"/>
      <c r="I1173" s="113" t="n"/>
      <c r="J1173" s="113" t="n"/>
      <c r="K1173" s="113" t="n"/>
      <c r="L1173" s="113" t="n"/>
      <c r="M1173" s="113" t="n"/>
      <c r="N1173" s="113" t="n"/>
      <c r="O1173" s="113" t="n"/>
      <c r="P1173" s="113" t="n"/>
      <c r="Q1173" s="113" t="n"/>
      <c r="R1173" s="113" t="n"/>
      <c r="S1173" s="113" t="n"/>
      <c r="T1173" s="113" t="n"/>
      <c r="U1173" s="113" t="n"/>
      <c r="V1173" s="113" t="n"/>
      <c r="W1173" s="113" t="n"/>
      <c r="X1173" s="113" t="n"/>
      <c r="Y1173" s="113" t="n"/>
      <c r="Z1173" s="117">
        <f>IF($B1173="",0,IF($S1173="EVET",IF($D1173="GELİR",$O1173,-$O1173),0))</f>
        <v/>
      </c>
      <c r="AA1173" s="117">
        <f>IF($B1173="",0,IF(OR($W1173="EVET",$X1173="EVET",$Y1173="EVET"),0,IF($D1173="GELİR",IF($E1173="SATIŞ İADESİ/İSKONTO",-$O1173,$O1173),-$O1173)))</f>
        <v/>
      </c>
      <c r="AB1173" s="117">
        <f>IF($B1173="","",IF(OR($D1173="",$E1173="",$O1173=""),"EKSİK",IF($O1173&lt;=0,"SIFIR/NEGATİF",IF(COUNTIFS($C$6:$C$5000,$C1173,$O$6:$O$5000,$O1173,$B$6:$B$5000,$B1173)&gt;1,"MÜKERRER","OK"))))</f>
        <v/>
      </c>
    </row>
    <row r="1174" ht="16.5" customHeight="1" s="80">
      <c r="A1174" s="113" t="n"/>
      <c r="B1174" s="113" t="n"/>
      <c r="C1174" s="113" t="n"/>
      <c r="D1174" s="113" t="n"/>
      <c r="E1174" s="113" t="n"/>
      <c r="F1174" s="113" t="n"/>
      <c r="G1174" s="113" t="n"/>
      <c r="H1174" s="113" t="n"/>
      <c r="I1174" s="113" t="n"/>
      <c r="J1174" s="113" t="n"/>
      <c r="K1174" s="113" t="n"/>
      <c r="L1174" s="113" t="n"/>
      <c r="M1174" s="113" t="n"/>
      <c r="N1174" s="113" t="n"/>
      <c r="O1174" s="113" t="n"/>
      <c r="P1174" s="113" t="n"/>
      <c r="Q1174" s="113" t="n"/>
      <c r="R1174" s="113" t="n"/>
      <c r="S1174" s="113" t="n"/>
      <c r="T1174" s="113" t="n"/>
      <c r="U1174" s="113" t="n"/>
      <c r="V1174" s="113" t="n"/>
      <c r="W1174" s="113" t="n"/>
      <c r="X1174" s="113" t="n"/>
      <c r="Y1174" s="113" t="n"/>
      <c r="Z1174" s="117">
        <f>IF($B1174="",0,IF($S1174="EVET",IF($D1174="GELİR",$O1174,-$O1174),0))</f>
        <v/>
      </c>
      <c r="AA1174" s="117">
        <f>IF($B1174="",0,IF(OR($W1174="EVET",$X1174="EVET",$Y1174="EVET"),0,IF($D1174="GELİR",IF($E1174="SATIŞ İADESİ/İSKONTO",-$O1174,$O1174),-$O1174)))</f>
        <v/>
      </c>
      <c r="AB1174" s="117">
        <f>IF($B1174="","",IF(OR($D1174="",$E1174="",$O1174=""),"EKSİK",IF($O1174&lt;=0,"SIFIR/NEGATİF",IF(COUNTIFS($C$6:$C$5000,$C1174,$O$6:$O$5000,$O1174,$B$6:$B$5000,$B1174)&gt;1,"MÜKERRER","OK"))))</f>
        <v/>
      </c>
    </row>
    <row r="1175" ht="16.5" customHeight="1" s="80">
      <c r="A1175" s="113" t="n"/>
      <c r="B1175" s="113" t="n"/>
      <c r="C1175" s="113" t="n"/>
      <c r="D1175" s="113" t="n"/>
      <c r="E1175" s="113" t="n"/>
      <c r="F1175" s="113" t="n"/>
      <c r="G1175" s="113" t="n"/>
      <c r="H1175" s="113" t="n"/>
      <c r="I1175" s="113" t="n"/>
      <c r="J1175" s="113" t="n"/>
      <c r="K1175" s="113" t="n"/>
      <c r="L1175" s="113" t="n"/>
      <c r="M1175" s="113" t="n"/>
      <c r="N1175" s="113" t="n"/>
      <c r="O1175" s="113" t="n"/>
      <c r="P1175" s="113" t="n"/>
      <c r="Q1175" s="113" t="n"/>
      <c r="R1175" s="113" t="n"/>
      <c r="S1175" s="113" t="n"/>
      <c r="T1175" s="113" t="n"/>
      <c r="U1175" s="113" t="n"/>
      <c r="V1175" s="113" t="n"/>
      <c r="W1175" s="113" t="n"/>
      <c r="X1175" s="113" t="n"/>
      <c r="Y1175" s="113" t="n"/>
      <c r="Z1175" s="117">
        <f>IF($B1175="",0,IF($S1175="EVET",IF($D1175="GELİR",$O1175,-$O1175),0))</f>
        <v/>
      </c>
      <c r="AA1175" s="117">
        <f>IF($B1175="",0,IF(OR($W1175="EVET",$X1175="EVET",$Y1175="EVET"),0,IF($D1175="GELİR",IF($E1175="SATIŞ İADESİ/İSKONTO",-$O1175,$O1175),-$O1175)))</f>
        <v/>
      </c>
      <c r="AB1175" s="117">
        <f>IF($B1175="","",IF(OR($D1175="",$E1175="",$O1175=""),"EKSİK",IF($O1175&lt;=0,"SIFIR/NEGATİF",IF(COUNTIFS($C$6:$C$5000,$C1175,$O$6:$O$5000,$O1175,$B$6:$B$5000,$B1175)&gt;1,"MÜKERRER","OK"))))</f>
        <v/>
      </c>
    </row>
    <row r="1176" ht="16.5" customHeight="1" s="80">
      <c r="A1176" s="113" t="n"/>
      <c r="B1176" s="113" t="n"/>
      <c r="C1176" s="113" t="n"/>
      <c r="D1176" s="113" t="n"/>
      <c r="E1176" s="113" t="n"/>
      <c r="F1176" s="113" t="n"/>
      <c r="G1176" s="113" t="n"/>
      <c r="H1176" s="113" t="n"/>
      <c r="I1176" s="113" t="n"/>
      <c r="J1176" s="113" t="n"/>
      <c r="K1176" s="113" t="n"/>
      <c r="L1176" s="113" t="n"/>
      <c r="M1176" s="113" t="n"/>
      <c r="N1176" s="113" t="n"/>
      <c r="O1176" s="113" t="n"/>
      <c r="P1176" s="113" t="n"/>
      <c r="Q1176" s="113" t="n"/>
      <c r="R1176" s="113" t="n"/>
      <c r="S1176" s="113" t="n"/>
      <c r="T1176" s="113" t="n"/>
      <c r="U1176" s="113" t="n"/>
      <c r="V1176" s="113" t="n"/>
      <c r="W1176" s="113" t="n"/>
      <c r="X1176" s="113" t="n"/>
      <c r="Y1176" s="113" t="n"/>
      <c r="Z1176" s="117">
        <f>IF($B1176="",0,IF($S1176="EVET",IF($D1176="GELİR",$O1176,-$O1176),0))</f>
        <v/>
      </c>
      <c r="AA1176" s="117">
        <f>IF($B1176="",0,IF(OR($W1176="EVET",$X1176="EVET",$Y1176="EVET"),0,IF($D1176="GELİR",IF($E1176="SATIŞ İADESİ/İSKONTO",-$O1176,$O1176),-$O1176)))</f>
        <v/>
      </c>
      <c r="AB1176" s="117">
        <f>IF($B1176="","",IF(OR($D1176="",$E1176="",$O1176=""),"EKSİK",IF($O1176&lt;=0,"SIFIR/NEGATİF",IF(COUNTIFS($C$6:$C$5000,$C1176,$O$6:$O$5000,$O1176,$B$6:$B$5000,$B1176)&gt;1,"MÜKERRER","OK"))))</f>
        <v/>
      </c>
    </row>
    <row r="1177" ht="16.5" customHeight="1" s="80">
      <c r="A1177" s="113" t="n"/>
      <c r="B1177" s="113" t="n"/>
      <c r="C1177" s="113" t="n"/>
      <c r="D1177" s="113" t="n"/>
      <c r="E1177" s="113" t="n"/>
      <c r="F1177" s="113" t="n"/>
      <c r="G1177" s="113" t="n"/>
      <c r="H1177" s="113" t="n"/>
      <c r="I1177" s="113" t="n"/>
      <c r="J1177" s="113" t="n"/>
      <c r="K1177" s="113" t="n"/>
      <c r="L1177" s="113" t="n"/>
      <c r="M1177" s="113" t="n"/>
      <c r="N1177" s="113" t="n"/>
      <c r="O1177" s="113" t="n"/>
      <c r="P1177" s="113" t="n"/>
      <c r="Q1177" s="113" t="n"/>
      <c r="R1177" s="113" t="n"/>
      <c r="S1177" s="113" t="n"/>
      <c r="T1177" s="113" t="n"/>
      <c r="U1177" s="113" t="n"/>
      <c r="V1177" s="113" t="n"/>
      <c r="W1177" s="113" t="n"/>
      <c r="X1177" s="113" t="n"/>
      <c r="Y1177" s="113" t="n"/>
      <c r="Z1177" s="117">
        <f>IF($B1177="",0,IF($S1177="EVET",IF($D1177="GELİR",$O1177,-$O1177),0))</f>
        <v/>
      </c>
      <c r="AA1177" s="117">
        <f>IF($B1177="",0,IF(OR($W1177="EVET",$X1177="EVET",$Y1177="EVET"),0,IF($D1177="GELİR",IF($E1177="SATIŞ İADESİ/İSKONTO",-$O1177,$O1177),-$O1177)))</f>
        <v/>
      </c>
      <c r="AB1177" s="117">
        <f>IF($B1177="","",IF(OR($D1177="",$E1177="",$O1177=""),"EKSİK",IF($O1177&lt;=0,"SIFIR/NEGATİF",IF(COUNTIFS($C$6:$C$5000,$C1177,$O$6:$O$5000,$O1177,$B$6:$B$5000,$B1177)&gt;1,"MÜKERRER","OK"))))</f>
        <v/>
      </c>
    </row>
    <row r="1178" ht="16.5" customHeight="1" s="80">
      <c r="A1178" s="113" t="n"/>
      <c r="B1178" s="113" t="n"/>
      <c r="C1178" s="113" t="n"/>
      <c r="D1178" s="113" t="n"/>
      <c r="E1178" s="113" t="n"/>
      <c r="F1178" s="113" t="n"/>
      <c r="G1178" s="113" t="n"/>
      <c r="H1178" s="113" t="n"/>
      <c r="I1178" s="113" t="n"/>
      <c r="J1178" s="113" t="n"/>
      <c r="K1178" s="113" t="n"/>
      <c r="L1178" s="113" t="n"/>
      <c r="M1178" s="113" t="n"/>
      <c r="N1178" s="113" t="n"/>
      <c r="O1178" s="113" t="n"/>
      <c r="P1178" s="113" t="n"/>
      <c r="Q1178" s="113" t="n"/>
      <c r="R1178" s="113" t="n"/>
      <c r="S1178" s="113" t="n"/>
      <c r="T1178" s="113" t="n"/>
      <c r="U1178" s="113" t="n"/>
      <c r="V1178" s="113" t="n"/>
      <c r="W1178" s="113" t="n"/>
      <c r="X1178" s="113" t="n"/>
      <c r="Y1178" s="113" t="n"/>
      <c r="Z1178" s="117">
        <f>IF($B1178="",0,IF($S1178="EVET",IF($D1178="GELİR",$O1178,-$O1178),0))</f>
        <v/>
      </c>
      <c r="AA1178" s="117">
        <f>IF($B1178="",0,IF(OR($W1178="EVET",$X1178="EVET",$Y1178="EVET"),0,IF($D1178="GELİR",IF($E1178="SATIŞ İADESİ/İSKONTO",-$O1178,$O1178),-$O1178)))</f>
        <v/>
      </c>
      <c r="AB1178" s="117">
        <f>IF($B1178="","",IF(OR($D1178="",$E1178="",$O1178=""),"EKSİK",IF($O1178&lt;=0,"SIFIR/NEGATİF",IF(COUNTIFS($C$6:$C$5000,$C1178,$O$6:$O$5000,$O1178,$B$6:$B$5000,$B1178)&gt;1,"MÜKERRER","OK"))))</f>
        <v/>
      </c>
    </row>
    <row r="1179" ht="16.5" customHeight="1" s="80">
      <c r="A1179" s="113" t="n"/>
      <c r="B1179" s="113" t="n"/>
      <c r="C1179" s="113" t="n"/>
      <c r="D1179" s="113" t="n"/>
      <c r="E1179" s="113" t="n"/>
      <c r="F1179" s="113" t="n"/>
      <c r="G1179" s="113" t="n"/>
      <c r="H1179" s="113" t="n"/>
      <c r="I1179" s="113" t="n"/>
      <c r="J1179" s="113" t="n"/>
      <c r="K1179" s="113" t="n"/>
      <c r="L1179" s="113" t="n"/>
      <c r="M1179" s="113" t="n"/>
      <c r="N1179" s="113" t="n"/>
      <c r="O1179" s="113" t="n"/>
      <c r="P1179" s="113" t="n"/>
      <c r="Q1179" s="113" t="n"/>
      <c r="R1179" s="113" t="n"/>
      <c r="S1179" s="113" t="n"/>
      <c r="T1179" s="113" t="n"/>
      <c r="U1179" s="113" t="n"/>
      <c r="V1179" s="113" t="n"/>
      <c r="W1179" s="113" t="n"/>
      <c r="X1179" s="113" t="n"/>
      <c r="Y1179" s="113" t="n"/>
      <c r="Z1179" s="117">
        <f>IF($B1179="",0,IF($S1179="EVET",IF($D1179="GELİR",$O1179,-$O1179),0))</f>
        <v/>
      </c>
      <c r="AA1179" s="117">
        <f>IF($B1179="",0,IF(OR($W1179="EVET",$X1179="EVET",$Y1179="EVET"),0,IF($D1179="GELİR",IF($E1179="SATIŞ İADESİ/İSKONTO",-$O1179,$O1179),-$O1179)))</f>
        <v/>
      </c>
      <c r="AB1179" s="117">
        <f>IF($B1179="","",IF(OR($D1179="",$E1179="",$O1179=""),"EKSİK",IF($O1179&lt;=0,"SIFIR/NEGATİF",IF(COUNTIFS($C$6:$C$5000,$C1179,$O$6:$O$5000,$O1179,$B$6:$B$5000,$B1179)&gt;1,"MÜKERRER","OK"))))</f>
        <v/>
      </c>
    </row>
    <row r="1180" ht="16.5" customHeight="1" s="80">
      <c r="A1180" s="113" t="n"/>
      <c r="B1180" s="113" t="n"/>
      <c r="C1180" s="113" t="n"/>
      <c r="D1180" s="113" t="n"/>
      <c r="E1180" s="113" t="n"/>
      <c r="F1180" s="113" t="n"/>
      <c r="G1180" s="113" t="n"/>
      <c r="H1180" s="113" t="n"/>
      <c r="I1180" s="113" t="n"/>
      <c r="J1180" s="113" t="n"/>
      <c r="K1180" s="113" t="n"/>
      <c r="L1180" s="113" t="n"/>
      <c r="M1180" s="113" t="n"/>
      <c r="N1180" s="113" t="n"/>
      <c r="O1180" s="113" t="n"/>
      <c r="P1180" s="113" t="n"/>
      <c r="Q1180" s="113" t="n"/>
      <c r="R1180" s="113" t="n"/>
      <c r="S1180" s="113" t="n"/>
      <c r="T1180" s="113" t="n"/>
      <c r="U1180" s="113" t="n"/>
      <c r="V1180" s="113" t="n"/>
      <c r="W1180" s="113" t="n"/>
      <c r="X1180" s="113" t="n"/>
      <c r="Y1180" s="113" t="n"/>
      <c r="Z1180" s="117">
        <f>IF($B1180="",0,IF($S1180="EVET",IF($D1180="GELİR",$O1180,-$O1180),0))</f>
        <v/>
      </c>
      <c r="AA1180" s="117">
        <f>IF($B1180="",0,IF(OR($W1180="EVET",$X1180="EVET",$Y1180="EVET"),0,IF($D1180="GELİR",IF($E1180="SATIŞ İADESİ/İSKONTO",-$O1180,$O1180),-$O1180)))</f>
        <v/>
      </c>
      <c r="AB1180" s="117">
        <f>IF($B1180="","",IF(OR($D1180="",$E1180="",$O1180=""),"EKSİK",IF($O1180&lt;=0,"SIFIR/NEGATİF",IF(COUNTIFS($C$6:$C$5000,$C1180,$O$6:$O$5000,$O1180,$B$6:$B$5000,$B1180)&gt;1,"MÜKERRER","OK"))))</f>
        <v/>
      </c>
    </row>
    <row r="1181" ht="16.5" customHeight="1" s="80">
      <c r="A1181" s="113" t="n"/>
      <c r="B1181" s="113" t="n"/>
      <c r="C1181" s="113" t="n"/>
      <c r="D1181" s="113" t="n"/>
      <c r="E1181" s="113" t="n"/>
      <c r="F1181" s="113" t="n"/>
      <c r="G1181" s="113" t="n"/>
      <c r="H1181" s="113" t="n"/>
      <c r="I1181" s="113" t="n"/>
      <c r="J1181" s="113" t="n"/>
      <c r="K1181" s="113" t="n"/>
      <c r="L1181" s="113" t="n"/>
      <c r="M1181" s="113" t="n"/>
      <c r="N1181" s="113" t="n"/>
      <c r="O1181" s="113" t="n"/>
      <c r="P1181" s="113" t="n"/>
      <c r="Q1181" s="113" t="n"/>
      <c r="R1181" s="113" t="n"/>
      <c r="S1181" s="113" t="n"/>
      <c r="T1181" s="113" t="n"/>
      <c r="U1181" s="113" t="n"/>
      <c r="V1181" s="113" t="n"/>
      <c r="W1181" s="113" t="n"/>
      <c r="X1181" s="113" t="n"/>
      <c r="Y1181" s="113" t="n"/>
      <c r="Z1181" s="117">
        <f>IF($B1181="",0,IF($S1181="EVET",IF($D1181="GELİR",$O1181,-$O1181),0))</f>
        <v/>
      </c>
      <c r="AA1181" s="117">
        <f>IF($B1181="",0,IF(OR($W1181="EVET",$X1181="EVET",$Y1181="EVET"),0,IF($D1181="GELİR",IF($E1181="SATIŞ İADESİ/İSKONTO",-$O1181,$O1181),-$O1181)))</f>
        <v/>
      </c>
      <c r="AB1181" s="117">
        <f>IF($B1181="","",IF(OR($D1181="",$E1181="",$O1181=""),"EKSİK",IF($O1181&lt;=0,"SIFIR/NEGATİF",IF(COUNTIFS($C$6:$C$5000,$C1181,$O$6:$O$5000,$O1181,$B$6:$B$5000,$B1181)&gt;1,"MÜKERRER","OK"))))</f>
        <v/>
      </c>
    </row>
    <row r="1182" ht="16.5" customHeight="1" s="80">
      <c r="A1182" s="113" t="n"/>
      <c r="B1182" s="113" t="n"/>
      <c r="C1182" s="113" t="n"/>
      <c r="D1182" s="113" t="n"/>
      <c r="E1182" s="113" t="n"/>
      <c r="F1182" s="113" t="n"/>
      <c r="G1182" s="113" t="n"/>
      <c r="H1182" s="113" t="n"/>
      <c r="I1182" s="113" t="n"/>
      <c r="J1182" s="113" t="n"/>
      <c r="K1182" s="113" t="n"/>
      <c r="L1182" s="113" t="n"/>
      <c r="M1182" s="113" t="n"/>
      <c r="N1182" s="113" t="n"/>
      <c r="O1182" s="113" t="n"/>
      <c r="P1182" s="113" t="n"/>
      <c r="Q1182" s="113" t="n"/>
      <c r="R1182" s="113" t="n"/>
      <c r="S1182" s="113" t="n"/>
      <c r="T1182" s="113" t="n"/>
      <c r="U1182" s="113" t="n"/>
      <c r="V1182" s="113" t="n"/>
      <c r="W1182" s="113" t="n"/>
      <c r="X1182" s="113" t="n"/>
      <c r="Y1182" s="113" t="n"/>
      <c r="Z1182" s="117">
        <f>IF($B1182="",0,IF($S1182="EVET",IF($D1182="GELİR",$O1182,-$O1182),0))</f>
        <v/>
      </c>
      <c r="AA1182" s="117">
        <f>IF($B1182="",0,IF(OR($W1182="EVET",$X1182="EVET",$Y1182="EVET"),0,IF($D1182="GELİR",IF($E1182="SATIŞ İADESİ/İSKONTO",-$O1182,$O1182),-$O1182)))</f>
        <v/>
      </c>
      <c r="AB1182" s="117">
        <f>IF($B1182="","",IF(OR($D1182="",$E1182="",$O1182=""),"EKSİK",IF($O1182&lt;=0,"SIFIR/NEGATİF",IF(COUNTIFS($C$6:$C$5000,$C1182,$O$6:$O$5000,$O1182,$B$6:$B$5000,$B1182)&gt;1,"MÜKERRER","OK"))))</f>
        <v/>
      </c>
    </row>
    <row r="1183" ht="16.5" customHeight="1" s="80">
      <c r="A1183" s="113" t="n"/>
      <c r="B1183" s="113" t="n"/>
      <c r="C1183" s="113" t="n"/>
      <c r="D1183" s="113" t="n"/>
      <c r="E1183" s="113" t="n"/>
      <c r="F1183" s="113" t="n"/>
      <c r="G1183" s="113" t="n"/>
      <c r="H1183" s="113" t="n"/>
      <c r="I1183" s="113" t="n"/>
      <c r="J1183" s="113" t="n"/>
      <c r="K1183" s="113" t="n"/>
      <c r="L1183" s="113" t="n"/>
      <c r="M1183" s="113" t="n"/>
      <c r="N1183" s="113" t="n"/>
      <c r="O1183" s="113" t="n"/>
      <c r="P1183" s="113" t="n"/>
      <c r="Q1183" s="113" t="n"/>
      <c r="R1183" s="113" t="n"/>
      <c r="S1183" s="113" t="n"/>
      <c r="T1183" s="113" t="n"/>
      <c r="U1183" s="113" t="n"/>
      <c r="V1183" s="113" t="n"/>
      <c r="W1183" s="113" t="n"/>
      <c r="X1183" s="113" t="n"/>
      <c r="Y1183" s="113" t="n"/>
      <c r="Z1183" s="117">
        <f>IF($B1183="",0,IF($S1183="EVET",IF($D1183="GELİR",$O1183,-$O1183),0))</f>
        <v/>
      </c>
      <c r="AA1183" s="117">
        <f>IF($B1183="",0,IF(OR($W1183="EVET",$X1183="EVET",$Y1183="EVET"),0,IF($D1183="GELİR",IF($E1183="SATIŞ İADESİ/İSKONTO",-$O1183,$O1183),-$O1183)))</f>
        <v/>
      </c>
      <c r="AB1183" s="117">
        <f>IF($B1183="","",IF(OR($D1183="",$E1183="",$O1183=""),"EKSİK",IF($O1183&lt;=0,"SIFIR/NEGATİF",IF(COUNTIFS($C$6:$C$5000,$C1183,$O$6:$O$5000,$O1183,$B$6:$B$5000,$B1183)&gt;1,"MÜKERRER","OK"))))</f>
        <v/>
      </c>
    </row>
    <row r="1184" ht="16.5" customHeight="1" s="80">
      <c r="A1184" s="113" t="n"/>
      <c r="B1184" s="113" t="n"/>
      <c r="C1184" s="113" t="n"/>
      <c r="D1184" s="113" t="n"/>
      <c r="E1184" s="113" t="n"/>
      <c r="F1184" s="113" t="n"/>
      <c r="G1184" s="113" t="n"/>
      <c r="H1184" s="113" t="n"/>
      <c r="I1184" s="113" t="n"/>
      <c r="J1184" s="113" t="n"/>
      <c r="K1184" s="113" t="n"/>
      <c r="L1184" s="113" t="n"/>
      <c r="M1184" s="113" t="n"/>
      <c r="N1184" s="113" t="n"/>
      <c r="O1184" s="113" t="n"/>
      <c r="P1184" s="113" t="n"/>
      <c r="Q1184" s="113" t="n"/>
      <c r="R1184" s="113" t="n"/>
      <c r="S1184" s="113" t="n"/>
      <c r="T1184" s="113" t="n"/>
      <c r="U1184" s="113" t="n"/>
      <c r="V1184" s="113" t="n"/>
      <c r="W1184" s="113" t="n"/>
      <c r="X1184" s="113" t="n"/>
      <c r="Y1184" s="113" t="n"/>
      <c r="Z1184" s="117">
        <f>IF($B1184="",0,IF($S1184="EVET",IF($D1184="GELİR",$O1184,-$O1184),0))</f>
        <v/>
      </c>
      <c r="AA1184" s="117">
        <f>IF($B1184="",0,IF(OR($W1184="EVET",$X1184="EVET",$Y1184="EVET"),0,IF($D1184="GELİR",IF($E1184="SATIŞ İADESİ/İSKONTO",-$O1184,$O1184),-$O1184)))</f>
        <v/>
      </c>
      <c r="AB1184" s="117">
        <f>IF($B1184="","",IF(OR($D1184="",$E1184="",$O1184=""),"EKSİK",IF($O1184&lt;=0,"SIFIR/NEGATİF",IF(COUNTIFS($C$6:$C$5000,$C1184,$O$6:$O$5000,$O1184,$B$6:$B$5000,$B1184)&gt;1,"MÜKERRER","OK"))))</f>
        <v/>
      </c>
    </row>
    <row r="1185" ht="16.5" customHeight="1" s="80">
      <c r="A1185" s="113" t="n"/>
      <c r="B1185" s="113" t="n"/>
      <c r="C1185" s="113" t="n"/>
      <c r="D1185" s="113" t="n"/>
      <c r="E1185" s="113" t="n"/>
      <c r="F1185" s="113" t="n"/>
      <c r="G1185" s="113" t="n"/>
      <c r="H1185" s="113" t="n"/>
      <c r="I1185" s="113" t="n"/>
      <c r="J1185" s="113" t="n"/>
      <c r="K1185" s="113" t="n"/>
      <c r="L1185" s="113" t="n"/>
      <c r="M1185" s="113" t="n"/>
      <c r="N1185" s="113" t="n"/>
      <c r="O1185" s="113" t="n"/>
      <c r="P1185" s="113" t="n"/>
      <c r="Q1185" s="113" t="n"/>
      <c r="R1185" s="113" t="n"/>
      <c r="S1185" s="113" t="n"/>
      <c r="T1185" s="113" t="n"/>
      <c r="U1185" s="113" t="n"/>
      <c r="V1185" s="113" t="n"/>
      <c r="W1185" s="113" t="n"/>
      <c r="X1185" s="113" t="n"/>
      <c r="Y1185" s="113" t="n"/>
      <c r="Z1185" s="117">
        <f>IF($B1185="",0,IF($S1185="EVET",IF($D1185="GELİR",$O1185,-$O1185),0))</f>
        <v/>
      </c>
      <c r="AA1185" s="117">
        <f>IF($B1185="",0,IF(OR($W1185="EVET",$X1185="EVET",$Y1185="EVET"),0,IF($D1185="GELİR",IF($E1185="SATIŞ İADESİ/İSKONTO",-$O1185,$O1185),-$O1185)))</f>
        <v/>
      </c>
      <c r="AB1185" s="117">
        <f>IF($B1185="","",IF(OR($D1185="",$E1185="",$O1185=""),"EKSİK",IF($O1185&lt;=0,"SIFIR/NEGATİF",IF(COUNTIFS($C$6:$C$5000,$C1185,$O$6:$O$5000,$O1185,$B$6:$B$5000,$B1185)&gt;1,"MÜKERRER","OK"))))</f>
        <v/>
      </c>
    </row>
    <row r="1186" ht="16.5" customHeight="1" s="80">
      <c r="A1186" s="113" t="n"/>
      <c r="B1186" s="113" t="n"/>
      <c r="C1186" s="113" t="n"/>
      <c r="D1186" s="113" t="n"/>
      <c r="E1186" s="113" t="n"/>
      <c r="F1186" s="113" t="n"/>
      <c r="G1186" s="113" t="n"/>
      <c r="H1186" s="113" t="n"/>
      <c r="I1186" s="113" t="n"/>
      <c r="J1186" s="113" t="n"/>
      <c r="K1186" s="113" t="n"/>
      <c r="L1186" s="113" t="n"/>
      <c r="M1186" s="113" t="n"/>
      <c r="N1186" s="113" t="n"/>
      <c r="O1186" s="113" t="n"/>
      <c r="P1186" s="113" t="n"/>
      <c r="Q1186" s="113" t="n"/>
      <c r="R1186" s="113" t="n"/>
      <c r="S1186" s="113" t="n"/>
      <c r="T1186" s="113" t="n"/>
      <c r="U1186" s="113" t="n"/>
      <c r="V1186" s="113" t="n"/>
      <c r="W1186" s="113" t="n"/>
      <c r="X1186" s="113" t="n"/>
      <c r="Y1186" s="113" t="n"/>
      <c r="Z1186" s="117">
        <f>IF($B1186="",0,IF($S1186="EVET",IF($D1186="GELİR",$O1186,-$O1186),0))</f>
        <v/>
      </c>
      <c r="AA1186" s="117">
        <f>IF($B1186="",0,IF(OR($W1186="EVET",$X1186="EVET",$Y1186="EVET"),0,IF($D1186="GELİR",IF($E1186="SATIŞ İADESİ/İSKONTO",-$O1186,$O1186),-$O1186)))</f>
        <v/>
      </c>
      <c r="AB1186" s="117">
        <f>IF($B1186="","",IF(OR($D1186="",$E1186="",$O1186=""),"EKSİK",IF($O1186&lt;=0,"SIFIR/NEGATİF",IF(COUNTIFS($C$6:$C$5000,$C1186,$O$6:$O$5000,$O1186,$B$6:$B$5000,$B1186)&gt;1,"MÜKERRER","OK"))))</f>
        <v/>
      </c>
    </row>
    <row r="1187" ht="16.5" customHeight="1" s="80">
      <c r="A1187" s="113" t="n"/>
      <c r="B1187" s="113" t="n"/>
      <c r="C1187" s="113" t="n"/>
      <c r="D1187" s="113" t="n"/>
      <c r="E1187" s="113" t="n"/>
      <c r="F1187" s="113" t="n"/>
      <c r="G1187" s="113" t="n"/>
      <c r="H1187" s="113" t="n"/>
      <c r="I1187" s="113" t="n"/>
      <c r="J1187" s="113" t="n"/>
      <c r="K1187" s="113" t="n"/>
      <c r="L1187" s="113" t="n"/>
      <c r="M1187" s="113" t="n"/>
      <c r="N1187" s="113" t="n"/>
      <c r="O1187" s="113" t="n"/>
      <c r="P1187" s="113" t="n"/>
      <c r="Q1187" s="113" t="n"/>
      <c r="R1187" s="113" t="n"/>
      <c r="S1187" s="113" t="n"/>
      <c r="T1187" s="113" t="n"/>
      <c r="U1187" s="113" t="n"/>
      <c r="V1187" s="113" t="n"/>
      <c r="W1187" s="113" t="n"/>
      <c r="X1187" s="113" t="n"/>
      <c r="Y1187" s="113" t="n"/>
      <c r="Z1187" s="117">
        <f>IF($B1187="",0,IF($S1187="EVET",IF($D1187="GELİR",$O1187,-$O1187),0))</f>
        <v/>
      </c>
      <c r="AA1187" s="117">
        <f>IF($B1187="",0,IF(OR($W1187="EVET",$X1187="EVET",$Y1187="EVET"),0,IF($D1187="GELİR",IF($E1187="SATIŞ İADESİ/İSKONTO",-$O1187,$O1187),-$O1187)))</f>
        <v/>
      </c>
      <c r="AB1187" s="117">
        <f>IF($B1187="","",IF(OR($D1187="",$E1187="",$O1187=""),"EKSİK",IF($O1187&lt;=0,"SIFIR/NEGATİF",IF(COUNTIFS($C$6:$C$5000,$C1187,$O$6:$O$5000,$O1187,$B$6:$B$5000,$B1187)&gt;1,"MÜKERRER","OK"))))</f>
        <v/>
      </c>
    </row>
    <row r="1188" ht="16.5" customHeight="1" s="80">
      <c r="A1188" s="113" t="n"/>
      <c r="B1188" s="113" t="n"/>
      <c r="C1188" s="113" t="n"/>
      <c r="D1188" s="113" t="n"/>
      <c r="E1188" s="113" t="n"/>
      <c r="F1188" s="113" t="n"/>
      <c r="G1188" s="113" t="n"/>
      <c r="H1188" s="113" t="n"/>
      <c r="I1188" s="113" t="n"/>
      <c r="J1188" s="113" t="n"/>
      <c r="K1188" s="113" t="n"/>
      <c r="L1188" s="113" t="n"/>
      <c r="M1188" s="113" t="n"/>
      <c r="N1188" s="113" t="n"/>
      <c r="O1188" s="113" t="n"/>
      <c r="P1188" s="113" t="n"/>
      <c r="Q1188" s="113" t="n"/>
      <c r="R1188" s="113" t="n"/>
      <c r="S1188" s="113" t="n"/>
      <c r="T1188" s="113" t="n"/>
      <c r="U1188" s="113" t="n"/>
      <c r="V1188" s="113" t="n"/>
      <c r="W1188" s="113" t="n"/>
      <c r="X1188" s="113" t="n"/>
      <c r="Y1188" s="113" t="n"/>
      <c r="Z1188" s="117">
        <f>IF($B1188="",0,IF($S1188="EVET",IF($D1188="GELİR",$O1188,-$O1188),0))</f>
        <v/>
      </c>
      <c r="AA1188" s="117">
        <f>IF($B1188="",0,IF(OR($W1188="EVET",$X1188="EVET",$Y1188="EVET"),0,IF($D1188="GELİR",IF($E1188="SATIŞ İADESİ/İSKONTO",-$O1188,$O1188),-$O1188)))</f>
        <v/>
      </c>
      <c r="AB1188" s="117">
        <f>IF($B1188="","",IF(OR($D1188="",$E1188="",$O1188=""),"EKSİK",IF($O1188&lt;=0,"SIFIR/NEGATİF",IF(COUNTIFS($C$6:$C$5000,$C1188,$O$6:$O$5000,$O1188,$B$6:$B$5000,$B1188)&gt;1,"MÜKERRER","OK"))))</f>
        <v/>
      </c>
    </row>
    <row r="1189" ht="16.5" customHeight="1" s="80">
      <c r="A1189" s="113" t="n"/>
      <c r="B1189" s="113" t="n"/>
      <c r="C1189" s="113" t="n"/>
      <c r="D1189" s="113" t="n"/>
      <c r="E1189" s="113" t="n"/>
      <c r="F1189" s="113" t="n"/>
      <c r="G1189" s="113" t="n"/>
      <c r="H1189" s="113" t="n"/>
      <c r="I1189" s="113" t="n"/>
      <c r="J1189" s="113" t="n"/>
      <c r="K1189" s="113" t="n"/>
      <c r="L1189" s="113" t="n"/>
      <c r="M1189" s="113" t="n"/>
      <c r="N1189" s="113" t="n"/>
      <c r="O1189" s="113" t="n"/>
      <c r="P1189" s="113" t="n"/>
      <c r="Q1189" s="113" t="n"/>
      <c r="R1189" s="113" t="n"/>
      <c r="S1189" s="113" t="n"/>
      <c r="T1189" s="113" t="n"/>
      <c r="U1189" s="113" t="n"/>
      <c r="V1189" s="113" t="n"/>
      <c r="W1189" s="113" t="n"/>
      <c r="X1189" s="113" t="n"/>
      <c r="Y1189" s="113" t="n"/>
      <c r="Z1189" s="117">
        <f>IF($B1189="",0,IF($S1189="EVET",IF($D1189="GELİR",$O1189,-$O1189),0))</f>
        <v/>
      </c>
      <c r="AA1189" s="117">
        <f>IF($B1189="",0,IF(OR($W1189="EVET",$X1189="EVET",$Y1189="EVET"),0,IF($D1189="GELİR",IF($E1189="SATIŞ İADESİ/İSKONTO",-$O1189,$O1189),-$O1189)))</f>
        <v/>
      </c>
      <c r="AB1189" s="117">
        <f>IF($B1189="","",IF(OR($D1189="",$E1189="",$O1189=""),"EKSİK",IF($O1189&lt;=0,"SIFIR/NEGATİF",IF(COUNTIFS($C$6:$C$5000,$C1189,$O$6:$O$5000,$O1189,$B$6:$B$5000,$B1189)&gt;1,"MÜKERRER","OK"))))</f>
        <v/>
      </c>
    </row>
    <row r="1190" ht="16.5" customHeight="1" s="80">
      <c r="A1190" s="113" t="n"/>
      <c r="B1190" s="113" t="n"/>
      <c r="C1190" s="113" t="n"/>
      <c r="D1190" s="113" t="n"/>
      <c r="E1190" s="113" t="n"/>
      <c r="F1190" s="113" t="n"/>
      <c r="G1190" s="113" t="n"/>
      <c r="H1190" s="113" t="n"/>
      <c r="I1190" s="113" t="n"/>
      <c r="J1190" s="113" t="n"/>
      <c r="K1190" s="113" t="n"/>
      <c r="L1190" s="113" t="n"/>
      <c r="M1190" s="113" t="n"/>
      <c r="N1190" s="113" t="n"/>
      <c r="O1190" s="113" t="n"/>
      <c r="P1190" s="113" t="n"/>
      <c r="Q1190" s="113" t="n"/>
      <c r="R1190" s="113" t="n"/>
      <c r="S1190" s="113" t="n"/>
      <c r="T1190" s="113" t="n"/>
      <c r="U1190" s="113" t="n"/>
      <c r="V1190" s="113" t="n"/>
      <c r="W1190" s="113" t="n"/>
      <c r="X1190" s="113" t="n"/>
      <c r="Y1190" s="113" t="n"/>
      <c r="Z1190" s="117">
        <f>IF($B1190="",0,IF($S1190="EVET",IF($D1190="GELİR",$O1190,-$O1190),0))</f>
        <v/>
      </c>
      <c r="AA1190" s="117">
        <f>IF($B1190="",0,IF(OR($W1190="EVET",$X1190="EVET",$Y1190="EVET"),0,IF($D1190="GELİR",IF($E1190="SATIŞ İADESİ/İSKONTO",-$O1190,$O1190),-$O1190)))</f>
        <v/>
      </c>
      <c r="AB1190" s="117">
        <f>IF($B1190="","",IF(OR($D1190="",$E1190="",$O1190=""),"EKSİK",IF($O1190&lt;=0,"SIFIR/NEGATİF",IF(COUNTIFS($C$6:$C$5000,$C1190,$O$6:$O$5000,$O1190,$B$6:$B$5000,$B1190)&gt;1,"MÜKERRER","OK"))))</f>
        <v/>
      </c>
    </row>
    <row r="1191" ht="16.5" customHeight="1" s="80">
      <c r="A1191" s="113" t="n"/>
      <c r="B1191" s="113" t="n"/>
      <c r="C1191" s="113" t="n"/>
      <c r="D1191" s="113" t="n"/>
      <c r="E1191" s="113" t="n"/>
      <c r="F1191" s="113" t="n"/>
      <c r="G1191" s="113" t="n"/>
      <c r="H1191" s="113" t="n"/>
      <c r="I1191" s="113" t="n"/>
      <c r="J1191" s="113" t="n"/>
      <c r="K1191" s="113" t="n"/>
      <c r="L1191" s="113" t="n"/>
      <c r="M1191" s="113" t="n"/>
      <c r="N1191" s="113" t="n"/>
      <c r="O1191" s="113" t="n"/>
      <c r="P1191" s="113" t="n"/>
      <c r="Q1191" s="113" t="n"/>
      <c r="R1191" s="113" t="n"/>
      <c r="S1191" s="113" t="n"/>
      <c r="T1191" s="113" t="n"/>
      <c r="U1191" s="113" t="n"/>
      <c r="V1191" s="113" t="n"/>
      <c r="W1191" s="113" t="n"/>
      <c r="X1191" s="113" t="n"/>
      <c r="Y1191" s="113" t="n"/>
      <c r="Z1191" s="117">
        <f>IF($B1191="",0,IF($S1191="EVET",IF($D1191="GELİR",$O1191,-$O1191),0))</f>
        <v/>
      </c>
      <c r="AA1191" s="117">
        <f>IF($B1191="",0,IF(OR($W1191="EVET",$X1191="EVET",$Y1191="EVET"),0,IF($D1191="GELİR",IF($E1191="SATIŞ İADESİ/İSKONTO",-$O1191,$O1191),-$O1191)))</f>
        <v/>
      </c>
      <c r="AB1191" s="117">
        <f>IF($B1191="","",IF(OR($D1191="",$E1191="",$O1191=""),"EKSİK",IF($O1191&lt;=0,"SIFIR/NEGATİF",IF(COUNTIFS($C$6:$C$5000,$C1191,$O$6:$O$5000,$O1191,$B$6:$B$5000,$B1191)&gt;1,"MÜKERRER","OK"))))</f>
        <v/>
      </c>
    </row>
    <row r="1192" ht="16.5" customHeight="1" s="80">
      <c r="A1192" s="113" t="n"/>
      <c r="B1192" s="113" t="n"/>
      <c r="C1192" s="113" t="n"/>
      <c r="D1192" s="113" t="n"/>
      <c r="E1192" s="113" t="n"/>
      <c r="F1192" s="113" t="n"/>
      <c r="G1192" s="113" t="n"/>
      <c r="H1192" s="113" t="n"/>
      <c r="I1192" s="113" t="n"/>
      <c r="J1192" s="113" t="n"/>
      <c r="K1192" s="113" t="n"/>
      <c r="L1192" s="113" t="n"/>
      <c r="M1192" s="113" t="n"/>
      <c r="N1192" s="113" t="n"/>
      <c r="O1192" s="113" t="n"/>
      <c r="P1192" s="113" t="n"/>
      <c r="Q1192" s="113" t="n"/>
      <c r="R1192" s="113" t="n"/>
      <c r="S1192" s="113" t="n"/>
      <c r="T1192" s="113" t="n"/>
      <c r="U1192" s="113" t="n"/>
      <c r="V1192" s="113" t="n"/>
      <c r="W1192" s="113" t="n"/>
      <c r="X1192" s="113" t="n"/>
      <c r="Y1192" s="113" t="n"/>
      <c r="Z1192" s="117">
        <f>IF($B1192="",0,IF($S1192="EVET",IF($D1192="GELİR",$O1192,-$O1192),0))</f>
        <v/>
      </c>
      <c r="AA1192" s="117">
        <f>IF($B1192="",0,IF(OR($W1192="EVET",$X1192="EVET",$Y1192="EVET"),0,IF($D1192="GELİR",IF($E1192="SATIŞ İADESİ/İSKONTO",-$O1192,$O1192),-$O1192)))</f>
        <v/>
      </c>
      <c r="AB1192" s="117">
        <f>IF($B1192="","",IF(OR($D1192="",$E1192="",$O1192=""),"EKSİK",IF($O1192&lt;=0,"SIFIR/NEGATİF",IF(COUNTIFS($C$6:$C$5000,$C1192,$O$6:$O$5000,$O1192,$B$6:$B$5000,$B1192)&gt;1,"MÜKERRER","OK"))))</f>
        <v/>
      </c>
    </row>
    <row r="1193" ht="16.5" customHeight="1" s="80">
      <c r="A1193" s="113" t="n"/>
      <c r="B1193" s="113" t="n"/>
      <c r="C1193" s="113" t="n"/>
      <c r="D1193" s="113" t="n"/>
      <c r="E1193" s="113" t="n"/>
      <c r="F1193" s="113" t="n"/>
      <c r="G1193" s="113" t="n"/>
      <c r="H1193" s="113" t="n"/>
      <c r="I1193" s="113" t="n"/>
      <c r="J1193" s="113" t="n"/>
      <c r="K1193" s="113" t="n"/>
      <c r="L1193" s="113" t="n"/>
      <c r="M1193" s="113" t="n"/>
      <c r="N1193" s="113" t="n"/>
      <c r="O1193" s="113" t="n"/>
      <c r="P1193" s="113" t="n"/>
      <c r="Q1193" s="113" t="n"/>
      <c r="R1193" s="113" t="n"/>
      <c r="S1193" s="113" t="n"/>
      <c r="T1193" s="113" t="n"/>
      <c r="U1193" s="113" t="n"/>
      <c r="V1193" s="113" t="n"/>
      <c r="W1193" s="113" t="n"/>
      <c r="X1193" s="113" t="n"/>
      <c r="Y1193" s="113" t="n"/>
      <c r="Z1193" s="117">
        <f>IF($B1193="",0,IF($S1193="EVET",IF($D1193="GELİR",$O1193,-$O1193),0))</f>
        <v/>
      </c>
      <c r="AA1193" s="117">
        <f>IF($B1193="",0,IF(OR($W1193="EVET",$X1193="EVET",$Y1193="EVET"),0,IF($D1193="GELİR",IF($E1193="SATIŞ İADESİ/İSKONTO",-$O1193,$O1193),-$O1193)))</f>
        <v/>
      </c>
      <c r="AB1193" s="117">
        <f>IF($B1193="","",IF(OR($D1193="",$E1193="",$O1193=""),"EKSİK",IF($O1193&lt;=0,"SIFIR/NEGATİF",IF(COUNTIFS($C$6:$C$5000,$C1193,$O$6:$O$5000,$O1193,$B$6:$B$5000,$B1193)&gt;1,"MÜKERRER","OK"))))</f>
        <v/>
      </c>
    </row>
    <row r="1194" ht="16.5" customHeight="1" s="80">
      <c r="A1194" s="113" t="n"/>
      <c r="B1194" s="113" t="n"/>
      <c r="C1194" s="113" t="n"/>
      <c r="D1194" s="113" t="n"/>
      <c r="E1194" s="113" t="n"/>
      <c r="F1194" s="113" t="n"/>
      <c r="G1194" s="113" t="n"/>
      <c r="H1194" s="113" t="n"/>
      <c r="I1194" s="113" t="n"/>
      <c r="J1194" s="113" t="n"/>
      <c r="K1194" s="113" t="n"/>
      <c r="L1194" s="113" t="n"/>
      <c r="M1194" s="113" t="n"/>
      <c r="N1194" s="113" t="n"/>
      <c r="O1194" s="113" t="n"/>
      <c r="P1194" s="113" t="n"/>
      <c r="Q1194" s="113" t="n"/>
      <c r="R1194" s="113" t="n"/>
      <c r="S1194" s="113" t="n"/>
      <c r="T1194" s="113" t="n"/>
      <c r="U1194" s="113" t="n"/>
      <c r="V1194" s="113" t="n"/>
      <c r="W1194" s="113" t="n"/>
      <c r="X1194" s="113" t="n"/>
      <c r="Y1194" s="113" t="n"/>
      <c r="Z1194" s="117">
        <f>IF($B1194="",0,IF($S1194="EVET",IF($D1194="GELİR",$O1194,-$O1194),0))</f>
        <v/>
      </c>
      <c r="AA1194" s="117">
        <f>IF($B1194="",0,IF(OR($W1194="EVET",$X1194="EVET",$Y1194="EVET"),0,IF($D1194="GELİR",IF($E1194="SATIŞ İADESİ/İSKONTO",-$O1194,$O1194),-$O1194)))</f>
        <v/>
      </c>
      <c r="AB1194" s="117">
        <f>IF($B1194="","",IF(OR($D1194="",$E1194="",$O1194=""),"EKSİK",IF($O1194&lt;=0,"SIFIR/NEGATİF",IF(COUNTIFS($C$6:$C$5000,$C1194,$O$6:$O$5000,$O1194,$B$6:$B$5000,$B1194)&gt;1,"MÜKERRER","OK"))))</f>
        <v/>
      </c>
    </row>
    <row r="1195" ht="16.5" customHeight="1" s="80">
      <c r="A1195" s="113" t="n"/>
      <c r="B1195" s="113" t="n"/>
      <c r="C1195" s="113" t="n"/>
      <c r="D1195" s="113" t="n"/>
      <c r="E1195" s="113" t="n"/>
      <c r="F1195" s="113" t="n"/>
      <c r="G1195" s="113" t="n"/>
      <c r="H1195" s="113" t="n"/>
      <c r="I1195" s="113" t="n"/>
      <c r="J1195" s="113" t="n"/>
      <c r="K1195" s="113" t="n"/>
      <c r="L1195" s="113" t="n"/>
      <c r="M1195" s="113" t="n"/>
      <c r="N1195" s="113" t="n"/>
      <c r="O1195" s="113" t="n"/>
      <c r="P1195" s="113" t="n"/>
      <c r="Q1195" s="113" t="n"/>
      <c r="R1195" s="113" t="n"/>
      <c r="S1195" s="113" t="n"/>
      <c r="T1195" s="113" t="n"/>
      <c r="U1195" s="113" t="n"/>
      <c r="V1195" s="113" t="n"/>
      <c r="W1195" s="113" t="n"/>
      <c r="X1195" s="113" t="n"/>
      <c r="Y1195" s="113" t="n"/>
      <c r="Z1195" s="117">
        <f>IF($B1195="",0,IF($S1195="EVET",IF($D1195="GELİR",$O1195,-$O1195),0))</f>
        <v/>
      </c>
      <c r="AA1195" s="117">
        <f>IF($B1195="",0,IF(OR($W1195="EVET",$X1195="EVET",$Y1195="EVET"),0,IF($D1195="GELİR",IF($E1195="SATIŞ İADESİ/İSKONTO",-$O1195,$O1195),-$O1195)))</f>
        <v/>
      </c>
      <c r="AB1195" s="117">
        <f>IF($B1195="","",IF(OR($D1195="",$E1195="",$O1195=""),"EKSİK",IF($O1195&lt;=0,"SIFIR/NEGATİF",IF(COUNTIFS($C$6:$C$5000,$C1195,$O$6:$O$5000,$O1195,$B$6:$B$5000,$B1195)&gt;1,"MÜKERRER","OK"))))</f>
        <v/>
      </c>
    </row>
    <row r="1196" ht="16.5" customHeight="1" s="80">
      <c r="A1196" s="113" t="n"/>
      <c r="B1196" s="113" t="n"/>
      <c r="C1196" s="113" t="n"/>
      <c r="D1196" s="113" t="n"/>
      <c r="E1196" s="113" t="n"/>
      <c r="F1196" s="113" t="n"/>
      <c r="G1196" s="113" t="n"/>
      <c r="H1196" s="113" t="n"/>
      <c r="I1196" s="113" t="n"/>
      <c r="J1196" s="113" t="n"/>
      <c r="K1196" s="113" t="n"/>
      <c r="L1196" s="113" t="n"/>
      <c r="M1196" s="113" t="n"/>
      <c r="N1196" s="113" t="n"/>
      <c r="O1196" s="113" t="n"/>
      <c r="P1196" s="113" t="n"/>
      <c r="Q1196" s="113" t="n"/>
      <c r="R1196" s="113" t="n"/>
      <c r="S1196" s="113" t="n"/>
      <c r="T1196" s="113" t="n"/>
      <c r="U1196" s="113" t="n"/>
      <c r="V1196" s="113" t="n"/>
      <c r="W1196" s="113" t="n"/>
      <c r="X1196" s="113" t="n"/>
      <c r="Y1196" s="113" t="n"/>
      <c r="Z1196" s="117">
        <f>IF($B1196="",0,IF($S1196="EVET",IF($D1196="GELİR",$O1196,-$O1196),0))</f>
        <v/>
      </c>
      <c r="AA1196" s="117">
        <f>IF($B1196="",0,IF(OR($W1196="EVET",$X1196="EVET",$Y1196="EVET"),0,IF($D1196="GELİR",IF($E1196="SATIŞ İADESİ/İSKONTO",-$O1196,$O1196),-$O1196)))</f>
        <v/>
      </c>
      <c r="AB1196" s="117">
        <f>IF($B1196="","",IF(OR($D1196="",$E1196="",$O1196=""),"EKSİK",IF($O1196&lt;=0,"SIFIR/NEGATİF",IF(COUNTIFS($C$6:$C$5000,$C1196,$O$6:$O$5000,$O1196,$B$6:$B$5000,$B1196)&gt;1,"MÜKERRER","OK"))))</f>
        <v/>
      </c>
    </row>
    <row r="1197" ht="16.5" customHeight="1" s="80">
      <c r="A1197" s="113" t="n"/>
      <c r="B1197" s="113" t="n"/>
      <c r="C1197" s="113" t="n"/>
      <c r="D1197" s="113" t="n"/>
      <c r="E1197" s="113" t="n"/>
      <c r="F1197" s="113" t="n"/>
      <c r="G1197" s="113" t="n"/>
      <c r="H1197" s="113" t="n"/>
      <c r="I1197" s="113" t="n"/>
      <c r="J1197" s="113" t="n"/>
      <c r="K1197" s="113" t="n"/>
      <c r="L1197" s="113" t="n"/>
      <c r="M1197" s="113" t="n"/>
      <c r="N1197" s="113" t="n"/>
      <c r="O1197" s="113" t="n"/>
      <c r="P1197" s="113" t="n"/>
      <c r="Q1197" s="113" t="n"/>
      <c r="R1197" s="113" t="n"/>
      <c r="S1197" s="113" t="n"/>
      <c r="T1197" s="113" t="n"/>
      <c r="U1197" s="113" t="n"/>
      <c r="V1197" s="113" t="n"/>
      <c r="W1197" s="113" t="n"/>
      <c r="X1197" s="113" t="n"/>
      <c r="Y1197" s="113" t="n"/>
      <c r="Z1197" s="117">
        <f>IF($B1197="",0,IF($S1197="EVET",IF($D1197="GELİR",$O1197,-$O1197),0))</f>
        <v/>
      </c>
      <c r="AA1197" s="117">
        <f>IF($B1197="",0,IF(OR($W1197="EVET",$X1197="EVET",$Y1197="EVET"),0,IF($D1197="GELİR",IF($E1197="SATIŞ İADESİ/İSKONTO",-$O1197,$O1197),-$O1197)))</f>
        <v/>
      </c>
      <c r="AB1197" s="117">
        <f>IF($B1197="","",IF(OR($D1197="",$E1197="",$O1197=""),"EKSİK",IF($O1197&lt;=0,"SIFIR/NEGATİF",IF(COUNTIFS($C$6:$C$5000,$C1197,$O$6:$O$5000,$O1197,$B$6:$B$5000,$B1197)&gt;1,"MÜKERRER","OK"))))</f>
        <v/>
      </c>
    </row>
    <row r="1198" ht="16.5" customHeight="1" s="80">
      <c r="A1198" s="113" t="n"/>
      <c r="B1198" s="113" t="n"/>
      <c r="C1198" s="113" t="n"/>
      <c r="D1198" s="113" t="n"/>
      <c r="E1198" s="113" t="n"/>
      <c r="F1198" s="113" t="n"/>
      <c r="G1198" s="113" t="n"/>
      <c r="H1198" s="113" t="n"/>
      <c r="I1198" s="113" t="n"/>
      <c r="J1198" s="113" t="n"/>
      <c r="K1198" s="113" t="n"/>
      <c r="L1198" s="113" t="n"/>
      <c r="M1198" s="113" t="n"/>
      <c r="N1198" s="113" t="n"/>
      <c r="O1198" s="113" t="n"/>
      <c r="P1198" s="113" t="n"/>
      <c r="Q1198" s="113" t="n"/>
      <c r="R1198" s="113" t="n"/>
      <c r="S1198" s="113" t="n"/>
      <c r="T1198" s="113" t="n"/>
      <c r="U1198" s="113" t="n"/>
      <c r="V1198" s="113" t="n"/>
      <c r="W1198" s="113" t="n"/>
      <c r="X1198" s="113" t="n"/>
      <c r="Y1198" s="113" t="n"/>
      <c r="Z1198" s="117">
        <f>IF($B1198="",0,IF($S1198="EVET",IF($D1198="GELİR",$O1198,-$O1198),0))</f>
        <v/>
      </c>
      <c r="AA1198" s="117">
        <f>IF($B1198="",0,IF(OR($W1198="EVET",$X1198="EVET",$Y1198="EVET"),0,IF($D1198="GELİR",IF($E1198="SATIŞ İADESİ/İSKONTO",-$O1198,$O1198),-$O1198)))</f>
        <v/>
      </c>
      <c r="AB1198" s="117">
        <f>IF($B1198="","",IF(OR($D1198="",$E1198="",$O1198=""),"EKSİK",IF($O1198&lt;=0,"SIFIR/NEGATİF",IF(COUNTIFS($C$6:$C$5000,$C1198,$O$6:$O$5000,$O1198,$B$6:$B$5000,$B1198)&gt;1,"MÜKERRER","OK"))))</f>
        <v/>
      </c>
    </row>
    <row r="1199" ht="16.5" customHeight="1" s="80">
      <c r="A1199" s="113" t="n"/>
      <c r="B1199" s="113" t="n"/>
      <c r="C1199" s="113" t="n"/>
      <c r="D1199" s="113" t="n"/>
      <c r="E1199" s="113" t="n"/>
      <c r="F1199" s="113" t="n"/>
      <c r="G1199" s="113" t="n"/>
      <c r="H1199" s="113" t="n"/>
      <c r="I1199" s="113" t="n"/>
      <c r="J1199" s="113" t="n"/>
      <c r="K1199" s="113" t="n"/>
      <c r="L1199" s="113" t="n"/>
      <c r="M1199" s="113" t="n"/>
      <c r="N1199" s="113" t="n"/>
      <c r="O1199" s="113" t="n"/>
      <c r="P1199" s="113" t="n"/>
      <c r="Q1199" s="113" t="n"/>
      <c r="R1199" s="113" t="n"/>
      <c r="S1199" s="113" t="n"/>
      <c r="T1199" s="113" t="n"/>
      <c r="U1199" s="113" t="n"/>
      <c r="V1199" s="113" t="n"/>
      <c r="W1199" s="113" t="n"/>
      <c r="X1199" s="113" t="n"/>
      <c r="Y1199" s="113" t="n"/>
      <c r="Z1199" s="117">
        <f>IF($B1199="",0,IF($S1199="EVET",IF($D1199="GELİR",$O1199,-$O1199),0))</f>
        <v/>
      </c>
      <c r="AA1199" s="117">
        <f>IF($B1199="",0,IF(OR($W1199="EVET",$X1199="EVET",$Y1199="EVET"),0,IF($D1199="GELİR",IF($E1199="SATIŞ İADESİ/İSKONTO",-$O1199,$O1199),-$O1199)))</f>
        <v/>
      </c>
      <c r="AB1199" s="117">
        <f>IF($B1199="","",IF(OR($D1199="",$E1199="",$O1199=""),"EKSİK",IF($O1199&lt;=0,"SIFIR/NEGATİF",IF(COUNTIFS($C$6:$C$5000,$C1199,$O$6:$O$5000,$O1199,$B$6:$B$5000,$B1199)&gt;1,"MÜKERRER","OK"))))</f>
        <v/>
      </c>
    </row>
    <row r="1200" ht="16.5" customHeight="1" s="80">
      <c r="A1200" s="113" t="n"/>
      <c r="B1200" s="113" t="n"/>
      <c r="C1200" s="113" t="n"/>
      <c r="D1200" s="113" t="n"/>
      <c r="E1200" s="113" t="n"/>
      <c r="F1200" s="113" t="n"/>
      <c r="G1200" s="113" t="n"/>
      <c r="H1200" s="113" t="n"/>
      <c r="I1200" s="113" t="n"/>
      <c r="J1200" s="113" t="n"/>
      <c r="K1200" s="113" t="n"/>
      <c r="L1200" s="113" t="n"/>
      <c r="M1200" s="113" t="n"/>
      <c r="N1200" s="113" t="n"/>
      <c r="O1200" s="113" t="n"/>
      <c r="P1200" s="113" t="n"/>
      <c r="Q1200" s="113" t="n"/>
      <c r="R1200" s="113" t="n"/>
      <c r="S1200" s="113" t="n"/>
      <c r="T1200" s="113" t="n"/>
      <c r="U1200" s="113" t="n"/>
      <c r="V1200" s="113" t="n"/>
      <c r="W1200" s="113" t="n"/>
      <c r="X1200" s="113" t="n"/>
      <c r="Y1200" s="113" t="n"/>
      <c r="Z1200" s="117">
        <f>IF($B1200="",0,IF($S1200="EVET",IF($D1200="GELİR",$O1200,-$O1200),0))</f>
        <v/>
      </c>
      <c r="AA1200" s="117">
        <f>IF($B1200="",0,IF(OR($W1200="EVET",$X1200="EVET",$Y1200="EVET"),0,IF($D1200="GELİR",IF($E1200="SATIŞ İADESİ/İSKONTO",-$O1200,$O1200),-$O1200)))</f>
        <v/>
      </c>
      <c r="AB1200" s="117">
        <f>IF($B1200="","",IF(OR($D1200="",$E1200="",$O1200=""),"EKSİK",IF($O1200&lt;=0,"SIFIR/NEGATİF",IF(COUNTIFS($C$6:$C$5000,$C1200,$O$6:$O$5000,$O1200,$B$6:$B$5000,$B1200)&gt;1,"MÜKERRER","OK"))))</f>
        <v/>
      </c>
    </row>
    <row r="1201" ht="16.5" customHeight="1" s="80">
      <c r="A1201" s="113" t="n"/>
      <c r="B1201" s="113" t="n"/>
      <c r="C1201" s="113" t="n"/>
      <c r="D1201" s="113" t="n"/>
      <c r="E1201" s="113" t="n"/>
      <c r="F1201" s="113" t="n"/>
      <c r="G1201" s="113" t="n"/>
      <c r="H1201" s="113" t="n"/>
      <c r="I1201" s="113" t="n"/>
      <c r="J1201" s="113" t="n"/>
      <c r="K1201" s="113" t="n"/>
      <c r="L1201" s="113" t="n"/>
      <c r="M1201" s="113" t="n"/>
      <c r="N1201" s="113" t="n"/>
      <c r="O1201" s="113" t="n"/>
      <c r="P1201" s="113" t="n"/>
      <c r="Q1201" s="113" t="n"/>
      <c r="R1201" s="113" t="n"/>
      <c r="S1201" s="113" t="n"/>
      <c r="T1201" s="113" t="n"/>
      <c r="U1201" s="113" t="n"/>
      <c r="V1201" s="113" t="n"/>
      <c r="W1201" s="113" t="n"/>
      <c r="X1201" s="113" t="n"/>
      <c r="Y1201" s="113" t="n"/>
      <c r="Z1201" s="117">
        <f>IF($B1201="",0,IF($S1201="EVET",IF($D1201="GELİR",$O1201,-$O1201),0))</f>
        <v/>
      </c>
      <c r="AA1201" s="117">
        <f>IF($B1201="",0,IF(OR($W1201="EVET",$X1201="EVET",$Y1201="EVET"),0,IF($D1201="GELİR",IF($E1201="SATIŞ İADESİ/İSKONTO",-$O1201,$O1201),-$O1201)))</f>
        <v/>
      </c>
      <c r="AB1201" s="117">
        <f>IF($B1201="","",IF(OR($D1201="",$E1201="",$O1201=""),"EKSİK",IF($O1201&lt;=0,"SIFIR/NEGATİF",IF(COUNTIFS($C$6:$C$5000,$C1201,$O$6:$O$5000,$O1201,$B$6:$B$5000,$B1201)&gt;1,"MÜKERRER","OK"))))</f>
        <v/>
      </c>
    </row>
    <row r="1202" ht="16.5" customHeight="1" s="80">
      <c r="A1202" s="113" t="n"/>
      <c r="B1202" s="113" t="n"/>
      <c r="C1202" s="113" t="n"/>
      <c r="D1202" s="113" t="n"/>
      <c r="E1202" s="113" t="n"/>
      <c r="F1202" s="113" t="n"/>
      <c r="G1202" s="113" t="n"/>
      <c r="H1202" s="113" t="n"/>
      <c r="I1202" s="113" t="n"/>
      <c r="J1202" s="113" t="n"/>
      <c r="K1202" s="113" t="n"/>
      <c r="L1202" s="113" t="n"/>
      <c r="M1202" s="113" t="n"/>
      <c r="N1202" s="113" t="n"/>
      <c r="O1202" s="113" t="n"/>
      <c r="P1202" s="113" t="n"/>
      <c r="Q1202" s="113" t="n"/>
      <c r="R1202" s="113" t="n"/>
      <c r="S1202" s="113" t="n"/>
      <c r="T1202" s="113" t="n"/>
      <c r="U1202" s="113" t="n"/>
      <c r="V1202" s="113" t="n"/>
      <c r="W1202" s="113" t="n"/>
      <c r="X1202" s="113" t="n"/>
      <c r="Y1202" s="113" t="n"/>
      <c r="Z1202" s="117">
        <f>IF($B1202="",0,IF($S1202="EVET",IF($D1202="GELİR",$O1202,-$O1202),0))</f>
        <v/>
      </c>
      <c r="AA1202" s="117">
        <f>IF($B1202="",0,IF(OR($W1202="EVET",$X1202="EVET",$Y1202="EVET"),0,IF($D1202="GELİR",IF($E1202="SATIŞ İADESİ/İSKONTO",-$O1202,$O1202),-$O1202)))</f>
        <v/>
      </c>
      <c r="AB1202" s="117">
        <f>IF($B1202="","",IF(OR($D1202="",$E1202="",$O1202=""),"EKSİK",IF($O1202&lt;=0,"SIFIR/NEGATİF",IF(COUNTIFS($C$6:$C$5000,$C1202,$O$6:$O$5000,$O1202,$B$6:$B$5000,$B1202)&gt;1,"MÜKERRER","OK"))))</f>
        <v/>
      </c>
    </row>
    <row r="1203" ht="16.5" customHeight="1" s="80">
      <c r="A1203" s="113" t="n"/>
      <c r="B1203" s="113" t="n"/>
      <c r="C1203" s="113" t="n"/>
      <c r="D1203" s="113" t="n"/>
      <c r="E1203" s="113" t="n"/>
      <c r="F1203" s="113" t="n"/>
      <c r="G1203" s="113" t="n"/>
      <c r="H1203" s="113" t="n"/>
      <c r="I1203" s="113" t="n"/>
      <c r="J1203" s="113" t="n"/>
      <c r="K1203" s="113" t="n"/>
      <c r="L1203" s="113" t="n"/>
      <c r="M1203" s="113" t="n"/>
      <c r="N1203" s="113" t="n"/>
      <c r="O1203" s="113" t="n"/>
      <c r="P1203" s="113" t="n"/>
      <c r="Q1203" s="113" t="n"/>
      <c r="R1203" s="113" t="n"/>
      <c r="S1203" s="113" t="n"/>
      <c r="T1203" s="113" t="n"/>
      <c r="U1203" s="113" t="n"/>
      <c r="V1203" s="113" t="n"/>
      <c r="W1203" s="113" t="n"/>
      <c r="X1203" s="113" t="n"/>
      <c r="Y1203" s="113" t="n"/>
      <c r="Z1203" s="117">
        <f>IF($B1203="",0,IF($S1203="EVET",IF($D1203="GELİR",$O1203,-$O1203),0))</f>
        <v/>
      </c>
      <c r="AA1203" s="117">
        <f>IF($B1203="",0,IF(OR($W1203="EVET",$X1203="EVET",$Y1203="EVET"),0,IF($D1203="GELİR",IF($E1203="SATIŞ İADESİ/İSKONTO",-$O1203,$O1203),-$O1203)))</f>
        <v/>
      </c>
      <c r="AB1203" s="117">
        <f>IF($B1203="","",IF(OR($D1203="",$E1203="",$O1203=""),"EKSİK",IF($O1203&lt;=0,"SIFIR/NEGATİF",IF(COUNTIFS($C$6:$C$5000,$C1203,$O$6:$O$5000,$O1203,$B$6:$B$5000,$B1203)&gt;1,"MÜKERRER","OK"))))</f>
        <v/>
      </c>
    </row>
    <row r="1204" ht="16.5" customHeight="1" s="80">
      <c r="A1204" s="113" t="n"/>
      <c r="B1204" s="113" t="n"/>
      <c r="C1204" s="113" t="n"/>
      <c r="D1204" s="113" t="n"/>
      <c r="E1204" s="113" t="n"/>
      <c r="F1204" s="113" t="n"/>
      <c r="G1204" s="113" t="n"/>
      <c r="H1204" s="113" t="n"/>
      <c r="I1204" s="113" t="n"/>
      <c r="J1204" s="113" t="n"/>
      <c r="K1204" s="113" t="n"/>
      <c r="L1204" s="113" t="n"/>
      <c r="M1204" s="113" t="n"/>
      <c r="N1204" s="113" t="n"/>
      <c r="O1204" s="113" t="n"/>
      <c r="P1204" s="113" t="n"/>
      <c r="Q1204" s="113" t="n"/>
      <c r="R1204" s="113" t="n"/>
      <c r="S1204" s="113" t="n"/>
      <c r="T1204" s="113" t="n"/>
      <c r="U1204" s="113" t="n"/>
      <c r="V1204" s="113" t="n"/>
      <c r="W1204" s="113" t="n"/>
      <c r="X1204" s="113" t="n"/>
      <c r="Y1204" s="113" t="n"/>
      <c r="Z1204" s="117">
        <f>IF($B1204="",0,IF($S1204="EVET",IF($D1204="GELİR",$O1204,-$O1204),0))</f>
        <v/>
      </c>
      <c r="AA1204" s="117">
        <f>IF($B1204="",0,IF(OR($W1204="EVET",$X1204="EVET",$Y1204="EVET"),0,IF($D1204="GELİR",IF($E1204="SATIŞ İADESİ/İSKONTO",-$O1204,$O1204),-$O1204)))</f>
        <v/>
      </c>
      <c r="AB1204" s="117">
        <f>IF($B1204="","",IF(OR($D1204="",$E1204="",$O1204=""),"EKSİK",IF($O1204&lt;=0,"SIFIR/NEGATİF",IF(COUNTIFS($C$6:$C$5000,$C1204,$O$6:$O$5000,$O1204,$B$6:$B$5000,$B1204)&gt;1,"MÜKERRER","OK"))))</f>
        <v/>
      </c>
    </row>
    <row r="1205" ht="16.5" customHeight="1" s="80">
      <c r="A1205" s="113" t="n"/>
      <c r="B1205" s="113" t="n"/>
      <c r="C1205" s="113" t="n"/>
      <c r="D1205" s="113" t="n"/>
      <c r="E1205" s="113" t="n"/>
      <c r="F1205" s="113" t="n"/>
      <c r="G1205" s="113" t="n"/>
      <c r="H1205" s="113" t="n"/>
      <c r="I1205" s="113" t="n"/>
      <c r="J1205" s="113" t="n"/>
      <c r="K1205" s="113" t="n"/>
      <c r="L1205" s="113" t="n"/>
      <c r="M1205" s="113" t="n"/>
      <c r="N1205" s="113" t="n"/>
      <c r="O1205" s="113" t="n"/>
      <c r="P1205" s="113" t="n"/>
      <c r="Q1205" s="113" t="n"/>
      <c r="R1205" s="113" t="n"/>
      <c r="S1205" s="113" t="n"/>
      <c r="T1205" s="113" t="n"/>
      <c r="U1205" s="113" t="n"/>
      <c r="V1205" s="113" t="n"/>
      <c r="W1205" s="113" t="n"/>
      <c r="X1205" s="113" t="n"/>
      <c r="Y1205" s="113" t="n"/>
      <c r="Z1205" s="117">
        <f>IF($B1205="",0,IF($S1205="EVET",IF($D1205="GELİR",$O1205,-$O1205),0))</f>
        <v/>
      </c>
      <c r="AA1205" s="117">
        <f>IF($B1205="",0,IF(OR($W1205="EVET",$X1205="EVET",$Y1205="EVET"),0,IF($D1205="GELİR",IF($E1205="SATIŞ İADESİ/İSKONTO",-$O1205,$O1205),-$O1205)))</f>
        <v/>
      </c>
      <c r="AB1205" s="117">
        <f>IF($B1205="","",IF(OR($D1205="",$E1205="",$O1205=""),"EKSİK",IF($O1205&lt;=0,"SIFIR/NEGATİF",IF(COUNTIFS($C$6:$C$5000,$C1205,$O$6:$O$5000,$O1205,$B$6:$B$5000,$B1205)&gt;1,"MÜKERRER","OK"))))</f>
        <v/>
      </c>
    </row>
    <row r="1206" ht="16.5" customHeight="1" s="80">
      <c r="A1206" s="113" t="n"/>
      <c r="B1206" s="113" t="n"/>
      <c r="C1206" s="113" t="n"/>
      <c r="D1206" s="113" t="n"/>
      <c r="E1206" s="113" t="n"/>
      <c r="F1206" s="113" t="n"/>
      <c r="G1206" s="113" t="n"/>
      <c r="H1206" s="113" t="n"/>
      <c r="I1206" s="113" t="n"/>
      <c r="J1206" s="113" t="n"/>
      <c r="K1206" s="113" t="n"/>
      <c r="L1206" s="113" t="n"/>
      <c r="M1206" s="113" t="n"/>
      <c r="N1206" s="113" t="n"/>
      <c r="O1206" s="113" t="n"/>
      <c r="P1206" s="113" t="n"/>
      <c r="Q1206" s="113" t="n"/>
      <c r="R1206" s="113" t="n"/>
      <c r="S1206" s="113" t="n"/>
      <c r="T1206" s="113" t="n"/>
      <c r="U1206" s="113" t="n"/>
      <c r="V1206" s="113" t="n"/>
      <c r="W1206" s="113" t="n"/>
      <c r="X1206" s="113" t="n"/>
      <c r="Y1206" s="113" t="n"/>
      <c r="Z1206" s="117">
        <f>IF($B1206="",0,IF($S1206="EVET",IF($D1206="GELİR",$O1206,-$O1206),0))</f>
        <v/>
      </c>
      <c r="AA1206" s="117">
        <f>IF($B1206="",0,IF(OR($W1206="EVET",$X1206="EVET",$Y1206="EVET"),0,IF($D1206="GELİR",IF($E1206="SATIŞ İADESİ/İSKONTO",-$O1206,$O1206),-$O1206)))</f>
        <v/>
      </c>
      <c r="AB1206" s="117">
        <f>IF($B1206="","",IF(OR($D1206="",$E1206="",$O1206=""),"EKSİK",IF($O1206&lt;=0,"SIFIR/NEGATİF",IF(COUNTIFS($C$6:$C$5000,$C1206,$O$6:$O$5000,$O1206,$B$6:$B$5000,$B1206)&gt;1,"MÜKERRER","OK"))))</f>
        <v/>
      </c>
    </row>
    <row r="1207" ht="16.5" customHeight="1" s="80">
      <c r="A1207" s="113" t="n"/>
      <c r="B1207" s="113" t="n"/>
      <c r="C1207" s="113" t="n"/>
      <c r="D1207" s="113" t="n"/>
      <c r="E1207" s="113" t="n"/>
      <c r="F1207" s="113" t="n"/>
      <c r="G1207" s="113" t="n"/>
      <c r="H1207" s="113" t="n"/>
      <c r="I1207" s="113" t="n"/>
      <c r="J1207" s="113" t="n"/>
      <c r="K1207" s="113" t="n"/>
      <c r="L1207" s="113" t="n"/>
      <c r="M1207" s="113" t="n"/>
      <c r="N1207" s="113" t="n"/>
      <c r="O1207" s="113" t="n"/>
      <c r="P1207" s="113" t="n"/>
      <c r="Q1207" s="113" t="n"/>
      <c r="R1207" s="113" t="n"/>
      <c r="S1207" s="113" t="n"/>
      <c r="T1207" s="113" t="n"/>
      <c r="U1207" s="113" t="n"/>
      <c r="V1207" s="113" t="n"/>
      <c r="W1207" s="113" t="n"/>
      <c r="X1207" s="113" t="n"/>
      <c r="Y1207" s="113" t="n"/>
      <c r="Z1207" s="117">
        <f>IF($B1207="",0,IF($S1207="EVET",IF($D1207="GELİR",$O1207,-$O1207),0))</f>
        <v/>
      </c>
      <c r="AA1207" s="117">
        <f>IF($B1207="",0,IF(OR($W1207="EVET",$X1207="EVET",$Y1207="EVET"),0,IF($D1207="GELİR",IF($E1207="SATIŞ İADESİ/İSKONTO",-$O1207,$O1207),-$O1207)))</f>
        <v/>
      </c>
      <c r="AB1207" s="117">
        <f>IF($B1207="","",IF(OR($D1207="",$E1207="",$O1207=""),"EKSİK",IF($O1207&lt;=0,"SIFIR/NEGATİF",IF(COUNTIFS($C$6:$C$5000,$C1207,$O$6:$O$5000,$O1207,$B$6:$B$5000,$B1207)&gt;1,"MÜKERRER","OK"))))</f>
        <v/>
      </c>
    </row>
    <row r="1208" ht="16.5" customHeight="1" s="80">
      <c r="A1208" s="113" t="n"/>
      <c r="B1208" s="113" t="n"/>
      <c r="C1208" s="113" t="n"/>
      <c r="D1208" s="113" t="n"/>
      <c r="E1208" s="113" t="n"/>
      <c r="F1208" s="113" t="n"/>
      <c r="G1208" s="113" t="n"/>
      <c r="H1208" s="113" t="n"/>
      <c r="I1208" s="113" t="n"/>
      <c r="J1208" s="113" t="n"/>
      <c r="K1208" s="113" t="n"/>
      <c r="L1208" s="113" t="n"/>
      <c r="M1208" s="113" t="n"/>
      <c r="N1208" s="113" t="n"/>
      <c r="O1208" s="113" t="n"/>
      <c r="P1208" s="113" t="n"/>
      <c r="Q1208" s="113" t="n"/>
      <c r="R1208" s="113" t="n"/>
      <c r="S1208" s="113" t="n"/>
      <c r="T1208" s="113" t="n"/>
      <c r="U1208" s="113" t="n"/>
      <c r="V1208" s="113" t="n"/>
      <c r="W1208" s="113" t="n"/>
      <c r="X1208" s="113" t="n"/>
      <c r="Y1208" s="113" t="n"/>
      <c r="Z1208" s="117">
        <f>IF($B1208="",0,IF($S1208="EVET",IF($D1208="GELİR",$O1208,-$O1208),0))</f>
        <v/>
      </c>
      <c r="AA1208" s="117">
        <f>IF($B1208="",0,IF(OR($W1208="EVET",$X1208="EVET",$Y1208="EVET"),0,IF($D1208="GELİR",IF($E1208="SATIŞ İADESİ/İSKONTO",-$O1208,$O1208),-$O1208)))</f>
        <v/>
      </c>
      <c r="AB1208" s="117">
        <f>IF($B1208="","",IF(OR($D1208="",$E1208="",$O1208=""),"EKSİK",IF($O1208&lt;=0,"SIFIR/NEGATİF",IF(COUNTIFS($C$6:$C$5000,$C1208,$O$6:$O$5000,$O1208,$B$6:$B$5000,$B1208)&gt;1,"MÜKERRER","OK"))))</f>
        <v/>
      </c>
    </row>
    <row r="1209" ht="16.5" customHeight="1" s="80">
      <c r="A1209" s="113" t="n"/>
      <c r="B1209" s="113" t="n"/>
      <c r="C1209" s="113" t="n"/>
      <c r="D1209" s="113" t="n"/>
      <c r="E1209" s="113" t="n"/>
      <c r="F1209" s="113" t="n"/>
      <c r="G1209" s="113" t="n"/>
      <c r="H1209" s="113" t="n"/>
      <c r="I1209" s="113" t="n"/>
      <c r="J1209" s="113" t="n"/>
      <c r="K1209" s="113" t="n"/>
      <c r="L1209" s="113" t="n"/>
      <c r="M1209" s="113" t="n"/>
      <c r="N1209" s="113" t="n"/>
      <c r="O1209" s="113" t="n"/>
      <c r="P1209" s="113" t="n"/>
      <c r="Q1209" s="113" t="n"/>
      <c r="R1209" s="113" t="n"/>
      <c r="S1209" s="113" t="n"/>
      <c r="T1209" s="113" t="n"/>
      <c r="U1209" s="113" t="n"/>
      <c r="V1209" s="113" t="n"/>
      <c r="W1209" s="113" t="n"/>
      <c r="X1209" s="113" t="n"/>
      <c r="Y1209" s="113" t="n"/>
      <c r="Z1209" s="117">
        <f>IF($B1209="",0,IF($S1209="EVET",IF($D1209="GELİR",$O1209,-$O1209),0))</f>
        <v/>
      </c>
      <c r="AA1209" s="117">
        <f>IF($B1209="",0,IF(OR($W1209="EVET",$X1209="EVET",$Y1209="EVET"),0,IF($D1209="GELİR",IF($E1209="SATIŞ İADESİ/İSKONTO",-$O1209,$O1209),-$O1209)))</f>
        <v/>
      </c>
      <c r="AB1209" s="117">
        <f>IF($B1209="","",IF(OR($D1209="",$E1209="",$O1209=""),"EKSİK",IF($O1209&lt;=0,"SIFIR/NEGATİF",IF(COUNTIFS($C$6:$C$5000,$C1209,$O$6:$O$5000,$O1209,$B$6:$B$5000,$B1209)&gt;1,"MÜKERRER","OK"))))</f>
        <v/>
      </c>
    </row>
    <row r="1210" ht="16.5" customHeight="1" s="80">
      <c r="A1210" s="113" t="n"/>
      <c r="B1210" s="113" t="n"/>
      <c r="C1210" s="113" t="n"/>
      <c r="D1210" s="113" t="n"/>
      <c r="E1210" s="113" t="n"/>
      <c r="F1210" s="113" t="n"/>
      <c r="G1210" s="113" t="n"/>
      <c r="H1210" s="113" t="n"/>
      <c r="I1210" s="113" t="n"/>
      <c r="J1210" s="113" t="n"/>
      <c r="K1210" s="113" t="n"/>
      <c r="L1210" s="113" t="n"/>
      <c r="M1210" s="113" t="n"/>
      <c r="N1210" s="113" t="n"/>
      <c r="O1210" s="113" t="n"/>
      <c r="P1210" s="113" t="n"/>
      <c r="Q1210" s="113" t="n"/>
      <c r="R1210" s="113" t="n"/>
      <c r="S1210" s="113" t="n"/>
      <c r="T1210" s="113" t="n"/>
      <c r="U1210" s="113" t="n"/>
      <c r="V1210" s="113" t="n"/>
      <c r="W1210" s="113" t="n"/>
      <c r="X1210" s="113" t="n"/>
      <c r="Y1210" s="113" t="n"/>
      <c r="Z1210" s="117">
        <f>IF($B1210="",0,IF($S1210="EVET",IF($D1210="GELİR",$O1210,-$O1210),0))</f>
        <v/>
      </c>
      <c r="AA1210" s="117">
        <f>IF($B1210="",0,IF(OR($W1210="EVET",$X1210="EVET",$Y1210="EVET"),0,IF($D1210="GELİR",IF($E1210="SATIŞ İADESİ/İSKONTO",-$O1210,$O1210),-$O1210)))</f>
        <v/>
      </c>
      <c r="AB1210" s="117">
        <f>IF($B1210="","",IF(OR($D1210="",$E1210="",$O1210=""),"EKSİK",IF($O1210&lt;=0,"SIFIR/NEGATİF",IF(COUNTIFS($C$6:$C$5000,$C1210,$O$6:$O$5000,$O1210,$B$6:$B$5000,$B1210)&gt;1,"MÜKERRER","OK"))))</f>
        <v/>
      </c>
    </row>
    <row r="1211" ht="16.5" customHeight="1" s="80">
      <c r="A1211" s="113" t="n"/>
      <c r="B1211" s="113" t="n"/>
      <c r="C1211" s="113" t="n"/>
      <c r="D1211" s="113" t="n"/>
      <c r="E1211" s="113" t="n"/>
      <c r="F1211" s="113" t="n"/>
      <c r="G1211" s="113" t="n"/>
      <c r="H1211" s="113" t="n"/>
      <c r="I1211" s="113" t="n"/>
      <c r="J1211" s="113" t="n"/>
      <c r="K1211" s="113" t="n"/>
      <c r="L1211" s="113" t="n"/>
      <c r="M1211" s="113" t="n"/>
      <c r="N1211" s="113" t="n"/>
      <c r="O1211" s="113" t="n"/>
      <c r="P1211" s="113" t="n"/>
      <c r="Q1211" s="113" t="n"/>
      <c r="R1211" s="113" t="n"/>
      <c r="S1211" s="113" t="n"/>
      <c r="T1211" s="113" t="n"/>
      <c r="U1211" s="113" t="n"/>
      <c r="V1211" s="113" t="n"/>
      <c r="W1211" s="113" t="n"/>
      <c r="X1211" s="113" t="n"/>
      <c r="Y1211" s="113" t="n"/>
      <c r="Z1211" s="117">
        <f>IF($B1211="",0,IF($S1211="EVET",IF($D1211="GELİR",$O1211,-$O1211),0))</f>
        <v/>
      </c>
      <c r="AA1211" s="117">
        <f>IF($B1211="",0,IF(OR($W1211="EVET",$X1211="EVET",$Y1211="EVET"),0,IF($D1211="GELİR",IF($E1211="SATIŞ İADESİ/İSKONTO",-$O1211,$O1211),-$O1211)))</f>
        <v/>
      </c>
      <c r="AB1211" s="117">
        <f>IF($B1211="","",IF(OR($D1211="",$E1211="",$O1211=""),"EKSİK",IF($O1211&lt;=0,"SIFIR/NEGATİF",IF(COUNTIFS($C$6:$C$5000,$C1211,$O$6:$O$5000,$O1211,$B$6:$B$5000,$B1211)&gt;1,"MÜKERRER","OK"))))</f>
        <v/>
      </c>
    </row>
    <row r="1212" ht="16.5" customHeight="1" s="80">
      <c r="A1212" s="113" t="n"/>
      <c r="B1212" s="113" t="n"/>
      <c r="C1212" s="113" t="n"/>
      <c r="D1212" s="113" t="n"/>
      <c r="E1212" s="113" t="n"/>
      <c r="F1212" s="113" t="n"/>
      <c r="G1212" s="113" t="n"/>
      <c r="H1212" s="113" t="n"/>
      <c r="I1212" s="113" t="n"/>
      <c r="J1212" s="113" t="n"/>
      <c r="K1212" s="113" t="n"/>
      <c r="L1212" s="113" t="n"/>
      <c r="M1212" s="113" t="n"/>
      <c r="N1212" s="113" t="n"/>
      <c r="O1212" s="113" t="n"/>
      <c r="P1212" s="113" t="n"/>
      <c r="Q1212" s="113" t="n"/>
      <c r="R1212" s="113" t="n"/>
      <c r="S1212" s="113" t="n"/>
      <c r="T1212" s="113" t="n"/>
      <c r="U1212" s="113" t="n"/>
      <c r="V1212" s="113" t="n"/>
      <c r="W1212" s="113" t="n"/>
      <c r="X1212" s="113" t="n"/>
      <c r="Y1212" s="113" t="n"/>
      <c r="Z1212" s="117">
        <f>IF($B1212="",0,IF($S1212="EVET",IF($D1212="GELİR",$O1212,-$O1212),0))</f>
        <v/>
      </c>
      <c r="AA1212" s="117">
        <f>IF($B1212="",0,IF(OR($W1212="EVET",$X1212="EVET",$Y1212="EVET"),0,IF($D1212="GELİR",IF($E1212="SATIŞ İADESİ/İSKONTO",-$O1212,$O1212),-$O1212)))</f>
        <v/>
      </c>
      <c r="AB1212" s="117">
        <f>IF($B1212="","",IF(OR($D1212="",$E1212="",$O1212=""),"EKSİK",IF($O1212&lt;=0,"SIFIR/NEGATİF",IF(COUNTIFS($C$6:$C$5000,$C1212,$O$6:$O$5000,$O1212,$B$6:$B$5000,$B1212)&gt;1,"MÜKERRER","OK"))))</f>
        <v/>
      </c>
    </row>
    <row r="1213" ht="16.5" customHeight="1" s="80">
      <c r="A1213" s="113" t="n"/>
      <c r="B1213" s="113" t="n"/>
      <c r="C1213" s="113" t="n"/>
      <c r="D1213" s="113" t="n"/>
      <c r="E1213" s="113" t="n"/>
      <c r="F1213" s="113" t="n"/>
      <c r="G1213" s="113" t="n"/>
      <c r="H1213" s="113" t="n"/>
      <c r="I1213" s="113" t="n"/>
      <c r="J1213" s="113" t="n"/>
      <c r="K1213" s="113" t="n"/>
      <c r="L1213" s="113" t="n"/>
      <c r="M1213" s="113" t="n"/>
      <c r="N1213" s="113" t="n"/>
      <c r="O1213" s="113" t="n"/>
      <c r="P1213" s="113" t="n"/>
      <c r="Q1213" s="113" t="n"/>
      <c r="R1213" s="113" t="n"/>
      <c r="S1213" s="113" t="n"/>
      <c r="T1213" s="113" t="n"/>
      <c r="U1213" s="113" t="n"/>
      <c r="V1213" s="113" t="n"/>
      <c r="W1213" s="113" t="n"/>
      <c r="X1213" s="113" t="n"/>
      <c r="Y1213" s="113" t="n"/>
      <c r="Z1213" s="117">
        <f>IF($B1213="",0,IF($S1213="EVET",IF($D1213="GELİR",$O1213,-$O1213),0))</f>
        <v/>
      </c>
      <c r="AA1213" s="117">
        <f>IF($B1213="",0,IF(OR($W1213="EVET",$X1213="EVET",$Y1213="EVET"),0,IF($D1213="GELİR",IF($E1213="SATIŞ İADESİ/İSKONTO",-$O1213,$O1213),-$O1213)))</f>
        <v/>
      </c>
      <c r="AB1213" s="117">
        <f>IF($B1213="","",IF(OR($D1213="",$E1213="",$O1213=""),"EKSİK",IF($O1213&lt;=0,"SIFIR/NEGATİF",IF(COUNTIFS($C$6:$C$5000,$C1213,$O$6:$O$5000,$O1213,$B$6:$B$5000,$B1213)&gt;1,"MÜKERRER","OK"))))</f>
        <v/>
      </c>
    </row>
    <row r="1214" ht="16.5" customHeight="1" s="80">
      <c r="A1214" s="113" t="n"/>
      <c r="B1214" s="113" t="n"/>
      <c r="C1214" s="113" t="n"/>
      <c r="D1214" s="113" t="n"/>
      <c r="E1214" s="113" t="n"/>
      <c r="F1214" s="113" t="n"/>
      <c r="G1214" s="113" t="n"/>
      <c r="H1214" s="113" t="n"/>
      <c r="I1214" s="113" t="n"/>
      <c r="J1214" s="113" t="n"/>
      <c r="K1214" s="113" t="n"/>
      <c r="L1214" s="113" t="n"/>
      <c r="M1214" s="113" t="n"/>
      <c r="N1214" s="113" t="n"/>
      <c r="O1214" s="113" t="n"/>
      <c r="P1214" s="113" t="n"/>
      <c r="Q1214" s="113" t="n"/>
      <c r="R1214" s="113" t="n"/>
      <c r="S1214" s="113" t="n"/>
      <c r="T1214" s="113" t="n"/>
      <c r="U1214" s="113" t="n"/>
      <c r="V1214" s="113" t="n"/>
      <c r="W1214" s="113" t="n"/>
      <c r="X1214" s="113" t="n"/>
      <c r="Y1214" s="113" t="n"/>
      <c r="Z1214" s="117">
        <f>IF($B1214="",0,IF($S1214="EVET",IF($D1214="GELİR",$O1214,-$O1214),0))</f>
        <v/>
      </c>
      <c r="AA1214" s="117">
        <f>IF($B1214="",0,IF(OR($W1214="EVET",$X1214="EVET",$Y1214="EVET"),0,IF($D1214="GELİR",IF($E1214="SATIŞ İADESİ/İSKONTO",-$O1214,$O1214),-$O1214)))</f>
        <v/>
      </c>
      <c r="AB1214" s="117">
        <f>IF($B1214="","",IF(OR($D1214="",$E1214="",$O1214=""),"EKSİK",IF($O1214&lt;=0,"SIFIR/NEGATİF",IF(COUNTIFS($C$6:$C$5000,$C1214,$O$6:$O$5000,$O1214,$B$6:$B$5000,$B1214)&gt;1,"MÜKERRER","OK"))))</f>
        <v/>
      </c>
    </row>
    <row r="1215" ht="16.5" customHeight="1" s="80">
      <c r="A1215" s="113" t="n"/>
      <c r="B1215" s="113" t="n"/>
      <c r="C1215" s="113" t="n"/>
      <c r="D1215" s="113" t="n"/>
      <c r="E1215" s="113" t="n"/>
      <c r="F1215" s="113" t="n"/>
      <c r="G1215" s="113" t="n"/>
      <c r="H1215" s="113" t="n"/>
      <c r="I1215" s="113" t="n"/>
      <c r="J1215" s="113" t="n"/>
      <c r="K1215" s="113" t="n"/>
      <c r="L1215" s="113" t="n"/>
      <c r="M1215" s="113" t="n"/>
      <c r="N1215" s="113" t="n"/>
      <c r="O1215" s="113" t="n"/>
      <c r="P1215" s="113" t="n"/>
      <c r="Q1215" s="113" t="n"/>
      <c r="R1215" s="113" t="n"/>
      <c r="S1215" s="113" t="n"/>
      <c r="T1215" s="113" t="n"/>
      <c r="U1215" s="113" t="n"/>
      <c r="V1215" s="113" t="n"/>
      <c r="W1215" s="113" t="n"/>
      <c r="X1215" s="113" t="n"/>
      <c r="Y1215" s="113" t="n"/>
      <c r="Z1215" s="117">
        <f>IF($B1215="",0,IF($S1215="EVET",IF($D1215="GELİR",$O1215,-$O1215),0))</f>
        <v/>
      </c>
      <c r="AA1215" s="117">
        <f>IF($B1215="",0,IF(OR($W1215="EVET",$X1215="EVET",$Y1215="EVET"),0,IF($D1215="GELİR",IF($E1215="SATIŞ İADESİ/İSKONTO",-$O1215,$O1215),-$O1215)))</f>
        <v/>
      </c>
      <c r="AB1215" s="117">
        <f>IF($B1215="","",IF(OR($D1215="",$E1215="",$O1215=""),"EKSİK",IF($O1215&lt;=0,"SIFIR/NEGATİF",IF(COUNTIFS($C$6:$C$5000,$C1215,$O$6:$O$5000,$O1215,$B$6:$B$5000,$B1215)&gt;1,"MÜKERRER","OK"))))</f>
        <v/>
      </c>
    </row>
    <row r="1216" ht="16.5" customHeight="1" s="80">
      <c r="A1216" s="113" t="n"/>
      <c r="B1216" s="113" t="n"/>
      <c r="C1216" s="113" t="n"/>
      <c r="D1216" s="113" t="n"/>
      <c r="E1216" s="113" t="n"/>
      <c r="F1216" s="113" t="n"/>
      <c r="G1216" s="113" t="n"/>
      <c r="H1216" s="113" t="n"/>
      <c r="I1216" s="113" t="n"/>
      <c r="J1216" s="113" t="n"/>
      <c r="K1216" s="113" t="n"/>
      <c r="L1216" s="113" t="n"/>
      <c r="M1216" s="113" t="n"/>
      <c r="N1216" s="113" t="n"/>
      <c r="O1216" s="113" t="n"/>
      <c r="P1216" s="113" t="n"/>
      <c r="Q1216" s="113" t="n"/>
      <c r="R1216" s="113" t="n"/>
      <c r="S1216" s="113" t="n"/>
      <c r="T1216" s="113" t="n"/>
      <c r="U1216" s="113" t="n"/>
      <c r="V1216" s="113" t="n"/>
      <c r="W1216" s="113" t="n"/>
      <c r="X1216" s="113" t="n"/>
      <c r="Y1216" s="113" t="n"/>
      <c r="Z1216" s="117">
        <f>IF($B1216="",0,IF($S1216="EVET",IF($D1216="GELİR",$O1216,-$O1216),0))</f>
        <v/>
      </c>
      <c r="AA1216" s="117">
        <f>IF($B1216="",0,IF(OR($W1216="EVET",$X1216="EVET",$Y1216="EVET"),0,IF($D1216="GELİR",IF($E1216="SATIŞ İADESİ/İSKONTO",-$O1216,$O1216),-$O1216)))</f>
        <v/>
      </c>
      <c r="AB1216" s="117">
        <f>IF($B1216="","",IF(OR($D1216="",$E1216="",$O1216=""),"EKSİK",IF($O1216&lt;=0,"SIFIR/NEGATİF",IF(COUNTIFS($C$6:$C$5000,$C1216,$O$6:$O$5000,$O1216,$B$6:$B$5000,$B1216)&gt;1,"MÜKERRER","OK"))))</f>
        <v/>
      </c>
    </row>
    <row r="1217" ht="16.5" customHeight="1" s="80">
      <c r="A1217" s="113" t="n"/>
      <c r="B1217" s="113" t="n"/>
      <c r="C1217" s="113" t="n"/>
      <c r="D1217" s="113" t="n"/>
      <c r="E1217" s="113" t="n"/>
      <c r="F1217" s="113" t="n"/>
      <c r="G1217" s="113" t="n"/>
      <c r="H1217" s="113" t="n"/>
      <c r="I1217" s="113" t="n"/>
      <c r="J1217" s="113" t="n"/>
      <c r="K1217" s="113" t="n"/>
      <c r="L1217" s="113" t="n"/>
      <c r="M1217" s="113" t="n"/>
      <c r="N1217" s="113" t="n"/>
      <c r="O1217" s="113" t="n"/>
      <c r="P1217" s="113" t="n"/>
      <c r="Q1217" s="113" t="n"/>
      <c r="R1217" s="113" t="n"/>
      <c r="S1217" s="113" t="n"/>
      <c r="T1217" s="113" t="n"/>
      <c r="U1217" s="113" t="n"/>
      <c r="V1217" s="113" t="n"/>
      <c r="W1217" s="113" t="n"/>
      <c r="X1217" s="113" t="n"/>
      <c r="Y1217" s="113" t="n"/>
      <c r="Z1217" s="117">
        <f>IF($B1217="",0,IF($S1217="EVET",IF($D1217="GELİR",$O1217,-$O1217),0))</f>
        <v/>
      </c>
      <c r="AA1217" s="117">
        <f>IF($B1217="",0,IF(OR($W1217="EVET",$X1217="EVET",$Y1217="EVET"),0,IF($D1217="GELİR",IF($E1217="SATIŞ İADESİ/İSKONTO",-$O1217,$O1217),-$O1217)))</f>
        <v/>
      </c>
      <c r="AB1217" s="117">
        <f>IF($B1217="","",IF(OR($D1217="",$E1217="",$O1217=""),"EKSİK",IF($O1217&lt;=0,"SIFIR/NEGATİF",IF(COUNTIFS($C$6:$C$5000,$C1217,$O$6:$O$5000,$O1217,$B$6:$B$5000,$B1217)&gt;1,"MÜKERRER","OK"))))</f>
        <v/>
      </c>
    </row>
    <row r="1218" ht="16.5" customHeight="1" s="80">
      <c r="A1218" s="113" t="n"/>
      <c r="B1218" s="113" t="n"/>
      <c r="C1218" s="113" t="n"/>
      <c r="D1218" s="113" t="n"/>
      <c r="E1218" s="113" t="n"/>
      <c r="F1218" s="113" t="n"/>
      <c r="G1218" s="113" t="n"/>
      <c r="H1218" s="113" t="n"/>
      <c r="I1218" s="113" t="n"/>
      <c r="J1218" s="113" t="n"/>
      <c r="K1218" s="113" t="n"/>
      <c r="L1218" s="113" t="n"/>
      <c r="M1218" s="113" t="n"/>
      <c r="N1218" s="113" t="n"/>
      <c r="O1218" s="113" t="n"/>
      <c r="P1218" s="113" t="n"/>
      <c r="Q1218" s="113" t="n"/>
      <c r="R1218" s="113" t="n"/>
      <c r="S1218" s="113" t="n"/>
      <c r="T1218" s="113" t="n"/>
      <c r="U1218" s="113" t="n"/>
      <c r="V1218" s="113" t="n"/>
      <c r="W1218" s="113" t="n"/>
      <c r="X1218" s="113" t="n"/>
      <c r="Y1218" s="113" t="n"/>
      <c r="Z1218" s="117">
        <f>IF($B1218="",0,IF($S1218="EVET",IF($D1218="GELİR",$O1218,-$O1218),0))</f>
        <v/>
      </c>
      <c r="AA1218" s="117">
        <f>IF($B1218="",0,IF(OR($W1218="EVET",$X1218="EVET",$Y1218="EVET"),0,IF($D1218="GELİR",IF($E1218="SATIŞ İADESİ/İSKONTO",-$O1218,$O1218),-$O1218)))</f>
        <v/>
      </c>
      <c r="AB1218" s="117">
        <f>IF($B1218="","",IF(OR($D1218="",$E1218="",$O1218=""),"EKSİK",IF($O1218&lt;=0,"SIFIR/NEGATİF",IF(COUNTIFS($C$6:$C$5000,$C1218,$O$6:$O$5000,$O1218,$B$6:$B$5000,$B1218)&gt;1,"MÜKERRER","OK"))))</f>
        <v/>
      </c>
    </row>
    <row r="1219" ht="16.5" customHeight="1" s="80">
      <c r="A1219" s="113" t="n"/>
      <c r="B1219" s="113" t="n"/>
      <c r="C1219" s="113" t="n"/>
      <c r="D1219" s="113" t="n"/>
      <c r="E1219" s="113" t="n"/>
      <c r="F1219" s="113" t="n"/>
      <c r="G1219" s="113" t="n"/>
      <c r="H1219" s="113" t="n"/>
      <c r="I1219" s="113" t="n"/>
      <c r="J1219" s="113" t="n"/>
      <c r="K1219" s="113" t="n"/>
      <c r="L1219" s="113" t="n"/>
      <c r="M1219" s="113" t="n"/>
      <c r="N1219" s="113" t="n"/>
      <c r="O1219" s="113" t="n"/>
      <c r="P1219" s="113" t="n"/>
      <c r="Q1219" s="113" t="n"/>
      <c r="R1219" s="113" t="n"/>
      <c r="S1219" s="113" t="n"/>
      <c r="T1219" s="113" t="n"/>
      <c r="U1219" s="113" t="n"/>
      <c r="V1219" s="113" t="n"/>
      <c r="W1219" s="113" t="n"/>
      <c r="X1219" s="113" t="n"/>
      <c r="Y1219" s="113" t="n"/>
      <c r="Z1219" s="117">
        <f>IF($B1219="",0,IF($S1219="EVET",IF($D1219="GELİR",$O1219,-$O1219),0))</f>
        <v/>
      </c>
      <c r="AA1219" s="117">
        <f>IF($B1219="",0,IF(OR($W1219="EVET",$X1219="EVET",$Y1219="EVET"),0,IF($D1219="GELİR",IF($E1219="SATIŞ İADESİ/İSKONTO",-$O1219,$O1219),-$O1219)))</f>
        <v/>
      </c>
      <c r="AB1219" s="117">
        <f>IF($B1219="","",IF(OR($D1219="",$E1219="",$O1219=""),"EKSİK",IF($O1219&lt;=0,"SIFIR/NEGATİF",IF(COUNTIFS($C$6:$C$5000,$C1219,$O$6:$O$5000,$O1219,$B$6:$B$5000,$B1219)&gt;1,"MÜKERRER","OK"))))</f>
        <v/>
      </c>
    </row>
    <row r="1220" ht="16.5" customHeight="1" s="80">
      <c r="A1220" s="113" t="n"/>
      <c r="B1220" s="113" t="n"/>
      <c r="C1220" s="113" t="n"/>
      <c r="D1220" s="113" t="n"/>
      <c r="E1220" s="113" t="n"/>
      <c r="F1220" s="113" t="n"/>
      <c r="G1220" s="113" t="n"/>
      <c r="H1220" s="113" t="n"/>
      <c r="I1220" s="113" t="n"/>
      <c r="J1220" s="113" t="n"/>
      <c r="K1220" s="113" t="n"/>
      <c r="L1220" s="113" t="n"/>
      <c r="M1220" s="113" t="n"/>
      <c r="N1220" s="113" t="n"/>
      <c r="O1220" s="113" t="n"/>
      <c r="P1220" s="113" t="n"/>
      <c r="Q1220" s="113" t="n"/>
      <c r="R1220" s="113" t="n"/>
      <c r="S1220" s="113" t="n"/>
      <c r="T1220" s="113" t="n"/>
      <c r="U1220" s="113" t="n"/>
      <c r="V1220" s="113" t="n"/>
      <c r="W1220" s="113" t="n"/>
      <c r="X1220" s="113" t="n"/>
      <c r="Y1220" s="113" t="n"/>
      <c r="Z1220" s="117">
        <f>IF($B1220="",0,IF($S1220="EVET",IF($D1220="GELİR",$O1220,-$O1220),0))</f>
        <v/>
      </c>
      <c r="AA1220" s="117">
        <f>IF($B1220="",0,IF(OR($W1220="EVET",$X1220="EVET",$Y1220="EVET"),0,IF($D1220="GELİR",IF($E1220="SATIŞ İADESİ/İSKONTO",-$O1220,$O1220),-$O1220)))</f>
        <v/>
      </c>
      <c r="AB1220" s="117">
        <f>IF($B1220="","",IF(OR($D1220="",$E1220="",$O1220=""),"EKSİK",IF($O1220&lt;=0,"SIFIR/NEGATİF",IF(COUNTIFS($C$6:$C$5000,$C1220,$O$6:$O$5000,$O1220,$B$6:$B$5000,$B1220)&gt;1,"MÜKERRER","OK"))))</f>
        <v/>
      </c>
    </row>
    <row r="1221" ht="16.5" customHeight="1" s="80">
      <c r="A1221" s="113" t="n"/>
      <c r="B1221" s="113" t="n"/>
      <c r="C1221" s="113" t="n"/>
      <c r="D1221" s="113" t="n"/>
      <c r="E1221" s="113" t="n"/>
      <c r="F1221" s="113" t="n"/>
      <c r="G1221" s="113" t="n"/>
      <c r="H1221" s="113" t="n"/>
      <c r="I1221" s="113" t="n"/>
      <c r="J1221" s="113" t="n"/>
      <c r="K1221" s="113" t="n"/>
      <c r="L1221" s="113" t="n"/>
      <c r="M1221" s="113" t="n"/>
      <c r="N1221" s="113" t="n"/>
      <c r="O1221" s="113" t="n"/>
      <c r="P1221" s="113" t="n"/>
      <c r="Q1221" s="113" t="n"/>
      <c r="R1221" s="113" t="n"/>
      <c r="S1221" s="113" t="n"/>
      <c r="T1221" s="113" t="n"/>
      <c r="U1221" s="113" t="n"/>
      <c r="V1221" s="113" t="n"/>
      <c r="W1221" s="113" t="n"/>
      <c r="X1221" s="113" t="n"/>
      <c r="Y1221" s="113" t="n"/>
      <c r="Z1221" s="117">
        <f>IF($B1221="",0,IF($S1221="EVET",IF($D1221="GELİR",$O1221,-$O1221),0))</f>
        <v/>
      </c>
      <c r="AA1221" s="117">
        <f>IF($B1221="",0,IF(OR($W1221="EVET",$X1221="EVET",$Y1221="EVET"),0,IF($D1221="GELİR",IF($E1221="SATIŞ İADESİ/İSKONTO",-$O1221,$O1221),-$O1221)))</f>
        <v/>
      </c>
      <c r="AB1221" s="117">
        <f>IF($B1221="","",IF(OR($D1221="",$E1221="",$O1221=""),"EKSİK",IF($O1221&lt;=0,"SIFIR/NEGATİF",IF(COUNTIFS($C$6:$C$5000,$C1221,$O$6:$O$5000,$O1221,$B$6:$B$5000,$B1221)&gt;1,"MÜKERRER","OK"))))</f>
        <v/>
      </c>
    </row>
    <row r="1222" ht="16.5" customHeight="1" s="80">
      <c r="A1222" s="113" t="n"/>
      <c r="B1222" s="113" t="n"/>
      <c r="C1222" s="113" t="n"/>
      <c r="D1222" s="113" t="n"/>
      <c r="E1222" s="113" t="n"/>
      <c r="F1222" s="113" t="n"/>
      <c r="G1222" s="113" t="n"/>
      <c r="H1222" s="113" t="n"/>
      <c r="I1222" s="113" t="n"/>
      <c r="J1222" s="113" t="n"/>
      <c r="K1222" s="113" t="n"/>
      <c r="L1222" s="113" t="n"/>
      <c r="M1222" s="113" t="n"/>
      <c r="N1222" s="113" t="n"/>
      <c r="O1222" s="113" t="n"/>
      <c r="P1222" s="113" t="n"/>
      <c r="Q1222" s="113" t="n"/>
      <c r="R1222" s="113" t="n"/>
      <c r="S1222" s="113" t="n"/>
      <c r="T1222" s="113" t="n"/>
      <c r="U1222" s="113" t="n"/>
      <c r="V1222" s="113" t="n"/>
      <c r="W1222" s="113" t="n"/>
      <c r="X1222" s="113" t="n"/>
      <c r="Y1222" s="113" t="n"/>
      <c r="Z1222" s="117">
        <f>IF($B1222="",0,IF($S1222="EVET",IF($D1222="GELİR",$O1222,-$O1222),0))</f>
        <v/>
      </c>
      <c r="AA1222" s="117">
        <f>IF($B1222="",0,IF(OR($W1222="EVET",$X1222="EVET",$Y1222="EVET"),0,IF($D1222="GELİR",IF($E1222="SATIŞ İADESİ/İSKONTO",-$O1222,$O1222),-$O1222)))</f>
        <v/>
      </c>
      <c r="AB1222" s="117">
        <f>IF($B1222="","",IF(OR($D1222="",$E1222="",$O1222=""),"EKSİK",IF($O1222&lt;=0,"SIFIR/NEGATİF",IF(COUNTIFS($C$6:$C$5000,$C1222,$O$6:$O$5000,$O1222,$B$6:$B$5000,$B1222)&gt;1,"MÜKERRER","OK"))))</f>
        <v/>
      </c>
    </row>
    <row r="1223" ht="16.5" customHeight="1" s="80">
      <c r="A1223" s="113" t="n"/>
      <c r="B1223" s="113" t="n"/>
      <c r="C1223" s="113" t="n"/>
      <c r="D1223" s="113" t="n"/>
      <c r="E1223" s="113" t="n"/>
      <c r="F1223" s="113" t="n"/>
      <c r="G1223" s="113" t="n"/>
      <c r="H1223" s="113" t="n"/>
      <c r="I1223" s="113" t="n"/>
      <c r="J1223" s="113" t="n"/>
      <c r="K1223" s="113" t="n"/>
      <c r="L1223" s="113" t="n"/>
      <c r="M1223" s="113" t="n"/>
      <c r="N1223" s="113" t="n"/>
      <c r="O1223" s="113" t="n"/>
      <c r="P1223" s="113" t="n"/>
      <c r="Q1223" s="113" t="n"/>
      <c r="R1223" s="113" t="n"/>
      <c r="S1223" s="113" t="n"/>
      <c r="T1223" s="113" t="n"/>
      <c r="U1223" s="113" t="n"/>
      <c r="V1223" s="113" t="n"/>
      <c r="W1223" s="113" t="n"/>
      <c r="X1223" s="113" t="n"/>
      <c r="Y1223" s="113" t="n"/>
      <c r="Z1223" s="117">
        <f>IF($B1223="",0,IF($S1223="EVET",IF($D1223="GELİR",$O1223,-$O1223),0))</f>
        <v/>
      </c>
      <c r="AA1223" s="117">
        <f>IF($B1223="",0,IF(OR($W1223="EVET",$X1223="EVET",$Y1223="EVET"),0,IF($D1223="GELİR",IF($E1223="SATIŞ İADESİ/İSKONTO",-$O1223,$O1223),-$O1223)))</f>
        <v/>
      </c>
      <c r="AB1223" s="117">
        <f>IF($B1223="","",IF(OR($D1223="",$E1223="",$O1223=""),"EKSİK",IF($O1223&lt;=0,"SIFIR/NEGATİF",IF(COUNTIFS($C$6:$C$5000,$C1223,$O$6:$O$5000,$O1223,$B$6:$B$5000,$B1223)&gt;1,"MÜKERRER","OK"))))</f>
        <v/>
      </c>
    </row>
    <row r="1224" ht="16.5" customHeight="1" s="80">
      <c r="A1224" s="113" t="n"/>
      <c r="B1224" s="113" t="n"/>
      <c r="C1224" s="113" t="n"/>
      <c r="D1224" s="113" t="n"/>
      <c r="E1224" s="113" t="n"/>
      <c r="F1224" s="113" t="n"/>
      <c r="G1224" s="113" t="n"/>
      <c r="H1224" s="113" t="n"/>
      <c r="I1224" s="113" t="n"/>
      <c r="J1224" s="113" t="n"/>
      <c r="K1224" s="113" t="n"/>
      <c r="L1224" s="113" t="n"/>
      <c r="M1224" s="113" t="n"/>
      <c r="N1224" s="113" t="n"/>
      <c r="O1224" s="113" t="n"/>
      <c r="P1224" s="113" t="n"/>
      <c r="Q1224" s="113" t="n"/>
      <c r="R1224" s="113" t="n"/>
      <c r="S1224" s="113" t="n"/>
      <c r="T1224" s="113" t="n"/>
      <c r="U1224" s="113" t="n"/>
      <c r="V1224" s="113" t="n"/>
      <c r="W1224" s="113" t="n"/>
      <c r="X1224" s="113" t="n"/>
      <c r="Y1224" s="113" t="n"/>
      <c r="Z1224" s="117">
        <f>IF($B1224="",0,IF($S1224="EVET",IF($D1224="GELİR",$O1224,-$O1224),0))</f>
        <v/>
      </c>
      <c r="AA1224" s="117">
        <f>IF($B1224="",0,IF(OR($W1224="EVET",$X1224="EVET",$Y1224="EVET"),0,IF($D1224="GELİR",IF($E1224="SATIŞ İADESİ/İSKONTO",-$O1224,$O1224),-$O1224)))</f>
        <v/>
      </c>
      <c r="AB1224" s="117">
        <f>IF($B1224="","",IF(OR($D1224="",$E1224="",$O1224=""),"EKSİK",IF($O1224&lt;=0,"SIFIR/NEGATİF",IF(COUNTIFS($C$6:$C$5000,$C1224,$O$6:$O$5000,$O1224,$B$6:$B$5000,$B1224)&gt;1,"MÜKERRER","OK"))))</f>
        <v/>
      </c>
    </row>
    <row r="1225" ht="16.5" customHeight="1" s="80">
      <c r="A1225" s="113" t="n"/>
      <c r="B1225" s="113" t="n"/>
      <c r="C1225" s="113" t="n"/>
      <c r="D1225" s="113" t="n"/>
      <c r="E1225" s="113" t="n"/>
      <c r="F1225" s="113" t="n"/>
      <c r="G1225" s="113" t="n"/>
      <c r="H1225" s="113" t="n"/>
      <c r="I1225" s="113" t="n"/>
      <c r="J1225" s="113" t="n"/>
      <c r="K1225" s="113" t="n"/>
      <c r="L1225" s="113" t="n"/>
      <c r="M1225" s="113" t="n"/>
      <c r="N1225" s="113" t="n"/>
      <c r="O1225" s="113" t="n"/>
      <c r="P1225" s="113" t="n"/>
      <c r="Q1225" s="113" t="n"/>
      <c r="R1225" s="113" t="n"/>
      <c r="S1225" s="113" t="n"/>
      <c r="T1225" s="113" t="n"/>
      <c r="U1225" s="113" t="n"/>
      <c r="V1225" s="113" t="n"/>
      <c r="W1225" s="113" t="n"/>
      <c r="X1225" s="113" t="n"/>
      <c r="Y1225" s="113" t="n"/>
      <c r="Z1225" s="117">
        <f>IF($B1225="",0,IF($S1225="EVET",IF($D1225="GELİR",$O1225,-$O1225),0))</f>
        <v/>
      </c>
      <c r="AA1225" s="117">
        <f>IF($B1225="",0,IF(OR($W1225="EVET",$X1225="EVET",$Y1225="EVET"),0,IF($D1225="GELİR",IF($E1225="SATIŞ İADESİ/İSKONTO",-$O1225,$O1225),-$O1225)))</f>
        <v/>
      </c>
      <c r="AB1225" s="117">
        <f>IF($B1225="","",IF(OR($D1225="",$E1225="",$O1225=""),"EKSİK",IF($O1225&lt;=0,"SIFIR/NEGATİF",IF(COUNTIFS($C$6:$C$5000,$C1225,$O$6:$O$5000,$O1225,$B$6:$B$5000,$B1225)&gt;1,"MÜKERRER","OK"))))</f>
        <v/>
      </c>
    </row>
    <row r="1226" ht="16.5" customHeight="1" s="80">
      <c r="A1226" s="113" t="n"/>
      <c r="B1226" s="113" t="n"/>
      <c r="C1226" s="113" t="n"/>
      <c r="D1226" s="113" t="n"/>
      <c r="E1226" s="113" t="n"/>
      <c r="F1226" s="113" t="n"/>
      <c r="G1226" s="113" t="n"/>
      <c r="H1226" s="113" t="n"/>
      <c r="I1226" s="113" t="n"/>
      <c r="J1226" s="113" t="n"/>
      <c r="K1226" s="113" t="n"/>
      <c r="L1226" s="113" t="n"/>
      <c r="M1226" s="113" t="n"/>
      <c r="N1226" s="113" t="n"/>
      <c r="O1226" s="113" t="n"/>
      <c r="P1226" s="113" t="n"/>
      <c r="Q1226" s="113" t="n"/>
      <c r="R1226" s="113" t="n"/>
      <c r="S1226" s="113" t="n"/>
      <c r="T1226" s="113" t="n"/>
      <c r="U1226" s="113" t="n"/>
      <c r="V1226" s="113" t="n"/>
      <c r="W1226" s="113" t="n"/>
      <c r="X1226" s="113" t="n"/>
      <c r="Y1226" s="113" t="n"/>
      <c r="Z1226" s="117">
        <f>IF($B1226="",0,IF($S1226="EVET",IF($D1226="GELİR",$O1226,-$O1226),0))</f>
        <v/>
      </c>
      <c r="AA1226" s="117">
        <f>IF($B1226="",0,IF(OR($W1226="EVET",$X1226="EVET",$Y1226="EVET"),0,IF($D1226="GELİR",IF($E1226="SATIŞ İADESİ/İSKONTO",-$O1226,$O1226),-$O1226)))</f>
        <v/>
      </c>
      <c r="AB1226" s="117">
        <f>IF($B1226="","",IF(OR($D1226="",$E1226="",$O1226=""),"EKSİK",IF($O1226&lt;=0,"SIFIR/NEGATİF",IF(COUNTIFS($C$6:$C$5000,$C1226,$O$6:$O$5000,$O1226,$B$6:$B$5000,$B1226)&gt;1,"MÜKERRER","OK"))))</f>
        <v/>
      </c>
    </row>
    <row r="1227" ht="16.5" customHeight="1" s="80">
      <c r="A1227" s="113" t="n"/>
      <c r="B1227" s="113" t="n"/>
      <c r="C1227" s="113" t="n"/>
      <c r="D1227" s="113" t="n"/>
      <c r="E1227" s="113" t="n"/>
      <c r="F1227" s="113" t="n"/>
      <c r="G1227" s="113" t="n"/>
      <c r="H1227" s="113" t="n"/>
      <c r="I1227" s="113" t="n"/>
      <c r="J1227" s="113" t="n"/>
      <c r="K1227" s="113" t="n"/>
      <c r="L1227" s="113" t="n"/>
      <c r="M1227" s="113" t="n"/>
      <c r="N1227" s="113" t="n"/>
      <c r="O1227" s="113" t="n"/>
      <c r="P1227" s="113" t="n"/>
      <c r="Q1227" s="113" t="n"/>
      <c r="R1227" s="113" t="n"/>
      <c r="S1227" s="113" t="n"/>
      <c r="T1227" s="113" t="n"/>
      <c r="U1227" s="113" t="n"/>
      <c r="V1227" s="113" t="n"/>
      <c r="W1227" s="113" t="n"/>
      <c r="X1227" s="113" t="n"/>
      <c r="Y1227" s="113" t="n"/>
      <c r="Z1227" s="117">
        <f>IF($B1227="",0,IF($S1227="EVET",IF($D1227="GELİR",$O1227,-$O1227),0))</f>
        <v/>
      </c>
      <c r="AA1227" s="117">
        <f>IF($B1227="",0,IF(OR($W1227="EVET",$X1227="EVET",$Y1227="EVET"),0,IF($D1227="GELİR",IF($E1227="SATIŞ İADESİ/İSKONTO",-$O1227,$O1227),-$O1227)))</f>
        <v/>
      </c>
      <c r="AB1227" s="117">
        <f>IF($B1227="","",IF(OR($D1227="",$E1227="",$O1227=""),"EKSİK",IF($O1227&lt;=0,"SIFIR/NEGATİF",IF(COUNTIFS($C$6:$C$5000,$C1227,$O$6:$O$5000,$O1227,$B$6:$B$5000,$B1227)&gt;1,"MÜKERRER","OK"))))</f>
        <v/>
      </c>
    </row>
    <row r="1228" ht="16.5" customHeight="1" s="80">
      <c r="A1228" s="113" t="n"/>
      <c r="B1228" s="113" t="n"/>
      <c r="C1228" s="113" t="n"/>
      <c r="D1228" s="113" t="n"/>
      <c r="E1228" s="113" t="n"/>
      <c r="F1228" s="113" t="n"/>
      <c r="G1228" s="113" t="n"/>
      <c r="H1228" s="113" t="n"/>
      <c r="I1228" s="113" t="n"/>
      <c r="J1228" s="113" t="n"/>
      <c r="K1228" s="113" t="n"/>
      <c r="L1228" s="113" t="n"/>
      <c r="M1228" s="113" t="n"/>
      <c r="N1228" s="113" t="n"/>
      <c r="O1228" s="113" t="n"/>
      <c r="P1228" s="113" t="n"/>
      <c r="Q1228" s="113" t="n"/>
      <c r="R1228" s="113" t="n"/>
      <c r="S1228" s="113" t="n"/>
      <c r="T1228" s="113" t="n"/>
      <c r="U1228" s="113" t="n"/>
      <c r="V1228" s="113" t="n"/>
      <c r="W1228" s="113" t="n"/>
      <c r="X1228" s="113" t="n"/>
      <c r="Y1228" s="113" t="n"/>
      <c r="Z1228" s="117">
        <f>IF($B1228="",0,IF($S1228="EVET",IF($D1228="GELİR",$O1228,-$O1228),0))</f>
        <v/>
      </c>
      <c r="AA1228" s="117">
        <f>IF($B1228="",0,IF(OR($W1228="EVET",$X1228="EVET",$Y1228="EVET"),0,IF($D1228="GELİR",IF($E1228="SATIŞ İADESİ/İSKONTO",-$O1228,$O1228),-$O1228)))</f>
        <v/>
      </c>
      <c r="AB1228" s="117">
        <f>IF($B1228="","",IF(OR($D1228="",$E1228="",$O1228=""),"EKSİK",IF($O1228&lt;=0,"SIFIR/NEGATİF",IF(COUNTIFS($C$6:$C$5000,$C1228,$O$6:$O$5000,$O1228,$B$6:$B$5000,$B1228)&gt;1,"MÜKERRER","OK"))))</f>
        <v/>
      </c>
    </row>
    <row r="1229" ht="16.5" customHeight="1" s="80">
      <c r="A1229" s="113" t="n"/>
      <c r="B1229" s="113" t="n"/>
      <c r="C1229" s="113" t="n"/>
      <c r="D1229" s="113" t="n"/>
      <c r="E1229" s="113" t="n"/>
      <c r="F1229" s="113" t="n"/>
      <c r="G1229" s="113" t="n"/>
      <c r="H1229" s="113" t="n"/>
      <c r="I1229" s="113" t="n"/>
      <c r="J1229" s="113" t="n"/>
      <c r="K1229" s="113" t="n"/>
      <c r="L1229" s="113" t="n"/>
      <c r="M1229" s="113" t="n"/>
      <c r="N1229" s="113" t="n"/>
      <c r="O1229" s="113" t="n"/>
      <c r="P1229" s="113" t="n"/>
      <c r="Q1229" s="113" t="n"/>
      <c r="R1229" s="113" t="n"/>
      <c r="S1229" s="113" t="n"/>
      <c r="T1229" s="113" t="n"/>
      <c r="U1229" s="113" t="n"/>
      <c r="V1229" s="113" t="n"/>
      <c r="W1229" s="113" t="n"/>
      <c r="X1229" s="113" t="n"/>
      <c r="Y1229" s="113" t="n"/>
      <c r="Z1229" s="117">
        <f>IF($B1229="",0,IF($S1229="EVET",IF($D1229="GELİR",$O1229,-$O1229),0))</f>
        <v/>
      </c>
      <c r="AA1229" s="117">
        <f>IF($B1229="",0,IF(OR($W1229="EVET",$X1229="EVET",$Y1229="EVET"),0,IF($D1229="GELİR",IF($E1229="SATIŞ İADESİ/İSKONTO",-$O1229,$O1229),-$O1229)))</f>
        <v/>
      </c>
      <c r="AB1229" s="117">
        <f>IF($B1229="","",IF(OR($D1229="",$E1229="",$O1229=""),"EKSİK",IF($O1229&lt;=0,"SIFIR/NEGATİF",IF(COUNTIFS($C$6:$C$5000,$C1229,$O$6:$O$5000,$O1229,$B$6:$B$5000,$B1229)&gt;1,"MÜKERRER","OK"))))</f>
        <v/>
      </c>
    </row>
    <row r="1230" ht="16.5" customHeight="1" s="80">
      <c r="A1230" s="113" t="n"/>
      <c r="B1230" s="113" t="n"/>
      <c r="C1230" s="113" t="n"/>
      <c r="D1230" s="113" t="n"/>
      <c r="E1230" s="113" t="n"/>
      <c r="F1230" s="113" t="n"/>
      <c r="G1230" s="113" t="n"/>
      <c r="H1230" s="113" t="n"/>
      <c r="I1230" s="113" t="n"/>
      <c r="J1230" s="113" t="n"/>
      <c r="K1230" s="113" t="n"/>
      <c r="L1230" s="113" t="n"/>
      <c r="M1230" s="113" t="n"/>
      <c r="N1230" s="113" t="n"/>
      <c r="O1230" s="113" t="n"/>
      <c r="P1230" s="113" t="n"/>
      <c r="Q1230" s="113" t="n"/>
      <c r="R1230" s="113" t="n"/>
      <c r="S1230" s="113" t="n"/>
      <c r="T1230" s="113" t="n"/>
      <c r="U1230" s="113" t="n"/>
      <c r="V1230" s="113" t="n"/>
      <c r="W1230" s="113" t="n"/>
      <c r="X1230" s="113" t="n"/>
      <c r="Y1230" s="113" t="n"/>
      <c r="Z1230" s="117">
        <f>IF($B1230="",0,IF($S1230="EVET",IF($D1230="GELİR",$O1230,-$O1230),0))</f>
        <v/>
      </c>
      <c r="AA1230" s="117">
        <f>IF($B1230="",0,IF(OR($W1230="EVET",$X1230="EVET",$Y1230="EVET"),0,IF($D1230="GELİR",IF($E1230="SATIŞ İADESİ/İSKONTO",-$O1230,$O1230),-$O1230)))</f>
        <v/>
      </c>
      <c r="AB1230" s="117">
        <f>IF($B1230="","",IF(OR($D1230="",$E1230="",$O1230=""),"EKSİK",IF($O1230&lt;=0,"SIFIR/NEGATİF",IF(COUNTIFS($C$6:$C$5000,$C1230,$O$6:$O$5000,$O1230,$B$6:$B$5000,$B1230)&gt;1,"MÜKERRER","OK"))))</f>
        <v/>
      </c>
    </row>
    <row r="1231" ht="16.5" customHeight="1" s="80">
      <c r="A1231" s="113" t="n"/>
      <c r="B1231" s="113" t="n"/>
      <c r="C1231" s="113" t="n"/>
      <c r="D1231" s="113" t="n"/>
      <c r="E1231" s="113" t="n"/>
      <c r="F1231" s="113" t="n"/>
      <c r="G1231" s="113" t="n"/>
      <c r="H1231" s="113" t="n"/>
      <c r="I1231" s="113" t="n"/>
      <c r="J1231" s="113" t="n"/>
      <c r="K1231" s="113" t="n"/>
      <c r="L1231" s="113" t="n"/>
      <c r="M1231" s="113" t="n"/>
      <c r="N1231" s="113" t="n"/>
      <c r="O1231" s="113" t="n"/>
      <c r="P1231" s="113" t="n"/>
      <c r="Q1231" s="113" t="n"/>
      <c r="R1231" s="113" t="n"/>
      <c r="S1231" s="113" t="n"/>
      <c r="T1231" s="113" t="n"/>
      <c r="U1231" s="113" t="n"/>
      <c r="V1231" s="113" t="n"/>
      <c r="W1231" s="113" t="n"/>
      <c r="X1231" s="113" t="n"/>
      <c r="Y1231" s="113" t="n"/>
      <c r="Z1231" s="117">
        <f>IF($B1231="",0,IF($S1231="EVET",IF($D1231="GELİR",$O1231,-$O1231),0))</f>
        <v/>
      </c>
      <c r="AA1231" s="117">
        <f>IF($B1231="",0,IF(OR($W1231="EVET",$X1231="EVET",$Y1231="EVET"),0,IF($D1231="GELİR",IF($E1231="SATIŞ İADESİ/İSKONTO",-$O1231,$O1231),-$O1231)))</f>
        <v/>
      </c>
      <c r="AB1231" s="117">
        <f>IF($B1231="","",IF(OR($D1231="",$E1231="",$O1231=""),"EKSİK",IF($O1231&lt;=0,"SIFIR/NEGATİF",IF(COUNTIFS($C$6:$C$5000,$C1231,$O$6:$O$5000,$O1231,$B$6:$B$5000,$B1231)&gt;1,"MÜKERRER","OK"))))</f>
        <v/>
      </c>
    </row>
    <row r="1232" ht="16.5" customHeight="1" s="80">
      <c r="A1232" s="113" t="n"/>
      <c r="B1232" s="113" t="n"/>
      <c r="C1232" s="113" t="n"/>
      <c r="D1232" s="113" t="n"/>
      <c r="E1232" s="113" t="n"/>
      <c r="F1232" s="113" t="n"/>
      <c r="G1232" s="113" t="n"/>
      <c r="H1232" s="113" t="n"/>
      <c r="I1232" s="113" t="n"/>
      <c r="J1232" s="113" t="n"/>
      <c r="K1232" s="113" t="n"/>
      <c r="L1232" s="113" t="n"/>
      <c r="M1232" s="113" t="n"/>
      <c r="N1232" s="113" t="n"/>
      <c r="O1232" s="113" t="n"/>
      <c r="P1232" s="113" t="n"/>
      <c r="Q1232" s="113" t="n"/>
      <c r="R1232" s="113" t="n"/>
      <c r="S1232" s="113" t="n"/>
      <c r="T1232" s="113" t="n"/>
      <c r="U1232" s="113" t="n"/>
      <c r="V1232" s="113" t="n"/>
      <c r="W1232" s="113" t="n"/>
      <c r="X1232" s="113" t="n"/>
      <c r="Y1232" s="113" t="n"/>
      <c r="Z1232" s="117">
        <f>IF($B1232="",0,IF($S1232="EVET",IF($D1232="GELİR",$O1232,-$O1232),0))</f>
        <v/>
      </c>
      <c r="AA1232" s="117">
        <f>IF($B1232="",0,IF(OR($W1232="EVET",$X1232="EVET",$Y1232="EVET"),0,IF($D1232="GELİR",IF($E1232="SATIŞ İADESİ/İSKONTO",-$O1232,$O1232),-$O1232)))</f>
        <v/>
      </c>
      <c r="AB1232" s="117">
        <f>IF($B1232="","",IF(OR($D1232="",$E1232="",$O1232=""),"EKSİK",IF($O1232&lt;=0,"SIFIR/NEGATİF",IF(COUNTIFS($C$6:$C$5000,$C1232,$O$6:$O$5000,$O1232,$B$6:$B$5000,$B1232)&gt;1,"MÜKERRER","OK"))))</f>
        <v/>
      </c>
    </row>
    <row r="1233" ht="16.5" customHeight="1" s="80">
      <c r="A1233" s="113" t="n"/>
      <c r="B1233" s="113" t="n"/>
      <c r="C1233" s="113" t="n"/>
      <c r="D1233" s="113" t="n"/>
      <c r="E1233" s="113" t="n"/>
      <c r="F1233" s="113" t="n"/>
      <c r="G1233" s="113" t="n"/>
      <c r="H1233" s="113" t="n"/>
      <c r="I1233" s="113" t="n"/>
      <c r="J1233" s="113" t="n"/>
      <c r="K1233" s="113" t="n"/>
      <c r="L1233" s="113" t="n"/>
      <c r="M1233" s="113" t="n"/>
      <c r="N1233" s="113" t="n"/>
      <c r="O1233" s="113" t="n"/>
      <c r="P1233" s="113" t="n"/>
      <c r="Q1233" s="113" t="n"/>
      <c r="R1233" s="113" t="n"/>
      <c r="S1233" s="113" t="n"/>
      <c r="T1233" s="113" t="n"/>
      <c r="U1233" s="113" t="n"/>
      <c r="V1233" s="113" t="n"/>
      <c r="W1233" s="113" t="n"/>
      <c r="X1233" s="113" t="n"/>
      <c r="Y1233" s="113" t="n"/>
      <c r="Z1233" s="117">
        <f>IF($B1233="",0,IF($S1233="EVET",IF($D1233="GELİR",$O1233,-$O1233),0))</f>
        <v/>
      </c>
      <c r="AA1233" s="117">
        <f>IF($B1233="",0,IF(OR($W1233="EVET",$X1233="EVET",$Y1233="EVET"),0,IF($D1233="GELİR",IF($E1233="SATIŞ İADESİ/İSKONTO",-$O1233,$O1233),-$O1233)))</f>
        <v/>
      </c>
      <c r="AB1233" s="117">
        <f>IF($B1233="","",IF(OR($D1233="",$E1233="",$O1233=""),"EKSİK",IF($O1233&lt;=0,"SIFIR/NEGATİF",IF(COUNTIFS($C$6:$C$5000,$C1233,$O$6:$O$5000,$O1233,$B$6:$B$5000,$B1233)&gt;1,"MÜKERRER","OK"))))</f>
        <v/>
      </c>
    </row>
    <row r="1234" ht="16.5" customHeight="1" s="80">
      <c r="A1234" s="113" t="n"/>
      <c r="B1234" s="113" t="n"/>
      <c r="C1234" s="113" t="n"/>
      <c r="D1234" s="113" t="n"/>
      <c r="E1234" s="113" t="n"/>
      <c r="F1234" s="113" t="n"/>
      <c r="G1234" s="113" t="n"/>
      <c r="H1234" s="113" t="n"/>
      <c r="I1234" s="113" t="n"/>
      <c r="J1234" s="113" t="n"/>
      <c r="K1234" s="113" t="n"/>
      <c r="L1234" s="113" t="n"/>
      <c r="M1234" s="113" t="n"/>
      <c r="N1234" s="113" t="n"/>
      <c r="O1234" s="113" t="n"/>
      <c r="P1234" s="113" t="n"/>
      <c r="Q1234" s="113" t="n"/>
      <c r="R1234" s="113" t="n"/>
      <c r="S1234" s="113" t="n"/>
      <c r="T1234" s="113" t="n"/>
      <c r="U1234" s="113" t="n"/>
      <c r="V1234" s="113" t="n"/>
      <c r="W1234" s="113" t="n"/>
      <c r="X1234" s="113" t="n"/>
      <c r="Y1234" s="113" t="n"/>
      <c r="Z1234" s="117">
        <f>IF($B1234="",0,IF($S1234="EVET",IF($D1234="GELİR",$O1234,-$O1234),0))</f>
        <v/>
      </c>
      <c r="AA1234" s="117">
        <f>IF($B1234="",0,IF(OR($W1234="EVET",$X1234="EVET",$Y1234="EVET"),0,IF($D1234="GELİR",IF($E1234="SATIŞ İADESİ/İSKONTO",-$O1234,$O1234),-$O1234)))</f>
        <v/>
      </c>
      <c r="AB1234" s="117">
        <f>IF($B1234="","",IF(OR($D1234="",$E1234="",$O1234=""),"EKSİK",IF($O1234&lt;=0,"SIFIR/NEGATİF",IF(COUNTIFS($C$6:$C$5000,$C1234,$O$6:$O$5000,$O1234,$B$6:$B$5000,$B1234)&gt;1,"MÜKERRER","OK"))))</f>
        <v/>
      </c>
    </row>
    <row r="1235" ht="16.5" customHeight="1" s="80">
      <c r="A1235" s="113" t="n"/>
      <c r="B1235" s="113" t="n"/>
      <c r="C1235" s="113" t="n"/>
      <c r="D1235" s="113" t="n"/>
      <c r="E1235" s="113" t="n"/>
      <c r="F1235" s="113" t="n"/>
      <c r="G1235" s="113" t="n"/>
      <c r="H1235" s="113" t="n"/>
      <c r="I1235" s="113" t="n"/>
      <c r="J1235" s="113" t="n"/>
      <c r="K1235" s="113" t="n"/>
      <c r="L1235" s="113" t="n"/>
      <c r="M1235" s="113" t="n"/>
      <c r="N1235" s="113" t="n"/>
      <c r="O1235" s="113" t="n"/>
      <c r="P1235" s="113" t="n"/>
      <c r="Q1235" s="113" t="n"/>
      <c r="R1235" s="113" t="n"/>
      <c r="S1235" s="113" t="n"/>
      <c r="T1235" s="113" t="n"/>
      <c r="U1235" s="113" t="n"/>
      <c r="V1235" s="113" t="n"/>
      <c r="W1235" s="113" t="n"/>
      <c r="X1235" s="113" t="n"/>
      <c r="Y1235" s="113" t="n"/>
      <c r="Z1235" s="117">
        <f>IF($B1235="",0,IF($S1235="EVET",IF($D1235="GELİR",$O1235,-$O1235),0))</f>
        <v/>
      </c>
      <c r="AA1235" s="117">
        <f>IF($B1235="",0,IF(OR($W1235="EVET",$X1235="EVET",$Y1235="EVET"),0,IF($D1235="GELİR",IF($E1235="SATIŞ İADESİ/İSKONTO",-$O1235,$O1235),-$O1235)))</f>
        <v/>
      </c>
      <c r="AB1235" s="117">
        <f>IF($B1235="","",IF(OR($D1235="",$E1235="",$O1235=""),"EKSİK",IF($O1235&lt;=0,"SIFIR/NEGATİF",IF(COUNTIFS($C$6:$C$5000,$C1235,$O$6:$O$5000,$O1235,$B$6:$B$5000,$B1235)&gt;1,"MÜKERRER","OK"))))</f>
        <v/>
      </c>
    </row>
    <row r="1236" ht="16.5" customHeight="1" s="80">
      <c r="A1236" s="113" t="n"/>
      <c r="B1236" s="113" t="n"/>
      <c r="C1236" s="113" t="n"/>
      <c r="D1236" s="113" t="n"/>
      <c r="E1236" s="113" t="n"/>
      <c r="F1236" s="113" t="n"/>
      <c r="G1236" s="113" t="n"/>
      <c r="H1236" s="113" t="n"/>
      <c r="I1236" s="113" t="n"/>
      <c r="J1236" s="113" t="n"/>
      <c r="K1236" s="113" t="n"/>
      <c r="L1236" s="113" t="n"/>
      <c r="M1236" s="113" t="n"/>
      <c r="N1236" s="113" t="n"/>
      <c r="O1236" s="113" t="n"/>
      <c r="P1236" s="113" t="n"/>
      <c r="Q1236" s="113" t="n"/>
      <c r="R1236" s="113" t="n"/>
      <c r="S1236" s="113" t="n"/>
      <c r="T1236" s="113" t="n"/>
      <c r="U1236" s="113" t="n"/>
      <c r="V1236" s="113" t="n"/>
      <c r="W1236" s="113" t="n"/>
      <c r="X1236" s="113" t="n"/>
      <c r="Y1236" s="113" t="n"/>
      <c r="Z1236" s="117">
        <f>IF($B1236="",0,IF($S1236="EVET",IF($D1236="GELİR",$O1236,-$O1236),0))</f>
        <v/>
      </c>
      <c r="AA1236" s="117">
        <f>IF($B1236="",0,IF(OR($W1236="EVET",$X1236="EVET",$Y1236="EVET"),0,IF($D1236="GELİR",IF($E1236="SATIŞ İADESİ/İSKONTO",-$O1236,$O1236),-$O1236)))</f>
        <v/>
      </c>
      <c r="AB1236" s="117">
        <f>IF($B1236="","",IF(OR($D1236="",$E1236="",$O1236=""),"EKSİK",IF($O1236&lt;=0,"SIFIR/NEGATİF",IF(COUNTIFS($C$6:$C$5000,$C1236,$O$6:$O$5000,$O1236,$B$6:$B$5000,$B1236)&gt;1,"MÜKERRER","OK"))))</f>
        <v/>
      </c>
    </row>
    <row r="1237" ht="16.5" customHeight="1" s="80">
      <c r="A1237" s="113" t="n"/>
      <c r="B1237" s="113" t="n"/>
      <c r="C1237" s="113" t="n"/>
      <c r="D1237" s="113" t="n"/>
      <c r="E1237" s="113" t="n"/>
      <c r="F1237" s="113" t="n"/>
      <c r="G1237" s="113" t="n"/>
      <c r="H1237" s="113" t="n"/>
      <c r="I1237" s="113" t="n"/>
      <c r="J1237" s="113" t="n"/>
      <c r="K1237" s="113" t="n"/>
      <c r="L1237" s="113" t="n"/>
      <c r="M1237" s="113" t="n"/>
      <c r="N1237" s="113" t="n"/>
      <c r="O1237" s="113" t="n"/>
      <c r="P1237" s="113" t="n"/>
      <c r="Q1237" s="113" t="n"/>
      <c r="R1237" s="113" t="n"/>
      <c r="S1237" s="113" t="n"/>
      <c r="T1237" s="113" t="n"/>
      <c r="U1237" s="113" t="n"/>
      <c r="V1237" s="113" t="n"/>
      <c r="W1237" s="113" t="n"/>
      <c r="X1237" s="113" t="n"/>
      <c r="Y1237" s="113" t="n"/>
      <c r="Z1237" s="117">
        <f>IF($B1237="",0,IF($S1237="EVET",IF($D1237="GELİR",$O1237,-$O1237),0))</f>
        <v/>
      </c>
      <c r="AA1237" s="117">
        <f>IF($B1237="",0,IF(OR($W1237="EVET",$X1237="EVET",$Y1237="EVET"),0,IF($D1237="GELİR",IF($E1237="SATIŞ İADESİ/İSKONTO",-$O1237,$O1237),-$O1237)))</f>
        <v/>
      </c>
      <c r="AB1237" s="117">
        <f>IF($B1237="","",IF(OR($D1237="",$E1237="",$O1237=""),"EKSİK",IF($O1237&lt;=0,"SIFIR/NEGATİF",IF(COUNTIFS($C$6:$C$5000,$C1237,$O$6:$O$5000,$O1237,$B$6:$B$5000,$B1237)&gt;1,"MÜKERRER","OK"))))</f>
        <v/>
      </c>
    </row>
    <row r="1238" ht="16.5" customHeight="1" s="80">
      <c r="A1238" s="113" t="n"/>
      <c r="B1238" s="113" t="n"/>
      <c r="C1238" s="113" t="n"/>
      <c r="D1238" s="113" t="n"/>
      <c r="E1238" s="113" t="n"/>
      <c r="F1238" s="113" t="n"/>
      <c r="G1238" s="113" t="n"/>
      <c r="H1238" s="113" t="n"/>
      <c r="I1238" s="113" t="n"/>
      <c r="J1238" s="113" t="n"/>
      <c r="K1238" s="113" t="n"/>
      <c r="L1238" s="113" t="n"/>
      <c r="M1238" s="113" t="n"/>
      <c r="N1238" s="113" t="n"/>
      <c r="O1238" s="113" t="n"/>
      <c r="P1238" s="113" t="n"/>
      <c r="Q1238" s="113" t="n"/>
      <c r="R1238" s="113" t="n"/>
      <c r="S1238" s="113" t="n"/>
      <c r="T1238" s="113" t="n"/>
      <c r="U1238" s="113" t="n"/>
      <c r="V1238" s="113" t="n"/>
      <c r="W1238" s="113" t="n"/>
      <c r="X1238" s="113" t="n"/>
      <c r="Y1238" s="113" t="n"/>
      <c r="Z1238" s="117">
        <f>IF($B1238="",0,IF($S1238="EVET",IF($D1238="GELİR",$O1238,-$O1238),0))</f>
        <v/>
      </c>
      <c r="AA1238" s="117">
        <f>IF($B1238="",0,IF(OR($W1238="EVET",$X1238="EVET",$Y1238="EVET"),0,IF($D1238="GELİR",IF($E1238="SATIŞ İADESİ/İSKONTO",-$O1238,$O1238),-$O1238)))</f>
        <v/>
      </c>
      <c r="AB1238" s="117">
        <f>IF($B1238="","",IF(OR($D1238="",$E1238="",$O1238=""),"EKSİK",IF($O1238&lt;=0,"SIFIR/NEGATİF",IF(COUNTIFS($C$6:$C$5000,$C1238,$O$6:$O$5000,$O1238,$B$6:$B$5000,$B1238)&gt;1,"MÜKERRER","OK"))))</f>
        <v/>
      </c>
    </row>
    <row r="1239" ht="16.5" customHeight="1" s="80">
      <c r="A1239" s="113" t="n"/>
      <c r="B1239" s="113" t="n"/>
      <c r="C1239" s="113" t="n"/>
      <c r="D1239" s="113" t="n"/>
      <c r="E1239" s="113" t="n"/>
      <c r="F1239" s="113" t="n"/>
      <c r="G1239" s="113" t="n"/>
      <c r="H1239" s="113" t="n"/>
      <c r="I1239" s="113" t="n"/>
      <c r="J1239" s="113" t="n"/>
      <c r="K1239" s="113" t="n"/>
      <c r="L1239" s="113" t="n"/>
      <c r="M1239" s="113" t="n"/>
      <c r="N1239" s="113" t="n"/>
      <c r="O1239" s="113" t="n"/>
      <c r="P1239" s="113" t="n"/>
      <c r="Q1239" s="113" t="n"/>
      <c r="R1239" s="113" t="n"/>
      <c r="S1239" s="113" t="n"/>
      <c r="T1239" s="113" t="n"/>
      <c r="U1239" s="113" t="n"/>
      <c r="V1239" s="113" t="n"/>
      <c r="W1239" s="113" t="n"/>
      <c r="X1239" s="113" t="n"/>
      <c r="Y1239" s="113" t="n"/>
      <c r="Z1239" s="117">
        <f>IF($B1239="",0,IF($S1239="EVET",IF($D1239="GELİR",$O1239,-$O1239),0))</f>
        <v/>
      </c>
      <c r="AA1239" s="117">
        <f>IF($B1239="",0,IF(OR($W1239="EVET",$X1239="EVET",$Y1239="EVET"),0,IF($D1239="GELİR",IF($E1239="SATIŞ İADESİ/İSKONTO",-$O1239,$O1239),-$O1239)))</f>
        <v/>
      </c>
      <c r="AB1239" s="117">
        <f>IF($B1239="","",IF(OR($D1239="",$E1239="",$O1239=""),"EKSİK",IF($O1239&lt;=0,"SIFIR/NEGATİF",IF(COUNTIFS($C$6:$C$5000,$C1239,$O$6:$O$5000,$O1239,$B$6:$B$5000,$B1239)&gt;1,"MÜKERRER","OK"))))</f>
        <v/>
      </c>
    </row>
    <row r="1240" ht="16.5" customHeight="1" s="80">
      <c r="A1240" s="113" t="n"/>
      <c r="B1240" s="113" t="n"/>
      <c r="C1240" s="113" t="n"/>
      <c r="D1240" s="113" t="n"/>
      <c r="E1240" s="113" t="n"/>
      <c r="F1240" s="113" t="n"/>
      <c r="G1240" s="113" t="n"/>
      <c r="H1240" s="113" t="n"/>
      <c r="I1240" s="113" t="n"/>
      <c r="J1240" s="113" t="n"/>
      <c r="K1240" s="113" t="n"/>
      <c r="L1240" s="113" t="n"/>
      <c r="M1240" s="113" t="n"/>
      <c r="N1240" s="113" t="n"/>
      <c r="O1240" s="113" t="n"/>
      <c r="P1240" s="113" t="n"/>
      <c r="Q1240" s="113" t="n"/>
      <c r="R1240" s="113" t="n"/>
      <c r="S1240" s="113" t="n"/>
      <c r="T1240" s="113" t="n"/>
      <c r="U1240" s="113" t="n"/>
      <c r="V1240" s="113" t="n"/>
      <c r="W1240" s="113" t="n"/>
      <c r="X1240" s="113" t="n"/>
      <c r="Y1240" s="113" t="n"/>
      <c r="Z1240" s="117">
        <f>IF($B1240="",0,IF($S1240="EVET",IF($D1240="GELİR",$O1240,-$O1240),0))</f>
        <v/>
      </c>
      <c r="AA1240" s="117">
        <f>IF($B1240="",0,IF(OR($W1240="EVET",$X1240="EVET",$Y1240="EVET"),0,IF($D1240="GELİR",IF($E1240="SATIŞ İADESİ/İSKONTO",-$O1240,$O1240),-$O1240)))</f>
        <v/>
      </c>
      <c r="AB1240" s="117">
        <f>IF($B1240="","",IF(OR($D1240="",$E1240="",$O1240=""),"EKSİK",IF($O1240&lt;=0,"SIFIR/NEGATİF",IF(COUNTIFS($C$6:$C$5000,$C1240,$O$6:$O$5000,$O1240,$B$6:$B$5000,$B1240)&gt;1,"MÜKERRER","OK"))))</f>
        <v/>
      </c>
    </row>
    <row r="1241" ht="16.5" customHeight="1" s="80">
      <c r="A1241" s="113" t="n"/>
      <c r="B1241" s="113" t="n"/>
      <c r="C1241" s="113" t="n"/>
      <c r="D1241" s="113" t="n"/>
      <c r="E1241" s="113" t="n"/>
      <c r="F1241" s="113" t="n"/>
      <c r="G1241" s="113" t="n"/>
      <c r="H1241" s="113" t="n"/>
      <c r="I1241" s="113" t="n"/>
      <c r="J1241" s="113" t="n"/>
      <c r="K1241" s="113" t="n"/>
      <c r="L1241" s="113" t="n"/>
      <c r="M1241" s="113" t="n"/>
      <c r="N1241" s="113" t="n"/>
      <c r="O1241" s="113" t="n"/>
      <c r="P1241" s="113" t="n"/>
      <c r="Q1241" s="113" t="n"/>
      <c r="R1241" s="113" t="n"/>
      <c r="S1241" s="113" t="n"/>
      <c r="T1241" s="113" t="n"/>
      <c r="U1241" s="113" t="n"/>
      <c r="V1241" s="113" t="n"/>
      <c r="W1241" s="113" t="n"/>
      <c r="X1241" s="113" t="n"/>
      <c r="Y1241" s="113" t="n"/>
      <c r="Z1241" s="117">
        <f>IF($B1241="",0,IF($S1241="EVET",IF($D1241="GELİR",$O1241,-$O1241),0))</f>
        <v/>
      </c>
      <c r="AA1241" s="117">
        <f>IF($B1241="",0,IF(OR($W1241="EVET",$X1241="EVET",$Y1241="EVET"),0,IF($D1241="GELİR",IF($E1241="SATIŞ İADESİ/İSKONTO",-$O1241,$O1241),-$O1241)))</f>
        <v/>
      </c>
      <c r="AB1241" s="117">
        <f>IF($B1241="","",IF(OR($D1241="",$E1241="",$O1241=""),"EKSİK",IF($O1241&lt;=0,"SIFIR/NEGATİF",IF(COUNTIFS($C$6:$C$5000,$C1241,$O$6:$O$5000,$O1241,$B$6:$B$5000,$B1241)&gt;1,"MÜKERRER","OK"))))</f>
        <v/>
      </c>
    </row>
    <row r="1242" ht="16.5" customHeight="1" s="80">
      <c r="A1242" s="113" t="n"/>
      <c r="B1242" s="113" t="n"/>
      <c r="C1242" s="113" t="n"/>
      <c r="D1242" s="113" t="n"/>
      <c r="E1242" s="113" t="n"/>
      <c r="F1242" s="113" t="n"/>
      <c r="G1242" s="113" t="n"/>
      <c r="H1242" s="113" t="n"/>
      <c r="I1242" s="113" t="n"/>
      <c r="J1242" s="113" t="n"/>
      <c r="K1242" s="113" t="n"/>
      <c r="L1242" s="113" t="n"/>
      <c r="M1242" s="113" t="n"/>
      <c r="N1242" s="113" t="n"/>
      <c r="O1242" s="113" t="n"/>
      <c r="P1242" s="113" t="n"/>
      <c r="Q1242" s="113" t="n"/>
      <c r="R1242" s="113" t="n"/>
      <c r="S1242" s="113" t="n"/>
      <c r="T1242" s="113" t="n"/>
      <c r="U1242" s="113" t="n"/>
      <c r="V1242" s="113" t="n"/>
      <c r="W1242" s="113" t="n"/>
      <c r="X1242" s="113" t="n"/>
      <c r="Y1242" s="113" t="n"/>
      <c r="Z1242" s="117">
        <f>IF($B1242="",0,IF($S1242="EVET",IF($D1242="GELİR",$O1242,-$O1242),0))</f>
        <v/>
      </c>
      <c r="AA1242" s="117">
        <f>IF($B1242="",0,IF(OR($W1242="EVET",$X1242="EVET",$Y1242="EVET"),0,IF($D1242="GELİR",IF($E1242="SATIŞ İADESİ/İSKONTO",-$O1242,$O1242),-$O1242)))</f>
        <v/>
      </c>
      <c r="AB1242" s="117">
        <f>IF($B1242="","",IF(OR($D1242="",$E1242="",$O1242=""),"EKSİK",IF($O1242&lt;=0,"SIFIR/NEGATİF",IF(COUNTIFS($C$6:$C$5000,$C1242,$O$6:$O$5000,$O1242,$B$6:$B$5000,$B1242)&gt;1,"MÜKERRER","OK"))))</f>
        <v/>
      </c>
    </row>
    <row r="1243" ht="16.5" customHeight="1" s="80">
      <c r="A1243" s="113" t="n"/>
      <c r="B1243" s="113" t="n"/>
      <c r="C1243" s="113" t="n"/>
      <c r="D1243" s="113" t="n"/>
      <c r="E1243" s="113" t="n"/>
      <c r="F1243" s="113" t="n"/>
      <c r="G1243" s="113" t="n"/>
      <c r="H1243" s="113" t="n"/>
      <c r="I1243" s="113" t="n"/>
      <c r="J1243" s="113" t="n"/>
      <c r="K1243" s="113" t="n"/>
      <c r="L1243" s="113" t="n"/>
      <c r="M1243" s="113" t="n"/>
      <c r="N1243" s="113" t="n"/>
      <c r="O1243" s="113" t="n"/>
      <c r="P1243" s="113" t="n"/>
      <c r="Q1243" s="113" t="n"/>
      <c r="R1243" s="113" t="n"/>
      <c r="S1243" s="113" t="n"/>
      <c r="T1243" s="113" t="n"/>
      <c r="U1243" s="113" t="n"/>
      <c r="V1243" s="113" t="n"/>
      <c r="W1243" s="113" t="n"/>
      <c r="X1243" s="113" t="n"/>
      <c r="Y1243" s="113" t="n"/>
      <c r="Z1243" s="117">
        <f>IF($B1243="",0,IF($S1243="EVET",IF($D1243="GELİR",$O1243,-$O1243),0))</f>
        <v/>
      </c>
      <c r="AA1243" s="117">
        <f>IF($B1243="",0,IF(OR($W1243="EVET",$X1243="EVET",$Y1243="EVET"),0,IF($D1243="GELİR",IF($E1243="SATIŞ İADESİ/İSKONTO",-$O1243,$O1243),-$O1243)))</f>
        <v/>
      </c>
      <c r="AB1243" s="117">
        <f>IF($B1243="","",IF(OR($D1243="",$E1243="",$O1243=""),"EKSİK",IF($O1243&lt;=0,"SIFIR/NEGATİF",IF(COUNTIFS($C$6:$C$5000,$C1243,$O$6:$O$5000,$O1243,$B$6:$B$5000,$B1243)&gt;1,"MÜKERRER","OK"))))</f>
        <v/>
      </c>
    </row>
    <row r="1244" ht="16.5" customHeight="1" s="80">
      <c r="A1244" s="113" t="n"/>
      <c r="B1244" s="113" t="n"/>
      <c r="C1244" s="113" t="n"/>
      <c r="D1244" s="113" t="n"/>
      <c r="E1244" s="113" t="n"/>
      <c r="F1244" s="113" t="n"/>
      <c r="G1244" s="113" t="n"/>
      <c r="H1244" s="113" t="n"/>
      <c r="I1244" s="113" t="n"/>
      <c r="J1244" s="113" t="n"/>
      <c r="K1244" s="113" t="n"/>
      <c r="L1244" s="113" t="n"/>
      <c r="M1244" s="113" t="n"/>
      <c r="N1244" s="113" t="n"/>
      <c r="O1244" s="113" t="n"/>
      <c r="P1244" s="113" t="n"/>
      <c r="Q1244" s="113" t="n"/>
      <c r="R1244" s="113" t="n"/>
      <c r="S1244" s="113" t="n"/>
      <c r="T1244" s="113" t="n"/>
      <c r="U1244" s="113" t="n"/>
      <c r="V1244" s="113" t="n"/>
      <c r="W1244" s="113" t="n"/>
      <c r="X1244" s="113" t="n"/>
      <c r="Y1244" s="113" t="n"/>
      <c r="Z1244" s="117">
        <f>IF($B1244="",0,IF($S1244="EVET",IF($D1244="GELİR",$O1244,-$O1244),0))</f>
        <v/>
      </c>
      <c r="AA1244" s="117">
        <f>IF($B1244="",0,IF(OR($W1244="EVET",$X1244="EVET",$Y1244="EVET"),0,IF($D1244="GELİR",IF($E1244="SATIŞ İADESİ/İSKONTO",-$O1244,$O1244),-$O1244)))</f>
        <v/>
      </c>
      <c r="AB1244" s="117">
        <f>IF($B1244="","",IF(OR($D1244="",$E1244="",$O1244=""),"EKSİK",IF($O1244&lt;=0,"SIFIR/NEGATİF",IF(COUNTIFS($C$6:$C$5000,$C1244,$O$6:$O$5000,$O1244,$B$6:$B$5000,$B1244)&gt;1,"MÜKERRER","OK"))))</f>
        <v/>
      </c>
    </row>
    <row r="1245" ht="16.5" customHeight="1" s="80">
      <c r="A1245" s="113" t="n"/>
      <c r="B1245" s="113" t="n"/>
      <c r="C1245" s="113" t="n"/>
      <c r="D1245" s="113" t="n"/>
      <c r="E1245" s="113" t="n"/>
      <c r="F1245" s="113" t="n"/>
      <c r="G1245" s="113" t="n"/>
      <c r="H1245" s="113" t="n"/>
      <c r="I1245" s="113" t="n"/>
      <c r="J1245" s="113" t="n"/>
      <c r="K1245" s="113" t="n"/>
      <c r="L1245" s="113" t="n"/>
      <c r="M1245" s="113" t="n"/>
      <c r="N1245" s="113" t="n"/>
      <c r="O1245" s="113" t="n"/>
      <c r="P1245" s="113" t="n"/>
      <c r="Q1245" s="113" t="n"/>
      <c r="R1245" s="113" t="n"/>
      <c r="S1245" s="113" t="n"/>
      <c r="T1245" s="113" t="n"/>
      <c r="U1245" s="113" t="n"/>
      <c r="V1245" s="113" t="n"/>
      <c r="W1245" s="113" t="n"/>
      <c r="X1245" s="113" t="n"/>
      <c r="Y1245" s="113" t="n"/>
      <c r="Z1245" s="117">
        <f>IF($B1245="",0,IF($S1245="EVET",IF($D1245="GELİR",$O1245,-$O1245),0))</f>
        <v/>
      </c>
      <c r="AA1245" s="117">
        <f>IF($B1245="",0,IF(OR($W1245="EVET",$X1245="EVET",$Y1245="EVET"),0,IF($D1245="GELİR",IF($E1245="SATIŞ İADESİ/İSKONTO",-$O1245,$O1245),-$O1245)))</f>
        <v/>
      </c>
      <c r="AB1245" s="117">
        <f>IF($B1245="","",IF(OR($D1245="",$E1245="",$O1245=""),"EKSİK",IF($O1245&lt;=0,"SIFIR/NEGATİF",IF(COUNTIFS($C$6:$C$5000,$C1245,$O$6:$O$5000,$O1245,$B$6:$B$5000,$B1245)&gt;1,"MÜKERRER","OK"))))</f>
        <v/>
      </c>
    </row>
    <row r="1246" ht="16.5" customHeight="1" s="80">
      <c r="A1246" s="113" t="n"/>
      <c r="B1246" s="113" t="n"/>
      <c r="C1246" s="113" t="n"/>
      <c r="D1246" s="113" t="n"/>
      <c r="E1246" s="113" t="n"/>
      <c r="F1246" s="113" t="n"/>
      <c r="G1246" s="113" t="n"/>
      <c r="H1246" s="113" t="n"/>
      <c r="I1246" s="113" t="n"/>
      <c r="J1246" s="113" t="n"/>
      <c r="K1246" s="113" t="n"/>
      <c r="L1246" s="113" t="n"/>
      <c r="M1246" s="113" t="n"/>
      <c r="N1246" s="113" t="n"/>
      <c r="O1246" s="113" t="n"/>
      <c r="P1246" s="113" t="n"/>
      <c r="Q1246" s="113" t="n"/>
      <c r="R1246" s="113" t="n"/>
      <c r="S1246" s="113" t="n"/>
      <c r="T1246" s="113" t="n"/>
      <c r="U1246" s="113" t="n"/>
      <c r="V1246" s="113" t="n"/>
      <c r="W1246" s="113" t="n"/>
      <c r="X1246" s="113" t="n"/>
      <c r="Y1246" s="113" t="n"/>
      <c r="Z1246" s="117">
        <f>IF($B1246="",0,IF($S1246="EVET",IF($D1246="GELİR",$O1246,-$O1246),0))</f>
        <v/>
      </c>
      <c r="AA1246" s="117">
        <f>IF($B1246="",0,IF(OR($W1246="EVET",$X1246="EVET",$Y1246="EVET"),0,IF($D1246="GELİR",IF($E1246="SATIŞ İADESİ/İSKONTO",-$O1246,$O1246),-$O1246)))</f>
        <v/>
      </c>
      <c r="AB1246" s="117">
        <f>IF($B1246="","",IF(OR($D1246="",$E1246="",$O1246=""),"EKSİK",IF($O1246&lt;=0,"SIFIR/NEGATİF",IF(COUNTIFS($C$6:$C$5000,$C1246,$O$6:$O$5000,$O1246,$B$6:$B$5000,$B1246)&gt;1,"MÜKERRER","OK"))))</f>
        <v/>
      </c>
    </row>
    <row r="1247" ht="16.5" customHeight="1" s="80">
      <c r="A1247" s="113" t="n"/>
      <c r="B1247" s="113" t="n"/>
      <c r="C1247" s="113" t="n"/>
      <c r="D1247" s="113" t="n"/>
      <c r="E1247" s="113" t="n"/>
      <c r="F1247" s="113" t="n"/>
      <c r="G1247" s="113" t="n"/>
      <c r="H1247" s="113" t="n"/>
      <c r="I1247" s="113" t="n"/>
      <c r="J1247" s="113" t="n"/>
      <c r="K1247" s="113" t="n"/>
      <c r="L1247" s="113" t="n"/>
      <c r="M1247" s="113" t="n"/>
      <c r="N1247" s="113" t="n"/>
      <c r="O1247" s="113" t="n"/>
      <c r="P1247" s="113" t="n"/>
      <c r="Q1247" s="113" t="n"/>
      <c r="R1247" s="113" t="n"/>
      <c r="S1247" s="113" t="n"/>
      <c r="T1247" s="113" t="n"/>
      <c r="U1247" s="113" t="n"/>
      <c r="V1247" s="113" t="n"/>
      <c r="W1247" s="113" t="n"/>
      <c r="X1247" s="113" t="n"/>
      <c r="Y1247" s="113" t="n"/>
      <c r="Z1247" s="117">
        <f>IF($B1247="",0,IF($S1247="EVET",IF($D1247="GELİR",$O1247,-$O1247),0))</f>
        <v/>
      </c>
      <c r="AA1247" s="117">
        <f>IF($B1247="",0,IF(OR($W1247="EVET",$X1247="EVET",$Y1247="EVET"),0,IF($D1247="GELİR",IF($E1247="SATIŞ İADESİ/İSKONTO",-$O1247,$O1247),-$O1247)))</f>
        <v/>
      </c>
      <c r="AB1247" s="117">
        <f>IF($B1247="","",IF(OR($D1247="",$E1247="",$O1247=""),"EKSİK",IF($O1247&lt;=0,"SIFIR/NEGATİF",IF(COUNTIFS($C$6:$C$5000,$C1247,$O$6:$O$5000,$O1247,$B$6:$B$5000,$B1247)&gt;1,"MÜKERRER","OK"))))</f>
        <v/>
      </c>
    </row>
    <row r="1248" ht="16.5" customHeight="1" s="80">
      <c r="A1248" s="113" t="n"/>
      <c r="B1248" s="113" t="n"/>
      <c r="C1248" s="113" t="n"/>
      <c r="D1248" s="113" t="n"/>
      <c r="E1248" s="113" t="n"/>
      <c r="F1248" s="113" t="n"/>
      <c r="G1248" s="113" t="n"/>
      <c r="H1248" s="113" t="n"/>
      <c r="I1248" s="113" t="n"/>
      <c r="J1248" s="113" t="n"/>
      <c r="K1248" s="113" t="n"/>
      <c r="L1248" s="113" t="n"/>
      <c r="M1248" s="113" t="n"/>
      <c r="N1248" s="113" t="n"/>
      <c r="O1248" s="113" t="n"/>
      <c r="P1248" s="113" t="n"/>
      <c r="Q1248" s="113" t="n"/>
      <c r="R1248" s="113" t="n"/>
      <c r="S1248" s="113" t="n"/>
      <c r="T1248" s="113" t="n"/>
      <c r="U1248" s="113" t="n"/>
      <c r="V1248" s="113" t="n"/>
      <c r="W1248" s="113" t="n"/>
      <c r="X1248" s="113" t="n"/>
      <c r="Y1248" s="113" t="n"/>
      <c r="Z1248" s="117">
        <f>IF($B1248="",0,IF($S1248="EVET",IF($D1248="GELİR",$O1248,-$O1248),0))</f>
        <v/>
      </c>
      <c r="AA1248" s="117">
        <f>IF($B1248="",0,IF(OR($W1248="EVET",$X1248="EVET",$Y1248="EVET"),0,IF($D1248="GELİR",IF($E1248="SATIŞ İADESİ/İSKONTO",-$O1248,$O1248),-$O1248)))</f>
        <v/>
      </c>
      <c r="AB1248" s="117">
        <f>IF($B1248="","",IF(OR($D1248="",$E1248="",$O1248=""),"EKSİK",IF($O1248&lt;=0,"SIFIR/NEGATİF",IF(COUNTIFS($C$6:$C$5000,$C1248,$O$6:$O$5000,$O1248,$B$6:$B$5000,$B1248)&gt;1,"MÜKERRER","OK"))))</f>
        <v/>
      </c>
    </row>
    <row r="1249" ht="16.5" customHeight="1" s="80">
      <c r="A1249" s="113" t="n"/>
      <c r="B1249" s="113" t="n"/>
      <c r="C1249" s="113" t="n"/>
      <c r="D1249" s="113" t="n"/>
      <c r="E1249" s="113" t="n"/>
      <c r="F1249" s="113" t="n"/>
      <c r="G1249" s="113" t="n"/>
      <c r="H1249" s="113" t="n"/>
      <c r="I1249" s="113" t="n"/>
      <c r="J1249" s="113" t="n"/>
      <c r="K1249" s="113" t="n"/>
      <c r="L1249" s="113" t="n"/>
      <c r="M1249" s="113" t="n"/>
      <c r="N1249" s="113" t="n"/>
      <c r="O1249" s="113" t="n"/>
      <c r="P1249" s="113" t="n"/>
      <c r="Q1249" s="113" t="n"/>
      <c r="R1249" s="113" t="n"/>
      <c r="S1249" s="113" t="n"/>
      <c r="T1249" s="113" t="n"/>
      <c r="U1249" s="113" t="n"/>
      <c r="V1249" s="113" t="n"/>
      <c r="W1249" s="113" t="n"/>
      <c r="X1249" s="113" t="n"/>
      <c r="Y1249" s="113" t="n"/>
      <c r="Z1249" s="117">
        <f>IF($B1249="",0,IF($S1249="EVET",IF($D1249="GELİR",$O1249,-$O1249),0))</f>
        <v/>
      </c>
      <c r="AA1249" s="117">
        <f>IF($B1249="",0,IF(OR($W1249="EVET",$X1249="EVET",$Y1249="EVET"),0,IF($D1249="GELİR",IF($E1249="SATIŞ İADESİ/İSKONTO",-$O1249,$O1249),-$O1249)))</f>
        <v/>
      </c>
      <c r="AB1249" s="117">
        <f>IF($B1249="","",IF(OR($D1249="",$E1249="",$O1249=""),"EKSİK",IF($O1249&lt;=0,"SIFIR/NEGATİF",IF(COUNTIFS($C$6:$C$5000,$C1249,$O$6:$O$5000,$O1249,$B$6:$B$5000,$B1249)&gt;1,"MÜKERRER","OK"))))</f>
        <v/>
      </c>
    </row>
    <row r="1250" ht="16.5" customHeight="1" s="80">
      <c r="A1250" s="113" t="n"/>
      <c r="B1250" s="113" t="n"/>
      <c r="C1250" s="113" t="n"/>
      <c r="D1250" s="113" t="n"/>
      <c r="E1250" s="113" t="n"/>
      <c r="F1250" s="113" t="n"/>
      <c r="G1250" s="113" t="n"/>
      <c r="H1250" s="113" t="n"/>
      <c r="I1250" s="113" t="n"/>
      <c r="J1250" s="113" t="n"/>
      <c r="K1250" s="113" t="n"/>
      <c r="L1250" s="113" t="n"/>
      <c r="M1250" s="113" t="n"/>
      <c r="N1250" s="113" t="n"/>
      <c r="O1250" s="113" t="n"/>
      <c r="P1250" s="113" t="n"/>
      <c r="Q1250" s="113" t="n"/>
      <c r="R1250" s="113" t="n"/>
      <c r="S1250" s="113" t="n"/>
      <c r="T1250" s="113" t="n"/>
      <c r="U1250" s="113" t="n"/>
      <c r="V1250" s="113" t="n"/>
      <c r="W1250" s="113" t="n"/>
      <c r="X1250" s="113" t="n"/>
      <c r="Y1250" s="113" t="n"/>
      <c r="Z1250" s="117">
        <f>IF($B1250="",0,IF($S1250="EVET",IF($D1250="GELİR",$O1250,-$O1250),0))</f>
        <v/>
      </c>
      <c r="AA1250" s="117">
        <f>IF($B1250="",0,IF(OR($W1250="EVET",$X1250="EVET",$Y1250="EVET"),0,IF($D1250="GELİR",IF($E1250="SATIŞ İADESİ/İSKONTO",-$O1250,$O1250),-$O1250)))</f>
        <v/>
      </c>
      <c r="AB1250" s="117">
        <f>IF($B1250="","",IF(OR($D1250="",$E1250="",$O1250=""),"EKSİK",IF($O1250&lt;=0,"SIFIR/NEGATİF",IF(COUNTIFS($C$6:$C$5000,$C1250,$O$6:$O$5000,$O1250,$B$6:$B$5000,$B1250)&gt;1,"MÜKERRER","OK"))))</f>
        <v/>
      </c>
    </row>
    <row r="1251" ht="16.5" customHeight="1" s="80">
      <c r="A1251" s="113" t="n"/>
      <c r="B1251" s="113" t="n"/>
      <c r="C1251" s="113" t="n"/>
      <c r="D1251" s="113" t="n"/>
      <c r="E1251" s="113" t="n"/>
      <c r="F1251" s="113" t="n"/>
      <c r="G1251" s="113" t="n"/>
      <c r="H1251" s="113" t="n"/>
      <c r="I1251" s="113" t="n"/>
      <c r="J1251" s="113" t="n"/>
      <c r="K1251" s="113" t="n"/>
      <c r="L1251" s="113" t="n"/>
      <c r="M1251" s="113" t="n"/>
      <c r="N1251" s="113" t="n"/>
      <c r="O1251" s="113" t="n"/>
      <c r="P1251" s="113" t="n"/>
      <c r="Q1251" s="113" t="n"/>
      <c r="R1251" s="113" t="n"/>
      <c r="S1251" s="113" t="n"/>
      <c r="T1251" s="113" t="n"/>
      <c r="U1251" s="113" t="n"/>
      <c r="V1251" s="113" t="n"/>
      <c r="W1251" s="113" t="n"/>
      <c r="X1251" s="113" t="n"/>
      <c r="Y1251" s="113" t="n"/>
      <c r="Z1251" s="117">
        <f>IF($B1251="",0,IF($S1251="EVET",IF($D1251="GELİR",$O1251,-$O1251),0))</f>
        <v/>
      </c>
      <c r="AA1251" s="117">
        <f>IF($B1251="",0,IF(OR($W1251="EVET",$X1251="EVET",$Y1251="EVET"),0,IF($D1251="GELİR",IF($E1251="SATIŞ İADESİ/İSKONTO",-$O1251,$O1251),-$O1251)))</f>
        <v/>
      </c>
      <c r="AB1251" s="117">
        <f>IF($B1251="","",IF(OR($D1251="",$E1251="",$O1251=""),"EKSİK",IF($O1251&lt;=0,"SIFIR/NEGATİF",IF(COUNTIFS($C$6:$C$5000,$C1251,$O$6:$O$5000,$O1251,$B$6:$B$5000,$B1251)&gt;1,"MÜKERRER","OK"))))</f>
        <v/>
      </c>
    </row>
    <row r="1252" ht="16.5" customHeight="1" s="80">
      <c r="A1252" s="113" t="n"/>
      <c r="B1252" s="113" t="n"/>
      <c r="C1252" s="113" t="n"/>
      <c r="D1252" s="113" t="n"/>
      <c r="E1252" s="113" t="n"/>
      <c r="F1252" s="113" t="n"/>
      <c r="G1252" s="113" t="n"/>
      <c r="H1252" s="113" t="n"/>
      <c r="I1252" s="113" t="n"/>
      <c r="J1252" s="113" t="n"/>
      <c r="K1252" s="113" t="n"/>
      <c r="L1252" s="113" t="n"/>
      <c r="M1252" s="113" t="n"/>
      <c r="N1252" s="113" t="n"/>
      <c r="O1252" s="113" t="n"/>
      <c r="P1252" s="113" t="n"/>
      <c r="Q1252" s="113" t="n"/>
      <c r="R1252" s="113" t="n"/>
      <c r="S1252" s="113" t="n"/>
      <c r="T1252" s="113" t="n"/>
      <c r="U1252" s="113" t="n"/>
      <c r="V1252" s="113" t="n"/>
      <c r="W1252" s="113" t="n"/>
      <c r="X1252" s="113" t="n"/>
      <c r="Y1252" s="113" t="n"/>
      <c r="Z1252" s="117">
        <f>IF($B1252="",0,IF($S1252="EVET",IF($D1252="GELİR",$O1252,-$O1252),0))</f>
        <v/>
      </c>
      <c r="AA1252" s="117">
        <f>IF($B1252="",0,IF(OR($W1252="EVET",$X1252="EVET",$Y1252="EVET"),0,IF($D1252="GELİR",IF($E1252="SATIŞ İADESİ/İSKONTO",-$O1252,$O1252),-$O1252)))</f>
        <v/>
      </c>
      <c r="AB1252" s="117">
        <f>IF($B1252="","",IF(OR($D1252="",$E1252="",$O1252=""),"EKSİK",IF($O1252&lt;=0,"SIFIR/NEGATİF",IF(COUNTIFS($C$6:$C$5000,$C1252,$O$6:$O$5000,$O1252,$B$6:$B$5000,$B1252)&gt;1,"MÜKERRER","OK"))))</f>
        <v/>
      </c>
    </row>
    <row r="1253" ht="16.5" customHeight="1" s="80">
      <c r="A1253" s="113" t="n"/>
      <c r="B1253" s="113" t="n"/>
      <c r="C1253" s="113" t="n"/>
      <c r="D1253" s="113" t="n"/>
      <c r="E1253" s="113" t="n"/>
      <c r="F1253" s="113" t="n"/>
      <c r="G1253" s="113" t="n"/>
      <c r="H1253" s="113" t="n"/>
      <c r="I1253" s="113" t="n"/>
      <c r="J1253" s="113" t="n"/>
      <c r="K1253" s="113" t="n"/>
      <c r="L1253" s="113" t="n"/>
      <c r="M1253" s="113" t="n"/>
      <c r="N1253" s="113" t="n"/>
      <c r="O1253" s="113" t="n"/>
      <c r="P1253" s="113" t="n"/>
      <c r="Q1253" s="113" t="n"/>
      <c r="R1253" s="113" t="n"/>
      <c r="S1253" s="113" t="n"/>
      <c r="T1253" s="113" t="n"/>
      <c r="U1253" s="113" t="n"/>
      <c r="V1253" s="113" t="n"/>
      <c r="W1253" s="113" t="n"/>
      <c r="X1253" s="113" t="n"/>
      <c r="Y1253" s="113" t="n"/>
      <c r="Z1253" s="117">
        <f>IF($B1253="",0,IF($S1253="EVET",IF($D1253="GELİR",$O1253,-$O1253),0))</f>
        <v/>
      </c>
      <c r="AA1253" s="117">
        <f>IF($B1253="",0,IF(OR($W1253="EVET",$X1253="EVET",$Y1253="EVET"),0,IF($D1253="GELİR",IF($E1253="SATIŞ İADESİ/İSKONTO",-$O1253,$O1253),-$O1253)))</f>
        <v/>
      </c>
      <c r="AB1253" s="117">
        <f>IF($B1253="","",IF(OR($D1253="",$E1253="",$O1253=""),"EKSİK",IF($O1253&lt;=0,"SIFIR/NEGATİF",IF(COUNTIFS($C$6:$C$5000,$C1253,$O$6:$O$5000,$O1253,$B$6:$B$5000,$B1253)&gt;1,"MÜKERRER","OK"))))</f>
        <v/>
      </c>
    </row>
    <row r="1254" ht="16.5" customHeight="1" s="80">
      <c r="A1254" s="113" t="n"/>
      <c r="B1254" s="113" t="n"/>
      <c r="C1254" s="113" t="n"/>
      <c r="D1254" s="113" t="n"/>
      <c r="E1254" s="113" t="n"/>
      <c r="F1254" s="113" t="n"/>
      <c r="G1254" s="113" t="n"/>
      <c r="H1254" s="113" t="n"/>
      <c r="I1254" s="113" t="n"/>
      <c r="J1254" s="113" t="n"/>
      <c r="K1254" s="113" t="n"/>
      <c r="L1254" s="113" t="n"/>
      <c r="M1254" s="113" t="n"/>
      <c r="N1254" s="113" t="n"/>
      <c r="O1254" s="113" t="n"/>
      <c r="P1254" s="113" t="n"/>
      <c r="Q1254" s="113" t="n"/>
      <c r="R1254" s="113" t="n"/>
      <c r="S1254" s="113" t="n"/>
      <c r="T1254" s="113" t="n"/>
      <c r="U1254" s="113" t="n"/>
      <c r="V1254" s="113" t="n"/>
      <c r="W1254" s="113" t="n"/>
      <c r="X1254" s="113" t="n"/>
      <c r="Y1254" s="113" t="n"/>
      <c r="Z1254" s="117">
        <f>IF($B1254="",0,IF($S1254="EVET",IF($D1254="GELİR",$O1254,-$O1254),0))</f>
        <v/>
      </c>
      <c r="AA1254" s="117">
        <f>IF($B1254="",0,IF(OR($W1254="EVET",$X1254="EVET",$Y1254="EVET"),0,IF($D1254="GELİR",IF($E1254="SATIŞ İADESİ/İSKONTO",-$O1254,$O1254),-$O1254)))</f>
        <v/>
      </c>
      <c r="AB1254" s="117">
        <f>IF($B1254="","",IF(OR($D1254="",$E1254="",$O1254=""),"EKSİK",IF($O1254&lt;=0,"SIFIR/NEGATİF",IF(COUNTIFS($C$6:$C$5000,$C1254,$O$6:$O$5000,$O1254,$B$6:$B$5000,$B1254)&gt;1,"MÜKERRER","OK"))))</f>
        <v/>
      </c>
    </row>
    <row r="1255" ht="16.5" customHeight="1" s="80">
      <c r="A1255" s="113" t="n"/>
      <c r="B1255" s="113" t="n"/>
      <c r="C1255" s="113" t="n"/>
      <c r="D1255" s="113" t="n"/>
      <c r="E1255" s="113" t="n"/>
      <c r="F1255" s="113" t="n"/>
      <c r="G1255" s="113" t="n"/>
      <c r="H1255" s="113" t="n"/>
      <c r="I1255" s="113" t="n"/>
      <c r="J1255" s="113" t="n"/>
      <c r="K1255" s="113" t="n"/>
      <c r="L1255" s="113" t="n"/>
      <c r="M1255" s="113" t="n"/>
      <c r="N1255" s="113" t="n"/>
      <c r="O1255" s="113" t="n"/>
      <c r="P1255" s="113" t="n"/>
      <c r="Q1255" s="113" t="n"/>
      <c r="R1255" s="113" t="n"/>
      <c r="S1255" s="113" t="n"/>
      <c r="T1255" s="113" t="n"/>
      <c r="U1255" s="113" t="n"/>
      <c r="V1255" s="113" t="n"/>
      <c r="W1255" s="113" t="n"/>
      <c r="X1255" s="113" t="n"/>
      <c r="Y1255" s="113" t="n"/>
      <c r="Z1255" s="117">
        <f>IF($B1255="",0,IF($S1255="EVET",IF($D1255="GELİR",$O1255,-$O1255),0))</f>
        <v/>
      </c>
      <c r="AA1255" s="117">
        <f>IF($B1255="",0,IF(OR($W1255="EVET",$X1255="EVET",$Y1255="EVET"),0,IF($D1255="GELİR",IF($E1255="SATIŞ İADESİ/İSKONTO",-$O1255,$O1255),-$O1255)))</f>
        <v/>
      </c>
      <c r="AB1255" s="117">
        <f>IF($B1255="","",IF(OR($D1255="",$E1255="",$O1255=""),"EKSİK",IF($O1255&lt;=0,"SIFIR/NEGATİF",IF(COUNTIFS($C$6:$C$5000,$C1255,$O$6:$O$5000,$O1255,$B$6:$B$5000,$B1255)&gt;1,"MÜKERRER","OK"))))</f>
        <v/>
      </c>
    </row>
    <row r="1256" ht="16.5" customHeight="1" s="80">
      <c r="A1256" s="113" t="n"/>
      <c r="B1256" s="113" t="n"/>
      <c r="C1256" s="113" t="n"/>
      <c r="D1256" s="113" t="n"/>
      <c r="E1256" s="113" t="n"/>
      <c r="F1256" s="113" t="n"/>
      <c r="G1256" s="113" t="n"/>
      <c r="H1256" s="113" t="n"/>
      <c r="I1256" s="113" t="n"/>
      <c r="J1256" s="113" t="n"/>
      <c r="K1256" s="113" t="n"/>
      <c r="L1256" s="113" t="n"/>
      <c r="M1256" s="113" t="n"/>
      <c r="N1256" s="113" t="n"/>
      <c r="O1256" s="113" t="n"/>
      <c r="P1256" s="113" t="n"/>
      <c r="Q1256" s="113" t="n"/>
      <c r="R1256" s="113" t="n"/>
      <c r="S1256" s="113" t="n"/>
      <c r="T1256" s="113" t="n"/>
      <c r="U1256" s="113" t="n"/>
      <c r="V1256" s="113" t="n"/>
      <c r="W1256" s="113" t="n"/>
      <c r="X1256" s="113" t="n"/>
      <c r="Y1256" s="113" t="n"/>
      <c r="Z1256" s="117">
        <f>IF($B1256="",0,IF($S1256="EVET",IF($D1256="GELİR",$O1256,-$O1256),0))</f>
        <v/>
      </c>
      <c r="AA1256" s="117">
        <f>IF($B1256="",0,IF(OR($W1256="EVET",$X1256="EVET",$Y1256="EVET"),0,IF($D1256="GELİR",IF($E1256="SATIŞ İADESİ/İSKONTO",-$O1256,$O1256),-$O1256)))</f>
        <v/>
      </c>
      <c r="AB1256" s="117">
        <f>IF($B1256="","",IF(OR($D1256="",$E1256="",$O1256=""),"EKSİK",IF($O1256&lt;=0,"SIFIR/NEGATİF",IF(COUNTIFS($C$6:$C$5000,$C1256,$O$6:$O$5000,$O1256,$B$6:$B$5000,$B1256)&gt;1,"MÜKERRER","OK"))))</f>
        <v/>
      </c>
    </row>
    <row r="1257" ht="16.5" customHeight="1" s="80">
      <c r="A1257" s="113" t="n"/>
      <c r="B1257" s="113" t="n"/>
      <c r="C1257" s="113" t="n"/>
      <c r="D1257" s="113" t="n"/>
      <c r="E1257" s="113" t="n"/>
      <c r="F1257" s="113" t="n"/>
      <c r="G1257" s="113" t="n"/>
      <c r="H1257" s="113" t="n"/>
      <c r="I1257" s="113" t="n"/>
      <c r="J1257" s="113" t="n"/>
      <c r="K1257" s="113" t="n"/>
      <c r="L1257" s="113" t="n"/>
      <c r="M1257" s="113" t="n"/>
      <c r="N1257" s="113" t="n"/>
      <c r="O1257" s="113" t="n"/>
      <c r="P1257" s="113" t="n"/>
      <c r="Q1257" s="113" t="n"/>
      <c r="R1257" s="113" t="n"/>
      <c r="S1257" s="113" t="n"/>
      <c r="T1257" s="113" t="n"/>
      <c r="U1257" s="113" t="n"/>
      <c r="V1257" s="113" t="n"/>
      <c r="W1257" s="113" t="n"/>
      <c r="X1257" s="113" t="n"/>
      <c r="Y1257" s="113" t="n"/>
      <c r="Z1257" s="117">
        <f>IF($B1257="",0,IF($S1257="EVET",IF($D1257="GELİR",$O1257,-$O1257),0))</f>
        <v/>
      </c>
      <c r="AA1257" s="117">
        <f>IF($B1257="",0,IF(OR($W1257="EVET",$X1257="EVET",$Y1257="EVET"),0,IF($D1257="GELİR",IF($E1257="SATIŞ İADESİ/İSKONTO",-$O1257,$O1257),-$O1257)))</f>
        <v/>
      </c>
      <c r="AB1257" s="117">
        <f>IF($B1257="","",IF(OR($D1257="",$E1257="",$O1257=""),"EKSİK",IF($O1257&lt;=0,"SIFIR/NEGATİF",IF(COUNTIFS($C$6:$C$5000,$C1257,$O$6:$O$5000,$O1257,$B$6:$B$5000,$B1257)&gt;1,"MÜKERRER","OK"))))</f>
        <v/>
      </c>
    </row>
    <row r="1258" ht="16.5" customHeight="1" s="80">
      <c r="A1258" s="113" t="n"/>
      <c r="B1258" s="113" t="n"/>
      <c r="C1258" s="113" t="n"/>
      <c r="D1258" s="113" t="n"/>
      <c r="E1258" s="113" t="n"/>
      <c r="F1258" s="113" t="n"/>
      <c r="G1258" s="113" t="n"/>
      <c r="H1258" s="113" t="n"/>
      <c r="I1258" s="113" t="n"/>
      <c r="J1258" s="113" t="n"/>
      <c r="K1258" s="113" t="n"/>
      <c r="L1258" s="113" t="n"/>
      <c r="M1258" s="113" t="n"/>
      <c r="N1258" s="113" t="n"/>
      <c r="O1258" s="113" t="n"/>
      <c r="P1258" s="113" t="n"/>
      <c r="Q1258" s="113" t="n"/>
      <c r="R1258" s="113" t="n"/>
      <c r="S1258" s="113" t="n"/>
      <c r="T1258" s="113" t="n"/>
      <c r="U1258" s="113" t="n"/>
      <c r="V1258" s="113" t="n"/>
      <c r="W1258" s="113" t="n"/>
      <c r="X1258" s="113" t="n"/>
      <c r="Y1258" s="113" t="n"/>
      <c r="Z1258" s="117">
        <f>IF($B1258="",0,IF($S1258="EVET",IF($D1258="GELİR",$O1258,-$O1258),0))</f>
        <v/>
      </c>
      <c r="AA1258" s="117">
        <f>IF($B1258="",0,IF(OR($W1258="EVET",$X1258="EVET",$Y1258="EVET"),0,IF($D1258="GELİR",IF($E1258="SATIŞ İADESİ/İSKONTO",-$O1258,$O1258),-$O1258)))</f>
        <v/>
      </c>
      <c r="AB1258" s="117">
        <f>IF($B1258="","",IF(OR($D1258="",$E1258="",$O1258=""),"EKSİK",IF($O1258&lt;=0,"SIFIR/NEGATİF",IF(COUNTIFS($C$6:$C$5000,$C1258,$O$6:$O$5000,$O1258,$B$6:$B$5000,$B1258)&gt;1,"MÜKERRER","OK"))))</f>
        <v/>
      </c>
    </row>
    <row r="1259" ht="16.5" customHeight="1" s="80">
      <c r="A1259" s="113" t="n"/>
      <c r="B1259" s="113" t="n"/>
      <c r="C1259" s="113" t="n"/>
      <c r="D1259" s="113" t="n"/>
      <c r="E1259" s="113" t="n"/>
      <c r="F1259" s="113" t="n"/>
      <c r="G1259" s="113" t="n"/>
      <c r="H1259" s="113" t="n"/>
      <c r="I1259" s="113" t="n"/>
      <c r="J1259" s="113" t="n"/>
      <c r="K1259" s="113" t="n"/>
      <c r="L1259" s="113" t="n"/>
      <c r="M1259" s="113" t="n"/>
      <c r="N1259" s="113" t="n"/>
      <c r="O1259" s="113" t="n"/>
      <c r="P1259" s="113" t="n"/>
      <c r="Q1259" s="113" t="n"/>
      <c r="R1259" s="113" t="n"/>
      <c r="S1259" s="113" t="n"/>
      <c r="T1259" s="113" t="n"/>
      <c r="U1259" s="113" t="n"/>
      <c r="V1259" s="113" t="n"/>
      <c r="W1259" s="113" t="n"/>
      <c r="X1259" s="113" t="n"/>
      <c r="Y1259" s="113" t="n"/>
      <c r="Z1259" s="117">
        <f>IF($B1259="",0,IF($S1259="EVET",IF($D1259="GELİR",$O1259,-$O1259),0))</f>
        <v/>
      </c>
      <c r="AA1259" s="117">
        <f>IF($B1259="",0,IF(OR($W1259="EVET",$X1259="EVET",$Y1259="EVET"),0,IF($D1259="GELİR",IF($E1259="SATIŞ İADESİ/İSKONTO",-$O1259,$O1259),-$O1259)))</f>
        <v/>
      </c>
      <c r="AB1259" s="117">
        <f>IF($B1259="","",IF(OR($D1259="",$E1259="",$O1259=""),"EKSİK",IF($O1259&lt;=0,"SIFIR/NEGATİF",IF(COUNTIFS($C$6:$C$5000,$C1259,$O$6:$O$5000,$O1259,$B$6:$B$5000,$B1259)&gt;1,"MÜKERRER","OK"))))</f>
        <v/>
      </c>
    </row>
    <row r="1260" ht="16.5" customHeight="1" s="80">
      <c r="A1260" s="113" t="n"/>
      <c r="B1260" s="113" t="n"/>
      <c r="C1260" s="113" t="n"/>
      <c r="D1260" s="113" t="n"/>
      <c r="E1260" s="113" t="n"/>
      <c r="F1260" s="113" t="n"/>
      <c r="G1260" s="113" t="n"/>
      <c r="H1260" s="113" t="n"/>
      <c r="I1260" s="113" t="n"/>
      <c r="J1260" s="113" t="n"/>
      <c r="K1260" s="113" t="n"/>
      <c r="L1260" s="113" t="n"/>
      <c r="M1260" s="113" t="n"/>
      <c r="N1260" s="113" t="n"/>
      <c r="O1260" s="113" t="n"/>
      <c r="P1260" s="113" t="n"/>
      <c r="Q1260" s="113" t="n"/>
      <c r="R1260" s="113" t="n"/>
      <c r="S1260" s="113" t="n"/>
      <c r="T1260" s="113" t="n"/>
      <c r="U1260" s="113" t="n"/>
      <c r="V1260" s="113" t="n"/>
      <c r="W1260" s="113" t="n"/>
      <c r="X1260" s="113" t="n"/>
      <c r="Y1260" s="113" t="n"/>
      <c r="Z1260" s="117">
        <f>IF($B1260="",0,IF($S1260="EVET",IF($D1260="GELİR",$O1260,-$O1260),0))</f>
        <v/>
      </c>
      <c r="AA1260" s="117">
        <f>IF($B1260="",0,IF(OR($W1260="EVET",$X1260="EVET",$Y1260="EVET"),0,IF($D1260="GELİR",IF($E1260="SATIŞ İADESİ/İSKONTO",-$O1260,$O1260),-$O1260)))</f>
        <v/>
      </c>
      <c r="AB1260" s="117">
        <f>IF($B1260="","",IF(OR($D1260="",$E1260="",$O1260=""),"EKSİK",IF($O1260&lt;=0,"SIFIR/NEGATİF",IF(COUNTIFS($C$6:$C$5000,$C1260,$O$6:$O$5000,$O1260,$B$6:$B$5000,$B1260)&gt;1,"MÜKERRER","OK"))))</f>
        <v/>
      </c>
    </row>
    <row r="1261" ht="16.5" customHeight="1" s="80">
      <c r="A1261" s="113" t="n"/>
      <c r="B1261" s="113" t="n"/>
      <c r="C1261" s="113" t="n"/>
      <c r="D1261" s="113" t="n"/>
      <c r="E1261" s="113" t="n"/>
      <c r="F1261" s="113" t="n"/>
      <c r="G1261" s="113" t="n"/>
      <c r="H1261" s="113" t="n"/>
      <c r="I1261" s="113" t="n"/>
      <c r="J1261" s="113" t="n"/>
      <c r="K1261" s="113" t="n"/>
      <c r="L1261" s="113" t="n"/>
      <c r="M1261" s="113" t="n"/>
      <c r="N1261" s="113" t="n"/>
      <c r="O1261" s="113" t="n"/>
      <c r="P1261" s="113" t="n"/>
      <c r="Q1261" s="113" t="n"/>
      <c r="R1261" s="113" t="n"/>
      <c r="S1261" s="113" t="n"/>
      <c r="T1261" s="113" t="n"/>
      <c r="U1261" s="113" t="n"/>
      <c r="V1261" s="113" t="n"/>
      <c r="W1261" s="113" t="n"/>
      <c r="X1261" s="113" t="n"/>
      <c r="Y1261" s="113" t="n"/>
      <c r="Z1261" s="117">
        <f>IF($B1261="",0,IF($S1261="EVET",IF($D1261="GELİR",$O1261,-$O1261),0))</f>
        <v/>
      </c>
      <c r="AA1261" s="117">
        <f>IF($B1261="",0,IF(OR($W1261="EVET",$X1261="EVET",$Y1261="EVET"),0,IF($D1261="GELİR",IF($E1261="SATIŞ İADESİ/İSKONTO",-$O1261,$O1261),-$O1261)))</f>
        <v/>
      </c>
      <c r="AB1261" s="117">
        <f>IF($B1261="","",IF(OR($D1261="",$E1261="",$O1261=""),"EKSİK",IF($O1261&lt;=0,"SIFIR/NEGATİF",IF(COUNTIFS($C$6:$C$5000,$C1261,$O$6:$O$5000,$O1261,$B$6:$B$5000,$B1261)&gt;1,"MÜKERRER","OK"))))</f>
        <v/>
      </c>
    </row>
    <row r="1262" ht="16.5" customHeight="1" s="80">
      <c r="A1262" s="113" t="n"/>
      <c r="B1262" s="113" t="n"/>
      <c r="C1262" s="113" t="n"/>
      <c r="D1262" s="113" t="n"/>
      <c r="E1262" s="113" t="n"/>
      <c r="F1262" s="113" t="n"/>
      <c r="G1262" s="113" t="n"/>
      <c r="H1262" s="113" t="n"/>
      <c r="I1262" s="113" t="n"/>
      <c r="J1262" s="113" t="n"/>
      <c r="K1262" s="113" t="n"/>
      <c r="L1262" s="113" t="n"/>
      <c r="M1262" s="113" t="n"/>
      <c r="N1262" s="113" t="n"/>
      <c r="O1262" s="113" t="n"/>
      <c r="P1262" s="113" t="n"/>
      <c r="Q1262" s="113" t="n"/>
      <c r="R1262" s="113" t="n"/>
      <c r="S1262" s="113" t="n"/>
      <c r="T1262" s="113" t="n"/>
      <c r="U1262" s="113" t="n"/>
      <c r="V1262" s="113" t="n"/>
      <c r="W1262" s="113" t="n"/>
      <c r="X1262" s="113" t="n"/>
      <c r="Y1262" s="113" t="n"/>
      <c r="Z1262" s="117">
        <f>IF($B1262="",0,IF($S1262="EVET",IF($D1262="GELİR",$O1262,-$O1262),0))</f>
        <v/>
      </c>
      <c r="AA1262" s="117">
        <f>IF($B1262="",0,IF(OR($W1262="EVET",$X1262="EVET",$Y1262="EVET"),0,IF($D1262="GELİR",IF($E1262="SATIŞ İADESİ/İSKONTO",-$O1262,$O1262),-$O1262)))</f>
        <v/>
      </c>
      <c r="AB1262" s="117">
        <f>IF($B1262="","",IF(OR($D1262="",$E1262="",$O1262=""),"EKSİK",IF($O1262&lt;=0,"SIFIR/NEGATİF",IF(COUNTIFS($C$6:$C$5000,$C1262,$O$6:$O$5000,$O1262,$B$6:$B$5000,$B1262)&gt;1,"MÜKERRER","OK"))))</f>
        <v/>
      </c>
    </row>
    <row r="1263" ht="16.5" customHeight="1" s="80">
      <c r="A1263" s="113" t="n"/>
      <c r="B1263" s="113" t="n"/>
      <c r="C1263" s="113" t="n"/>
      <c r="D1263" s="113" t="n"/>
      <c r="E1263" s="113" t="n"/>
      <c r="F1263" s="113" t="n"/>
      <c r="G1263" s="113" t="n"/>
      <c r="H1263" s="113" t="n"/>
      <c r="I1263" s="113" t="n"/>
      <c r="J1263" s="113" t="n"/>
      <c r="K1263" s="113" t="n"/>
      <c r="L1263" s="113" t="n"/>
      <c r="M1263" s="113" t="n"/>
      <c r="N1263" s="113" t="n"/>
      <c r="O1263" s="113" t="n"/>
      <c r="P1263" s="113" t="n"/>
      <c r="Q1263" s="113" t="n"/>
      <c r="R1263" s="113" t="n"/>
      <c r="S1263" s="113" t="n"/>
      <c r="T1263" s="113" t="n"/>
      <c r="U1263" s="113" t="n"/>
      <c r="V1263" s="113" t="n"/>
      <c r="W1263" s="113" t="n"/>
      <c r="X1263" s="113" t="n"/>
      <c r="Y1263" s="113" t="n"/>
      <c r="Z1263" s="117">
        <f>IF($B1263="",0,IF($S1263="EVET",IF($D1263="GELİR",$O1263,-$O1263),0))</f>
        <v/>
      </c>
      <c r="AA1263" s="117">
        <f>IF($B1263="",0,IF(OR($W1263="EVET",$X1263="EVET",$Y1263="EVET"),0,IF($D1263="GELİR",IF($E1263="SATIŞ İADESİ/İSKONTO",-$O1263,$O1263),-$O1263)))</f>
        <v/>
      </c>
      <c r="AB1263" s="117">
        <f>IF($B1263="","",IF(OR($D1263="",$E1263="",$O1263=""),"EKSİK",IF($O1263&lt;=0,"SIFIR/NEGATİF",IF(COUNTIFS($C$6:$C$5000,$C1263,$O$6:$O$5000,$O1263,$B$6:$B$5000,$B1263)&gt;1,"MÜKERRER","OK"))))</f>
        <v/>
      </c>
    </row>
    <row r="1264" ht="16.5" customHeight="1" s="80">
      <c r="A1264" s="113" t="n"/>
      <c r="B1264" s="113" t="n"/>
      <c r="C1264" s="113" t="n"/>
      <c r="D1264" s="113" t="n"/>
      <c r="E1264" s="113" t="n"/>
      <c r="F1264" s="113" t="n"/>
      <c r="G1264" s="113" t="n"/>
      <c r="H1264" s="113" t="n"/>
      <c r="I1264" s="113" t="n"/>
      <c r="J1264" s="113" t="n"/>
      <c r="K1264" s="113" t="n"/>
      <c r="L1264" s="113" t="n"/>
      <c r="M1264" s="113" t="n"/>
      <c r="N1264" s="113" t="n"/>
      <c r="O1264" s="113" t="n"/>
      <c r="P1264" s="113" t="n"/>
      <c r="Q1264" s="113" t="n"/>
      <c r="R1264" s="113" t="n"/>
      <c r="S1264" s="113" t="n"/>
      <c r="T1264" s="113" t="n"/>
      <c r="U1264" s="113" t="n"/>
      <c r="V1264" s="113" t="n"/>
      <c r="W1264" s="113" t="n"/>
      <c r="X1264" s="113" t="n"/>
      <c r="Y1264" s="113" t="n"/>
      <c r="Z1264" s="117">
        <f>IF($B1264="",0,IF($S1264="EVET",IF($D1264="GELİR",$O1264,-$O1264),0))</f>
        <v/>
      </c>
      <c r="AA1264" s="117">
        <f>IF($B1264="",0,IF(OR($W1264="EVET",$X1264="EVET",$Y1264="EVET"),0,IF($D1264="GELİR",IF($E1264="SATIŞ İADESİ/İSKONTO",-$O1264,$O1264),-$O1264)))</f>
        <v/>
      </c>
      <c r="AB1264" s="117">
        <f>IF($B1264="","",IF(OR($D1264="",$E1264="",$O1264=""),"EKSİK",IF($O1264&lt;=0,"SIFIR/NEGATİF",IF(COUNTIFS($C$6:$C$5000,$C1264,$O$6:$O$5000,$O1264,$B$6:$B$5000,$B1264)&gt;1,"MÜKERRER","OK"))))</f>
        <v/>
      </c>
    </row>
    <row r="1265" ht="16.5" customHeight="1" s="80">
      <c r="A1265" s="113" t="n"/>
      <c r="B1265" s="113" t="n"/>
      <c r="C1265" s="113" t="n"/>
      <c r="D1265" s="113" t="n"/>
      <c r="E1265" s="113" t="n"/>
      <c r="F1265" s="113" t="n"/>
      <c r="G1265" s="113" t="n"/>
      <c r="H1265" s="113" t="n"/>
      <c r="I1265" s="113" t="n"/>
      <c r="J1265" s="113" t="n"/>
      <c r="K1265" s="113" t="n"/>
      <c r="L1265" s="113" t="n"/>
      <c r="M1265" s="113" t="n"/>
      <c r="N1265" s="113" t="n"/>
      <c r="O1265" s="113" t="n"/>
      <c r="P1265" s="113" t="n"/>
      <c r="Q1265" s="113" t="n"/>
      <c r="R1265" s="113" t="n"/>
      <c r="S1265" s="113" t="n"/>
      <c r="T1265" s="113" t="n"/>
      <c r="U1265" s="113" t="n"/>
      <c r="V1265" s="113" t="n"/>
      <c r="W1265" s="113" t="n"/>
      <c r="X1265" s="113" t="n"/>
      <c r="Y1265" s="113" t="n"/>
      <c r="Z1265" s="117">
        <f>IF($B1265="",0,IF($S1265="EVET",IF($D1265="GELİR",$O1265,-$O1265),0))</f>
        <v/>
      </c>
      <c r="AA1265" s="117">
        <f>IF($B1265="",0,IF(OR($W1265="EVET",$X1265="EVET",$Y1265="EVET"),0,IF($D1265="GELİR",IF($E1265="SATIŞ İADESİ/İSKONTO",-$O1265,$O1265),-$O1265)))</f>
        <v/>
      </c>
      <c r="AB1265" s="117">
        <f>IF($B1265="","",IF(OR($D1265="",$E1265="",$O1265=""),"EKSİK",IF($O1265&lt;=0,"SIFIR/NEGATİF",IF(COUNTIFS($C$6:$C$5000,$C1265,$O$6:$O$5000,$O1265,$B$6:$B$5000,$B1265)&gt;1,"MÜKERRER","OK"))))</f>
        <v/>
      </c>
    </row>
    <row r="1266" ht="16.5" customHeight="1" s="80">
      <c r="A1266" s="113" t="n"/>
      <c r="B1266" s="113" t="n"/>
      <c r="C1266" s="113" t="n"/>
      <c r="D1266" s="113" t="n"/>
      <c r="E1266" s="113" t="n"/>
      <c r="F1266" s="113" t="n"/>
      <c r="G1266" s="113" t="n"/>
      <c r="H1266" s="113" t="n"/>
      <c r="I1266" s="113" t="n"/>
      <c r="J1266" s="113" t="n"/>
      <c r="K1266" s="113" t="n"/>
      <c r="L1266" s="113" t="n"/>
      <c r="M1266" s="113" t="n"/>
      <c r="N1266" s="113" t="n"/>
      <c r="O1266" s="113" t="n"/>
      <c r="P1266" s="113" t="n"/>
      <c r="Q1266" s="113" t="n"/>
      <c r="R1266" s="113" t="n"/>
      <c r="S1266" s="113" t="n"/>
      <c r="T1266" s="113" t="n"/>
      <c r="U1266" s="113" t="n"/>
      <c r="V1266" s="113" t="n"/>
      <c r="W1266" s="113" t="n"/>
      <c r="X1266" s="113" t="n"/>
      <c r="Y1266" s="113" t="n"/>
      <c r="Z1266" s="117">
        <f>IF($B1266="",0,IF($S1266="EVET",IF($D1266="GELİR",$O1266,-$O1266),0))</f>
        <v/>
      </c>
      <c r="AA1266" s="117">
        <f>IF($B1266="",0,IF(OR($W1266="EVET",$X1266="EVET",$Y1266="EVET"),0,IF($D1266="GELİR",IF($E1266="SATIŞ İADESİ/İSKONTO",-$O1266,$O1266),-$O1266)))</f>
        <v/>
      </c>
      <c r="AB1266" s="117">
        <f>IF($B1266="","",IF(OR($D1266="",$E1266="",$O1266=""),"EKSİK",IF($O1266&lt;=0,"SIFIR/NEGATİF",IF(COUNTIFS($C$6:$C$5000,$C1266,$O$6:$O$5000,$O1266,$B$6:$B$5000,$B1266)&gt;1,"MÜKERRER","OK"))))</f>
        <v/>
      </c>
    </row>
    <row r="1267" ht="16.5" customHeight="1" s="80">
      <c r="A1267" s="113" t="n"/>
      <c r="B1267" s="113" t="n"/>
      <c r="C1267" s="113" t="n"/>
      <c r="D1267" s="113" t="n"/>
      <c r="E1267" s="113" t="n"/>
      <c r="F1267" s="113" t="n"/>
      <c r="G1267" s="113" t="n"/>
      <c r="H1267" s="113" t="n"/>
      <c r="I1267" s="113" t="n"/>
      <c r="J1267" s="113" t="n"/>
      <c r="K1267" s="113" t="n"/>
      <c r="L1267" s="113" t="n"/>
      <c r="M1267" s="113" t="n"/>
      <c r="N1267" s="113" t="n"/>
      <c r="O1267" s="113" t="n"/>
      <c r="P1267" s="113" t="n"/>
      <c r="Q1267" s="113" t="n"/>
      <c r="R1267" s="113" t="n"/>
      <c r="S1267" s="113" t="n"/>
      <c r="T1267" s="113" t="n"/>
      <c r="U1267" s="113" t="n"/>
      <c r="V1267" s="113" t="n"/>
      <c r="W1267" s="113" t="n"/>
      <c r="X1267" s="113" t="n"/>
      <c r="Y1267" s="113" t="n"/>
      <c r="Z1267" s="117">
        <f>IF($B1267="",0,IF($S1267="EVET",IF($D1267="GELİR",$O1267,-$O1267),0))</f>
        <v/>
      </c>
      <c r="AA1267" s="117">
        <f>IF($B1267="",0,IF(OR($W1267="EVET",$X1267="EVET",$Y1267="EVET"),0,IF($D1267="GELİR",IF($E1267="SATIŞ İADESİ/İSKONTO",-$O1267,$O1267),-$O1267)))</f>
        <v/>
      </c>
      <c r="AB1267" s="117">
        <f>IF($B1267="","",IF(OR($D1267="",$E1267="",$O1267=""),"EKSİK",IF($O1267&lt;=0,"SIFIR/NEGATİF",IF(COUNTIFS($C$6:$C$5000,$C1267,$O$6:$O$5000,$O1267,$B$6:$B$5000,$B1267)&gt;1,"MÜKERRER","OK"))))</f>
        <v/>
      </c>
    </row>
    <row r="1268" ht="16.5" customHeight="1" s="80">
      <c r="A1268" s="113" t="n"/>
      <c r="B1268" s="113" t="n"/>
      <c r="C1268" s="113" t="n"/>
      <c r="D1268" s="113" t="n"/>
      <c r="E1268" s="113" t="n"/>
      <c r="F1268" s="113" t="n"/>
      <c r="G1268" s="113" t="n"/>
      <c r="H1268" s="113" t="n"/>
      <c r="I1268" s="113" t="n"/>
      <c r="J1268" s="113" t="n"/>
      <c r="K1268" s="113" t="n"/>
      <c r="L1268" s="113" t="n"/>
      <c r="M1268" s="113" t="n"/>
      <c r="N1268" s="113" t="n"/>
      <c r="O1268" s="113" t="n"/>
      <c r="P1268" s="113" t="n"/>
      <c r="Q1268" s="113" t="n"/>
      <c r="R1268" s="113" t="n"/>
      <c r="S1268" s="113" t="n"/>
      <c r="T1268" s="113" t="n"/>
      <c r="U1268" s="113" t="n"/>
      <c r="V1268" s="113" t="n"/>
      <c r="W1268" s="113" t="n"/>
      <c r="X1268" s="113" t="n"/>
      <c r="Y1268" s="113" t="n"/>
      <c r="Z1268" s="117">
        <f>IF($B1268="",0,IF($S1268="EVET",IF($D1268="GELİR",$O1268,-$O1268),0))</f>
        <v/>
      </c>
      <c r="AA1268" s="117">
        <f>IF($B1268="",0,IF(OR($W1268="EVET",$X1268="EVET",$Y1268="EVET"),0,IF($D1268="GELİR",IF($E1268="SATIŞ İADESİ/İSKONTO",-$O1268,$O1268),-$O1268)))</f>
        <v/>
      </c>
      <c r="AB1268" s="117">
        <f>IF($B1268="","",IF(OR($D1268="",$E1268="",$O1268=""),"EKSİK",IF($O1268&lt;=0,"SIFIR/NEGATİF",IF(COUNTIFS($C$6:$C$5000,$C1268,$O$6:$O$5000,$O1268,$B$6:$B$5000,$B1268)&gt;1,"MÜKERRER","OK"))))</f>
        <v/>
      </c>
    </row>
    <row r="1269" ht="16.5" customHeight="1" s="80">
      <c r="A1269" s="113" t="n"/>
      <c r="B1269" s="113" t="n"/>
      <c r="C1269" s="113" t="n"/>
      <c r="D1269" s="113" t="n"/>
      <c r="E1269" s="113" t="n"/>
      <c r="F1269" s="113" t="n"/>
      <c r="G1269" s="113" t="n"/>
      <c r="H1269" s="113" t="n"/>
      <c r="I1269" s="113" t="n"/>
      <c r="J1269" s="113" t="n"/>
      <c r="K1269" s="113" t="n"/>
      <c r="L1269" s="113" t="n"/>
      <c r="M1269" s="113" t="n"/>
      <c r="N1269" s="113" t="n"/>
      <c r="O1269" s="113" t="n"/>
      <c r="P1269" s="113" t="n"/>
      <c r="Q1269" s="113" t="n"/>
      <c r="R1269" s="113" t="n"/>
      <c r="S1269" s="113" t="n"/>
      <c r="T1269" s="113" t="n"/>
      <c r="U1269" s="113" t="n"/>
      <c r="V1269" s="113" t="n"/>
      <c r="W1269" s="113" t="n"/>
      <c r="X1269" s="113" t="n"/>
      <c r="Y1269" s="113" t="n"/>
      <c r="Z1269" s="117">
        <f>IF($B1269="",0,IF($S1269="EVET",IF($D1269="GELİR",$O1269,-$O1269),0))</f>
        <v/>
      </c>
      <c r="AA1269" s="117">
        <f>IF($B1269="",0,IF(OR($W1269="EVET",$X1269="EVET",$Y1269="EVET"),0,IF($D1269="GELİR",IF($E1269="SATIŞ İADESİ/İSKONTO",-$O1269,$O1269),-$O1269)))</f>
        <v/>
      </c>
      <c r="AB1269" s="117">
        <f>IF($B1269="","",IF(OR($D1269="",$E1269="",$O1269=""),"EKSİK",IF($O1269&lt;=0,"SIFIR/NEGATİF",IF(COUNTIFS($C$6:$C$5000,$C1269,$O$6:$O$5000,$O1269,$B$6:$B$5000,$B1269)&gt;1,"MÜKERRER","OK"))))</f>
        <v/>
      </c>
    </row>
    <row r="1270" ht="16.5" customHeight="1" s="80">
      <c r="A1270" s="113" t="n"/>
      <c r="B1270" s="113" t="n"/>
      <c r="C1270" s="113" t="n"/>
      <c r="D1270" s="113" t="n"/>
      <c r="E1270" s="113" t="n"/>
      <c r="F1270" s="113" t="n"/>
      <c r="G1270" s="113" t="n"/>
      <c r="H1270" s="113" t="n"/>
      <c r="I1270" s="113" t="n"/>
      <c r="J1270" s="113" t="n"/>
      <c r="K1270" s="113" t="n"/>
      <c r="L1270" s="113" t="n"/>
      <c r="M1270" s="113" t="n"/>
      <c r="N1270" s="113" t="n"/>
      <c r="O1270" s="113" t="n"/>
      <c r="P1270" s="113" t="n"/>
      <c r="Q1270" s="113" t="n"/>
      <c r="R1270" s="113" t="n"/>
      <c r="S1270" s="113" t="n"/>
      <c r="T1270" s="113" t="n"/>
      <c r="U1270" s="113" t="n"/>
      <c r="V1270" s="113" t="n"/>
      <c r="W1270" s="113" t="n"/>
      <c r="X1270" s="113" t="n"/>
      <c r="Y1270" s="113" t="n"/>
      <c r="Z1270" s="117">
        <f>IF($B1270="",0,IF($S1270="EVET",IF($D1270="GELİR",$O1270,-$O1270),0))</f>
        <v/>
      </c>
      <c r="AA1270" s="117">
        <f>IF($B1270="",0,IF(OR($W1270="EVET",$X1270="EVET",$Y1270="EVET"),0,IF($D1270="GELİR",IF($E1270="SATIŞ İADESİ/İSKONTO",-$O1270,$O1270),-$O1270)))</f>
        <v/>
      </c>
      <c r="AB1270" s="117">
        <f>IF($B1270="","",IF(OR($D1270="",$E1270="",$O1270=""),"EKSİK",IF($O1270&lt;=0,"SIFIR/NEGATİF",IF(COUNTIFS($C$6:$C$5000,$C1270,$O$6:$O$5000,$O1270,$B$6:$B$5000,$B1270)&gt;1,"MÜKERRER","OK"))))</f>
        <v/>
      </c>
    </row>
    <row r="1271" ht="16.5" customHeight="1" s="80">
      <c r="A1271" s="113" t="n"/>
      <c r="B1271" s="113" t="n"/>
      <c r="C1271" s="113" t="n"/>
      <c r="D1271" s="113" t="n"/>
      <c r="E1271" s="113" t="n"/>
      <c r="F1271" s="113" t="n"/>
      <c r="G1271" s="113" t="n"/>
      <c r="H1271" s="113" t="n"/>
      <c r="I1271" s="113" t="n"/>
      <c r="J1271" s="113" t="n"/>
      <c r="K1271" s="113" t="n"/>
      <c r="L1271" s="113" t="n"/>
      <c r="M1271" s="113" t="n"/>
      <c r="N1271" s="113" t="n"/>
      <c r="O1271" s="113" t="n"/>
      <c r="P1271" s="113" t="n"/>
      <c r="Q1271" s="113" t="n"/>
      <c r="R1271" s="113" t="n"/>
      <c r="S1271" s="113" t="n"/>
      <c r="T1271" s="113" t="n"/>
      <c r="U1271" s="113" t="n"/>
      <c r="V1271" s="113" t="n"/>
      <c r="W1271" s="113" t="n"/>
      <c r="X1271" s="113" t="n"/>
      <c r="Y1271" s="113" t="n"/>
      <c r="Z1271" s="117">
        <f>IF($B1271="",0,IF($S1271="EVET",IF($D1271="GELİR",$O1271,-$O1271),0))</f>
        <v/>
      </c>
      <c r="AA1271" s="117">
        <f>IF($B1271="",0,IF(OR($W1271="EVET",$X1271="EVET",$Y1271="EVET"),0,IF($D1271="GELİR",IF($E1271="SATIŞ İADESİ/İSKONTO",-$O1271,$O1271),-$O1271)))</f>
        <v/>
      </c>
      <c r="AB1271" s="117">
        <f>IF($B1271="","",IF(OR($D1271="",$E1271="",$O1271=""),"EKSİK",IF($O1271&lt;=0,"SIFIR/NEGATİF",IF(COUNTIFS($C$6:$C$5000,$C1271,$O$6:$O$5000,$O1271,$B$6:$B$5000,$B1271)&gt;1,"MÜKERRER","OK"))))</f>
        <v/>
      </c>
    </row>
    <row r="1272" ht="16.5" customHeight="1" s="80">
      <c r="A1272" s="113" t="n"/>
      <c r="B1272" s="113" t="n"/>
      <c r="C1272" s="113" t="n"/>
      <c r="D1272" s="113" t="n"/>
      <c r="E1272" s="113" t="n"/>
      <c r="F1272" s="113" t="n"/>
      <c r="G1272" s="113" t="n"/>
      <c r="H1272" s="113" t="n"/>
      <c r="I1272" s="113" t="n"/>
      <c r="J1272" s="113" t="n"/>
      <c r="K1272" s="113" t="n"/>
      <c r="L1272" s="113" t="n"/>
      <c r="M1272" s="113" t="n"/>
      <c r="N1272" s="113" t="n"/>
      <c r="O1272" s="113" t="n"/>
      <c r="P1272" s="113" t="n"/>
      <c r="Q1272" s="113" t="n"/>
      <c r="R1272" s="113" t="n"/>
      <c r="S1272" s="113" t="n"/>
      <c r="T1272" s="113" t="n"/>
      <c r="U1272" s="113" t="n"/>
      <c r="V1272" s="113" t="n"/>
      <c r="W1272" s="113" t="n"/>
      <c r="X1272" s="113" t="n"/>
      <c r="Y1272" s="113" t="n"/>
      <c r="Z1272" s="117">
        <f>IF($B1272="",0,IF($S1272="EVET",IF($D1272="GELİR",$O1272,-$O1272),0))</f>
        <v/>
      </c>
      <c r="AA1272" s="117">
        <f>IF($B1272="",0,IF(OR($W1272="EVET",$X1272="EVET",$Y1272="EVET"),0,IF($D1272="GELİR",IF($E1272="SATIŞ İADESİ/İSKONTO",-$O1272,$O1272),-$O1272)))</f>
        <v/>
      </c>
      <c r="AB1272" s="117">
        <f>IF($B1272="","",IF(OR($D1272="",$E1272="",$O1272=""),"EKSİK",IF($O1272&lt;=0,"SIFIR/NEGATİF",IF(COUNTIFS($C$6:$C$5000,$C1272,$O$6:$O$5000,$O1272,$B$6:$B$5000,$B1272)&gt;1,"MÜKERRER","OK"))))</f>
        <v/>
      </c>
    </row>
    <row r="1273" ht="16.5" customHeight="1" s="80">
      <c r="A1273" s="113" t="n"/>
      <c r="B1273" s="113" t="n"/>
      <c r="C1273" s="113" t="n"/>
      <c r="D1273" s="113" t="n"/>
      <c r="E1273" s="113" t="n"/>
      <c r="F1273" s="113" t="n"/>
      <c r="G1273" s="113" t="n"/>
      <c r="H1273" s="113" t="n"/>
      <c r="I1273" s="113" t="n"/>
      <c r="J1273" s="113" t="n"/>
      <c r="K1273" s="113" t="n"/>
      <c r="L1273" s="113" t="n"/>
      <c r="M1273" s="113" t="n"/>
      <c r="N1273" s="113" t="n"/>
      <c r="O1273" s="113" t="n"/>
      <c r="P1273" s="113" t="n"/>
      <c r="Q1273" s="113" t="n"/>
      <c r="R1273" s="113" t="n"/>
      <c r="S1273" s="113" t="n"/>
      <c r="T1273" s="113" t="n"/>
      <c r="U1273" s="113" t="n"/>
      <c r="V1273" s="113" t="n"/>
      <c r="W1273" s="113" t="n"/>
      <c r="X1273" s="113" t="n"/>
      <c r="Y1273" s="113" t="n"/>
      <c r="Z1273" s="117">
        <f>IF($B1273="",0,IF($S1273="EVET",IF($D1273="GELİR",$O1273,-$O1273),0))</f>
        <v/>
      </c>
      <c r="AA1273" s="117">
        <f>IF($B1273="",0,IF(OR($W1273="EVET",$X1273="EVET",$Y1273="EVET"),0,IF($D1273="GELİR",IF($E1273="SATIŞ İADESİ/İSKONTO",-$O1273,$O1273),-$O1273)))</f>
        <v/>
      </c>
      <c r="AB1273" s="117">
        <f>IF($B1273="","",IF(OR($D1273="",$E1273="",$O1273=""),"EKSİK",IF($O1273&lt;=0,"SIFIR/NEGATİF",IF(COUNTIFS($C$6:$C$5000,$C1273,$O$6:$O$5000,$O1273,$B$6:$B$5000,$B1273)&gt;1,"MÜKERRER","OK"))))</f>
        <v/>
      </c>
    </row>
    <row r="1274" ht="16.5" customHeight="1" s="80">
      <c r="A1274" s="113" t="n"/>
      <c r="B1274" s="113" t="n"/>
      <c r="C1274" s="113" t="n"/>
      <c r="D1274" s="113" t="n"/>
      <c r="E1274" s="113" t="n"/>
      <c r="F1274" s="113" t="n"/>
      <c r="G1274" s="113" t="n"/>
      <c r="H1274" s="113" t="n"/>
      <c r="I1274" s="113" t="n"/>
      <c r="J1274" s="113" t="n"/>
      <c r="K1274" s="113" t="n"/>
      <c r="L1274" s="113" t="n"/>
      <c r="M1274" s="113" t="n"/>
      <c r="N1274" s="113" t="n"/>
      <c r="O1274" s="113" t="n"/>
      <c r="P1274" s="113" t="n"/>
      <c r="Q1274" s="113" t="n"/>
      <c r="R1274" s="113" t="n"/>
      <c r="S1274" s="113" t="n"/>
      <c r="T1274" s="113" t="n"/>
      <c r="U1274" s="113" t="n"/>
      <c r="V1274" s="113" t="n"/>
      <c r="W1274" s="113" t="n"/>
      <c r="X1274" s="113" t="n"/>
      <c r="Y1274" s="113" t="n"/>
      <c r="Z1274" s="117">
        <f>IF($B1274="",0,IF($S1274="EVET",IF($D1274="GELİR",$O1274,-$O1274),0))</f>
        <v/>
      </c>
      <c r="AA1274" s="117">
        <f>IF($B1274="",0,IF(OR($W1274="EVET",$X1274="EVET",$Y1274="EVET"),0,IF($D1274="GELİR",IF($E1274="SATIŞ İADESİ/İSKONTO",-$O1274,$O1274),-$O1274)))</f>
        <v/>
      </c>
      <c r="AB1274" s="117">
        <f>IF($B1274="","",IF(OR($D1274="",$E1274="",$O1274=""),"EKSİK",IF($O1274&lt;=0,"SIFIR/NEGATİF",IF(COUNTIFS($C$6:$C$5000,$C1274,$O$6:$O$5000,$O1274,$B$6:$B$5000,$B1274)&gt;1,"MÜKERRER","OK"))))</f>
        <v/>
      </c>
    </row>
    <row r="1275" ht="16.5" customHeight="1" s="80">
      <c r="A1275" s="113" t="n"/>
      <c r="B1275" s="113" t="n"/>
      <c r="C1275" s="113" t="n"/>
      <c r="D1275" s="113" t="n"/>
      <c r="E1275" s="113" t="n"/>
      <c r="F1275" s="113" t="n"/>
      <c r="G1275" s="113" t="n"/>
      <c r="H1275" s="113" t="n"/>
      <c r="I1275" s="113" t="n"/>
      <c r="J1275" s="113" t="n"/>
      <c r="K1275" s="113" t="n"/>
      <c r="L1275" s="113" t="n"/>
      <c r="M1275" s="113" t="n"/>
      <c r="N1275" s="113" t="n"/>
      <c r="O1275" s="113" t="n"/>
      <c r="P1275" s="113" t="n"/>
      <c r="Q1275" s="113" t="n"/>
      <c r="R1275" s="113" t="n"/>
      <c r="S1275" s="113" t="n"/>
      <c r="T1275" s="113" t="n"/>
      <c r="U1275" s="113" t="n"/>
      <c r="V1275" s="113" t="n"/>
      <c r="W1275" s="113" t="n"/>
      <c r="X1275" s="113" t="n"/>
      <c r="Y1275" s="113" t="n"/>
      <c r="Z1275" s="117">
        <f>IF($B1275="",0,IF($S1275="EVET",IF($D1275="GELİR",$O1275,-$O1275),0))</f>
        <v/>
      </c>
      <c r="AA1275" s="117">
        <f>IF($B1275="",0,IF(OR($W1275="EVET",$X1275="EVET",$Y1275="EVET"),0,IF($D1275="GELİR",IF($E1275="SATIŞ İADESİ/İSKONTO",-$O1275,$O1275),-$O1275)))</f>
        <v/>
      </c>
      <c r="AB1275" s="117">
        <f>IF($B1275="","",IF(OR($D1275="",$E1275="",$O1275=""),"EKSİK",IF($O1275&lt;=0,"SIFIR/NEGATİF",IF(COUNTIFS($C$6:$C$5000,$C1275,$O$6:$O$5000,$O1275,$B$6:$B$5000,$B1275)&gt;1,"MÜKERRER","OK"))))</f>
        <v/>
      </c>
    </row>
    <row r="1276" ht="16.5" customHeight="1" s="80">
      <c r="A1276" s="113" t="n"/>
      <c r="B1276" s="113" t="n"/>
      <c r="C1276" s="113" t="n"/>
      <c r="D1276" s="113" t="n"/>
      <c r="E1276" s="113" t="n"/>
      <c r="F1276" s="113" t="n"/>
      <c r="G1276" s="113" t="n"/>
      <c r="H1276" s="113" t="n"/>
      <c r="I1276" s="113" t="n"/>
      <c r="J1276" s="113" t="n"/>
      <c r="K1276" s="113" t="n"/>
      <c r="L1276" s="113" t="n"/>
      <c r="M1276" s="113" t="n"/>
      <c r="N1276" s="113" t="n"/>
      <c r="O1276" s="113" t="n"/>
      <c r="P1276" s="113" t="n"/>
      <c r="Q1276" s="113" t="n"/>
      <c r="R1276" s="113" t="n"/>
      <c r="S1276" s="113" t="n"/>
      <c r="T1276" s="113" t="n"/>
      <c r="U1276" s="113" t="n"/>
      <c r="V1276" s="113" t="n"/>
      <c r="W1276" s="113" t="n"/>
      <c r="X1276" s="113" t="n"/>
      <c r="Y1276" s="113" t="n"/>
      <c r="Z1276" s="117">
        <f>IF($B1276="",0,IF($S1276="EVET",IF($D1276="GELİR",$O1276,-$O1276),0))</f>
        <v/>
      </c>
      <c r="AA1276" s="117">
        <f>IF($B1276="",0,IF(OR($W1276="EVET",$X1276="EVET",$Y1276="EVET"),0,IF($D1276="GELİR",IF($E1276="SATIŞ İADESİ/İSKONTO",-$O1276,$O1276),-$O1276)))</f>
        <v/>
      </c>
      <c r="AB1276" s="117">
        <f>IF($B1276="","",IF(OR($D1276="",$E1276="",$O1276=""),"EKSİK",IF($O1276&lt;=0,"SIFIR/NEGATİF",IF(COUNTIFS($C$6:$C$5000,$C1276,$O$6:$O$5000,$O1276,$B$6:$B$5000,$B1276)&gt;1,"MÜKERRER","OK"))))</f>
        <v/>
      </c>
    </row>
    <row r="1277" ht="16.5" customHeight="1" s="80">
      <c r="A1277" s="113" t="n"/>
      <c r="B1277" s="113" t="n"/>
      <c r="C1277" s="113" t="n"/>
      <c r="D1277" s="113" t="n"/>
      <c r="E1277" s="113" t="n"/>
      <c r="F1277" s="113" t="n"/>
      <c r="G1277" s="113" t="n"/>
      <c r="H1277" s="113" t="n"/>
      <c r="I1277" s="113" t="n"/>
      <c r="J1277" s="113" t="n"/>
      <c r="K1277" s="113" t="n"/>
      <c r="L1277" s="113" t="n"/>
      <c r="M1277" s="113" t="n"/>
      <c r="N1277" s="113" t="n"/>
      <c r="O1277" s="113" t="n"/>
      <c r="P1277" s="113" t="n"/>
      <c r="Q1277" s="113" t="n"/>
      <c r="R1277" s="113" t="n"/>
      <c r="S1277" s="113" t="n"/>
      <c r="T1277" s="113" t="n"/>
      <c r="U1277" s="113" t="n"/>
      <c r="V1277" s="113" t="n"/>
      <c r="W1277" s="113" t="n"/>
      <c r="X1277" s="113" t="n"/>
      <c r="Y1277" s="113" t="n"/>
      <c r="Z1277" s="117">
        <f>IF($B1277="",0,IF($S1277="EVET",IF($D1277="GELİR",$O1277,-$O1277),0))</f>
        <v/>
      </c>
      <c r="AA1277" s="117">
        <f>IF($B1277="",0,IF(OR($W1277="EVET",$X1277="EVET",$Y1277="EVET"),0,IF($D1277="GELİR",IF($E1277="SATIŞ İADESİ/İSKONTO",-$O1277,$O1277),-$O1277)))</f>
        <v/>
      </c>
      <c r="AB1277" s="117">
        <f>IF($B1277="","",IF(OR($D1277="",$E1277="",$O1277=""),"EKSİK",IF($O1277&lt;=0,"SIFIR/NEGATİF",IF(COUNTIFS($C$6:$C$5000,$C1277,$O$6:$O$5000,$O1277,$B$6:$B$5000,$B1277)&gt;1,"MÜKERRER","OK"))))</f>
        <v/>
      </c>
    </row>
    <row r="1278" ht="16.5" customHeight="1" s="80">
      <c r="A1278" s="113" t="n"/>
      <c r="B1278" s="113" t="n"/>
      <c r="C1278" s="113" t="n"/>
      <c r="D1278" s="113" t="n"/>
      <c r="E1278" s="113" t="n"/>
      <c r="F1278" s="113" t="n"/>
      <c r="G1278" s="113" t="n"/>
      <c r="H1278" s="113" t="n"/>
      <c r="I1278" s="113" t="n"/>
      <c r="J1278" s="113" t="n"/>
      <c r="K1278" s="113" t="n"/>
      <c r="L1278" s="113" t="n"/>
      <c r="M1278" s="113" t="n"/>
      <c r="N1278" s="113" t="n"/>
      <c r="O1278" s="113" t="n"/>
      <c r="P1278" s="113" t="n"/>
      <c r="Q1278" s="113" t="n"/>
      <c r="R1278" s="113" t="n"/>
      <c r="S1278" s="113" t="n"/>
      <c r="T1278" s="113" t="n"/>
      <c r="U1278" s="113" t="n"/>
      <c r="V1278" s="113" t="n"/>
      <c r="W1278" s="113" t="n"/>
      <c r="X1278" s="113" t="n"/>
      <c r="Y1278" s="113" t="n"/>
      <c r="Z1278" s="117">
        <f>IF($B1278="",0,IF($S1278="EVET",IF($D1278="GELİR",$O1278,-$O1278),0))</f>
        <v/>
      </c>
      <c r="AA1278" s="117">
        <f>IF($B1278="",0,IF(OR($W1278="EVET",$X1278="EVET",$Y1278="EVET"),0,IF($D1278="GELİR",IF($E1278="SATIŞ İADESİ/İSKONTO",-$O1278,$O1278),-$O1278)))</f>
        <v/>
      </c>
      <c r="AB1278" s="117">
        <f>IF($B1278="","",IF(OR($D1278="",$E1278="",$O1278=""),"EKSİK",IF($O1278&lt;=0,"SIFIR/NEGATİF",IF(COUNTIFS($C$6:$C$5000,$C1278,$O$6:$O$5000,$O1278,$B$6:$B$5000,$B1278)&gt;1,"MÜKERRER","OK"))))</f>
        <v/>
      </c>
    </row>
    <row r="1279" ht="16.5" customHeight="1" s="80">
      <c r="A1279" s="113" t="n"/>
      <c r="B1279" s="113" t="n"/>
      <c r="C1279" s="113" t="n"/>
      <c r="D1279" s="113" t="n"/>
      <c r="E1279" s="113" t="n"/>
      <c r="F1279" s="113" t="n"/>
      <c r="G1279" s="113" t="n"/>
      <c r="H1279" s="113" t="n"/>
      <c r="I1279" s="113" t="n"/>
      <c r="J1279" s="113" t="n"/>
      <c r="K1279" s="113" t="n"/>
      <c r="L1279" s="113" t="n"/>
      <c r="M1279" s="113" t="n"/>
      <c r="N1279" s="113" t="n"/>
      <c r="O1279" s="113" t="n"/>
      <c r="P1279" s="113" t="n"/>
      <c r="Q1279" s="113" t="n"/>
      <c r="R1279" s="113" t="n"/>
      <c r="S1279" s="113" t="n"/>
      <c r="T1279" s="113" t="n"/>
      <c r="U1279" s="113" t="n"/>
      <c r="V1279" s="113" t="n"/>
      <c r="W1279" s="113" t="n"/>
      <c r="X1279" s="113" t="n"/>
      <c r="Y1279" s="113" t="n"/>
      <c r="Z1279" s="117">
        <f>IF($B1279="",0,IF($S1279="EVET",IF($D1279="GELİR",$O1279,-$O1279),0))</f>
        <v/>
      </c>
      <c r="AA1279" s="117">
        <f>IF($B1279="",0,IF(OR($W1279="EVET",$X1279="EVET",$Y1279="EVET"),0,IF($D1279="GELİR",IF($E1279="SATIŞ İADESİ/İSKONTO",-$O1279,$O1279),-$O1279)))</f>
        <v/>
      </c>
      <c r="AB1279" s="117">
        <f>IF($B1279="","",IF(OR($D1279="",$E1279="",$O1279=""),"EKSİK",IF($O1279&lt;=0,"SIFIR/NEGATİF",IF(COUNTIFS($C$6:$C$5000,$C1279,$O$6:$O$5000,$O1279,$B$6:$B$5000,$B1279)&gt;1,"MÜKERRER","OK"))))</f>
        <v/>
      </c>
    </row>
    <row r="1280" ht="16.5" customHeight="1" s="80">
      <c r="A1280" s="113" t="n"/>
      <c r="B1280" s="113" t="n"/>
      <c r="C1280" s="113" t="n"/>
      <c r="D1280" s="113" t="n"/>
      <c r="E1280" s="113" t="n"/>
      <c r="F1280" s="113" t="n"/>
      <c r="G1280" s="113" t="n"/>
      <c r="H1280" s="113" t="n"/>
      <c r="I1280" s="113" t="n"/>
      <c r="J1280" s="113" t="n"/>
      <c r="K1280" s="113" t="n"/>
      <c r="L1280" s="113" t="n"/>
      <c r="M1280" s="113" t="n"/>
      <c r="N1280" s="113" t="n"/>
      <c r="O1280" s="113" t="n"/>
      <c r="P1280" s="113" t="n"/>
      <c r="Q1280" s="113" t="n"/>
      <c r="R1280" s="113" t="n"/>
      <c r="S1280" s="113" t="n"/>
      <c r="T1280" s="113" t="n"/>
      <c r="U1280" s="113" t="n"/>
      <c r="V1280" s="113" t="n"/>
      <c r="W1280" s="113" t="n"/>
      <c r="X1280" s="113" t="n"/>
      <c r="Y1280" s="113" t="n"/>
      <c r="Z1280" s="117">
        <f>IF($B1280="",0,IF($S1280="EVET",IF($D1280="GELİR",$O1280,-$O1280),0))</f>
        <v/>
      </c>
      <c r="AA1280" s="117">
        <f>IF($B1280="",0,IF(OR($W1280="EVET",$X1280="EVET",$Y1280="EVET"),0,IF($D1280="GELİR",IF($E1280="SATIŞ İADESİ/İSKONTO",-$O1280,$O1280),-$O1280)))</f>
        <v/>
      </c>
      <c r="AB1280" s="117">
        <f>IF($B1280="","",IF(OR($D1280="",$E1280="",$O1280=""),"EKSİK",IF($O1280&lt;=0,"SIFIR/NEGATİF",IF(COUNTIFS($C$6:$C$5000,$C1280,$O$6:$O$5000,$O1280,$B$6:$B$5000,$B1280)&gt;1,"MÜKERRER","OK"))))</f>
        <v/>
      </c>
    </row>
    <row r="1281" ht="16.5" customHeight="1" s="80">
      <c r="A1281" s="113" t="n"/>
      <c r="B1281" s="113" t="n"/>
      <c r="C1281" s="113" t="n"/>
      <c r="D1281" s="113" t="n"/>
      <c r="E1281" s="113" t="n"/>
      <c r="F1281" s="113" t="n"/>
      <c r="G1281" s="113" t="n"/>
      <c r="H1281" s="113" t="n"/>
      <c r="I1281" s="113" t="n"/>
      <c r="J1281" s="113" t="n"/>
      <c r="K1281" s="113" t="n"/>
      <c r="L1281" s="113" t="n"/>
      <c r="M1281" s="113" t="n"/>
      <c r="N1281" s="113" t="n"/>
      <c r="O1281" s="113" t="n"/>
      <c r="P1281" s="113" t="n"/>
      <c r="Q1281" s="113" t="n"/>
      <c r="R1281" s="113" t="n"/>
      <c r="S1281" s="113" t="n"/>
      <c r="T1281" s="113" t="n"/>
      <c r="U1281" s="113" t="n"/>
      <c r="V1281" s="113" t="n"/>
      <c r="W1281" s="113" t="n"/>
      <c r="X1281" s="113" t="n"/>
      <c r="Y1281" s="113" t="n"/>
      <c r="Z1281" s="117">
        <f>IF($B1281="",0,IF($S1281="EVET",IF($D1281="GELİR",$O1281,-$O1281),0))</f>
        <v/>
      </c>
      <c r="AA1281" s="117">
        <f>IF($B1281="",0,IF(OR($W1281="EVET",$X1281="EVET",$Y1281="EVET"),0,IF($D1281="GELİR",IF($E1281="SATIŞ İADESİ/İSKONTO",-$O1281,$O1281),-$O1281)))</f>
        <v/>
      </c>
      <c r="AB1281" s="117">
        <f>IF($B1281="","",IF(OR($D1281="",$E1281="",$O1281=""),"EKSİK",IF($O1281&lt;=0,"SIFIR/NEGATİF",IF(COUNTIFS($C$6:$C$5000,$C1281,$O$6:$O$5000,$O1281,$B$6:$B$5000,$B1281)&gt;1,"MÜKERRER","OK"))))</f>
        <v/>
      </c>
    </row>
    <row r="1282" ht="16.5" customHeight="1" s="80">
      <c r="A1282" s="113" t="n"/>
      <c r="B1282" s="113" t="n"/>
      <c r="C1282" s="113" t="n"/>
      <c r="D1282" s="113" t="n"/>
      <c r="E1282" s="113" t="n"/>
      <c r="F1282" s="113" t="n"/>
      <c r="G1282" s="113" t="n"/>
      <c r="H1282" s="113" t="n"/>
      <c r="I1282" s="113" t="n"/>
      <c r="J1282" s="113" t="n"/>
      <c r="K1282" s="113" t="n"/>
      <c r="L1282" s="113" t="n"/>
      <c r="M1282" s="113" t="n"/>
      <c r="N1282" s="113" t="n"/>
      <c r="O1282" s="113" t="n"/>
      <c r="P1282" s="113" t="n"/>
      <c r="Q1282" s="113" t="n"/>
      <c r="R1282" s="113" t="n"/>
      <c r="S1282" s="113" t="n"/>
      <c r="T1282" s="113" t="n"/>
      <c r="U1282" s="113" t="n"/>
      <c r="V1282" s="113" t="n"/>
      <c r="W1282" s="113" t="n"/>
      <c r="X1282" s="113" t="n"/>
      <c r="Y1282" s="113" t="n"/>
      <c r="Z1282" s="117">
        <f>IF($B1282="",0,IF($S1282="EVET",IF($D1282="GELİR",$O1282,-$O1282),0))</f>
        <v/>
      </c>
      <c r="AA1282" s="117">
        <f>IF($B1282="",0,IF(OR($W1282="EVET",$X1282="EVET",$Y1282="EVET"),0,IF($D1282="GELİR",IF($E1282="SATIŞ İADESİ/İSKONTO",-$O1282,$O1282),-$O1282)))</f>
        <v/>
      </c>
      <c r="AB1282" s="117">
        <f>IF($B1282="","",IF(OR($D1282="",$E1282="",$O1282=""),"EKSİK",IF($O1282&lt;=0,"SIFIR/NEGATİF",IF(COUNTIFS($C$6:$C$5000,$C1282,$O$6:$O$5000,$O1282,$B$6:$B$5000,$B1282)&gt;1,"MÜKERRER","OK"))))</f>
        <v/>
      </c>
    </row>
    <row r="1283" ht="16.5" customHeight="1" s="80">
      <c r="A1283" s="113" t="n"/>
      <c r="B1283" s="113" t="n"/>
      <c r="C1283" s="113" t="n"/>
      <c r="D1283" s="113" t="n"/>
      <c r="E1283" s="113" t="n"/>
      <c r="F1283" s="113" t="n"/>
      <c r="G1283" s="113" t="n"/>
      <c r="H1283" s="113" t="n"/>
      <c r="I1283" s="113" t="n"/>
      <c r="J1283" s="113" t="n"/>
      <c r="K1283" s="113" t="n"/>
      <c r="L1283" s="113" t="n"/>
      <c r="M1283" s="113" t="n"/>
      <c r="N1283" s="113" t="n"/>
      <c r="O1283" s="113" t="n"/>
      <c r="P1283" s="113" t="n"/>
      <c r="Q1283" s="113" t="n"/>
      <c r="R1283" s="113" t="n"/>
      <c r="S1283" s="113" t="n"/>
      <c r="T1283" s="113" t="n"/>
      <c r="U1283" s="113" t="n"/>
      <c r="V1283" s="113" t="n"/>
      <c r="W1283" s="113" t="n"/>
      <c r="X1283" s="113" t="n"/>
      <c r="Y1283" s="113" t="n"/>
      <c r="Z1283" s="117">
        <f>IF($B1283="",0,IF($S1283="EVET",IF($D1283="GELİR",$O1283,-$O1283),0))</f>
        <v/>
      </c>
      <c r="AA1283" s="117">
        <f>IF($B1283="",0,IF(OR($W1283="EVET",$X1283="EVET",$Y1283="EVET"),0,IF($D1283="GELİR",IF($E1283="SATIŞ İADESİ/İSKONTO",-$O1283,$O1283),-$O1283)))</f>
        <v/>
      </c>
      <c r="AB1283" s="117">
        <f>IF($B1283="","",IF(OR($D1283="",$E1283="",$O1283=""),"EKSİK",IF($O1283&lt;=0,"SIFIR/NEGATİF",IF(COUNTIFS($C$6:$C$5000,$C1283,$O$6:$O$5000,$O1283,$B$6:$B$5000,$B1283)&gt;1,"MÜKERRER","OK"))))</f>
        <v/>
      </c>
    </row>
    <row r="1284" ht="16.5" customHeight="1" s="80">
      <c r="A1284" s="113" t="n"/>
      <c r="B1284" s="113" t="n"/>
      <c r="C1284" s="113" t="n"/>
      <c r="D1284" s="113" t="n"/>
      <c r="E1284" s="113" t="n"/>
      <c r="F1284" s="113" t="n"/>
      <c r="G1284" s="113" t="n"/>
      <c r="H1284" s="113" t="n"/>
      <c r="I1284" s="113" t="n"/>
      <c r="J1284" s="113" t="n"/>
      <c r="K1284" s="113" t="n"/>
      <c r="L1284" s="113" t="n"/>
      <c r="M1284" s="113" t="n"/>
      <c r="N1284" s="113" t="n"/>
      <c r="O1284" s="113" t="n"/>
      <c r="P1284" s="113" t="n"/>
      <c r="Q1284" s="113" t="n"/>
      <c r="R1284" s="113" t="n"/>
      <c r="S1284" s="113" t="n"/>
      <c r="T1284" s="113" t="n"/>
      <c r="U1284" s="113" t="n"/>
      <c r="V1284" s="113" t="n"/>
      <c r="W1284" s="113" t="n"/>
      <c r="X1284" s="113" t="n"/>
      <c r="Y1284" s="113" t="n"/>
      <c r="Z1284" s="117">
        <f>IF($B1284="",0,IF($S1284="EVET",IF($D1284="GELİR",$O1284,-$O1284),0))</f>
        <v/>
      </c>
      <c r="AA1284" s="117">
        <f>IF($B1284="",0,IF(OR($W1284="EVET",$X1284="EVET",$Y1284="EVET"),0,IF($D1284="GELİR",IF($E1284="SATIŞ İADESİ/İSKONTO",-$O1284,$O1284),-$O1284)))</f>
        <v/>
      </c>
      <c r="AB1284" s="117">
        <f>IF($B1284="","",IF(OR($D1284="",$E1284="",$O1284=""),"EKSİK",IF($O1284&lt;=0,"SIFIR/NEGATİF",IF(COUNTIFS($C$6:$C$5000,$C1284,$O$6:$O$5000,$O1284,$B$6:$B$5000,$B1284)&gt;1,"MÜKERRER","OK"))))</f>
        <v/>
      </c>
    </row>
    <row r="1285" ht="16.5" customHeight="1" s="80">
      <c r="A1285" s="113" t="n"/>
      <c r="B1285" s="113" t="n"/>
      <c r="C1285" s="113" t="n"/>
      <c r="D1285" s="113" t="n"/>
      <c r="E1285" s="113" t="n"/>
      <c r="F1285" s="113" t="n"/>
      <c r="G1285" s="113" t="n"/>
      <c r="H1285" s="113" t="n"/>
      <c r="I1285" s="113" t="n"/>
      <c r="J1285" s="113" t="n"/>
      <c r="K1285" s="113" t="n"/>
      <c r="L1285" s="113" t="n"/>
      <c r="M1285" s="113" t="n"/>
      <c r="N1285" s="113" t="n"/>
      <c r="O1285" s="113" t="n"/>
      <c r="P1285" s="113" t="n"/>
      <c r="Q1285" s="113" t="n"/>
      <c r="R1285" s="113" t="n"/>
      <c r="S1285" s="113" t="n"/>
      <c r="T1285" s="113" t="n"/>
      <c r="U1285" s="113" t="n"/>
      <c r="V1285" s="113" t="n"/>
      <c r="W1285" s="113" t="n"/>
      <c r="X1285" s="113" t="n"/>
      <c r="Y1285" s="113" t="n"/>
      <c r="Z1285" s="117">
        <f>IF($B1285="",0,IF($S1285="EVET",IF($D1285="GELİR",$O1285,-$O1285),0))</f>
        <v/>
      </c>
      <c r="AA1285" s="117">
        <f>IF($B1285="",0,IF(OR($W1285="EVET",$X1285="EVET",$Y1285="EVET"),0,IF($D1285="GELİR",IF($E1285="SATIŞ İADESİ/İSKONTO",-$O1285,$O1285),-$O1285)))</f>
        <v/>
      </c>
      <c r="AB1285" s="117">
        <f>IF($B1285="","",IF(OR($D1285="",$E1285="",$O1285=""),"EKSİK",IF($O1285&lt;=0,"SIFIR/NEGATİF",IF(COUNTIFS($C$6:$C$5000,$C1285,$O$6:$O$5000,$O1285,$B$6:$B$5000,$B1285)&gt;1,"MÜKERRER","OK"))))</f>
        <v/>
      </c>
    </row>
    <row r="1286" ht="16.5" customHeight="1" s="80">
      <c r="A1286" s="113" t="n"/>
      <c r="B1286" s="113" t="n"/>
      <c r="C1286" s="113" t="n"/>
      <c r="D1286" s="113" t="n"/>
      <c r="E1286" s="113" t="n"/>
      <c r="F1286" s="113" t="n"/>
      <c r="G1286" s="113" t="n"/>
      <c r="H1286" s="113" t="n"/>
      <c r="I1286" s="113" t="n"/>
      <c r="J1286" s="113" t="n"/>
      <c r="K1286" s="113" t="n"/>
      <c r="L1286" s="113" t="n"/>
      <c r="M1286" s="113" t="n"/>
      <c r="N1286" s="113" t="n"/>
      <c r="O1286" s="113" t="n"/>
      <c r="P1286" s="113" t="n"/>
      <c r="Q1286" s="113" t="n"/>
      <c r="R1286" s="113" t="n"/>
      <c r="S1286" s="113" t="n"/>
      <c r="T1286" s="113" t="n"/>
      <c r="U1286" s="113" t="n"/>
      <c r="V1286" s="113" t="n"/>
      <c r="W1286" s="113" t="n"/>
      <c r="X1286" s="113" t="n"/>
      <c r="Y1286" s="113" t="n"/>
      <c r="Z1286" s="117">
        <f>IF($B1286="",0,IF($S1286="EVET",IF($D1286="GELİR",$O1286,-$O1286),0))</f>
        <v/>
      </c>
      <c r="AA1286" s="117">
        <f>IF($B1286="",0,IF(OR($W1286="EVET",$X1286="EVET",$Y1286="EVET"),0,IF($D1286="GELİR",IF($E1286="SATIŞ İADESİ/İSKONTO",-$O1286,$O1286),-$O1286)))</f>
        <v/>
      </c>
      <c r="AB1286" s="117">
        <f>IF($B1286="","",IF(OR($D1286="",$E1286="",$O1286=""),"EKSİK",IF($O1286&lt;=0,"SIFIR/NEGATİF",IF(COUNTIFS($C$6:$C$5000,$C1286,$O$6:$O$5000,$O1286,$B$6:$B$5000,$B1286)&gt;1,"MÜKERRER","OK"))))</f>
        <v/>
      </c>
    </row>
    <row r="1287" ht="16.5" customHeight="1" s="80">
      <c r="A1287" s="113" t="n"/>
      <c r="B1287" s="113" t="n"/>
      <c r="C1287" s="113" t="n"/>
      <c r="D1287" s="113" t="n"/>
      <c r="E1287" s="113" t="n"/>
      <c r="F1287" s="113" t="n"/>
      <c r="G1287" s="113" t="n"/>
      <c r="H1287" s="113" t="n"/>
      <c r="I1287" s="113" t="n"/>
      <c r="J1287" s="113" t="n"/>
      <c r="K1287" s="113" t="n"/>
      <c r="L1287" s="113" t="n"/>
      <c r="M1287" s="113" t="n"/>
      <c r="N1287" s="113" t="n"/>
      <c r="O1287" s="113" t="n"/>
      <c r="P1287" s="113" t="n"/>
      <c r="Q1287" s="113" t="n"/>
      <c r="R1287" s="113" t="n"/>
      <c r="S1287" s="113" t="n"/>
      <c r="T1287" s="113" t="n"/>
      <c r="U1287" s="113" t="n"/>
      <c r="V1287" s="113" t="n"/>
      <c r="W1287" s="113" t="n"/>
      <c r="X1287" s="113" t="n"/>
      <c r="Y1287" s="113" t="n"/>
      <c r="Z1287" s="117">
        <f>IF($B1287="",0,IF($S1287="EVET",IF($D1287="GELİR",$O1287,-$O1287),0))</f>
        <v/>
      </c>
      <c r="AA1287" s="117">
        <f>IF($B1287="",0,IF(OR($W1287="EVET",$X1287="EVET",$Y1287="EVET"),0,IF($D1287="GELİR",IF($E1287="SATIŞ İADESİ/İSKONTO",-$O1287,$O1287),-$O1287)))</f>
        <v/>
      </c>
      <c r="AB1287" s="117">
        <f>IF($B1287="","",IF(OR($D1287="",$E1287="",$O1287=""),"EKSİK",IF($O1287&lt;=0,"SIFIR/NEGATİF",IF(COUNTIFS($C$6:$C$5000,$C1287,$O$6:$O$5000,$O1287,$B$6:$B$5000,$B1287)&gt;1,"MÜKERRER","OK"))))</f>
        <v/>
      </c>
    </row>
    <row r="1288" ht="16.5" customHeight="1" s="80">
      <c r="A1288" s="113" t="n"/>
      <c r="B1288" s="113" t="n"/>
      <c r="C1288" s="113" t="n"/>
      <c r="D1288" s="113" t="n"/>
      <c r="E1288" s="113" t="n"/>
      <c r="F1288" s="113" t="n"/>
      <c r="G1288" s="113" t="n"/>
      <c r="H1288" s="113" t="n"/>
      <c r="I1288" s="113" t="n"/>
      <c r="J1288" s="113" t="n"/>
      <c r="K1288" s="113" t="n"/>
      <c r="L1288" s="113" t="n"/>
      <c r="M1288" s="113" t="n"/>
      <c r="N1288" s="113" t="n"/>
      <c r="O1288" s="113" t="n"/>
      <c r="P1288" s="113" t="n"/>
      <c r="Q1288" s="113" t="n"/>
      <c r="R1288" s="113" t="n"/>
      <c r="S1288" s="113" t="n"/>
      <c r="T1288" s="113" t="n"/>
      <c r="U1288" s="113" t="n"/>
      <c r="V1288" s="113" t="n"/>
      <c r="W1288" s="113" t="n"/>
      <c r="X1288" s="113" t="n"/>
      <c r="Y1288" s="113" t="n"/>
      <c r="Z1288" s="117">
        <f>IF($B1288="",0,IF($S1288="EVET",IF($D1288="GELİR",$O1288,-$O1288),0))</f>
        <v/>
      </c>
      <c r="AA1288" s="117">
        <f>IF($B1288="",0,IF(OR($W1288="EVET",$X1288="EVET",$Y1288="EVET"),0,IF($D1288="GELİR",IF($E1288="SATIŞ İADESİ/İSKONTO",-$O1288,$O1288),-$O1288)))</f>
        <v/>
      </c>
      <c r="AB1288" s="117">
        <f>IF($B1288="","",IF(OR($D1288="",$E1288="",$O1288=""),"EKSİK",IF($O1288&lt;=0,"SIFIR/NEGATİF",IF(COUNTIFS($C$6:$C$5000,$C1288,$O$6:$O$5000,$O1288,$B$6:$B$5000,$B1288)&gt;1,"MÜKERRER","OK"))))</f>
        <v/>
      </c>
    </row>
    <row r="1289" ht="16.5" customHeight="1" s="80">
      <c r="A1289" s="113" t="n"/>
      <c r="B1289" s="113" t="n"/>
      <c r="C1289" s="113" t="n"/>
      <c r="D1289" s="113" t="n"/>
      <c r="E1289" s="113" t="n"/>
      <c r="F1289" s="113" t="n"/>
      <c r="G1289" s="113" t="n"/>
      <c r="H1289" s="113" t="n"/>
      <c r="I1289" s="113" t="n"/>
      <c r="J1289" s="113" t="n"/>
      <c r="K1289" s="113" t="n"/>
      <c r="L1289" s="113" t="n"/>
      <c r="M1289" s="113" t="n"/>
      <c r="N1289" s="113" t="n"/>
      <c r="O1289" s="113" t="n"/>
      <c r="P1289" s="113" t="n"/>
      <c r="Q1289" s="113" t="n"/>
      <c r="R1289" s="113" t="n"/>
      <c r="S1289" s="113" t="n"/>
      <c r="T1289" s="113" t="n"/>
      <c r="U1289" s="113" t="n"/>
      <c r="V1289" s="113" t="n"/>
      <c r="W1289" s="113" t="n"/>
      <c r="X1289" s="113" t="n"/>
      <c r="Y1289" s="113" t="n"/>
      <c r="Z1289" s="117">
        <f>IF($B1289="",0,IF($S1289="EVET",IF($D1289="GELİR",$O1289,-$O1289),0))</f>
        <v/>
      </c>
      <c r="AA1289" s="117">
        <f>IF($B1289="",0,IF(OR($W1289="EVET",$X1289="EVET",$Y1289="EVET"),0,IF($D1289="GELİR",IF($E1289="SATIŞ İADESİ/İSKONTO",-$O1289,$O1289),-$O1289)))</f>
        <v/>
      </c>
      <c r="AB1289" s="117">
        <f>IF($B1289="","",IF(OR($D1289="",$E1289="",$O1289=""),"EKSİK",IF($O1289&lt;=0,"SIFIR/NEGATİF",IF(COUNTIFS($C$6:$C$5000,$C1289,$O$6:$O$5000,$O1289,$B$6:$B$5000,$B1289)&gt;1,"MÜKERRER","OK"))))</f>
        <v/>
      </c>
    </row>
    <row r="1290" ht="16.5" customHeight="1" s="80">
      <c r="A1290" s="113" t="n"/>
      <c r="B1290" s="113" t="n"/>
      <c r="C1290" s="113" t="n"/>
      <c r="D1290" s="113" t="n"/>
      <c r="E1290" s="113" t="n"/>
      <c r="F1290" s="113" t="n"/>
      <c r="G1290" s="113" t="n"/>
      <c r="H1290" s="113" t="n"/>
      <c r="I1290" s="113" t="n"/>
      <c r="J1290" s="113" t="n"/>
      <c r="K1290" s="113" t="n"/>
      <c r="L1290" s="113" t="n"/>
      <c r="M1290" s="113" t="n"/>
      <c r="N1290" s="113" t="n"/>
      <c r="O1290" s="113" t="n"/>
      <c r="P1290" s="113" t="n"/>
      <c r="Q1290" s="113" t="n"/>
      <c r="R1290" s="113" t="n"/>
      <c r="S1290" s="113" t="n"/>
      <c r="T1290" s="113" t="n"/>
      <c r="U1290" s="113" t="n"/>
      <c r="V1290" s="113" t="n"/>
      <c r="W1290" s="113" t="n"/>
      <c r="X1290" s="113" t="n"/>
      <c r="Y1290" s="113" t="n"/>
      <c r="Z1290" s="117">
        <f>IF($B1290="",0,IF($S1290="EVET",IF($D1290="GELİR",$O1290,-$O1290),0))</f>
        <v/>
      </c>
      <c r="AA1290" s="117">
        <f>IF($B1290="",0,IF(OR($W1290="EVET",$X1290="EVET",$Y1290="EVET"),0,IF($D1290="GELİR",IF($E1290="SATIŞ İADESİ/İSKONTO",-$O1290,$O1290),-$O1290)))</f>
        <v/>
      </c>
      <c r="AB1290" s="117">
        <f>IF($B1290="","",IF(OR($D1290="",$E1290="",$O1290=""),"EKSİK",IF($O1290&lt;=0,"SIFIR/NEGATİF",IF(COUNTIFS($C$6:$C$5000,$C1290,$O$6:$O$5000,$O1290,$B$6:$B$5000,$B1290)&gt;1,"MÜKERRER","OK"))))</f>
        <v/>
      </c>
    </row>
    <row r="1291" ht="16.5" customHeight="1" s="80">
      <c r="A1291" s="113" t="n"/>
      <c r="B1291" s="113" t="n"/>
      <c r="C1291" s="113" t="n"/>
      <c r="D1291" s="113" t="n"/>
      <c r="E1291" s="113" t="n"/>
      <c r="F1291" s="113" t="n"/>
      <c r="G1291" s="113" t="n"/>
      <c r="H1291" s="113" t="n"/>
      <c r="I1291" s="113" t="n"/>
      <c r="J1291" s="113" t="n"/>
      <c r="K1291" s="113" t="n"/>
      <c r="L1291" s="113" t="n"/>
      <c r="M1291" s="113" t="n"/>
      <c r="N1291" s="113" t="n"/>
      <c r="O1291" s="113" t="n"/>
      <c r="P1291" s="113" t="n"/>
      <c r="Q1291" s="113" t="n"/>
      <c r="R1291" s="113" t="n"/>
      <c r="S1291" s="113" t="n"/>
      <c r="T1291" s="113" t="n"/>
      <c r="U1291" s="113" t="n"/>
      <c r="V1291" s="113" t="n"/>
      <c r="W1291" s="113" t="n"/>
      <c r="X1291" s="113" t="n"/>
      <c r="Y1291" s="113" t="n"/>
      <c r="Z1291" s="117">
        <f>IF($B1291="",0,IF($S1291="EVET",IF($D1291="GELİR",$O1291,-$O1291),0))</f>
        <v/>
      </c>
      <c r="AA1291" s="117">
        <f>IF($B1291="",0,IF(OR($W1291="EVET",$X1291="EVET",$Y1291="EVET"),0,IF($D1291="GELİR",IF($E1291="SATIŞ İADESİ/İSKONTO",-$O1291,$O1291),-$O1291)))</f>
        <v/>
      </c>
      <c r="AB1291" s="117">
        <f>IF($B1291="","",IF(OR($D1291="",$E1291="",$O1291=""),"EKSİK",IF($O1291&lt;=0,"SIFIR/NEGATİF",IF(COUNTIFS($C$6:$C$5000,$C1291,$O$6:$O$5000,$O1291,$B$6:$B$5000,$B1291)&gt;1,"MÜKERRER","OK"))))</f>
        <v/>
      </c>
    </row>
    <row r="1292" ht="16.5" customHeight="1" s="80">
      <c r="A1292" s="113" t="n"/>
      <c r="B1292" s="113" t="n"/>
      <c r="C1292" s="113" t="n"/>
      <c r="D1292" s="113" t="n"/>
      <c r="E1292" s="113" t="n"/>
      <c r="F1292" s="113" t="n"/>
      <c r="G1292" s="113" t="n"/>
      <c r="H1292" s="113" t="n"/>
      <c r="I1292" s="113" t="n"/>
      <c r="J1292" s="113" t="n"/>
      <c r="K1292" s="113" t="n"/>
      <c r="L1292" s="113" t="n"/>
      <c r="M1292" s="113" t="n"/>
      <c r="N1292" s="113" t="n"/>
      <c r="O1292" s="113" t="n"/>
      <c r="P1292" s="113" t="n"/>
      <c r="Q1292" s="113" t="n"/>
      <c r="R1292" s="113" t="n"/>
      <c r="S1292" s="113" t="n"/>
      <c r="T1292" s="113" t="n"/>
      <c r="U1292" s="113" t="n"/>
      <c r="V1292" s="113" t="n"/>
      <c r="W1292" s="113" t="n"/>
      <c r="X1292" s="113" t="n"/>
      <c r="Y1292" s="113" t="n"/>
      <c r="Z1292" s="117">
        <f>IF($B1292="",0,IF($S1292="EVET",IF($D1292="GELİR",$O1292,-$O1292),0))</f>
        <v/>
      </c>
      <c r="AA1292" s="117">
        <f>IF($B1292="",0,IF(OR($W1292="EVET",$X1292="EVET",$Y1292="EVET"),0,IF($D1292="GELİR",IF($E1292="SATIŞ İADESİ/İSKONTO",-$O1292,$O1292),-$O1292)))</f>
        <v/>
      </c>
      <c r="AB1292" s="117">
        <f>IF($B1292="","",IF(OR($D1292="",$E1292="",$O1292=""),"EKSİK",IF($O1292&lt;=0,"SIFIR/NEGATİF",IF(COUNTIFS($C$6:$C$5000,$C1292,$O$6:$O$5000,$O1292,$B$6:$B$5000,$B1292)&gt;1,"MÜKERRER","OK"))))</f>
        <v/>
      </c>
    </row>
    <row r="1293" ht="16.5" customHeight="1" s="80">
      <c r="A1293" s="113" t="n"/>
      <c r="B1293" s="113" t="n"/>
      <c r="C1293" s="113" t="n"/>
      <c r="D1293" s="113" t="n"/>
      <c r="E1293" s="113" t="n"/>
      <c r="F1293" s="113" t="n"/>
      <c r="G1293" s="113" t="n"/>
      <c r="H1293" s="113" t="n"/>
      <c r="I1293" s="113" t="n"/>
      <c r="J1293" s="113" t="n"/>
      <c r="K1293" s="113" t="n"/>
      <c r="L1293" s="113" t="n"/>
      <c r="M1293" s="113" t="n"/>
      <c r="N1293" s="113" t="n"/>
      <c r="O1293" s="113" t="n"/>
      <c r="P1293" s="113" t="n"/>
      <c r="Q1293" s="113" t="n"/>
      <c r="R1293" s="113" t="n"/>
      <c r="S1293" s="113" t="n"/>
      <c r="T1293" s="113" t="n"/>
      <c r="U1293" s="113" t="n"/>
      <c r="V1293" s="113" t="n"/>
      <c r="W1293" s="113" t="n"/>
      <c r="X1293" s="113" t="n"/>
      <c r="Y1293" s="113" t="n"/>
      <c r="Z1293" s="117">
        <f>IF($B1293="",0,IF($S1293="EVET",IF($D1293="GELİR",$O1293,-$O1293),0))</f>
        <v/>
      </c>
      <c r="AA1293" s="117">
        <f>IF($B1293="",0,IF(OR($W1293="EVET",$X1293="EVET",$Y1293="EVET"),0,IF($D1293="GELİR",IF($E1293="SATIŞ İADESİ/İSKONTO",-$O1293,$O1293),-$O1293)))</f>
        <v/>
      </c>
      <c r="AB1293" s="117">
        <f>IF($B1293="","",IF(OR($D1293="",$E1293="",$O1293=""),"EKSİK",IF($O1293&lt;=0,"SIFIR/NEGATİF",IF(COUNTIFS($C$6:$C$5000,$C1293,$O$6:$O$5000,$O1293,$B$6:$B$5000,$B1293)&gt;1,"MÜKERRER","OK"))))</f>
        <v/>
      </c>
    </row>
    <row r="1294" ht="16.5" customHeight="1" s="80">
      <c r="A1294" s="113" t="n"/>
      <c r="B1294" s="113" t="n"/>
      <c r="C1294" s="113" t="n"/>
      <c r="D1294" s="113" t="n"/>
      <c r="E1294" s="113" t="n"/>
      <c r="F1294" s="113" t="n"/>
      <c r="G1294" s="113" t="n"/>
      <c r="H1294" s="113" t="n"/>
      <c r="I1294" s="113" t="n"/>
      <c r="J1294" s="113" t="n"/>
      <c r="K1294" s="113" t="n"/>
      <c r="L1294" s="113" t="n"/>
      <c r="M1294" s="113" t="n"/>
      <c r="N1294" s="113" t="n"/>
      <c r="O1294" s="113" t="n"/>
      <c r="P1294" s="113" t="n"/>
      <c r="Q1294" s="113" t="n"/>
      <c r="R1294" s="113" t="n"/>
      <c r="S1294" s="113" t="n"/>
      <c r="T1294" s="113" t="n"/>
      <c r="U1294" s="113" t="n"/>
      <c r="V1294" s="113" t="n"/>
      <c r="W1294" s="113" t="n"/>
      <c r="X1294" s="113" t="n"/>
      <c r="Y1294" s="113" t="n"/>
      <c r="Z1294" s="117">
        <f>IF($B1294="",0,IF($S1294="EVET",IF($D1294="GELİR",$O1294,-$O1294),0))</f>
        <v/>
      </c>
      <c r="AA1294" s="117">
        <f>IF($B1294="",0,IF(OR($W1294="EVET",$X1294="EVET",$Y1294="EVET"),0,IF($D1294="GELİR",IF($E1294="SATIŞ İADESİ/İSKONTO",-$O1294,$O1294),-$O1294)))</f>
        <v/>
      </c>
      <c r="AB1294" s="117">
        <f>IF($B1294="","",IF(OR($D1294="",$E1294="",$O1294=""),"EKSİK",IF($O1294&lt;=0,"SIFIR/NEGATİF",IF(COUNTIFS($C$6:$C$5000,$C1294,$O$6:$O$5000,$O1294,$B$6:$B$5000,$B1294)&gt;1,"MÜKERRER","OK"))))</f>
        <v/>
      </c>
    </row>
    <row r="1295" ht="16.5" customHeight="1" s="80">
      <c r="A1295" s="113" t="n"/>
      <c r="B1295" s="113" t="n"/>
      <c r="C1295" s="113" t="n"/>
      <c r="D1295" s="113" t="n"/>
      <c r="E1295" s="113" t="n"/>
      <c r="F1295" s="113" t="n"/>
      <c r="G1295" s="113" t="n"/>
      <c r="H1295" s="113" t="n"/>
      <c r="I1295" s="113" t="n"/>
      <c r="J1295" s="113" t="n"/>
      <c r="K1295" s="113" t="n"/>
      <c r="L1295" s="113" t="n"/>
      <c r="M1295" s="113" t="n"/>
      <c r="N1295" s="113" t="n"/>
      <c r="O1295" s="113" t="n"/>
      <c r="P1295" s="113" t="n"/>
      <c r="Q1295" s="113" t="n"/>
      <c r="R1295" s="113" t="n"/>
      <c r="S1295" s="113" t="n"/>
      <c r="T1295" s="113" t="n"/>
      <c r="U1295" s="113" t="n"/>
      <c r="V1295" s="113" t="n"/>
      <c r="W1295" s="113" t="n"/>
      <c r="X1295" s="113" t="n"/>
      <c r="Y1295" s="113" t="n"/>
      <c r="Z1295" s="117">
        <f>IF($B1295="",0,IF($S1295="EVET",IF($D1295="GELİR",$O1295,-$O1295),0))</f>
        <v/>
      </c>
      <c r="AA1295" s="117">
        <f>IF($B1295="",0,IF(OR($W1295="EVET",$X1295="EVET",$Y1295="EVET"),0,IF($D1295="GELİR",IF($E1295="SATIŞ İADESİ/İSKONTO",-$O1295,$O1295),-$O1295)))</f>
        <v/>
      </c>
      <c r="AB1295" s="117">
        <f>IF($B1295="","",IF(OR($D1295="",$E1295="",$O1295=""),"EKSİK",IF($O1295&lt;=0,"SIFIR/NEGATİF",IF(COUNTIFS($C$6:$C$5000,$C1295,$O$6:$O$5000,$O1295,$B$6:$B$5000,$B1295)&gt;1,"MÜKERRER","OK"))))</f>
        <v/>
      </c>
    </row>
    <row r="1296" ht="16.5" customHeight="1" s="80">
      <c r="A1296" s="113" t="n"/>
      <c r="B1296" s="113" t="n"/>
      <c r="C1296" s="113" t="n"/>
      <c r="D1296" s="113" t="n"/>
      <c r="E1296" s="113" t="n"/>
      <c r="F1296" s="113" t="n"/>
      <c r="G1296" s="113" t="n"/>
      <c r="H1296" s="113" t="n"/>
      <c r="I1296" s="113" t="n"/>
      <c r="J1296" s="113" t="n"/>
      <c r="K1296" s="113" t="n"/>
      <c r="L1296" s="113" t="n"/>
      <c r="M1296" s="113" t="n"/>
      <c r="N1296" s="113" t="n"/>
      <c r="O1296" s="113" t="n"/>
      <c r="P1296" s="113" t="n"/>
      <c r="Q1296" s="113" t="n"/>
      <c r="R1296" s="113" t="n"/>
      <c r="S1296" s="113" t="n"/>
      <c r="T1296" s="113" t="n"/>
      <c r="U1296" s="113" t="n"/>
      <c r="V1296" s="113" t="n"/>
      <c r="W1296" s="113" t="n"/>
      <c r="X1296" s="113" t="n"/>
      <c r="Y1296" s="113" t="n"/>
      <c r="Z1296" s="117">
        <f>IF($B1296="",0,IF($S1296="EVET",IF($D1296="GELİR",$O1296,-$O1296),0))</f>
        <v/>
      </c>
      <c r="AA1296" s="117">
        <f>IF($B1296="",0,IF(OR($W1296="EVET",$X1296="EVET",$Y1296="EVET"),0,IF($D1296="GELİR",IF($E1296="SATIŞ İADESİ/İSKONTO",-$O1296,$O1296),-$O1296)))</f>
        <v/>
      </c>
      <c r="AB1296" s="117">
        <f>IF($B1296="","",IF(OR($D1296="",$E1296="",$O1296=""),"EKSİK",IF($O1296&lt;=0,"SIFIR/NEGATİF",IF(COUNTIFS($C$6:$C$5000,$C1296,$O$6:$O$5000,$O1296,$B$6:$B$5000,$B1296)&gt;1,"MÜKERRER","OK"))))</f>
        <v/>
      </c>
    </row>
    <row r="1297" ht="16.5" customHeight="1" s="80">
      <c r="A1297" s="113" t="n"/>
      <c r="B1297" s="113" t="n"/>
      <c r="C1297" s="113" t="n"/>
      <c r="D1297" s="113" t="n"/>
      <c r="E1297" s="113" t="n"/>
      <c r="F1297" s="113" t="n"/>
      <c r="G1297" s="113" t="n"/>
      <c r="H1297" s="113" t="n"/>
      <c r="I1297" s="113" t="n"/>
      <c r="J1297" s="113" t="n"/>
      <c r="K1297" s="113" t="n"/>
      <c r="L1297" s="113" t="n"/>
      <c r="M1297" s="113" t="n"/>
      <c r="N1297" s="113" t="n"/>
      <c r="O1297" s="113" t="n"/>
      <c r="P1297" s="113" t="n"/>
      <c r="Q1297" s="113" t="n"/>
      <c r="R1297" s="113" t="n"/>
      <c r="S1297" s="113" t="n"/>
      <c r="T1297" s="113" t="n"/>
      <c r="U1297" s="113" t="n"/>
      <c r="V1297" s="113" t="n"/>
      <c r="W1297" s="113" t="n"/>
      <c r="X1297" s="113" t="n"/>
      <c r="Y1297" s="113" t="n"/>
      <c r="Z1297" s="117">
        <f>IF($B1297="",0,IF($S1297="EVET",IF($D1297="GELİR",$O1297,-$O1297),0))</f>
        <v/>
      </c>
      <c r="AA1297" s="117">
        <f>IF($B1297="",0,IF(OR($W1297="EVET",$X1297="EVET",$Y1297="EVET"),0,IF($D1297="GELİR",IF($E1297="SATIŞ İADESİ/İSKONTO",-$O1297,$O1297),-$O1297)))</f>
        <v/>
      </c>
      <c r="AB1297" s="117">
        <f>IF($B1297="","",IF(OR($D1297="",$E1297="",$O1297=""),"EKSİK",IF($O1297&lt;=0,"SIFIR/NEGATİF",IF(COUNTIFS($C$6:$C$5000,$C1297,$O$6:$O$5000,$O1297,$B$6:$B$5000,$B1297)&gt;1,"MÜKERRER","OK"))))</f>
        <v/>
      </c>
    </row>
    <row r="1298" ht="16.5" customHeight="1" s="80">
      <c r="A1298" s="113" t="n"/>
      <c r="B1298" s="113" t="n"/>
      <c r="C1298" s="113" t="n"/>
      <c r="D1298" s="113" t="n"/>
      <c r="E1298" s="113" t="n"/>
      <c r="F1298" s="113" t="n"/>
      <c r="G1298" s="113" t="n"/>
      <c r="H1298" s="113" t="n"/>
      <c r="I1298" s="113" t="n"/>
      <c r="J1298" s="113" t="n"/>
      <c r="K1298" s="113" t="n"/>
      <c r="L1298" s="113" t="n"/>
      <c r="M1298" s="113" t="n"/>
      <c r="N1298" s="113" t="n"/>
      <c r="O1298" s="113" t="n"/>
      <c r="P1298" s="113" t="n"/>
      <c r="Q1298" s="113" t="n"/>
      <c r="R1298" s="113" t="n"/>
      <c r="S1298" s="113" t="n"/>
      <c r="T1298" s="113" t="n"/>
      <c r="U1298" s="113" t="n"/>
      <c r="V1298" s="113" t="n"/>
      <c r="W1298" s="113" t="n"/>
      <c r="X1298" s="113" t="n"/>
      <c r="Y1298" s="113" t="n"/>
      <c r="Z1298" s="117">
        <f>IF($B1298="",0,IF($S1298="EVET",IF($D1298="GELİR",$O1298,-$O1298),0))</f>
        <v/>
      </c>
      <c r="AA1298" s="117">
        <f>IF($B1298="",0,IF(OR($W1298="EVET",$X1298="EVET",$Y1298="EVET"),0,IF($D1298="GELİR",IF($E1298="SATIŞ İADESİ/İSKONTO",-$O1298,$O1298),-$O1298)))</f>
        <v/>
      </c>
      <c r="AB1298" s="117">
        <f>IF($B1298="","",IF(OR($D1298="",$E1298="",$O1298=""),"EKSİK",IF($O1298&lt;=0,"SIFIR/NEGATİF",IF(COUNTIFS($C$6:$C$5000,$C1298,$O$6:$O$5000,$O1298,$B$6:$B$5000,$B1298)&gt;1,"MÜKERRER","OK"))))</f>
        <v/>
      </c>
    </row>
    <row r="1299" ht="16.5" customHeight="1" s="80">
      <c r="A1299" s="113" t="n"/>
      <c r="B1299" s="113" t="n"/>
      <c r="C1299" s="113" t="n"/>
      <c r="D1299" s="113" t="n"/>
      <c r="E1299" s="113" t="n"/>
      <c r="F1299" s="113" t="n"/>
      <c r="G1299" s="113" t="n"/>
      <c r="H1299" s="113" t="n"/>
      <c r="I1299" s="113" t="n"/>
      <c r="J1299" s="113" t="n"/>
      <c r="K1299" s="113" t="n"/>
      <c r="L1299" s="113" t="n"/>
      <c r="M1299" s="113" t="n"/>
      <c r="N1299" s="113" t="n"/>
      <c r="O1299" s="113" t="n"/>
      <c r="P1299" s="113" t="n"/>
      <c r="Q1299" s="113" t="n"/>
      <c r="R1299" s="113" t="n"/>
      <c r="S1299" s="113" t="n"/>
      <c r="T1299" s="113" t="n"/>
      <c r="U1299" s="113" t="n"/>
      <c r="V1299" s="113" t="n"/>
      <c r="W1299" s="113" t="n"/>
      <c r="X1299" s="113" t="n"/>
      <c r="Y1299" s="113" t="n"/>
      <c r="Z1299" s="117">
        <f>IF($B1299="",0,IF($S1299="EVET",IF($D1299="GELİR",$O1299,-$O1299),0))</f>
        <v/>
      </c>
      <c r="AA1299" s="117">
        <f>IF($B1299="",0,IF(OR($W1299="EVET",$X1299="EVET",$Y1299="EVET"),0,IF($D1299="GELİR",IF($E1299="SATIŞ İADESİ/İSKONTO",-$O1299,$O1299),-$O1299)))</f>
        <v/>
      </c>
      <c r="AB1299" s="117">
        <f>IF($B1299="","",IF(OR($D1299="",$E1299="",$O1299=""),"EKSİK",IF($O1299&lt;=0,"SIFIR/NEGATİF",IF(COUNTIFS($C$6:$C$5000,$C1299,$O$6:$O$5000,$O1299,$B$6:$B$5000,$B1299)&gt;1,"MÜKERRER","OK"))))</f>
        <v/>
      </c>
    </row>
    <row r="1300" ht="16.5" customHeight="1" s="80">
      <c r="A1300" s="113" t="n"/>
      <c r="B1300" s="113" t="n"/>
      <c r="C1300" s="113" t="n"/>
      <c r="D1300" s="113" t="n"/>
      <c r="E1300" s="113" t="n"/>
      <c r="F1300" s="113" t="n"/>
      <c r="G1300" s="113" t="n"/>
      <c r="H1300" s="113" t="n"/>
      <c r="I1300" s="113" t="n"/>
      <c r="J1300" s="113" t="n"/>
      <c r="K1300" s="113" t="n"/>
      <c r="L1300" s="113" t="n"/>
      <c r="M1300" s="113" t="n"/>
      <c r="N1300" s="113" t="n"/>
      <c r="O1300" s="113" t="n"/>
      <c r="P1300" s="113" t="n"/>
      <c r="Q1300" s="113" t="n"/>
      <c r="R1300" s="113" t="n"/>
      <c r="S1300" s="113" t="n"/>
      <c r="T1300" s="113" t="n"/>
      <c r="U1300" s="113" t="n"/>
      <c r="V1300" s="113" t="n"/>
      <c r="W1300" s="113" t="n"/>
      <c r="X1300" s="113" t="n"/>
      <c r="Y1300" s="113" t="n"/>
      <c r="Z1300" s="117">
        <f>IF($B1300="",0,IF($S1300="EVET",IF($D1300="GELİR",$O1300,-$O1300),0))</f>
        <v/>
      </c>
      <c r="AA1300" s="117">
        <f>IF($B1300="",0,IF(OR($W1300="EVET",$X1300="EVET",$Y1300="EVET"),0,IF($D1300="GELİR",IF($E1300="SATIŞ İADESİ/İSKONTO",-$O1300,$O1300),-$O1300)))</f>
        <v/>
      </c>
      <c r="AB1300" s="117">
        <f>IF($B1300="","",IF(OR($D1300="",$E1300="",$O1300=""),"EKSİK",IF($O1300&lt;=0,"SIFIR/NEGATİF",IF(COUNTIFS($C$6:$C$5000,$C1300,$O$6:$O$5000,$O1300,$B$6:$B$5000,$B1300)&gt;1,"MÜKERRER","OK"))))</f>
        <v/>
      </c>
    </row>
    <row r="1301" ht="16.5" customHeight="1" s="80">
      <c r="A1301" s="113" t="n"/>
      <c r="B1301" s="113" t="n"/>
      <c r="C1301" s="113" t="n"/>
      <c r="D1301" s="113" t="n"/>
      <c r="E1301" s="113" t="n"/>
      <c r="F1301" s="113" t="n"/>
      <c r="G1301" s="113" t="n"/>
      <c r="H1301" s="113" t="n"/>
      <c r="I1301" s="113" t="n"/>
      <c r="J1301" s="113" t="n"/>
      <c r="K1301" s="113" t="n"/>
      <c r="L1301" s="113" t="n"/>
      <c r="M1301" s="113" t="n"/>
      <c r="N1301" s="113" t="n"/>
      <c r="O1301" s="113" t="n"/>
      <c r="P1301" s="113" t="n"/>
      <c r="Q1301" s="113" t="n"/>
      <c r="R1301" s="113" t="n"/>
      <c r="S1301" s="113" t="n"/>
      <c r="T1301" s="113" t="n"/>
      <c r="U1301" s="113" t="n"/>
      <c r="V1301" s="113" t="n"/>
      <c r="W1301" s="113" t="n"/>
      <c r="X1301" s="113" t="n"/>
      <c r="Y1301" s="113" t="n"/>
      <c r="Z1301" s="117">
        <f>IF($B1301="",0,IF($S1301="EVET",IF($D1301="GELİR",$O1301,-$O1301),0))</f>
        <v/>
      </c>
      <c r="AA1301" s="117">
        <f>IF($B1301="",0,IF(OR($W1301="EVET",$X1301="EVET",$Y1301="EVET"),0,IF($D1301="GELİR",IF($E1301="SATIŞ İADESİ/İSKONTO",-$O1301,$O1301),-$O1301)))</f>
        <v/>
      </c>
      <c r="AB1301" s="117">
        <f>IF($B1301="","",IF(OR($D1301="",$E1301="",$O1301=""),"EKSİK",IF($O1301&lt;=0,"SIFIR/NEGATİF",IF(COUNTIFS($C$6:$C$5000,$C1301,$O$6:$O$5000,$O1301,$B$6:$B$5000,$B1301)&gt;1,"MÜKERRER","OK"))))</f>
        <v/>
      </c>
    </row>
    <row r="1302" ht="16.5" customHeight="1" s="80">
      <c r="A1302" s="113" t="n"/>
      <c r="B1302" s="113" t="n"/>
      <c r="C1302" s="113" t="n"/>
      <c r="D1302" s="113" t="n"/>
      <c r="E1302" s="113" t="n"/>
      <c r="F1302" s="113" t="n"/>
      <c r="G1302" s="113" t="n"/>
      <c r="H1302" s="113" t="n"/>
      <c r="I1302" s="113" t="n"/>
      <c r="J1302" s="113" t="n"/>
      <c r="K1302" s="113" t="n"/>
      <c r="L1302" s="113" t="n"/>
      <c r="M1302" s="113" t="n"/>
      <c r="N1302" s="113" t="n"/>
      <c r="O1302" s="113" t="n"/>
      <c r="P1302" s="113" t="n"/>
      <c r="Q1302" s="113" t="n"/>
      <c r="R1302" s="113" t="n"/>
      <c r="S1302" s="113" t="n"/>
      <c r="T1302" s="113" t="n"/>
      <c r="U1302" s="113" t="n"/>
      <c r="V1302" s="113" t="n"/>
      <c r="W1302" s="113" t="n"/>
      <c r="X1302" s="113" t="n"/>
      <c r="Y1302" s="113" t="n"/>
      <c r="Z1302" s="117">
        <f>IF($B1302="",0,IF($S1302="EVET",IF($D1302="GELİR",$O1302,-$O1302),0))</f>
        <v/>
      </c>
      <c r="AA1302" s="117">
        <f>IF($B1302="",0,IF(OR($W1302="EVET",$X1302="EVET",$Y1302="EVET"),0,IF($D1302="GELİR",IF($E1302="SATIŞ İADESİ/İSKONTO",-$O1302,$O1302),-$O1302)))</f>
        <v/>
      </c>
      <c r="AB1302" s="117">
        <f>IF($B1302="","",IF(OR($D1302="",$E1302="",$O1302=""),"EKSİK",IF($O1302&lt;=0,"SIFIR/NEGATİF",IF(COUNTIFS($C$6:$C$5000,$C1302,$O$6:$O$5000,$O1302,$B$6:$B$5000,$B1302)&gt;1,"MÜKERRER","OK"))))</f>
        <v/>
      </c>
    </row>
    <row r="1303" ht="16.5" customHeight="1" s="80">
      <c r="A1303" s="113" t="n"/>
      <c r="B1303" s="113" t="n"/>
      <c r="C1303" s="113" t="n"/>
      <c r="D1303" s="113" t="n"/>
      <c r="E1303" s="113" t="n"/>
      <c r="F1303" s="113" t="n"/>
      <c r="G1303" s="113" t="n"/>
      <c r="H1303" s="113" t="n"/>
      <c r="I1303" s="113" t="n"/>
      <c r="J1303" s="113" t="n"/>
      <c r="K1303" s="113" t="n"/>
      <c r="L1303" s="113" t="n"/>
      <c r="M1303" s="113" t="n"/>
      <c r="N1303" s="113" t="n"/>
      <c r="O1303" s="113" t="n"/>
      <c r="P1303" s="113" t="n"/>
      <c r="Q1303" s="113" t="n"/>
      <c r="R1303" s="113" t="n"/>
      <c r="S1303" s="113" t="n"/>
      <c r="T1303" s="113" t="n"/>
      <c r="U1303" s="113" t="n"/>
      <c r="V1303" s="113" t="n"/>
      <c r="W1303" s="113" t="n"/>
      <c r="X1303" s="113" t="n"/>
      <c r="Y1303" s="113" t="n"/>
      <c r="Z1303" s="117">
        <f>IF($B1303="",0,IF($S1303="EVET",IF($D1303="GELİR",$O1303,-$O1303),0))</f>
        <v/>
      </c>
      <c r="AA1303" s="117">
        <f>IF($B1303="",0,IF(OR($W1303="EVET",$X1303="EVET",$Y1303="EVET"),0,IF($D1303="GELİR",IF($E1303="SATIŞ İADESİ/İSKONTO",-$O1303,$O1303),-$O1303)))</f>
        <v/>
      </c>
      <c r="AB1303" s="117">
        <f>IF($B1303="","",IF(OR($D1303="",$E1303="",$O1303=""),"EKSİK",IF($O1303&lt;=0,"SIFIR/NEGATİF",IF(COUNTIFS($C$6:$C$5000,$C1303,$O$6:$O$5000,$O1303,$B$6:$B$5000,$B1303)&gt;1,"MÜKERRER","OK"))))</f>
        <v/>
      </c>
    </row>
    <row r="1304" ht="16.5" customHeight="1" s="80">
      <c r="A1304" s="113" t="n"/>
      <c r="B1304" s="113" t="n"/>
      <c r="C1304" s="113" t="n"/>
      <c r="D1304" s="113" t="n"/>
      <c r="E1304" s="113" t="n"/>
      <c r="F1304" s="113" t="n"/>
      <c r="G1304" s="113" t="n"/>
      <c r="H1304" s="113" t="n"/>
      <c r="I1304" s="113" t="n"/>
      <c r="J1304" s="113" t="n"/>
      <c r="K1304" s="113" t="n"/>
      <c r="L1304" s="113" t="n"/>
      <c r="M1304" s="113" t="n"/>
      <c r="N1304" s="113" t="n"/>
      <c r="O1304" s="113" t="n"/>
      <c r="P1304" s="113" t="n"/>
      <c r="Q1304" s="113" t="n"/>
      <c r="R1304" s="113" t="n"/>
      <c r="S1304" s="113" t="n"/>
      <c r="T1304" s="113" t="n"/>
      <c r="U1304" s="113" t="n"/>
      <c r="V1304" s="113" t="n"/>
      <c r="W1304" s="113" t="n"/>
      <c r="X1304" s="113" t="n"/>
      <c r="Y1304" s="113" t="n"/>
      <c r="Z1304" s="117">
        <f>IF($B1304="",0,IF($S1304="EVET",IF($D1304="GELİR",$O1304,-$O1304),0))</f>
        <v/>
      </c>
      <c r="AA1304" s="117">
        <f>IF($B1304="",0,IF(OR($W1304="EVET",$X1304="EVET",$Y1304="EVET"),0,IF($D1304="GELİR",IF($E1304="SATIŞ İADESİ/İSKONTO",-$O1304,$O1304),-$O1304)))</f>
        <v/>
      </c>
      <c r="AB1304" s="117">
        <f>IF($B1304="","",IF(OR($D1304="",$E1304="",$O1304=""),"EKSİK",IF($O1304&lt;=0,"SIFIR/NEGATİF",IF(COUNTIFS($C$6:$C$5000,$C1304,$O$6:$O$5000,$O1304,$B$6:$B$5000,$B1304)&gt;1,"MÜKERRER","OK"))))</f>
        <v/>
      </c>
    </row>
    <row r="1305" ht="16.5" customHeight="1" s="80">
      <c r="A1305" s="113" t="n"/>
      <c r="B1305" s="113" t="n"/>
      <c r="C1305" s="113" t="n"/>
      <c r="D1305" s="113" t="n"/>
      <c r="E1305" s="113" t="n"/>
      <c r="F1305" s="113" t="n"/>
      <c r="G1305" s="113" t="n"/>
      <c r="H1305" s="113" t="n"/>
      <c r="I1305" s="113" t="n"/>
      <c r="J1305" s="113" t="n"/>
      <c r="K1305" s="113" t="n"/>
      <c r="L1305" s="113" t="n"/>
      <c r="M1305" s="113" t="n"/>
      <c r="N1305" s="113" t="n"/>
      <c r="O1305" s="113" t="n"/>
      <c r="P1305" s="113" t="n"/>
      <c r="Q1305" s="113" t="n"/>
      <c r="R1305" s="113" t="n"/>
      <c r="S1305" s="113" t="n"/>
      <c r="T1305" s="113" t="n"/>
      <c r="U1305" s="113" t="n"/>
      <c r="V1305" s="113" t="n"/>
      <c r="W1305" s="113" t="n"/>
      <c r="X1305" s="113" t="n"/>
      <c r="Y1305" s="113" t="n"/>
      <c r="Z1305" s="117">
        <f>IF($B1305="",0,IF($S1305="EVET",IF($D1305="GELİR",$O1305,-$O1305),0))</f>
        <v/>
      </c>
      <c r="AA1305" s="117">
        <f>IF($B1305="",0,IF(OR($W1305="EVET",$X1305="EVET",$Y1305="EVET"),0,IF($D1305="GELİR",IF($E1305="SATIŞ İADESİ/İSKONTO",-$O1305,$O1305),-$O1305)))</f>
        <v/>
      </c>
      <c r="AB1305" s="117">
        <f>IF($B1305="","",IF(OR($D1305="",$E1305="",$O1305=""),"EKSİK",IF($O1305&lt;=0,"SIFIR/NEGATİF",IF(COUNTIFS($C$6:$C$5000,$C1305,$O$6:$O$5000,$O1305,$B$6:$B$5000,$B1305)&gt;1,"MÜKERRER","OK"))))</f>
        <v/>
      </c>
    </row>
    <row r="1306" ht="16.5" customHeight="1" s="80">
      <c r="A1306" s="113" t="n"/>
      <c r="B1306" s="113" t="n"/>
      <c r="C1306" s="113" t="n"/>
      <c r="D1306" s="113" t="n"/>
      <c r="E1306" s="113" t="n"/>
      <c r="F1306" s="113" t="n"/>
      <c r="G1306" s="113" t="n"/>
      <c r="H1306" s="113" t="n"/>
      <c r="I1306" s="113" t="n"/>
      <c r="J1306" s="113" t="n"/>
      <c r="K1306" s="113" t="n"/>
      <c r="L1306" s="113" t="n"/>
      <c r="M1306" s="113" t="n"/>
      <c r="N1306" s="113" t="n"/>
      <c r="O1306" s="113" t="n"/>
      <c r="P1306" s="113" t="n"/>
      <c r="Q1306" s="113" t="n"/>
      <c r="R1306" s="113" t="n"/>
      <c r="S1306" s="113" t="n"/>
      <c r="T1306" s="113" t="n"/>
      <c r="U1306" s="113" t="n"/>
      <c r="V1306" s="113" t="n"/>
      <c r="W1306" s="113" t="n"/>
      <c r="X1306" s="113" t="n"/>
      <c r="Y1306" s="113" t="n"/>
      <c r="Z1306" s="117">
        <f>IF($B1306="",0,IF($S1306="EVET",IF($D1306="GELİR",$O1306,-$O1306),0))</f>
        <v/>
      </c>
      <c r="AA1306" s="117">
        <f>IF($B1306="",0,IF(OR($W1306="EVET",$X1306="EVET",$Y1306="EVET"),0,IF($D1306="GELİR",IF($E1306="SATIŞ İADESİ/İSKONTO",-$O1306,$O1306),-$O1306)))</f>
        <v/>
      </c>
      <c r="AB1306" s="117">
        <f>IF($B1306="","",IF(OR($D1306="",$E1306="",$O1306=""),"EKSİK",IF($O1306&lt;=0,"SIFIR/NEGATİF",IF(COUNTIFS($C$6:$C$5000,$C1306,$O$6:$O$5000,$O1306,$B$6:$B$5000,$B1306)&gt;1,"MÜKERRER","OK"))))</f>
        <v/>
      </c>
    </row>
    <row r="1307" ht="16.5" customHeight="1" s="80">
      <c r="A1307" s="113" t="n"/>
      <c r="B1307" s="113" t="n"/>
      <c r="C1307" s="113" t="n"/>
      <c r="D1307" s="113" t="n"/>
      <c r="E1307" s="113" t="n"/>
      <c r="F1307" s="113" t="n"/>
      <c r="G1307" s="113" t="n"/>
      <c r="H1307" s="113" t="n"/>
      <c r="I1307" s="113" t="n"/>
      <c r="J1307" s="113" t="n"/>
      <c r="K1307" s="113" t="n"/>
      <c r="L1307" s="113" t="n"/>
      <c r="M1307" s="113" t="n"/>
      <c r="N1307" s="113" t="n"/>
      <c r="O1307" s="113" t="n"/>
      <c r="P1307" s="113" t="n"/>
      <c r="Q1307" s="113" t="n"/>
      <c r="R1307" s="113" t="n"/>
      <c r="S1307" s="113" t="n"/>
      <c r="T1307" s="113" t="n"/>
      <c r="U1307" s="113" t="n"/>
      <c r="V1307" s="113" t="n"/>
      <c r="W1307" s="113" t="n"/>
      <c r="X1307" s="113" t="n"/>
      <c r="Y1307" s="113" t="n"/>
      <c r="Z1307" s="117">
        <f>IF($B1307="",0,IF($S1307="EVET",IF($D1307="GELİR",$O1307,-$O1307),0))</f>
        <v/>
      </c>
      <c r="AA1307" s="117">
        <f>IF($B1307="",0,IF(OR($W1307="EVET",$X1307="EVET",$Y1307="EVET"),0,IF($D1307="GELİR",IF($E1307="SATIŞ İADESİ/İSKONTO",-$O1307,$O1307),-$O1307)))</f>
        <v/>
      </c>
      <c r="AB1307" s="117">
        <f>IF($B1307="","",IF(OR($D1307="",$E1307="",$O1307=""),"EKSİK",IF($O1307&lt;=0,"SIFIR/NEGATİF",IF(COUNTIFS($C$6:$C$5000,$C1307,$O$6:$O$5000,$O1307,$B$6:$B$5000,$B1307)&gt;1,"MÜKERRER","OK"))))</f>
        <v/>
      </c>
    </row>
    <row r="1308" ht="16.5" customHeight="1" s="80">
      <c r="A1308" s="113" t="n"/>
      <c r="B1308" s="113" t="n"/>
      <c r="C1308" s="113" t="n"/>
      <c r="D1308" s="113" t="n"/>
      <c r="E1308" s="113" t="n"/>
      <c r="F1308" s="113" t="n"/>
      <c r="G1308" s="113" t="n"/>
      <c r="H1308" s="113" t="n"/>
      <c r="I1308" s="113" t="n"/>
      <c r="J1308" s="113" t="n"/>
      <c r="K1308" s="113" t="n"/>
      <c r="L1308" s="113" t="n"/>
      <c r="M1308" s="113" t="n"/>
      <c r="N1308" s="113" t="n"/>
      <c r="O1308" s="113" t="n"/>
      <c r="P1308" s="113" t="n"/>
      <c r="Q1308" s="113" t="n"/>
      <c r="R1308" s="113" t="n"/>
      <c r="S1308" s="113" t="n"/>
      <c r="T1308" s="113" t="n"/>
      <c r="U1308" s="113" t="n"/>
      <c r="V1308" s="113" t="n"/>
      <c r="W1308" s="113" t="n"/>
      <c r="X1308" s="113" t="n"/>
      <c r="Y1308" s="113" t="n"/>
      <c r="Z1308" s="117">
        <f>IF($B1308="",0,IF($S1308="EVET",IF($D1308="GELİR",$O1308,-$O1308),0))</f>
        <v/>
      </c>
      <c r="AA1308" s="117">
        <f>IF($B1308="",0,IF(OR($W1308="EVET",$X1308="EVET",$Y1308="EVET"),0,IF($D1308="GELİR",IF($E1308="SATIŞ İADESİ/İSKONTO",-$O1308,$O1308),-$O1308)))</f>
        <v/>
      </c>
      <c r="AB1308" s="117">
        <f>IF($B1308="","",IF(OR($D1308="",$E1308="",$O1308=""),"EKSİK",IF($O1308&lt;=0,"SIFIR/NEGATİF",IF(COUNTIFS($C$6:$C$5000,$C1308,$O$6:$O$5000,$O1308,$B$6:$B$5000,$B1308)&gt;1,"MÜKERRER","OK"))))</f>
        <v/>
      </c>
    </row>
    <row r="1309" ht="16.5" customHeight="1" s="80">
      <c r="A1309" s="113" t="n"/>
      <c r="B1309" s="113" t="n"/>
      <c r="C1309" s="113" t="n"/>
      <c r="D1309" s="113" t="n"/>
      <c r="E1309" s="113" t="n"/>
      <c r="F1309" s="113" t="n"/>
      <c r="G1309" s="113" t="n"/>
      <c r="H1309" s="113" t="n"/>
      <c r="I1309" s="113" t="n"/>
      <c r="J1309" s="113" t="n"/>
      <c r="K1309" s="113" t="n"/>
      <c r="L1309" s="113" t="n"/>
      <c r="M1309" s="113" t="n"/>
      <c r="N1309" s="113" t="n"/>
      <c r="O1309" s="113" t="n"/>
      <c r="P1309" s="113" t="n"/>
      <c r="Q1309" s="113" t="n"/>
      <c r="R1309" s="113" t="n"/>
      <c r="S1309" s="113" t="n"/>
      <c r="T1309" s="113" t="n"/>
      <c r="U1309" s="113" t="n"/>
      <c r="V1309" s="113" t="n"/>
      <c r="W1309" s="113" t="n"/>
      <c r="X1309" s="113" t="n"/>
      <c r="Y1309" s="113" t="n"/>
      <c r="Z1309" s="117">
        <f>IF($B1309="",0,IF($S1309="EVET",IF($D1309="GELİR",$O1309,-$O1309),0))</f>
        <v/>
      </c>
      <c r="AA1309" s="117">
        <f>IF($B1309="",0,IF(OR($W1309="EVET",$X1309="EVET",$Y1309="EVET"),0,IF($D1309="GELİR",IF($E1309="SATIŞ İADESİ/İSKONTO",-$O1309,$O1309),-$O1309)))</f>
        <v/>
      </c>
      <c r="AB1309" s="117">
        <f>IF($B1309="","",IF(OR($D1309="",$E1309="",$O1309=""),"EKSİK",IF($O1309&lt;=0,"SIFIR/NEGATİF",IF(COUNTIFS($C$6:$C$5000,$C1309,$O$6:$O$5000,$O1309,$B$6:$B$5000,$B1309)&gt;1,"MÜKERRER","OK"))))</f>
        <v/>
      </c>
    </row>
    <row r="1310" ht="16.5" customHeight="1" s="80">
      <c r="A1310" s="113" t="n"/>
      <c r="B1310" s="113" t="n"/>
      <c r="C1310" s="113" t="n"/>
      <c r="D1310" s="113" t="n"/>
      <c r="E1310" s="113" t="n"/>
      <c r="F1310" s="113" t="n"/>
      <c r="G1310" s="113" t="n"/>
      <c r="H1310" s="113" t="n"/>
      <c r="I1310" s="113" t="n"/>
      <c r="J1310" s="113" t="n"/>
      <c r="K1310" s="113" t="n"/>
      <c r="L1310" s="113" t="n"/>
      <c r="M1310" s="113" t="n"/>
      <c r="N1310" s="113" t="n"/>
      <c r="O1310" s="113" t="n"/>
      <c r="P1310" s="113" t="n"/>
      <c r="Q1310" s="113" t="n"/>
      <c r="R1310" s="113" t="n"/>
      <c r="S1310" s="113" t="n"/>
      <c r="T1310" s="113" t="n"/>
      <c r="U1310" s="113" t="n"/>
      <c r="V1310" s="113" t="n"/>
      <c r="W1310" s="113" t="n"/>
      <c r="X1310" s="113" t="n"/>
      <c r="Y1310" s="113" t="n"/>
      <c r="Z1310" s="117">
        <f>IF($B1310="",0,IF($S1310="EVET",IF($D1310="GELİR",$O1310,-$O1310),0))</f>
        <v/>
      </c>
      <c r="AA1310" s="117">
        <f>IF($B1310="",0,IF(OR($W1310="EVET",$X1310="EVET",$Y1310="EVET"),0,IF($D1310="GELİR",IF($E1310="SATIŞ İADESİ/İSKONTO",-$O1310,$O1310),-$O1310)))</f>
        <v/>
      </c>
      <c r="AB1310" s="117">
        <f>IF($B1310="","",IF(OR($D1310="",$E1310="",$O1310=""),"EKSİK",IF($O1310&lt;=0,"SIFIR/NEGATİF",IF(COUNTIFS($C$6:$C$5000,$C1310,$O$6:$O$5000,$O1310,$B$6:$B$5000,$B1310)&gt;1,"MÜKERRER","OK"))))</f>
        <v/>
      </c>
    </row>
    <row r="1311" ht="16.5" customHeight="1" s="80">
      <c r="A1311" s="113" t="n"/>
      <c r="B1311" s="113" t="n"/>
      <c r="C1311" s="113" t="n"/>
      <c r="D1311" s="113" t="n"/>
      <c r="E1311" s="113" t="n"/>
      <c r="F1311" s="113" t="n"/>
      <c r="G1311" s="113" t="n"/>
      <c r="H1311" s="113" t="n"/>
      <c r="I1311" s="113" t="n"/>
      <c r="J1311" s="113" t="n"/>
      <c r="K1311" s="113" t="n"/>
      <c r="L1311" s="113" t="n"/>
      <c r="M1311" s="113" t="n"/>
      <c r="N1311" s="113" t="n"/>
      <c r="O1311" s="113" t="n"/>
      <c r="P1311" s="113" t="n"/>
      <c r="Q1311" s="113" t="n"/>
      <c r="R1311" s="113" t="n"/>
      <c r="S1311" s="113" t="n"/>
      <c r="T1311" s="113" t="n"/>
      <c r="U1311" s="113" t="n"/>
      <c r="V1311" s="113" t="n"/>
      <c r="W1311" s="113" t="n"/>
      <c r="X1311" s="113" t="n"/>
      <c r="Y1311" s="113" t="n"/>
      <c r="Z1311" s="117">
        <f>IF($B1311="",0,IF($S1311="EVET",IF($D1311="GELİR",$O1311,-$O1311),0))</f>
        <v/>
      </c>
      <c r="AA1311" s="117">
        <f>IF($B1311="",0,IF(OR($W1311="EVET",$X1311="EVET",$Y1311="EVET"),0,IF($D1311="GELİR",IF($E1311="SATIŞ İADESİ/İSKONTO",-$O1311,$O1311),-$O1311)))</f>
        <v/>
      </c>
      <c r="AB1311" s="117">
        <f>IF($B1311="","",IF(OR($D1311="",$E1311="",$O1311=""),"EKSİK",IF($O1311&lt;=0,"SIFIR/NEGATİF",IF(COUNTIFS($C$6:$C$5000,$C1311,$O$6:$O$5000,$O1311,$B$6:$B$5000,$B1311)&gt;1,"MÜKERRER","OK"))))</f>
        <v/>
      </c>
    </row>
    <row r="1312" ht="16.5" customHeight="1" s="80">
      <c r="A1312" s="113" t="n"/>
      <c r="B1312" s="113" t="n"/>
      <c r="C1312" s="113" t="n"/>
      <c r="D1312" s="113" t="n"/>
      <c r="E1312" s="113" t="n"/>
      <c r="F1312" s="113" t="n"/>
      <c r="G1312" s="113" t="n"/>
      <c r="H1312" s="113" t="n"/>
      <c r="I1312" s="113" t="n"/>
      <c r="J1312" s="113" t="n"/>
      <c r="K1312" s="113" t="n"/>
      <c r="L1312" s="113" t="n"/>
      <c r="M1312" s="113" t="n"/>
      <c r="N1312" s="113" t="n"/>
      <c r="O1312" s="113" t="n"/>
      <c r="P1312" s="113" t="n"/>
      <c r="Q1312" s="113" t="n"/>
      <c r="R1312" s="113" t="n"/>
      <c r="S1312" s="113" t="n"/>
      <c r="T1312" s="113" t="n"/>
      <c r="U1312" s="113" t="n"/>
      <c r="V1312" s="113" t="n"/>
      <c r="W1312" s="113" t="n"/>
      <c r="X1312" s="113" t="n"/>
      <c r="Y1312" s="113" t="n"/>
      <c r="Z1312" s="117">
        <f>IF($B1312="",0,IF($S1312="EVET",IF($D1312="GELİR",$O1312,-$O1312),0))</f>
        <v/>
      </c>
      <c r="AA1312" s="117">
        <f>IF($B1312="",0,IF(OR($W1312="EVET",$X1312="EVET",$Y1312="EVET"),0,IF($D1312="GELİR",IF($E1312="SATIŞ İADESİ/İSKONTO",-$O1312,$O1312),-$O1312)))</f>
        <v/>
      </c>
      <c r="AB1312" s="117">
        <f>IF($B1312="","",IF(OR($D1312="",$E1312="",$O1312=""),"EKSİK",IF($O1312&lt;=0,"SIFIR/NEGATİF",IF(COUNTIFS($C$6:$C$5000,$C1312,$O$6:$O$5000,$O1312,$B$6:$B$5000,$B1312)&gt;1,"MÜKERRER","OK"))))</f>
        <v/>
      </c>
    </row>
    <row r="1313" ht="16.5" customHeight="1" s="80">
      <c r="A1313" s="113" t="n"/>
      <c r="B1313" s="113" t="n"/>
      <c r="C1313" s="113" t="n"/>
      <c r="D1313" s="113" t="n"/>
      <c r="E1313" s="113" t="n"/>
      <c r="F1313" s="113" t="n"/>
      <c r="G1313" s="113" t="n"/>
      <c r="H1313" s="113" t="n"/>
      <c r="I1313" s="113" t="n"/>
      <c r="J1313" s="113" t="n"/>
      <c r="K1313" s="113" t="n"/>
      <c r="L1313" s="113" t="n"/>
      <c r="M1313" s="113" t="n"/>
      <c r="N1313" s="113" t="n"/>
      <c r="O1313" s="113" t="n"/>
      <c r="P1313" s="113" t="n"/>
      <c r="Q1313" s="113" t="n"/>
      <c r="R1313" s="113" t="n"/>
      <c r="S1313" s="113" t="n"/>
      <c r="T1313" s="113" t="n"/>
      <c r="U1313" s="113" t="n"/>
      <c r="V1313" s="113" t="n"/>
      <c r="W1313" s="113" t="n"/>
      <c r="X1313" s="113" t="n"/>
      <c r="Y1313" s="113" t="n"/>
      <c r="Z1313" s="117">
        <f>IF($B1313="",0,IF($S1313="EVET",IF($D1313="GELİR",$O1313,-$O1313),0))</f>
        <v/>
      </c>
      <c r="AA1313" s="117">
        <f>IF($B1313="",0,IF(OR($W1313="EVET",$X1313="EVET",$Y1313="EVET"),0,IF($D1313="GELİR",IF($E1313="SATIŞ İADESİ/İSKONTO",-$O1313,$O1313),-$O1313)))</f>
        <v/>
      </c>
      <c r="AB1313" s="117">
        <f>IF($B1313="","",IF(OR($D1313="",$E1313="",$O1313=""),"EKSİK",IF($O1313&lt;=0,"SIFIR/NEGATİF",IF(COUNTIFS($C$6:$C$5000,$C1313,$O$6:$O$5000,$O1313,$B$6:$B$5000,$B1313)&gt;1,"MÜKERRER","OK"))))</f>
        <v/>
      </c>
    </row>
    <row r="1314" ht="16.5" customHeight="1" s="80">
      <c r="A1314" s="113" t="n"/>
      <c r="B1314" s="113" t="n"/>
      <c r="C1314" s="113" t="n"/>
      <c r="D1314" s="113" t="n"/>
      <c r="E1314" s="113" t="n"/>
      <c r="F1314" s="113" t="n"/>
      <c r="G1314" s="113" t="n"/>
      <c r="H1314" s="113" t="n"/>
      <c r="I1314" s="113" t="n"/>
      <c r="J1314" s="113" t="n"/>
      <c r="K1314" s="113" t="n"/>
      <c r="L1314" s="113" t="n"/>
      <c r="M1314" s="113" t="n"/>
      <c r="N1314" s="113" t="n"/>
      <c r="O1314" s="113" t="n"/>
      <c r="P1314" s="113" t="n"/>
      <c r="Q1314" s="113" t="n"/>
      <c r="R1314" s="113" t="n"/>
      <c r="S1314" s="113" t="n"/>
      <c r="T1314" s="113" t="n"/>
      <c r="U1314" s="113" t="n"/>
      <c r="V1314" s="113" t="n"/>
      <c r="W1314" s="113" t="n"/>
      <c r="X1314" s="113" t="n"/>
      <c r="Y1314" s="113" t="n"/>
      <c r="Z1314" s="117">
        <f>IF($B1314="",0,IF($S1314="EVET",IF($D1314="GELİR",$O1314,-$O1314),0))</f>
        <v/>
      </c>
      <c r="AA1314" s="117">
        <f>IF($B1314="",0,IF(OR($W1314="EVET",$X1314="EVET",$Y1314="EVET"),0,IF($D1314="GELİR",IF($E1314="SATIŞ İADESİ/İSKONTO",-$O1314,$O1314),-$O1314)))</f>
        <v/>
      </c>
      <c r="AB1314" s="117">
        <f>IF($B1314="","",IF(OR($D1314="",$E1314="",$O1314=""),"EKSİK",IF($O1314&lt;=0,"SIFIR/NEGATİF",IF(COUNTIFS($C$6:$C$5000,$C1314,$O$6:$O$5000,$O1314,$B$6:$B$5000,$B1314)&gt;1,"MÜKERRER","OK"))))</f>
        <v/>
      </c>
    </row>
    <row r="1315" ht="16.5" customHeight="1" s="80">
      <c r="A1315" s="113" t="n"/>
      <c r="B1315" s="113" t="n"/>
      <c r="C1315" s="113" t="n"/>
      <c r="D1315" s="113" t="n"/>
      <c r="E1315" s="113" t="n"/>
      <c r="F1315" s="113" t="n"/>
      <c r="G1315" s="113" t="n"/>
      <c r="H1315" s="113" t="n"/>
      <c r="I1315" s="113" t="n"/>
      <c r="J1315" s="113" t="n"/>
      <c r="K1315" s="113" t="n"/>
      <c r="L1315" s="113" t="n"/>
      <c r="M1315" s="113" t="n"/>
      <c r="N1315" s="113" t="n"/>
      <c r="O1315" s="113" t="n"/>
      <c r="P1315" s="113" t="n"/>
      <c r="Q1315" s="113" t="n"/>
      <c r="R1315" s="113" t="n"/>
      <c r="S1315" s="113" t="n"/>
      <c r="T1315" s="113" t="n"/>
      <c r="U1315" s="113" t="n"/>
      <c r="V1315" s="113" t="n"/>
      <c r="W1315" s="113" t="n"/>
      <c r="X1315" s="113" t="n"/>
      <c r="Y1315" s="113" t="n"/>
      <c r="Z1315" s="117">
        <f>IF($B1315="",0,IF($S1315="EVET",IF($D1315="GELİR",$O1315,-$O1315),0))</f>
        <v/>
      </c>
      <c r="AA1315" s="117">
        <f>IF($B1315="",0,IF(OR($W1315="EVET",$X1315="EVET",$Y1315="EVET"),0,IF($D1315="GELİR",IF($E1315="SATIŞ İADESİ/İSKONTO",-$O1315,$O1315),-$O1315)))</f>
        <v/>
      </c>
      <c r="AB1315" s="117">
        <f>IF($B1315="","",IF(OR($D1315="",$E1315="",$O1315=""),"EKSİK",IF($O1315&lt;=0,"SIFIR/NEGATİF",IF(COUNTIFS($C$6:$C$5000,$C1315,$O$6:$O$5000,$O1315,$B$6:$B$5000,$B1315)&gt;1,"MÜKERRER","OK"))))</f>
        <v/>
      </c>
    </row>
    <row r="1316" ht="16.5" customHeight="1" s="80">
      <c r="A1316" s="113" t="n"/>
      <c r="B1316" s="113" t="n"/>
      <c r="C1316" s="113" t="n"/>
      <c r="D1316" s="113" t="n"/>
      <c r="E1316" s="113" t="n"/>
      <c r="F1316" s="113" t="n"/>
      <c r="G1316" s="113" t="n"/>
      <c r="H1316" s="113" t="n"/>
      <c r="I1316" s="113" t="n"/>
      <c r="J1316" s="113" t="n"/>
      <c r="K1316" s="113" t="n"/>
      <c r="L1316" s="113" t="n"/>
      <c r="M1316" s="113" t="n"/>
      <c r="N1316" s="113" t="n"/>
      <c r="O1316" s="113" t="n"/>
      <c r="P1316" s="113" t="n"/>
      <c r="Q1316" s="113" t="n"/>
      <c r="R1316" s="113" t="n"/>
      <c r="S1316" s="113" t="n"/>
      <c r="T1316" s="113" t="n"/>
      <c r="U1316" s="113" t="n"/>
      <c r="V1316" s="113" t="n"/>
      <c r="W1316" s="113" t="n"/>
      <c r="X1316" s="113" t="n"/>
      <c r="Y1316" s="113" t="n"/>
      <c r="Z1316" s="117">
        <f>IF($B1316="",0,IF($S1316="EVET",IF($D1316="GELİR",$O1316,-$O1316),0))</f>
        <v/>
      </c>
      <c r="AA1316" s="117">
        <f>IF($B1316="",0,IF(OR($W1316="EVET",$X1316="EVET",$Y1316="EVET"),0,IF($D1316="GELİR",IF($E1316="SATIŞ İADESİ/İSKONTO",-$O1316,$O1316),-$O1316)))</f>
        <v/>
      </c>
      <c r="AB1316" s="117">
        <f>IF($B1316="","",IF(OR($D1316="",$E1316="",$O1316=""),"EKSİK",IF($O1316&lt;=0,"SIFIR/NEGATİF",IF(COUNTIFS($C$6:$C$5000,$C1316,$O$6:$O$5000,$O1316,$B$6:$B$5000,$B1316)&gt;1,"MÜKERRER","OK"))))</f>
        <v/>
      </c>
    </row>
    <row r="1317" ht="16.5" customHeight="1" s="80">
      <c r="A1317" s="113" t="n"/>
      <c r="B1317" s="113" t="n"/>
      <c r="C1317" s="113" t="n"/>
      <c r="D1317" s="113" t="n"/>
      <c r="E1317" s="113" t="n"/>
      <c r="F1317" s="113" t="n"/>
      <c r="G1317" s="113" t="n"/>
      <c r="H1317" s="113" t="n"/>
      <c r="I1317" s="113" t="n"/>
      <c r="J1317" s="113" t="n"/>
      <c r="K1317" s="113" t="n"/>
      <c r="L1317" s="113" t="n"/>
      <c r="M1317" s="113" t="n"/>
      <c r="N1317" s="113" t="n"/>
      <c r="O1317" s="113" t="n"/>
      <c r="P1317" s="113" t="n"/>
      <c r="Q1317" s="113" t="n"/>
      <c r="R1317" s="113" t="n"/>
      <c r="S1317" s="113" t="n"/>
      <c r="T1317" s="113" t="n"/>
      <c r="U1317" s="113" t="n"/>
      <c r="V1317" s="113" t="n"/>
      <c r="W1317" s="113" t="n"/>
      <c r="X1317" s="113" t="n"/>
      <c r="Y1317" s="113" t="n"/>
      <c r="Z1317" s="117">
        <f>IF($B1317="",0,IF($S1317="EVET",IF($D1317="GELİR",$O1317,-$O1317),0))</f>
        <v/>
      </c>
      <c r="AA1317" s="117">
        <f>IF($B1317="",0,IF(OR($W1317="EVET",$X1317="EVET",$Y1317="EVET"),0,IF($D1317="GELİR",IF($E1317="SATIŞ İADESİ/İSKONTO",-$O1317,$O1317),-$O1317)))</f>
        <v/>
      </c>
      <c r="AB1317" s="117">
        <f>IF($B1317="","",IF(OR($D1317="",$E1317="",$O1317=""),"EKSİK",IF($O1317&lt;=0,"SIFIR/NEGATİF",IF(COUNTIFS($C$6:$C$5000,$C1317,$O$6:$O$5000,$O1317,$B$6:$B$5000,$B1317)&gt;1,"MÜKERRER","OK"))))</f>
        <v/>
      </c>
    </row>
    <row r="1318" ht="16.5" customHeight="1" s="80">
      <c r="A1318" s="113" t="n"/>
      <c r="B1318" s="113" t="n"/>
      <c r="C1318" s="113" t="n"/>
      <c r="D1318" s="113" t="n"/>
      <c r="E1318" s="113" t="n"/>
      <c r="F1318" s="113" t="n"/>
      <c r="G1318" s="113" t="n"/>
      <c r="H1318" s="113" t="n"/>
      <c r="I1318" s="113" t="n"/>
      <c r="J1318" s="113" t="n"/>
      <c r="K1318" s="113" t="n"/>
      <c r="L1318" s="113" t="n"/>
      <c r="M1318" s="113" t="n"/>
      <c r="N1318" s="113" t="n"/>
      <c r="O1318" s="113" t="n"/>
      <c r="P1318" s="113" t="n"/>
      <c r="Q1318" s="113" t="n"/>
      <c r="R1318" s="113" t="n"/>
      <c r="S1318" s="113" t="n"/>
      <c r="T1318" s="113" t="n"/>
      <c r="U1318" s="113" t="n"/>
      <c r="V1318" s="113" t="n"/>
      <c r="W1318" s="113" t="n"/>
      <c r="X1318" s="113" t="n"/>
      <c r="Y1318" s="113" t="n"/>
      <c r="Z1318" s="117">
        <f>IF($B1318="",0,IF($S1318="EVET",IF($D1318="GELİR",$O1318,-$O1318),0))</f>
        <v/>
      </c>
      <c r="AA1318" s="117">
        <f>IF($B1318="",0,IF(OR($W1318="EVET",$X1318="EVET",$Y1318="EVET"),0,IF($D1318="GELİR",IF($E1318="SATIŞ İADESİ/İSKONTO",-$O1318,$O1318),-$O1318)))</f>
        <v/>
      </c>
      <c r="AB1318" s="117">
        <f>IF($B1318="","",IF(OR($D1318="",$E1318="",$O1318=""),"EKSİK",IF($O1318&lt;=0,"SIFIR/NEGATİF",IF(COUNTIFS($C$6:$C$5000,$C1318,$O$6:$O$5000,$O1318,$B$6:$B$5000,$B1318)&gt;1,"MÜKERRER","OK"))))</f>
        <v/>
      </c>
    </row>
    <row r="1319" ht="16.5" customHeight="1" s="80">
      <c r="A1319" s="113" t="n"/>
      <c r="B1319" s="113" t="n"/>
      <c r="C1319" s="113" t="n"/>
      <c r="D1319" s="113" t="n"/>
      <c r="E1319" s="113" t="n"/>
      <c r="F1319" s="113" t="n"/>
      <c r="G1319" s="113" t="n"/>
      <c r="H1319" s="113" t="n"/>
      <c r="I1319" s="113" t="n"/>
      <c r="J1319" s="113" t="n"/>
      <c r="K1319" s="113" t="n"/>
      <c r="L1319" s="113" t="n"/>
      <c r="M1319" s="113" t="n"/>
      <c r="N1319" s="113" t="n"/>
      <c r="O1319" s="113" t="n"/>
      <c r="P1319" s="113" t="n"/>
      <c r="Q1319" s="113" t="n"/>
      <c r="R1319" s="113" t="n"/>
      <c r="S1319" s="113" t="n"/>
      <c r="T1319" s="113" t="n"/>
      <c r="U1319" s="113" t="n"/>
      <c r="V1319" s="113" t="n"/>
      <c r="W1319" s="113" t="n"/>
      <c r="X1319" s="113" t="n"/>
      <c r="Y1319" s="113" t="n"/>
      <c r="Z1319" s="117">
        <f>IF($B1319="",0,IF($S1319="EVET",IF($D1319="GELİR",$O1319,-$O1319),0))</f>
        <v/>
      </c>
      <c r="AA1319" s="117">
        <f>IF($B1319="",0,IF(OR($W1319="EVET",$X1319="EVET",$Y1319="EVET"),0,IF($D1319="GELİR",IF($E1319="SATIŞ İADESİ/İSKONTO",-$O1319,$O1319),-$O1319)))</f>
        <v/>
      </c>
      <c r="AB1319" s="117">
        <f>IF($B1319="","",IF(OR($D1319="",$E1319="",$O1319=""),"EKSİK",IF($O1319&lt;=0,"SIFIR/NEGATİF",IF(COUNTIFS($C$6:$C$5000,$C1319,$O$6:$O$5000,$O1319,$B$6:$B$5000,$B1319)&gt;1,"MÜKERRER","OK"))))</f>
        <v/>
      </c>
    </row>
    <row r="1320" ht="16.5" customHeight="1" s="80">
      <c r="A1320" s="113" t="n"/>
      <c r="B1320" s="113" t="n"/>
      <c r="C1320" s="113" t="n"/>
      <c r="D1320" s="113" t="n"/>
      <c r="E1320" s="113" t="n"/>
      <c r="F1320" s="113" t="n"/>
      <c r="G1320" s="113" t="n"/>
      <c r="H1320" s="113" t="n"/>
      <c r="I1320" s="113" t="n"/>
      <c r="J1320" s="113" t="n"/>
      <c r="K1320" s="113" t="n"/>
      <c r="L1320" s="113" t="n"/>
      <c r="M1320" s="113" t="n"/>
      <c r="N1320" s="113" t="n"/>
      <c r="O1320" s="113" t="n"/>
      <c r="P1320" s="113" t="n"/>
      <c r="Q1320" s="113" t="n"/>
      <c r="R1320" s="113" t="n"/>
      <c r="S1320" s="113" t="n"/>
      <c r="T1320" s="113" t="n"/>
      <c r="U1320" s="113" t="n"/>
      <c r="V1320" s="113" t="n"/>
      <c r="W1320" s="113" t="n"/>
      <c r="X1320" s="113" t="n"/>
      <c r="Y1320" s="113" t="n"/>
      <c r="Z1320" s="117">
        <f>IF($B1320="",0,IF($S1320="EVET",IF($D1320="GELİR",$O1320,-$O1320),0))</f>
        <v/>
      </c>
      <c r="AA1320" s="117">
        <f>IF($B1320="",0,IF(OR($W1320="EVET",$X1320="EVET",$Y1320="EVET"),0,IF($D1320="GELİR",IF($E1320="SATIŞ İADESİ/İSKONTO",-$O1320,$O1320),-$O1320)))</f>
        <v/>
      </c>
      <c r="AB1320" s="117">
        <f>IF($B1320="","",IF(OR($D1320="",$E1320="",$O1320=""),"EKSİK",IF($O1320&lt;=0,"SIFIR/NEGATİF",IF(COUNTIFS($C$6:$C$5000,$C1320,$O$6:$O$5000,$O1320,$B$6:$B$5000,$B1320)&gt;1,"MÜKERRER","OK"))))</f>
        <v/>
      </c>
    </row>
    <row r="1321" ht="16.5" customHeight="1" s="80">
      <c r="A1321" s="113" t="n"/>
      <c r="B1321" s="113" t="n"/>
      <c r="C1321" s="113" t="n"/>
      <c r="D1321" s="113" t="n"/>
      <c r="E1321" s="113" t="n"/>
      <c r="F1321" s="113" t="n"/>
      <c r="G1321" s="113" t="n"/>
      <c r="H1321" s="113" t="n"/>
      <c r="I1321" s="113" t="n"/>
      <c r="J1321" s="113" t="n"/>
      <c r="K1321" s="113" t="n"/>
      <c r="L1321" s="113" t="n"/>
      <c r="M1321" s="113" t="n"/>
      <c r="N1321" s="113" t="n"/>
      <c r="O1321" s="113" t="n"/>
      <c r="P1321" s="113" t="n"/>
      <c r="Q1321" s="113" t="n"/>
      <c r="R1321" s="113" t="n"/>
      <c r="S1321" s="113" t="n"/>
      <c r="T1321" s="113" t="n"/>
      <c r="U1321" s="113" t="n"/>
      <c r="V1321" s="113" t="n"/>
      <c r="W1321" s="113" t="n"/>
      <c r="X1321" s="113" t="n"/>
      <c r="Y1321" s="113" t="n"/>
      <c r="Z1321" s="117">
        <f>IF($B1321="",0,IF($S1321="EVET",IF($D1321="GELİR",$O1321,-$O1321),0))</f>
        <v/>
      </c>
      <c r="AA1321" s="117">
        <f>IF($B1321="",0,IF(OR($W1321="EVET",$X1321="EVET",$Y1321="EVET"),0,IF($D1321="GELİR",IF($E1321="SATIŞ İADESİ/İSKONTO",-$O1321,$O1321),-$O1321)))</f>
        <v/>
      </c>
      <c r="AB1321" s="117">
        <f>IF($B1321="","",IF(OR($D1321="",$E1321="",$O1321=""),"EKSİK",IF($O1321&lt;=0,"SIFIR/NEGATİF",IF(COUNTIFS($C$6:$C$5000,$C1321,$O$6:$O$5000,$O1321,$B$6:$B$5000,$B1321)&gt;1,"MÜKERRER","OK"))))</f>
        <v/>
      </c>
    </row>
    <row r="1322" ht="16.5" customHeight="1" s="80">
      <c r="A1322" s="113" t="n"/>
      <c r="B1322" s="113" t="n"/>
      <c r="C1322" s="113" t="n"/>
      <c r="D1322" s="113" t="n"/>
      <c r="E1322" s="113" t="n"/>
      <c r="F1322" s="113" t="n"/>
      <c r="G1322" s="113" t="n"/>
      <c r="H1322" s="113" t="n"/>
      <c r="I1322" s="113" t="n"/>
      <c r="J1322" s="113" t="n"/>
      <c r="K1322" s="113" t="n"/>
      <c r="L1322" s="113" t="n"/>
      <c r="M1322" s="113" t="n"/>
      <c r="N1322" s="113" t="n"/>
      <c r="O1322" s="113" t="n"/>
      <c r="P1322" s="113" t="n"/>
      <c r="Q1322" s="113" t="n"/>
      <c r="R1322" s="113" t="n"/>
      <c r="S1322" s="113" t="n"/>
      <c r="T1322" s="113" t="n"/>
      <c r="U1322" s="113" t="n"/>
      <c r="V1322" s="113" t="n"/>
      <c r="W1322" s="113" t="n"/>
      <c r="X1322" s="113" t="n"/>
      <c r="Y1322" s="113" t="n"/>
      <c r="Z1322" s="117">
        <f>IF($B1322="",0,IF($S1322="EVET",IF($D1322="GELİR",$O1322,-$O1322),0))</f>
        <v/>
      </c>
      <c r="AA1322" s="117">
        <f>IF($B1322="",0,IF(OR($W1322="EVET",$X1322="EVET",$Y1322="EVET"),0,IF($D1322="GELİR",IF($E1322="SATIŞ İADESİ/İSKONTO",-$O1322,$O1322),-$O1322)))</f>
        <v/>
      </c>
      <c r="AB1322" s="117">
        <f>IF($B1322="","",IF(OR($D1322="",$E1322="",$O1322=""),"EKSİK",IF($O1322&lt;=0,"SIFIR/NEGATİF",IF(COUNTIFS($C$6:$C$5000,$C1322,$O$6:$O$5000,$O1322,$B$6:$B$5000,$B1322)&gt;1,"MÜKERRER","OK"))))</f>
        <v/>
      </c>
    </row>
    <row r="1323" ht="16.5" customHeight="1" s="80">
      <c r="A1323" s="113" t="n"/>
      <c r="B1323" s="113" t="n"/>
      <c r="C1323" s="113" t="n"/>
      <c r="D1323" s="113" t="n"/>
      <c r="E1323" s="113" t="n"/>
      <c r="F1323" s="113" t="n"/>
      <c r="G1323" s="113" t="n"/>
      <c r="H1323" s="113" t="n"/>
      <c r="I1323" s="113" t="n"/>
      <c r="J1323" s="113" t="n"/>
      <c r="K1323" s="113" t="n"/>
      <c r="L1323" s="113" t="n"/>
      <c r="M1323" s="113" t="n"/>
      <c r="N1323" s="113" t="n"/>
      <c r="O1323" s="113" t="n"/>
      <c r="P1323" s="113" t="n"/>
      <c r="Q1323" s="113" t="n"/>
      <c r="R1323" s="113" t="n"/>
      <c r="S1323" s="113" t="n"/>
      <c r="T1323" s="113" t="n"/>
      <c r="U1323" s="113" t="n"/>
      <c r="V1323" s="113" t="n"/>
      <c r="W1323" s="113" t="n"/>
      <c r="X1323" s="113" t="n"/>
      <c r="Y1323" s="113" t="n"/>
      <c r="Z1323" s="117">
        <f>IF($B1323="",0,IF($S1323="EVET",IF($D1323="GELİR",$O1323,-$O1323),0))</f>
        <v/>
      </c>
      <c r="AA1323" s="117">
        <f>IF($B1323="",0,IF(OR($W1323="EVET",$X1323="EVET",$Y1323="EVET"),0,IF($D1323="GELİR",IF($E1323="SATIŞ İADESİ/İSKONTO",-$O1323,$O1323),-$O1323)))</f>
        <v/>
      </c>
      <c r="AB1323" s="117">
        <f>IF($B1323="","",IF(OR($D1323="",$E1323="",$O1323=""),"EKSİK",IF($O1323&lt;=0,"SIFIR/NEGATİF",IF(COUNTIFS($C$6:$C$5000,$C1323,$O$6:$O$5000,$O1323,$B$6:$B$5000,$B1323)&gt;1,"MÜKERRER","OK"))))</f>
        <v/>
      </c>
    </row>
    <row r="1324" ht="16.5" customHeight="1" s="80">
      <c r="A1324" s="113" t="n"/>
      <c r="B1324" s="113" t="n"/>
      <c r="C1324" s="113" t="n"/>
      <c r="D1324" s="113" t="n"/>
      <c r="E1324" s="113" t="n"/>
      <c r="F1324" s="113" t="n"/>
      <c r="G1324" s="113" t="n"/>
      <c r="H1324" s="113" t="n"/>
      <c r="I1324" s="113" t="n"/>
      <c r="J1324" s="113" t="n"/>
      <c r="K1324" s="113" t="n"/>
      <c r="L1324" s="113" t="n"/>
      <c r="M1324" s="113" t="n"/>
      <c r="N1324" s="113" t="n"/>
      <c r="O1324" s="113" t="n"/>
      <c r="P1324" s="113" t="n"/>
      <c r="Q1324" s="113" t="n"/>
      <c r="R1324" s="113" t="n"/>
      <c r="S1324" s="113" t="n"/>
      <c r="T1324" s="113" t="n"/>
      <c r="U1324" s="113" t="n"/>
      <c r="V1324" s="113" t="n"/>
      <c r="W1324" s="113" t="n"/>
      <c r="X1324" s="113" t="n"/>
      <c r="Y1324" s="113" t="n"/>
      <c r="Z1324" s="117">
        <f>IF($B1324="",0,IF($S1324="EVET",IF($D1324="GELİR",$O1324,-$O1324),0))</f>
        <v/>
      </c>
      <c r="AA1324" s="117">
        <f>IF($B1324="",0,IF(OR($W1324="EVET",$X1324="EVET",$Y1324="EVET"),0,IF($D1324="GELİR",IF($E1324="SATIŞ İADESİ/İSKONTO",-$O1324,$O1324),-$O1324)))</f>
        <v/>
      </c>
      <c r="AB1324" s="117">
        <f>IF($B1324="","",IF(OR($D1324="",$E1324="",$O1324=""),"EKSİK",IF($O1324&lt;=0,"SIFIR/NEGATİF",IF(COUNTIFS($C$6:$C$5000,$C1324,$O$6:$O$5000,$O1324,$B$6:$B$5000,$B1324)&gt;1,"MÜKERRER","OK"))))</f>
        <v/>
      </c>
    </row>
    <row r="1325" ht="16.5" customHeight="1" s="80">
      <c r="A1325" s="113" t="n"/>
      <c r="B1325" s="113" t="n"/>
      <c r="C1325" s="113" t="n"/>
      <c r="D1325" s="113" t="n"/>
      <c r="E1325" s="113" t="n"/>
      <c r="F1325" s="113" t="n"/>
      <c r="G1325" s="113" t="n"/>
      <c r="H1325" s="113" t="n"/>
      <c r="I1325" s="113" t="n"/>
      <c r="J1325" s="113" t="n"/>
      <c r="K1325" s="113" t="n"/>
      <c r="L1325" s="113" t="n"/>
      <c r="M1325" s="113" t="n"/>
      <c r="N1325" s="113" t="n"/>
      <c r="O1325" s="113" t="n"/>
      <c r="P1325" s="113" t="n"/>
      <c r="Q1325" s="113" t="n"/>
      <c r="R1325" s="113" t="n"/>
      <c r="S1325" s="113" t="n"/>
      <c r="T1325" s="113" t="n"/>
      <c r="U1325" s="113" t="n"/>
      <c r="V1325" s="113" t="n"/>
      <c r="W1325" s="113" t="n"/>
      <c r="X1325" s="113" t="n"/>
      <c r="Y1325" s="113" t="n"/>
      <c r="Z1325" s="117">
        <f>IF($B1325="",0,IF($S1325="EVET",IF($D1325="GELİR",$O1325,-$O1325),0))</f>
        <v/>
      </c>
      <c r="AA1325" s="117">
        <f>IF($B1325="",0,IF(OR($W1325="EVET",$X1325="EVET",$Y1325="EVET"),0,IF($D1325="GELİR",IF($E1325="SATIŞ İADESİ/İSKONTO",-$O1325,$O1325),-$O1325)))</f>
        <v/>
      </c>
      <c r="AB1325" s="117">
        <f>IF($B1325="","",IF(OR($D1325="",$E1325="",$O1325=""),"EKSİK",IF($O1325&lt;=0,"SIFIR/NEGATİF",IF(COUNTIFS($C$6:$C$5000,$C1325,$O$6:$O$5000,$O1325,$B$6:$B$5000,$B1325)&gt;1,"MÜKERRER","OK"))))</f>
        <v/>
      </c>
    </row>
    <row r="1326" ht="16.5" customHeight="1" s="80">
      <c r="A1326" s="113" t="n"/>
      <c r="B1326" s="113" t="n"/>
      <c r="C1326" s="113" t="n"/>
      <c r="D1326" s="113" t="n"/>
      <c r="E1326" s="113" t="n"/>
      <c r="F1326" s="113" t="n"/>
      <c r="G1326" s="113" t="n"/>
      <c r="H1326" s="113" t="n"/>
      <c r="I1326" s="113" t="n"/>
      <c r="J1326" s="113" t="n"/>
      <c r="K1326" s="113" t="n"/>
      <c r="L1326" s="113" t="n"/>
      <c r="M1326" s="113" t="n"/>
      <c r="N1326" s="113" t="n"/>
      <c r="O1326" s="113" t="n"/>
      <c r="P1326" s="113" t="n"/>
      <c r="Q1326" s="113" t="n"/>
      <c r="R1326" s="113" t="n"/>
      <c r="S1326" s="113" t="n"/>
      <c r="T1326" s="113" t="n"/>
      <c r="U1326" s="113" t="n"/>
      <c r="V1326" s="113" t="n"/>
      <c r="W1326" s="113" t="n"/>
      <c r="X1326" s="113" t="n"/>
      <c r="Y1326" s="113" t="n"/>
      <c r="Z1326" s="117">
        <f>IF($B1326="",0,IF($S1326="EVET",IF($D1326="GELİR",$O1326,-$O1326),0))</f>
        <v/>
      </c>
      <c r="AA1326" s="117">
        <f>IF($B1326="",0,IF(OR($W1326="EVET",$X1326="EVET",$Y1326="EVET"),0,IF($D1326="GELİR",IF($E1326="SATIŞ İADESİ/İSKONTO",-$O1326,$O1326),-$O1326)))</f>
        <v/>
      </c>
      <c r="AB1326" s="117">
        <f>IF($B1326="","",IF(OR($D1326="",$E1326="",$O1326=""),"EKSİK",IF($O1326&lt;=0,"SIFIR/NEGATİF",IF(COUNTIFS($C$6:$C$5000,$C1326,$O$6:$O$5000,$O1326,$B$6:$B$5000,$B1326)&gt;1,"MÜKERRER","OK"))))</f>
        <v/>
      </c>
    </row>
    <row r="1327" ht="16.5" customHeight="1" s="80">
      <c r="A1327" s="113" t="n"/>
      <c r="B1327" s="113" t="n"/>
      <c r="C1327" s="113" t="n"/>
      <c r="D1327" s="113" t="n"/>
      <c r="E1327" s="113" t="n"/>
      <c r="F1327" s="113" t="n"/>
      <c r="G1327" s="113" t="n"/>
      <c r="H1327" s="113" t="n"/>
      <c r="I1327" s="113" t="n"/>
      <c r="J1327" s="113" t="n"/>
      <c r="K1327" s="113" t="n"/>
      <c r="L1327" s="113" t="n"/>
      <c r="M1327" s="113" t="n"/>
      <c r="N1327" s="113" t="n"/>
      <c r="O1327" s="113" t="n"/>
      <c r="P1327" s="113" t="n"/>
      <c r="Q1327" s="113" t="n"/>
      <c r="R1327" s="113" t="n"/>
      <c r="S1327" s="113" t="n"/>
      <c r="T1327" s="113" t="n"/>
      <c r="U1327" s="113" t="n"/>
      <c r="V1327" s="113" t="n"/>
      <c r="W1327" s="113" t="n"/>
      <c r="X1327" s="113" t="n"/>
      <c r="Y1327" s="113" t="n"/>
      <c r="Z1327" s="117">
        <f>IF($B1327="",0,IF($S1327="EVET",IF($D1327="GELİR",$O1327,-$O1327),0))</f>
        <v/>
      </c>
      <c r="AA1327" s="117">
        <f>IF($B1327="",0,IF(OR($W1327="EVET",$X1327="EVET",$Y1327="EVET"),0,IF($D1327="GELİR",IF($E1327="SATIŞ İADESİ/İSKONTO",-$O1327,$O1327),-$O1327)))</f>
        <v/>
      </c>
      <c r="AB1327" s="117">
        <f>IF($B1327="","",IF(OR($D1327="",$E1327="",$O1327=""),"EKSİK",IF($O1327&lt;=0,"SIFIR/NEGATİF",IF(COUNTIFS($C$6:$C$5000,$C1327,$O$6:$O$5000,$O1327,$B$6:$B$5000,$B1327)&gt;1,"MÜKERRER","OK"))))</f>
        <v/>
      </c>
    </row>
    <row r="1328" ht="16.5" customHeight="1" s="80">
      <c r="A1328" s="113" t="n"/>
      <c r="B1328" s="113" t="n"/>
      <c r="C1328" s="113" t="n"/>
      <c r="D1328" s="113" t="n"/>
      <c r="E1328" s="113" t="n"/>
      <c r="F1328" s="113" t="n"/>
      <c r="G1328" s="113" t="n"/>
      <c r="H1328" s="113" t="n"/>
      <c r="I1328" s="113" t="n"/>
      <c r="J1328" s="113" t="n"/>
      <c r="K1328" s="113" t="n"/>
      <c r="L1328" s="113" t="n"/>
      <c r="M1328" s="113" t="n"/>
      <c r="N1328" s="113" t="n"/>
      <c r="O1328" s="113" t="n"/>
      <c r="P1328" s="113" t="n"/>
      <c r="Q1328" s="113" t="n"/>
      <c r="R1328" s="113" t="n"/>
      <c r="S1328" s="113" t="n"/>
      <c r="T1328" s="113" t="n"/>
      <c r="U1328" s="113" t="n"/>
      <c r="V1328" s="113" t="n"/>
      <c r="W1328" s="113" t="n"/>
      <c r="X1328" s="113" t="n"/>
      <c r="Y1328" s="113" t="n"/>
      <c r="Z1328" s="117">
        <f>IF($B1328="",0,IF($S1328="EVET",IF($D1328="GELİR",$O1328,-$O1328),0))</f>
        <v/>
      </c>
      <c r="AA1328" s="117">
        <f>IF($B1328="",0,IF(OR($W1328="EVET",$X1328="EVET",$Y1328="EVET"),0,IF($D1328="GELİR",IF($E1328="SATIŞ İADESİ/İSKONTO",-$O1328,$O1328),-$O1328)))</f>
        <v/>
      </c>
      <c r="AB1328" s="117">
        <f>IF($B1328="","",IF(OR($D1328="",$E1328="",$O1328=""),"EKSİK",IF($O1328&lt;=0,"SIFIR/NEGATİF",IF(COUNTIFS($C$6:$C$5000,$C1328,$O$6:$O$5000,$O1328,$B$6:$B$5000,$B1328)&gt;1,"MÜKERRER","OK"))))</f>
        <v/>
      </c>
    </row>
    <row r="1329" ht="16.5" customHeight="1" s="80">
      <c r="A1329" s="113" t="n"/>
      <c r="B1329" s="113" t="n"/>
      <c r="C1329" s="113" t="n"/>
      <c r="D1329" s="113" t="n"/>
      <c r="E1329" s="113" t="n"/>
      <c r="F1329" s="113" t="n"/>
      <c r="G1329" s="113" t="n"/>
      <c r="H1329" s="113" t="n"/>
      <c r="I1329" s="113" t="n"/>
      <c r="J1329" s="113" t="n"/>
      <c r="K1329" s="113" t="n"/>
      <c r="L1329" s="113" t="n"/>
      <c r="M1329" s="113" t="n"/>
      <c r="N1329" s="113" t="n"/>
      <c r="O1329" s="113" t="n"/>
      <c r="P1329" s="113" t="n"/>
      <c r="Q1329" s="113" t="n"/>
      <c r="R1329" s="113" t="n"/>
      <c r="S1329" s="113" t="n"/>
      <c r="T1329" s="113" t="n"/>
      <c r="U1329" s="113" t="n"/>
      <c r="V1329" s="113" t="n"/>
      <c r="W1329" s="113" t="n"/>
      <c r="X1329" s="113" t="n"/>
      <c r="Y1329" s="113" t="n"/>
      <c r="Z1329" s="117">
        <f>IF($B1329="",0,IF($S1329="EVET",IF($D1329="GELİR",$O1329,-$O1329),0))</f>
        <v/>
      </c>
      <c r="AA1329" s="117">
        <f>IF($B1329="",0,IF(OR($W1329="EVET",$X1329="EVET",$Y1329="EVET"),0,IF($D1329="GELİR",IF($E1329="SATIŞ İADESİ/İSKONTO",-$O1329,$O1329),-$O1329)))</f>
        <v/>
      </c>
      <c r="AB1329" s="117">
        <f>IF($B1329="","",IF(OR($D1329="",$E1329="",$O1329=""),"EKSİK",IF($O1329&lt;=0,"SIFIR/NEGATİF",IF(COUNTIFS($C$6:$C$5000,$C1329,$O$6:$O$5000,$O1329,$B$6:$B$5000,$B1329)&gt;1,"MÜKERRER","OK"))))</f>
        <v/>
      </c>
    </row>
    <row r="1330" ht="16.5" customHeight="1" s="80">
      <c r="A1330" s="113" t="n"/>
      <c r="B1330" s="113" t="n"/>
      <c r="C1330" s="113" t="n"/>
      <c r="D1330" s="113" t="n"/>
      <c r="E1330" s="113" t="n"/>
      <c r="F1330" s="113" t="n"/>
      <c r="G1330" s="113" t="n"/>
      <c r="H1330" s="113" t="n"/>
      <c r="I1330" s="113" t="n"/>
      <c r="J1330" s="113" t="n"/>
      <c r="K1330" s="113" t="n"/>
      <c r="L1330" s="113" t="n"/>
      <c r="M1330" s="113" t="n"/>
      <c r="N1330" s="113" t="n"/>
      <c r="O1330" s="113" t="n"/>
      <c r="P1330" s="113" t="n"/>
      <c r="Q1330" s="113" t="n"/>
      <c r="R1330" s="113" t="n"/>
      <c r="S1330" s="113" t="n"/>
      <c r="T1330" s="113" t="n"/>
      <c r="U1330" s="113" t="n"/>
      <c r="V1330" s="113" t="n"/>
      <c r="W1330" s="113" t="n"/>
      <c r="X1330" s="113" t="n"/>
      <c r="Y1330" s="113" t="n"/>
      <c r="Z1330" s="117">
        <f>IF($B1330="",0,IF($S1330="EVET",IF($D1330="GELİR",$O1330,-$O1330),0))</f>
        <v/>
      </c>
      <c r="AA1330" s="117">
        <f>IF($B1330="",0,IF(OR($W1330="EVET",$X1330="EVET",$Y1330="EVET"),0,IF($D1330="GELİR",IF($E1330="SATIŞ İADESİ/İSKONTO",-$O1330,$O1330),-$O1330)))</f>
        <v/>
      </c>
      <c r="AB1330" s="117">
        <f>IF($B1330="","",IF(OR($D1330="",$E1330="",$O1330=""),"EKSİK",IF($O1330&lt;=0,"SIFIR/NEGATİF",IF(COUNTIFS($C$6:$C$5000,$C1330,$O$6:$O$5000,$O1330,$B$6:$B$5000,$B1330)&gt;1,"MÜKERRER","OK"))))</f>
        <v/>
      </c>
    </row>
    <row r="1331" ht="16.5" customHeight="1" s="80">
      <c r="A1331" s="113" t="n"/>
      <c r="B1331" s="113" t="n"/>
      <c r="C1331" s="113" t="n"/>
      <c r="D1331" s="113" t="n"/>
      <c r="E1331" s="113" t="n"/>
      <c r="F1331" s="113" t="n"/>
      <c r="G1331" s="113" t="n"/>
      <c r="H1331" s="113" t="n"/>
      <c r="I1331" s="113" t="n"/>
      <c r="J1331" s="113" t="n"/>
      <c r="K1331" s="113" t="n"/>
      <c r="L1331" s="113" t="n"/>
      <c r="M1331" s="113" t="n"/>
      <c r="N1331" s="113" t="n"/>
      <c r="O1331" s="113" t="n"/>
      <c r="P1331" s="113" t="n"/>
      <c r="Q1331" s="113" t="n"/>
      <c r="R1331" s="113" t="n"/>
      <c r="S1331" s="113" t="n"/>
      <c r="T1331" s="113" t="n"/>
      <c r="U1331" s="113" t="n"/>
      <c r="V1331" s="113" t="n"/>
      <c r="W1331" s="113" t="n"/>
      <c r="X1331" s="113" t="n"/>
      <c r="Y1331" s="113" t="n"/>
      <c r="Z1331" s="117">
        <f>IF($B1331="",0,IF($S1331="EVET",IF($D1331="GELİR",$O1331,-$O1331),0))</f>
        <v/>
      </c>
      <c r="AA1331" s="117">
        <f>IF($B1331="",0,IF(OR($W1331="EVET",$X1331="EVET",$Y1331="EVET"),0,IF($D1331="GELİR",IF($E1331="SATIŞ İADESİ/İSKONTO",-$O1331,$O1331),-$O1331)))</f>
        <v/>
      </c>
      <c r="AB1331" s="117">
        <f>IF($B1331="","",IF(OR($D1331="",$E1331="",$O1331=""),"EKSİK",IF($O1331&lt;=0,"SIFIR/NEGATİF",IF(COUNTIFS($C$6:$C$5000,$C1331,$O$6:$O$5000,$O1331,$B$6:$B$5000,$B1331)&gt;1,"MÜKERRER","OK"))))</f>
        <v/>
      </c>
    </row>
    <row r="1332" ht="16.5" customHeight="1" s="80">
      <c r="A1332" s="113" t="n"/>
      <c r="B1332" s="113" t="n"/>
      <c r="C1332" s="113" t="n"/>
      <c r="D1332" s="113" t="n"/>
      <c r="E1332" s="113" t="n"/>
      <c r="F1332" s="113" t="n"/>
      <c r="G1332" s="113" t="n"/>
      <c r="H1332" s="113" t="n"/>
      <c r="I1332" s="113" t="n"/>
      <c r="J1332" s="113" t="n"/>
      <c r="K1332" s="113" t="n"/>
      <c r="L1332" s="113" t="n"/>
      <c r="M1332" s="113" t="n"/>
      <c r="N1332" s="113" t="n"/>
      <c r="O1332" s="113" t="n"/>
      <c r="P1332" s="113" t="n"/>
      <c r="Q1332" s="113" t="n"/>
      <c r="R1332" s="113" t="n"/>
      <c r="S1332" s="113" t="n"/>
      <c r="T1332" s="113" t="n"/>
      <c r="U1332" s="113" t="n"/>
      <c r="V1332" s="113" t="n"/>
      <c r="W1332" s="113" t="n"/>
      <c r="X1332" s="113" t="n"/>
      <c r="Y1332" s="113" t="n"/>
      <c r="Z1332" s="117">
        <f>IF($B1332="",0,IF($S1332="EVET",IF($D1332="GELİR",$O1332,-$O1332),0))</f>
        <v/>
      </c>
      <c r="AA1332" s="117">
        <f>IF($B1332="",0,IF(OR($W1332="EVET",$X1332="EVET",$Y1332="EVET"),0,IF($D1332="GELİR",IF($E1332="SATIŞ İADESİ/İSKONTO",-$O1332,$O1332),-$O1332)))</f>
        <v/>
      </c>
      <c r="AB1332" s="117">
        <f>IF($B1332="","",IF(OR($D1332="",$E1332="",$O1332=""),"EKSİK",IF($O1332&lt;=0,"SIFIR/NEGATİF",IF(COUNTIFS($C$6:$C$5000,$C1332,$O$6:$O$5000,$O1332,$B$6:$B$5000,$B1332)&gt;1,"MÜKERRER","OK"))))</f>
        <v/>
      </c>
    </row>
    <row r="1333" ht="16.5" customHeight="1" s="80">
      <c r="A1333" s="113" t="n"/>
      <c r="B1333" s="113" t="n"/>
      <c r="C1333" s="113" t="n"/>
      <c r="D1333" s="113" t="n"/>
      <c r="E1333" s="113" t="n"/>
      <c r="F1333" s="113" t="n"/>
      <c r="G1333" s="113" t="n"/>
      <c r="H1333" s="113" t="n"/>
      <c r="I1333" s="113" t="n"/>
      <c r="J1333" s="113" t="n"/>
      <c r="K1333" s="113" t="n"/>
      <c r="L1333" s="113" t="n"/>
      <c r="M1333" s="113" t="n"/>
      <c r="N1333" s="113" t="n"/>
      <c r="O1333" s="113" t="n"/>
      <c r="P1333" s="113" t="n"/>
      <c r="Q1333" s="113" t="n"/>
      <c r="R1333" s="113" t="n"/>
      <c r="S1333" s="113" t="n"/>
      <c r="T1333" s="113" t="n"/>
      <c r="U1333" s="113" t="n"/>
      <c r="V1333" s="113" t="n"/>
      <c r="W1333" s="113" t="n"/>
      <c r="X1333" s="113" t="n"/>
      <c r="Y1333" s="113" t="n"/>
      <c r="Z1333" s="117">
        <f>IF($B1333="",0,IF($S1333="EVET",IF($D1333="GELİR",$O1333,-$O1333),0))</f>
        <v/>
      </c>
      <c r="AA1333" s="117">
        <f>IF($B1333="",0,IF(OR($W1333="EVET",$X1333="EVET",$Y1333="EVET"),0,IF($D1333="GELİR",IF($E1333="SATIŞ İADESİ/İSKONTO",-$O1333,$O1333),-$O1333)))</f>
        <v/>
      </c>
      <c r="AB1333" s="117">
        <f>IF($B1333="","",IF(OR($D1333="",$E1333="",$O1333=""),"EKSİK",IF($O1333&lt;=0,"SIFIR/NEGATİF",IF(COUNTIFS($C$6:$C$5000,$C1333,$O$6:$O$5000,$O1333,$B$6:$B$5000,$B1333)&gt;1,"MÜKERRER","OK"))))</f>
        <v/>
      </c>
    </row>
    <row r="1334" ht="16.5" customHeight="1" s="80">
      <c r="A1334" s="113" t="n"/>
      <c r="B1334" s="113" t="n"/>
      <c r="C1334" s="113" t="n"/>
      <c r="D1334" s="113" t="n"/>
      <c r="E1334" s="113" t="n"/>
      <c r="F1334" s="113" t="n"/>
      <c r="G1334" s="113" t="n"/>
      <c r="H1334" s="113" t="n"/>
      <c r="I1334" s="113" t="n"/>
      <c r="J1334" s="113" t="n"/>
      <c r="K1334" s="113" t="n"/>
      <c r="L1334" s="113" t="n"/>
      <c r="M1334" s="113" t="n"/>
      <c r="N1334" s="113" t="n"/>
      <c r="O1334" s="113" t="n"/>
      <c r="P1334" s="113" t="n"/>
      <c r="Q1334" s="113" t="n"/>
      <c r="R1334" s="113" t="n"/>
      <c r="S1334" s="113" t="n"/>
      <c r="T1334" s="113" t="n"/>
      <c r="U1334" s="113" t="n"/>
      <c r="V1334" s="113" t="n"/>
      <c r="W1334" s="113" t="n"/>
      <c r="X1334" s="113" t="n"/>
      <c r="Y1334" s="113" t="n"/>
      <c r="Z1334" s="117">
        <f>IF($B1334="",0,IF($S1334="EVET",IF($D1334="GELİR",$O1334,-$O1334),0))</f>
        <v/>
      </c>
      <c r="AA1334" s="117">
        <f>IF($B1334="",0,IF(OR($W1334="EVET",$X1334="EVET",$Y1334="EVET"),0,IF($D1334="GELİR",IF($E1334="SATIŞ İADESİ/İSKONTO",-$O1334,$O1334),-$O1334)))</f>
        <v/>
      </c>
      <c r="AB1334" s="117">
        <f>IF($B1334="","",IF(OR($D1334="",$E1334="",$O1334=""),"EKSİK",IF($O1334&lt;=0,"SIFIR/NEGATİF",IF(COUNTIFS($C$6:$C$5000,$C1334,$O$6:$O$5000,$O1334,$B$6:$B$5000,$B1334)&gt;1,"MÜKERRER","OK"))))</f>
        <v/>
      </c>
    </row>
    <row r="1335" ht="16.5" customHeight="1" s="80">
      <c r="A1335" s="113" t="n"/>
      <c r="B1335" s="113" t="n"/>
      <c r="C1335" s="113" t="n"/>
      <c r="D1335" s="113" t="n"/>
      <c r="E1335" s="113" t="n"/>
      <c r="F1335" s="113" t="n"/>
      <c r="G1335" s="113" t="n"/>
      <c r="H1335" s="113" t="n"/>
      <c r="I1335" s="113" t="n"/>
      <c r="J1335" s="113" t="n"/>
      <c r="K1335" s="113" t="n"/>
      <c r="L1335" s="113" t="n"/>
      <c r="M1335" s="113" t="n"/>
      <c r="N1335" s="113" t="n"/>
      <c r="O1335" s="113" t="n"/>
      <c r="P1335" s="113" t="n"/>
      <c r="Q1335" s="113" t="n"/>
      <c r="R1335" s="113" t="n"/>
      <c r="S1335" s="113" t="n"/>
      <c r="T1335" s="113" t="n"/>
      <c r="U1335" s="113" t="n"/>
      <c r="V1335" s="113" t="n"/>
      <c r="W1335" s="113" t="n"/>
      <c r="X1335" s="113" t="n"/>
      <c r="Y1335" s="113" t="n"/>
      <c r="Z1335" s="117">
        <f>IF($B1335="",0,IF($S1335="EVET",IF($D1335="GELİR",$O1335,-$O1335),0))</f>
        <v/>
      </c>
      <c r="AA1335" s="117">
        <f>IF($B1335="",0,IF(OR($W1335="EVET",$X1335="EVET",$Y1335="EVET"),0,IF($D1335="GELİR",IF($E1335="SATIŞ İADESİ/İSKONTO",-$O1335,$O1335),-$O1335)))</f>
        <v/>
      </c>
      <c r="AB1335" s="117">
        <f>IF($B1335="","",IF(OR($D1335="",$E1335="",$O1335=""),"EKSİK",IF($O1335&lt;=0,"SIFIR/NEGATİF",IF(COUNTIFS($C$6:$C$5000,$C1335,$O$6:$O$5000,$O1335,$B$6:$B$5000,$B1335)&gt;1,"MÜKERRER","OK"))))</f>
        <v/>
      </c>
    </row>
    <row r="1336" ht="16.5" customHeight="1" s="80">
      <c r="A1336" s="113" t="n"/>
      <c r="B1336" s="113" t="n"/>
      <c r="C1336" s="113" t="n"/>
      <c r="D1336" s="113" t="n"/>
      <c r="E1336" s="113" t="n"/>
      <c r="F1336" s="113" t="n"/>
      <c r="G1336" s="113" t="n"/>
      <c r="H1336" s="113" t="n"/>
      <c r="I1336" s="113" t="n"/>
      <c r="J1336" s="113" t="n"/>
      <c r="K1336" s="113" t="n"/>
      <c r="L1336" s="113" t="n"/>
      <c r="M1336" s="113" t="n"/>
      <c r="N1336" s="113" t="n"/>
      <c r="O1336" s="113" t="n"/>
      <c r="P1336" s="113" t="n"/>
      <c r="Q1336" s="113" t="n"/>
      <c r="R1336" s="113" t="n"/>
      <c r="S1336" s="113" t="n"/>
      <c r="T1336" s="113" t="n"/>
      <c r="U1336" s="113" t="n"/>
      <c r="V1336" s="113" t="n"/>
      <c r="W1336" s="113" t="n"/>
      <c r="X1336" s="113" t="n"/>
      <c r="Y1336" s="113" t="n"/>
      <c r="Z1336" s="117">
        <f>IF($B1336="",0,IF($S1336="EVET",IF($D1336="GELİR",$O1336,-$O1336),0))</f>
        <v/>
      </c>
      <c r="AA1336" s="117">
        <f>IF($B1336="",0,IF(OR($W1336="EVET",$X1336="EVET",$Y1336="EVET"),0,IF($D1336="GELİR",IF($E1336="SATIŞ İADESİ/İSKONTO",-$O1336,$O1336),-$O1336)))</f>
        <v/>
      </c>
      <c r="AB1336" s="117">
        <f>IF($B1336="","",IF(OR($D1336="",$E1336="",$O1336=""),"EKSİK",IF($O1336&lt;=0,"SIFIR/NEGATİF",IF(COUNTIFS($C$6:$C$5000,$C1336,$O$6:$O$5000,$O1336,$B$6:$B$5000,$B1336)&gt;1,"MÜKERRER","OK"))))</f>
        <v/>
      </c>
    </row>
    <row r="1337" ht="16.5" customHeight="1" s="80">
      <c r="A1337" s="113" t="n"/>
      <c r="B1337" s="113" t="n"/>
      <c r="C1337" s="113" t="n"/>
      <c r="D1337" s="113" t="n"/>
      <c r="E1337" s="113" t="n"/>
      <c r="F1337" s="113" t="n"/>
      <c r="G1337" s="113" t="n"/>
      <c r="H1337" s="113" t="n"/>
      <c r="I1337" s="113" t="n"/>
      <c r="J1337" s="113" t="n"/>
      <c r="K1337" s="113" t="n"/>
      <c r="L1337" s="113" t="n"/>
      <c r="M1337" s="113" t="n"/>
      <c r="N1337" s="113" t="n"/>
      <c r="O1337" s="113" t="n"/>
      <c r="P1337" s="113" t="n"/>
      <c r="Q1337" s="113" t="n"/>
      <c r="R1337" s="113" t="n"/>
      <c r="S1337" s="113" t="n"/>
      <c r="T1337" s="113" t="n"/>
      <c r="U1337" s="113" t="n"/>
      <c r="V1337" s="113" t="n"/>
      <c r="W1337" s="113" t="n"/>
      <c r="X1337" s="113" t="n"/>
      <c r="Y1337" s="113" t="n"/>
      <c r="Z1337" s="117">
        <f>IF($B1337="",0,IF($S1337="EVET",IF($D1337="GELİR",$O1337,-$O1337),0))</f>
        <v/>
      </c>
      <c r="AA1337" s="117">
        <f>IF($B1337="",0,IF(OR($W1337="EVET",$X1337="EVET",$Y1337="EVET"),0,IF($D1337="GELİR",IF($E1337="SATIŞ İADESİ/İSKONTO",-$O1337,$O1337),-$O1337)))</f>
        <v/>
      </c>
      <c r="AB1337" s="117">
        <f>IF($B1337="","",IF(OR($D1337="",$E1337="",$O1337=""),"EKSİK",IF($O1337&lt;=0,"SIFIR/NEGATİF",IF(COUNTIFS($C$6:$C$5000,$C1337,$O$6:$O$5000,$O1337,$B$6:$B$5000,$B1337)&gt;1,"MÜKERRER","OK"))))</f>
        <v/>
      </c>
    </row>
    <row r="1338" ht="16.5" customHeight="1" s="80">
      <c r="A1338" s="113" t="n"/>
      <c r="B1338" s="113" t="n"/>
      <c r="C1338" s="113" t="n"/>
      <c r="D1338" s="113" t="n"/>
      <c r="E1338" s="113" t="n"/>
      <c r="F1338" s="113" t="n"/>
      <c r="G1338" s="113" t="n"/>
      <c r="H1338" s="113" t="n"/>
      <c r="I1338" s="113" t="n"/>
      <c r="J1338" s="113" t="n"/>
      <c r="K1338" s="113" t="n"/>
      <c r="L1338" s="113" t="n"/>
      <c r="M1338" s="113" t="n"/>
      <c r="N1338" s="113" t="n"/>
      <c r="O1338" s="113" t="n"/>
      <c r="P1338" s="113" t="n"/>
      <c r="Q1338" s="113" t="n"/>
      <c r="R1338" s="113" t="n"/>
      <c r="S1338" s="113" t="n"/>
      <c r="T1338" s="113" t="n"/>
      <c r="U1338" s="113" t="n"/>
      <c r="V1338" s="113" t="n"/>
      <c r="W1338" s="113" t="n"/>
      <c r="X1338" s="113" t="n"/>
      <c r="Y1338" s="113" t="n"/>
      <c r="Z1338" s="117">
        <f>IF($B1338="",0,IF($S1338="EVET",IF($D1338="GELİR",$O1338,-$O1338),0))</f>
        <v/>
      </c>
      <c r="AA1338" s="117">
        <f>IF($B1338="",0,IF(OR($W1338="EVET",$X1338="EVET",$Y1338="EVET"),0,IF($D1338="GELİR",IF($E1338="SATIŞ İADESİ/İSKONTO",-$O1338,$O1338),-$O1338)))</f>
        <v/>
      </c>
      <c r="AB1338" s="117">
        <f>IF($B1338="","",IF(OR($D1338="",$E1338="",$O1338=""),"EKSİK",IF($O1338&lt;=0,"SIFIR/NEGATİF",IF(COUNTIFS($C$6:$C$5000,$C1338,$O$6:$O$5000,$O1338,$B$6:$B$5000,$B1338)&gt;1,"MÜKERRER","OK"))))</f>
        <v/>
      </c>
    </row>
    <row r="1339" ht="16.5" customHeight="1" s="80">
      <c r="A1339" s="113" t="n"/>
      <c r="B1339" s="113" t="n"/>
      <c r="C1339" s="113" t="n"/>
      <c r="D1339" s="113" t="n"/>
      <c r="E1339" s="113" t="n"/>
      <c r="F1339" s="113" t="n"/>
      <c r="G1339" s="113" t="n"/>
      <c r="H1339" s="113" t="n"/>
      <c r="I1339" s="113" t="n"/>
      <c r="J1339" s="113" t="n"/>
      <c r="K1339" s="113" t="n"/>
      <c r="L1339" s="113" t="n"/>
      <c r="M1339" s="113" t="n"/>
      <c r="N1339" s="113" t="n"/>
      <c r="O1339" s="113" t="n"/>
      <c r="P1339" s="113" t="n"/>
      <c r="Q1339" s="113" t="n"/>
      <c r="R1339" s="113" t="n"/>
      <c r="S1339" s="113" t="n"/>
      <c r="T1339" s="113" t="n"/>
      <c r="U1339" s="113" t="n"/>
      <c r="V1339" s="113" t="n"/>
      <c r="W1339" s="113" t="n"/>
      <c r="X1339" s="113" t="n"/>
      <c r="Y1339" s="113" t="n"/>
      <c r="Z1339" s="117">
        <f>IF($B1339="",0,IF($S1339="EVET",IF($D1339="GELİR",$O1339,-$O1339),0))</f>
        <v/>
      </c>
      <c r="AA1339" s="117">
        <f>IF($B1339="",0,IF(OR($W1339="EVET",$X1339="EVET",$Y1339="EVET"),0,IF($D1339="GELİR",IF($E1339="SATIŞ İADESİ/İSKONTO",-$O1339,$O1339),-$O1339)))</f>
        <v/>
      </c>
      <c r="AB1339" s="117">
        <f>IF($B1339="","",IF(OR($D1339="",$E1339="",$O1339=""),"EKSİK",IF($O1339&lt;=0,"SIFIR/NEGATİF",IF(COUNTIFS($C$6:$C$5000,$C1339,$O$6:$O$5000,$O1339,$B$6:$B$5000,$B1339)&gt;1,"MÜKERRER","OK"))))</f>
        <v/>
      </c>
    </row>
    <row r="1340" ht="16.5" customHeight="1" s="80">
      <c r="A1340" s="113" t="n"/>
      <c r="B1340" s="113" t="n"/>
      <c r="C1340" s="113" t="n"/>
      <c r="D1340" s="113" t="n"/>
      <c r="E1340" s="113" t="n"/>
      <c r="F1340" s="113" t="n"/>
      <c r="G1340" s="113" t="n"/>
      <c r="H1340" s="113" t="n"/>
      <c r="I1340" s="113" t="n"/>
      <c r="J1340" s="113" t="n"/>
      <c r="K1340" s="113" t="n"/>
      <c r="L1340" s="113" t="n"/>
      <c r="M1340" s="113" t="n"/>
      <c r="N1340" s="113" t="n"/>
      <c r="O1340" s="113" t="n"/>
      <c r="P1340" s="113" t="n"/>
      <c r="Q1340" s="113" t="n"/>
      <c r="R1340" s="113" t="n"/>
      <c r="S1340" s="113" t="n"/>
      <c r="T1340" s="113" t="n"/>
      <c r="U1340" s="113" t="n"/>
      <c r="V1340" s="113" t="n"/>
      <c r="W1340" s="113" t="n"/>
      <c r="X1340" s="113" t="n"/>
      <c r="Y1340" s="113" t="n"/>
      <c r="Z1340" s="117">
        <f>IF($B1340="",0,IF($S1340="EVET",IF($D1340="GELİR",$O1340,-$O1340),0))</f>
        <v/>
      </c>
      <c r="AA1340" s="117">
        <f>IF($B1340="",0,IF(OR($W1340="EVET",$X1340="EVET",$Y1340="EVET"),0,IF($D1340="GELİR",IF($E1340="SATIŞ İADESİ/İSKONTO",-$O1340,$O1340),-$O1340)))</f>
        <v/>
      </c>
      <c r="AB1340" s="117">
        <f>IF($B1340="","",IF(OR($D1340="",$E1340="",$O1340=""),"EKSİK",IF($O1340&lt;=0,"SIFIR/NEGATİF",IF(COUNTIFS($C$6:$C$5000,$C1340,$O$6:$O$5000,$O1340,$B$6:$B$5000,$B1340)&gt;1,"MÜKERRER","OK"))))</f>
        <v/>
      </c>
    </row>
    <row r="1341" ht="16.5" customHeight="1" s="80">
      <c r="A1341" s="113" t="n"/>
      <c r="B1341" s="113" t="n"/>
      <c r="C1341" s="113" t="n"/>
      <c r="D1341" s="113" t="n"/>
      <c r="E1341" s="113" t="n"/>
      <c r="F1341" s="113" t="n"/>
      <c r="G1341" s="113" t="n"/>
      <c r="H1341" s="113" t="n"/>
      <c r="I1341" s="113" t="n"/>
      <c r="J1341" s="113" t="n"/>
      <c r="K1341" s="113" t="n"/>
      <c r="L1341" s="113" t="n"/>
      <c r="M1341" s="113" t="n"/>
      <c r="N1341" s="113" t="n"/>
      <c r="O1341" s="113" t="n"/>
      <c r="P1341" s="113" t="n"/>
      <c r="Q1341" s="113" t="n"/>
      <c r="R1341" s="113" t="n"/>
      <c r="S1341" s="113" t="n"/>
      <c r="T1341" s="113" t="n"/>
      <c r="U1341" s="113" t="n"/>
      <c r="V1341" s="113" t="n"/>
      <c r="W1341" s="113" t="n"/>
      <c r="X1341" s="113" t="n"/>
      <c r="Y1341" s="113" t="n"/>
      <c r="Z1341" s="117">
        <f>IF($B1341="",0,IF($S1341="EVET",IF($D1341="GELİR",$O1341,-$O1341),0))</f>
        <v/>
      </c>
      <c r="AA1341" s="117">
        <f>IF($B1341="",0,IF(OR($W1341="EVET",$X1341="EVET",$Y1341="EVET"),0,IF($D1341="GELİR",IF($E1341="SATIŞ İADESİ/İSKONTO",-$O1341,$O1341),-$O1341)))</f>
        <v/>
      </c>
      <c r="AB1341" s="117">
        <f>IF($B1341="","",IF(OR($D1341="",$E1341="",$O1341=""),"EKSİK",IF($O1341&lt;=0,"SIFIR/NEGATİF",IF(COUNTIFS($C$6:$C$5000,$C1341,$O$6:$O$5000,$O1341,$B$6:$B$5000,$B1341)&gt;1,"MÜKERRER","OK"))))</f>
        <v/>
      </c>
    </row>
    <row r="1342" ht="16.5" customHeight="1" s="80">
      <c r="A1342" s="113" t="n"/>
      <c r="B1342" s="113" t="n"/>
      <c r="C1342" s="113" t="n"/>
      <c r="D1342" s="113" t="n"/>
      <c r="E1342" s="113" t="n"/>
      <c r="F1342" s="113" t="n"/>
      <c r="G1342" s="113" t="n"/>
      <c r="H1342" s="113" t="n"/>
      <c r="I1342" s="113" t="n"/>
      <c r="J1342" s="113" t="n"/>
      <c r="K1342" s="113" t="n"/>
      <c r="L1342" s="113" t="n"/>
      <c r="M1342" s="113" t="n"/>
      <c r="N1342" s="113" t="n"/>
      <c r="O1342" s="113" t="n"/>
      <c r="P1342" s="113" t="n"/>
      <c r="Q1342" s="113" t="n"/>
      <c r="R1342" s="113" t="n"/>
      <c r="S1342" s="113" t="n"/>
      <c r="T1342" s="113" t="n"/>
      <c r="U1342" s="113" t="n"/>
      <c r="V1342" s="113" t="n"/>
      <c r="W1342" s="113" t="n"/>
      <c r="X1342" s="113" t="n"/>
      <c r="Y1342" s="113" t="n"/>
      <c r="Z1342" s="117">
        <f>IF($B1342="",0,IF($S1342="EVET",IF($D1342="GELİR",$O1342,-$O1342),0))</f>
        <v/>
      </c>
      <c r="AA1342" s="117">
        <f>IF($B1342="",0,IF(OR($W1342="EVET",$X1342="EVET",$Y1342="EVET"),0,IF($D1342="GELİR",IF($E1342="SATIŞ İADESİ/İSKONTO",-$O1342,$O1342),-$O1342)))</f>
        <v/>
      </c>
      <c r="AB1342" s="117">
        <f>IF($B1342="","",IF(OR($D1342="",$E1342="",$O1342=""),"EKSİK",IF($O1342&lt;=0,"SIFIR/NEGATİF",IF(COUNTIFS($C$6:$C$5000,$C1342,$O$6:$O$5000,$O1342,$B$6:$B$5000,$B1342)&gt;1,"MÜKERRER","OK"))))</f>
        <v/>
      </c>
    </row>
    <row r="1343" ht="16.5" customHeight="1" s="80">
      <c r="A1343" s="113" t="n"/>
      <c r="B1343" s="113" t="n"/>
      <c r="C1343" s="113" t="n"/>
      <c r="D1343" s="113" t="n"/>
      <c r="E1343" s="113" t="n"/>
      <c r="F1343" s="113" t="n"/>
      <c r="G1343" s="113" t="n"/>
      <c r="H1343" s="113" t="n"/>
      <c r="I1343" s="113" t="n"/>
      <c r="J1343" s="113" t="n"/>
      <c r="K1343" s="113" t="n"/>
      <c r="L1343" s="113" t="n"/>
      <c r="M1343" s="113" t="n"/>
      <c r="N1343" s="113" t="n"/>
      <c r="O1343" s="113" t="n"/>
      <c r="P1343" s="113" t="n"/>
      <c r="Q1343" s="113" t="n"/>
      <c r="R1343" s="113" t="n"/>
      <c r="S1343" s="113" t="n"/>
      <c r="T1343" s="113" t="n"/>
      <c r="U1343" s="113" t="n"/>
      <c r="V1343" s="113" t="n"/>
      <c r="W1343" s="113" t="n"/>
      <c r="X1343" s="113" t="n"/>
      <c r="Y1343" s="113" t="n"/>
      <c r="Z1343" s="117">
        <f>IF($B1343="",0,IF($S1343="EVET",IF($D1343="GELİR",$O1343,-$O1343),0))</f>
        <v/>
      </c>
      <c r="AA1343" s="117">
        <f>IF($B1343="",0,IF(OR($W1343="EVET",$X1343="EVET",$Y1343="EVET"),0,IF($D1343="GELİR",IF($E1343="SATIŞ İADESİ/İSKONTO",-$O1343,$O1343),-$O1343)))</f>
        <v/>
      </c>
      <c r="AB1343" s="117">
        <f>IF($B1343="","",IF(OR($D1343="",$E1343="",$O1343=""),"EKSİK",IF($O1343&lt;=0,"SIFIR/NEGATİF",IF(COUNTIFS($C$6:$C$5000,$C1343,$O$6:$O$5000,$O1343,$B$6:$B$5000,$B1343)&gt;1,"MÜKERRER","OK"))))</f>
        <v/>
      </c>
    </row>
    <row r="1344" ht="16.5" customHeight="1" s="80">
      <c r="A1344" s="113" t="n"/>
      <c r="B1344" s="113" t="n"/>
      <c r="C1344" s="113" t="n"/>
      <c r="D1344" s="113" t="n"/>
      <c r="E1344" s="113" t="n"/>
      <c r="F1344" s="113" t="n"/>
      <c r="G1344" s="113" t="n"/>
      <c r="H1344" s="113" t="n"/>
      <c r="I1344" s="113" t="n"/>
      <c r="J1344" s="113" t="n"/>
      <c r="K1344" s="113" t="n"/>
      <c r="L1344" s="113" t="n"/>
      <c r="M1344" s="113" t="n"/>
      <c r="N1344" s="113" t="n"/>
      <c r="O1344" s="113" t="n"/>
      <c r="P1344" s="113" t="n"/>
      <c r="Q1344" s="113" t="n"/>
      <c r="R1344" s="113" t="n"/>
      <c r="S1344" s="113" t="n"/>
      <c r="T1344" s="113" t="n"/>
      <c r="U1344" s="113" t="n"/>
      <c r="V1344" s="113" t="n"/>
      <c r="W1344" s="113" t="n"/>
      <c r="X1344" s="113" t="n"/>
      <c r="Y1344" s="113" t="n"/>
      <c r="Z1344" s="117">
        <f>IF($B1344="",0,IF($S1344="EVET",IF($D1344="GELİR",$O1344,-$O1344),0))</f>
        <v/>
      </c>
      <c r="AA1344" s="117">
        <f>IF($B1344="",0,IF(OR($W1344="EVET",$X1344="EVET",$Y1344="EVET"),0,IF($D1344="GELİR",IF($E1344="SATIŞ İADESİ/İSKONTO",-$O1344,$O1344),-$O1344)))</f>
        <v/>
      </c>
      <c r="AB1344" s="117">
        <f>IF($B1344="","",IF(OR($D1344="",$E1344="",$O1344=""),"EKSİK",IF($O1344&lt;=0,"SIFIR/NEGATİF",IF(COUNTIFS($C$6:$C$5000,$C1344,$O$6:$O$5000,$O1344,$B$6:$B$5000,$B1344)&gt;1,"MÜKERRER","OK"))))</f>
        <v/>
      </c>
    </row>
    <row r="1345" ht="16.5" customHeight="1" s="80">
      <c r="A1345" s="113" t="n"/>
      <c r="B1345" s="113" t="n"/>
      <c r="C1345" s="113" t="n"/>
      <c r="D1345" s="113" t="n"/>
      <c r="E1345" s="113" t="n"/>
      <c r="F1345" s="113" t="n"/>
      <c r="G1345" s="113" t="n"/>
      <c r="H1345" s="113" t="n"/>
      <c r="I1345" s="113" t="n"/>
      <c r="J1345" s="113" t="n"/>
      <c r="K1345" s="113" t="n"/>
      <c r="L1345" s="113" t="n"/>
      <c r="M1345" s="113" t="n"/>
      <c r="N1345" s="113" t="n"/>
      <c r="O1345" s="113" t="n"/>
      <c r="P1345" s="113" t="n"/>
      <c r="Q1345" s="113" t="n"/>
      <c r="R1345" s="113" t="n"/>
      <c r="S1345" s="113" t="n"/>
      <c r="T1345" s="113" t="n"/>
      <c r="U1345" s="113" t="n"/>
      <c r="V1345" s="113" t="n"/>
      <c r="W1345" s="113" t="n"/>
      <c r="X1345" s="113" t="n"/>
      <c r="Y1345" s="113" t="n"/>
      <c r="Z1345" s="117">
        <f>IF($B1345="",0,IF($S1345="EVET",IF($D1345="GELİR",$O1345,-$O1345),0))</f>
        <v/>
      </c>
      <c r="AA1345" s="117">
        <f>IF($B1345="",0,IF(OR($W1345="EVET",$X1345="EVET",$Y1345="EVET"),0,IF($D1345="GELİR",IF($E1345="SATIŞ İADESİ/İSKONTO",-$O1345,$O1345),-$O1345)))</f>
        <v/>
      </c>
      <c r="AB1345" s="117">
        <f>IF($B1345="","",IF(OR($D1345="",$E1345="",$O1345=""),"EKSİK",IF($O1345&lt;=0,"SIFIR/NEGATİF",IF(COUNTIFS($C$6:$C$5000,$C1345,$O$6:$O$5000,$O1345,$B$6:$B$5000,$B1345)&gt;1,"MÜKERRER","OK"))))</f>
        <v/>
      </c>
    </row>
    <row r="1346" ht="16.5" customHeight="1" s="80">
      <c r="A1346" s="113" t="n"/>
      <c r="B1346" s="113" t="n"/>
      <c r="C1346" s="113" t="n"/>
      <c r="D1346" s="113" t="n"/>
      <c r="E1346" s="113" t="n"/>
      <c r="F1346" s="113" t="n"/>
      <c r="G1346" s="113" t="n"/>
      <c r="H1346" s="113" t="n"/>
      <c r="I1346" s="113" t="n"/>
      <c r="J1346" s="113" t="n"/>
      <c r="K1346" s="113" t="n"/>
      <c r="L1346" s="113" t="n"/>
      <c r="M1346" s="113" t="n"/>
      <c r="N1346" s="113" t="n"/>
      <c r="O1346" s="113" t="n"/>
      <c r="P1346" s="113" t="n"/>
      <c r="Q1346" s="113" t="n"/>
      <c r="R1346" s="113" t="n"/>
      <c r="S1346" s="113" t="n"/>
      <c r="T1346" s="113" t="n"/>
      <c r="U1346" s="113" t="n"/>
      <c r="V1346" s="113" t="n"/>
      <c r="W1346" s="113" t="n"/>
      <c r="X1346" s="113" t="n"/>
      <c r="Y1346" s="113" t="n"/>
      <c r="Z1346" s="117">
        <f>IF($B1346="",0,IF($S1346="EVET",IF($D1346="GELİR",$O1346,-$O1346),0))</f>
        <v/>
      </c>
      <c r="AA1346" s="117">
        <f>IF($B1346="",0,IF(OR($W1346="EVET",$X1346="EVET",$Y1346="EVET"),0,IF($D1346="GELİR",IF($E1346="SATIŞ İADESİ/İSKONTO",-$O1346,$O1346),-$O1346)))</f>
        <v/>
      </c>
      <c r="AB1346" s="117">
        <f>IF($B1346="","",IF(OR($D1346="",$E1346="",$O1346=""),"EKSİK",IF($O1346&lt;=0,"SIFIR/NEGATİF",IF(COUNTIFS($C$6:$C$5000,$C1346,$O$6:$O$5000,$O1346,$B$6:$B$5000,$B1346)&gt;1,"MÜKERRER","OK"))))</f>
        <v/>
      </c>
    </row>
    <row r="1347" ht="16.5" customHeight="1" s="80">
      <c r="A1347" s="113" t="n"/>
      <c r="B1347" s="113" t="n"/>
      <c r="C1347" s="113" t="n"/>
      <c r="D1347" s="113" t="n"/>
      <c r="E1347" s="113" t="n"/>
      <c r="F1347" s="113" t="n"/>
      <c r="G1347" s="113" t="n"/>
      <c r="H1347" s="113" t="n"/>
      <c r="I1347" s="113" t="n"/>
      <c r="J1347" s="113" t="n"/>
      <c r="K1347" s="113" t="n"/>
      <c r="L1347" s="113" t="n"/>
      <c r="M1347" s="113" t="n"/>
      <c r="N1347" s="113" t="n"/>
      <c r="O1347" s="113" t="n"/>
      <c r="P1347" s="113" t="n"/>
      <c r="Q1347" s="113" t="n"/>
      <c r="R1347" s="113" t="n"/>
      <c r="S1347" s="113" t="n"/>
      <c r="T1347" s="113" t="n"/>
      <c r="U1347" s="113" t="n"/>
      <c r="V1347" s="113" t="n"/>
      <c r="W1347" s="113" t="n"/>
      <c r="X1347" s="113" t="n"/>
      <c r="Y1347" s="113" t="n"/>
      <c r="Z1347" s="117">
        <f>IF($B1347="",0,IF($S1347="EVET",IF($D1347="GELİR",$O1347,-$O1347),0))</f>
        <v/>
      </c>
      <c r="AA1347" s="117">
        <f>IF($B1347="",0,IF(OR($W1347="EVET",$X1347="EVET",$Y1347="EVET"),0,IF($D1347="GELİR",IF($E1347="SATIŞ İADESİ/İSKONTO",-$O1347,$O1347),-$O1347)))</f>
        <v/>
      </c>
      <c r="AB1347" s="117">
        <f>IF($B1347="","",IF(OR($D1347="",$E1347="",$O1347=""),"EKSİK",IF($O1347&lt;=0,"SIFIR/NEGATİF",IF(COUNTIFS($C$6:$C$5000,$C1347,$O$6:$O$5000,$O1347,$B$6:$B$5000,$B1347)&gt;1,"MÜKERRER","OK"))))</f>
        <v/>
      </c>
    </row>
    <row r="1348" ht="16.5" customHeight="1" s="80">
      <c r="A1348" s="113" t="n"/>
      <c r="B1348" s="113" t="n"/>
      <c r="C1348" s="113" t="n"/>
      <c r="D1348" s="113" t="n"/>
      <c r="E1348" s="113" t="n"/>
      <c r="F1348" s="113" t="n"/>
      <c r="G1348" s="113" t="n"/>
      <c r="H1348" s="113" t="n"/>
      <c r="I1348" s="113" t="n"/>
      <c r="J1348" s="113" t="n"/>
      <c r="K1348" s="113" t="n"/>
      <c r="L1348" s="113" t="n"/>
      <c r="M1348" s="113" t="n"/>
      <c r="N1348" s="113" t="n"/>
      <c r="O1348" s="113" t="n"/>
      <c r="P1348" s="113" t="n"/>
      <c r="Q1348" s="113" t="n"/>
      <c r="R1348" s="113" t="n"/>
      <c r="S1348" s="113" t="n"/>
      <c r="T1348" s="113" t="n"/>
      <c r="U1348" s="113" t="n"/>
      <c r="V1348" s="113" t="n"/>
      <c r="W1348" s="113" t="n"/>
      <c r="X1348" s="113" t="n"/>
      <c r="Y1348" s="113" t="n"/>
      <c r="Z1348" s="117">
        <f>IF($B1348="",0,IF($S1348="EVET",IF($D1348="GELİR",$O1348,-$O1348),0))</f>
        <v/>
      </c>
      <c r="AA1348" s="117">
        <f>IF($B1348="",0,IF(OR($W1348="EVET",$X1348="EVET",$Y1348="EVET"),0,IF($D1348="GELİR",IF($E1348="SATIŞ İADESİ/İSKONTO",-$O1348,$O1348),-$O1348)))</f>
        <v/>
      </c>
      <c r="AB1348" s="117">
        <f>IF($B1348="","",IF(OR($D1348="",$E1348="",$O1348=""),"EKSİK",IF($O1348&lt;=0,"SIFIR/NEGATİF",IF(COUNTIFS($C$6:$C$5000,$C1348,$O$6:$O$5000,$O1348,$B$6:$B$5000,$B1348)&gt;1,"MÜKERRER","OK"))))</f>
        <v/>
      </c>
    </row>
    <row r="1349" ht="16.5" customHeight="1" s="80">
      <c r="A1349" s="113" t="n"/>
      <c r="B1349" s="113" t="n"/>
      <c r="C1349" s="113" t="n"/>
      <c r="D1349" s="113" t="n"/>
      <c r="E1349" s="113" t="n"/>
      <c r="F1349" s="113" t="n"/>
      <c r="G1349" s="113" t="n"/>
      <c r="H1349" s="113" t="n"/>
      <c r="I1349" s="113" t="n"/>
      <c r="J1349" s="113" t="n"/>
      <c r="K1349" s="113" t="n"/>
      <c r="L1349" s="113" t="n"/>
      <c r="M1349" s="113" t="n"/>
      <c r="N1349" s="113" t="n"/>
      <c r="O1349" s="113" t="n"/>
      <c r="P1349" s="113" t="n"/>
      <c r="Q1349" s="113" t="n"/>
      <c r="R1349" s="113" t="n"/>
      <c r="S1349" s="113" t="n"/>
      <c r="T1349" s="113" t="n"/>
      <c r="U1349" s="113" t="n"/>
      <c r="V1349" s="113" t="n"/>
      <c r="W1349" s="113" t="n"/>
      <c r="X1349" s="113" t="n"/>
      <c r="Y1349" s="113" t="n"/>
      <c r="Z1349" s="117">
        <f>IF($B1349="",0,IF($S1349="EVET",IF($D1349="GELİR",$O1349,-$O1349),0))</f>
        <v/>
      </c>
      <c r="AA1349" s="117">
        <f>IF($B1349="",0,IF(OR($W1349="EVET",$X1349="EVET",$Y1349="EVET"),0,IF($D1349="GELİR",IF($E1349="SATIŞ İADESİ/İSKONTO",-$O1349,$O1349),-$O1349)))</f>
        <v/>
      </c>
      <c r="AB1349" s="117">
        <f>IF($B1349="","",IF(OR($D1349="",$E1349="",$O1349=""),"EKSİK",IF($O1349&lt;=0,"SIFIR/NEGATİF",IF(COUNTIFS($C$6:$C$5000,$C1349,$O$6:$O$5000,$O1349,$B$6:$B$5000,$B1349)&gt;1,"MÜKERRER","OK"))))</f>
        <v/>
      </c>
    </row>
    <row r="1350" ht="16.5" customHeight="1" s="80">
      <c r="A1350" s="113" t="n"/>
      <c r="B1350" s="113" t="n"/>
      <c r="C1350" s="113" t="n"/>
      <c r="D1350" s="113" t="n"/>
      <c r="E1350" s="113" t="n"/>
      <c r="F1350" s="113" t="n"/>
      <c r="G1350" s="113" t="n"/>
      <c r="H1350" s="113" t="n"/>
      <c r="I1350" s="113" t="n"/>
      <c r="J1350" s="113" t="n"/>
      <c r="K1350" s="113" t="n"/>
      <c r="L1350" s="113" t="n"/>
      <c r="M1350" s="113" t="n"/>
      <c r="N1350" s="113" t="n"/>
      <c r="O1350" s="113" t="n"/>
      <c r="P1350" s="113" t="n"/>
      <c r="Q1350" s="113" t="n"/>
      <c r="R1350" s="113" t="n"/>
      <c r="S1350" s="113" t="n"/>
      <c r="T1350" s="113" t="n"/>
      <c r="U1350" s="113" t="n"/>
      <c r="V1350" s="113" t="n"/>
      <c r="W1350" s="113" t="n"/>
      <c r="X1350" s="113" t="n"/>
      <c r="Y1350" s="113" t="n"/>
      <c r="Z1350" s="117">
        <f>IF($B1350="",0,IF($S1350="EVET",IF($D1350="GELİR",$O1350,-$O1350),0))</f>
        <v/>
      </c>
      <c r="AA1350" s="117">
        <f>IF($B1350="",0,IF(OR($W1350="EVET",$X1350="EVET",$Y1350="EVET"),0,IF($D1350="GELİR",IF($E1350="SATIŞ İADESİ/İSKONTO",-$O1350,$O1350),-$O1350)))</f>
        <v/>
      </c>
      <c r="AB1350" s="117">
        <f>IF($B1350="","",IF(OR($D1350="",$E1350="",$O1350=""),"EKSİK",IF($O1350&lt;=0,"SIFIR/NEGATİF",IF(COUNTIFS($C$6:$C$5000,$C1350,$O$6:$O$5000,$O1350,$B$6:$B$5000,$B1350)&gt;1,"MÜKERRER","OK"))))</f>
        <v/>
      </c>
    </row>
    <row r="1351" ht="16.5" customHeight="1" s="80">
      <c r="A1351" s="113" t="n"/>
      <c r="B1351" s="113" t="n"/>
      <c r="C1351" s="113" t="n"/>
      <c r="D1351" s="113" t="n"/>
      <c r="E1351" s="113" t="n"/>
      <c r="F1351" s="113" t="n"/>
      <c r="G1351" s="113" t="n"/>
      <c r="H1351" s="113" t="n"/>
      <c r="I1351" s="113" t="n"/>
      <c r="J1351" s="113" t="n"/>
      <c r="K1351" s="113" t="n"/>
      <c r="L1351" s="113" t="n"/>
      <c r="M1351" s="113" t="n"/>
      <c r="N1351" s="113" t="n"/>
      <c r="O1351" s="113" t="n"/>
      <c r="P1351" s="113" t="n"/>
      <c r="Q1351" s="113" t="n"/>
      <c r="R1351" s="113" t="n"/>
      <c r="S1351" s="113" t="n"/>
      <c r="T1351" s="113" t="n"/>
      <c r="U1351" s="113" t="n"/>
      <c r="V1351" s="113" t="n"/>
      <c r="W1351" s="113" t="n"/>
      <c r="X1351" s="113" t="n"/>
      <c r="Y1351" s="113" t="n"/>
      <c r="Z1351" s="117">
        <f>IF($B1351="",0,IF($S1351="EVET",IF($D1351="GELİR",$O1351,-$O1351),0))</f>
        <v/>
      </c>
      <c r="AA1351" s="117">
        <f>IF($B1351="",0,IF(OR($W1351="EVET",$X1351="EVET",$Y1351="EVET"),0,IF($D1351="GELİR",IF($E1351="SATIŞ İADESİ/İSKONTO",-$O1351,$O1351),-$O1351)))</f>
        <v/>
      </c>
      <c r="AB1351" s="117">
        <f>IF($B1351="","",IF(OR($D1351="",$E1351="",$O1351=""),"EKSİK",IF($O1351&lt;=0,"SIFIR/NEGATİF",IF(COUNTIFS($C$6:$C$5000,$C1351,$O$6:$O$5000,$O1351,$B$6:$B$5000,$B1351)&gt;1,"MÜKERRER","OK"))))</f>
        <v/>
      </c>
    </row>
    <row r="1352" ht="16.5" customHeight="1" s="80">
      <c r="A1352" s="113" t="n"/>
      <c r="B1352" s="113" t="n"/>
      <c r="C1352" s="113" t="n"/>
      <c r="D1352" s="113" t="n"/>
      <c r="E1352" s="113" t="n"/>
      <c r="F1352" s="113" t="n"/>
      <c r="G1352" s="113" t="n"/>
      <c r="H1352" s="113" t="n"/>
      <c r="I1352" s="113" t="n"/>
      <c r="J1352" s="113" t="n"/>
      <c r="K1352" s="113" t="n"/>
      <c r="L1352" s="113" t="n"/>
      <c r="M1352" s="113" t="n"/>
      <c r="N1352" s="113" t="n"/>
      <c r="O1352" s="113" t="n"/>
      <c r="P1352" s="113" t="n"/>
      <c r="Q1352" s="113" t="n"/>
      <c r="R1352" s="113" t="n"/>
      <c r="S1352" s="113" t="n"/>
      <c r="T1352" s="113" t="n"/>
      <c r="U1352" s="113" t="n"/>
      <c r="V1352" s="113" t="n"/>
      <c r="W1352" s="113" t="n"/>
      <c r="X1352" s="113" t="n"/>
      <c r="Y1352" s="113" t="n"/>
      <c r="Z1352" s="117">
        <f>IF($B1352="",0,IF($S1352="EVET",IF($D1352="GELİR",$O1352,-$O1352),0))</f>
        <v/>
      </c>
      <c r="AA1352" s="117">
        <f>IF($B1352="",0,IF(OR($W1352="EVET",$X1352="EVET",$Y1352="EVET"),0,IF($D1352="GELİR",IF($E1352="SATIŞ İADESİ/İSKONTO",-$O1352,$O1352),-$O1352)))</f>
        <v/>
      </c>
      <c r="AB1352" s="117">
        <f>IF($B1352="","",IF(OR($D1352="",$E1352="",$O1352=""),"EKSİK",IF($O1352&lt;=0,"SIFIR/NEGATİF",IF(COUNTIFS($C$6:$C$5000,$C1352,$O$6:$O$5000,$O1352,$B$6:$B$5000,$B1352)&gt;1,"MÜKERRER","OK"))))</f>
        <v/>
      </c>
    </row>
    <row r="1353" ht="16.5" customHeight="1" s="80">
      <c r="A1353" s="113" t="n"/>
      <c r="B1353" s="113" t="n"/>
      <c r="C1353" s="113" t="n"/>
      <c r="D1353" s="113" t="n"/>
      <c r="E1353" s="113" t="n"/>
      <c r="F1353" s="113" t="n"/>
      <c r="G1353" s="113" t="n"/>
      <c r="H1353" s="113" t="n"/>
      <c r="I1353" s="113" t="n"/>
      <c r="J1353" s="113" t="n"/>
      <c r="K1353" s="113" t="n"/>
      <c r="L1353" s="113" t="n"/>
      <c r="M1353" s="113" t="n"/>
      <c r="N1353" s="113" t="n"/>
      <c r="O1353" s="113" t="n"/>
      <c r="P1353" s="113" t="n"/>
      <c r="Q1353" s="113" t="n"/>
      <c r="R1353" s="113" t="n"/>
      <c r="S1353" s="113" t="n"/>
      <c r="T1353" s="113" t="n"/>
      <c r="U1353" s="113" t="n"/>
      <c r="V1353" s="113" t="n"/>
      <c r="W1353" s="113" t="n"/>
      <c r="X1353" s="113" t="n"/>
      <c r="Y1353" s="113" t="n"/>
      <c r="Z1353" s="117">
        <f>IF($B1353="",0,IF($S1353="EVET",IF($D1353="GELİR",$O1353,-$O1353),0))</f>
        <v/>
      </c>
      <c r="AA1353" s="117">
        <f>IF($B1353="",0,IF(OR($W1353="EVET",$X1353="EVET",$Y1353="EVET"),0,IF($D1353="GELİR",IF($E1353="SATIŞ İADESİ/İSKONTO",-$O1353,$O1353),-$O1353)))</f>
        <v/>
      </c>
      <c r="AB1353" s="117">
        <f>IF($B1353="","",IF(OR($D1353="",$E1353="",$O1353=""),"EKSİK",IF($O1353&lt;=0,"SIFIR/NEGATİF",IF(COUNTIFS($C$6:$C$5000,$C1353,$O$6:$O$5000,$O1353,$B$6:$B$5000,$B1353)&gt;1,"MÜKERRER","OK"))))</f>
        <v/>
      </c>
    </row>
    <row r="1354" ht="16.5" customHeight="1" s="80">
      <c r="A1354" s="113" t="n"/>
      <c r="B1354" s="113" t="n"/>
      <c r="C1354" s="113" t="n"/>
      <c r="D1354" s="113" t="n"/>
      <c r="E1354" s="113" t="n"/>
      <c r="F1354" s="113" t="n"/>
      <c r="G1354" s="113" t="n"/>
      <c r="H1354" s="113" t="n"/>
      <c r="I1354" s="113" t="n"/>
      <c r="J1354" s="113" t="n"/>
      <c r="K1354" s="113" t="n"/>
      <c r="L1354" s="113" t="n"/>
      <c r="M1354" s="113" t="n"/>
      <c r="N1354" s="113" t="n"/>
      <c r="O1354" s="113" t="n"/>
      <c r="P1354" s="113" t="n"/>
      <c r="Q1354" s="113" t="n"/>
      <c r="R1354" s="113" t="n"/>
      <c r="S1354" s="113" t="n"/>
      <c r="T1354" s="113" t="n"/>
      <c r="U1354" s="113" t="n"/>
      <c r="V1354" s="113" t="n"/>
      <c r="W1354" s="113" t="n"/>
      <c r="X1354" s="113" t="n"/>
      <c r="Y1354" s="113" t="n"/>
      <c r="Z1354" s="117">
        <f>IF($B1354="",0,IF($S1354="EVET",IF($D1354="GELİR",$O1354,-$O1354),0))</f>
        <v/>
      </c>
      <c r="AA1354" s="117">
        <f>IF($B1354="",0,IF(OR($W1354="EVET",$X1354="EVET",$Y1354="EVET"),0,IF($D1354="GELİR",IF($E1354="SATIŞ İADESİ/İSKONTO",-$O1354,$O1354),-$O1354)))</f>
        <v/>
      </c>
      <c r="AB1354" s="117">
        <f>IF($B1354="","",IF(OR($D1354="",$E1354="",$O1354=""),"EKSİK",IF($O1354&lt;=0,"SIFIR/NEGATİF",IF(COUNTIFS($C$6:$C$5000,$C1354,$O$6:$O$5000,$O1354,$B$6:$B$5000,$B1354)&gt;1,"MÜKERRER","OK"))))</f>
        <v/>
      </c>
    </row>
    <row r="1355" ht="16.5" customHeight="1" s="80">
      <c r="A1355" s="113" t="n"/>
      <c r="B1355" s="113" t="n"/>
      <c r="C1355" s="113" t="n"/>
      <c r="D1355" s="113" t="n"/>
      <c r="E1355" s="113" t="n"/>
      <c r="F1355" s="113" t="n"/>
      <c r="G1355" s="113" t="n"/>
      <c r="H1355" s="113" t="n"/>
      <c r="I1355" s="113" t="n"/>
      <c r="J1355" s="113" t="n"/>
      <c r="K1355" s="113" t="n"/>
      <c r="L1355" s="113" t="n"/>
      <c r="M1355" s="113" t="n"/>
      <c r="N1355" s="113" t="n"/>
      <c r="O1355" s="113" t="n"/>
      <c r="P1355" s="113" t="n"/>
      <c r="Q1355" s="113" t="n"/>
      <c r="R1355" s="113" t="n"/>
      <c r="S1355" s="113" t="n"/>
      <c r="T1355" s="113" t="n"/>
      <c r="U1355" s="113" t="n"/>
      <c r="V1355" s="113" t="n"/>
      <c r="W1355" s="113" t="n"/>
      <c r="X1355" s="113" t="n"/>
      <c r="Y1355" s="113" t="n"/>
      <c r="Z1355" s="117">
        <f>IF($B1355="",0,IF($S1355="EVET",IF($D1355="GELİR",$O1355,-$O1355),0))</f>
        <v/>
      </c>
      <c r="AA1355" s="117">
        <f>IF($B1355="",0,IF(OR($W1355="EVET",$X1355="EVET",$Y1355="EVET"),0,IF($D1355="GELİR",IF($E1355="SATIŞ İADESİ/İSKONTO",-$O1355,$O1355),-$O1355)))</f>
        <v/>
      </c>
      <c r="AB1355" s="117">
        <f>IF($B1355="","",IF(OR($D1355="",$E1355="",$O1355=""),"EKSİK",IF($O1355&lt;=0,"SIFIR/NEGATİF",IF(COUNTIFS($C$6:$C$5000,$C1355,$O$6:$O$5000,$O1355,$B$6:$B$5000,$B1355)&gt;1,"MÜKERRER","OK"))))</f>
        <v/>
      </c>
    </row>
    <row r="1356" ht="16.5" customHeight="1" s="80">
      <c r="A1356" s="113" t="n"/>
      <c r="B1356" s="113" t="n"/>
      <c r="C1356" s="113" t="n"/>
      <c r="D1356" s="113" t="n"/>
      <c r="E1356" s="113" t="n"/>
      <c r="F1356" s="113" t="n"/>
      <c r="G1356" s="113" t="n"/>
      <c r="H1356" s="113" t="n"/>
      <c r="I1356" s="113" t="n"/>
      <c r="J1356" s="113" t="n"/>
      <c r="K1356" s="113" t="n"/>
      <c r="L1356" s="113" t="n"/>
      <c r="M1356" s="113" t="n"/>
      <c r="N1356" s="113" t="n"/>
      <c r="O1356" s="113" t="n"/>
      <c r="P1356" s="113" t="n"/>
      <c r="Q1356" s="113" t="n"/>
      <c r="R1356" s="113" t="n"/>
      <c r="S1356" s="113" t="n"/>
      <c r="T1356" s="113" t="n"/>
      <c r="U1356" s="113" t="n"/>
      <c r="V1356" s="113" t="n"/>
      <c r="W1356" s="113" t="n"/>
      <c r="X1356" s="113" t="n"/>
      <c r="Y1356" s="113" t="n"/>
      <c r="Z1356" s="117">
        <f>IF($B1356="",0,IF($S1356="EVET",IF($D1356="GELİR",$O1356,-$O1356),0))</f>
        <v/>
      </c>
      <c r="AA1356" s="117">
        <f>IF($B1356="",0,IF(OR($W1356="EVET",$X1356="EVET",$Y1356="EVET"),0,IF($D1356="GELİR",IF($E1356="SATIŞ İADESİ/İSKONTO",-$O1356,$O1356),-$O1356)))</f>
        <v/>
      </c>
      <c r="AB1356" s="117">
        <f>IF($B1356="","",IF(OR($D1356="",$E1356="",$O1356=""),"EKSİK",IF($O1356&lt;=0,"SIFIR/NEGATİF",IF(COUNTIFS($C$6:$C$5000,$C1356,$O$6:$O$5000,$O1356,$B$6:$B$5000,$B1356)&gt;1,"MÜKERRER","OK"))))</f>
        <v/>
      </c>
    </row>
    <row r="1357" ht="16.5" customHeight="1" s="80">
      <c r="A1357" s="113" t="n"/>
      <c r="B1357" s="113" t="n"/>
      <c r="C1357" s="113" t="n"/>
      <c r="D1357" s="113" t="n"/>
      <c r="E1357" s="113" t="n"/>
      <c r="F1357" s="113" t="n"/>
      <c r="G1357" s="113" t="n"/>
      <c r="H1357" s="113" t="n"/>
      <c r="I1357" s="113" t="n"/>
      <c r="J1357" s="113" t="n"/>
      <c r="K1357" s="113" t="n"/>
      <c r="L1357" s="113" t="n"/>
      <c r="M1357" s="113" t="n"/>
      <c r="N1357" s="113" t="n"/>
      <c r="O1357" s="113" t="n"/>
      <c r="P1357" s="113" t="n"/>
      <c r="Q1357" s="113" t="n"/>
      <c r="R1357" s="113" t="n"/>
      <c r="S1357" s="113" t="n"/>
      <c r="T1357" s="113" t="n"/>
      <c r="U1357" s="113" t="n"/>
      <c r="V1357" s="113" t="n"/>
      <c r="W1357" s="113" t="n"/>
      <c r="X1357" s="113" t="n"/>
      <c r="Y1357" s="113" t="n"/>
      <c r="Z1357" s="117">
        <f>IF($B1357="",0,IF($S1357="EVET",IF($D1357="GELİR",$O1357,-$O1357),0))</f>
        <v/>
      </c>
      <c r="AA1357" s="117">
        <f>IF($B1357="",0,IF(OR($W1357="EVET",$X1357="EVET",$Y1357="EVET"),0,IF($D1357="GELİR",IF($E1357="SATIŞ İADESİ/İSKONTO",-$O1357,$O1357),-$O1357)))</f>
        <v/>
      </c>
      <c r="AB1357" s="117">
        <f>IF($B1357="","",IF(OR($D1357="",$E1357="",$O1357=""),"EKSİK",IF($O1357&lt;=0,"SIFIR/NEGATİF",IF(COUNTIFS($C$6:$C$5000,$C1357,$O$6:$O$5000,$O1357,$B$6:$B$5000,$B1357)&gt;1,"MÜKERRER","OK"))))</f>
        <v/>
      </c>
    </row>
    <row r="1358" ht="16.5" customHeight="1" s="80">
      <c r="A1358" s="113" t="n"/>
      <c r="B1358" s="113" t="n"/>
      <c r="C1358" s="113" t="n"/>
      <c r="D1358" s="113" t="n"/>
      <c r="E1358" s="113" t="n"/>
      <c r="F1358" s="113" t="n"/>
      <c r="G1358" s="113" t="n"/>
      <c r="H1358" s="113" t="n"/>
      <c r="I1358" s="113" t="n"/>
      <c r="J1358" s="113" t="n"/>
      <c r="K1358" s="113" t="n"/>
      <c r="L1358" s="113" t="n"/>
      <c r="M1358" s="113" t="n"/>
      <c r="N1358" s="113" t="n"/>
      <c r="O1358" s="113" t="n"/>
      <c r="P1358" s="113" t="n"/>
      <c r="Q1358" s="113" t="n"/>
      <c r="R1358" s="113" t="n"/>
      <c r="S1358" s="113" t="n"/>
      <c r="T1358" s="113" t="n"/>
      <c r="U1358" s="113" t="n"/>
      <c r="V1358" s="113" t="n"/>
      <c r="W1358" s="113" t="n"/>
      <c r="X1358" s="113" t="n"/>
      <c r="Y1358" s="113" t="n"/>
      <c r="Z1358" s="117">
        <f>IF($B1358="",0,IF($S1358="EVET",IF($D1358="GELİR",$O1358,-$O1358),0))</f>
        <v/>
      </c>
      <c r="AA1358" s="117">
        <f>IF($B1358="",0,IF(OR($W1358="EVET",$X1358="EVET",$Y1358="EVET"),0,IF($D1358="GELİR",IF($E1358="SATIŞ İADESİ/İSKONTO",-$O1358,$O1358),-$O1358)))</f>
        <v/>
      </c>
      <c r="AB1358" s="117">
        <f>IF($B1358="","",IF(OR($D1358="",$E1358="",$O1358=""),"EKSİK",IF($O1358&lt;=0,"SIFIR/NEGATİF",IF(COUNTIFS($C$6:$C$5000,$C1358,$O$6:$O$5000,$O1358,$B$6:$B$5000,$B1358)&gt;1,"MÜKERRER","OK"))))</f>
        <v/>
      </c>
    </row>
    <row r="1359" ht="16.5" customHeight="1" s="80">
      <c r="A1359" s="113" t="n"/>
      <c r="B1359" s="113" t="n"/>
      <c r="C1359" s="113" t="n"/>
      <c r="D1359" s="113" t="n"/>
      <c r="E1359" s="113" t="n"/>
      <c r="F1359" s="113" t="n"/>
      <c r="G1359" s="113" t="n"/>
      <c r="H1359" s="113" t="n"/>
      <c r="I1359" s="113" t="n"/>
      <c r="J1359" s="113" t="n"/>
      <c r="K1359" s="113" t="n"/>
      <c r="L1359" s="113" t="n"/>
      <c r="M1359" s="113" t="n"/>
      <c r="N1359" s="113" t="n"/>
      <c r="O1359" s="113" t="n"/>
      <c r="P1359" s="113" t="n"/>
      <c r="Q1359" s="113" t="n"/>
      <c r="R1359" s="113" t="n"/>
      <c r="S1359" s="113" t="n"/>
      <c r="T1359" s="113" t="n"/>
      <c r="U1359" s="113" t="n"/>
      <c r="V1359" s="113" t="n"/>
      <c r="W1359" s="113" t="n"/>
      <c r="X1359" s="113" t="n"/>
      <c r="Y1359" s="113" t="n"/>
      <c r="Z1359" s="117">
        <f>IF($B1359="",0,IF($S1359="EVET",IF($D1359="GELİR",$O1359,-$O1359),0))</f>
        <v/>
      </c>
      <c r="AA1359" s="117">
        <f>IF($B1359="",0,IF(OR($W1359="EVET",$X1359="EVET",$Y1359="EVET"),0,IF($D1359="GELİR",IF($E1359="SATIŞ İADESİ/İSKONTO",-$O1359,$O1359),-$O1359)))</f>
        <v/>
      </c>
      <c r="AB1359" s="117">
        <f>IF($B1359="","",IF(OR($D1359="",$E1359="",$O1359=""),"EKSİK",IF($O1359&lt;=0,"SIFIR/NEGATİF",IF(COUNTIFS($C$6:$C$5000,$C1359,$O$6:$O$5000,$O1359,$B$6:$B$5000,$B1359)&gt;1,"MÜKERRER","OK"))))</f>
        <v/>
      </c>
    </row>
    <row r="1360" ht="16.5" customHeight="1" s="80">
      <c r="A1360" s="113" t="n"/>
      <c r="B1360" s="113" t="n"/>
      <c r="C1360" s="113" t="n"/>
      <c r="D1360" s="113" t="n"/>
      <c r="E1360" s="113" t="n"/>
      <c r="F1360" s="113" t="n"/>
      <c r="G1360" s="113" t="n"/>
      <c r="H1360" s="113" t="n"/>
      <c r="I1360" s="113" t="n"/>
      <c r="J1360" s="113" t="n"/>
      <c r="K1360" s="113" t="n"/>
      <c r="L1360" s="113" t="n"/>
      <c r="M1360" s="113" t="n"/>
      <c r="N1360" s="113" t="n"/>
      <c r="O1360" s="113" t="n"/>
      <c r="P1360" s="113" t="n"/>
      <c r="Q1360" s="113" t="n"/>
      <c r="R1360" s="113" t="n"/>
      <c r="S1360" s="113" t="n"/>
      <c r="T1360" s="113" t="n"/>
      <c r="U1360" s="113" t="n"/>
      <c r="V1360" s="113" t="n"/>
      <c r="W1360" s="113" t="n"/>
      <c r="X1360" s="113" t="n"/>
      <c r="Y1360" s="113" t="n"/>
      <c r="Z1360" s="117">
        <f>IF($B1360="",0,IF($S1360="EVET",IF($D1360="GELİR",$O1360,-$O1360),0))</f>
        <v/>
      </c>
      <c r="AA1360" s="117">
        <f>IF($B1360="",0,IF(OR($W1360="EVET",$X1360="EVET",$Y1360="EVET"),0,IF($D1360="GELİR",IF($E1360="SATIŞ İADESİ/İSKONTO",-$O1360,$O1360),-$O1360)))</f>
        <v/>
      </c>
      <c r="AB1360" s="117">
        <f>IF($B1360="","",IF(OR($D1360="",$E1360="",$O1360=""),"EKSİK",IF($O1360&lt;=0,"SIFIR/NEGATİF",IF(COUNTIFS($C$6:$C$5000,$C1360,$O$6:$O$5000,$O1360,$B$6:$B$5000,$B1360)&gt;1,"MÜKERRER","OK"))))</f>
        <v/>
      </c>
    </row>
    <row r="1361" ht="16.5" customHeight="1" s="80">
      <c r="A1361" s="113" t="n"/>
      <c r="B1361" s="113" t="n"/>
      <c r="C1361" s="113" t="n"/>
      <c r="D1361" s="113" t="n"/>
      <c r="E1361" s="113" t="n"/>
      <c r="F1361" s="113" t="n"/>
      <c r="G1361" s="113" t="n"/>
      <c r="H1361" s="113" t="n"/>
      <c r="I1361" s="113" t="n"/>
      <c r="J1361" s="113" t="n"/>
      <c r="K1361" s="113" t="n"/>
      <c r="L1361" s="113" t="n"/>
      <c r="M1361" s="113" t="n"/>
      <c r="N1361" s="113" t="n"/>
      <c r="O1361" s="113" t="n"/>
      <c r="P1361" s="113" t="n"/>
      <c r="Q1361" s="113" t="n"/>
      <c r="R1361" s="113" t="n"/>
      <c r="S1361" s="113" t="n"/>
      <c r="T1361" s="113" t="n"/>
      <c r="U1361" s="113" t="n"/>
      <c r="V1361" s="113" t="n"/>
      <c r="W1361" s="113" t="n"/>
      <c r="X1361" s="113" t="n"/>
      <c r="Y1361" s="113" t="n"/>
      <c r="Z1361" s="117">
        <f>IF($B1361="",0,IF($S1361="EVET",IF($D1361="GELİR",$O1361,-$O1361),0))</f>
        <v/>
      </c>
      <c r="AA1361" s="117">
        <f>IF($B1361="",0,IF(OR($W1361="EVET",$X1361="EVET",$Y1361="EVET"),0,IF($D1361="GELİR",IF($E1361="SATIŞ İADESİ/İSKONTO",-$O1361,$O1361),-$O1361)))</f>
        <v/>
      </c>
      <c r="AB1361" s="117">
        <f>IF($B1361="","",IF(OR($D1361="",$E1361="",$O1361=""),"EKSİK",IF($O1361&lt;=0,"SIFIR/NEGATİF",IF(COUNTIFS($C$6:$C$5000,$C1361,$O$6:$O$5000,$O1361,$B$6:$B$5000,$B1361)&gt;1,"MÜKERRER","OK"))))</f>
        <v/>
      </c>
    </row>
    <row r="1362" ht="16.5" customHeight="1" s="80">
      <c r="A1362" s="113" t="n"/>
      <c r="B1362" s="113" t="n"/>
      <c r="C1362" s="113" t="n"/>
      <c r="D1362" s="113" t="n"/>
      <c r="E1362" s="113" t="n"/>
      <c r="F1362" s="113" t="n"/>
      <c r="G1362" s="113" t="n"/>
      <c r="H1362" s="113" t="n"/>
      <c r="I1362" s="113" t="n"/>
      <c r="J1362" s="113" t="n"/>
      <c r="K1362" s="113" t="n"/>
      <c r="L1362" s="113" t="n"/>
      <c r="M1362" s="113" t="n"/>
      <c r="N1362" s="113" t="n"/>
      <c r="O1362" s="113" t="n"/>
      <c r="P1362" s="113" t="n"/>
      <c r="Q1362" s="113" t="n"/>
      <c r="R1362" s="113" t="n"/>
      <c r="S1362" s="113" t="n"/>
      <c r="T1362" s="113" t="n"/>
      <c r="U1362" s="113" t="n"/>
      <c r="V1362" s="113" t="n"/>
      <c r="W1362" s="113" t="n"/>
      <c r="X1362" s="113" t="n"/>
      <c r="Y1362" s="113" t="n"/>
      <c r="Z1362" s="117">
        <f>IF($B1362="",0,IF($S1362="EVET",IF($D1362="GELİR",$O1362,-$O1362),0))</f>
        <v/>
      </c>
      <c r="AA1362" s="117">
        <f>IF($B1362="",0,IF(OR($W1362="EVET",$X1362="EVET",$Y1362="EVET"),0,IF($D1362="GELİR",IF($E1362="SATIŞ İADESİ/İSKONTO",-$O1362,$O1362),-$O1362)))</f>
        <v/>
      </c>
      <c r="AB1362" s="117">
        <f>IF($B1362="","",IF(OR($D1362="",$E1362="",$O1362=""),"EKSİK",IF($O1362&lt;=0,"SIFIR/NEGATİF",IF(COUNTIFS($C$6:$C$5000,$C1362,$O$6:$O$5000,$O1362,$B$6:$B$5000,$B1362)&gt;1,"MÜKERRER","OK"))))</f>
        <v/>
      </c>
    </row>
    <row r="1363" ht="16.5" customHeight="1" s="80">
      <c r="A1363" s="113" t="n"/>
      <c r="B1363" s="113" t="n"/>
      <c r="C1363" s="113" t="n"/>
      <c r="D1363" s="113" t="n"/>
      <c r="E1363" s="113" t="n"/>
      <c r="F1363" s="113" t="n"/>
      <c r="G1363" s="113" t="n"/>
      <c r="H1363" s="113" t="n"/>
      <c r="I1363" s="113" t="n"/>
      <c r="J1363" s="113" t="n"/>
      <c r="K1363" s="113" t="n"/>
      <c r="L1363" s="113" t="n"/>
      <c r="M1363" s="113" t="n"/>
      <c r="N1363" s="113" t="n"/>
      <c r="O1363" s="113" t="n"/>
      <c r="P1363" s="113" t="n"/>
      <c r="Q1363" s="113" t="n"/>
      <c r="R1363" s="113" t="n"/>
      <c r="S1363" s="113" t="n"/>
      <c r="T1363" s="113" t="n"/>
      <c r="U1363" s="113" t="n"/>
      <c r="V1363" s="113" t="n"/>
      <c r="W1363" s="113" t="n"/>
      <c r="X1363" s="113" t="n"/>
      <c r="Y1363" s="113" t="n"/>
      <c r="Z1363" s="117">
        <f>IF($B1363="",0,IF($S1363="EVET",IF($D1363="GELİR",$O1363,-$O1363),0))</f>
        <v/>
      </c>
      <c r="AA1363" s="117">
        <f>IF($B1363="",0,IF(OR($W1363="EVET",$X1363="EVET",$Y1363="EVET"),0,IF($D1363="GELİR",IF($E1363="SATIŞ İADESİ/İSKONTO",-$O1363,$O1363),-$O1363)))</f>
        <v/>
      </c>
      <c r="AB1363" s="117">
        <f>IF($B1363="","",IF(OR($D1363="",$E1363="",$O1363=""),"EKSİK",IF($O1363&lt;=0,"SIFIR/NEGATİF",IF(COUNTIFS($C$6:$C$5000,$C1363,$O$6:$O$5000,$O1363,$B$6:$B$5000,$B1363)&gt;1,"MÜKERRER","OK"))))</f>
        <v/>
      </c>
    </row>
    <row r="1364" ht="16.5" customHeight="1" s="80">
      <c r="A1364" s="113" t="n"/>
      <c r="B1364" s="113" t="n"/>
      <c r="C1364" s="113" t="n"/>
      <c r="D1364" s="113" t="n"/>
      <c r="E1364" s="113" t="n"/>
      <c r="F1364" s="113" t="n"/>
      <c r="G1364" s="113" t="n"/>
      <c r="H1364" s="113" t="n"/>
      <c r="I1364" s="113" t="n"/>
      <c r="J1364" s="113" t="n"/>
      <c r="K1364" s="113" t="n"/>
      <c r="L1364" s="113" t="n"/>
      <c r="M1364" s="113" t="n"/>
      <c r="N1364" s="113" t="n"/>
      <c r="O1364" s="113" t="n"/>
      <c r="P1364" s="113" t="n"/>
      <c r="Q1364" s="113" t="n"/>
      <c r="R1364" s="113" t="n"/>
      <c r="S1364" s="113" t="n"/>
      <c r="T1364" s="113" t="n"/>
      <c r="U1364" s="113" t="n"/>
      <c r="V1364" s="113" t="n"/>
      <c r="W1364" s="113" t="n"/>
      <c r="X1364" s="113" t="n"/>
      <c r="Y1364" s="113" t="n"/>
      <c r="Z1364" s="117">
        <f>IF($B1364="",0,IF($S1364="EVET",IF($D1364="GELİR",$O1364,-$O1364),0))</f>
        <v/>
      </c>
      <c r="AA1364" s="117">
        <f>IF($B1364="",0,IF(OR($W1364="EVET",$X1364="EVET",$Y1364="EVET"),0,IF($D1364="GELİR",IF($E1364="SATIŞ İADESİ/İSKONTO",-$O1364,$O1364),-$O1364)))</f>
        <v/>
      </c>
      <c r="AB1364" s="117">
        <f>IF($B1364="","",IF(OR($D1364="",$E1364="",$O1364=""),"EKSİK",IF($O1364&lt;=0,"SIFIR/NEGATİF",IF(COUNTIFS($C$6:$C$5000,$C1364,$O$6:$O$5000,$O1364,$B$6:$B$5000,$B1364)&gt;1,"MÜKERRER","OK"))))</f>
        <v/>
      </c>
    </row>
    <row r="1365" ht="16.5" customHeight="1" s="80">
      <c r="A1365" s="113" t="n"/>
      <c r="B1365" s="113" t="n"/>
      <c r="C1365" s="113" t="n"/>
      <c r="D1365" s="113" t="n"/>
      <c r="E1365" s="113" t="n"/>
      <c r="F1365" s="113" t="n"/>
      <c r="G1365" s="113" t="n"/>
      <c r="H1365" s="113" t="n"/>
      <c r="I1365" s="113" t="n"/>
      <c r="J1365" s="113" t="n"/>
      <c r="K1365" s="113" t="n"/>
      <c r="L1365" s="113" t="n"/>
      <c r="M1365" s="113" t="n"/>
      <c r="N1365" s="113" t="n"/>
      <c r="O1365" s="113" t="n"/>
      <c r="P1365" s="113" t="n"/>
      <c r="Q1365" s="113" t="n"/>
      <c r="R1365" s="113" t="n"/>
      <c r="S1365" s="113" t="n"/>
      <c r="T1365" s="113" t="n"/>
      <c r="U1365" s="113" t="n"/>
      <c r="V1365" s="113" t="n"/>
      <c r="W1365" s="113" t="n"/>
      <c r="X1365" s="113" t="n"/>
      <c r="Y1365" s="113" t="n"/>
      <c r="Z1365" s="117">
        <f>IF($B1365="",0,IF($S1365="EVET",IF($D1365="GELİR",$O1365,-$O1365),0))</f>
        <v/>
      </c>
      <c r="AA1365" s="117">
        <f>IF($B1365="",0,IF(OR($W1365="EVET",$X1365="EVET",$Y1365="EVET"),0,IF($D1365="GELİR",IF($E1365="SATIŞ İADESİ/İSKONTO",-$O1365,$O1365),-$O1365)))</f>
        <v/>
      </c>
      <c r="AB1365" s="117">
        <f>IF($B1365="","",IF(OR($D1365="",$E1365="",$O1365=""),"EKSİK",IF($O1365&lt;=0,"SIFIR/NEGATİF",IF(COUNTIFS($C$6:$C$5000,$C1365,$O$6:$O$5000,$O1365,$B$6:$B$5000,$B1365)&gt;1,"MÜKERRER","OK"))))</f>
        <v/>
      </c>
    </row>
    <row r="1366" ht="16.5" customHeight="1" s="80">
      <c r="A1366" s="113" t="n"/>
      <c r="B1366" s="113" t="n"/>
      <c r="C1366" s="113" t="n"/>
      <c r="D1366" s="113" t="n"/>
      <c r="E1366" s="113" t="n"/>
      <c r="F1366" s="113" t="n"/>
      <c r="G1366" s="113" t="n"/>
      <c r="H1366" s="113" t="n"/>
      <c r="I1366" s="113" t="n"/>
      <c r="J1366" s="113" t="n"/>
      <c r="K1366" s="113" t="n"/>
      <c r="L1366" s="113" t="n"/>
      <c r="M1366" s="113" t="n"/>
      <c r="N1366" s="113" t="n"/>
      <c r="O1366" s="113" t="n"/>
      <c r="P1366" s="113" t="n"/>
      <c r="Q1366" s="113" t="n"/>
      <c r="R1366" s="113" t="n"/>
      <c r="S1366" s="113" t="n"/>
      <c r="T1366" s="113" t="n"/>
      <c r="U1366" s="113" t="n"/>
      <c r="V1366" s="113" t="n"/>
      <c r="W1366" s="113" t="n"/>
      <c r="X1366" s="113" t="n"/>
      <c r="Y1366" s="113" t="n"/>
      <c r="Z1366" s="117">
        <f>IF($B1366="",0,IF($S1366="EVET",IF($D1366="GELİR",$O1366,-$O1366),0))</f>
        <v/>
      </c>
      <c r="AA1366" s="117">
        <f>IF($B1366="",0,IF(OR($W1366="EVET",$X1366="EVET",$Y1366="EVET"),0,IF($D1366="GELİR",IF($E1366="SATIŞ İADESİ/İSKONTO",-$O1366,$O1366),-$O1366)))</f>
        <v/>
      </c>
      <c r="AB1366" s="117">
        <f>IF($B1366="","",IF(OR($D1366="",$E1366="",$O1366=""),"EKSİK",IF($O1366&lt;=0,"SIFIR/NEGATİF",IF(COUNTIFS($C$6:$C$5000,$C1366,$O$6:$O$5000,$O1366,$B$6:$B$5000,$B1366)&gt;1,"MÜKERRER","OK"))))</f>
        <v/>
      </c>
    </row>
    <row r="1367" ht="16.5" customHeight="1" s="80">
      <c r="A1367" s="113" t="n"/>
      <c r="B1367" s="113" t="n"/>
      <c r="C1367" s="113" t="n"/>
      <c r="D1367" s="113" t="n"/>
      <c r="E1367" s="113" t="n"/>
      <c r="F1367" s="113" t="n"/>
      <c r="G1367" s="113" t="n"/>
      <c r="H1367" s="113" t="n"/>
      <c r="I1367" s="113" t="n"/>
      <c r="J1367" s="113" t="n"/>
      <c r="K1367" s="113" t="n"/>
      <c r="L1367" s="113" t="n"/>
      <c r="M1367" s="113" t="n"/>
      <c r="N1367" s="113" t="n"/>
      <c r="O1367" s="113" t="n"/>
      <c r="P1367" s="113" t="n"/>
      <c r="Q1367" s="113" t="n"/>
      <c r="R1367" s="113" t="n"/>
      <c r="S1367" s="113" t="n"/>
      <c r="T1367" s="113" t="n"/>
      <c r="U1367" s="113" t="n"/>
      <c r="V1367" s="113" t="n"/>
      <c r="W1367" s="113" t="n"/>
      <c r="X1367" s="113" t="n"/>
      <c r="Y1367" s="113" t="n"/>
      <c r="Z1367" s="117">
        <f>IF($B1367="",0,IF($S1367="EVET",IF($D1367="GELİR",$O1367,-$O1367),0))</f>
        <v/>
      </c>
      <c r="AA1367" s="117">
        <f>IF($B1367="",0,IF(OR($W1367="EVET",$X1367="EVET",$Y1367="EVET"),0,IF($D1367="GELİR",IF($E1367="SATIŞ İADESİ/İSKONTO",-$O1367,$O1367),-$O1367)))</f>
        <v/>
      </c>
      <c r="AB1367" s="117">
        <f>IF($B1367="","",IF(OR($D1367="",$E1367="",$O1367=""),"EKSİK",IF($O1367&lt;=0,"SIFIR/NEGATİF",IF(COUNTIFS($C$6:$C$5000,$C1367,$O$6:$O$5000,$O1367,$B$6:$B$5000,$B1367)&gt;1,"MÜKERRER","OK"))))</f>
        <v/>
      </c>
    </row>
    <row r="1368" ht="16.5" customHeight="1" s="80">
      <c r="A1368" s="113" t="n"/>
      <c r="B1368" s="113" t="n"/>
      <c r="C1368" s="113" t="n"/>
      <c r="D1368" s="113" t="n"/>
      <c r="E1368" s="113" t="n"/>
      <c r="F1368" s="113" t="n"/>
      <c r="G1368" s="113" t="n"/>
      <c r="H1368" s="113" t="n"/>
      <c r="I1368" s="113" t="n"/>
      <c r="J1368" s="113" t="n"/>
      <c r="K1368" s="113" t="n"/>
      <c r="L1368" s="113" t="n"/>
      <c r="M1368" s="113" t="n"/>
      <c r="N1368" s="113" t="n"/>
      <c r="O1368" s="113" t="n"/>
      <c r="P1368" s="113" t="n"/>
      <c r="Q1368" s="113" t="n"/>
      <c r="R1368" s="113" t="n"/>
      <c r="S1368" s="113" t="n"/>
      <c r="T1368" s="113" t="n"/>
      <c r="U1368" s="113" t="n"/>
      <c r="V1368" s="113" t="n"/>
      <c r="W1368" s="113" t="n"/>
      <c r="X1368" s="113" t="n"/>
      <c r="Y1368" s="113" t="n"/>
      <c r="Z1368" s="117">
        <f>IF($B1368="",0,IF($S1368="EVET",IF($D1368="GELİR",$O1368,-$O1368),0))</f>
        <v/>
      </c>
      <c r="AA1368" s="117">
        <f>IF($B1368="",0,IF(OR($W1368="EVET",$X1368="EVET",$Y1368="EVET"),0,IF($D1368="GELİR",IF($E1368="SATIŞ İADESİ/İSKONTO",-$O1368,$O1368),-$O1368)))</f>
        <v/>
      </c>
      <c r="AB1368" s="117">
        <f>IF($B1368="","",IF(OR($D1368="",$E1368="",$O1368=""),"EKSİK",IF($O1368&lt;=0,"SIFIR/NEGATİF",IF(COUNTIFS($C$6:$C$5000,$C1368,$O$6:$O$5000,$O1368,$B$6:$B$5000,$B1368)&gt;1,"MÜKERRER","OK"))))</f>
        <v/>
      </c>
    </row>
    <row r="1369" ht="16.5" customHeight="1" s="80">
      <c r="A1369" s="113" t="n"/>
      <c r="B1369" s="113" t="n"/>
      <c r="C1369" s="113" t="n"/>
      <c r="D1369" s="113" t="n"/>
      <c r="E1369" s="113" t="n"/>
      <c r="F1369" s="113" t="n"/>
      <c r="G1369" s="113" t="n"/>
      <c r="H1369" s="113" t="n"/>
      <c r="I1369" s="113" t="n"/>
      <c r="J1369" s="113" t="n"/>
      <c r="K1369" s="113" t="n"/>
      <c r="L1369" s="113" t="n"/>
      <c r="M1369" s="113" t="n"/>
      <c r="N1369" s="113" t="n"/>
      <c r="O1369" s="113" t="n"/>
      <c r="P1369" s="113" t="n"/>
      <c r="Q1369" s="113" t="n"/>
      <c r="R1369" s="113" t="n"/>
      <c r="S1369" s="113" t="n"/>
      <c r="T1369" s="113" t="n"/>
      <c r="U1369" s="113" t="n"/>
      <c r="V1369" s="113" t="n"/>
      <c r="W1369" s="113" t="n"/>
      <c r="X1369" s="113" t="n"/>
      <c r="Y1369" s="113" t="n"/>
      <c r="Z1369" s="117">
        <f>IF($B1369="",0,IF($S1369="EVET",IF($D1369="GELİR",$O1369,-$O1369),0))</f>
        <v/>
      </c>
      <c r="AA1369" s="117">
        <f>IF($B1369="",0,IF(OR($W1369="EVET",$X1369="EVET",$Y1369="EVET"),0,IF($D1369="GELİR",IF($E1369="SATIŞ İADESİ/İSKONTO",-$O1369,$O1369),-$O1369)))</f>
        <v/>
      </c>
      <c r="AB1369" s="117">
        <f>IF($B1369="","",IF(OR($D1369="",$E1369="",$O1369=""),"EKSİK",IF($O1369&lt;=0,"SIFIR/NEGATİF",IF(COUNTIFS($C$6:$C$5000,$C1369,$O$6:$O$5000,$O1369,$B$6:$B$5000,$B1369)&gt;1,"MÜKERRER","OK"))))</f>
        <v/>
      </c>
    </row>
    <row r="1370" ht="16.5" customHeight="1" s="80">
      <c r="A1370" s="113" t="n"/>
      <c r="B1370" s="113" t="n"/>
      <c r="C1370" s="113" t="n"/>
      <c r="D1370" s="113" t="n"/>
      <c r="E1370" s="113" t="n"/>
      <c r="F1370" s="113" t="n"/>
      <c r="G1370" s="113" t="n"/>
      <c r="H1370" s="113" t="n"/>
      <c r="I1370" s="113" t="n"/>
      <c r="J1370" s="113" t="n"/>
      <c r="K1370" s="113" t="n"/>
      <c r="L1370" s="113" t="n"/>
      <c r="M1370" s="113" t="n"/>
      <c r="N1370" s="113" t="n"/>
      <c r="O1370" s="113" t="n"/>
      <c r="P1370" s="113" t="n"/>
      <c r="Q1370" s="113" t="n"/>
      <c r="R1370" s="113" t="n"/>
      <c r="S1370" s="113" t="n"/>
      <c r="T1370" s="113" t="n"/>
      <c r="U1370" s="113" t="n"/>
      <c r="V1370" s="113" t="n"/>
      <c r="W1370" s="113" t="n"/>
      <c r="X1370" s="113" t="n"/>
      <c r="Y1370" s="113" t="n"/>
      <c r="Z1370" s="117">
        <f>IF($B1370="",0,IF($S1370="EVET",IF($D1370="GELİR",$O1370,-$O1370),0))</f>
        <v/>
      </c>
      <c r="AA1370" s="117">
        <f>IF($B1370="",0,IF(OR($W1370="EVET",$X1370="EVET",$Y1370="EVET"),0,IF($D1370="GELİR",IF($E1370="SATIŞ İADESİ/İSKONTO",-$O1370,$O1370),-$O1370)))</f>
        <v/>
      </c>
      <c r="AB1370" s="117">
        <f>IF($B1370="","",IF(OR($D1370="",$E1370="",$O1370=""),"EKSİK",IF($O1370&lt;=0,"SIFIR/NEGATİF",IF(COUNTIFS($C$6:$C$5000,$C1370,$O$6:$O$5000,$O1370,$B$6:$B$5000,$B1370)&gt;1,"MÜKERRER","OK"))))</f>
        <v/>
      </c>
    </row>
    <row r="1371" ht="16.5" customHeight="1" s="80">
      <c r="A1371" s="113" t="n"/>
      <c r="B1371" s="113" t="n"/>
      <c r="C1371" s="113" t="n"/>
      <c r="D1371" s="113" t="n"/>
      <c r="E1371" s="113" t="n"/>
      <c r="F1371" s="113" t="n"/>
      <c r="G1371" s="113" t="n"/>
      <c r="H1371" s="113" t="n"/>
      <c r="I1371" s="113" t="n"/>
      <c r="J1371" s="113" t="n"/>
      <c r="K1371" s="113" t="n"/>
      <c r="L1371" s="113" t="n"/>
      <c r="M1371" s="113" t="n"/>
      <c r="N1371" s="113" t="n"/>
      <c r="O1371" s="113" t="n"/>
      <c r="P1371" s="113" t="n"/>
      <c r="Q1371" s="113" t="n"/>
      <c r="R1371" s="113" t="n"/>
      <c r="S1371" s="113" t="n"/>
      <c r="T1371" s="113" t="n"/>
      <c r="U1371" s="113" t="n"/>
      <c r="V1371" s="113" t="n"/>
      <c r="W1371" s="113" t="n"/>
      <c r="X1371" s="113" t="n"/>
      <c r="Y1371" s="113" t="n"/>
      <c r="Z1371" s="117">
        <f>IF($B1371="",0,IF($S1371="EVET",IF($D1371="GELİR",$O1371,-$O1371),0))</f>
        <v/>
      </c>
      <c r="AA1371" s="117">
        <f>IF($B1371="",0,IF(OR($W1371="EVET",$X1371="EVET",$Y1371="EVET"),0,IF($D1371="GELİR",IF($E1371="SATIŞ İADESİ/İSKONTO",-$O1371,$O1371),-$O1371)))</f>
        <v/>
      </c>
      <c r="AB1371" s="117">
        <f>IF($B1371="","",IF(OR($D1371="",$E1371="",$O1371=""),"EKSİK",IF($O1371&lt;=0,"SIFIR/NEGATİF",IF(COUNTIFS($C$6:$C$5000,$C1371,$O$6:$O$5000,$O1371,$B$6:$B$5000,$B1371)&gt;1,"MÜKERRER","OK"))))</f>
        <v/>
      </c>
    </row>
    <row r="1372" ht="16.5" customHeight="1" s="80">
      <c r="A1372" s="113" t="n"/>
      <c r="B1372" s="113" t="n"/>
      <c r="C1372" s="113" t="n"/>
      <c r="D1372" s="113" t="n"/>
      <c r="E1372" s="113" t="n"/>
      <c r="F1372" s="113" t="n"/>
      <c r="G1372" s="113" t="n"/>
      <c r="H1372" s="113" t="n"/>
      <c r="I1372" s="113" t="n"/>
      <c r="J1372" s="113" t="n"/>
      <c r="K1372" s="113" t="n"/>
      <c r="L1372" s="113" t="n"/>
      <c r="M1372" s="113" t="n"/>
      <c r="N1372" s="113" t="n"/>
      <c r="O1372" s="113" t="n"/>
      <c r="P1372" s="113" t="n"/>
      <c r="Q1372" s="113" t="n"/>
      <c r="R1372" s="113" t="n"/>
      <c r="S1372" s="113" t="n"/>
      <c r="T1372" s="113" t="n"/>
      <c r="U1372" s="113" t="n"/>
      <c r="V1372" s="113" t="n"/>
      <c r="W1372" s="113" t="n"/>
      <c r="X1372" s="113" t="n"/>
      <c r="Y1372" s="113" t="n"/>
      <c r="Z1372" s="117">
        <f>IF($B1372="",0,IF($S1372="EVET",IF($D1372="GELİR",$O1372,-$O1372),0))</f>
        <v/>
      </c>
      <c r="AA1372" s="117">
        <f>IF($B1372="",0,IF(OR($W1372="EVET",$X1372="EVET",$Y1372="EVET"),0,IF($D1372="GELİR",IF($E1372="SATIŞ İADESİ/İSKONTO",-$O1372,$O1372),-$O1372)))</f>
        <v/>
      </c>
      <c r="AB1372" s="117">
        <f>IF($B1372="","",IF(OR($D1372="",$E1372="",$O1372=""),"EKSİK",IF($O1372&lt;=0,"SIFIR/NEGATİF",IF(COUNTIFS($C$6:$C$5000,$C1372,$O$6:$O$5000,$O1372,$B$6:$B$5000,$B1372)&gt;1,"MÜKERRER","OK"))))</f>
        <v/>
      </c>
    </row>
    <row r="1373" ht="16.5" customHeight="1" s="80">
      <c r="A1373" s="113" t="n"/>
      <c r="B1373" s="113" t="n"/>
      <c r="C1373" s="113" t="n"/>
      <c r="D1373" s="113" t="n"/>
      <c r="E1373" s="113" t="n"/>
      <c r="F1373" s="113" t="n"/>
      <c r="G1373" s="113" t="n"/>
      <c r="H1373" s="113" t="n"/>
      <c r="I1373" s="113" t="n"/>
      <c r="J1373" s="113" t="n"/>
      <c r="K1373" s="113" t="n"/>
      <c r="L1373" s="113" t="n"/>
      <c r="M1373" s="113" t="n"/>
      <c r="N1373" s="113" t="n"/>
      <c r="O1373" s="113" t="n"/>
      <c r="P1373" s="113" t="n"/>
      <c r="Q1373" s="113" t="n"/>
      <c r="R1373" s="113" t="n"/>
      <c r="S1373" s="113" t="n"/>
      <c r="T1373" s="113" t="n"/>
      <c r="U1373" s="113" t="n"/>
      <c r="V1373" s="113" t="n"/>
      <c r="W1373" s="113" t="n"/>
      <c r="X1373" s="113" t="n"/>
      <c r="Y1373" s="113" t="n"/>
      <c r="Z1373" s="117">
        <f>IF($B1373="",0,IF($S1373="EVET",IF($D1373="GELİR",$O1373,-$O1373),0))</f>
        <v/>
      </c>
      <c r="AA1373" s="117">
        <f>IF($B1373="",0,IF(OR($W1373="EVET",$X1373="EVET",$Y1373="EVET"),0,IF($D1373="GELİR",IF($E1373="SATIŞ İADESİ/İSKONTO",-$O1373,$O1373),-$O1373)))</f>
        <v/>
      </c>
      <c r="AB1373" s="117">
        <f>IF($B1373="","",IF(OR($D1373="",$E1373="",$O1373=""),"EKSİK",IF($O1373&lt;=0,"SIFIR/NEGATİF",IF(COUNTIFS($C$6:$C$5000,$C1373,$O$6:$O$5000,$O1373,$B$6:$B$5000,$B1373)&gt;1,"MÜKERRER","OK"))))</f>
        <v/>
      </c>
    </row>
    <row r="1374" ht="16.5" customHeight="1" s="80">
      <c r="A1374" s="113" t="n"/>
      <c r="B1374" s="113" t="n"/>
      <c r="C1374" s="113" t="n"/>
      <c r="D1374" s="113" t="n"/>
      <c r="E1374" s="113" t="n"/>
      <c r="F1374" s="113" t="n"/>
      <c r="G1374" s="113" t="n"/>
      <c r="H1374" s="113" t="n"/>
      <c r="I1374" s="113" t="n"/>
      <c r="J1374" s="113" t="n"/>
      <c r="K1374" s="113" t="n"/>
      <c r="L1374" s="113" t="n"/>
      <c r="M1374" s="113" t="n"/>
      <c r="N1374" s="113" t="n"/>
      <c r="O1374" s="113" t="n"/>
      <c r="P1374" s="113" t="n"/>
      <c r="Q1374" s="113" t="n"/>
      <c r="R1374" s="113" t="n"/>
      <c r="S1374" s="113" t="n"/>
      <c r="T1374" s="113" t="n"/>
      <c r="U1374" s="113" t="n"/>
      <c r="V1374" s="113" t="n"/>
      <c r="W1374" s="113" t="n"/>
      <c r="X1374" s="113" t="n"/>
      <c r="Y1374" s="113" t="n"/>
      <c r="Z1374" s="117">
        <f>IF($B1374="",0,IF($S1374="EVET",IF($D1374="GELİR",$O1374,-$O1374),0))</f>
        <v/>
      </c>
      <c r="AA1374" s="117">
        <f>IF($B1374="",0,IF(OR($W1374="EVET",$X1374="EVET",$Y1374="EVET"),0,IF($D1374="GELİR",IF($E1374="SATIŞ İADESİ/İSKONTO",-$O1374,$O1374),-$O1374)))</f>
        <v/>
      </c>
      <c r="AB1374" s="117">
        <f>IF($B1374="","",IF(OR($D1374="",$E1374="",$O1374=""),"EKSİK",IF($O1374&lt;=0,"SIFIR/NEGATİF",IF(COUNTIFS($C$6:$C$5000,$C1374,$O$6:$O$5000,$O1374,$B$6:$B$5000,$B1374)&gt;1,"MÜKERRER","OK"))))</f>
        <v/>
      </c>
    </row>
    <row r="1375" ht="16.5" customHeight="1" s="80">
      <c r="A1375" s="113" t="n"/>
      <c r="B1375" s="113" t="n"/>
      <c r="C1375" s="113" t="n"/>
      <c r="D1375" s="113" t="n"/>
      <c r="E1375" s="113" t="n"/>
      <c r="F1375" s="113" t="n"/>
      <c r="G1375" s="113" t="n"/>
      <c r="H1375" s="113" t="n"/>
      <c r="I1375" s="113" t="n"/>
      <c r="J1375" s="113" t="n"/>
      <c r="K1375" s="113" t="n"/>
      <c r="L1375" s="113" t="n"/>
      <c r="M1375" s="113" t="n"/>
      <c r="N1375" s="113" t="n"/>
      <c r="O1375" s="113" t="n"/>
      <c r="P1375" s="113" t="n"/>
      <c r="Q1375" s="113" t="n"/>
      <c r="R1375" s="113" t="n"/>
      <c r="S1375" s="113" t="n"/>
      <c r="T1375" s="113" t="n"/>
      <c r="U1375" s="113" t="n"/>
      <c r="V1375" s="113" t="n"/>
      <c r="W1375" s="113" t="n"/>
      <c r="X1375" s="113" t="n"/>
      <c r="Y1375" s="113" t="n"/>
      <c r="Z1375" s="117">
        <f>IF($B1375="",0,IF($S1375="EVET",IF($D1375="GELİR",$O1375,-$O1375),0))</f>
        <v/>
      </c>
      <c r="AA1375" s="117">
        <f>IF($B1375="",0,IF(OR($W1375="EVET",$X1375="EVET",$Y1375="EVET"),0,IF($D1375="GELİR",IF($E1375="SATIŞ İADESİ/İSKONTO",-$O1375,$O1375),-$O1375)))</f>
        <v/>
      </c>
      <c r="AB1375" s="117">
        <f>IF($B1375="","",IF(OR($D1375="",$E1375="",$O1375=""),"EKSİK",IF($O1375&lt;=0,"SIFIR/NEGATİF",IF(COUNTIFS($C$6:$C$5000,$C1375,$O$6:$O$5000,$O1375,$B$6:$B$5000,$B1375)&gt;1,"MÜKERRER","OK"))))</f>
        <v/>
      </c>
    </row>
    <row r="1376" ht="16.5" customHeight="1" s="80">
      <c r="A1376" s="113" t="n"/>
      <c r="B1376" s="113" t="n"/>
      <c r="C1376" s="113" t="n"/>
      <c r="D1376" s="113" t="n"/>
      <c r="E1376" s="113" t="n"/>
      <c r="F1376" s="113" t="n"/>
      <c r="G1376" s="113" t="n"/>
      <c r="H1376" s="113" t="n"/>
      <c r="I1376" s="113" t="n"/>
      <c r="J1376" s="113" t="n"/>
      <c r="K1376" s="113" t="n"/>
      <c r="L1376" s="113" t="n"/>
      <c r="M1376" s="113" t="n"/>
      <c r="N1376" s="113" t="n"/>
      <c r="O1376" s="113" t="n"/>
      <c r="P1376" s="113" t="n"/>
      <c r="Q1376" s="113" t="n"/>
      <c r="R1376" s="113" t="n"/>
      <c r="S1376" s="113" t="n"/>
      <c r="T1376" s="113" t="n"/>
      <c r="U1376" s="113" t="n"/>
      <c r="V1376" s="113" t="n"/>
      <c r="W1376" s="113" t="n"/>
      <c r="X1376" s="113" t="n"/>
      <c r="Y1376" s="113" t="n"/>
      <c r="Z1376" s="117">
        <f>IF($B1376="",0,IF($S1376="EVET",IF($D1376="GELİR",$O1376,-$O1376),0))</f>
        <v/>
      </c>
      <c r="AA1376" s="117">
        <f>IF($B1376="",0,IF(OR($W1376="EVET",$X1376="EVET",$Y1376="EVET"),0,IF($D1376="GELİR",IF($E1376="SATIŞ İADESİ/İSKONTO",-$O1376,$O1376),-$O1376)))</f>
        <v/>
      </c>
      <c r="AB1376" s="117">
        <f>IF($B1376="","",IF(OR($D1376="",$E1376="",$O1376=""),"EKSİK",IF($O1376&lt;=0,"SIFIR/NEGATİF",IF(COUNTIFS($C$6:$C$5000,$C1376,$O$6:$O$5000,$O1376,$B$6:$B$5000,$B1376)&gt;1,"MÜKERRER","OK"))))</f>
        <v/>
      </c>
    </row>
    <row r="1377" ht="16.5" customHeight="1" s="80">
      <c r="A1377" s="113" t="n"/>
      <c r="B1377" s="113" t="n"/>
      <c r="C1377" s="113" t="n"/>
      <c r="D1377" s="113" t="n"/>
      <c r="E1377" s="113" t="n"/>
      <c r="F1377" s="113" t="n"/>
      <c r="G1377" s="113" t="n"/>
      <c r="H1377" s="113" t="n"/>
      <c r="I1377" s="113" t="n"/>
      <c r="J1377" s="113" t="n"/>
      <c r="K1377" s="113" t="n"/>
      <c r="L1377" s="113" t="n"/>
      <c r="M1377" s="113" t="n"/>
      <c r="N1377" s="113" t="n"/>
      <c r="O1377" s="113" t="n"/>
      <c r="P1377" s="113" t="n"/>
      <c r="Q1377" s="113" t="n"/>
      <c r="R1377" s="113" t="n"/>
      <c r="S1377" s="113" t="n"/>
      <c r="T1377" s="113" t="n"/>
      <c r="U1377" s="113" t="n"/>
      <c r="V1377" s="113" t="n"/>
      <c r="W1377" s="113" t="n"/>
      <c r="X1377" s="113" t="n"/>
      <c r="Y1377" s="113" t="n"/>
      <c r="Z1377" s="117">
        <f>IF($B1377="",0,IF($S1377="EVET",IF($D1377="GELİR",$O1377,-$O1377),0))</f>
        <v/>
      </c>
      <c r="AA1377" s="117">
        <f>IF($B1377="",0,IF(OR($W1377="EVET",$X1377="EVET",$Y1377="EVET"),0,IF($D1377="GELİR",IF($E1377="SATIŞ İADESİ/İSKONTO",-$O1377,$O1377),-$O1377)))</f>
        <v/>
      </c>
      <c r="AB1377" s="117">
        <f>IF($B1377="","",IF(OR($D1377="",$E1377="",$O1377=""),"EKSİK",IF($O1377&lt;=0,"SIFIR/NEGATİF",IF(COUNTIFS($C$6:$C$5000,$C1377,$O$6:$O$5000,$O1377,$B$6:$B$5000,$B1377)&gt;1,"MÜKERRER","OK"))))</f>
        <v/>
      </c>
    </row>
    <row r="1378" ht="16.5" customHeight="1" s="80">
      <c r="A1378" s="113" t="n"/>
      <c r="B1378" s="113" t="n"/>
      <c r="C1378" s="113" t="n"/>
      <c r="D1378" s="113" t="n"/>
      <c r="E1378" s="113" t="n"/>
      <c r="F1378" s="113" t="n"/>
      <c r="G1378" s="113" t="n"/>
      <c r="H1378" s="113" t="n"/>
      <c r="I1378" s="113" t="n"/>
      <c r="J1378" s="113" t="n"/>
      <c r="K1378" s="113" t="n"/>
      <c r="L1378" s="113" t="n"/>
      <c r="M1378" s="113" t="n"/>
      <c r="N1378" s="113" t="n"/>
      <c r="O1378" s="113" t="n"/>
      <c r="P1378" s="113" t="n"/>
      <c r="Q1378" s="113" t="n"/>
      <c r="R1378" s="113" t="n"/>
      <c r="S1378" s="113" t="n"/>
      <c r="T1378" s="113" t="n"/>
      <c r="U1378" s="113" t="n"/>
      <c r="V1378" s="113" t="n"/>
      <c r="W1378" s="113" t="n"/>
      <c r="X1378" s="113" t="n"/>
      <c r="Y1378" s="113" t="n"/>
      <c r="Z1378" s="117">
        <f>IF($B1378="",0,IF($S1378="EVET",IF($D1378="GELİR",$O1378,-$O1378),0))</f>
        <v/>
      </c>
      <c r="AA1378" s="117">
        <f>IF($B1378="",0,IF(OR($W1378="EVET",$X1378="EVET",$Y1378="EVET"),0,IF($D1378="GELİR",IF($E1378="SATIŞ İADESİ/İSKONTO",-$O1378,$O1378),-$O1378)))</f>
        <v/>
      </c>
      <c r="AB1378" s="117">
        <f>IF($B1378="","",IF(OR($D1378="",$E1378="",$O1378=""),"EKSİK",IF($O1378&lt;=0,"SIFIR/NEGATİF",IF(COUNTIFS($C$6:$C$5000,$C1378,$O$6:$O$5000,$O1378,$B$6:$B$5000,$B1378)&gt;1,"MÜKERRER","OK"))))</f>
        <v/>
      </c>
    </row>
    <row r="1379" ht="16.5" customHeight="1" s="80">
      <c r="A1379" s="113" t="n"/>
      <c r="B1379" s="113" t="n"/>
      <c r="C1379" s="113" t="n"/>
      <c r="D1379" s="113" t="n"/>
      <c r="E1379" s="113" t="n"/>
      <c r="F1379" s="113" t="n"/>
      <c r="G1379" s="113" t="n"/>
      <c r="H1379" s="113" t="n"/>
      <c r="I1379" s="113" t="n"/>
      <c r="J1379" s="113" t="n"/>
      <c r="K1379" s="113" t="n"/>
      <c r="L1379" s="113" t="n"/>
      <c r="M1379" s="113" t="n"/>
      <c r="N1379" s="113" t="n"/>
      <c r="O1379" s="113" t="n"/>
      <c r="P1379" s="113" t="n"/>
      <c r="Q1379" s="113" t="n"/>
      <c r="R1379" s="113" t="n"/>
      <c r="S1379" s="113" t="n"/>
      <c r="T1379" s="113" t="n"/>
      <c r="U1379" s="113" t="n"/>
      <c r="V1379" s="113" t="n"/>
      <c r="W1379" s="113" t="n"/>
      <c r="X1379" s="113" t="n"/>
      <c r="Y1379" s="113" t="n"/>
      <c r="Z1379" s="117">
        <f>IF($B1379="",0,IF($S1379="EVET",IF($D1379="GELİR",$O1379,-$O1379),0))</f>
        <v/>
      </c>
      <c r="AA1379" s="117">
        <f>IF($B1379="",0,IF(OR($W1379="EVET",$X1379="EVET",$Y1379="EVET"),0,IF($D1379="GELİR",IF($E1379="SATIŞ İADESİ/İSKONTO",-$O1379,$O1379),-$O1379)))</f>
        <v/>
      </c>
      <c r="AB1379" s="117">
        <f>IF($B1379="","",IF(OR($D1379="",$E1379="",$O1379=""),"EKSİK",IF($O1379&lt;=0,"SIFIR/NEGATİF",IF(COUNTIFS($C$6:$C$5000,$C1379,$O$6:$O$5000,$O1379,$B$6:$B$5000,$B1379)&gt;1,"MÜKERRER","OK"))))</f>
        <v/>
      </c>
    </row>
    <row r="1380" ht="16.5" customHeight="1" s="80">
      <c r="A1380" s="113" t="n"/>
      <c r="B1380" s="113" t="n"/>
      <c r="C1380" s="113" t="n"/>
      <c r="D1380" s="113" t="n"/>
      <c r="E1380" s="113" t="n"/>
      <c r="F1380" s="113" t="n"/>
      <c r="G1380" s="113" t="n"/>
      <c r="H1380" s="113" t="n"/>
      <c r="I1380" s="113" t="n"/>
      <c r="J1380" s="113" t="n"/>
      <c r="K1380" s="113" t="n"/>
      <c r="L1380" s="113" t="n"/>
      <c r="M1380" s="113" t="n"/>
      <c r="N1380" s="113" t="n"/>
      <c r="O1380" s="113" t="n"/>
      <c r="P1380" s="113" t="n"/>
      <c r="Q1380" s="113" t="n"/>
      <c r="R1380" s="113" t="n"/>
      <c r="S1380" s="113" t="n"/>
      <c r="T1380" s="113" t="n"/>
      <c r="U1380" s="113" t="n"/>
      <c r="V1380" s="113" t="n"/>
      <c r="W1380" s="113" t="n"/>
      <c r="X1380" s="113" t="n"/>
      <c r="Y1380" s="113" t="n"/>
      <c r="Z1380" s="117">
        <f>IF($B1380="",0,IF($S1380="EVET",IF($D1380="GELİR",$O1380,-$O1380),0))</f>
        <v/>
      </c>
      <c r="AA1380" s="117">
        <f>IF($B1380="",0,IF(OR($W1380="EVET",$X1380="EVET",$Y1380="EVET"),0,IF($D1380="GELİR",IF($E1380="SATIŞ İADESİ/İSKONTO",-$O1380,$O1380),-$O1380)))</f>
        <v/>
      </c>
      <c r="AB1380" s="117">
        <f>IF($B1380="","",IF(OR($D1380="",$E1380="",$O1380=""),"EKSİK",IF($O1380&lt;=0,"SIFIR/NEGATİF",IF(COUNTIFS($C$6:$C$5000,$C1380,$O$6:$O$5000,$O1380,$B$6:$B$5000,$B1380)&gt;1,"MÜKERRER","OK"))))</f>
        <v/>
      </c>
    </row>
    <row r="1381" ht="16.5" customHeight="1" s="80">
      <c r="A1381" s="113" t="n"/>
      <c r="B1381" s="113" t="n"/>
      <c r="C1381" s="113" t="n"/>
      <c r="D1381" s="113" t="n"/>
      <c r="E1381" s="113" t="n"/>
      <c r="F1381" s="113" t="n"/>
      <c r="G1381" s="113" t="n"/>
      <c r="H1381" s="113" t="n"/>
      <c r="I1381" s="113" t="n"/>
      <c r="J1381" s="113" t="n"/>
      <c r="K1381" s="113" t="n"/>
      <c r="L1381" s="113" t="n"/>
      <c r="M1381" s="113" t="n"/>
      <c r="N1381" s="113" t="n"/>
      <c r="O1381" s="113" t="n"/>
      <c r="P1381" s="113" t="n"/>
      <c r="Q1381" s="113" t="n"/>
      <c r="R1381" s="113" t="n"/>
      <c r="S1381" s="113" t="n"/>
      <c r="T1381" s="113" t="n"/>
      <c r="U1381" s="113" t="n"/>
      <c r="V1381" s="113" t="n"/>
      <c r="W1381" s="113" t="n"/>
      <c r="X1381" s="113" t="n"/>
      <c r="Y1381" s="113" t="n"/>
      <c r="Z1381" s="117">
        <f>IF($B1381="",0,IF($S1381="EVET",IF($D1381="GELİR",$O1381,-$O1381),0))</f>
        <v/>
      </c>
      <c r="AA1381" s="117">
        <f>IF($B1381="",0,IF(OR($W1381="EVET",$X1381="EVET",$Y1381="EVET"),0,IF($D1381="GELİR",IF($E1381="SATIŞ İADESİ/İSKONTO",-$O1381,$O1381),-$O1381)))</f>
        <v/>
      </c>
      <c r="AB1381" s="117">
        <f>IF($B1381="","",IF(OR($D1381="",$E1381="",$O1381=""),"EKSİK",IF($O1381&lt;=0,"SIFIR/NEGATİF",IF(COUNTIFS($C$6:$C$5000,$C1381,$O$6:$O$5000,$O1381,$B$6:$B$5000,$B1381)&gt;1,"MÜKERRER","OK"))))</f>
        <v/>
      </c>
    </row>
    <row r="1382" ht="16.5" customHeight="1" s="80">
      <c r="A1382" s="113" t="n"/>
      <c r="B1382" s="113" t="n"/>
      <c r="C1382" s="113" t="n"/>
      <c r="D1382" s="113" t="n"/>
      <c r="E1382" s="113" t="n"/>
      <c r="F1382" s="113" t="n"/>
      <c r="G1382" s="113" t="n"/>
      <c r="H1382" s="113" t="n"/>
      <c r="I1382" s="113" t="n"/>
      <c r="J1382" s="113" t="n"/>
      <c r="K1382" s="113" t="n"/>
      <c r="L1382" s="113" t="n"/>
      <c r="M1382" s="113" t="n"/>
      <c r="N1382" s="113" t="n"/>
      <c r="O1382" s="113" t="n"/>
      <c r="P1382" s="113" t="n"/>
      <c r="Q1382" s="113" t="n"/>
      <c r="R1382" s="113" t="n"/>
      <c r="S1382" s="113" t="n"/>
      <c r="T1382" s="113" t="n"/>
      <c r="U1382" s="113" t="n"/>
      <c r="V1382" s="113" t="n"/>
      <c r="W1382" s="113" t="n"/>
      <c r="X1382" s="113" t="n"/>
      <c r="Y1382" s="113" t="n"/>
      <c r="Z1382" s="117">
        <f>IF($B1382="",0,IF($S1382="EVET",IF($D1382="GELİR",$O1382,-$O1382),0))</f>
        <v/>
      </c>
      <c r="AA1382" s="117">
        <f>IF($B1382="",0,IF(OR($W1382="EVET",$X1382="EVET",$Y1382="EVET"),0,IF($D1382="GELİR",IF($E1382="SATIŞ İADESİ/İSKONTO",-$O1382,$O1382),-$O1382)))</f>
        <v/>
      </c>
      <c r="AB1382" s="117">
        <f>IF($B1382="","",IF(OR($D1382="",$E1382="",$O1382=""),"EKSİK",IF($O1382&lt;=0,"SIFIR/NEGATİF",IF(COUNTIFS($C$6:$C$5000,$C1382,$O$6:$O$5000,$O1382,$B$6:$B$5000,$B1382)&gt;1,"MÜKERRER","OK"))))</f>
        <v/>
      </c>
    </row>
    <row r="1383" ht="16.5" customHeight="1" s="80">
      <c r="A1383" s="113" t="n"/>
      <c r="B1383" s="113" t="n"/>
      <c r="C1383" s="113" t="n"/>
      <c r="D1383" s="113" t="n"/>
      <c r="E1383" s="113" t="n"/>
      <c r="F1383" s="113" t="n"/>
      <c r="G1383" s="113" t="n"/>
      <c r="H1383" s="113" t="n"/>
      <c r="I1383" s="113" t="n"/>
      <c r="J1383" s="113" t="n"/>
      <c r="K1383" s="113" t="n"/>
      <c r="L1383" s="113" t="n"/>
      <c r="M1383" s="113" t="n"/>
      <c r="N1383" s="113" t="n"/>
      <c r="O1383" s="113" t="n"/>
      <c r="P1383" s="113" t="n"/>
      <c r="Q1383" s="113" t="n"/>
      <c r="R1383" s="113" t="n"/>
      <c r="S1383" s="113" t="n"/>
      <c r="T1383" s="113" t="n"/>
      <c r="U1383" s="113" t="n"/>
      <c r="V1383" s="113" t="n"/>
      <c r="W1383" s="113" t="n"/>
      <c r="X1383" s="113" t="n"/>
      <c r="Y1383" s="113" t="n"/>
      <c r="Z1383" s="117">
        <f>IF($B1383="",0,IF($S1383="EVET",IF($D1383="GELİR",$O1383,-$O1383),0))</f>
        <v/>
      </c>
      <c r="AA1383" s="117">
        <f>IF($B1383="",0,IF(OR($W1383="EVET",$X1383="EVET",$Y1383="EVET"),0,IF($D1383="GELİR",IF($E1383="SATIŞ İADESİ/İSKONTO",-$O1383,$O1383),-$O1383)))</f>
        <v/>
      </c>
      <c r="AB1383" s="117">
        <f>IF($B1383="","",IF(OR($D1383="",$E1383="",$O1383=""),"EKSİK",IF($O1383&lt;=0,"SIFIR/NEGATİF",IF(COUNTIFS($C$6:$C$5000,$C1383,$O$6:$O$5000,$O1383,$B$6:$B$5000,$B1383)&gt;1,"MÜKERRER","OK"))))</f>
        <v/>
      </c>
    </row>
    <row r="1384" ht="16.5" customHeight="1" s="80">
      <c r="A1384" s="113" t="n"/>
      <c r="B1384" s="113" t="n"/>
      <c r="C1384" s="113" t="n"/>
      <c r="D1384" s="113" t="n"/>
      <c r="E1384" s="113" t="n"/>
      <c r="F1384" s="113" t="n"/>
      <c r="G1384" s="113" t="n"/>
      <c r="H1384" s="113" t="n"/>
      <c r="I1384" s="113" t="n"/>
      <c r="J1384" s="113" t="n"/>
      <c r="K1384" s="113" t="n"/>
      <c r="L1384" s="113" t="n"/>
      <c r="M1384" s="113" t="n"/>
      <c r="N1384" s="113" t="n"/>
      <c r="O1384" s="113" t="n"/>
      <c r="P1384" s="113" t="n"/>
      <c r="Q1384" s="113" t="n"/>
      <c r="R1384" s="113" t="n"/>
      <c r="S1384" s="113" t="n"/>
      <c r="T1384" s="113" t="n"/>
      <c r="U1384" s="113" t="n"/>
      <c r="V1384" s="113" t="n"/>
      <c r="W1384" s="113" t="n"/>
      <c r="X1384" s="113" t="n"/>
      <c r="Y1384" s="113" t="n"/>
      <c r="Z1384" s="117">
        <f>IF($B1384="",0,IF($S1384="EVET",IF($D1384="GELİR",$O1384,-$O1384),0))</f>
        <v/>
      </c>
      <c r="AA1384" s="117">
        <f>IF($B1384="",0,IF(OR($W1384="EVET",$X1384="EVET",$Y1384="EVET"),0,IF($D1384="GELİR",IF($E1384="SATIŞ İADESİ/İSKONTO",-$O1384,$O1384),-$O1384)))</f>
        <v/>
      </c>
      <c r="AB1384" s="117">
        <f>IF($B1384="","",IF(OR($D1384="",$E1384="",$O1384=""),"EKSİK",IF($O1384&lt;=0,"SIFIR/NEGATİF",IF(COUNTIFS($C$6:$C$5000,$C1384,$O$6:$O$5000,$O1384,$B$6:$B$5000,$B1384)&gt;1,"MÜKERRER","OK"))))</f>
        <v/>
      </c>
    </row>
    <row r="1385" ht="16.5" customHeight="1" s="80">
      <c r="A1385" s="113" t="n"/>
      <c r="B1385" s="113" t="n"/>
      <c r="C1385" s="113" t="n"/>
      <c r="D1385" s="113" t="n"/>
      <c r="E1385" s="113" t="n"/>
      <c r="F1385" s="113" t="n"/>
      <c r="G1385" s="113" t="n"/>
      <c r="H1385" s="113" t="n"/>
      <c r="I1385" s="113" t="n"/>
      <c r="J1385" s="113" t="n"/>
      <c r="K1385" s="113" t="n"/>
      <c r="L1385" s="113" t="n"/>
      <c r="M1385" s="113" t="n"/>
      <c r="N1385" s="113" t="n"/>
      <c r="O1385" s="113" t="n"/>
      <c r="P1385" s="113" t="n"/>
      <c r="Q1385" s="113" t="n"/>
      <c r="R1385" s="113" t="n"/>
      <c r="S1385" s="113" t="n"/>
      <c r="T1385" s="113" t="n"/>
      <c r="U1385" s="113" t="n"/>
      <c r="V1385" s="113" t="n"/>
      <c r="W1385" s="113" t="n"/>
      <c r="X1385" s="113" t="n"/>
      <c r="Y1385" s="113" t="n"/>
      <c r="Z1385" s="117">
        <f>IF($B1385="",0,IF($S1385="EVET",IF($D1385="GELİR",$O1385,-$O1385),0))</f>
        <v/>
      </c>
      <c r="AA1385" s="117">
        <f>IF($B1385="",0,IF(OR($W1385="EVET",$X1385="EVET",$Y1385="EVET"),0,IF($D1385="GELİR",IF($E1385="SATIŞ İADESİ/İSKONTO",-$O1385,$O1385),-$O1385)))</f>
        <v/>
      </c>
      <c r="AB1385" s="117">
        <f>IF($B1385="","",IF(OR($D1385="",$E1385="",$O1385=""),"EKSİK",IF($O1385&lt;=0,"SIFIR/NEGATİF",IF(COUNTIFS($C$6:$C$5000,$C1385,$O$6:$O$5000,$O1385,$B$6:$B$5000,$B1385)&gt;1,"MÜKERRER","OK"))))</f>
        <v/>
      </c>
    </row>
    <row r="1386" ht="16.5" customHeight="1" s="80">
      <c r="A1386" s="113" t="n"/>
      <c r="B1386" s="113" t="n"/>
      <c r="C1386" s="113" t="n"/>
      <c r="D1386" s="113" t="n"/>
      <c r="E1386" s="113" t="n"/>
      <c r="F1386" s="113" t="n"/>
      <c r="G1386" s="113" t="n"/>
      <c r="H1386" s="113" t="n"/>
      <c r="I1386" s="113" t="n"/>
      <c r="J1386" s="113" t="n"/>
      <c r="K1386" s="113" t="n"/>
      <c r="L1386" s="113" t="n"/>
      <c r="M1386" s="113" t="n"/>
      <c r="N1386" s="113" t="n"/>
      <c r="O1386" s="113" t="n"/>
      <c r="P1386" s="113" t="n"/>
      <c r="Q1386" s="113" t="n"/>
      <c r="R1386" s="113" t="n"/>
      <c r="S1386" s="113" t="n"/>
      <c r="T1386" s="113" t="n"/>
      <c r="U1386" s="113" t="n"/>
      <c r="V1386" s="113" t="n"/>
      <c r="W1386" s="113" t="n"/>
      <c r="X1386" s="113" t="n"/>
      <c r="Y1386" s="113" t="n"/>
      <c r="Z1386" s="117">
        <f>IF($B1386="",0,IF($S1386="EVET",IF($D1386="GELİR",$O1386,-$O1386),0))</f>
        <v/>
      </c>
      <c r="AA1386" s="117">
        <f>IF($B1386="",0,IF(OR($W1386="EVET",$X1386="EVET",$Y1386="EVET"),0,IF($D1386="GELİR",IF($E1386="SATIŞ İADESİ/İSKONTO",-$O1386,$O1386),-$O1386)))</f>
        <v/>
      </c>
      <c r="AB1386" s="117">
        <f>IF($B1386="","",IF(OR($D1386="",$E1386="",$O1386=""),"EKSİK",IF($O1386&lt;=0,"SIFIR/NEGATİF",IF(COUNTIFS($C$6:$C$5000,$C1386,$O$6:$O$5000,$O1386,$B$6:$B$5000,$B1386)&gt;1,"MÜKERRER","OK"))))</f>
        <v/>
      </c>
    </row>
    <row r="1387" ht="16.5" customHeight="1" s="80">
      <c r="A1387" s="113" t="n"/>
      <c r="B1387" s="113" t="n"/>
      <c r="C1387" s="113" t="n"/>
      <c r="D1387" s="113" t="n"/>
      <c r="E1387" s="113" t="n"/>
      <c r="F1387" s="113" t="n"/>
      <c r="G1387" s="113" t="n"/>
      <c r="H1387" s="113" t="n"/>
      <c r="I1387" s="113" t="n"/>
      <c r="J1387" s="113" t="n"/>
      <c r="K1387" s="113" t="n"/>
      <c r="L1387" s="113" t="n"/>
      <c r="M1387" s="113" t="n"/>
      <c r="N1387" s="113" t="n"/>
      <c r="O1387" s="113" t="n"/>
      <c r="P1387" s="113" t="n"/>
      <c r="Q1387" s="113" t="n"/>
      <c r="R1387" s="113" t="n"/>
      <c r="S1387" s="113" t="n"/>
      <c r="T1387" s="113" t="n"/>
      <c r="U1387" s="113" t="n"/>
      <c r="V1387" s="113" t="n"/>
      <c r="W1387" s="113" t="n"/>
      <c r="X1387" s="113" t="n"/>
      <c r="Y1387" s="113" t="n"/>
      <c r="Z1387" s="117">
        <f>IF($B1387="",0,IF($S1387="EVET",IF($D1387="GELİR",$O1387,-$O1387),0))</f>
        <v/>
      </c>
      <c r="AA1387" s="117">
        <f>IF($B1387="",0,IF(OR($W1387="EVET",$X1387="EVET",$Y1387="EVET"),0,IF($D1387="GELİR",IF($E1387="SATIŞ İADESİ/İSKONTO",-$O1387,$O1387),-$O1387)))</f>
        <v/>
      </c>
      <c r="AB1387" s="117">
        <f>IF($B1387="","",IF(OR($D1387="",$E1387="",$O1387=""),"EKSİK",IF($O1387&lt;=0,"SIFIR/NEGATİF",IF(COUNTIFS($C$6:$C$5000,$C1387,$O$6:$O$5000,$O1387,$B$6:$B$5000,$B1387)&gt;1,"MÜKERRER","OK"))))</f>
        <v/>
      </c>
    </row>
    <row r="1388" ht="16.5" customHeight="1" s="80">
      <c r="A1388" s="113" t="n"/>
      <c r="B1388" s="113" t="n"/>
      <c r="C1388" s="113" t="n"/>
      <c r="D1388" s="113" t="n"/>
      <c r="E1388" s="113" t="n"/>
      <c r="F1388" s="113" t="n"/>
      <c r="G1388" s="113" t="n"/>
      <c r="H1388" s="113" t="n"/>
      <c r="I1388" s="113" t="n"/>
      <c r="J1388" s="113" t="n"/>
      <c r="K1388" s="113" t="n"/>
      <c r="L1388" s="113" t="n"/>
      <c r="M1388" s="113" t="n"/>
      <c r="N1388" s="113" t="n"/>
      <c r="O1388" s="113" t="n"/>
      <c r="P1388" s="113" t="n"/>
      <c r="Q1388" s="113" t="n"/>
      <c r="R1388" s="113" t="n"/>
      <c r="S1388" s="113" t="n"/>
      <c r="T1388" s="113" t="n"/>
      <c r="U1388" s="113" t="n"/>
      <c r="V1388" s="113" t="n"/>
      <c r="W1388" s="113" t="n"/>
      <c r="X1388" s="113" t="n"/>
      <c r="Y1388" s="113" t="n"/>
      <c r="Z1388" s="117">
        <f>IF($B1388="",0,IF($S1388="EVET",IF($D1388="GELİR",$O1388,-$O1388),0))</f>
        <v/>
      </c>
      <c r="AA1388" s="117">
        <f>IF($B1388="",0,IF(OR($W1388="EVET",$X1388="EVET",$Y1388="EVET"),0,IF($D1388="GELİR",IF($E1388="SATIŞ İADESİ/İSKONTO",-$O1388,$O1388),-$O1388)))</f>
        <v/>
      </c>
      <c r="AB1388" s="117">
        <f>IF($B1388="","",IF(OR($D1388="",$E1388="",$O1388=""),"EKSİK",IF($O1388&lt;=0,"SIFIR/NEGATİF",IF(COUNTIFS($C$6:$C$5000,$C1388,$O$6:$O$5000,$O1388,$B$6:$B$5000,$B1388)&gt;1,"MÜKERRER","OK"))))</f>
        <v/>
      </c>
    </row>
    <row r="1389" ht="16.5" customHeight="1" s="80">
      <c r="A1389" s="113" t="n"/>
      <c r="B1389" s="113" t="n"/>
      <c r="C1389" s="113" t="n"/>
      <c r="D1389" s="113" t="n"/>
      <c r="E1389" s="113" t="n"/>
      <c r="F1389" s="113" t="n"/>
      <c r="G1389" s="113" t="n"/>
      <c r="H1389" s="113" t="n"/>
      <c r="I1389" s="113" t="n"/>
      <c r="J1389" s="113" t="n"/>
      <c r="K1389" s="113" t="n"/>
      <c r="L1389" s="113" t="n"/>
      <c r="M1389" s="113" t="n"/>
      <c r="N1389" s="113" t="n"/>
      <c r="O1389" s="113" t="n"/>
      <c r="P1389" s="113" t="n"/>
      <c r="Q1389" s="113" t="n"/>
      <c r="R1389" s="113" t="n"/>
      <c r="S1389" s="113" t="n"/>
      <c r="T1389" s="113" t="n"/>
      <c r="U1389" s="113" t="n"/>
      <c r="V1389" s="113" t="n"/>
      <c r="W1389" s="113" t="n"/>
      <c r="X1389" s="113" t="n"/>
      <c r="Y1389" s="113" t="n"/>
      <c r="Z1389" s="117">
        <f>IF($B1389="",0,IF($S1389="EVET",IF($D1389="GELİR",$O1389,-$O1389),0))</f>
        <v/>
      </c>
      <c r="AA1389" s="117">
        <f>IF($B1389="",0,IF(OR($W1389="EVET",$X1389="EVET",$Y1389="EVET"),0,IF($D1389="GELİR",IF($E1389="SATIŞ İADESİ/İSKONTO",-$O1389,$O1389),-$O1389)))</f>
        <v/>
      </c>
      <c r="AB1389" s="117">
        <f>IF($B1389="","",IF(OR($D1389="",$E1389="",$O1389=""),"EKSİK",IF($O1389&lt;=0,"SIFIR/NEGATİF",IF(COUNTIFS($C$6:$C$5000,$C1389,$O$6:$O$5000,$O1389,$B$6:$B$5000,$B1389)&gt;1,"MÜKERRER","OK"))))</f>
        <v/>
      </c>
    </row>
    <row r="1390" ht="16.5" customHeight="1" s="80">
      <c r="A1390" s="113" t="n"/>
      <c r="B1390" s="113" t="n"/>
      <c r="C1390" s="113" t="n"/>
      <c r="D1390" s="113" t="n"/>
      <c r="E1390" s="113" t="n"/>
      <c r="F1390" s="113" t="n"/>
      <c r="G1390" s="113" t="n"/>
      <c r="H1390" s="113" t="n"/>
      <c r="I1390" s="113" t="n"/>
      <c r="J1390" s="113" t="n"/>
      <c r="K1390" s="113" t="n"/>
      <c r="L1390" s="113" t="n"/>
      <c r="M1390" s="113" t="n"/>
      <c r="N1390" s="113" t="n"/>
      <c r="O1390" s="113" t="n"/>
      <c r="P1390" s="113" t="n"/>
      <c r="Q1390" s="113" t="n"/>
      <c r="R1390" s="113" t="n"/>
      <c r="S1390" s="113" t="n"/>
      <c r="T1390" s="113" t="n"/>
      <c r="U1390" s="113" t="n"/>
      <c r="V1390" s="113" t="n"/>
      <c r="W1390" s="113" t="n"/>
      <c r="X1390" s="113" t="n"/>
      <c r="Y1390" s="113" t="n"/>
      <c r="Z1390" s="117">
        <f>IF($B1390="",0,IF($S1390="EVET",IF($D1390="GELİR",$O1390,-$O1390),0))</f>
        <v/>
      </c>
      <c r="AA1390" s="117">
        <f>IF($B1390="",0,IF(OR($W1390="EVET",$X1390="EVET",$Y1390="EVET"),0,IF($D1390="GELİR",IF($E1390="SATIŞ İADESİ/İSKONTO",-$O1390,$O1390),-$O1390)))</f>
        <v/>
      </c>
      <c r="AB1390" s="117">
        <f>IF($B1390="","",IF(OR($D1390="",$E1390="",$O1390=""),"EKSİK",IF($O1390&lt;=0,"SIFIR/NEGATİF",IF(COUNTIFS($C$6:$C$5000,$C1390,$O$6:$O$5000,$O1390,$B$6:$B$5000,$B1390)&gt;1,"MÜKERRER","OK"))))</f>
        <v/>
      </c>
    </row>
    <row r="1391" ht="16.5" customHeight="1" s="80">
      <c r="A1391" s="113" t="n"/>
      <c r="B1391" s="113" t="n"/>
      <c r="C1391" s="113" t="n"/>
      <c r="D1391" s="113" t="n"/>
      <c r="E1391" s="113" t="n"/>
      <c r="F1391" s="113" t="n"/>
      <c r="G1391" s="113" t="n"/>
      <c r="H1391" s="113" t="n"/>
      <c r="I1391" s="113" t="n"/>
      <c r="J1391" s="113" t="n"/>
      <c r="K1391" s="113" t="n"/>
      <c r="L1391" s="113" t="n"/>
      <c r="M1391" s="113" t="n"/>
      <c r="N1391" s="113" t="n"/>
      <c r="O1391" s="113" t="n"/>
      <c r="P1391" s="113" t="n"/>
      <c r="Q1391" s="113" t="n"/>
      <c r="R1391" s="113" t="n"/>
      <c r="S1391" s="113" t="n"/>
      <c r="T1391" s="113" t="n"/>
      <c r="U1391" s="113" t="n"/>
      <c r="V1391" s="113" t="n"/>
      <c r="W1391" s="113" t="n"/>
      <c r="X1391" s="113" t="n"/>
      <c r="Y1391" s="113" t="n"/>
      <c r="Z1391" s="117">
        <f>IF($B1391="",0,IF($S1391="EVET",IF($D1391="GELİR",$O1391,-$O1391),0))</f>
        <v/>
      </c>
      <c r="AA1391" s="117">
        <f>IF($B1391="",0,IF(OR($W1391="EVET",$X1391="EVET",$Y1391="EVET"),0,IF($D1391="GELİR",IF($E1391="SATIŞ İADESİ/İSKONTO",-$O1391,$O1391),-$O1391)))</f>
        <v/>
      </c>
      <c r="AB1391" s="117">
        <f>IF($B1391="","",IF(OR($D1391="",$E1391="",$O1391=""),"EKSİK",IF($O1391&lt;=0,"SIFIR/NEGATİF",IF(COUNTIFS($C$6:$C$5000,$C1391,$O$6:$O$5000,$O1391,$B$6:$B$5000,$B1391)&gt;1,"MÜKERRER","OK"))))</f>
        <v/>
      </c>
    </row>
    <row r="1392" ht="16.5" customHeight="1" s="80">
      <c r="A1392" s="113" t="n"/>
      <c r="B1392" s="113" t="n"/>
      <c r="C1392" s="113" t="n"/>
      <c r="D1392" s="113" t="n"/>
      <c r="E1392" s="113" t="n"/>
      <c r="F1392" s="113" t="n"/>
      <c r="G1392" s="113" t="n"/>
      <c r="H1392" s="113" t="n"/>
      <c r="I1392" s="113" t="n"/>
      <c r="J1392" s="113" t="n"/>
      <c r="K1392" s="113" t="n"/>
      <c r="L1392" s="113" t="n"/>
      <c r="M1392" s="113" t="n"/>
      <c r="N1392" s="113" t="n"/>
      <c r="O1392" s="113" t="n"/>
      <c r="P1392" s="113" t="n"/>
      <c r="Q1392" s="113" t="n"/>
      <c r="R1392" s="113" t="n"/>
      <c r="S1392" s="113" t="n"/>
      <c r="T1392" s="113" t="n"/>
      <c r="U1392" s="113" t="n"/>
      <c r="V1392" s="113" t="n"/>
      <c r="W1392" s="113" t="n"/>
      <c r="X1392" s="113" t="n"/>
      <c r="Y1392" s="113" t="n"/>
      <c r="Z1392" s="117">
        <f>IF($B1392="",0,IF($S1392="EVET",IF($D1392="GELİR",$O1392,-$O1392),0))</f>
        <v/>
      </c>
      <c r="AA1392" s="117">
        <f>IF($B1392="",0,IF(OR($W1392="EVET",$X1392="EVET",$Y1392="EVET"),0,IF($D1392="GELİR",IF($E1392="SATIŞ İADESİ/İSKONTO",-$O1392,$O1392),-$O1392)))</f>
        <v/>
      </c>
      <c r="AB1392" s="117">
        <f>IF($B1392="","",IF(OR($D1392="",$E1392="",$O1392=""),"EKSİK",IF($O1392&lt;=0,"SIFIR/NEGATİF",IF(COUNTIFS($C$6:$C$5000,$C1392,$O$6:$O$5000,$O1392,$B$6:$B$5000,$B1392)&gt;1,"MÜKERRER","OK"))))</f>
        <v/>
      </c>
    </row>
    <row r="1393" ht="16.5" customHeight="1" s="80">
      <c r="A1393" s="113" t="n"/>
      <c r="B1393" s="113" t="n"/>
      <c r="C1393" s="113" t="n"/>
      <c r="D1393" s="113" t="n"/>
      <c r="E1393" s="113" t="n"/>
      <c r="F1393" s="113" t="n"/>
      <c r="G1393" s="113" t="n"/>
      <c r="H1393" s="113" t="n"/>
      <c r="I1393" s="113" t="n"/>
      <c r="J1393" s="113" t="n"/>
      <c r="K1393" s="113" t="n"/>
      <c r="L1393" s="113" t="n"/>
      <c r="M1393" s="113" t="n"/>
      <c r="N1393" s="113" t="n"/>
      <c r="O1393" s="113" t="n"/>
      <c r="P1393" s="113" t="n"/>
      <c r="Q1393" s="113" t="n"/>
      <c r="R1393" s="113" t="n"/>
      <c r="S1393" s="113" t="n"/>
      <c r="T1393" s="113" t="n"/>
      <c r="U1393" s="113" t="n"/>
      <c r="V1393" s="113" t="n"/>
      <c r="W1393" s="113" t="n"/>
      <c r="X1393" s="113" t="n"/>
      <c r="Y1393" s="113" t="n"/>
      <c r="Z1393" s="117">
        <f>IF($B1393="",0,IF($S1393="EVET",IF($D1393="GELİR",$O1393,-$O1393),0))</f>
        <v/>
      </c>
      <c r="AA1393" s="117">
        <f>IF($B1393="",0,IF(OR($W1393="EVET",$X1393="EVET",$Y1393="EVET"),0,IF($D1393="GELİR",IF($E1393="SATIŞ İADESİ/İSKONTO",-$O1393,$O1393),-$O1393)))</f>
        <v/>
      </c>
      <c r="AB1393" s="117">
        <f>IF($B1393="","",IF(OR($D1393="",$E1393="",$O1393=""),"EKSİK",IF($O1393&lt;=0,"SIFIR/NEGATİF",IF(COUNTIFS($C$6:$C$5000,$C1393,$O$6:$O$5000,$O1393,$B$6:$B$5000,$B1393)&gt;1,"MÜKERRER","OK"))))</f>
        <v/>
      </c>
    </row>
    <row r="1394" ht="16.5" customHeight="1" s="80">
      <c r="A1394" s="113" t="n"/>
      <c r="B1394" s="113" t="n"/>
      <c r="C1394" s="113" t="n"/>
      <c r="D1394" s="113" t="n"/>
      <c r="E1394" s="113" t="n"/>
      <c r="F1394" s="113" t="n"/>
      <c r="G1394" s="113" t="n"/>
      <c r="H1394" s="113" t="n"/>
      <c r="I1394" s="113" t="n"/>
      <c r="J1394" s="113" t="n"/>
      <c r="K1394" s="113" t="n"/>
      <c r="L1394" s="113" t="n"/>
      <c r="M1394" s="113" t="n"/>
      <c r="N1394" s="113" t="n"/>
      <c r="O1394" s="113" t="n"/>
      <c r="P1394" s="113" t="n"/>
      <c r="Q1394" s="113" t="n"/>
      <c r="R1394" s="113" t="n"/>
      <c r="S1394" s="113" t="n"/>
      <c r="T1394" s="113" t="n"/>
      <c r="U1394" s="113" t="n"/>
      <c r="V1394" s="113" t="n"/>
      <c r="W1394" s="113" t="n"/>
      <c r="X1394" s="113" t="n"/>
      <c r="Y1394" s="113" t="n"/>
      <c r="Z1394" s="117">
        <f>IF($B1394="",0,IF($S1394="EVET",IF($D1394="GELİR",$O1394,-$O1394),0))</f>
        <v/>
      </c>
      <c r="AA1394" s="117">
        <f>IF($B1394="",0,IF(OR($W1394="EVET",$X1394="EVET",$Y1394="EVET"),0,IF($D1394="GELİR",IF($E1394="SATIŞ İADESİ/İSKONTO",-$O1394,$O1394),-$O1394)))</f>
        <v/>
      </c>
      <c r="AB1394" s="117">
        <f>IF($B1394="","",IF(OR($D1394="",$E1394="",$O1394=""),"EKSİK",IF($O1394&lt;=0,"SIFIR/NEGATİF",IF(COUNTIFS($C$6:$C$5000,$C1394,$O$6:$O$5000,$O1394,$B$6:$B$5000,$B1394)&gt;1,"MÜKERRER","OK"))))</f>
        <v/>
      </c>
    </row>
    <row r="1395" ht="16.5" customHeight="1" s="80">
      <c r="A1395" s="113" t="n"/>
      <c r="B1395" s="113" t="n"/>
      <c r="C1395" s="113" t="n"/>
      <c r="D1395" s="113" t="n"/>
      <c r="E1395" s="113" t="n"/>
      <c r="F1395" s="113" t="n"/>
      <c r="G1395" s="113" t="n"/>
      <c r="H1395" s="113" t="n"/>
      <c r="I1395" s="113" t="n"/>
      <c r="J1395" s="113" t="n"/>
      <c r="K1395" s="113" t="n"/>
      <c r="L1395" s="113" t="n"/>
      <c r="M1395" s="113" t="n"/>
      <c r="N1395" s="113" t="n"/>
      <c r="O1395" s="113" t="n"/>
      <c r="P1395" s="113" t="n"/>
      <c r="Q1395" s="113" t="n"/>
      <c r="R1395" s="113" t="n"/>
      <c r="S1395" s="113" t="n"/>
      <c r="T1395" s="113" t="n"/>
      <c r="U1395" s="113" t="n"/>
      <c r="V1395" s="113" t="n"/>
      <c r="W1395" s="113" t="n"/>
      <c r="X1395" s="113" t="n"/>
      <c r="Y1395" s="113" t="n"/>
      <c r="Z1395" s="117">
        <f>IF($B1395="",0,IF($S1395="EVET",IF($D1395="GELİR",$O1395,-$O1395),0))</f>
        <v/>
      </c>
      <c r="AA1395" s="117">
        <f>IF($B1395="",0,IF(OR($W1395="EVET",$X1395="EVET",$Y1395="EVET"),0,IF($D1395="GELİR",IF($E1395="SATIŞ İADESİ/İSKONTO",-$O1395,$O1395),-$O1395)))</f>
        <v/>
      </c>
      <c r="AB1395" s="117">
        <f>IF($B1395="","",IF(OR($D1395="",$E1395="",$O1395=""),"EKSİK",IF($O1395&lt;=0,"SIFIR/NEGATİF",IF(COUNTIFS($C$6:$C$5000,$C1395,$O$6:$O$5000,$O1395,$B$6:$B$5000,$B1395)&gt;1,"MÜKERRER","OK"))))</f>
        <v/>
      </c>
    </row>
    <row r="1396" ht="16.5" customHeight="1" s="80">
      <c r="A1396" s="113" t="n"/>
      <c r="B1396" s="113" t="n"/>
      <c r="C1396" s="113" t="n"/>
      <c r="D1396" s="113" t="n"/>
      <c r="E1396" s="113" t="n"/>
      <c r="F1396" s="113" t="n"/>
      <c r="G1396" s="113" t="n"/>
      <c r="H1396" s="113" t="n"/>
      <c r="I1396" s="113" t="n"/>
      <c r="J1396" s="113" t="n"/>
      <c r="K1396" s="113" t="n"/>
      <c r="L1396" s="113" t="n"/>
      <c r="M1396" s="113" t="n"/>
      <c r="N1396" s="113" t="n"/>
      <c r="O1396" s="113" t="n"/>
      <c r="P1396" s="113" t="n"/>
      <c r="Q1396" s="113" t="n"/>
      <c r="R1396" s="113" t="n"/>
      <c r="S1396" s="113" t="n"/>
      <c r="T1396" s="113" t="n"/>
      <c r="U1396" s="113" t="n"/>
      <c r="V1396" s="113" t="n"/>
      <c r="W1396" s="113" t="n"/>
      <c r="X1396" s="113" t="n"/>
      <c r="Y1396" s="113" t="n"/>
      <c r="Z1396" s="117">
        <f>IF($B1396="",0,IF($S1396="EVET",IF($D1396="GELİR",$O1396,-$O1396),0))</f>
        <v/>
      </c>
      <c r="AA1396" s="117">
        <f>IF($B1396="",0,IF(OR($W1396="EVET",$X1396="EVET",$Y1396="EVET"),0,IF($D1396="GELİR",IF($E1396="SATIŞ İADESİ/İSKONTO",-$O1396,$O1396),-$O1396)))</f>
        <v/>
      </c>
      <c r="AB1396" s="117">
        <f>IF($B1396="","",IF(OR($D1396="",$E1396="",$O1396=""),"EKSİK",IF($O1396&lt;=0,"SIFIR/NEGATİF",IF(COUNTIFS($C$6:$C$5000,$C1396,$O$6:$O$5000,$O1396,$B$6:$B$5000,$B1396)&gt;1,"MÜKERRER","OK"))))</f>
        <v/>
      </c>
    </row>
    <row r="1397" ht="16.5" customHeight="1" s="80">
      <c r="A1397" s="113" t="n"/>
      <c r="B1397" s="113" t="n"/>
      <c r="C1397" s="113" t="n"/>
      <c r="D1397" s="113" t="n"/>
      <c r="E1397" s="113" t="n"/>
      <c r="F1397" s="113" t="n"/>
      <c r="G1397" s="113" t="n"/>
      <c r="H1397" s="113" t="n"/>
      <c r="I1397" s="113" t="n"/>
      <c r="J1397" s="113" t="n"/>
      <c r="K1397" s="113" t="n"/>
      <c r="L1397" s="113" t="n"/>
      <c r="M1397" s="113" t="n"/>
      <c r="N1397" s="113" t="n"/>
      <c r="O1397" s="113" t="n"/>
      <c r="P1397" s="113" t="n"/>
      <c r="Q1397" s="113" t="n"/>
      <c r="R1397" s="113" t="n"/>
      <c r="S1397" s="113" t="n"/>
      <c r="T1397" s="113" t="n"/>
      <c r="U1397" s="113" t="n"/>
      <c r="V1397" s="113" t="n"/>
      <c r="W1397" s="113" t="n"/>
      <c r="X1397" s="113" t="n"/>
      <c r="Y1397" s="113" t="n"/>
      <c r="Z1397" s="117">
        <f>IF($B1397="",0,IF($S1397="EVET",IF($D1397="GELİR",$O1397,-$O1397),0))</f>
        <v/>
      </c>
      <c r="AA1397" s="117">
        <f>IF($B1397="",0,IF(OR($W1397="EVET",$X1397="EVET",$Y1397="EVET"),0,IF($D1397="GELİR",IF($E1397="SATIŞ İADESİ/İSKONTO",-$O1397,$O1397),-$O1397)))</f>
        <v/>
      </c>
      <c r="AB1397" s="117">
        <f>IF($B1397="","",IF(OR($D1397="",$E1397="",$O1397=""),"EKSİK",IF($O1397&lt;=0,"SIFIR/NEGATİF",IF(COUNTIFS($C$6:$C$5000,$C1397,$O$6:$O$5000,$O1397,$B$6:$B$5000,$B1397)&gt;1,"MÜKERRER","OK"))))</f>
        <v/>
      </c>
    </row>
    <row r="1398" ht="16.5" customHeight="1" s="80">
      <c r="A1398" s="113" t="n"/>
      <c r="B1398" s="113" t="n"/>
      <c r="C1398" s="113" t="n"/>
      <c r="D1398" s="113" t="n"/>
      <c r="E1398" s="113" t="n"/>
      <c r="F1398" s="113" t="n"/>
      <c r="G1398" s="113" t="n"/>
      <c r="H1398" s="113" t="n"/>
      <c r="I1398" s="113" t="n"/>
      <c r="J1398" s="113" t="n"/>
      <c r="K1398" s="113" t="n"/>
      <c r="L1398" s="113" t="n"/>
      <c r="M1398" s="113" t="n"/>
      <c r="N1398" s="113" t="n"/>
      <c r="O1398" s="113" t="n"/>
      <c r="P1398" s="113" t="n"/>
      <c r="Q1398" s="113" t="n"/>
      <c r="R1398" s="113" t="n"/>
      <c r="S1398" s="113" t="n"/>
      <c r="T1398" s="113" t="n"/>
      <c r="U1398" s="113" t="n"/>
      <c r="V1398" s="113" t="n"/>
      <c r="W1398" s="113" t="n"/>
      <c r="X1398" s="113" t="n"/>
      <c r="Y1398" s="113" t="n"/>
      <c r="Z1398" s="117">
        <f>IF($B1398="",0,IF($S1398="EVET",IF($D1398="GELİR",$O1398,-$O1398),0))</f>
        <v/>
      </c>
      <c r="AA1398" s="117">
        <f>IF($B1398="",0,IF(OR($W1398="EVET",$X1398="EVET",$Y1398="EVET"),0,IF($D1398="GELİR",IF($E1398="SATIŞ İADESİ/İSKONTO",-$O1398,$O1398),-$O1398)))</f>
        <v/>
      </c>
      <c r="AB1398" s="117">
        <f>IF($B1398="","",IF(OR($D1398="",$E1398="",$O1398=""),"EKSİK",IF($O1398&lt;=0,"SIFIR/NEGATİF",IF(COUNTIFS($C$6:$C$5000,$C1398,$O$6:$O$5000,$O1398,$B$6:$B$5000,$B1398)&gt;1,"MÜKERRER","OK"))))</f>
        <v/>
      </c>
    </row>
    <row r="1399" ht="16.5" customHeight="1" s="80">
      <c r="A1399" s="113" t="n"/>
      <c r="B1399" s="113" t="n"/>
      <c r="C1399" s="113" t="n"/>
      <c r="D1399" s="113" t="n"/>
      <c r="E1399" s="113" t="n"/>
      <c r="F1399" s="113" t="n"/>
      <c r="G1399" s="113" t="n"/>
      <c r="H1399" s="113" t="n"/>
      <c r="I1399" s="113" t="n"/>
      <c r="J1399" s="113" t="n"/>
      <c r="K1399" s="113" t="n"/>
      <c r="L1399" s="113" t="n"/>
      <c r="M1399" s="113" t="n"/>
      <c r="N1399" s="113" t="n"/>
      <c r="O1399" s="113" t="n"/>
      <c r="P1399" s="113" t="n"/>
      <c r="Q1399" s="113" t="n"/>
      <c r="R1399" s="113" t="n"/>
      <c r="S1399" s="113" t="n"/>
      <c r="T1399" s="113" t="n"/>
      <c r="U1399" s="113" t="n"/>
      <c r="V1399" s="113" t="n"/>
      <c r="W1399" s="113" t="n"/>
      <c r="X1399" s="113" t="n"/>
      <c r="Y1399" s="113" t="n"/>
      <c r="Z1399" s="117">
        <f>IF($B1399="",0,IF($S1399="EVET",IF($D1399="GELİR",$O1399,-$O1399),0))</f>
        <v/>
      </c>
      <c r="AA1399" s="117">
        <f>IF($B1399="",0,IF(OR($W1399="EVET",$X1399="EVET",$Y1399="EVET"),0,IF($D1399="GELİR",IF($E1399="SATIŞ İADESİ/İSKONTO",-$O1399,$O1399),-$O1399)))</f>
        <v/>
      </c>
      <c r="AB1399" s="117">
        <f>IF($B1399="","",IF(OR($D1399="",$E1399="",$O1399=""),"EKSİK",IF($O1399&lt;=0,"SIFIR/NEGATİF",IF(COUNTIFS($C$6:$C$5000,$C1399,$O$6:$O$5000,$O1399,$B$6:$B$5000,$B1399)&gt;1,"MÜKERRER","OK"))))</f>
        <v/>
      </c>
    </row>
    <row r="1400" ht="16.5" customHeight="1" s="80">
      <c r="A1400" s="113" t="n"/>
      <c r="B1400" s="113" t="n"/>
      <c r="C1400" s="113" t="n"/>
      <c r="D1400" s="113" t="n"/>
      <c r="E1400" s="113" t="n"/>
      <c r="F1400" s="113" t="n"/>
      <c r="G1400" s="113" t="n"/>
      <c r="H1400" s="113" t="n"/>
      <c r="I1400" s="113" t="n"/>
      <c r="J1400" s="113" t="n"/>
      <c r="K1400" s="113" t="n"/>
      <c r="L1400" s="113" t="n"/>
      <c r="M1400" s="113" t="n"/>
      <c r="N1400" s="113" t="n"/>
      <c r="O1400" s="113" t="n"/>
      <c r="P1400" s="113" t="n"/>
      <c r="Q1400" s="113" t="n"/>
      <c r="R1400" s="113" t="n"/>
      <c r="S1400" s="113" t="n"/>
      <c r="T1400" s="113" t="n"/>
      <c r="U1400" s="113" t="n"/>
      <c r="V1400" s="113" t="n"/>
      <c r="W1400" s="113" t="n"/>
      <c r="X1400" s="113" t="n"/>
      <c r="Y1400" s="113" t="n"/>
      <c r="Z1400" s="117">
        <f>IF($B1400="",0,IF($S1400="EVET",IF($D1400="GELİR",$O1400,-$O1400),0))</f>
        <v/>
      </c>
      <c r="AA1400" s="117">
        <f>IF($B1400="",0,IF(OR($W1400="EVET",$X1400="EVET",$Y1400="EVET"),0,IF($D1400="GELİR",IF($E1400="SATIŞ İADESİ/İSKONTO",-$O1400,$O1400),-$O1400)))</f>
        <v/>
      </c>
      <c r="AB1400" s="117">
        <f>IF($B1400="","",IF(OR($D1400="",$E1400="",$O1400=""),"EKSİK",IF($O1400&lt;=0,"SIFIR/NEGATİF",IF(COUNTIFS($C$6:$C$5000,$C1400,$O$6:$O$5000,$O1400,$B$6:$B$5000,$B1400)&gt;1,"MÜKERRER","OK"))))</f>
        <v/>
      </c>
    </row>
    <row r="1401" ht="16.5" customHeight="1" s="80">
      <c r="A1401" s="113" t="n"/>
      <c r="B1401" s="113" t="n"/>
      <c r="C1401" s="113" t="n"/>
      <c r="D1401" s="113" t="n"/>
      <c r="E1401" s="113" t="n"/>
      <c r="F1401" s="113" t="n"/>
      <c r="G1401" s="113" t="n"/>
      <c r="H1401" s="113" t="n"/>
      <c r="I1401" s="113" t="n"/>
      <c r="J1401" s="113" t="n"/>
      <c r="K1401" s="113" t="n"/>
      <c r="L1401" s="113" t="n"/>
      <c r="M1401" s="113" t="n"/>
      <c r="N1401" s="113" t="n"/>
      <c r="O1401" s="113" t="n"/>
      <c r="P1401" s="113" t="n"/>
      <c r="Q1401" s="113" t="n"/>
      <c r="R1401" s="113" t="n"/>
      <c r="S1401" s="113" t="n"/>
      <c r="T1401" s="113" t="n"/>
      <c r="U1401" s="113" t="n"/>
      <c r="V1401" s="113" t="n"/>
      <c r="W1401" s="113" t="n"/>
      <c r="X1401" s="113" t="n"/>
      <c r="Y1401" s="113" t="n"/>
      <c r="Z1401" s="117">
        <f>IF($B1401="",0,IF($S1401="EVET",IF($D1401="GELİR",$O1401,-$O1401),0))</f>
        <v/>
      </c>
      <c r="AA1401" s="117">
        <f>IF($B1401="",0,IF(OR($W1401="EVET",$X1401="EVET",$Y1401="EVET"),0,IF($D1401="GELİR",IF($E1401="SATIŞ İADESİ/İSKONTO",-$O1401,$O1401),-$O1401)))</f>
        <v/>
      </c>
      <c r="AB1401" s="117">
        <f>IF($B1401="","",IF(OR($D1401="",$E1401="",$O1401=""),"EKSİK",IF($O1401&lt;=0,"SIFIR/NEGATİF",IF(COUNTIFS($C$6:$C$5000,$C1401,$O$6:$O$5000,$O1401,$B$6:$B$5000,$B1401)&gt;1,"MÜKERRER","OK"))))</f>
        <v/>
      </c>
    </row>
    <row r="1402" ht="16.5" customHeight="1" s="80">
      <c r="A1402" s="113" t="n"/>
      <c r="B1402" s="113" t="n"/>
      <c r="C1402" s="113" t="n"/>
      <c r="D1402" s="113" t="n"/>
      <c r="E1402" s="113" t="n"/>
      <c r="F1402" s="113" t="n"/>
      <c r="G1402" s="113" t="n"/>
      <c r="H1402" s="113" t="n"/>
      <c r="I1402" s="113" t="n"/>
      <c r="J1402" s="113" t="n"/>
      <c r="K1402" s="113" t="n"/>
      <c r="L1402" s="113" t="n"/>
      <c r="M1402" s="113" t="n"/>
      <c r="N1402" s="113" t="n"/>
      <c r="O1402" s="113" t="n"/>
      <c r="P1402" s="113" t="n"/>
      <c r="Q1402" s="113" t="n"/>
      <c r="R1402" s="113" t="n"/>
      <c r="S1402" s="113" t="n"/>
      <c r="T1402" s="113" t="n"/>
      <c r="U1402" s="113" t="n"/>
      <c r="V1402" s="113" t="n"/>
      <c r="W1402" s="113" t="n"/>
      <c r="X1402" s="113" t="n"/>
      <c r="Y1402" s="113" t="n"/>
      <c r="Z1402" s="117">
        <f>IF($B1402="",0,IF($S1402="EVET",IF($D1402="GELİR",$O1402,-$O1402),0))</f>
        <v/>
      </c>
      <c r="AA1402" s="117">
        <f>IF($B1402="",0,IF(OR($W1402="EVET",$X1402="EVET",$Y1402="EVET"),0,IF($D1402="GELİR",IF($E1402="SATIŞ İADESİ/İSKONTO",-$O1402,$O1402),-$O1402)))</f>
        <v/>
      </c>
      <c r="AB1402" s="117">
        <f>IF($B1402="","",IF(OR($D1402="",$E1402="",$O1402=""),"EKSİK",IF($O1402&lt;=0,"SIFIR/NEGATİF",IF(COUNTIFS($C$6:$C$5000,$C1402,$O$6:$O$5000,$O1402,$B$6:$B$5000,$B1402)&gt;1,"MÜKERRER","OK"))))</f>
        <v/>
      </c>
    </row>
    <row r="1403" ht="16.5" customHeight="1" s="80">
      <c r="A1403" s="113" t="n"/>
      <c r="B1403" s="113" t="n"/>
      <c r="C1403" s="113" t="n"/>
      <c r="D1403" s="113" t="n"/>
      <c r="E1403" s="113" t="n"/>
      <c r="F1403" s="113" t="n"/>
      <c r="G1403" s="113" t="n"/>
      <c r="H1403" s="113" t="n"/>
      <c r="I1403" s="113" t="n"/>
      <c r="J1403" s="113" t="n"/>
      <c r="K1403" s="113" t="n"/>
      <c r="L1403" s="113" t="n"/>
      <c r="M1403" s="113" t="n"/>
      <c r="N1403" s="113" t="n"/>
      <c r="O1403" s="113" t="n"/>
      <c r="P1403" s="113" t="n"/>
      <c r="Q1403" s="113" t="n"/>
      <c r="R1403" s="113" t="n"/>
      <c r="S1403" s="113" t="n"/>
      <c r="T1403" s="113" t="n"/>
      <c r="U1403" s="113" t="n"/>
      <c r="V1403" s="113" t="n"/>
      <c r="W1403" s="113" t="n"/>
      <c r="X1403" s="113" t="n"/>
      <c r="Y1403" s="113" t="n"/>
      <c r="Z1403" s="117">
        <f>IF($B1403="",0,IF($S1403="EVET",IF($D1403="GELİR",$O1403,-$O1403),0))</f>
        <v/>
      </c>
      <c r="AA1403" s="117">
        <f>IF($B1403="",0,IF(OR($W1403="EVET",$X1403="EVET",$Y1403="EVET"),0,IF($D1403="GELİR",IF($E1403="SATIŞ İADESİ/İSKONTO",-$O1403,$O1403),-$O1403)))</f>
        <v/>
      </c>
      <c r="AB1403" s="117">
        <f>IF($B1403="","",IF(OR($D1403="",$E1403="",$O1403=""),"EKSİK",IF($O1403&lt;=0,"SIFIR/NEGATİF",IF(COUNTIFS($C$6:$C$5000,$C1403,$O$6:$O$5000,$O1403,$B$6:$B$5000,$B1403)&gt;1,"MÜKERRER","OK"))))</f>
        <v/>
      </c>
    </row>
    <row r="1404" ht="16.5" customHeight="1" s="80">
      <c r="A1404" s="113" t="n"/>
      <c r="B1404" s="113" t="n"/>
      <c r="C1404" s="113" t="n"/>
      <c r="D1404" s="113" t="n"/>
      <c r="E1404" s="113" t="n"/>
      <c r="F1404" s="113" t="n"/>
      <c r="G1404" s="113" t="n"/>
      <c r="H1404" s="113" t="n"/>
      <c r="I1404" s="113" t="n"/>
      <c r="J1404" s="113" t="n"/>
      <c r="K1404" s="113" t="n"/>
      <c r="L1404" s="113" t="n"/>
      <c r="M1404" s="113" t="n"/>
      <c r="N1404" s="113" t="n"/>
      <c r="O1404" s="113" t="n"/>
      <c r="P1404" s="113" t="n"/>
      <c r="Q1404" s="113" t="n"/>
      <c r="R1404" s="113" t="n"/>
      <c r="S1404" s="113" t="n"/>
      <c r="T1404" s="113" t="n"/>
      <c r="U1404" s="113" t="n"/>
      <c r="V1404" s="113" t="n"/>
      <c r="W1404" s="113" t="n"/>
      <c r="X1404" s="113" t="n"/>
      <c r="Y1404" s="113" t="n"/>
      <c r="Z1404" s="117">
        <f>IF($B1404="",0,IF($S1404="EVET",IF($D1404="GELİR",$O1404,-$O1404),0))</f>
        <v/>
      </c>
      <c r="AA1404" s="117">
        <f>IF($B1404="",0,IF(OR($W1404="EVET",$X1404="EVET",$Y1404="EVET"),0,IF($D1404="GELİR",IF($E1404="SATIŞ İADESİ/İSKONTO",-$O1404,$O1404),-$O1404)))</f>
        <v/>
      </c>
      <c r="AB1404" s="117">
        <f>IF($B1404="","",IF(OR($D1404="",$E1404="",$O1404=""),"EKSİK",IF($O1404&lt;=0,"SIFIR/NEGATİF",IF(COUNTIFS($C$6:$C$5000,$C1404,$O$6:$O$5000,$O1404,$B$6:$B$5000,$B1404)&gt;1,"MÜKERRER","OK"))))</f>
        <v/>
      </c>
    </row>
    <row r="1405" ht="16.5" customHeight="1" s="80">
      <c r="A1405" s="113" t="n"/>
      <c r="B1405" s="113" t="n"/>
      <c r="C1405" s="113" t="n"/>
      <c r="D1405" s="113" t="n"/>
      <c r="E1405" s="113" t="n"/>
      <c r="F1405" s="113" t="n"/>
      <c r="G1405" s="113" t="n"/>
      <c r="H1405" s="113" t="n"/>
      <c r="I1405" s="113" t="n"/>
      <c r="J1405" s="113" t="n"/>
      <c r="K1405" s="113" t="n"/>
      <c r="L1405" s="113" t="n"/>
      <c r="M1405" s="113" t="n"/>
      <c r="N1405" s="113" t="n"/>
      <c r="O1405" s="113" t="n"/>
      <c r="P1405" s="113" t="n"/>
      <c r="Q1405" s="113" t="n"/>
      <c r="R1405" s="113" t="n"/>
      <c r="S1405" s="113" t="n"/>
      <c r="T1405" s="113" t="n"/>
      <c r="U1405" s="113" t="n"/>
      <c r="V1405" s="113" t="n"/>
      <c r="W1405" s="113" t="n"/>
      <c r="X1405" s="113" t="n"/>
      <c r="Y1405" s="113" t="n"/>
      <c r="Z1405" s="117">
        <f>IF($B1405="",0,IF($S1405="EVET",IF($D1405="GELİR",$O1405,-$O1405),0))</f>
        <v/>
      </c>
      <c r="AA1405" s="117">
        <f>IF($B1405="",0,IF(OR($W1405="EVET",$X1405="EVET",$Y1405="EVET"),0,IF($D1405="GELİR",IF($E1405="SATIŞ İADESİ/İSKONTO",-$O1405,$O1405),-$O1405)))</f>
        <v/>
      </c>
      <c r="AB1405" s="117">
        <f>IF($B1405="","",IF(OR($D1405="",$E1405="",$O1405=""),"EKSİK",IF($O1405&lt;=0,"SIFIR/NEGATİF",IF(COUNTIFS($C$6:$C$5000,$C1405,$O$6:$O$5000,$O1405,$B$6:$B$5000,$B1405)&gt;1,"MÜKERRER","OK"))))</f>
        <v/>
      </c>
    </row>
    <row r="1406" ht="16.5" customHeight="1" s="80">
      <c r="A1406" s="113" t="n"/>
      <c r="B1406" s="113" t="n"/>
      <c r="C1406" s="113" t="n"/>
      <c r="D1406" s="113" t="n"/>
      <c r="E1406" s="113" t="n"/>
      <c r="F1406" s="113" t="n"/>
      <c r="G1406" s="113" t="n"/>
      <c r="H1406" s="113" t="n"/>
      <c r="I1406" s="113" t="n"/>
      <c r="J1406" s="113" t="n"/>
      <c r="K1406" s="113" t="n"/>
      <c r="L1406" s="113" t="n"/>
      <c r="M1406" s="113" t="n"/>
      <c r="N1406" s="113" t="n"/>
      <c r="O1406" s="113" t="n"/>
      <c r="P1406" s="113" t="n"/>
      <c r="Q1406" s="113" t="n"/>
      <c r="R1406" s="113" t="n"/>
      <c r="S1406" s="113" t="n"/>
      <c r="T1406" s="113" t="n"/>
      <c r="U1406" s="113" t="n"/>
      <c r="V1406" s="113" t="n"/>
      <c r="W1406" s="113" t="n"/>
      <c r="X1406" s="113" t="n"/>
      <c r="Y1406" s="113" t="n"/>
      <c r="Z1406" s="117">
        <f>IF($B1406="",0,IF($S1406="EVET",IF($D1406="GELİR",$O1406,-$O1406),0))</f>
        <v/>
      </c>
      <c r="AA1406" s="117">
        <f>IF($B1406="",0,IF(OR($W1406="EVET",$X1406="EVET",$Y1406="EVET"),0,IF($D1406="GELİR",IF($E1406="SATIŞ İADESİ/İSKONTO",-$O1406,$O1406),-$O1406)))</f>
        <v/>
      </c>
      <c r="AB1406" s="117">
        <f>IF($B1406="","",IF(OR($D1406="",$E1406="",$O1406=""),"EKSİK",IF($O1406&lt;=0,"SIFIR/NEGATİF",IF(COUNTIFS($C$6:$C$5000,$C1406,$O$6:$O$5000,$O1406,$B$6:$B$5000,$B1406)&gt;1,"MÜKERRER","OK"))))</f>
        <v/>
      </c>
    </row>
    <row r="1407" ht="16.5" customHeight="1" s="80">
      <c r="A1407" s="113" t="n"/>
      <c r="B1407" s="113" t="n"/>
      <c r="C1407" s="113" t="n"/>
      <c r="D1407" s="113" t="n"/>
      <c r="E1407" s="113" t="n"/>
      <c r="F1407" s="113" t="n"/>
      <c r="G1407" s="113" t="n"/>
      <c r="H1407" s="113" t="n"/>
      <c r="I1407" s="113" t="n"/>
      <c r="J1407" s="113" t="n"/>
      <c r="K1407" s="113" t="n"/>
      <c r="L1407" s="113" t="n"/>
      <c r="M1407" s="113" t="n"/>
      <c r="N1407" s="113" t="n"/>
      <c r="O1407" s="113" t="n"/>
      <c r="P1407" s="113" t="n"/>
      <c r="Q1407" s="113" t="n"/>
      <c r="R1407" s="113" t="n"/>
      <c r="S1407" s="113" t="n"/>
      <c r="T1407" s="113" t="n"/>
      <c r="U1407" s="113" t="n"/>
      <c r="V1407" s="113" t="n"/>
      <c r="W1407" s="113" t="n"/>
      <c r="X1407" s="113" t="n"/>
      <c r="Y1407" s="113" t="n"/>
      <c r="Z1407" s="117">
        <f>IF($B1407="",0,IF($S1407="EVET",IF($D1407="GELİR",$O1407,-$O1407),0))</f>
        <v/>
      </c>
      <c r="AA1407" s="117">
        <f>IF($B1407="",0,IF(OR($W1407="EVET",$X1407="EVET",$Y1407="EVET"),0,IF($D1407="GELİR",IF($E1407="SATIŞ İADESİ/İSKONTO",-$O1407,$O1407),-$O1407)))</f>
        <v/>
      </c>
      <c r="AB1407" s="117">
        <f>IF($B1407="","",IF(OR($D1407="",$E1407="",$O1407=""),"EKSİK",IF($O1407&lt;=0,"SIFIR/NEGATİF",IF(COUNTIFS($C$6:$C$5000,$C1407,$O$6:$O$5000,$O1407,$B$6:$B$5000,$B1407)&gt;1,"MÜKERRER","OK"))))</f>
        <v/>
      </c>
    </row>
    <row r="1408" ht="16.5" customHeight="1" s="80">
      <c r="A1408" s="113" t="n"/>
      <c r="B1408" s="113" t="n"/>
      <c r="C1408" s="113" t="n"/>
      <c r="D1408" s="113" t="n"/>
      <c r="E1408" s="113" t="n"/>
      <c r="F1408" s="113" t="n"/>
      <c r="G1408" s="113" t="n"/>
      <c r="H1408" s="113" t="n"/>
      <c r="I1408" s="113" t="n"/>
      <c r="J1408" s="113" t="n"/>
      <c r="K1408" s="113" t="n"/>
      <c r="L1408" s="113" t="n"/>
      <c r="M1408" s="113" t="n"/>
      <c r="N1408" s="113" t="n"/>
      <c r="O1408" s="113" t="n"/>
      <c r="P1408" s="113" t="n"/>
      <c r="Q1408" s="113" t="n"/>
      <c r="R1408" s="113" t="n"/>
      <c r="S1408" s="113" t="n"/>
      <c r="T1408" s="113" t="n"/>
      <c r="U1408" s="113" t="n"/>
      <c r="V1408" s="113" t="n"/>
      <c r="W1408" s="113" t="n"/>
      <c r="X1408" s="113" t="n"/>
      <c r="Y1408" s="113" t="n"/>
      <c r="Z1408" s="117">
        <f>IF($B1408="",0,IF($S1408="EVET",IF($D1408="GELİR",$O1408,-$O1408),0))</f>
        <v/>
      </c>
      <c r="AA1408" s="117">
        <f>IF($B1408="",0,IF(OR($W1408="EVET",$X1408="EVET",$Y1408="EVET"),0,IF($D1408="GELİR",IF($E1408="SATIŞ İADESİ/İSKONTO",-$O1408,$O1408),-$O1408)))</f>
        <v/>
      </c>
      <c r="AB1408" s="117">
        <f>IF($B1408="","",IF(OR($D1408="",$E1408="",$O1408=""),"EKSİK",IF($O1408&lt;=0,"SIFIR/NEGATİF",IF(COUNTIFS($C$6:$C$5000,$C1408,$O$6:$O$5000,$O1408,$B$6:$B$5000,$B1408)&gt;1,"MÜKERRER","OK"))))</f>
        <v/>
      </c>
    </row>
    <row r="1409" ht="16.5" customHeight="1" s="80">
      <c r="A1409" s="113" t="n"/>
      <c r="B1409" s="113" t="n"/>
      <c r="C1409" s="113" t="n"/>
      <c r="D1409" s="113" t="n"/>
      <c r="E1409" s="113" t="n"/>
      <c r="F1409" s="113" t="n"/>
      <c r="G1409" s="113" t="n"/>
      <c r="H1409" s="113" t="n"/>
      <c r="I1409" s="113" t="n"/>
      <c r="J1409" s="113" t="n"/>
      <c r="K1409" s="113" t="n"/>
      <c r="L1409" s="113" t="n"/>
      <c r="M1409" s="113" t="n"/>
      <c r="N1409" s="113" t="n"/>
      <c r="O1409" s="113" t="n"/>
      <c r="P1409" s="113" t="n"/>
      <c r="Q1409" s="113" t="n"/>
      <c r="R1409" s="113" t="n"/>
      <c r="S1409" s="113" t="n"/>
      <c r="T1409" s="113" t="n"/>
      <c r="U1409" s="113" t="n"/>
      <c r="V1409" s="113" t="n"/>
      <c r="W1409" s="113" t="n"/>
      <c r="X1409" s="113" t="n"/>
      <c r="Y1409" s="113" t="n"/>
      <c r="Z1409" s="117">
        <f>IF($B1409="",0,IF($S1409="EVET",IF($D1409="GELİR",$O1409,-$O1409),0))</f>
        <v/>
      </c>
      <c r="AA1409" s="117">
        <f>IF($B1409="",0,IF(OR($W1409="EVET",$X1409="EVET",$Y1409="EVET"),0,IF($D1409="GELİR",IF($E1409="SATIŞ İADESİ/İSKONTO",-$O1409,$O1409),-$O1409)))</f>
        <v/>
      </c>
      <c r="AB1409" s="117">
        <f>IF($B1409="","",IF(OR($D1409="",$E1409="",$O1409=""),"EKSİK",IF($O1409&lt;=0,"SIFIR/NEGATİF",IF(COUNTIFS($C$6:$C$5000,$C1409,$O$6:$O$5000,$O1409,$B$6:$B$5000,$B1409)&gt;1,"MÜKERRER","OK"))))</f>
        <v/>
      </c>
    </row>
    <row r="1410" ht="16.5" customHeight="1" s="80">
      <c r="A1410" s="113" t="n"/>
      <c r="B1410" s="113" t="n"/>
      <c r="C1410" s="113" t="n"/>
      <c r="D1410" s="113" t="n"/>
      <c r="E1410" s="113" t="n"/>
      <c r="F1410" s="113" t="n"/>
      <c r="G1410" s="113" t="n"/>
      <c r="H1410" s="113" t="n"/>
      <c r="I1410" s="113" t="n"/>
      <c r="J1410" s="113" t="n"/>
      <c r="K1410" s="113" t="n"/>
      <c r="L1410" s="113" t="n"/>
      <c r="M1410" s="113" t="n"/>
      <c r="N1410" s="113" t="n"/>
      <c r="O1410" s="113" t="n"/>
      <c r="P1410" s="113" t="n"/>
      <c r="Q1410" s="113" t="n"/>
      <c r="R1410" s="113" t="n"/>
      <c r="S1410" s="113" t="n"/>
      <c r="T1410" s="113" t="n"/>
      <c r="U1410" s="113" t="n"/>
      <c r="V1410" s="113" t="n"/>
      <c r="W1410" s="113" t="n"/>
      <c r="X1410" s="113" t="n"/>
      <c r="Y1410" s="113" t="n"/>
      <c r="Z1410" s="117">
        <f>IF($B1410="",0,IF($S1410="EVET",IF($D1410="GELİR",$O1410,-$O1410),0))</f>
        <v/>
      </c>
      <c r="AA1410" s="117">
        <f>IF($B1410="",0,IF(OR($W1410="EVET",$X1410="EVET",$Y1410="EVET"),0,IF($D1410="GELİR",IF($E1410="SATIŞ İADESİ/İSKONTO",-$O1410,$O1410),-$O1410)))</f>
        <v/>
      </c>
      <c r="AB1410" s="117">
        <f>IF($B1410="","",IF(OR($D1410="",$E1410="",$O1410=""),"EKSİK",IF($O1410&lt;=0,"SIFIR/NEGATİF",IF(COUNTIFS($C$6:$C$5000,$C1410,$O$6:$O$5000,$O1410,$B$6:$B$5000,$B1410)&gt;1,"MÜKERRER","OK"))))</f>
        <v/>
      </c>
    </row>
    <row r="1411" ht="16.5" customHeight="1" s="80">
      <c r="A1411" s="113" t="n"/>
      <c r="B1411" s="113" t="n"/>
      <c r="C1411" s="113" t="n"/>
      <c r="D1411" s="113" t="n"/>
      <c r="E1411" s="113" t="n"/>
      <c r="F1411" s="113" t="n"/>
      <c r="G1411" s="113" t="n"/>
      <c r="H1411" s="113" t="n"/>
      <c r="I1411" s="113" t="n"/>
      <c r="J1411" s="113" t="n"/>
      <c r="K1411" s="113" t="n"/>
      <c r="L1411" s="113" t="n"/>
      <c r="M1411" s="113" t="n"/>
      <c r="N1411" s="113" t="n"/>
      <c r="O1411" s="113" t="n"/>
      <c r="P1411" s="113" t="n"/>
      <c r="Q1411" s="113" t="n"/>
      <c r="R1411" s="113" t="n"/>
      <c r="S1411" s="113" t="n"/>
      <c r="T1411" s="113" t="n"/>
      <c r="U1411" s="113" t="n"/>
      <c r="V1411" s="113" t="n"/>
      <c r="W1411" s="113" t="n"/>
      <c r="X1411" s="113" t="n"/>
      <c r="Y1411" s="113" t="n"/>
      <c r="Z1411" s="117">
        <f>IF($B1411="",0,IF($S1411="EVET",IF($D1411="GELİR",$O1411,-$O1411),0))</f>
        <v/>
      </c>
      <c r="AA1411" s="117">
        <f>IF($B1411="",0,IF(OR($W1411="EVET",$X1411="EVET",$Y1411="EVET"),0,IF($D1411="GELİR",IF($E1411="SATIŞ İADESİ/İSKONTO",-$O1411,$O1411),-$O1411)))</f>
        <v/>
      </c>
      <c r="AB1411" s="117">
        <f>IF($B1411="","",IF(OR($D1411="",$E1411="",$O1411=""),"EKSİK",IF($O1411&lt;=0,"SIFIR/NEGATİF",IF(COUNTIFS($C$6:$C$5000,$C1411,$O$6:$O$5000,$O1411,$B$6:$B$5000,$B1411)&gt;1,"MÜKERRER","OK"))))</f>
        <v/>
      </c>
    </row>
    <row r="1412" ht="16.5" customHeight="1" s="80">
      <c r="A1412" s="113" t="n"/>
      <c r="B1412" s="113" t="n"/>
      <c r="C1412" s="113" t="n"/>
      <c r="D1412" s="113" t="n"/>
      <c r="E1412" s="113" t="n"/>
      <c r="F1412" s="113" t="n"/>
      <c r="G1412" s="113" t="n"/>
      <c r="H1412" s="113" t="n"/>
      <c r="I1412" s="113" t="n"/>
      <c r="J1412" s="113" t="n"/>
      <c r="K1412" s="113" t="n"/>
      <c r="L1412" s="113" t="n"/>
      <c r="M1412" s="113" t="n"/>
      <c r="N1412" s="113" t="n"/>
      <c r="O1412" s="113" t="n"/>
      <c r="P1412" s="113" t="n"/>
      <c r="Q1412" s="113" t="n"/>
      <c r="R1412" s="113" t="n"/>
      <c r="S1412" s="113" t="n"/>
      <c r="T1412" s="113" t="n"/>
      <c r="U1412" s="113" t="n"/>
      <c r="V1412" s="113" t="n"/>
      <c r="W1412" s="113" t="n"/>
      <c r="X1412" s="113" t="n"/>
      <c r="Y1412" s="113" t="n"/>
      <c r="Z1412" s="117">
        <f>IF($B1412="",0,IF($S1412="EVET",IF($D1412="GELİR",$O1412,-$O1412),0))</f>
        <v/>
      </c>
      <c r="AA1412" s="117">
        <f>IF($B1412="",0,IF(OR($W1412="EVET",$X1412="EVET",$Y1412="EVET"),0,IF($D1412="GELİR",IF($E1412="SATIŞ İADESİ/İSKONTO",-$O1412,$O1412),-$O1412)))</f>
        <v/>
      </c>
      <c r="AB1412" s="117">
        <f>IF($B1412="","",IF(OR($D1412="",$E1412="",$O1412=""),"EKSİK",IF($O1412&lt;=0,"SIFIR/NEGATİF",IF(COUNTIFS($C$6:$C$5000,$C1412,$O$6:$O$5000,$O1412,$B$6:$B$5000,$B1412)&gt;1,"MÜKERRER","OK"))))</f>
        <v/>
      </c>
    </row>
    <row r="1413" ht="16.5" customHeight="1" s="80">
      <c r="A1413" s="113" t="n"/>
      <c r="B1413" s="113" t="n"/>
      <c r="C1413" s="113" t="n"/>
      <c r="D1413" s="113" t="n"/>
      <c r="E1413" s="113" t="n"/>
      <c r="F1413" s="113" t="n"/>
      <c r="G1413" s="113" t="n"/>
      <c r="H1413" s="113" t="n"/>
      <c r="I1413" s="113" t="n"/>
      <c r="J1413" s="113" t="n"/>
      <c r="K1413" s="113" t="n"/>
      <c r="L1413" s="113" t="n"/>
      <c r="M1413" s="113" t="n"/>
      <c r="N1413" s="113" t="n"/>
      <c r="O1413" s="113" t="n"/>
      <c r="P1413" s="113" t="n"/>
      <c r="Q1413" s="113" t="n"/>
      <c r="R1413" s="113" t="n"/>
      <c r="S1413" s="113" t="n"/>
      <c r="T1413" s="113" t="n"/>
      <c r="U1413" s="113" t="n"/>
      <c r="V1413" s="113" t="n"/>
      <c r="W1413" s="113" t="n"/>
      <c r="X1413" s="113" t="n"/>
      <c r="Y1413" s="113" t="n"/>
      <c r="Z1413" s="117">
        <f>IF($B1413="",0,IF($S1413="EVET",IF($D1413="GELİR",$O1413,-$O1413),0))</f>
        <v/>
      </c>
      <c r="AA1413" s="117">
        <f>IF($B1413="",0,IF(OR($W1413="EVET",$X1413="EVET",$Y1413="EVET"),0,IF($D1413="GELİR",IF($E1413="SATIŞ İADESİ/İSKONTO",-$O1413,$O1413),-$O1413)))</f>
        <v/>
      </c>
      <c r="AB1413" s="117">
        <f>IF($B1413="","",IF(OR($D1413="",$E1413="",$O1413=""),"EKSİK",IF($O1413&lt;=0,"SIFIR/NEGATİF",IF(COUNTIFS($C$6:$C$5000,$C1413,$O$6:$O$5000,$O1413,$B$6:$B$5000,$B1413)&gt;1,"MÜKERRER","OK"))))</f>
        <v/>
      </c>
    </row>
    <row r="1414" ht="16.5" customHeight="1" s="80">
      <c r="A1414" s="113" t="n"/>
      <c r="B1414" s="113" t="n"/>
      <c r="C1414" s="113" t="n"/>
      <c r="D1414" s="113" t="n"/>
      <c r="E1414" s="113" t="n"/>
      <c r="F1414" s="113" t="n"/>
      <c r="G1414" s="113" t="n"/>
      <c r="H1414" s="113" t="n"/>
      <c r="I1414" s="113" t="n"/>
      <c r="J1414" s="113" t="n"/>
      <c r="K1414" s="113" t="n"/>
      <c r="L1414" s="113" t="n"/>
      <c r="M1414" s="113" t="n"/>
      <c r="N1414" s="113" t="n"/>
      <c r="O1414" s="113" t="n"/>
      <c r="P1414" s="113" t="n"/>
      <c r="Q1414" s="113" t="n"/>
      <c r="R1414" s="113" t="n"/>
      <c r="S1414" s="113" t="n"/>
      <c r="T1414" s="113" t="n"/>
      <c r="U1414" s="113" t="n"/>
      <c r="V1414" s="113" t="n"/>
      <c r="W1414" s="113" t="n"/>
      <c r="X1414" s="113" t="n"/>
      <c r="Y1414" s="113" t="n"/>
      <c r="Z1414" s="117">
        <f>IF($B1414="",0,IF($S1414="EVET",IF($D1414="GELİR",$O1414,-$O1414),0))</f>
        <v/>
      </c>
      <c r="AA1414" s="117">
        <f>IF($B1414="",0,IF(OR($W1414="EVET",$X1414="EVET",$Y1414="EVET"),0,IF($D1414="GELİR",IF($E1414="SATIŞ İADESİ/İSKONTO",-$O1414,$O1414),-$O1414)))</f>
        <v/>
      </c>
      <c r="AB1414" s="117">
        <f>IF($B1414="","",IF(OR($D1414="",$E1414="",$O1414=""),"EKSİK",IF($O1414&lt;=0,"SIFIR/NEGATİF",IF(COUNTIFS($C$6:$C$5000,$C1414,$O$6:$O$5000,$O1414,$B$6:$B$5000,$B1414)&gt;1,"MÜKERRER","OK"))))</f>
        <v/>
      </c>
    </row>
    <row r="1415" ht="16.5" customHeight="1" s="80">
      <c r="A1415" s="113" t="n"/>
      <c r="B1415" s="113" t="n"/>
      <c r="C1415" s="113" t="n"/>
      <c r="D1415" s="113" t="n"/>
      <c r="E1415" s="113" t="n"/>
      <c r="F1415" s="113" t="n"/>
      <c r="G1415" s="113" t="n"/>
      <c r="H1415" s="113" t="n"/>
      <c r="I1415" s="113" t="n"/>
      <c r="J1415" s="113" t="n"/>
      <c r="K1415" s="113" t="n"/>
      <c r="L1415" s="113" t="n"/>
      <c r="M1415" s="113" t="n"/>
      <c r="N1415" s="113" t="n"/>
      <c r="O1415" s="113" t="n"/>
      <c r="P1415" s="113" t="n"/>
      <c r="Q1415" s="113" t="n"/>
      <c r="R1415" s="113" t="n"/>
      <c r="S1415" s="113" t="n"/>
      <c r="T1415" s="113" t="n"/>
      <c r="U1415" s="113" t="n"/>
      <c r="V1415" s="113" t="n"/>
      <c r="W1415" s="113" t="n"/>
      <c r="X1415" s="113" t="n"/>
      <c r="Y1415" s="113" t="n"/>
      <c r="Z1415" s="117">
        <f>IF($B1415="",0,IF($S1415="EVET",IF($D1415="GELİR",$O1415,-$O1415),0))</f>
        <v/>
      </c>
      <c r="AA1415" s="117">
        <f>IF($B1415="",0,IF(OR($W1415="EVET",$X1415="EVET",$Y1415="EVET"),0,IF($D1415="GELİR",IF($E1415="SATIŞ İADESİ/İSKONTO",-$O1415,$O1415),-$O1415)))</f>
        <v/>
      </c>
      <c r="AB1415" s="117">
        <f>IF($B1415="","",IF(OR($D1415="",$E1415="",$O1415=""),"EKSİK",IF($O1415&lt;=0,"SIFIR/NEGATİF",IF(COUNTIFS($C$6:$C$5000,$C1415,$O$6:$O$5000,$O1415,$B$6:$B$5000,$B1415)&gt;1,"MÜKERRER","OK"))))</f>
        <v/>
      </c>
    </row>
    <row r="1416" ht="16.5" customHeight="1" s="80">
      <c r="A1416" s="113" t="n"/>
      <c r="B1416" s="113" t="n"/>
      <c r="C1416" s="113" t="n"/>
      <c r="D1416" s="113" t="n"/>
      <c r="E1416" s="113" t="n"/>
      <c r="F1416" s="113" t="n"/>
      <c r="G1416" s="113" t="n"/>
      <c r="H1416" s="113" t="n"/>
      <c r="I1416" s="113" t="n"/>
      <c r="J1416" s="113" t="n"/>
      <c r="K1416" s="113" t="n"/>
      <c r="L1416" s="113" t="n"/>
      <c r="M1416" s="113" t="n"/>
      <c r="N1416" s="113" t="n"/>
      <c r="O1416" s="113" t="n"/>
      <c r="P1416" s="113" t="n"/>
      <c r="Q1416" s="113" t="n"/>
      <c r="R1416" s="113" t="n"/>
      <c r="S1416" s="113" t="n"/>
      <c r="T1416" s="113" t="n"/>
      <c r="U1416" s="113" t="n"/>
      <c r="V1416" s="113" t="n"/>
      <c r="W1416" s="113" t="n"/>
      <c r="X1416" s="113" t="n"/>
      <c r="Y1416" s="113" t="n"/>
      <c r="Z1416" s="117">
        <f>IF($B1416="",0,IF($S1416="EVET",IF($D1416="GELİR",$O1416,-$O1416),0))</f>
        <v/>
      </c>
      <c r="AA1416" s="117">
        <f>IF($B1416="",0,IF(OR($W1416="EVET",$X1416="EVET",$Y1416="EVET"),0,IF($D1416="GELİR",IF($E1416="SATIŞ İADESİ/İSKONTO",-$O1416,$O1416),-$O1416)))</f>
        <v/>
      </c>
      <c r="AB1416" s="117">
        <f>IF($B1416="","",IF(OR($D1416="",$E1416="",$O1416=""),"EKSİK",IF($O1416&lt;=0,"SIFIR/NEGATİF",IF(COUNTIFS($C$6:$C$5000,$C1416,$O$6:$O$5000,$O1416,$B$6:$B$5000,$B1416)&gt;1,"MÜKERRER","OK"))))</f>
        <v/>
      </c>
    </row>
    <row r="1417" ht="16.5" customHeight="1" s="80">
      <c r="A1417" s="113" t="n"/>
      <c r="B1417" s="113" t="n"/>
      <c r="C1417" s="113" t="n"/>
      <c r="D1417" s="113" t="n"/>
      <c r="E1417" s="113" t="n"/>
      <c r="F1417" s="113" t="n"/>
      <c r="G1417" s="113" t="n"/>
      <c r="H1417" s="113" t="n"/>
      <c r="I1417" s="113" t="n"/>
      <c r="J1417" s="113" t="n"/>
      <c r="K1417" s="113" t="n"/>
      <c r="L1417" s="113" t="n"/>
      <c r="M1417" s="113" t="n"/>
      <c r="N1417" s="113" t="n"/>
      <c r="O1417" s="113" t="n"/>
      <c r="P1417" s="113" t="n"/>
      <c r="Q1417" s="113" t="n"/>
      <c r="R1417" s="113" t="n"/>
      <c r="S1417" s="113" t="n"/>
      <c r="T1417" s="113" t="n"/>
      <c r="U1417" s="113" t="n"/>
      <c r="V1417" s="113" t="n"/>
      <c r="W1417" s="113" t="n"/>
      <c r="X1417" s="113" t="n"/>
      <c r="Y1417" s="113" t="n"/>
      <c r="Z1417" s="117">
        <f>IF($B1417="",0,IF($S1417="EVET",IF($D1417="GELİR",$O1417,-$O1417),0))</f>
        <v/>
      </c>
      <c r="AA1417" s="117">
        <f>IF($B1417="",0,IF(OR($W1417="EVET",$X1417="EVET",$Y1417="EVET"),0,IF($D1417="GELİR",IF($E1417="SATIŞ İADESİ/İSKONTO",-$O1417,$O1417),-$O1417)))</f>
        <v/>
      </c>
      <c r="AB1417" s="117">
        <f>IF($B1417="","",IF(OR($D1417="",$E1417="",$O1417=""),"EKSİK",IF($O1417&lt;=0,"SIFIR/NEGATİF",IF(COUNTIFS($C$6:$C$5000,$C1417,$O$6:$O$5000,$O1417,$B$6:$B$5000,$B1417)&gt;1,"MÜKERRER","OK"))))</f>
        <v/>
      </c>
    </row>
    <row r="1418" ht="16.5" customHeight="1" s="80">
      <c r="A1418" s="113" t="n"/>
      <c r="B1418" s="113" t="n"/>
      <c r="C1418" s="113" t="n"/>
      <c r="D1418" s="113" t="n"/>
      <c r="E1418" s="113" t="n"/>
      <c r="F1418" s="113" t="n"/>
      <c r="G1418" s="113" t="n"/>
      <c r="H1418" s="113" t="n"/>
      <c r="I1418" s="113" t="n"/>
      <c r="J1418" s="113" t="n"/>
      <c r="K1418" s="113" t="n"/>
      <c r="L1418" s="113" t="n"/>
      <c r="M1418" s="113" t="n"/>
      <c r="N1418" s="113" t="n"/>
      <c r="O1418" s="113" t="n"/>
      <c r="P1418" s="113" t="n"/>
      <c r="Q1418" s="113" t="n"/>
      <c r="R1418" s="113" t="n"/>
      <c r="S1418" s="113" t="n"/>
      <c r="T1418" s="113" t="n"/>
      <c r="U1418" s="113" t="n"/>
      <c r="V1418" s="113" t="n"/>
      <c r="W1418" s="113" t="n"/>
      <c r="X1418" s="113" t="n"/>
      <c r="Y1418" s="113" t="n"/>
      <c r="Z1418" s="117">
        <f>IF($B1418="",0,IF($S1418="EVET",IF($D1418="GELİR",$O1418,-$O1418),0))</f>
        <v/>
      </c>
      <c r="AA1418" s="117">
        <f>IF($B1418="",0,IF(OR($W1418="EVET",$X1418="EVET",$Y1418="EVET"),0,IF($D1418="GELİR",IF($E1418="SATIŞ İADESİ/İSKONTO",-$O1418,$O1418),-$O1418)))</f>
        <v/>
      </c>
      <c r="AB1418" s="117">
        <f>IF($B1418="","",IF(OR($D1418="",$E1418="",$O1418=""),"EKSİK",IF($O1418&lt;=0,"SIFIR/NEGATİF",IF(COUNTIFS($C$6:$C$5000,$C1418,$O$6:$O$5000,$O1418,$B$6:$B$5000,$B1418)&gt;1,"MÜKERRER","OK"))))</f>
        <v/>
      </c>
    </row>
    <row r="1419" ht="16.5" customHeight="1" s="80">
      <c r="A1419" s="113" t="n"/>
      <c r="B1419" s="113" t="n"/>
      <c r="C1419" s="113" t="n"/>
      <c r="D1419" s="113" t="n"/>
      <c r="E1419" s="113" t="n"/>
      <c r="F1419" s="113" t="n"/>
      <c r="G1419" s="113" t="n"/>
      <c r="H1419" s="113" t="n"/>
      <c r="I1419" s="113" t="n"/>
      <c r="J1419" s="113" t="n"/>
      <c r="K1419" s="113" t="n"/>
      <c r="L1419" s="113" t="n"/>
      <c r="M1419" s="113" t="n"/>
      <c r="N1419" s="113" t="n"/>
      <c r="O1419" s="113" t="n"/>
      <c r="P1419" s="113" t="n"/>
      <c r="Q1419" s="113" t="n"/>
      <c r="R1419" s="113" t="n"/>
      <c r="S1419" s="113" t="n"/>
      <c r="T1419" s="113" t="n"/>
      <c r="U1419" s="113" t="n"/>
      <c r="V1419" s="113" t="n"/>
      <c r="W1419" s="113" t="n"/>
      <c r="X1419" s="113" t="n"/>
      <c r="Y1419" s="113" t="n"/>
      <c r="Z1419" s="117">
        <f>IF($B1419="",0,IF($S1419="EVET",IF($D1419="GELİR",$O1419,-$O1419),0))</f>
        <v/>
      </c>
      <c r="AA1419" s="117">
        <f>IF($B1419="",0,IF(OR($W1419="EVET",$X1419="EVET",$Y1419="EVET"),0,IF($D1419="GELİR",IF($E1419="SATIŞ İADESİ/İSKONTO",-$O1419,$O1419),-$O1419)))</f>
        <v/>
      </c>
      <c r="AB1419" s="117">
        <f>IF($B1419="","",IF(OR($D1419="",$E1419="",$O1419=""),"EKSİK",IF($O1419&lt;=0,"SIFIR/NEGATİF",IF(COUNTIFS($C$6:$C$5000,$C1419,$O$6:$O$5000,$O1419,$B$6:$B$5000,$B1419)&gt;1,"MÜKERRER","OK"))))</f>
        <v/>
      </c>
    </row>
    <row r="1420" ht="16.5" customHeight="1" s="80">
      <c r="A1420" s="113" t="n"/>
      <c r="B1420" s="113" t="n"/>
      <c r="C1420" s="113" t="n"/>
      <c r="D1420" s="113" t="n"/>
      <c r="E1420" s="113" t="n"/>
      <c r="F1420" s="113" t="n"/>
      <c r="G1420" s="113" t="n"/>
      <c r="H1420" s="113" t="n"/>
      <c r="I1420" s="113" t="n"/>
      <c r="J1420" s="113" t="n"/>
      <c r="K1420" s="113" t="n"/>
      <c r="L1420" s="113" t="n"/>
      <c r="M1420" s="113" t="n"/>
      <c r="N1420" s="113" t="n"/>
      <c r="O1420" s="113" t="n"/>
      <c r="P1420" s="113" t="n"/>
      <c r="Q1420" s="113" t="n"/>
      <c r="R1420" s="113" t="n"/>
      <c r="S1420" s="113" t="n"/>
      <c r="T1420" s="113" t="n"/>
      <c r="U1420" s="113" t="n"/>
      <c r="V1420" s="113" t="n"/>
      <c r="W1420" s="113" t="n"/>
      <c r="X1420" s="113" t="n"/>
      <c r="Y1420" s="113" t="n"/>
      <c r="Z1420" s="117">
        <f>IF($B1420="",0,IF($S1420="EVET",IF($D1420="GELİR",$O1420,-$O1420),0))</f>
        <v/>
      </c>
      <c r="AA1420" s="117">
        <f>IF($B1420="",0,IF(OR($W1420="EVET",$X1420="EVET",$Y1420="EVET"),0,IF($D1420="GELİR",IF($E1420="SATIŞ İADESİ/İSKONTO",-$O1420,$O1420),-$O1420)))</f>
        <v/>
      </c>
      <c r="AB1420" s="117">
        <f>IF($B1420="","",IF(OR($D1420="",$E1420="",$O1420=""),"EKSİK",IF($O1420&lt;=0,"SIFIR/NEGATİF",IF(COUNTIFS($C$6:$C$5000,$C1420,$O$6:$O$5000,$O1420,$B$6:$B$5000,$B1420)&gt;1,"MÜKERRER","OK"))))</f>
        <v/>
      </c>
    </row>
    <row r="1421" ht="16.5" customHeight="1" s="80">
      <c r="A1421" s="113" t="n"/>
      <c r="B1421" s="113" t="n"/>
      <c r="C1421" s="113" t="n"/>
      <c r="D1421" s="113" t="n"/>
      <c r="E1421" s="113" t="n"/>
      <c r="F1421" s="113" t="n"/>
      <c r="G1421" s="113" t="n"/>
      <c r="H1421" s="113" t="n"/>
      <c r="I1421" s="113" t="n"/>
      <c r="J1421" s="113" t="n"/>
      <c r="K1421" s="113" t="n"/>
      <c r="L1421" s="113" t="n"/>
      <c r="M1421" s="113" t="n"/>
      <c r="N1421" s="113" t="n"/>
      <c r="O1421" s="113" t="n"/>
      <c r="P1421" s="113" t="n"/>
      <c r="Q1421" s="113" t="n"/>
      <c r="R1421" s="113" t="n"/>
      <c r="S1421" s="113" t="n"/>
      <c r="T1421" s="113" t="n"/>
      <c r="U1421" s="113" t="n"/>
      <c r="V1421" s="113" t="n"/>
      <c r="W1421" s="113" t="n"/>
      <c r="X1421" s="113" t="n"/>
      <c r="Y1421" s="113" t="n"/>
      <c r="Z1421" s="117">
        <f>IF($B1421="",0,IF($S1421="EVET",IF($D1421="GELİR",$O1421,-$O1421),0))</f>
        <v/>
      </c>
      <c r="AA1421" s="117">
        <f>IF($B1421="",0,IF(OR($W1421="EVET",$X1421="EVET",$Y1421="EVET"),0,IF($D1421="GELİR",IF($E1421="SATIŞ İADESİ/İSKONTO",-$O1421,$O1421),-$O1421)))</f>
        <v/>
      </c>
      <c r="AB1421" s="117">
        <f>IF($B1421="","",IF(OR($D1421="",$E1421="",$O1421=""),"EKSİK",IF($O1421&lt;=0,"SIFIR/NEGATİF",IF(COUNTIFS($C$6:$C$5000,$C1421,$O$6:$O$5000,$O1421,$B$6:$B$5000,$B1421)&gt;1,"MÜKERRER","OK"))))</f>
        <v/>
      </c>
    </row>
    <row r="1422" ht="16.5" customHeight="1" s="80">
      <c r="A1422" s="113" t="n"/>
      <c r="B1422" s="113" t="n"/>
      <c r="C1422" s="113" t="n"/>
      <c r="D1422" s="113" t="n"/>
      <c r="E1422" s="113" t="n"/>
      <c r="F1422" s="113" t="n"/>
      <c r="G1422" s="113" t="n"/>
      <c r="H1422" s="113" t="n"/>
      <c r="I1422" s="113" t="n"/>
      <c r="J1422" s="113" t="n"/>
      <c r="K1422" s="113" t="n"/>
      <c r="L1422" s="113" t="n"/>
      <c r="M1422" s="113" t="n"/>
      <c r="N1422" s="113" t="n"/>
      <c r="O1422" s="113" t="n"/>
      <c r="P1422" s="113" t="n"/>
      <c r="Q1422" s="113" t="n"/>
      <c r="R1422" s="113" t="n"/>
      <c r="S1422" s="113" t="n"/>
      <c r="T1422" s="113" t="n"/>
      <c r="U1422" s="113" t="n"/>
      <c r="V1422" s="113" t="n"/>
      <c r="W1422" s="113" t="n"/>
      <c r="X1422" s="113" t="n"/>
      <c r="Y1422" s="113" t="n"/>
      <c r="Z1422" s="117">
        <f>IF($B1422="",0,IF($S1422="EVET",IF($D1422="GELİR",$O1422,-$O1422),0))</f>
        <v/>
      </c>
      <c r="AA1422" s="117">
        <f>IF($B1422="",0,IF(OR($W1422="EVET",$X1422="EVET",$Y1422="EVET"),0,IF($D1422="GELİR",IF($E1422="SATIŞ İADESİ/İSKONTO",-$O1422,$O1422),-$O1422)))</f>
        <v/>
      </c>
      <c r="AB1422" s="117">
        <f>IF($B1422="","",IF(OR($D1422="",$E1422="",$O1422=""),"EKSİK",IF($O1422&lt;=0,"SIFIR/NEGATİF",IF(COUNTIFS($C$6:$C$5000,$C1422,$O$6:$O$5000,$O1422,$B$6:$B$5000,$B1422)&gt;1,"MÜKERRER","OK"))))</f>
        <v/>
      </c>
    </row>
    <row r="1423" ht="16.5" customHeight="1" s="80">
      <c r="A1423" s="113" t="n"/>
      <c r="B1423" s="113" t="n"/>
      <c r="C1423" s="113" t="n"/>
      <c r="D1423" s="113" t="n"/>
      <c r="E1423" s="113" t="n"/>
      <c r="F1423" s="113" t="n"/>
      <c r="G1423" s="113" t="n"/>
      <c r="H1423" s="113" t="n"/>
      <c r="I1423" s="113" t="n"/>
      <c r="J1423" s="113" t="n"/>
      <c r="K1423" s="113" t="n"/>
      <c r="L1423" s="113" t="n"/>
      <c r="M1423" s="113" t="n"/>
      <c r="N1423" s="113" t="n"/>
      <c r="O1423" s="113" t="n"/>
      <c r="P1423" s="113" t="n"/>
      <c r="Q1423" s="113" t="n"/>
      <c r="R1423" s="113" t="n"/>
      <c r="S1423" s="113" t="n"/>
      <c r="T1423" s="113" t="n"/>
      <c r="U1423" s="113" t="n"/>
      <c r="V1423" s="113" t="n"/>
      <c r="W1423" s="113" t="n"/>
      <c r="X1423" s="113" t="n"/>
      <c r="Y1423" s="113" t="n"/>
      <c r="Z1423" s="117">
        <f>IF($B1423="",0,IF($S1423="EVET",IF($D1423="GELİR",$O1423,-$O1423),0))</f>
        <v/>
      </c>
      <c r="AA1423" s="117">
        <f>IF($B1423="",0,IF(OR($W1423="EVET",$X1423="EVET",$Y1423="EVET"),0,IF($D1423="GELİR",IF($E1423="SATIŞ İADESİ/İSKONTO",-$O1423,$O1423),-$O1423)))</f>
        <v/>
      </c>
      <c r="AB1423" s="117">
        <f>IF($B1423="","",IF(OR($D1423="",$E1423="",$O1423=""),"EKSİK",IF($O1423&lt;=0,"SIFIR/NEGATİF",IF(COUNTIFS($C$6:$C$5000,$C1423,$O$6:$O$5000,$O1423,$B$6:$B$5000,$B1423)&gt;1,"MÜKERRER","OK"))))</f>
        <v/>
      </c>
    </row>
    <row r="1424" ht="16.5" customHeight="1" s="80">
      <c r="A1424" s="113" t="n"/>
      <c r="B1424" s="113" t="n"/>
      <c r="C1424" s="113" t="n"/>
      <c r="D1424" s="113" t="n"/>
      <c r="E1424" s="113" t="n"/>
      <c r="F1424" s="113" t="n"/>
      <c r="G1424" s="113" t="n"/>
      <c r="H1424" s="113" t="n"/>
      <c r="I1424" s="113" t="n"/>
      <c r="J1424" s="113" t="n"/>
      <c r="K1424" s="113" t="n"/>
      <c r="L1424" s="113" t="n"/>
      <c r="M1424" s="113" t="n"/>
      <c r="N1424" s="113" t="n"/>
      <c r="O1424" s="113" t="n"/>
      <c r="P1424" s="113" t="n"/>
      <c r="Q1424" s="113" t="n"/>
      <c r="R1424" s="113" t="n"/>
      <c r="S1424" s="113" t="n"/>
      <c r="T1424" s="113" t="n"/>
      <c r="U1424" s="113" t="n"/>
      <c r="V1424" s="113" t="n"/>
      <c r="W1424" s="113" t="n"/>
      <c r="X1424" s="113" t="n"/>
      <c r="Y1424" s="113" t="n"/>
      <c r="Z1424" s="117">
        <f>IF($B1424="",0,IF($S1424="EVET",IF($D1424="GELİR",$O1424,-$O1424),0))</f>
        <v/>
      </c>
      <c r="AA1424" s="117">
        <f>IF($B1424="",0,IF(OR($W1424="EVET",$X1424="EVET",$Y1424="EVET"),0,IF($D1424="GELİR",IF($E1424="SATIŞ İADESİ/İSKONTO",-$O1424,$O1424),-$O1424)))</f>
        <v/>
      </c>
      <c r="AB1424" s="117">
        <f>IF($B1424="","",IF(OR($D1424="",$E1424="",$O1424=""),"EKSİK",IF($O1424&lt;=0,"SIFIR/NEGATİF",IF(COUNTIFS($C$6:$C$5000,$C1424,$O$6:$O$5000,$O1424,$B$6:$B$5000,$B1424)&gt;1,"MÜKERRER","OK"))))</f>
        <v/>
      </c>
    </row>
    <row r="1425" ht="16.5" customHeight="1" s="80">
      <c r="A1425" s="113" t="n"/>
      <c r="B1425" s="113" t="n"/>
      <c r="C1425" s="113" t="n"/>
      <c r="D1425" s="113" t="n"/>
      <c r="E1425" s="113" t="n"/>
      <c r="F1425" s="113" t="n"/>
      <c r="G1425" s="113" t="n"/>
      <c r="H1425" s="113" t="n"/>
      <c r="I1425" s="113" t="n"/>
      <c r="J1425" s="113" t="n"/>
      <c r="K1425" s="113" t="n"/>
      <c r="L1425" s="113" t="n"/>
      <c r="M1425" s="113" t="n"/>
      <c r="N1425" s="113" t="n"/>
      <c r="O1425" s="113" t="n"/>
      <c r="P1425" s="113" t="n"/>
      <c r="Q1425" s="113" t="n"/>
      <c r="R1425" s="113" t="n"/>
      <c r="S1425" s="113" t="n"/>
      <c r="T1425" s="113" t="n"/>
      <c r="U1425" s="113" t="n"/>
      <c r="V1425" s="113" t="n"/>
      <c r="W1425" s="113" t="n"/>
      <c r="X1425" s="113" t="n"/>
      <c r="Y1425" s="113" t="n"/>
      <c r="Z1425" s="117">
        <f>IF($B1425="",0,IF($S1425="EVET",IF($D1425="GELİR",$O1425,-$O1425),0))</f>
        <v/>
      </c>
      <c r="AA1425" s="117">
        <f>IF($B1425="",0,IF(OR($W1425="EVET",$X1425="EVET",$Y1425="EVET"),0,IF($D1425="GELİR",IF($E1425="SATIŞ İADESİ/İSKONTO",-$O1425,$O1425),-$O1425)))</f>
        <v/>
      </c>
      <c r="AB1425" s="117">
        <f>IF($B1425="","",IF(OR($D1425="",$E1425="",$O1425=""),"EKSİK",IF($O1425&lt;=0,"SIFIR/NEGATİF",IF(COUNTIFS($C$6:$C$5000,$C1425,$O$6:$O$5000,$O1425,$B$6:$B$5000,$B1425)&gt;1,"MÜKERRER","OK"))))</f>
        <v/>
      </c>
    </row>
    <row r="1426" ht="16.5" customHeight="1" s="80">
      <c r="A1426" s="113" t="n"/>
      <c r="B1426" s="113" t="n"/>
      <c r="C1426" s="113" t="n"/>
      <c r="D1426" s="113" t="n"/>
      <c r="E1426" s="113" t="n"/>
      <c r="F1426" s="113" t="n"/>
      <c r="G1426" s="113" t="n"/>
      <c r="H1426" s="113" t="n"/>
      <c r="I1426" s="113" t="n"/>
      <c r="J1426" s="113" t="n"/>
      <c r="K1426" s="113" t="n"/>
      <c r="L1426" s="113" t="n"/>
      <c r="M1426" s="113" t="n"/>
      <c r="N1426" s="113" t="n"/>
      <c r="O1426" s="113" t="n"/>
      <c r="P1426" s="113" t="n"/>
      <c r="Q1426" s="113" t="n"/>
      <c r="R1426" s="113" t="n"/>
      <c r="S1426" s="113" t="n"/>
      <c r="T1426" s="113" t="n"/>
      <c r="U1426" s="113" t="n"/>
      <c r="V1426" s="113" t="n"/>
      <c r="W1426" s="113" t="n"/>
      <c r="X1426" s="113" t="n"/>
      <c r="Y1426" s="113" t="n"/>
      <c r="Z1426" s="117">
        <f>IF($B1426="",0,IF($S1426="EVET",IF($D1426="GELİR",$O1426,-$O1426),0))</f>
        <v/>
      </c>
      <c r="AA1426" s="117">
        <f>IF($B1426="",0,IF(OR($W1426="EVET",$X1426="EVET",$Y1426="EVET"),0,IF($D1426="GELİR",IF($E1426="SATIŞ İADESİ/İSKONTO",-$O1426,$O1426),-$O1426)))</f>
        <v/>
      </c>
      <c r="AB1426" s="117">
        <f>IF($B1426="","",IF(OR($D1426="",$E1426="",$O1426=""),"EKSİK",IF($O1426&lt;=0,"SIFIR/NEGATİF",IF(COUNTIFS($C$6:$C$5000,$C1426,$O$6:$O$5000,$O1426,$B$6:$B$5000,$B1426)&gt;1,"MÜKERRER","OK"))))</f>
        <v/>
      </c>
    </row>
    <row r="1427" ht="16.5" customHeight="1" s="80">
      <c r="A1427" s="113" t="n"/>
      <c r="B1427" s="113" t="n"/>
      <c r="C1427" s="113" t="n"/>
      <c r="D1427" s="113" t="n"/>
      <c r="E1427" s="113" t="n"/>
      <c r="F1427" s="113" t="n"/>
      <c r="G1427" s="113" t="n"/>
      <c r="H1427" s="113" t="n"/>
      <c r="I1427" s="113" t="n"/>
      <c r="J1427" s="113" t="n"/>
      <c r="K1427" s="113" t="n"/>
      <c r="L1427" s="113" t="n"/>
      <c r="M1427" s="113" t="n"/>
      <c r="N1427" s="113" t="n"/>
      <c r="O1427" s="113" t="n"/>
      <c r="P1427" s="113" t="n"/>
      <c r="Q1427" s="113" t="n"/>
      <c r="R1427" s="113" t="n"/>
      <c r="S1427" s="113" t="n"/>
      <c r="T1427" s="113" t="n"/>
      <c r="U1427" s="113" t="n"/>
      <c r="V1427" s="113" t="n"/>
      <c r="W1427" s="113" t="n"/>
      <c r="X1427" s="113" t="n"/>
      <c r="Y1427" s="113" t="n"/>
      <c r="Z1427" s="117">
        <f>IF($B1427="",0,IF($S1427="EVET",IF($D1427="GELİR",$O1427,-$O1427),0))</f>
        <v/>
      </c>
      <c r="AA1427" s="117">
        <f>IF($B1427="",0,IF(OR($W1427="EVET",$X1427="EVET",$Y1427="EVET"),0,IF($D1427="GELİR",IF($E1427="SATIŞ İADESİ/İSKONTO",-$O1427,$O1427),-$O1427)))</f>
        <v/>
      </c>
      <c r="AB1427" s="117">
        <f>IF($B1427="","",IF(OR($D1427="",$E1427="",$O1427=""),"EKSİK",IF($O1427&lt;=0,"SIFIR/NEGATİF",IF(COUNTIFS($C$6:$C$5000,$C1427,$O$6:$O$5000,$O1427,$B$6:$B$5000,$B1427)&gt;1,"MÜKERRER","OK"))))</f>
        <v/>
      </c>
    </row>
    <row r="1428" ht="16.5" customHeight="1" s="80">
      <c r="A1428" s="113" t="n"/>
      <c r="B1428" s="113" t="n"/>
      <c r="C1428" s="113" t="n"/>
      <c r="D1428" s="113" t="n"/>
      <c r="E1428" s="113" t="n"/>
      <c r="F1428" s="113" t="n"/>
      <c r="G1428" s="113" t="n"/>
      <c r="H1428" s="113" t="n"/>
      <c r="I1428" s="113" t="n"/>
      <c r="J1428" s="113" t="n"/>
      <c r="K1428" s="113" t="n"/>
      <c r="L1428" s="113" t="n"/>
      <c r="M1428" s="113" t="n"/>
      <c r="N1428" s="113" t="n"/>
      <c r="O1428" s="113" t="n"/>
      <c r="P1428" s="113" t="n"/>
      <c r="Q1428" s="113" t="n"/>
      <c r="R1428" s="113" t="n"/>
      <c r="S1428" s="113" t="n"/>
      <c r="T1428" s="113" t="n"/>
      <c r="U1428" s="113" t="n"/>
      <c r="V1428" s="113" t="n"/>
      <c r="W1428" s="113" t="n"/>
      <c r="X1428" s="113" t="n"/>
      <c r="Y1428" s="113" t="n"/>
      <c r="Z1428" s="117">
        <f>IF($B1428="",0,IF($S1428="EVET",IF($D1428="GELİR",$O1428,-$O1428),0))</f>
        <v/>
      </c>
      <c r="AA1428" s="117">
        <f>IF($B1428="",0,IF(OR($W1428="EVET",$X1428="EVET",$Y1428="EVET"),0,IF($D1428="GELİR",IF($E1428="SATIŞ İADESİ/İSKONTO",-$O1428,$O1428),-$O1428)))</f>
        <v/>
      </c>
      <c r="AB1428" s="117">
        <f>IF($B1428="","",IF(OR($D1428="",$E1428="",$O1428=""),"EKSİK",IF($O1428&lt;=0,"SIFIR/NEGATİF",IF(COUNTIFS($C$6:$C$5000,$C1428,$O$6:$O$5000,$O1428,$B$6:$B$5000,$B1428)&gt;1,"MÜKERRER","OK"))))</f>
        <v/>
      </c>
    </row>
    <row r="1429" ht="16.5" customHeight="1" s="80">
      <c r="A1429" s="113" t="n"/>
      <c r="B1429" s="113" t="n"/>
      <c r="C1429" s="113" t="n"/>
      <c r="D1429" s="113" t="n"/>
      <c r="E1429" s="113" t="n"/>
      <c r="F1429" s="113" t="n"/>
      <c r="G1429" s="113" t="n"/>
      <c r="H1429" s="113" t="n"/>
      <c r="I1429" s="113" t="n"/>
      <c r="J1429" s="113" t="n"/>
      <c r="K1429" s="113" t="n"/>
      <c r="L1429" s="113" t="n"/>
      <c r="M1429" s="113" t="n"/>
      <c r="N1429" s="113" t="n"/>
      <c r="O1429" s="113" t="n"/>
      <c r="P1429" s="113" t="n"/>
      <c r="Q1429" s="113" t="n"/>
      <c r="R1429" s="113" t="n"/>
      <c r="S1429" s="113" t="n"/>
      <c r="T1429" s="113" t="n"/>
      <c r="U1429" s="113" t="n"/>
      <c r="V1429" s="113" t="n"/>
      <c r="W1429" s="113" t="n"/>
      <c r="X1429" s="113" t="n"/>
      <c r="Y1429" s="113" t="n"/>
      <c r="Z1429" s="117">
        <f>IF($B1429="",0,IF($S1429="EVET",IF($D1429="GELİR",$O1429,-$O1429),0))</f>
        <v/>
      </c>
      <c r="AA1429" s="117">
        <f>IF($B1429="",0,IF(OR($W1429="EVET",$X1429="EVET",$Y1429="EVET"),0,IF($D1429="GELİR",IF($E1429="SATIŞ İADESİ/İSKONTO",-$O1429,$O1429),-$O1429)))</f>
        <v/>
      </c>
      <c r="AB1429" s="117">
        <f>IF($B1429="","",IF(OR($D1429="",$E1429="",$O1429=""),"EKSİK",IF($O1429&lt;=0,"SIFIR/NEGATİF",IF(COUNTIFS($C$6:$C$5000,$C1429,$O$6:$O$5000,$O1429,$B$6:$B$5000,$B1429)&gt;1,"MÜKERRER","OK"))))</f>
        <v/>
      </c>
    </row>
    <row r="1430" ht="16.5" customHeight="1" s="80">
      <c r="A1430" s="113" t="n"/>
      <c r="B1430" s="113" t="n"/>
      <c r="C1430" s="113" t="n"/>
      <c r="D1430" s="113" t="n"/>
      <c r="E1430" s="113" t="n"/>
      <c r="F1430" s="113" t="n"/>
      <c r="G1430" s="113" t="n"/>
      <c r="H1430" s="113" t="n"/>
      <c r="I1430" s="113" t="n"/>
      <c r="J1430" s="113" t="n"/>
      <c r="K1430" s="113" t="n"/>
      <c r="L1430" s="113" t="n"/>
      <c r="M1430" s="113" t="n"/>
      <c r="N1430" s="113" t="n"/>
      <c r="O1430" s="113" t="n"/>
      <c r="P1430" s="113" t="n"/>
      <c r="Q1430" s="113" t="n"/>
      <c r="R1430" s="113" t="n"/>
      <c r="S1430" s="113" t="n"/>
      <c r="T1430" s="113" t="n"/>
      <c r="U1430" s="113" t="n"/>
      <c r="V1430" s="113" t="n"/>
      <c r="W1430" s="113" t="n"/>
      <c r="X1430" s="113" t="n"/>
      <c r="Y1430" s="113" t="n"/>
      <c r="Z1430" s="117">
        <f>IF($B1430="",0,IF($S1430="EVET",IF($D1430="GELİR",$O1430,-$O1430),0))</f>
        <v/>
      </c>
      <c r="AA1430" s="117">
        <f>IF($B1430="",0,IF(OR($W1430="EVET",$X1430="EVET",$Y1430="EVET"),0,IF($D1430="GELİR",IF($E1430="SATIŞ İADESİ/İSKONTO",-$O1430,$O1430),-$O1430)))</f>
        <v/>
      </c>
      <c r="AB1430" s="117">
        <f>IF($B1430="","",IF(OR($D1430="",$E1430="",$O1430=""),"EKSİK",IF($O1430&lt;=0,"SIFIR/NEGATİF",IF(COUNTIFS($C$6:$C$5000,$C1430,$O$6:$O$5000,$O1430,$B$6:$B$5000,$B1430)&gt;1,"MÜKERRER","OK"))))</f>
        <v/>
      </c>
    </row>
    <row r="1431" ht="16.5" customHeight="1" s="80">
      <c r="A1431" s="113" t="n"/>
      <c r="B1431" s="113" t="n"/>
      <c r="C1431" s="113" t="n"/>
      <c r="D1431" s="113" t="n"/>
      <c r="E1431" s="113" t="n"/>
      <c r="F1431" s="113" t="n"/>
      <c r="G1431" s="113" t="n"/>
      <c r="H1431" s="113" t="n"/>
      <c r="I1431" s="113" t="n"/>
      <c r="J1431" s="113" t="n"/>
      <c r="K1431" s="113" t="n"/>
      <c r="L1431" s="113" t="n"/>
      <c r="M1431" s="113" t="n"/>
      <c r="N1431" s="113" t="n"/>
      <c r="O1431" s="113" t="n"/>
      <c r="P1431" s="113" t="n"/>
      <c r="Q1431" s="113" t="n"/>
      <c r="R1431" s="113" t="n"/>
      <c r="S1431" s="113" t="n"/>
      <c r="T1431" s="113" t="n"/>
      <c r="U1431" s="113" t="n"/>
      <c r="V1431" s="113" t="n"/>
      <c r="W1431" s="113" t="n"/>
      <c r="X1431" s="113" t="n"/>
      <c r="Y1431" s="113" t="n"/>
      <c r="Z1431" s="117">
        <f>IF($B1431="",0,IF($S1431="EVET",IF($D1431="GELİR",$O1431,-$O1431),0))</f>
        <v/>
      </c>
      <c r="AA1431" s="117">
        <f>IF($B1431="",0,IF(OR($W1431="EVET",$X1431="EVET",$Y1431="EVET"),0,IF($D1431="GELİR",IF($E1431="SATIŞ İADESİ/İSKONTO",-$O1431,$O1431),-$O1431)))</f>
        <v/>
      </c>
      <c r="AB1431" s="117">
        <f>IF($B1431="","",IF(OR($D1431="",$E1431="",$O1431=""),"EKSİK",IF($O1431&lt;=0,"SIFIR/NEGATİF",IF(COUNTIFS($C$6:$C$5000,$C1431,$O$6:$O$5000,$O1431,$B$6:$B$5000,$B1431)&gt;1,"MÜKERRER","OK"))))</f>
        <v/>
      </c>
    </row>
    <row r="1432" ht="16.5" customHeight="1" s="80">
      <c r="A1432" s="113" t="n"/>
      <c r="B1432" s="113" t="n"/>
      <c r="C1432" s="113" t="n"/>
      <c r="D1432" s="113" t="n"/>
      <c r="E1432" s="113" t="n"/>
      <c r="F1432" s="113" t="n"/>
      <c r="G1432" s="113" t="n"/>
      <c r="H1432" s="113" t="n"/>
      <c r="I1432" s="113" t="n"/>
      <c r="J1432" s="113" t="n"/>
      <c r="K1432" s="113" t="n"/>
      <c r="L1432" s="113" t="n"/>
      <c r="M1432" s="113" t="n"/>
      <c r="N1432" s="113" t="n"/>
      <c r="O1432" s="113" t="n"/>
      <c r="P1432" s="113" t="n"/>
      <c r="Q1432" s="113" t="n"/>
      <c r="R1432" s="113" t="n"/>
      <c r="S1432" s="113" t="n"/>
      <c r="T1432" s="113" t="n"/>
      <c r="U1432" s="113" t="n"/>
      <c r="V1432" s="113" t="n"/>
      <c r="W1432" s="113" t="n"/>
      <c r="X1432" s="113" t="n"/>
      <c r="Y1432" s="113" t="n"/>
      <c r="Z1432" s="117">
        <f>IF($B1432="",0,IF($S1432="EVET",IF($D1432="GELİR",$O1432,-$O1432),0))</f>
        <v/>
      </c>
      <c r="AA1432" s="117">
        <f>IF($B1432="",0,IF(OR($W1432="EVET",$X1432="EVET",$Y1432="EVET"),0,IF($D1432="GELİR",IF($E1432="SATIŞ İADESİ/İSKONTO",-$O1432,$O1432),-$O1432)))</f>
        <v/>
      </c>
      <c r="AB1432" s="117">
        <f>IF($B1432="","",IF(OR($D1432="",$E1432="",$O1432=""),"EKSİK",IF($O1432&lt;=0,"SIFIR/NEGATİF",IF(COUNTIFS($C$6:$C$5000,$C1432,$O$6:$O$5000,$O1432,$B$6:$B$5000,$B1432)&gt;1,"MÜKERRER","OK"))))</f>
        <v/>
      </c>
    </row>
    <row r="1433" ht="16.5" customHeight="1" s="80">
      <c r="A1433" s="113" t="n"/>
      <c r="B1433" s="113" t="n"/>
      <c r="C1433" s="113" t="n"/>
      <c r="D1433" s="113" t="n"/>
      <c r="E1433" s="113" t="n"/>
      <c r="F1433" s="113" t="n"/>
      <c r="G1433" s="113" t="n"/>
      <c r="H1433" s="113" t="n"/>
      <c r="I1433" s="113" t="n"/>
      <c r="J1433" s="113" t="n"/>
      <c r="K1433" s="113" t="n"/>
      <c r="L1433" s="113" t="n"/>
      <c r="M1433" s="113" t="n"/>
      <c r="N1433" s="113" t="n"/>
      <c r="O1433" s="113" t="n"/>
      <c r="P1433" s="113" t="n"/>
      <c r="Q1433" s="113" t="n"/>
      <c r="R1433" s="113" t="n"/>
      <c r="S1433" s="113" t="n"/>
      <c r="T1433" s="113" t="n"/>
      <c r="U1433" s="113" t="n"/>
      <c r="V1433" s="113" t="n"/>
      <c r="W1433" s="113" t="n"/>
      <c r="X1433" s="113" t="n"/>
      <c r="Y1433" s="113" t="n"/>
      <c r="Z1433" s="117">
        <f>IF($B1433="",0,IF($S1433="EVET",IF($D1433="GELİR",$O1433,-$O1433),0))</f>
        <v/>
      </c>
      <c r="AA1433" s="117">
        <f>IF($B1433="",0,IF(OR($W1433="EVET",$X1433="EVET",$Y1433="EVET"),0,IF($D1433="GELİR",IF($E1433="SATIŞ İADESİ/İSKONTO",-$O1433,$O1433),-$O1433)))</f>
        <v/>
      </c>
      <c r="AB1433" s="117">
        <f>IF($B1433="","",IF(OR($D1433="",$E1433="",$O1433=""),"EKSİK",IF($O1433&lt;=0,"SIFIR/NEGATİF",IF(COUNTIFS($C$6:$C$5000,$C1433,$O$6:$O$5000,$O1433,$B$6:$B$5000,$B1433)&gt;1,"MÜKERRER","OK"))))</f>
        <v/>
      </c>
    </row>
    <row r="1434" ht="16.5" customHeight="1" s="80">
      <c r="A1434" s="113" t="n"/>
      <c r="B1434" s="113" t="n"/>
      <c r="C1434" s="113" t="n"/>
      <c r="D1434" s="113" t="n"/>
      <c r="E1434" s="113" t="n"/>
      <c r="F1434" s="113" t="n"/>
      <c r="G1434" s="113" t="n"/>
      <c r="H1434" s="113" t="n"/>
      <c r="I1434" s="113" t="n"/>
      <c r="J1434" s="113" t="n"/>
      <c r="K1434" s="113" t="n"/>
      <c r="L1434" s="113" t="n"/>
      <c r="M1434" s="113" t="n"/>
      <c r="N1434" s="113" t="n"/>
      <c r="O1434" s="113" t="n"/>
      <c r="P1434" s="113" t="n"/>
      <c r="Q1434" s="113" t="n"/>
      <c r="R1434" s="113" t="n"/>
      <c r="S1434" s="113" t="n"/>
      <c r="T1434" s="113" t="n"/>
      <c r="U1434" s="113" t="n"/>
      <c r="V1434" s="113" t="n"/>
      <c r="W1434" s="113" t="n"/>
      <c r="X1434" s="113" t="n"/>
      <c r="Y1434" s="113" t="n"/>
      <c r="Z1434" s="117">
        <f>IF($B1434="",0,IF($S1434="EVET",IF($D1434="GELİR",$O1434,-$O1434),0))</f>
        <v/>
      </c>
      <c r="AA1434" s="117">
        <f>IF($B1434="",0,IF(OR($W1434="EVET",$X1434="EVET",$Y1434="EVET"),0,IF($D1434="GELİR",IF($E1434="SATIŞ İADESİ/İSKONTO",-$O1434,$O1434),-$O1434)))</f>
        <v/>
      </c>
      <c r="AB1434" s="117">
        <f>IF($B1434="","",IF(OR($D1434="",$E1434="",$O1434=""),"EKSİK",IF($O1434&lt;=0,"SIFIR/NEGATİF",IF(COUNTIFS($C$6:$C$5000,$C1434,$O$6:$O$5000,$O1434,$B$6:$B$5000,$B1434)&gt;1,"MÜKERRER","OK"))))</f>
        <v/>
      </c>
    </row>
    <row r="1435" ht="16.5" customHeight="1" s="80">
      <c r="A1435" s="113" t="n"/>
      <c r="B1435" s="113" t="n"/>
      <c r="C1435" s="113" t="n"/>
      <c r="D1435" s="113" t="n"/>
      <c r="E1435" s="113" t="n"/>
      <c r="F1435" s="113" t="n"/>
      <c r="G1435" s="113" t="n"/>
      <c r="H1435" s="113" t="n"/>
      <c r="I1435" s="113" t="n"/>
      <c r="J1435" s="113" t="n"/>
      <c r="K1435" s="113" t="n"/>
      <c r="L1435" s="113" t="n"/>
      <c r="M1435" s="113" t="n"/>
      <c r="N1435" s="113" t="n"/>
      <c r="O1435" s="113" t="n"/>
      <c r="P1435" s="113" t="n"/>
      <c r="Q1435" s="113" t="n"/>
      <c r="R1435" s="113" t="n"/>
      <c r="S1435" s="113" t="n"/>
      <c r="T1435" s="113" t="n"/>
      <c r="U1435" s="113" t="n"/>
      <c r="V1435" s="113" t="n"/>
      <c r="W1435" s="113" t="n"/>
      <c r="X1435" s="113" t="n"/>
      <c r="Y1435" s="113" t="n"/>
      <c r="Z1435" s="117">
        <f>IF($B1435="",0,IF($S1435="EVET",IF($D1435="GELİR",$O1435,-$O1435),0))</f>
        <v/>
      </c>
      <c r="AA1435" s="117">
        <f>IF($B1435="",0,IF(OR($W1435="EVET",$X1435="EVET",$Y1435="EVET"),0,IF($D1435="GELİR",IF($E1435="SATIŞ İADESİ/İSKONTO",-$O1435,$O1435),-$O1435)))</f>
        <v/>
      </c>
      <c r="AB1435" s="117">
        <f>IF($B1435="","",IF(OR($D1435="",$E1435="",$O1435=""),"EKSİK",IF($O1435&lt;=0,"SIFIR/NEGATİF",IF(COUNTIFS($C$6:$C$5000,$C1435,$O$6:$O$5000,$O1435,$B$6:$B$5000,$B1435)&gt;1,"MÜKERRER","OK"))))</f>
        <v/>
      </c>
    </row>
    <row r="1436" ht="16.5" customHeight="1" s="80">
      <c r="A1436" s="113" t="n"/>
      <c r="B1436" s="113" t="n"/>
      <c r="C1436" s="113" t="n"/>
      <c r="D1436" s="113" t="n"/>
      <c r="E1436" s="113" t="n"/>
      <c r="F1436" s="113" t="n"/>
      <c r="G1436" s="113" t="n"/>
      <c r="H1436" s="113" t="n"/>
      <c r="I1436" s="113" t="n"/>
      <c r="J1436" s="113" t="n"/>
      <c r="K1436" s="113" t="n"/>
      <c r="L1436" s="113" t="n"/>
      <c r="M1436" s="113" t="n"/>
      <c r="N1436" s="113" t="n"/>
      <c r="O1436" s="113" t="n"/>
      <c r="P1436" s="113" t="n"/>
      <c r="Q1436" s="113" t="n"/>
      <c r="R1436" s="113" t="n"/>
      <c r="S1436" s="113" t="n"/>
      <c r="T1436" s="113" t="n"/>
      <c r="U1436" s="113" t="n"/>
      <c r="V1436" s="113" t="n"/>
      <c r="W1436" s="113" t="n"/>
      <c r="X1436" s="113" t="n"/>
      <c r="Y1436" s="113" t="n"/>
      <c r="Z1436" s="117">
        <f>IF($B1436="",0,IF($S1436="EVET",IF($D1436="GELİR",$O1436,-$O1436),0))</f>
        <v/>
      </c>
      <c r="AA1436" s="117">
        <f>IF($B1436="",0,IF(OR($W1436="EVET",$X1436="EVET",$Y1436="EVET"),0,IF($D1436="GELİR",IF($E1436="SATIŞ İADESİ/İSKONTO",-$O1436,$O1436),-$O1436)))</f>
        <v/>
      </c>
      <c r="AB1436" s="117">
        <f>IF($B1436="","",IF(OR($D1436="",$E1436="",$O1436=""),"EKSİK",IF($O1436&lt;=0,"SIFIR/NEGATİF",IF(COUNTIFS($C$6:$C$5000,$C1436,$O$6:$O$5000,$O1436,$B$6:$B$5000,$B1436)&gt;1,"MÜKERRER","OK"))))</f>
        <v/>
      </c>
    </row>
    <row r="1437" ht="16.5" customHeight="1" s="80">
      <c r="A1437" s="113" t="n"/>
      <c r="B1437" s="113" t="n"/>
      <c r="C1437" s="113" t="n"/>
      <c r="D1437" s="113" t="n"/>
      <c r="E1437" s="113" t="n"/>
      <c r="F1437" s="113" t="n"/>
      <c r="G1437" s="113" t="n"/>
      <c r="H1437" s="113" t="n"/>
      <c r="I1437" s="113" t="n"/>
      <c r="J1437" s="113" t="n"/>
      <c r="K1437" s="113" t="n"/>
      <c r="L1437" s="113" t="n"/>
      <c r="M1437" s="113" t="n"/>
      <c r="N1437" s="113" t="n"/>
      <c r="O1437" s="113" t="n"/>
      <c r="P1437" s="113" t="n"/>
      <c r="Q1437" s="113" t="n"/>
      <c r="R1437" s="113" t="n"/>
      <c r="S1437" s="113" t="n"/>
      <c r="T1437" s="113" t="n"/>
      <c r="U1437" s="113" t="n"/>
      <c r="V1437" s="113" t="n"/>
      <c r="W1437" s="113" t="n"/>
      <c r="X1437" s="113" t="n"/>
      <c r="Y1437" s="113" t="n"/>
      <c r="Z1437" s="117">
        <f>IF($B1437="",0,IF($S1437="EVET",IF($D1437="GELİR",$O1437,-$O1437),0))</f>
        <v/>
      </c>
      <c r="AA1437" s="117">
        <f>IF($B1437="",0,IF(OR($W1437="EVET",$X1437="EVET",$Y1437="EVET"),0,IF($D1437="GELİR",IF($E1437="SATIŞ İADESİ/İSKONTO",-$O1437,$O1437),-$O1437)))</f>
        <v/>
      </c>
      <c r="AB1437" s="117">
        <f>IF($B1437="","",IF(OR($D1437="",$E1437="",$O1437=""),"EKSİK",IF($O1437&lt;=0,"SIFIR/NEGATİF",IF(COUNTIFS($C$6:$C$5000,$C1437,$O$6:$O$5000,$O1437,$B$6:$B$5000,$B1437)&gt;1,"MÜKERRER","OK"))))</f>
        <v/>
      </c>
    </row>
    <row r="1438" ht="16.5" customHeight="1" s="80">
      <c r="A1438" s="113" t="n"/>
      <c r="B1438" s="113" t="n"/>
      <c r="C1438" s="113" t="n"/>
      <c r="D1438" s="113" t="n"/>
      <c r="E1438" s="113" t="n"/>
      <c r="F1438" s="113" t="n"/>
      <c r="G1438" s="113" t="n"/>
      <c r="H1438" s="113" t="n"/>
      <c r="I1438" s="113" t="n"/>
      <c r="J1438" s="113" t="n"/>
      <c r="K1438" s="113" t="n"/>
      <c r="L1438" s="113" t="n"/>
      <c r="M1438" s="113" t="n"/>
      <c r="N1438" s="113" t="n"/>
      <c r="O1438" s="113" t="n"/>
      <c r="P1438" s="113" t="n"/>
      <c r="Q1438" s="113" t="n"/>
      <c r="R1438" s="113" t="n"/>
      <c r="S1438" s="113" t="n"/>
      <c r="T1438" s="113" t="n"/>
      <c r="U1438" s="113" t="n"/>
      <c r="V1438" s="113" t="n"/>
      <c r="W1438" s="113" t="n"/>
      <c r="X1438" s="113" t="n"/>
      <c r="Y1438" s="113" t="n"/>
      <c r="Z1438" s="117">
        <f>IF($B1438="",0,IF($S1438="EVET",IF($D1438="GELİR",$O1438,-$O1438),0))</f>
        <v/>
      </c>
      <c r="AA1438" s="117">
        <f>IF($B1438="",0,IF(OR($W1438="EVET",$X1438="EVET",$Y1438="EVET"),0,IF($D1438="GELİR",IF($E1438="SATIŞ İADESİ/İSKONTO",-$O1438,$O1438),-$O1438)))</f>
        <v/>
      </c>
      <c r="AB1438" s="117">
        <f>IF($B1438="","",IF(OR($D1438="",$E1438="",$O1438=""),"EKSİK",IF($O1438&lt;=0,"SIFIR/NEGATİF",IF(COUNTIFS($C$6:$C$5000,$C1438,$O$6:$O$5000,$O1438,$B$6:$B$5000,$B1438)&gt;1,"MÜKERRER","OK"))))</f>
        <v/>
      </c>
    </row>
    <row r="1439" ht="16.5" customHeight="1" s="80">
      <c r="A1439" s="113" t="n"/>
      <c r="B1439" s="113" t="n"/>
      <c r="C1439" s="113" t="n"/>
      <c r="D1439" s="113" t="n"/>
      <c r="E1439" s="113" t="n"/>
      <c r="F1439" s="113" t="n"/>
      <c r="G1439" s="113" t="n"/>
      <c r="H1439" s="113" t="n"/>
      <c r="I1439" s="113" t="n"/>
      <c r="J1439" s="113" t="n"/>
      <c r="K1439" s="113" t="n"/>
      <c r="L1439" s="113" t="n"/>
      <c r="M1439" s="113" t="n"/>
      <c r="N1439" s="113" t="n"/>
      <c r="O1439" s="113" t="n"/>
      <c r="P1439" s="113" t="n"/>
      <c r="Q1439" s="113" t="n"/>
      <c r="R1439" s="113" t="n"/>
      <c r="S1439" s="113" t="n"/>
      <c r="T1439" s="113" t="n"/>
      <c r="U1439" s="113" t="n"/>
      <c r="V1439" s="113" t="n"/>
      <c r="W1439" s="113" t="n"/>
      <c r="X1439" s="113" t="n"/>
      <c r="Y1439" s="113" t="n"/>
      <c r="Z1439" s="117">
        <f>IF($B1439="",0,IF($S1439="EVET",IF($D1439="GELİR",$O1439,-$O1439),0))</f>
        <v/>
      </c>
      <c r="AA1439" s="117">
        <f>IF($B1439="",0,IF(OR($W1439="EVET",$X1439="EVET",$Y1439="EVET"),0,IF($D1439="GELİR",IF($E1439="SATIŞ İADESİ/İSKONTO",-$O1439,$O1439),-$O1439)))</f>
        <v/>
      </c>
      <c r="AB1439" s="117">
        <f>IF($B1439="","",IF(OR($D1439="",$E1439="",$O1439=""),"EKSİK",IF($O1439&lt;=0,"SIFIR/NEGATİF",IF(COUNTIFS($C$6:$C$5000,$C1439,$O$6:$O$5000,$O1439,$B$6:$B$5000,$B1439)&gt;1,"MÜKERRER","OK"))))</f>
        <v/>
      </c>
    </row>
    <row r="1440" ht="16.5" customHeight="1" s="80">
      <c r="A1440" s="113" t="n"/>
      <c r="B1440" s="113" t="n"/>
      <c r="C1440" s="113" t="n"/>
      <c r="D1440" s="113" t="n"/>
      <c r="E1440" s="113" t="n"/>
      <c r="F1440" s="113" t="n"/>
      <c r="G1440" s="113" t="n"/>
      <c r="H1440" s="113" t="n"/>
      <c r="I1440" s="113" t="n"/>
      <c r="J1440" s="113" t="n"/>
      <c r="K1440" s="113" t="n"/>
      <c r="L1440" s="113" t="n"/>
      <c r="M1440" s="113" t="n"/>
      <c r="N1440" s="113" t="n"/>
      <c r="O1440" s="113" t="n"/>
      <c r="P1440" s="113" t="n"/>
      <c r="Q1440" s="113" t="n"/>
      <c r="R1440" s="113" t="n"/>
      <c r="S1440" s="113" t="n"/>
      <c r="T1440" s="113" t="n"/>
      <c r="U1440" s="113" t="n"/>
      <c r="V1440" s="113" t="n"/>
      <c r="W1440" s="113" t="n"/>
      <c r="X1440" s="113" t="n"/>
      <c r="Y1440" s="113" t="n"/>
      <c r="Z1440" s="117">
        <f>IF($B1440="",0,IF($S1440="EVET",IF($D1440="GELİR",$O1440,-$O1440),0))</f>
        <v/>
      </c>
      <c r="AA1440" s="117">
        <f>IF($B1440="",0,IF(OR($W1440="EVET",$X1440="EVET",$Y1440="EVET"),0,IF($D1440="GELİR",IF($E1440="SATIŞ İADESİ/İSKONTO",-$O1440,$O1440),-$O1440)))</f>
        <v/>
      </c>
      <c r="AB1440" s="117">
        <f>IF($B1440="","",IF(OR($D1440="",$E1440="",$O1440=""),"EKSİK",IF($O1440&lt;=0,"SIFIR/NEGATİF",IF(COUNTIFS($C$6:$C$5000,$C1440,$O$6:$O$5000,$O1440,$B$6:$B$5000,$B1440)&gt;1,"MÜKERRER","OK"))))</f>
        <v/>
      </c>
    </row>
    <row r="1441" ht="16.5" customHeight="1" s="80">
      <c r="A1441" s="113" t="n"/>
      <c r="B1441" s="113" t="n"/>
      <c r="C1441" s="113" t="n"/>
      <c r="D1441" s="113" t="n"/>
      <c r="E1441" s="113" t="n"/>
      <c r="F1441" s="113" t="n"/>
      <c r="G1441" s="113" t="n"/>
      <c r="H1441" s="113" t="n"/>
      <c r="I1441" s="113" t="n"/>
      <c r="J1441" s="113" t="n"/>
      <c r="K1441" s="113" t="n"/>
      <c r="L1441" s="113" t="n"/>
      <c r="M1441" s="113" t="n"/>
      <c r="N1441" s="113" t="n"/>
      <c r="O1441" s="113" t="n"/>
      <c r="P1441" s="113" t="n"/>
      <c r="Q1441" s="113" t="n"/>
      <c r="R1441" s="113" t="n"/>
      <c r="S1441" s="113" t="n"/>
      <c r="T1441" s="113" t="n"/>
      <c r="U1441" s="113" t="n"/>
      <c r="V1441" s="113" t="n"/>
      <c r="W1441" s="113" t="n"/>
      <c r="X1441" s="113" t="n"/>
      <c r="Y1441" s="113" t="n"/>
      <c r="Z1441" s="117">
        <f>IF($B1441="",0,IF($S1441="EVET",IF($D1441="GELİR",$O1441,-$O1441),0))</f>
        <v/>
      </c>
      <c r="AA1441" s="117">
        <f>IF($B1441="",0,IF(OR($W1441="EVET",$X1441="EVET",$Y1441="EVET"),0,IF($D1441="GELİR",IF($E1441="SATIŞ İADESİ/İSKONTO",-$O1441,$O1441),-$O1441)))</f>
        <v/>
      </c>
      <c r="AB1441" s="117">
        <f>IF($B1441="","",IF(OR($D1441="",$E1441="",$O1441=""),"EKSİK",IF($O1441&lt;=0,"SIFIR/NEGATİF",IF(COUNTIFS($C$6:$C$5000,$C1441,$O$6:$O$5000,$O1441,$B$6:$B$5000,$B1441)&gt;1,"MÜKERRER","OK"))))</f>
        <v/>
      </c>
    </row>
    <row r="1442" ht="16.5" customHeight="1" s="80">
      <c r="A1442" s="113" t="n"/>
      <c r="B1442" s="113" t="n"/>
      <c r="C1442" s="113" t="n"/>
      <c r="D1442" s="113" t="n"/>
      <c r="E1442" s="113" t="n"/>
      <c r="F1442" s="113" t="n"/>
      <c r="G1442" s="113" t="n"/>
      <c r="H1442" s="113" t="n"/>
      <c r="I1442" s="113" t="n"/>
      <c r="J1442" s="113" t="n"/>
      <c r="K1442" s="113" t="n"/>
      <c r="L1442" s="113" t="n"/>
      <c r="M1442" s="113" t="n"/>
      <c r="N1442" s="113" t="n"/>
      <c r="O1442" s="113" t="n"/>
      <c r="P1442" s="113" t="n"/>
      <c r="Q1442" s="113" t="n"/>
      <c r="R1442" s="113" t="n"/>
      <c r="S1442" s="113" t="n"/>
      <c r="T1442" s="113" t="n"/>
      <c r="U1442" s="113" t="n"/>
      <c r="V1442" s="113" t="n"/>
      <c r="W1442" s="113" t="n"/>
      <c r="X1442" s="113" t="n"/>
      <c r="Y1442" s="113" t="n"/>
      <c r="Z1442" s="117">
        <f>IF($B1442="",0,IF($S1442="EVET",IF($D1442="GELİR",$O1442,-$O1442),0))</f>
        <v/>
      </c>
      <c r="AA1442" s="117">
        <f>IF($B1442="",0,IF(OR($W1442="EVET",$X1442="EVET",$Y1442="EVET"),0,IF($D1442="GELİR",IF($E1442="SATIŞ İADESİ/İSKONTO",-$O1442,$O1442),-$O1442)))</f>
        <v/>
      </c>
      <c r="AB1442" s="117">
        <f>IF($B1442="","",IF(OR($D1442="",$E1442="",$O1442=""),"EKSİK",IF($O1442&lt;=0,"SIFIR/NEGATİF",IF(COUNTIFS($C$6:$C$5000,$C1442,$O$6:$O$5000,$O1442,$B$6:$B$5000,$B1442)&gt;1,"MÜKERRER","OK"))))</f>
        <v/>
      </c>
    </row>
    <row r="1443" ht="16.5" customHeight="1" s="80">
      <c r="A1443" s="113" t="n"/>
      <c r="B1443" s="113" t="n"/>
      <c r="C1443" s="113" t="n"/>
      <c r="D1443" s="113" t="n"/>
      <c r="E1443" s="113" t="n"/>
      <c r="F1443" s="113" t="n"/>
      <c r="G1443" s="113" t="n"/>
      <c r="H1443" s="113" t="n"/>
      <c r="I1443" s="113" t="n"/>
      <c r="J1443" s="113" t="n"/>
      <c r="K1443" s="113" t="n"/>
      <c r="L1443" s="113" t="n"/>
      <c r="M1443" s="113" t="n"/>
      <c r="N1443" s="113" t="n"/>
      <c r="O1443" s="113" t="n"/>
      <c r="P1443" s="113" t="n"/>
      <c r="Q1443" s="113" t="n"/>
      <c r="R1443" s="113" t="n"/>
      <c r="S1443" s="113" t="n"/>
      <c r="T1443" s="113" t="n"/>
      <c r="U1443" s="113" t="n"/>
      <c r="V1443" s="113" t="n"/>
      <c r="W1443" s="113" t="n"/>
      <c r="X1443" s="113" t="n"/>
      <c r="Y1443" s="113" t="n"/>
      <c r="Z1443" s="117">
        <f>IF($B1443="",0,IF($S1443="EVET",IF($D1443="GELİR",$O1443,-$O1443),0))</f>
        <v/>
      </c>
      <c r="AA1443" s="117">
        <f>IF($B1443="",0,IF(OR($W1443="EVET",$X1443="EVET",$Y1443="EVET"),0,IF($D1443="GELİR",IF($E1443="SATIŞ İADESİ/İSKONTO",-$O1443,$O1443),-$O1443)))</f>
        <v/>
      </c>
      <c r="AB1443" s="117">
        <f>IF($B1443="","",IF(OR($D1443="",$E1443="",$O1443=""),"EKSİK",IF($O1443&lt;=0,"SIFIR/NEGATİF",IF(COUNTIFS($C$6:$C$5000,$C1443,$O$6:$O$5000,$O1443,$B$6:$B$5000,$B1443)&gt;1,"MÜKERRER","OK"))))</f>
        <v/>
      </c>
    </row>
    <row r="1444" ht="16.5" customHeight="1" s="80">
      <c r="A1444" s="113" t="n"/>
      <c r="B1444" s="113" t="n"/>
      <c r="C1444" s="113" t="n"/>
      <c r="D1444" s="113" t="n"/>
      <c r="E1444" s="113" t="n"/>
      <c r="F1444" s="113" t="n"/>
      <c r="G1444" s="113" t="n"/>
      <c r="H1444" s="113" t="n"/>
      <c r="I1444" s="113" t="n"/>
      <c r="J1444" s="113" t="n"/>
      <c r="K1444" s="113" t="n"/>
      <c r="L1444" s="113" t="n"/>
      <c r="M1444" s="113" t="n"/>
      <c r="N1444" s="113" t="n"/>
      <c r="O1444" s="113" t="n"/>
      <c r="P1444" s="113" t="n"/>
      <c r="Q1444" s="113" t="n"/>
      <c r="R1444" s="113" t="n"/>
      <c r="S1444" s="113" t="n"/>
      <c r="T1444" s="113" t="n"/>
      <c r="U1444" s="113" t="n"/>
      <c r="V1444" s="113" t="n"/>
      <c r="W1444" s="113" t="n"/>
      <c r="X1444" s="113" t="n"/>
      <c r="Y1444" s="113" t="n"/>
      <c r="Z1444" s="117">
        <f>IF($B1444="",0,IF($S1444="EVET",IF($D1444="GELİR",$O1444,-$O1444),0))</f>
        <v/>
      </c>
      <c r="AA1444" s="117">
        <f>IF($B1444="",0,IF(OR($W1444="EVET",$X1444="EVET",$Y1444="EVET"),0,IF($D1444="GELİR",IF($E1444="SATIŞ İADESİ/İSKONTO",-$O1444,$O1444),-$O1444)))</f>
        <v/>
      </c>
      <c r="AB1444" s="117">
        <f>IF($B1444="","",IF(OR($D1444="",$E1444="",$O1444=""),"EKSİK",IF($O1444&lt;=0,"SIFIR/NEGATİF",IF(COUNTIFS($C$6:$C$5000,$C1444,$O$6:$O$5000,$O1444,$B$6:$B$5000,$B1444)&gt;1,"MÜKERRER","OK"))))</f>
        <v/>
      </c>
    </row>
    <row r="1445" ht="16.5" customHeight="1" s="80">
      <c r="A1445" s="113" t="n"/>
      <c r="B1445" s="113" t="n"/>
      <c r="C1445" s="113" t="n"/>
      <c r="D1445" s="113" t="n"/>
      <c r="E1445" s="113" t="n"/>
      <c r="F1445" s="113" t="n"/>
      <c r="G1445" s="113" t="n"/>
      <c r="H1445" s="113" t="n"/>
      <c r="I1445" s="113" t="n"/>
      <c r="J1445" s="113" t="n"/>
      <c r="K1445" s="113" t="n"/>
      <c r="L1445" s="113" t="n"/>
      <c r="M1445" s="113" t="n"/>
      <c r="N1445" s="113" t="n"/>
      <c r="O1445" s="113" t="n"/>
      <c r="P1445" s="113" t="n"/>
      <c r="Q1445" s="113" t="n"/>
      <c r="R1445" s="113" t="n"/>
      <c r="S1445" s="113" t="n"/>
      <c r="T1445" s="113" t="n"/>
      <c r="U1445" s="113" t="n"/>
      <c r="V1445" s="113" t="n"/>
      <c r="W1445" s="113" t="n"/>
      <c r="X1445" s="113" t="n"/>
      <c r="Y1445" s="113" t="n"/>
      <c r="Z1445" s="117">
        <f>IF($B1445="",0,IF($S1445="EVET",IF($D1445="GELİR",$O1445,-$O1445),0))</f>
        <v/>
      </c>
      <c r="AA1445" s="117">
        <f>IF($B1445="",0,IF(OR($W1445="EVET",$X1445="EVET",$Y1445="EVET"),0,IF($D1445="GELİR",IF($E1445="SATIŞ İADESİ/İSKONTO",-$O1445,$O1445),-$O1445)))</f>
        <v/>
      </c>
      <c r="AB1445" s="117">
        <f>IF($B1445="","",IF(OR($D1445="",$E1445="",$O1445=""),"EKSİK",IF($O1445&lt;=0,"SIFIR/NEGATİF",IF(COUNTIFS($C$6:$C$5000,$C1445,$O$6:$O$5000,$O1445,$B$6:$B$5000,$B1445)&gt;1,"MÜKERRER","OK"))))</f>
        <v/>
      </c>
    </row>
    <row r="1446" ht="16.5" customHeight="1" s="80">
      <c r="A1446" s="113" t="n"/>
      <c r="B1446" s="113" t="n"/>
      <c r="C1446" s="113" t="n"/>
      <c r="D1446" s="113" t="n"/>
      <c r="E1446" s="113" t="n"/>
      <c r="F1446" s="113" t="n"/>
      <c r="G1446" s="113" t="n"/>
      <c r="H1446" s="113" t="n"/>
      <c r="I1446" s="113" t="n"/>
      <c r="J1446" s="113" t="n"/>
      <c r="K1446" s="113" t="n"/>
      <c r="L1446" s="113" t="n"/>
      <c r="M1446" s="113" t="n"/>
      <c r="N1446" s="113" t="n"/>
      <c r="O1446" s="113" t="n"/>
      <c r="P1446" s="113" t="n"/>
      <c r="Q1446" s="113" t="n"/>
      <c r="R1446" s="113" t="n"/>
      <c r="S1446" s="113" t="n"/>
      <c r="T1446" s="113" t="n"/>
      <c r="U1446" s="113" t="n"/>
      <c r="V1446" s="113" t="n"/>
      <c r="W1446" s="113" t="n"/>
      <c r="X1446" s="113" t="n"/>
      <c r="Y1446" s="113" t="n"/>
      <c r="Z1446" s="117">
        <f>IF($B1446="",0,IF($S1446="EVET",IF($D1446="GELİR",$O1446,-$O1446),0))</f>
        <v/>
      </c>
      <c r="AA1446" s="117">
        <f>IF($B1446="",0,IF(OR($W1446="EVET",$X1446="EVET",$Y1446="EVET"),0,IF($D1446="GELİR",IF($E1446="SATIŞ İADESİ/İSKONTO",-$O1446,$O1446),-$O1446)))</f>
        <v/>
      </c>
      <c r="AB1446" s="117">
        <f>IF($B1446="","",IF(OR($D1446="",$E1446="",$O1446=""),"EKSİK",IF($O1446&lt;=0,"SIFIR/NEGATİF",IF(COUNTIFS($C$6:$C$5000,$C1446,$O$6:$O$5000,$O1446,$B$6:$B$5000,$B1446)&gt;1,"MÜKERRER","OK"))))</f>
        <v/>
      </c>
    </row>
    <row r="1447" ht="16.5" customHeight="1" s="80">
      <c r="A1447" s="113" t="n"/>
      <c r="B1447" s="113" t="n"/>
      <c r="C1447" s="113" t="n"/>
      <c r="D1447" s="113" t="n"/>
      <c r="E1447" s="113" t="n"/>
      <c r="F1447" s="113" t="n"/>
      <c r="G1447" s="113" t="n"/>
      <c r="H1447" s="113" t="n"/>
      <c r="I1447" s="113" t="n"/>
      <c r="J1447" s="113" t="n"/>
      <c r="K1447" s="113" t="n"/>
      <c r="L1447" s="113" t="n"/>
      <c r="M1447" s="113" t="n"/>
      <c r="N1447" s="113" t="n"/>
      <c r="O1447" s="113" t="n"/>
      <c r="P1447" s="113" t="n"/>
      <c r="Q1447" s="113" t="n"/>
      <c r="R1447" s="113" t="n"/>
      <c r="S1447" s="113" t="n"/>
      <c r="T1447" s="113" t="n"/>
      <c r="U1447" s="113" t="n"/>
      <c r="V1447" s="113" t="n"/>
      <c r="W1447" s="113" t="n"/>
      <c r="X1447" s="113" t="n"/>
      <c r="Y1447" s="113" t="n"/>
      <c r="Z1447" s="117">
        <f>IF($B1447="",0,IF($S1447="EVET",IF($D1447="GELİR",$O1447,-$O1447),0))</f>
        <v/>
      </c>
      <c r="AA1447" s="117">
        <f>IF($B1447="",0,IF(OR($W1447="EVET",$X1447="EVET",$Y1447="EVET"),0,IF($D1447="GELİR",IF($E1447="SATIŞ İADESİ/İSKONTO",-$O1447,$O1447),-$O1447)))</f>
        <v/>
      </c>
      <c r="AB1447" s="117">
        <f>IF($B1447="","",IF(OR($D1447="",$E1447="",$O1447=""),"EKSİK",IF($O1447&lt;=0,"SIFIR/NEGATİF",IF(COUNTIFS($C$6:$C$5000,$C1447,$O$6:$O$5000,$O1447,$B$6:$B$5000,$B1447)&gt;1,"MÜKERRER","OK"))))</f>
        <v/>
      </c>
    </row>
    <row r="1448" ht="16.5" customHeight="1" s="80">
      <c r="A1448" s="113" t="n"/>
      <c r="B1448" s="113" t="n"/>
      <c r="C1448" s="113" t="n"/>
      <c r="D1448" s="113" t="n"/>
      <c r="E1448" s="113" t="n"/>
      <c r="F1448" s="113" t="n"/>
      <c r="G1448" s="113" t="n"/>
      <c r="H1448" s="113" t="n"/>
      <c r="I1448" s="113" t="n"/>
      <c r="J1448" s="113" t="n"/>
      <c r="K1448" s="113" t="n"/>
      <c r="L1448" s="113" t="n"/>
      <c r="M1448" s="113" t="n"/>
      <c r="N1448" s="113" t="n"/>
      <c r="O1448" s="113" t="n"/>
      <c r="P1448" s="113" t="n"/>
      <c r="Q1448" s="113" t="n"/>
      <c r="R1448" s="113" t="n"/>
      <c r="S1448" s="113" t="n"/>
      <c r="T1448" s="113" t="n"/>
      <c r="U1448" s="113" t="n"/>
      <c r="V1448" s="113" t="n"/>
      <c r="W1448" s="113" t="n"/>
      <c r="X1448" s="113" t="n"/>
      <c r="Y1448" s="113" t="n"/>
      <c r="Z1448" s="117">
        <f>IF($B1448="",0,IF($S1448="EVET",IF($D1448="GELİR",$O1448,-$O1448),0))</f>
        <v/>
      </c>
      <c r="AA1448" s="117">
        <f>IF($B1448="",0,IF(OR($W1448="EVET",$X1448="EVET",$Y1448="EVET"),0,IF($D1448="GELİR",IF($E1448="SATIŞ İADESİ/İSKONTO",-$O1448,$O1448),-$O1448)))</f>
        <v/>
      </c>
      <c r="AB1448" s="117">
        <f>IF($B1448="","",IF(OR($D1448="",$E1448="",$O1448=""),"EKSİK",IF($O1448&lt;=0,"SIFIR/NEGATİF",IF(COUNTIFS($C$6:$C$5000,$C1448,$O$6:$O$5000,$O1448,$B$6:$B$5000,$B1448)&gt;1,"MÜKERRER","OK"))))</f>
        <v/>
      </c>
    </row>
    <row r="1449" ht="16.5" customHeight="1" s="80">
      <c r="A1449" s="113" t="n"/>
      <c r="B1449" s="113" t="n"/>
      <c r="C1449" s="113" t="n"/>
      <c r="D1449" s="113" t="n"/>
      <c r="E1449" s="113" t="n"/>
      <c r="F1449" s="113" t="n"/>
      <c r="G1449" s="113" t="n"/>
      <c r="H1449" s="113" t="n"/>
      <c r="I1449" s="113" t="n"/>
      <c r="J1449" s="113" t="n"/>
      <c r="K1449" s="113" t="n"/>
      <c r="L1449" s="113" t="n"/>
      <c r="M1449" s="113" t="n"/>
      <c r="N1449" s="113" t="n"/>
      <c r="O1449" s="113" t="n"/>
      <c r="P1449" s="113" t="n"/>
      <c r="Q1449" s="113" t="n"/>
      <c r="R1449" s="113" t="n"/>
      <c r="S1449" s="113" t="n"/>
      <c r="T1449" s="113" t="n"/>
      <c r="U1449" s="113" t="n"/>
      <c r="V1449" s="113" t="n"/>
      <c r="W1449" s="113" t="n"/>
      <c r="X1449" s="113" t="n"/>
      <c r="Y1449" s="113" t="n"/>
      <c r="Z1449" s="117">
        <f>IF($B1449="",0,IF($S1449="EVET",IF($D1449="GELİR",$O1449,-$O1449),0))</f>
        <v/>
      </c>
      <c r="AA1449" s="117">
        <f>IF($B1449="",0,IF(OR($W1449="EVET",$X1449="EVET",$Y1449="EVET"),0,IF($D1449="GELİR",IF($E1449="SATIŞ İADESİ/İSKONTO",-$O1449,$O1449),-$O1449)))</f>
        <v/>
      </c>
      <c r="AB1449" s="117">
        <f>IF($B1449="","",IF(OR($D1449="",$E1449="",$O1449=""),"EKSİK",IF($O1449&lt;=0,"SIFIR/NEGATİF",IF(COUNTIFS($C$6:$C$5000,$C1449,$O$6:$O$5000,$O1449,$B$6:$B$5000,$B1449)&gt;1,"MÜKERRER","OK"))))</f>
        <v/>
      </c>
    </row>
    <row r="1450" ht="16.5" customHeight="1" s="80">
      <c r="A1450" s="113" t="n"/>
      <c r="B1450" s="113" t="n"/>
      <c r="C1450" s="113" t="n"/>
      <c r="D1450" s="113" t="n"/>
      <c r="E1450" s="113" t="n"/>
      <c r="F1450" s="113" t="n"/>
      <c r="G1450" s="113" t="n"/>
      <c r="H1450" s="113" t="n"/>
      <c r="I1450" s="113" t="n"/>
      <c r="J1450" s="113" t="n"/>
      <c r="K1450" s="113" t="n"/>
      <c r="L1450" s="113" t="n"/>
      <c r="M1450" s="113" t="n"/>
      <c r="N1450" s="113" t="n"/>
      <c r="O1450" s="113" t="n"/>
      <c r="P1450" s="113" t="n"/>
      <c r="Q1450" s="113" t="n"/>
      <c r="R1450" s="113" t="n"/>
      <c r="S1450" s="113" t="n"/>
      <c r="T1450" s="113" t="n"/>
      <c r="U1450" s="113" t="n"/>
      <c r="V1450" s="113" t="n"/>
      <c r="W1450" s="113" t="n"/>
      <c r="X1450" s="113" t="n"/>
      <c r="Y1450" s="113" t="n"/>
      <c r="Z1450" s="117">
        <f>IF($B1450="",0,IF($S1450="EVET",IF($D1450="GELİR",$O1450,-$O1450),0))</f>
        <v/>
      </c>
      <c r="AA1450" s="117">
        <f>IF($B1450="",0,IF(OR($W1450="EVET",$X1450="EVET",$Y1450="EVET"),0,IF($D1450="GELİR",IF($E1450="SATIŞ İADESİ/İSKONTO",-$O1450,$O1450),-$O1450)))</f>
        <v/>
      </c>
      <c r="AB1450" s="117">
        <f>IF($B1450="","",IF(OR($D1450="",$E1450="",$O1450=""),"EKSİK",IF($O1450&lt;=0,"SIFIR/NEGATİF",IF(COUNTIFS($C$6:$C$5000,$C1450,$O$6:$O$5000,$O1450,$B$6:$B$5000,$B1450)&gt;1,"MÜKERRER","OK"))))</f>
        <v/>
      </c>
    </row>
    <row r="1451" ht="16.5" customHeight="1" s="80">
      <c r="A1451" s="113" t="n"/>
      <c r="B1451" s="113" t="n"/>
      <c r="C1451" s="113" t="n"/>
      <c r="D1451" s="113" t="n"/>
      <c r="E1451" s="113" t="n"/>
      <c r="F1451" s="113" t="n"/>
      <c r="G1451" s="113" t="n"/>
      <c r="H1451" s="113" t="n"/>
      <c r="I1451" s="113" t="n"/>
      <c r="J1451" s="113" t="n"/>
      <c r="K1451" s="113" t="n"/>
      <c r="L1451" s="113" t="n"/>
      <c r="M1451" s="113" t="n"/>
      <c r="N1451" s="113" t="n"/>
      <c r="O1451" s="113" t="n"/>
      <c r="P1451" s="113" t="n"/>
      <c r="Q1451" s="113" t="n"/>
      <c r="R1451" s="113" t="n"/>
      <c r="S1451" s="113" t="n"/>
      <c r="T1451" s="113" t="n"/>
      <c r="U1451" s="113" t="n"/>
      <c r="V1451" s="113" t="n"/>
      <c r="W1451" s="113" t="n"/>
      <c r="X1451" s="113" t="n"/>
      <c r="Y1451" s="113" t="n"/>
      <c r="Z1451" s="117">
        <f>IF($B1451="",0,IF($S1451="EVET",IF($D1451="GELİR",$O1451,-$O1451),0))</f>
        <v/>
      </c>
      <c r="AA1451" s="117">
        <f>IF($B1451="",0,IF(OR($W1451="EVET",$X1451="EVET",$Y1451="EVET"),0,IF($D1451="GELİR",IF($E1451="SATIŞ İADESİ/İSKONTO",-$O1451,$O1451),-$O1451)))</f>
        <v/>
      </c>
      <c r="AB1451" s="117">
        <f>IF($B1451="","",IF(OR($D1451="",$E1451="",$O1451=""),"EKSİK",IF($O1451&lt;=0,"SIFIR/NEGATİF",IF(COUNTIFS($C$6:$C$5000,$C1451,$O$6:$O$5000,$O1451,$B$6:$B$5000,$B1451)&gt;1,"MÜKERRER","OK"))))</f>
        <v/>
      </c>
    </row>
    <row r="1452" ht="16.5" customHeight="1" s="80">
      <c r="A1452" s="113" t="n"/>
      <c r="B1452" s="113" t="n"/>
      <c r="C1452" s="113" t="n"/>
      <c r="D1452" s="113" t="n"/>
      <c r="E1452" s="113" t="n"/>
      <c r="F1452" s="113" t="n"/>
      <c r="G1452" s="113" t="n"/>
      <c r="H1452" s="113" t="n"/>
      <c r="I1452" s="113" t="n"/>
      <c r="J1452" s="113" t="n"/>
      <c r="K1452" s="113" t="n"/>
      <c r="L1452" s="113" t="n"/>
      <c r="M1452" s="113" t="n"/>
      <c r="N1452" s="113" t="n"/>
      <c r="O1452" s="113" t="n"/>
      <c r="P1452" s="113" t="n"/>
      <c r="Q1452" s="113" t="n"/>
      <c r="R1452" s="113" t="n"/>
      <c r="S1452" s="113" t="n"/>
      <c r="T1452" s="113" t="n"/>
      <c r="U1452" s="113" t="n"/>
      <c r="V1452" s="113" t="n"/>
      <c r="W1452" s="113" t="n"/>
      <c r="X1452" s="113" t="n"/>
      <c r="Y1452" s="113" t="n"/>
      <c r="Z1452" s="117">
        <f>IF($B1452="",0,IF($S1452="EVET",IF($D1452="GELİR",$O1452,-$O1452),0))</f>
        <v/>
      </c>
      <c r="AA1452" s="117">
        <f>IF($B1452="",0,IF(OR($W1452="EVET",$X1452="EVET",$Y1452="EVET"),0,IF($D1452="GELİR",IF($E1452="SATIŞ İADESİ/İSKONTO",-$O1452,$O1452),-$O1452)))</f>
        <v/>
      </c>
      <c r="AB1452" s="117">
        <f>IF($B1452="","",IF(OR($D1452="",$E1452="",$O1452=""),"EKSİK",IF($O1452&lt;=0,"SIFIR/NEGATİF",IF(COUNTIFS($C$6:$C$5000,$C1452,$O$6:$O$5000,$O1452,$B$6:$B$5000,$B1452)&gt;1,"MÜKERRER","OK"))))</f>
        <v/>
      </c>
    </row>
    <row r="1453" ht="16.5" customHeight="1" s="80">
      <c r="A1453" s="113" t="n"/>
      <c r="B1453" s="113" t="n"/>
      <c r="C1453" s="113" t="n"/>
      <c r="D1453" s="113" t="n"/>
      <c r="E1453" s="113" t="n"/>
      <c r="F1453" s="113" t="n"/>
      <c r="G1453" s="113" t="n"/>
      <c r="H1453" s="113" t="n"/>
      <c r="I1453" s="113" t="n"/>
      <c r="J1453" s="113" t="n"/>
      <c r="K1453" s="113" t="n"/>
      <c r="L1453" s="113" t="n"/>
      <c r="M1453" s="113" t="n"/>
      <c r="N1453" s="113" t="n"/>
      <c r="O1453" s="113" t="n"/>
      <c r="P1453" s="113" t="n"/>
      <c r="Q1453" s="113" t="n"/>
      <c r="R1453" s="113" t="n"/>
      <c r="S1453" s="113" t="n"/>
      <c r="T1453" s="113" t="n"/>
      <c r="U1453" s="113" t="n"/>
      <c r="V1453" s="113" t="n"/>
      <c r="W1453" s="113" t="n"/>
      <c r="X1453" s="113" t="n"/>
      <c r="Y1453" s="113" t="n"/>
      <c r="Z1453" s="117">
        <f>IF($B1453="",0,IF($S1453="EVET",IF($D1453="GELİR",$O1453,-$O1453),0))</f>
        <v/>
      </c>
      <c r="AA1453" s="117">
        <f>IF($B1453="",0,IF(OR($W1453="EVET",$X1453="EVET",$Y1453="EVET"),0,IF($D1453="GELİR",IF($E1453="SATIŞ İADESİ/İSKONTO",-$O1453,$O1453),-$O1453)))</f>
        <v/>
      </c>
      <c r="AB1453" s="117">
        <f>IF($B1453="","",IF(OR($D1453="",$E1453="",$O1453=""),"EKSİK",IF($O1453&lt;=0,"SIFIR/NEGATİF",IF(COUNTIFS($C$6:$C$5000,$C1453,$O$6:$O$5000,$O1453,$B$6:$B$5000,$B1453)&gt;1,"MÜKERRER","OK"))))</f>
        <v/>
      </c>
    </row>
    <row r="1454" ht="16.5" customHeight="1" s="80">
      <c r="A1454" s="113" t="n"/>
      <c r="B1454" s="113" t="n"/>
      <c r="C1454" s="113" t="n"/>
      <c r="D1454" s="113" t="n"/>
      <c r="E1454" s="113" t="n"/>
      <c r="F1454" s="113" t="n"/>
      <c r="G1454" s="113" t="n"/>
      <c r="H1454" s="113" t="n"/>
      <c r="I1454" s="113" t="n"/>
      <c r="J1454" s="113" t="n"/>
      <c r="K1454" s="113" t="n"/>
      <c r="L1454" s="113" t="n"/>
      <c r="M1454" s="113" t="n"/>
      <c r="N1454" s="113" t="n"/>
      <c r="O1454" s="113" t="n"/>
      <c r="P1454" s="113" t="n"/>
      <c r="Q1454" s="113" t="n"/>
      <c r="R1454" s="113" t="n"/>
      <c r="S1454" s="113" t="n"/>
      <c r="T1454" s="113" t="n"/>
      <c r="U1454" s="113" t="n"/>
      <c r="V1454" s="113" t="n"/>
      <c r="W1454" s="113" t="n"/>
      <c r="X1454" s="113" t="n"/>
      <c r="Y1454" s="113" t="n"/>
      <c r="Z1454" s="117">
        <f>IF($B1454="",0,IF($S1454="EVET",IF($D1454="GELİR",$O1454,-$O1454),0))</f>
        <v/>
      </c>
      <c r="AA1454" s="117">
        <f>IF($B1454="",0,IF(OR($W1454="EVET",$X1454="EVET",$Y1454="EVET"),0,IF($D1454="GELİR",IF($E1454="SATIŞ İADESİ/İSKONTO",-$O1454,$O1454),-$O1454)))</f>
        <v/>
      </c>
      <c r="AB1454" s="117">
        <f>IF($B1454="","",IF(OR($D1454="",$E1454="",$O1454=""),"EKSİK",IF($O1454&lt;=0,"SIFIR/NEGATİF",IF(COUNTIFS($C$6:$C$5000,$C1454,$O$6:$O$5000,$O1454,$B$6:$B$5000,$B1454)&gt;1,"MÜKERRER","OK"))))</f>
        <v/>
      </c>
    </row>
    <row r="1455" ht="16.5" customHeight="1" s="80">
      <c r="A1455" s="113" t="n"/>
      <c r="B1455" s="113" t="n"/>
      <c r="C1455" s="113" t="n"/>
      <c r="D1455" s="113" t="n"/>
      <c r="E1455" s="113" t="n"/>
      <c r="F1455" s="113" t="n"/>
      <c r="G1455" s="113" t="n"/>
      <c r="H1455" s="113" t="n"/>
      <c r="I1455" s="113" t="n"/>
      <c r="J1455" s="113" t="n"/>
      <c r="K1455" s="113" t="n"/>
      <c r="L1455" s="113" t="n"/>
      <c r="M1455" s="113" t="n"/>
      <c r="N1455" s="113" t="n"/>
      <c r="O1455" s="113" t="n"/>
      <c r="P1455" s="113" t="n"/>
      <c r="Q1455" s="113" t="n"/>
      <c r="R1455" s="113" t="n"/>
      <c r="S1455" s="113" t="n"/>
      <c r="T1455" s="113" t="n"/>
      <c r="U1455" s="113" t="n"/>
      <c r="V1455" s="113" t="n"/>
      <c r="W1455" s="113" t="n"/>
      <c r="X1455" s="113" t="n"/>
      <c r="Y1455" s="113" t="n"/>
      <c r="Z1455" s="117">
        <f>IF($B1455="",0,IF($S1455="EVET",IF($D1455="GELİR",$O1455,-$O1455),0))</f>
        <v/>
      </c>
      <c r="AA1455" s="117">
        <f>IF($B1455="",0,IF(OR($W1455="EVET",$X1455="EVET",$Y1455="EVET"),0,IF($D1455="GELİR",IF($E1455="SATIŞ İADESİ/İSKONTO",-$O1455,$O1455),-$O1455)))</f>
        <v/>
      </c>
      <c r="AB1455" s="117">
        <f>IF($B1455="","",IF(OR($D1455="",$E1455="",$O1455=""),"EKSİK",IF($O1455&lt;=0,"SIFIR/NEGATİF",IF(COUNTIFS($C$6:$C$5000,$C1455,$O$6:$O$5000,$O1455,$B$6:$B$5000,$B1455)&gt;1,"MÜKERRER","OK"))))</f>
        <v/>
      </c>
    </row>
    <row r="1456" ht="16.5" customHeight="1" s="80">
      <c r="A1456" s="113" t="n"/>
      <c r="B1456" s="113" t="n"/>
      <c r="C1456" s="113" t="n"/>
      <c r="D1456" s="113" t="n"/>
      <c r="E1456" s="113" t="n"/>
      <c r="F1456" s="113" t="n"/>
      <c r="G1456" s="113" t="n"/>
      <c r="H1456" s="113" t="n"/>
      <c r="I1456" s="113" t="n"/>
      <c r="J1456" s="113" t="n"/>
      <c r="K1456" s="113" t="n"/>
      <c r="L1456" s="113" t="n"/>
      <c r="M1456" s="113" t="n"/>
      <c r="N1456" s="113" t="n"/>
      <c r="O1456" s="113" t="n"/>
      <c r="P1456" s="113" t="n"/>
      <c r="Q1456" s="113" t="n"/>
      <c r="R1456" s="113" t="n"/>
      <c r="S1456" s="113" t="n"/>
      <c r="T1456" s="113" t="n"/>
      <c r="U1456" s="113" t="n"/>
      <c r="V1456" s="113" t="n"/>
      <c r="W1456" s="113" t="n"/>
      <c r="X1456" s="113" t="n"/>
      <c r="Y1456" s="113" t="n"/>
      <c r="Z1456" s="117">
        <f>IF($B1456="",0,IF($S1456="EVET",IF($D1456="GELİR",$O1456,-$O1456),0))</f>
        <v/>
      </c>
      <c r="AA1456" s="117">
        <f>IF($B1456="",0,IF(OR($W1456="EVET",$X1456="EVET",$Y1456="EVET"),0,IF($D1456="GELİR",IF($E1456="SATIŞ İADESİ/İSKONTO",-$O1456,$O1456),-$O1456)))</f>
        <v/>
      </c>
      <c r="AB1456" s="117">
        <f>IF($B1456="","",IF(OR($D1456="",$E1456="",$O1456=""),"EKSİK",IF($O1456&lt;=0,"SIFIR/NEGATİF",IF(COUNTIFS($C$6:$C$5000,$C1456,$O$6:$O$5000,$O1456,$B$6:$B$5000,$B1456)&gt;1,"MÜKERRER","OK"))))</f>
        <v/>
      </c>
    </row>
    <row r="1457" ht="16.5" customHeight="1" s="80">
      <c r="A1457" s="113" t="n"/>
      <c r="B1457" s="113" t="n"/>
      <c r="C1457" s="113" t="n"/>
      <c r="D1457" s="113" t="n"/>
      <c r="E1457" s="113" t="n"/>
      <c r="F1457" s="113" t="n"/>
      <c r="G1457" s="113" t="n"/>
      <c r="H1457" s="113" t="n"/>
      <c r="I1457" s="113" t="n"/>
      <c r="J1457" s="113" t="n"/>
      <c r="K1457" s="113" t="n"/>
      <c r="L1457" s="113" t="n"/>
      <c r="M1457" s="113" t="n"/>
      <c r="N1457" s="113" t="n"/>
      <c r="O1457" s="113" t="n"/>
      <c r="P1457" s="113" t="n"/>
      <c r="Q1457" s="113" t="n"/>
      <c r="R1457" s="113" t="n"/>
      <c r="S1457" s="113" t="n"/>
      <c r="T1457" s="113" t="n"/>
      <c r="U1457" s="113" t="n"/>
      <c r="V1457" s="113" t="n"/>
      <c r="W1457" s="113" t="n"/>
      <c r="X1457" s="113" t="n"/>
      <c r="Y1457" s="113" t="n"/>
      <c r="Z1457" s="117">
        <f>IF($B1457="",0,IF($S1457="EVET",IF($D1457="GELİR",$O1457,-$O1457),0))</f>
        <v/>
      </c>
      <c r="AA1457" s="117">
        <f>IF($B1457="",0,IF(OR($W1457="EVET",$X1457="EVET",$Y1457="EVET"),0,IF($D1457="GELİR",IF($E1457="SATIŞ İADESİ/İSKONTO",-$O1457,$O1457),-$O1457)))</f>
        <v/>
      </c>
      <c r="AB1457" s="117">
        <f>IF($B1457="","",IF(OR($D1457="",$E1457="",$O1457=""),"EKSİK",IF($O1457&lt;=0,"SIFIR/NEGATİF",IF(COUNTIFS($C$6:$C$5000,$C1457,$O$6:$O$5000,$O1457,$B$6:$B$5000,$B1457)&gt;1,"MÜKERRER","OK"))))</f>
        <v/>
      </c>
    </row>
    <row r="1458" ht="16.5" customHeight="1" s="80">
      <c r="A1458" s="113" t="n"/>
      <c r="B1458" s="113" t="n"/>
      <c r="C1458" s="113" t="n"/>
      <c r="D1458" s="113" t="n"/>
      <c r="E1458" s="113" t="n"/>
      <c r="F1458" s="113" t="n"/>
      <c r="G1458" s="113" t="n"/>
      <c r="H1458" s="113" t="n"/>
      <c r="I1458" s="113" t="n"/>
      <c r="J1458" s="113" t="n"/>
      <c r="K1458" s="113" t="n"/>
      <c r="L1458" s="113" t="n"/>
      <c r="M1458" s="113" t="n"/>
      <c r="N1458" s="113" t="n"/>
      <c r="O1458" s="113" t="n"/>
      <c r="P1458" s="113" t="n"/>
      <c r="Q1458" s="113" t="n"/>
      <c r="R1458" s="113" t="n"/>
      <c r="S1458" s="113" t="n"/>
      <c r="T1458" s="113" t="n"/>
      <c r="U1458" s="113" t="n"/>
      <c r="V1458" s="113" t="n"/>
      <c r="W1458" s="113" t="n"/>
      <c r="X1458" s="113" t="n"/>
      <c r="Y1458" s="113" t="n"/>
      <c r="Z1458" s="117">
        <f>IF($B1458="",0,IF($S1458="EVET",IF($D1458="GELİR",$O1458,-$O1458),0))</f>
        <v/>
      </c>
      <c r="AA1458" s="117">
        <f>IF($B1458="",0,IF(OR($W1458="EVET",$X1458="EVET",$Y1458="EVET"),0,IF($D1458="GELİR",IF($E1458="SATIŞ İADESİ/İSKONTO",-$O1458,$O1458),-$O1458)))</f>
        <v/>
      </c>
      <c r="AB1458" s="117">
        <f>IF($B1458="","",IF(OR($D1458="",$E1458="",$O1458=""),"EKSİK",IF($O1458&lt;=0,"SIFIR/NEGATİF",IF(COUNTIFS($C$6:$C$5000,$C1458,$O$6:$O$5000,$O1458,$B$6:$B$5000,$B1458)&gt;1,"MÜKERRER","OK"))))</f>
        <v/>
      </c>
    </row>
    <row r="1459" ht="16.5" customHeight="1" s="80">
      <c r="A1459" s="113" t="n"/>
      <c r="B1459" s="113" t="n"/>
      <c r="C1459" s="113" t="n"/>
      <c r="D1459" s="113" t="n"/>
      <c r="E1459" s="113" t="n"/>
      <c r="F1459" s="113" t="n"/>
      <c r="G1459" s="113" t="n"/>
      <c r="H1459" s="113" t="n"/>
      <c r="I1459" s="113" t="n"/>
      <c r="J1459" s="113" t="n"/>
      <c r="K1459" s="113" t="n"/>
      <c r="L1459" s="113" t="n"/>
      <c r="M1459" s="113" t="n"/>
      <c r="N1459" s="113" t="n"/>
      <c r="O1459" s="113" t="n"/>
      <c r="P1459" s="113" t="n"/>
      <c r="Q1459" s="113" t="n"/>
      <c r="R1459" s="113" t="n"/>
      <c r="S1459" s="113" t="n"/>
      <c r="T1459" s="113" t="n"/>
      <c r="U1459" s="113" t="n"/>
      <c r="V1459" s="113" t="n"/>
      <c r="W1459" s="113" t="n"/>
      <c r="X1459" s="113" t="n"/>
      <c r="Y1459" s="113" t="n"/>
      <c r="Z1459" s="117">
        <f>IF($B1459="",0,IF($S1459="EVET",IF($D1459="GELİR",$O1459,-$O1459),0))</f>
        <v/>
      </c>
      <c r="AA1459" s="117">
        <f>IF($B1459="",0,IF(OR($W1459="EVET",$X1459="EVET",$Y1459="EVET"),0,IF($D1459="GELİR",IF($E1459="SATIŞ İADESİ/İSKONTO",-$O1459,$O1459),-$O1459)))</f>
        <v/>
      </c>
      <c r="AB1459" s="117">
        <f>IF($B1459="","",IF(OR($D1459="",$E1459="",$O1459=""),"EKSİK",IF($O1459&lt;=0,"SIFIR/NEGATİF",IF(COUNTIFS($C$6:$C$5000,$C1459,$O$6:$O$5000,$O1459,$B$6:$B$5000,$B1459)&gt;1,"MÜKERRER","OK"))))</f>
        <v/>
      </c>
    </row>
    <row r="1460" ht="16.5" customHeight="1" s="80">
      <c r="A1460" s="113" t="n"/>
      <c r="B1460" s="113" t="n"/>
      <c r="C1460" s="113" t="n"/>
      <c r="D1460" s="113" t="n"/>
      <c r="E1460" s="113" t="n"/>
      <c r="F1460" s="113" t="n"/>
      <c r="G1460" s="113" t="n"/>
      <c r="H1460" s="113" t="n"/>
      <c r="I1460" s="113" t="n"/>
      <c r="J1460" s="113" t="n"/>
      <c r="K1460" s="113" t="n"/>
      <c r="L1460" s="113" t="n"/>
      <c r="M1460" s="113" t="n"/>
      <c r="N1460" s="113" t="n"/>
      <c r="O1460" s="113" t="n"/>
      <c r="P1460" s="113" t="n"/>
      <c r="Q1460" s="113" t="n"/>
      <c r="R1460" s="113" t="n"/>
      <c r="S1460" s="113" t="n"/>
      <c r="T1460" s="113" t="n"/>
      <c r="U1460" s="113" t="n"/>
      <c r="V1460" s="113" t="n"/>
      <c r="W1460" s="113" t="n"/>
      <c r="X1460" s="113" t="n"/>
      <c r="Y1460" s="113" t="n"/>
      <c r="Z1460" s="117">
        <f>IF($B1460="",0,IF($S1460="EVET",IF($D1460="GELİR",$O1460,-$O1460),0))</f>
        <v/>
      </c>
      <c r="AA1460" s="117">
        <f>IF($B1460="",0,IF(OR($W1460="EVET",$X1460="EVET",$Y1460="EVET"),0,IF($D1460="GELİR",IF($E1460="SATIŞ İADESİ/İSKONTO",-$O1460,$O1460),-$O1460)))</f>
        <v/>
      </c>
      <c r="AB1460" s="117">
        <f>IF($B1460="","",IF(OR($D1460="",$E1460="",$O1460=""),"EKSİK",IF($O1460&lt;=0,"SIFIR/NEGATİF",IF(COUNTIFS($C$6:$C$5000,$C1460,$O$6:$O$5000,$O1460,$B$6:$B$5000,$B1460)&gt;1,"MÜKERRER","OK"))))</f>
        <v/>
      </c>
    </row>
    <row r="1461" ht="16.5" customHeight="1" s="80">
      <c r="A1461" s="113" t="n"/>
      <c r="B1461" s="113" t="n"/>
      <c r="C1461" s="113" t="n"/>
      <c r="D1461" s="113" t="n"/>
      <c r="E1461" s="113" t="n"/>
      <c r="F1461" s="113" t="n"/>
      <c r="G1461" s="113" t="n"/>
      <c r="H1461" s="113" t="n"/>
      <c r="I1461" s="113" t="n"/>
      <c r="J1461" s="113" t="n"/>
      <c r="K1461" s="113" t="n"/>
      <c r="L1461" s="113" t="n"/>
      <c r="M1461" s="113" t="n"/>
      <c r="N1461" s="113" t="n"/>
      <c r="O1461" s="113" t="n"/>
      <c r="P1461" s="113" t="n"/>
      <c r="Q1461" s="113" t="n"/>
      <c r="R1461" s="113" t="n"/>
      <c r="S1461" s="113" t="n"/>
      <c r="T1461" s="113" t="n"/>
      <c r="U1461" s="113" t="n"/>
      <c r="V1461" s="113" t="n"/>
      <c r="W1461" s="113" t="n"/>
      <c r="X1461" s="113" t="n"/>
      <c r="Y1461" s="113" t="n"/>
      <c r="Z1461" s="117">
        <f>IF($B1461="",0,IF($S1461="EVET",IF($D1461="GELİR",$O1461,-$O1461),0))</f>
        <v/>
      </c>
      <c r="AA1461" s="117">
        <f>IF($B1461="",0,IF(OR($W1461="EVET",$X1461="EVET",$Y1461="EVET"),0,IF($D1461="GELİR",IF($E1461="SATIŞ İADESİ/İSKONTO",-$O1461,$O1461),-$O1461)))</f>
        <v/>
      </c>
      <c r="AB1461" s="117">
        <f>IF($B1461="","",IF(OR($D1461="",$E1461="",$O1461=""),"EKSİK",IF($O1461&lt;=0,"SIFIR/NEGATİF",IF(COUNTIFS($C$6:$C$5000,$C1461,$O$6:$O$5000,$O1461,$B$6:$B$5000,$B1461)&gt;1,"MÜKERRER","OK"))))</f>
        <v/>
      </c>
    </row>
    <row r="1462" ht="16.5" customHeight="1" s="80">
      <c r="A1462" s="113" t="n"/>
      <c r="B1462" s="113" t="n"/>
      <c r="C1462" s="113" t="n"/>
      <c r="D1462" s="113" t="n"/>
      <c r="E1462" s="113" t="n"/>
      <c r="F1462" s="113" t="n"/>
      <c r="G1462" s="113" t="n"/>
      <c r="H1462" s="113" t="n"/>
      <c r="I1462" s="113" t="n"/>
      <c r="J1462" s="113" t="n"/>
      <c r="K1462" s="113" t="n"/>
      <c r="L1462" s="113" t="n"/>
      <c r="M1462" s="113" t="n"/>
      <c r="N1462" s="113" t="n"/>
      <c r="O1462" s="113" t="n"/>
      <c r="P1462" s="113" t="n"/>
      <c r="Q1462" s="113" t="n"/>
      <c r="R1462" s="113" t="n"/>
      <c r="S1462" s="113" t="n"/>
      <c r="T1462" s="113" t="n"/>
      <c r="U1462" s="113" t="n"/>
      <c r="V1462" s="113" t="n"/>
      <c r="W1462" s="113" t="n"/>
      <c r="X1462" s="113" t="n"/>
      <c r="Y1462" s="113" t="n"/>
      <c r="Z1462" s="117">
        <f>IF($B1462="",0,IF($S1462="EVET",IF($D1462="GELİR",$O1462,-$O1462),0))</f>
        <v/>
      </c>
      <c r="AA1462" s="117">
        <f>IF($B1462="",0,IF(OR($W1462="EVET",$X1462="EVET",$Y1462="EVET"),0,IF($D1462="GELİR",IF($E1462="SATIŞ İADESİ/İSKONTO",-$O1462,$O1462),-$O1462)))</f>
        <v/>
      </c>
      <c r="AB1462" s="117">
        <f>IF($B1462="","",IF(OR($D1462="",$E1462="",$O1462=""),"EKSİK",IF($O1462&lt;=0,"SIFIR/NEGATİF",IF(COUNTIFS($C$6:$C$5000,$C1462,$O$6:$O$5000,$O1462,$B$6:$B$5000,$B1462)&gt;1,"MÜKERRER","OK"))))</f>
        <v/>
      </c>
    </row>
    <row r="1463" ht="16.5" customHeight="1" s="80">
      <c r="A1463" s="113" t="n"/>
      <c r="B1463" s="113" t="n"/>
      <c r="C1463" s="113" t="n"/>
      <c r="D1463" s="113" t="n"/>
      <c r="E1463" s="113" t="n"/>
      <c r="F1463" s="113" t="n"/>
      <c r="G1463" s="113" t="n"/>
      <c r="H1463" s="113" t="n"/>
      <c r="I1463" s="113" t="n"/>
      <c r="J1463" s="113" t="n"/>
      <c r="K1463" s="113" t="n"/>
      <c r="L1463" s="113" t="n"/>
      <c r="M1463" s="113" t="n"/>
      <c r="N1463" s="113" t="n"/>
      <c r="O1463" s="113" t="n"/>
      <c r="P1463" s="113" t="n"/>
      <c r="Q1463" s="113" t="n"/>
      <c r="R1463" s="113" t="n"/>
      <c r="S1463" s="113" t="n"/>
      <c r="T1463" s="113" t="n"/>
      <c r="U1463" s="113" t="n"/>
      <c r="V1463" s="113" t="n"/>
      <c r="W1463" s="113" t="n"/>
      <c r="X1463" s="113" t="n"/>
      <c r="Y1463" s="113" t="n"/>
      <c r="Z1463" s="117">
        <f>IF($B1463="",0,IF($S1463="EVET",IF($D1463="GELİR",$O1463,-$O1463),0))</f>
        <v/>
      </c>
      <c r="AA1463" s="117">
        <f>IF($B1463="",0,IF(OR($W1463="EVET",$X1463="EVET",$Y1463="EVET"),0,IF($D1463="GELİR",IF($E1463="SATIŞ İADESİ/İSKONTO",-$O1463,$O1463),-$O1463)))</f>
        <v/>
      </c>
      <c r="AB1463" s="117">
        <f>IF($B1463="","",IF(OR($D1463="",$E1463="",$O1463=""),"EKSİK",IF($O1463&lt;=0,"SIFIR/NEGATİF",IF(COUNTIFS($C$6:$C$5000,$C1463,$O$6:$O$5000,$O1463,$B$6:$B$5000,$B1463)&gt;1,"MÜKERRER","OK"))))</f>
        <v/>
      </c>
    </row>
    <row r="1464" ht="16.5" customHeight="1" s="80">
      <c r="A1464" s="113" t="n"/>
      <c r="B1464" s="113" t="n"/>
      <c r="C1464" s="113" t="n"/>
      <c r="D1464" s="113" t="n"/>
      <c r="E1464" s="113" t="n"/>
      <c r="F1464" s="113" t="n"/>
      <c r="G1464" s="113" t="n"/>
      <c r="H1464" s="113" t="n"/>
      <c r="I1464" s="113" t="n"/>
      <c r="J1464" s="113" t="n"/>
      <c r="K1464" s="113" t="n"/>
      <c r="L1464" s="113" t="n"/>
      <c r="M1464" s="113" t="n"/>
      <c r="N1464" s="113" t="n"/>
      <c r="O1464" s="113" t="n"/>
      <c r="P1464" s="113" t="n"/>
      <c r="Q1464" s="113" t="n"/>
      <c r="R1464" s="113" t="n"/>
      <c r="S1464" s="113" t="n"/>
      <c r="T1464" s="113" t="n"/>
      <c r="U1464" s="113" t="n"/>
      <c r="V1464" s="113" t="n"/>
      <c r="W1464" s="113" t="n"/>
      <c r="X1464" s="113" t="n"/>
      <c r="Y1464" s="113" t="n"/>
      <c r="Z1464" s="117">
        <f>IF($B1464="",0,IF($S1464="EVET",IF($D1464="GELİR",$O1464,-$O1464),0))</f>
        <v/>
      </c>
      <c r="AA1464" s="117">
        <f>IF($B1464="",0,IF(OR($W1464="EVET",$X1464="EVET",$Y1464="EVET"),0,IF($D1464="GELİR",IF($E1464="SATIŞ İADESİ/İSKONTO",-$O1464,$O1464),-$O1464)))</f>
        <v/>
      </c>
      <c r="AB1464" s="117">
        <f>IF($B1464="","",IF(OR($D1464="",$E1464="",$O1464=""),"EKSİK",IF($O1464&lt;=0,"SIFIR/NEGATİF",IF(COUNTIFS($C$6:$C$5000,$C1464,$O$6:$O$5000,$O1464,$B$6:$B$5000,$B1464)&gt;1,"MÜKERRER","OK"))))</f>
        <v/>
      </c>
    </row>
    <row r="1465" ht="16.5" customHeight="1" s="80">
      <c r="A1465" s="113" t="n"/>
      <c r="B1465" s="113" t="n"/>
      <c r="C1465" s="113" t="n"/>
      <c r="D1465" s="113" t="n"/>
      <c r="E1465" s="113" t="n"/>
      <c r="F1465" s="113" t="n"/>
      <c r="G1465" s="113" t="n"/>
      <c r="H1465" s="113" t="n"/>
      <c r="I1465" s="113" t="n"/>
      <c r="J1465" s="113" t="n"/>
      <c r="K1465" s="113" t="n"/>
      <c r="L1465" s="113" t="n"/>
      <c r="M1465" s="113" t="n"/>
      <c r="N1465" s="113" t="n"/>
      <c r="O1465" s="113" t="n"/>
      <c r="P1465" s="113" t="n"/>
      <c r="Q1465" s="113" t="n"/>
      <c r="R1465" s="113" t="n"/>
      <c r="S1465" s="113" t="n"/>
      <c r="T1465" s="113" t="n"/>
      <c r="U1465" s="113" t="n"/>
      <c r="V1465" s="113" t="n"/>
      <c r="W1465" s="113" t="n"/>
      <c r="X1465" s="113" t="n"/>
      <c r="Y1465" s="113" t="n"/>
      <c r="Z1465" s="117">
        <f>IF($B1465="",0,IF($S1465="EVET",IF($D1465="GELİR",$O1465,-$O1465),0))</f>
        <v/>
      </c>
      <c r="AA1465" s="117">
        <f>IF($B1465="",0,IF(OR($W1465="EVET",$X1465="EVET",$Y1465="EVET"),0,IF($D1465="GELİR",IF($E1465="SATIŞ İADESİ/İSKONTO",-$O1465,$O1465),-$O1465)))</f>
        <v/>
      </c>
      <c r="AB1465" s="117">
        <f>IF($B1465="","",IF(OR($D1465="",$E1465="",$O1465=""),"EKSİK",IF($O1465&lt;=0,"SIFIR/NEGATİF",IF(COUNTIFS($C$6:$C$5000,$C1465,$O$6:$O$5000,$O1465,$B$6:$B$5000,$B1465)&gt;1,"MÜKERRER","OK"))))</f>
        <v/>
      </c>
    </row>
    <row r="1466" ht="16.5" customHeight="1" s="80">
      <c r="A1466" s="113" t="n"/>
      <c r="B1466" s="113" t="n"/>
      <c r="C1466" s="113" t="n"/>
      <c r="D1466" s="113" t="n"/>
      <c r="E1466" s="113" t="n"/>
      <c r="F1466" s="113" t="n"/>
      <c r="G1466" s="113" t="n"/>
      <c r="H1466" s="113" t="n"/>
      <c r="I1466" s="113" t="n"/>
      <c r="J1466" s="113" t="n"/>
      <c r="K1466" s="113" t="n"/>
      <c r="L1466" s="113" t="n"/>
      <c r="M1466" s="113" t="n"/>
      <c r="N1466" s="113" t="n"/>
      <c r="O1466" s="113" t="n"/>
      <c r="P1466" s="113" t="n"/>
      <c r="Q1466" s="113" t="n"/>
      <c r="R1466" s="113" t="n"/>
      <c r="S1466" s="113" t="n"/>
      <c r="T1466" s="113" t="n"/>
      <c r="U1466" s="113" t="n"/>
      <c r="V1466" s="113" t="n"/>
      <c r="W1466" s="113" t="n"/>
      <c r="X1466" s="113" t="n"/>
      <c r="Y1466" s="113" t="n"/>
      <c r="Z1466" s="117">
        <f>IF($B1466="",0,IF($S1466="EVET",IF($D1466="GELİR",$O1466,-$O1466),0))</f>
        <v/>
      </c>
      <c r="AA1466" s="117">
        <f>IF($B1466="",0,IF(OR($W1466="EVET",$X1466="EVET",$Y1466="EVET"),0,IF($D1466="GELİR",IF($E1466="SATIŞ İADESİ/İSKONTO",-$O1466,$O1466),-$O1466)))</f>
        <v/>
      </c>
      <c r="AB1466" s="117">
        <f>IF($B1466="","",IF(OR($D1466="",$E1466="",$O1466=""),"EKSİK",IF($O1466&lt;=0,"SIFIR/NEGATİF",IF(COUNTIFS($C$6:$C$5000,$C1466,$O$6:$O$5000,$O1466,$B$6:$B$5000,$B1466)&gt;1,"MÜKERRER","OK"))))</f>
        <v/>
      </c>
    </row>
    <row r="1467" ht="16.5" customHeight="1" s="80">
      <c r="A1467" s="113" t="n"/>
      <c r="B1467" s="113" t="n"/>
      <c r="C1467" s="113" t="n"/>
      <c r="D1467" s="113" t="n"/>
      <c r="E1467" s="113" t="n"/>
      <c r="F1467" s="113" t="n"/>
      <c r="G1467" s="113" t="n"/>
      <c r="H1467" s="113" t="n"/>
      <c r="I1467" s="113" t="n"/>
      <c r="J1467" s="113" t="n"/>
      <c r="K1467" s="113" t="n"/>
      <c r="L1467" s="113" t="n"/>
      <c r="M1467" s="113" t="n"/>
      <c r="N1467" s="113" t="n"/>
      <c r="O1467" s="113" t="n"/>
      <c r="P1467" s="113" t="n"/>
      <c r="Q1467" s="113" t="n"/>
      <c r="R1467" s="113" t="n"/>
      <c r="S1467" s="113" t="n"/>
      <c r="T1467" s="113" t="n"/>
      <c r="U1467" s="113" t="n"/>
      <c r="V1467" s="113" t="n"/>
      <c r="W1467" s="113" t="n"/>
      <c r="X1467" s="113" t="n"/>
      <c r="Y1467" s="113" t="n"/>
      <c r="Z1467" s="117">
        <f>IF($B1467="",0,IF($S1467="EVET",IF($D1467="GELİR",$O1467,-$O1467),0))</f>
        <v/>
      </c>
      <c r="AA1467" s="117">
        <f>IF($B1467="",0,IF(OR($W1467="EVET",$X1467="EVET",$Y1467="EVET"),0,IF($D1467="GELİR",IF($E1467="SATIŞ İADESİ/İSKONTO",-$O1467,$O1467),-$O1467)))</f>
        <v/>
      </c>
      <c r="AB1467" s="117">
        <f>IF($B1467="","",IF(OR($D1467="",$E1467="",$O1467=""),"EKSİK",IF($O1467&lt;=0,"SIFIR/NEGATİF",IF(COUNTIFS($C$6:$C$5000,$C1467,$O$6:$O$5000,$O1467,$B$6:$B$5000,$B1467)&gt;1,"MÜKERRER","OK"))))</f>
        <v/>
      </c>
    </row>
    <row r="1468" ht="16.5" customHeight="1" s="80">
      <c r="A1468" s="113" t="n"/>
      <c r="B1468" s="113" t="n"/>
      <c r="C1468" s="113" t="n"/>
      <c r="D1468" s="113" t="n"/>
      <c r="E1468" s="113" t="n"/>
      <c r="F1468" s="113" t="n"/>
      <c r="G1468" s="113" t="n"/>
      <c r="H1468" s="113" t="n"/>
      <c r="I1468" s="113" t="n"/>
      <c r="J1468" s="113" t="n"/>
      <c r="K1468" s="113" t="n"/>
      <c r="L1468" s="113" t="n"/>
      <c r="M1468" s="113" t="n"/>
      <c r="N1468" s="113" t="n"/>
      <c r="O1468" s="113" t="n"/>
      <c r="P1468" s="113" t="n"/>
      <c r="Q1468" s="113" t="n"/>
      <c r="R1468" s="113" t="n"/>
      <c r="S1468" s="113" t="n"/>
      <c r="T1468" s="113" t="n"/>
      <c r="U1468" s="113" t="n"/>
      <c r="V1468" s="113" t="n"/>
      <c r="W1468" s="113" t="n"/>
      <c r="X1468" s="113" t="n"/>
      <c r="Y1468" s="113" t="n"/>
      <c r="Z1468" s="117">
        <f>IF($B1468="",0,IF($S1468="EVET",IF($D1468="GELİR",$O1468,-$O1468),0))</f>
        <v/>
      </c>
      <c r="AA1468" s="117">
        <f>IF($B1468="",0,IF(OR($W1468="EVET",$X1468="EVET",$Y1468="EVET"),0,IF($D1468="GELİR",IF($E1468="SATIŞ İADESİ/İSKONTO",-$O1468,$O1468),-$O1468)))</f>
        <v/>
      </c>
      <c r="AB1468" s="117">
        <f>IF($B1468="","",IF(OR($D1468="",$E1468="",$O1468=""),"EKSİK",IF($O1468&lt;=0,"SIFIR/NEGATİF",IF(COUNTIFS($C$6:$C$5000,$C1468,$O$6:$O$5000,$O1468,$B$6:$B$5000,$B1468)&gt;1,"MÜKERRER","OK"))))</f>
        <v/>
      </c>
    </row>
    <row r="1469" ht="16.5" customHeight="1" s="80">
      <c r="A1469" s="113" t="n"/>
      <c r="B1469" s="113" t="n"/>
      <c r="C1469" s="113" t="n"/>
      <c r="D1469" s="113" t="n"/>
      <c r="E1469" s="113" t="n"/>
      <c r="F1469" s="113" t="n"/>
      <c r="G1469" s="113" t="n"/>
      <c r="H1469" s="113" t="n"/>
      <c r="I1469" s="113" t="n"/>
      <c r="J1469" s="113" t="n"/>
      <c r="K1469" s="113" t="n"/>
      <c r="L1469" s="113" t="n"/>
      <c r="M1469" s="113" t="n"/>
      <c r="N1469" s="113" t="n"/>
      <c r="O1469" s="113" t="n"/>
      <c r="P1469" s="113" t="n"/>
      <c r="Q1469" s="113" t="n"/>
      <c r="R1469" s="113" t="n"/>
      <c r="S1469" s="113" t="n"/>
      <c r="T1469" s="113" t="n"/>
      <c r="U1469" s="113" t="n"/>
      <c r="V1469" s="113" t="n"/>
      <c r="W1469" s="113" t="n"/>
      <c r="X1469" s="113" t="n"/>
      <c r="Y1469" s="113" t="n"/>
      <c r="Z1469" s="117">
        <f>IF($B1469="",0,IF($S1469="EVET",IF($D1469="GELİR",$O1469,-$O1469),0))</f>
        <v/>
      </c>
      <c r="AA1469" s="117">
        <f>IF($B1469="",0,IF(OR($W1469="EVET",$X1469="EVET",$Y1469="EVET"),0,IF($D1469="GELİR",IF($E1469="SATIŞ İADESİ/İSKONTO",-$O1469,$O1469),-$O1469)))</f>
        <v/>
      </c>
      <c r="AB1469" s="117">
        <f>IF($B1469="","",IF(OR($D1469="",$E1469="",$O1469=""),"EKSİK",IF($O1469&lt;=0,"SIFIR/NEGATİF",IF(COUNTIFS($C$6:$C$5000,$C1469,$O$6:$O$5000,$O1469,$B$6:$B$5000,$B1469)&gt;1,"MÜKERRER","OK"))))</f>
        <v/>
      </c>
    </row>
    <row r="1470" ht="16.5" customHeight="1" s="80">
      <c r="A1470" s="113" t="n"/>
      <c r="B1470" s="113" t="n"/>
      <c r="C1470" s="113" t="n"/>
      <c r="D1470" s="113" t="n"/>
      <c r="E1470" s="113" t="n"/>
      <c r="F1470" s="113" t="n"/>
      <c r="G1470" s="113" t="n"/>
      <c r="H1470" s="113" t="n"/>
      <c r="I1470" s="113" t="n"/>
      <c r="J1470" s="113" t="n"/>
      <c r="K1470" s="113" t="n"/>
      <c r="L1470" s="113" t="n"/>
      <c r="M1470" s="113" t="n"/>
      <c r="N1470" s="113" t="n"/>
      <c r="O1470" s="113" t="n"/>
      <c r="P1470" s="113" t="n"/>
      <c r="Q1470" s="113" t="n"/>
      <c r="R1470" s="113" t="n"/>
      <c r="S1470" s="113" t="n"/>
      <c r="T1470" s="113" t="n"/>
      <c r="U1470" s="113" t="n"/>
      <c r="V1470" s="113" t="n"/>
      <c r="W1470" s="113" t="n"/>
      <c r="X1470" s="113" t="n"/>
      <c r="Y1470" s="113" t="n"/>
      <c r="Z1470" s="117">
        <f>IF($B1470="",0,IF($S1470="EVET",IF($D1470="GELİR",$O1470,-$O1470),0))</f>
        <v/>
      </c>
      <c r="AA1470" s="117">
        <f>IF($B1470="",0,IF(OR($W1470="EVET",$X1470="EVET",$Y1470="EVET"),0,IF($D1470="GELİR",IF($E1470="SATIŞ İADESİ/İSKONTO",-$O1470,$O1470),-$O1470)))</f>
        <v/>
      </c>
      <c r="AB1470" s="117">
        <f>IF($B1470="","",IF(OR($D1470="",$E1470="",$O1470=""),"EKSİK",IF($O1470&lt;=0,"SIFIR/NEGATİF",IF(COUNTIFS($C$6:$C$5000,$C1470,$O$6:$O$5000,$O1470,$B$6:$B$5000,$B1470)&gt;1,"MÜKERRER","OK"))))</f>
        <v/>
      </c>
    </row>
    <row r="1471" ht="16.5" customHeight="1" s="80">
      <c r="A1471" s="113" t="n"/>
      <c r="B1471" s="113" t="n"/>
      <c r="C1471" s="113" t="n"/>
      <c r="D1471" s="113" t="n"/>
      <c r="E1471" s="113" t="n"/>
      <c r="F1471" s="113" t="n"/>
      <c r="G1471" s="113" t="n"/>
      <c r="H1471" s="113" t="n"/>
      <c r="I1471" s="113" t="n"/>
      <c r="J1471" s="113" t="n"/>
      <c r="K1471" s="113" t="n"/>
      <c r="L1471" s="113" t="n"/>
      <c r="M1471" s="113" t="n"/>
      <c r="N1471" s="113" t="n"/>
      <c r="O1471" s="113" t="n"/>
      <c r="P1471" s="113" t="n"/>
      <c r="Q1471" s="113" t="n"/>
      <c r="R1471" s="113" t="n"/>
      <c r="S1471" s="113" t="n"/>
      <c r="T1471" s="113" t="n"/>
      <c r="U1471" s="113" t="n"/>
      <c r="V1471" s="113" t="n"/>
      <c r="W1471" s="113" t="n"/>
      <c r="X1471" s="113" t="n"/>
      <c r="Y1471" s="113" t="n"/>
      <c r="Z1471" s="117">
        <f>IF($B1471="",0,IF($S1471="EVET",IF($D1471="GELİR",$O1471,-$O1471),0))</f>
        <v/>
      </c>
      <c r="AA1471" s="117">
        <f>IF($B1471="",0,IF(OR($W1471="EVET",$X1471="EVET",$Y1471="EVET"),0,IF($D1471="GELİR",IF($E1471="SATIŞ İADESİ/İSKONTO",-$O1471,$O1471),-$O1471)))</f>
        <v/>
      </c>
      <c r="AB1471" s="117">
        <f>IF($B1471="","",IF(OR($D1471="",$E1471="",$O1471=""),"EKSİK",IF($O1471&lt;=0,"SIFIR/NEGATİF",IF(COUNTIFS($C$6:$C$5000,$C1471,$O$6:$O$5000,$O1471,$B$6:$B$5000,$B1471)&gt;1,"MÜKERRER","OK"))))</f>
        <v/>
      </c>
    </row>
    <row r="1472" ht="16.5" customHeight="1" s="80">
      <c r="A1472" s="113" t="n"/>
      <c r="B1472" s="113" t="n"/>
      <c r="C1472" s="113" t="n"/>
      <c r="D1472" s="113" t="n"/>
      <c r="E1472" s="113" t="n"/>
      <c r="F1472" s="113" t="n"/>
      <c r="G1472" s="113" t="n"/>
      <c r="H1472" s="113" t="n"/>
      <c r="I1472" s="113" t="n"/>
      <c r="J1472" s="113" t="n"/>
      <c r="K1472" s="113" t="n"/>
      <c r="L1472" s="113" t="n"/>
      <c r="M1472" s="113" t="n"/>
      <c r="N1472" s="113" t="n"/>
      <c r="O1472" s="113" t="n"/>
      <c r="P1472" s="113" t="n"/>
      <c r="Q1472" s="113" t="n"/>
      <c r="R1472" s="113" t="n"/>
      <c r="S1472" s="113" t="n"/>
      <c r="T1472" s="113" t="n"/>
      <c r="U1472" s="113" t="n"/>
      <c r="V1472" s="113" t="n"/>
      <c r="W1472" s="113" t="n"/>
      <c r="X1472" s="113" t="n"/>
      <c r="Y1472" s="113" t="n"/>
      <c r="Z1472" s="117">
        <f>IF($B1472="",0,IF($S1472="EVET",IF($D1472="GELİR",$O1472,-$O1472),0))</f>
        <v/>
      </c>
      <c r="AA1472" s="117">
        <f>IF($B1472="",0,IF(OR($W1472="EVET",$X1472="EVET",$Y1472="EVET"),0,IF($D1472="GELİR",IF($E1472="SATIŞ İADESİ/İSKONTO",-$O1472,$O1472),-$O1472)))</f>
        <v/>
      </c>
      <c r="AB1472" s="117">
        <f>IF($B1472="","",IF(OR($D1472="",$E1472="",$O1472=""),"EKSİK",IF($O1472&lt;=0,"SIFIR/NEGATİF",IF(COUNTIFS($C$6:$C$5000,$C1472,$O$6:$O$5000,$O1472,$B$6:$B$5000,$B1472)&gt;1,"MÜKERRER","OK"))))</f>
        <v/>
      </c>
    </row>
    <row r="1473" ht="16.5" customHeight="1" s="80">
      <c r="A1473" s="113" t="n"/>
      <c r="B1473" s="113" t="n"/>
      <c r="C1473" s="113" t="n"/>
      <c r="D1473" s="113" t="n"/>
      <c r="E1473" s="113" t="n"/>
      <c r="F1473" s="113" t="n"/>
      <c r="G1473" s="113" t="n"/>
      <c r="H1473" s="113" t="n"/>
      <c r="I1473" s="113" t="n"/>
      <c r="J1473" s="113" t="n"/>
      <c r="K1473" s="113" t="n"/>
      <c r="L1473" s="113" t="n"/>
      <c r="M1473" s="113" t="n"/>
      <c r="N1473" s="113" t="n"/>
      <c r="O1473" s="113" t="n"/>
      <c r="P1473" s="113" t="n"/>
      <c r="Q1473" s="113" t="n"/>
      <c r="R1473" s="113" t="n"/>
      <c r="S1473" s="113" t="n"/>
      <c r="T1473" s="113" t="n"/>
      <c r="U1473" s="113" t="n"/>
      <c r="V1473" s="113" t="n"/>
      <c r="W1473" s="113" t="n"/>
      <c r="X1473" s="113" t="n"/>
      <c r="Y1473" s="113" t="n"/>
      <c r="Z1473" s="117">
        <f>IF($B1473="",0,IF($S1473="EVET",IF($D1473="GELİR",$O1473,-$O1473),0))</f>
        <v/>
      </c>
      <c r="AA1473" s="117">
        <f>IF($B1473="",0,IF(OR($W1473="EVET",$X1473="EVET",$Y1473="EVET"),0,IF($D1473="GELİR",IF($E1473="SATIŞ İADESİ/İSKONTO",-$O1473,$O1473),-$O1473)))</f>
        <v/>
      </c>
      <c r="AB1473" s="117">
        <f>IF($B1473="","",IF(OR($D1473="",$E1473="",$O1473=""),"EKSİK",IF($O1473&lt;=0,"SIFIR/NEGATİF",IF(COUNTIFS($C$6:$C$5000,$C1473,$O$6:$O$5000,$O1473,$B$6:$B$5000,$B1473)&gt;1,"MÜKERRER","OK"))))</f>
        <v/>
      </c>
    </row>
    <row r="1474" ht="16.5" customHeight="1" s="80">
      <c r="A1474" s="113" t="n"/>
      <c r="B1474" s="113" t="n"/>
      <c r="C1474" s="113" t="n"/>
      <c r="D1474" s="113" t="n"/>
      <c r="E1474" s="113" t="n"/>
      <c r="F1474" s="113" t="n"/>
      <c r="G1474" s="113" t="n"/>
      <c r="H1474" s="113" t="n"/>
      <c r="I1474" s="113" t="n"/>
      <c r="J1474" s="113" t="n"/>
      <c r="K1474" s="113" t="n"/>
      <c r="L1474" s="113" t="n"/>
      <c r="M1474" s="113" t="n"/>
      <c r="N1474" s="113" t="n"/>
      <c r="O1474" s="113" t="n"/>
      <c r="P1474" s="113" t="n"/>
      <c r="Q1474" s="113" t="n"/>
      <c r="R1474" s="113" t="n"/>
      <c r="S1474" s="113" t="n"/>
      <c r="T1474" s="113" t="n"/>
      <c r="U1474" s="113" t="n"/>
      <c r="V1474" s="113" t="n"/>
      <c r="W1474" s="113" t="n"/>
      <c r="X1474" s="113" t="n"/>
      <c r="Y1474" s="113" t="n"/>
      <c r="Z1474" s="117">
        <f>IF($B1474="",0,IF($S1474="EVET",IF($D1474="GELİR",$O1474,-$O1474),0))</f>
        <v/>
      </c>
      <c r="AA1474" s="117">
        <f>IF($B1474="",0,IF(OR($W1474="EVET",$X1474="EVET",$Y1474="EVET"),0,IF($D1474="GELİR",IF($E1474="SATIŞ İADESİ/İSKONTO",-$O1474,$O1474),-$O1474)))</f>
        <v/>
      </c>
      <c r="AB1474" s="117">
        <f>IF($B1474="","",IF(OR($D1474="",$E1474="",$O1474=""),"EKSİK",IF($O1474&lt;=0,"SIFIR/NEGATİF",IF(COUNTIFS($C$6:$C$5000,$C1474,$O$6:$O$5000,$O1474,$B$6:$B$5000,$B1474)&gt;1,"MÜKERRER","OK"))))</f>
        <v/>
      </c>
    </row>
    <row r="1475" ht="16.5" customHeight="1" s="80">
      <c r="A1475" s="113" t="n"/>
      <c r="B1475" s="113" t="n"/>
      <c r="C1475" s="113" t="n"/>
      <c r="D1475" s="113" t="n"/>
      <c r="E1475" s="113" t="n"/>
      <c r="F1475" s="113" t="n"/>
      <c r="G1475" s="113" t="n"/>
      <c r="H1475" s="113" t="n"/>
      <c r="I1475" s="113" t="n"/>
      <c r="J1475" s="113" t="n"/>
      <c r="K1475" s="113" t="n"/>
      <c r="L1475" s="113" t="n"/>
      <c r="M1475" s="113" t="n"/>
      <c r="N1475" s="113" t="n"/>
      <c r="O1475" s="113" t="n"/>
      <c r="P1475" s="113" t="n"/>
      <c r="Q1475" s="113" t="n"/>
      <c r="R1475" s="113" t="n"/>
      <c r="S1475" s="113" t="n"/>
      <c r="T1475" s="113" t="n"/>
      <c r="U1475" s="113" t="n"/>
      <c r="V1475" s="113" t="n"/>
      <c r="W1475" s="113" t="n"/>
      <c r="X1475" s="113" t="n"/>
      <c r="Y1475" s="113" t="n"/>
      <c r="Z1475" s="117">
        <f>IF($B1475="",0,IF($S1475="EVET",IF($D1475="GELİR",$O1475,-$O1475),0))</f>
        <v/>
      </c>
      <c r="AA1475" s="117">
        <f>IF($B1475="",0,IF(OR($W1475="EVET",$X1475="EVET",$Y1475="EVET"),0,IF($D1475="GELİR",IF($E1475="SATIŞ İADESİ/İSKONTO",-$O1475,$O1475),-$O1475)))</f>
        <v/>
      </c>
      <c r="AB1475" s="117">
        <f>IF($B1475="","",IF(OR($D1475="",$E1475="",$O1475=""),"EKSİK",IF($O1475&lt;=0,"SIFIR/NEGATİF",IF(COUNTIFS($C$6:$C$5000,$C1475,$O$6:$O$5000,$O1475,$B$6:$B$5000,$B1475)&gt;1,"MÜKERRER","OK"))))</f>
        <v/>
      </c>
    </row>
    <row r="1476" ht="16.5" customHeight="1" s="80">
      <c r="A1476" s="113" t="n"/>
      <c r="B1476" s="113" t="n"/>
      <c r="C1476" s="113" t="n"/>
      <c r="D1476" s="113" t="n"/>
      <c r="E1476" s="113" t="n"/>
      <c r="F1476" s="113" t="n"/>
      <c r="G1476" s="113" t="n"/>
      <c r="H1476" s="113" t="n"/>
      <c r="I1476" s="113" t="n"/>
      <c r="J1476" s="113" t="n"/>
      <c r="K1476" s="113" t="n"/>
      <c r="L1476" s="113" t="n"/>
      <c r="M1476" s="113" t="n"/>
      <c r="N1476" s="113" t="n"/>
      <c r="O1476" s="113" t="n"/>
      <c r="P1476" s="113" t="n"/>
      <c r="Q1476" s="113" t="n"/>
      <c r="R1476" s="113" t="n"/>
      <c r="S1476" s="113" t="n"/>
      <c r="T1476" s="113" t="n"/>
      <c r="U1476" s="113" t="n"/>
      <c r="V1476" s="113" t="n"/>
      <c r="W1476" s="113" t="n"/>
      <c r="X1476" s="113" t="n"/>
      <c r="Y1476" s="113" t="n"/>
      <c r="Z1476" s="117">
        <f>IF($B1476="",0,IF($S1476="EVET",IF($D1476="GELİR",$O1476,-$O1476),0))</f>
        <v/>
      </c>
      <c r="AA1476" s="117">
        <f>IF($B1476="",0,IF(OR($W1476="EVET",$X1476="EVET",$Y1476="EVET"),0,IF($D1476="GELİR",IF($E1476="SATIŞ İADESİ/İSKONTO",-$O1476,$O1476),-$O1476)))</f>
        <v/>
      </c>
      <c r="AB1476" s="117">
        <f>IF($B1476="","",IF(OR($D1476="",$E1476="",$O1476=""),"EKSİK",IF($O1476&lt;=0,"SIFIR/NEGATİF",IF(COUNTIFS($C$6:$C$5000,$C1476,$O$6:$O$5000,$O1476,$B$6:$B$5000,$B1476)&gt;1,"MÜKERRER","OK"))))</f>
        <v/>
      </c>
    </row>
    <row r="1477" ht="16.5" customHeight="1" s="80">
      <c r="A1477" s="113" t="n"/>
      <c r="B1477" s="113" t="n"/>
      <c r="C1477" s="113" t="n"/>
      <c r="D1477" s="113" t="n"/>
      <c r="E1477" s="113" t="n"/>
      <c r="F1477" s="113" t="n"/>
      <c r="G1477" s="113" t="n"/>
      <c r="H1477" s="113" t="n"/>
      <c r="I1477" s="113" t="n"/>
      <c r="J1477" s="113" t="n"/>
      <c r="K1477" s="113" t="n"/>
      <c r="L1477" s="113" t="n"/>
      <c r="M1477" s="113" t="n"/>
      <c r="N1477" s="113" t="n"/>
      <c r="O1477" s="113" t="n"/>
      <c r="P1477" s="113" t="n"/>
      <c r="Q1477" s="113" t="n"/>
      <c r="R1477" s="113" t="n"/>
      <c r="S1477" s="113" t="n"/>
      <c r="T1477" s="113" t="n"/>
      <c r="U1477" s="113" t="n"/>
      <c r="V1477" s="113" t="n"/>
      <c r="W1477" s="113" t="n"/>
      <c r="X1477" s="113" t="n"/>
      <c r="Y1477" s="113" t="n"/>
      <c r="Z1477" s="117">
        <f>IF($B1477="",0,IF($S1477="EVET",IF($D1477="GELİR",$O1477,-$O1477),0))</f>
        <v/>
      </c>
      <c r="AA1477" s="117">
        <f>IF($B1477="",0,IF(OR($W1477="EVET",$X1477="EVET",$Y1477="EVET"),0,IF($D1477="GELİR",IF($E1477="SATIŞ İADESİ/İSKONTO",-$O1477,$O1477),-$O1477)))</f>
        <v/>
      </c>
      <c r="AB1477" s="117">
        <f>IF($B1477="","",IF(OR($D1477="",$E1477="",$O1477=""),"EKSİK",IF($O1477&lt;=0,"SIFIR/NEGATİF",IF(COUNTIFS($C$6:$C$5000,$C1477,$O$6:$O$5000,$O1477,$B$6:$B$5000,$B1477)&gt;1,"MÜKERRER","OK"))))</f>
        <v/>
      </c>
    </row>
    <row r="1478" ht="16.5" customHeight="1" s="80">
      <c r="A1478" s="113" t="n"/>
      <c r="B1478" s="113" t="n"/>
      <c r="C1478" s="113" t="n"/>
      <c r="D1478" s="113" t="n"/>
      <c r="E1478" s="113" t="n"/>
      <c r="F1478" s="113" t="n"/>
      <c r="G1478" s="113" t="n"/>
      <c r="H1478" s="113" t="n"/>
      <c r="I1478" s="113" t="n"/>
      <c r="J1478" s="113" t="n"/>
      <c r="K1478" s="113" t="n"/>
      <c r="L1478" s="113" t="n"/>
      <c r="M1478" s="113" t="n"/>
      <c r="N1478" s="113" t="n"/>
      <c r="O1478" s="113" t="n"/>
      <c r="P1478" s="113" t="n"/>
      <c r="Q1478" s="113" t="n"/>
      <c r="R1478" s="113" t="n"/>
      <c r="S1478" s="113" t="n"/>
      <c r="T1478" s="113" t="n"/>
      <c r="U1478" s="113" t="n"/>
      <c r="V1478" s="113" t="n"/>
      <c r="W1478" s="113" t="n"/>
      <c r="X1478" s="113" t="n"/>
      <c r="Y1478" s="113" t="n"/>
      <c r="Z1478" s="117">
        <f>IF($B1478="",0,IF($S1478="EVET",IF($D1478="GELİR",$O1478,-$O1478),0))</f>
        <v/>
      </c>
      <c r="AA1478" s="117">
        <f>IF($B1478="",0,IF(OR($W1478="EVET",$X1478="EVET",$Y1478="EVET"),0,IF($D1478="GELİR",IF($E1478="SATIŞ İADESİ/İSKONTO",-$O1478,$O1478),-$O1478)))</f>
        <v/>
      </c>
      <c r="AB1478" s="117">
        <f>IF($B1478="","",IF(OR($D1478="",$E1478="",$O1478=""),"EKSİK",IF($O1478&lt;=0,"SIFIR/NEGATİF",IF(COUNTIFS($C$6:$C$5000,$C1478,$O$6:$O$5000,$O1478,$B$6:$B$5000,$B1478)&gt;1,"MÜKERRER","OK"))))</f>
        <v/>
      </c>
    </row>
    <row r="1479" ht="16.5" customHeight="1" s="80">
      <c r="A1479" s="113" t="n"/>
      <c r="B1479" s="113" t="n"/>
      <c r="C1479" s="113" t="n"/>
      <c r="D1479" s="113" t="n"/>
      <c r="E1479" s="113" t="n"/>
      <c r="F1479" s="113" t="n"/>
      <c r="G1479" s="113" t="n"/>
      <c r="H1479" s="113" t="n"/>
      <c r="I1479" s="113" t="n"/>
      <c r="J1479" s="113" t="n"/>
      <c r="K1479" s="113" t="n"/>
      <c r="L1479" s="113" t="n"/>
      <c r="M1479" s="113" t="n"/>
      <c r="N1479" s="113" t="n"/>
      <c r="O1479" s="113" t="n"/>
      <c r="P1479" s="113" t="n"/>
      <c r="Q1479" s="113" t="n"/>
      <c r="R1479" s="113" t="n"/>
      <c r="S1479" s="113" t="n"/>
      <c r="T1479" s="113" t="n"/>
      <c r="U1479" s="113" t="n"/>
      <c r="V1479" s="113" t="n"/>
      <c r="W1479" s="113" t="n"/>
      <c r="X1479" s="113" t="n"/>
      <c r="Y1479" s="113" t="n"/>
      <c r="Z1479" s="117">
        <f>IF($B1479="",0,IF($S1479="EVET",IF($D1479="GELİR",$O1479,-$O1479),0))</f>
        <v/>
      </c>
      <c r="AA1479" s="117">
        <f>IF($B1479="",0,IF(OR($W1479="EVET",$X1479="EVET",$Y1479="EVET"),0,IF($D1479="GELİR",IF($E1479="SATIŞ İADESİ/İSKONTO",-$O1479,$O1479),-$O1479)))</f>
        <v/>
      </c>
      <c r="AB1479" s="117">
        <f>IF($B1479="","",IF(OR($D1479="",$E1479="",$O1479=""),"EKSİK",IF($O1479&lt;=0,"SIFIR/NEGATİF",IF(COUNTIFS($C$6:$C$5000,$C1479,$O$6:$O$5000,$O1479,$B$6:$B$5000,$B1479)&gt;1,"MÜKERRER","OK"))))</f>
        <v/>
      </c>
    </row>
    <row r="1480" ht="16.5" customHeight="1" s="80">
      <c r="A1480" s="113" t="n"/>
      <c r="B1480" s="113" t="n"/>
      <c r="C1480" s="113" t="n"/>
      <c r="D1480" s="113" t="n"/>
      <c r="E1480" s="113" t="n"/>
      <c r="F1480" s="113" t="n"/>
      <c r="G1480" s="113" t="n"/>
      <c r="H1480" s="113" t="n"/>
      <c r="I1480" s="113" t="n"/>
      <c r="J1480" s="113" t="n"/>
      <c r="K1480" s="113" t="n"/>
      <c r="L1480" s="113" t="n"/>
      <c r="M1480" s="113" t="n"/>
      <c r="N1480" s="113" t="n"/>
      <c r="O1480" s="113" t="n"/>
      <c r="P1480" s="113" t="n"/>
      <c r="Q1480" s="113" t="n"/>
      <c r="R1480" s="113" t="n"/>
      <c r="S1480" s="113" t="n"/>
      <c r="T1480" s="113" t="n"/>
      <c r="U1480" s="113" t="n"/>
      <c r="V1480" s="113" t="n"/>
      <c r="W1480" s="113" t="n"/>
      <c r="X1480" s="113" t="n"/>
      <c r="Y1480" s="113" t="n"/>
      <c r="Z1480" s="117">
        <f>IF($B1480="",0,IF($S1480="EVET",IF($D1480="GELİR",$O1480,-$O1480),0))</f>
        <v/>
      </c>
      <c r="AA1480" s="117">
        <f>IF($B1480="",0,IF(OR($W1480="EVET",$X1480="EVET",$Y1480="EVET"),0,IF($D1480="GELİR",IF($E1480="SATIŞ İADESİ/İSKONTO",-$O1480,$O1480),-$O1480)))</f>
        <v/>
      </c>
      <c r="AB1480" s="117">
        <f>IF($B1480="","",IF(OR($D1480="",$E1480="",$O1480=""),"EKSİK",IF($O1480&lt;=0,"SIFIR/NEGATİF",IF(COUNTIFS($C$6:$C$5000,$C1480,$O$6:$O$5000,$O1480,$B$6:$B$5000,$B1480)&gt;1,"MÜKERRER","OK"))))</f>
        <v/>
      </c>
    </row>
    <row r="1481" ht="16.5" customHeight="1" s="80">
      <c r="A1481" s="113" t="n"/>
      <c r="B1481" s="113" t="n"/>
      <c r="C1481" s="113" t="n"/>
      <c r="D1481" s="113" t="n"/>
      <c r="E1481" s="113" t="n"/>
      <c r="F1481" s="113" t="n"/>
      <c r="G1481" s="113" t="n"/>
      <c r="H1481" s="113" t="n"/>
      <c r="I1481" s="113" t="n"/>
      <c r="J1481" s="113" t="n"/>
      <c r="K1481" s="113" t="n"/>
      <c r="L1481" s="113" t="n"/>
      <c r="M1481" s="113" t="n"/>
      <c r="N1481" s="113" t="n"/>
      <c r="O1481" s="113" t="n"/>
      <c r="P1481" s="113" t="n"/>
      <c r="Q1481" s="113" t="n"/>
      <c r="R1481" s="113" t="n"/>
      <c r="S1481" s="113" t="n"/>
      <c r="T1481" s="113" t="n"/>
      <c r="U1481" s="113" t="n"/>
      <c r="V1481" s="113" t="n"/>
      <c r="W1481" s="113" t="n"/>
      <c r="X1481" s="113" t="n"/>
      <c r="Y1481" s="113" t="n"/>
      <c r="Z1481" s="117">
        <f>IF($B1481="",0,IF($S1481="EVET",IF($D1481="GELİR",$O1481,-$O1481),0))</f>
        <v/>
      </c>
      <c r="AA1481" s="117">
        <f>IF($B1481="",0,IF(OR($W1481="EVET",$X1481="EVET",$Y1481="EVET"),0,IF($D1481="GELİR",IF($E1481="SATIŞ İADESİ/İSKONTO",-$O1481,$O1481),-$O1481)))</f>
        <v/>
      </c>
      <c r="AB1481" s="117">
        <f>IF($B1481="","",IF(OR($D1481="",$E1481="",$O1481=""),"EKSİK",IF($O1481&lt;=0,"SIFIR/NEGATİF",IF(COUNTIFS($C$6:$C$5000,$C1481,$O$6:$O$5000,$O1481,$B$6:$B$5000,$B1481)&gt;1,"MÜKERRER","OK"))))</f>
        <v/>
      </c>
    </row>
    <row r="1482" ht="16.5" customHeight="1" s="80">
      <c r="A1482" s="113" t="n"/>
      <c r="B1482" s="113" t="n"/>
      <c r="C1482" s="113" t="n"/>
      <c r="D1482" s="113" t="n"/>
      <c r="E1482" s="113" t="n"/>
      <c r="F1482" s="113" t="n"/>
      <c r="G1482" s="113" t="n"/>
      <c r="H1482" s="113" t="n"/>
      <c r="I1482" s="113" t="n"/>
      <c r="J1482" s="113" t="n"/>
      <c r="K1482" s="113" t="n"/>
      <c r="L1482" s="113" t="n"/>
      <c r="M1482" s="113" t="n"/>
      <c r="N1482" s="113" t="n"/>
      <c r="O1482" s="113" t="n"/>
      <c r="P1482" s="113" t="n"/>
      <c r="Q1482" s="113" t="n"/>
      <c r="R1482" s="113" t="n"/>
      <c r="S1482" s="113" t="n"/>
      <c r="T1482" s="113" t="n"/>
      <c r="U1482" s="113" t="n"/>
      <c r="V1482" s="113" t="n"/>
      <c r="W1482" s="113" t="n"/>
      <c r="X1482" s="113" t="n"/>
      <c r="Y1482" s="113" t="n"/>
      <c r="Z1482" s="117">
        <f>IF($B1482="",0,IF($S1482="EVET",IF($D1482="GELİR",$O1482,-$O1482),0))</f>
        <v/>
      </c>
      <c r="AA1482" s="117">
        <f>IF($B1482="",0,IF(OR($W1482="EVET",$X1482="EVET",$Y1482="EVET"),0,IF($D1482="GELİR",IF($E1482="SATIŞ İADESİ/İSKONTO",-$O1482,$O1482),-$O1482)))</f>
        <v/>
      </c>
      <c r="AB1482" s="117">
        <f>IF($B1482="","",IF(OR($D1482="",$E1482="",$O1482=""),"EKSİK",IF($O1482&lt;=0,"SIFIR/NEGATİF",IF(COUNTIFS($C$6:$C$5000,$C1482,$O$6:$O$5000,$O1482,$B$6:$B$5000,$B1482)&gt;1,"MÜKERRER","OK"))))</f>
        <v/>
      </c>
    </row>
    <row r="1483" ht="16.5" customHeight="1" s="80">
      <c r="A1483" s="113" t="n"/>
      <c r="B1483" s="113" t="n"/>
      <c r="C1483" s="113" t="n"/>
      <c r="D1483" s="113" t="n"/>
      <c r="E1483" s="113" t="n"/>
      <c r="F1483" s="113" t="n"/>
      <c r="G1483" s="113" t="n"/>
      <c r="H1483" s="113" t="n"/>
      <c r="I1483" s="113" t="n"/>
      <c r="J1483" s="113" t="n"/>
      <c r="K1483" s="113" t="n"/>
      <c r="L1483" s="113" t="n"/>
      <c r="M1483" s="113" t="n"/>
      <c r="N1483" s="113" t="n"/>
      <c r="O1483" s="113" t="n"/>
      <c r="P1483" s="113" t="n"/>
      <c r="Q1483" s="113" t="n"/>
      <c r="R1483" s="113" t="n"/>
      <c r="S1483" s="113" t="n"/>
      <c r="T1483" s="113" t="n"/>
      <c r="U1483" s="113" t="n"/>
      <c r="V1483" s="113" t="n"/>
      <c r="W1483" s="113" t="n"/>
      <c r="X1483" s="113" t="n"/>
      <c r="Y1483" s="113" t="n"/>
      <c r="Z1483" s="117">
        <f>IF($B1483="",0,IF($S1483="EVET",IF($D1483="GELİR",$O1483,-$O1483),0))</f>
        <v/>
      </c>
      <c r="AA1483" s="117">
        <f>IF($B1483="",0,IF(OR($W1483="EVET",$X1483="EVET",$Y1483="EVET"),0,IF($D1483="GELİR",IF($E1483="SATIŞ İADESİ/İSKONTO",-$O1483,$O1483),-$O1483)))</f>
        <v/>
      </c>
      <c r="AB1483" s="117">
        <f>IF($B1483="","",IF(OR($D1483="",$E1483="",$O1483=""),"EKSİK",IF($O1483&lt;=0,"SIFIR/NEGATİF",IF(COUNTIFS($C$6:$C$5000,$C1483,$O$6:$O$5000,$O1483,$B$6:$B$5000,$B1483)&gt;1,"MÜKERRER","OK"))))</f>
        <v/>
      </c>
    </row>
    <row r="1484" ht="16.5" customHeight="1" s="80">
      <c r="A1484" s="113" t="n"/>
      <c r="B1484" s="113" t="n"/>
      <c r="C1484" s="113" t="n"/>
      <c r="D1484" s="113" t="n"/>
      <c r="E1484" s="113" t="n"/>
      <c r="F1484" s="113" t="n"/>
      <c r="G1484" s="113" t="n"/>
      <c r="H1484" s="113" t="n"/>
      <c r="I1484" s="113" t="n"/>
      <c r="J1484" s="113" t="n"/>
      <c r="K1484" s="113" t="n"/>
      <c r="L1484" s="113" t="n"/>
      <c r="M1484" s="113" t="n"/>
      <c r="N1484" s="113" t="n"/>
      <c r="O1484" s="113" t="n"/>
      <c r="P1484" s="113" t="n"/>
      <c r="Q1484" s="113" t="n"/>
      <c r="R1484" s="113" t="n"/>
      <c r="S1484" s="113" t="n"/>
      <c r="T1484" s="113" t="n"/>
      <c r="U1484" s="113" t="n"/>
      <c r="V1484" s="113" t="n"/>
      <c r="W1484" s="113" t="n"/>
      <c r="X1484" s="113" t="n"/>
      <c r="Y1484" s="113" t="n"/>
      <c r="Z1484" s="117">
        <f>IF($B1484="",0,IF($S1484="EVET",IF($D1484="GELİR",$O1484,-$O1484),0))</f>
        <v/>
      </c>
      <c r="AA1484" s="117">
        <f>IF($B1484="",0,IF(OR($W1484="EVET",$X1484="EVET",$Y1484="EVET"),0,IF($D1484="GELİR",IF($E1484="SATIŞ İADESİ/İSKONTO",-$O1484,$O1484),-$O1484)))</f>
        <v/>
      </c>
      <c r="AB1484" s="117">
        <f>IF($B1484="","",IF(OR($D1484="",$E1484="",$O1484=""),"EKSİK",IF($O1484&lt;=0,"SIFIR/NEGATİF",IF(COUNTIFS($C$6:$C$5000,$C1484,$O$6:$O$5000,$O1484,$B$6:$B$5000,$B1484)&gt;1,"MÜKERRER","OK"))))</f>
        <v/>
      </c>
    </row>
    <row r="1485" ht="16.5" customHeight="1" s="80">
      <c r="A1485" s="113" t="n"/>
      <c r="B1485" s="113" t="n"/>
      <c r="C1485" s="113" t="n"/>
      <c r="D1485" s="113" t="n"/>
      <c r="E1485" s="113" t="n"/>
      <c r="F1485" s="113" t="n"/>
      <c r="G1485" s="113" t="n"/>
      <c r="H1485" s="113" t="n"/>
      <c r="I1485" s="113" t="n"/>
      <c r="J1485" s="113" t="n"/>
      <c r="K1485" s="113" t="n"/>
      <c r="L1485" s="113" t="n"/>
      <c r="M1485" s="113" t="n"/>
      <c r="N1485" s="113" t="n"/>
      <c r="O1485" s="113" t="n"/>
      <c r="P1485" s="113" t="n"/>
      <c r="Q1485" s="113" t="n"/>
      <c r="R1485" s="113" t="n"/>
      <c r="S1485" s="113" t="n"/>
      <c r="T1485" s="113" t="n"/>
      <c r="U1485" s="113" t="n"/>
      <c r="V1485" s="113" t="n"/>
      <c r="W1485" s="113" t="n"/>
      <c r="X1485" s="113" t="n"/>
      <c r="Y1485" s="113" t="n"/>
      <c r="Z1485" s="117">
        <f>IF($B1485="",0,IF($S1485="EVET",IF($D1485="GELİR",$O1485,-$O1485),0))</f>
        <v/>
      </c>
      <c r="AA1485" s="117">
        <f>IF($B1485="",0,IF(OR($W1485="EVET",$X1485="EVET",$Y1485="EVET"),0,IF($D1485="GELİR",IF($E1485="SATIŞ İADESİ/İSKONTO",-$O1485,$O1485),-$O1485)))</f>
        <v/>
      </c>
      <c r="AB1485" s="117">
        <f>IF($B1485="","",IF(OR($D1485="",$E1485="",$O1485=""),"EKSİK",IF($O1485&lt;=0,"SIFIR/NEGATİF",IF(COUNTIFS($C$6:$C$5000,$C1485,$O$6:$O$5000,$O1485,$B$6:$B$5000,$B1485)&gt;1,"MÜKERRER","OK"))))</f>
        <v/>
      </c>
    </row>
    <row r="1486" ht="16.5" customHeight="1" s="80">
      <c r="A1486" s="113" t="n"/>
      <c r="B1486" s="113" t="n"/>
      <c r="C1486" s="113" t="n"/>
      <c r="D1486" s="113" t="n"/>
      <c r="E1486" s="113" t="n"/>
      <c r="F1486" s="113" t="n"/>
      <c r="G1486" s="113" t="n"/>
      <c r="H1486" s="113" t="n"/>
      <c r="I1486" s="113" t="n"/>
      <c r="J1486" s="113" t="n"/>
      <c r="K1486" s="113" t="n"/>
      <c r="L1486" s="113" t="n"/>
      <c r="M1486" s="113" t="n"/>
      <c r="N1486" s="113" t="n"/>
      <c r="O1486" s="113" t="n"/>
      <c r="P1486" s="113" t="n"/>
      <c r="Q1486" s="113" t="n"/>
      <c r="R1486" s="113" t="n"/>
      <c r="S1486" s="113" t="n"/>
      <c r="T1486" s="113" t="n"/>
      <c r="U1486" s="113" t="n"/>
      <c r="V1486" s="113" t="n"/>
      <c r="W1486" s="113" t="n"/>
      <c r="X1486" s="113" t="n"/>
      <c r="Y1486" s="113" t="n"/>
      <c r="Z1486" s="117">
        <f>IF($B1486="",0,IF($S1486="EVET",IF($D1486="GELİR",$O1486,-$O1486),0))</f>
        <v/>
      </c>
      <c r="AA1486" s="117">
        <f>IF($B1486="",0,IF(OR($W1486="EVET",$X1486="EVET",$Y1486="EVET"),0,IF($D1486="GELİR",IF($E1486="SATIŞ İADESİ/İSKONTO",-$O1486,$O1486),-$O1486)))</f>
        <v/>
      </c>
      <c r="AB1486" s="117">
        <f>IF($B1486="","",IF(OR($D1486="",$E1486="",$O1486=""),"EKSİK",IF($O1486&lt;=0,"SIFIR/NEGATİF",IF(COUNTIFS($C$6:$C$5000,$C1486,$O$6:$O$5000,$O1486,$B$6:$B$5000,$B1486)&gt;1,"MÜKERRER","OK"))))</f>
        <v/>
      </c>
    </row>
    <row r="1487" ht="16.5" customHeight="1" s="80">
      <c r="A1487" s="113" t="n"/>
      <c r="B1487" s="113" t="n"/>
      <c r="C1487" s="113" t="n"/>
      <c r="D1487" s="113" t="n"/>
      <c r="E1487" s="113" t="n"/>
      <c r="F1487" s="113" t="n"/>
      <c r="G1487" s="113" t="n"/>
      <c r="H1487" s="113" t="n"/>
      <c r="I1487" s="113" t="n"/>
      <c r="J1487" s="113" t="n"/>
      <c r="K1487" s="113" t="n"/>
      <c r="L1487" s="113" t="n"/>
      <c r="M1487" s="113" t="n"/>
      <c r="N1487" s="113" t="n"/>
      <c r="O1487" s="113" t="n"/>
      <c r="P1487" s="113" t="n"/>
      <c r="Q1487" s="113" t="n"/>
      <c r="R1487" s="113" t="n"/>
      <c r="S1487" s="113" t="n"/>
      <c r="T1487" s="113" t="n"/>
      <c r="U1487" s="113" t="n"/>
      <c r="V1487" s="113" t="n"/>
      <c r="W1487" s="113" t="n"/>
      <c r="X1487" s="113" t="n"/>
      <c r="Y1487" s="113" t="n"/>
      <c r="Z1487" s="117">
        <f>IF($B1487="",0,IF($S1487="EVET",IF($D1487="GELİR",$O1487,-$O1487),0))</f>
        <v/>
      </c>
      <c r="AA1487" s="117">
        <f>IF($B1487="",0,IF(OR($W1487="EVET",$X1487="EVET",$Y1487="EVET"),0,IF($D1487="GELİR",IF($E1487="SATIŞ İADESİ/İSKONTO",-$O1487,$O1487),-$O1487)))</f>
        <v/>
      </c>
      <c r="AB1487" s="117">
        <f>IF($B1487="","",IF(OR($D1487="",$E1487="",$O1487=""),"EKSİK",IF($O1487&lt;=0,"SIFIR/NEGATİF",IF(COUNTIFS($C$6:$C$5000,$C1487,$O$6:$O$5000,$O1487,$B$6:$B$5000,$B1487)&gt;1,"MÜKERRER","OK"))))</f>
        <v/>
      </c>
    </row>
    <row r="1488" ht="16.5" customHeight="1" s="80">
      <c r="A1488" s="113" t="n"/>
      <c r="B1488" s="113" t="n"/>
      <c r="C1488" s="113" t="n"/>
      <c r="D1488" s="113" t="n"/>
      <c r="E1488" s="113" t="n"/>
      <c r="F1488" s="113" t="n"/>
      <c r="G1488" s="113" t="n"/>
      <c r="H1488" s="113" t="n"/>
      <c r="I1488" s="113" t="n"/>
      <c r="J1488" s="113" t="n"/>
      <c r="K1488" s="113" t="n"/>
      <c r="L1488" s="113" t="n"/>
      <c r="M1488" s="113" t="n"/>
      <c r="N1488" s="113" t="n"/>
      <c r="O1488" s="113" t="n"/>
      <c r="P1488" s="113" t="n"/>
      <c r="Q1488" s="113" t="n"/>
      <c r="R1488" s="113" t="n"/>
      <c r="S1488" s="113" t="n"/>
      <c r="T1488" s="113" t="n"/>
      <c r="U1488" s="113" t="n"/>
      <c r="V1488" s="113" t="n"/>
      <c r="W1488" s="113" t="n"/>
      <c r="X1488" s="113" t="n"/>
      <c r="Y1488" s="113" t="n"/>
      <c r="Z1488" s="117">
        <f>IF($B1488="",0,IF($S1488="EVET",IF($D1488="GELİR",$O1488,-$O1488),0))</f>
        <v/>
      </c>
      <c r="AA1488" s="117">
        <f>IF($B1488="",0,IF(OR($W1488="EVET",$X1488="EVET",$Y1488="EVET"),0,IF($D1488="GELİR",IF($E1488="SATIŞ İADESİ/İSKONTO",-$O1488,$O1488),-$O1488)))</f>
        <v/>
      </c>
      <c r="AB1488" s="117">
        <f>IF($B1488="","",IF(OR($D1488="",$E1488="",$O1488=""),"EKSİK",IF($O1488&lt;=0,"SIFIR/NEGATİF",IF(COUNTIFS($C$6:$C$5000,$C1488,$O$6:$O$5000,$O1488,$B$6:$B$5000,$B1488)&gt;1,"MÜKERRER","OK"))))</f>
        <v/>
      </c>
    </row>
    <row r="1489" ht="16.5" customHeight="1" s="80">
      <c r="A1489" s="113" t="n"/>
      <c r="B1489" s="113" t="n"/>
      <c r="C1489" s="113" t="n"/>
      <c r="D1489" s="113" t="n"/>
      <c r="E1489" s="113" t="n"/>
      <c r="F1489" s="113" t="n"/>
      <c r="G1489" s="113" t="n"/>
      <c r="H1489" s="113" t="n"/>
      <c r="I1489" s="113" t="n"/>
      <c r="J1489" s="113" t="n"/>
      <c r="K1489" s="113" t="n"/>
      <c r="L1489" s="113" t="n"/>
      <c r="M1489" s="113" t="n"/>
      <c r="N1489" s="113" t="n"/>
      <c r="O1489" s="113" t="n"/>
      <c r="P1489" s="113" t="n"/>
      <c r="Q1489" s="113" t="n"/>
      <c r="R1489" s="113" t="n"/>
      <c r="S1489" s="113" t="n"/>
      <c r="T1489" s="113" t="n"/>
      <c r="U1489" s="113" t="n"/>
      <c r="V1489" s="113" t="n"/>
      <c r="W1489" s="113" t="n"/>
      <c r="X1489" s="113" t="n"/>
      <c r="Y1489" s="113" t="n"/>
      <c r="Z1489" s="117">
        <f>IF($B1489="",0,IF($S1489="EVET",IF($D1489="GELİR",$O1489,-$O1489),0))</f>
        <v/>
      </c>
      <c r="AA1489" s="117">
        <f>IF($B1489="",0,IF(OR($W1489="EVET",$X1489="EVET",$Y1489="EVET"),0,IF($D1489="GELİR",IF($E1489="SATIŞ İADESİ/İSKONTO",-$O1489,$O1489),-$O1489)))</f>
        <v/>
      </c>
      <c r="AB1489" s="117">
        <f>IF($B1489="","",IF(OR($D1489="",$E1489="",$O1489=""),"EKSİK",IF($O1489&lt;=0,"SIFIR/NEGATİF",IF(COUNTIFS($C$6:$C$5000,$C1489,$O$6:$O$5000,$O1489,$B$6:$B$5000,$B1489)&gt;1,"MÜKERRER","OK"))))</f>
        <v/>
      </c>
    </row>
    <row r="1490" ht="16.5" customHeight="1" s="80">
      <c r="A1490" s="113" t="n"/>
      <c r="B1490" s="113" t="n"/>
      <c r="C1490" s="113" t="n"/>
      <c r="D1490" s="113" t="n"/>
      <c r="E1490" s="113" t="n"/>
      <c r="F1490" s="113" t="n"/>
      <c r="G1490" s="113" t="n"/>
      <c r="H1490" s="113" t="n"/>
      <c r="I1490" s="113" t="n"/>
      <c r="J1490" s="113" t="n"/>
      <c r="K1490" s="113" t="n"/>
      <c r="L1490" s="113" t="n"/>
      <c r="M1490" s="113" t="n"/>
      <c r="N1490" s="113" t="n"/>
      <c r="O1490" s="113" t="n"/>
      <c r="P1490" s="113" t="n"/>
      <c r="Q1490" s="113" t="n"/>
      <c r="R1490" s="113" t="n"/>
      <c r="S1490" s="113" t="n"/>
      <c r="T1490" s="113" t="n"/>
      <c r="U1490" s="113" t="n"/>
      <c r="V1490" s="113" t="n"/>
      <c r="W1490" s="113" t="n"/>
      <c r="X1490" s="113" t="n"/>
      <c r="Y1490" s="113" t="n"/>
      <c r="Z1490" s="117">
        <f>IF($B1490="",0,IF($S1490="EVET",IF($D1490="GELİR",$O1490,-$O1490),0))</f>
        <v/>
      </c>
      <c r="AA1490" s="117">
        <f>IF($B1490="",0,IF(OR($W1490="EVET",$X1490="EVET",$Y1490="EVET"),0,IF($D1490="GELİR",IF($E1490="SATIŞ İADESİ/İSKONTO",-$O1490,$O1490),-$O1490)))</f>
        <v/>
      </c>
      <c r="AB1490" s="117">
        <f>IF($B1490="","",IF(OR($D1490="",$E1490="",$O1490=""),"EKSİK",IF($O1490&lt;=0,"SIFIR/NEGATİF",IF(COUNTIFS($C$6:$C$5000,$C1490,$O$6:$O$5000,$O1490,$B$6:$B$5000,$B1490)&gt;1,"MÜKERRER","OK"))))</f>
        <v/>
      </c>
    </row>
    <row r="1491" ht="16.5" customHeight="1" s="80">
      <c r="A1491" s="113" t="n"/>
      <c r="B1491" s="113" t="n"/>
      <c r="C1491" s="113" t="n"/>
      <c r="D1491" s="113" t="n"/>
      <c r="E1491" s="113" t="n"/>
      <c r="F1491" s="113" t="n"/>
      <c r="G1491" s="113" t="n"/>
      <c r="H1491" s="113" t="n"/>
      <c r="I1491" s="113" t="n"/>
      <c r="J1491" s="113" t="n"/>
      <c r="K1491" s="113" t="n"/>
      <c r="L1491" s="113" t="n"/>
      <c r="M1491" s="113" t="n"/>
      <c r="N1491" s="113" t="n"/>
      <c r="O1491" s="113" t="n"/>
      <c r="P1491" s="113" t="n"/>
      <c r="Q1491" s="113" t="n"/>
      <c r="R1491" s="113" t="n"/>
      <c r="S1491" s="113" t="n"/>
      <c r="T1491" s="113" t="n"/>
      <c r="U1491" s="113" t="n"/>
      <c r="V1491" s="113" t="n"/>
      <c r="W1491" s="113" t="n"/>
      <c r="X1491" s="113" t="n"/>
      <c r="Y1491" s="113" t="n"/>
      <c r="Z1491" s="117">
        <f>IF($B1491="",0,IF($S1491="EVET",IF($D1491="GELİR",$O1491,-$O1491),0))</f>
        <v/>
      </c>
      <c r="AA1491" s="117">
        <f>IF($B1491="",0,IF(OR($W1491="EVET",$X1491="EVET",$Y1491="EVET"),0,IF($D1491="GELİR",IF($E1491="SATIŞ İADESİ/İSKONTO",-$O1491,$O1491),-$O1491)))</f>
        <v/>
      </c>
      <c r="AB1491" s="117">
        <f>IF($B1491="","",IF(OR($D1491="",$E1491="",$O1491=""),"EKSİK",IF($O1491&lt;=0,"SIFIR/NEGATİF",IF(COUNTIFS($C$6:$C$5000,$C1491,$O$6:$O$5000,$O1491,$B$6:$B$5000,$B1491)&gt;1,"MÜKERRER","OK"))))</f>
        <v/>
      </c>
    </row>
    <row r="1492" ht="16.5" customHeight="1" s="80">
      <c r="A1492" s="113" t="n"/>
      <c r="B1492" s="113" t="n"/>
      <c r="C1492" s="113" t="n"/>
      <c r="D1492" s="113" t="n"/>
      <c r="E1492" s="113" t="n"/>
      <c r="F1492" s="113" t="n"/>
      <c r="G1492" s="113" t="n"/>
      <c r="H1492" s="113" t="n"/>
      <c r="I1492" s="113" t="n"/>
      <c r="J1492" s="113" t="n"/>
      <c r="K1492" s="113" t="n"/>
      <c r="L1492" s="113" t="n"/>
      <c r="M1492" s="113" t="n"/>
      <c r="N1492" s="113" t="n"/>
      <c r="O1492" s="113" t="n"/>
      <c r="P1492" s="113" t="n"/>
      <c r="Q1492" s="113" t="n"/>
      <c r="R1492" s="113" t="n"/>
      <c r="S1492" s="113" t="n"/>
      <c r="T1492" s="113" t="n"/>
      <c r="U1492" s="113" t="n"/>
      <c r="V1492" s="113" t="n"/>
      <c r="W1492" s="113" t="n"/>
      <c r="X1492" s="113" t="n"/>
      <c r="Y1492" s="113" t="n"/>
      <c r="Z1492" s="117">
        <f>IF($B1492="",0,IF($S1492="EVET",IF($D1492="GELİR",$O1492,-$O1492),0))</f>
        <v/>
      </c>
      <c r="AA1492" s="117">
        <f>IF($B1492="",0,IF(OR($W1492="EVET",$X1492="EVET",$Y1492="EVET"),0,IF($D1492="GELİR",IF($E1492="SATIŞ İADESİ/İSKONTO",-$O1492,$O1492),-$O1492)))</f>
        <v/>
      </c>
      <c r="AB1492" s="117">
        <f>IF($B1492="","",IF(OR($D1492="",$E1492="",$O1492=""),"EKSİK",IF($O1492&lt;=0,"SIFIR/NEGATİF",IF(COUNTIFS($C$6:$C$5000,$C1492,$O$6:$O$5000,$O1492,$B$6:$B$5000,$B1492)&gt;1,"MÜKERRER","OK"))))</f>
        <v/>
      </c>
    </row>
    <row r="1493" ht="16.5" customHeight="1" s="80">
      <c r="A1493" s="113" t="n"/>
      <c r="B1493" s="113" t="n"/>
      <c r="C1493" s="113" t="n"/>
      <c r="D1493" s="113" t="n"/>
      <c r="E1493" s="113" t="n"/>
      <c r="F1493" s="113" t="n"/>
      <c r="G1493" s="113" t="n"/>
      <c r="H1493" s="113" t="n"/>
      <c r="I1493" s="113" t="n"/>
      <c r="J1493" s="113" t="n"/>
      <c r="K1493" s="113" t="n"/>
      <c r="L1493" s="113" t="n"/>
      <c r="M1493" s="113" t="n"/>
      <c r="N1493" s="113" t="n"/>
      <c r="O1493" s="113" t="n"/>
      <c r="P1493" s="113" t="n"/>
      <c r="Q1493" s="113" t="n"/>
      <c r="R1493" s="113" t="n"/>
      <c r="S1493" s="113" t="n"/>
      <c r="T1493" s="113" t="n"/>
      <c r="U1493" s="113" t="n"/>
      <c r="V1493" s="113" t="n"/>
      <c r="W1493" s="113" t="n"/>
      <c r="X1493" s="113" t="n"/>
      <c r="Y1493" s="113" t="n"/>
      <c r="Z1493" s="117">
        <f>IF($B1493="",0,IF($S1493="EVET",IF($D1493="GELİR",$O1493,-$O1493),0))</f>
        <v/>
      </c>
      <c r="AA1493" s="117">
        <f>IF($B1493="",0,IF(OR($W1493="EVET",$X1493="EVET",$Y1493="EVET"),0,IF($D1493="GELİR",IF($E1493="SATIŞ İADESİ/İSKONTO",-$O1493,$O1493),-$O1493)))</f>
        <v/>
      </c>
      <c r="AB1493" s="117">
        <f>IF($B1493="","",IF(OR($D1493="",$E1493="",$O1493=""),"EKSİK",IF($O1493&lt;=0,"SIFIR/NEGATİF",IF(COUNTIFS($C$6:$C$5000,$C1493,$O$6:$O$5000,$O1493,$B$6:$B$5000,$B1493)&gt;1,"MÜKERRER","OK"))))</f>
        <v/>
      </c>
    </row>
    <row r="1494" ht="16.5" customHeight="1" s="80">
      <c r="A1494" s="113" t="n"/>
      <c r="B1494" s="113" t="n"/>
      <c r="C1494" s="113" t="n"/>
      <c r="D1494" s="113" t="n"/>
      <c r="E1494" s="113" t="n"/>
      <c r="F1494" s="113" t="n"/>
      <c r="G1494" s="113" t="n"/>
      <c r="H1494" s="113" t="n"/>
      <c r="I1494" s="113" t="n"/>
      <c r="J1494" s="113" t="n"/>
      <c r="K1494" s="113" t="n"/>
      <c r="L1494" s="113" t="n"/>
      <c r="M1494" s="113" t="n"/>
      <c r="N1494" s="113" t="n"/>
      <c r="O1494" s="113" t="n"/>
      <c r="P1494" s="113" t="n"/>
      <c r="Q1494" s="113" t="n"/>
      <c r="R1494" s="113" t="n"/>
      <c r="S1494" s="113" t="n"/>
      <c r="T1494" s="113" t="n"/>
      <c r="U1494" s="113" t="n"/>
      <c r="V1494" s="113" t="n"/>
      <c r="W1494" s="113" t="n"/>
      <c r="X1494" s="113" t="n"/>
      <c r="Y1494" s="113" t="n"/>
      <c r="Z1494" s="117">
        <f>IF($B1494="",0,IF($S1494="EVET",IF($D1494="GELİR",$O1494,-$O1494),0))</f>
        <v/>
      </c>
      <c r="AA1494" s="117">
        <f>IF($B1494="",0,IF(OR($W1494="EVET",$X1494="EVET",$Y1494="EVET"),0,IF($D1494="GELİR",IF($E1494="SATIŞ İADESİ/İSKONTO",-$O1494,$O1494),-$O1494)))</f>
        <v/>
      </c>
      <c r="AB1494" s="117">
        <f>IF($B1494="","",IF(OR($D1494="",$E1494="",$O1494=""),"EKSİK",IF($O1494&lt;=0,"SIFIR/NEGATİF",IF(COUNTIFS($C$6:$C$5000,$C1494,$O$6:$O$5000,$O1494,$B$6:$B$5000,$B1494)&gt;1,"MÜKERRER","OK"))))</f>
        <v/>
      </c>
    </row>
    <row r="1495" ht="16.5" customHeight="1" s="80">
      <c r="A1495" s="113" t="n"/>
      <c r="B1495" s="113" t="n"/>
      <c r="C1495" s="113" t="n"/>
      <c r="D1495" s="113" t="n"/>
      <c r="E1495" s="113" t="n"/>
      <c r="F1495" s="113" t="n"/>
      <c r="G1495" s="113" t="n"/>
      <c r="H1495" s="113" t="n"/>
      <c r="I1495" s="113" t="n"/>
      <c r="J1495" s="113" t="n"/>
      <c r="K1495" s="113" t="n"/>
      <c r="L1495" s="113" t="n"/>
      <c r="M1495" s="113" t="n"/>
      <c r="N1495" s="113" t="n"/>
      <c r="O1495" s="113" t="n"/>
      <c r="P1495" s="113" t="n"/>
      <c r="Q1495" s="113" t="n"/>
      <c r="R1495" s="113" t="n"/>
      <c r="S1495" s="113" t="n"/>
      <c r="T1495" s="113" t="n"/>
      <c r="U1495" s="113" t="n"/>
      <c r="V1495" s="113" t="n"/>
      <c r="W1495" s="113" t="n"/>
      <c r="X1495" s="113" t="n"/>
      <c r="Y1495" s="113" t="n"/>
      <c r="Z1495" s="117">
        <f>IF($B1495="",0,IF($S1495="EVET",IF($D1495="GELİR",$O1495,-$O1495),0))</f>
        <v/>
      </c>
      <c r="AA1495" s="117">
        <f>IF($B1495="",0,IF(OR($W1495="EVET",$X1495="EVET",$Y1495="EVET"),0,IF($D1495="GELİR",IF($E1495="SATIŞ İADESİ/İSKONTO",-$O1495,$O1495),-$O1495)))</f>
        <v/>
      </c>
      <c r="AB1495" s="117">
        <f>IF($B1495="","",IF(OR($D1495="",$E1495="",$O1495=""),"EKSİK",IF($O1495&lt;=0,"SIFIR/NEGATİF",IF(COUNTIFS($C$6:$C$5000,$C1495,$O$6:$O$5000,$O1495,$B$6:$B$5000,$B1495)&gt;1,"MÜKERRER","OK"))))</f>
        <v/>
      </c>
    </row>
    <row r="1496" ht="16.5" customHeight="1" s="80">
      <c r="A1496" s="113" t="n"/>
      <c r="B1496" s="113" t="n"/>
      <c r="C1496" s="113" t="n"/>
      <c r="D1496" s="113" t="n"/>
      <c r="E1496" s="113" t="n"/>
      <c r="F1496" s="113" t="n"/>
      <c r="G1496" s="113" t="n"/>
      <c r="H1496" s="113" t="n"/>
      <c r="I1496" s="113" t="n"/>
      <c r="J1496" s="113" t="n"/>
      <c r="K1496" s="113" t="n"/>
      <c r="L1496" s="113" t="n"/>
      <c r="M1496" s="113" t="n"/>
      <c r="N1496" s="113" t="n"/>
      <c r="O1496" s="113" t="n"/>
      <c r="P1496" s="113" t="n"/>
      <c r="Q1496" s="113" t="n"/>
      <c r="R1496" s="113" t="n"/>
      <c r="S1496" s="113" t="n"/>
      <c r="T1496" s="113" t="n"/>
      <c r="U1496" s="113" t="n"/>
      <c r="V1496" s="113" t="n"/>
      <c r="W1496" s="113" t="n"/>
      <c r="X1496" s="113" t="n"/>
      <c r="Y1496" s="113" t="n"/>
      <c r="Z1496" s="117">
        <f>IF($B1496="",0,IF($S1496="EVET",IF($D1496="GELİR",$O1496,-$O1496),0))</f>
        <v/>
      </c>
      <c r="AA1496" s="117">
        <f>IF($B1496="",0,IF(OR($W1496="EVET",$X1496="EVET",$Y1496="EVET"),0,IF($D1496="GELİR",IF($E1496="SATIŞ İADESİ/İSKONTO",-$O1496,$O1496),-$O1496)))</f>
        <v/>
      </c>
      <c r="AB1496" s="117">
        <f>IF($B1496="","",IF(OR($D1496="",$E1496="",$O1496=""),"EKSİK",IF($O1496&lt;=0,"SIFIR/NEGATİF",IF(COUNTIFS($C$6:$C$5000,$C1496,$O$6:$O$5000,$O1496,$B$6:$B$5000,$B1496)&gt;1,"MÜKERRER","OK"))))</f>
        <v/>
      </c>
    </row>
    <row r="1497" ht="16.5" customHeight="1" s="80">
      <c r="A1497" s="113" t="n"/>
      <c r="B1497" s="113" t="n"/>
      <c r="C1497" s="113" t="n"/>
      <c r="D1497" s="113" t="n"/>
      <c r="E1497" s="113" t="n"/>
      <c r="F1497" s="113" t="n"/>
      <c r="G1497" s="113" t="n"/>
      <c r="H1497" s="113" t="n"/>
      <c r="I1497" s="113" t="n"/>
      <c r="J1497" s="113" t="n"/>
      <c r="K1497" s="113" t="n"/>
      <c r="L1497" s="113" t="n"/>
      <c r="M1497" s="113" t="n"/>
      <c r="N1497" s="113" t="n"/>
      <c r="O1497" s="113" t="n"/>
      <c r="P1497" s="113" t="n"/>
      <c r="Q1497" s="113" t="n"/>
      <c r="R1497" s="113" t="n"/>
      <c r="S1497" s="113" t="n"/>
      <c r="T1497" s="113" t="n"/>
      <c r="U1497" s="113" t="n"/>
      <c r="V1497" s="113" t="n"/>
      <c r="W1497" s="113" t="n"/>
      <c r="X1497" s="113" t="n"/>
      <c r="Y1497" s="113" t="n"/>
      <c r="Z1497" s="117">
        <f>IF($B1497="",0,IF($S1497="EVET",IF($D1497="GELİR",$O1497,-$O1497),0))</f>
        <v/>
      </c>
      <c r="AA1497" s="117">
        <f>IF($B1497="",0,IF(OR($W1497="EVET",$X1497="EVET",$Y1497="EVET"),0,IF($D1497="GELİR",IF($E1497="SATIŞ İADESİ/İSKONTO",-$O1497,$O1497),-$O1497)))</f>
        <v/>
      </c>
      <c r="AB1497" s="117">
        <f>IF($B1497="","",IF(OR($D1497="",$E1497="",$O1497=""),"EKSİK",IF($O1497&lt;=0,"SIFIR/NEGATİF",IF(COUNTIFS($C$6:$C$5000,$C1497,$O$6:$O$5000,$O1497,$B$6:$B$5000,$B1497)&gt;1,"MÜKERRER","OK"))))</f>
        <v/>
      </c>
    </row>
    <row r="1498" ht="16.5" customHeight="1" s="80">
      <c r="A1498" s="113" t="n"/>
      <c r="B1498" s="113" t="n"/>
      <c r="C1498" s="113" t="n"/>
      <c r="D1498" s="113" t="n"/>
      <c r="E1498" s="113" t="n"/>
      <c r="F1498" s="113" t="n"/>
      <c r="G1498" s="113" t="n"/>
      <c r="H1498" s="113" t="n"/>
      <c r="I1498" s="113" t="n"/>
      <c r="J1498" s="113" t="n"/>
      <c r="K1498" s="113" t="n"/>
      <c r="L1498" s="113" t="n"/>
      <c r="M1498" s="113" t="n"/>
      <c r="N1498" s="113" t="n"/>
      <c r="O1498" s="113" t="n"/>
      <c r="P1498" s="113" t="n"/>
      <c r="Q1498" s="113" t="n"/>
      <c r="R1498" s="113" t="n"/>
      <c r="S1498" s="113" t="n"/>
      <c r="T1498" s="113" t="n"/>
      <c r="U1498" s="113" t="n"/>
      <c r="V1498" s="113" t="n"/>
      <c r="W1498" s="113" t="n"/>
      <c r="X1498" s="113" t="n"/>
      <c r="Y1498" s="113" t="n"/>
      <c r="Z1498" s="117">
        <f>IF($B1498="",0,IF($S1498="EVET",IF($D1498="GELİR",$O1498,-$O1498),0))</f>
        <v/>
      </c>
      <c r="AA1498" s="117">
        <f>IF($B1498="",0,IF(OR($W1498="EVET",$X1498="EVET",$Y1498="EVET"),0,IF($D1498="GELİR",IF($E1498="SATIŞ İADESİ/İSKONTO",-$O1498,$O1498),-$O1498)))</f>
        <v/>
      </c>
      <c r="AB1498" s="117">
        <f>IF($B1498="","",IF(OR($D1498="",$E1498="",$O1498=""),"EKSİK",IF($O1498&lt;=0,"SIFIR/NEGATİF",IF(COUNTIFS($C$6:$C$5000,$C1498,$O$6:$O$5000,$O1498,$B$6:$B$5000,$B1498)&gt;1,"MÜKERRER","OK"))))</f>
        <v/>
      </c>
    </row>
    <row r="1499" ht="16.5" customHeight="1" s="80">
      <c r="A1499" s="113" t="n"/>
      <c r="B1499" s="113" t="n"/>
      <c r="C1499" s="113" t="n"/>
      <c r="D1499" s="113" t="n"/>
      <c r="E1499" s="113" t="n"/>
      <c r="F1499" s="113" t="n"/>
      <c r="G1499" s="113" t="n"/>
      <c r="H1499" s="113" t="n"/>
      <c r="I1499" s="113" t="n"/>
      <c r="J1499" s="113" t="n"/>
      <c r="K1499" s="113" t="n"/>
      <c r="L1499" s="113" t="n"/>
      <c r="M1499" s="113" t="n"/>
      <c r="N1499" s="113" t="n"/>
      <c r="O1499" s="113" t="n"/>
      <c r="P1499" s="113" t="n"/>
      <c r="Q1499" s="113" t="n"/>
      <c r="R1499" s="113" t="n"/>
      <c r="S1499" s="113" t="n"/>
      <c r="T1499" s="113" t="n"/>
      <c r="U1499" s="113" t="n"/>
      <c r="V1499" s="113" t="n"/>
      <c r="W1499" s="113" t="n"/>
      <c r="X1499" s="113" t="n"/>
      <c r="Y1499" s="113" t="n"/>
      <c r="Z1499" s="117">
        <f>IF($B1499="",0,IF($S1499="EVET",IF($D1499="GELİR",$O1499,-$O1499),0))</f>
        <v/>
      </c>
      <c r="AA1499" s="117">
        <f>IF($B1499="",0,IF(OR($W1499="EVET",$X1499="EVET",$Y1499="EVET"),0,IF($D1499="GELİR",IF($E1499="SATIŞ İADESİ/İSKONTO",-$O1499,$O1499),-$O1499)))</f>
        <v/>
      </c>
      <c r="AB1499" s="117">
        <f>IF($B1499="","",IF(OR($D1499="",$E1499="",$O1499=""),"EKSİK",IF($O1499&lt;=0,"SIFIR/NEGATİF",IF(COUNTIFS($C$6:$C$5000,$C1499,$O$6:$O$5000,$O1499,$B$6:$B$5000,$B1499)&gt;1,"MÜKERRER","OK"))))</f>
        <v/>
      </c>
    </row>
    <row r="1500" ht="16.5" customHeight="1" s="80">
      <c r="A1500" s="113" t="n"/>
      <c r="B1500" s="113" t="n"/>
      <c r="C1500" s="113" t="n"/>
      <c r="D1500" s="113" t="n"/>
      <c r="E1500" s="113" t="n"/>
      <c r="F1500" s="113" t="n"/>
      <c r="G1500" s="113" t="n"/>
      <c r="H1500" s="113" t="n"/>
      <c r="I1500" s="113" t="n"/>
      <c r="J1500" s="113" t="n"/>
      <c r="K1500" s="113" t="n"/>
      <c r="L1500" s="113" t="n"/>
      <c r="M1500" s="113" t="n"/>
      <c r="N1500" s="113" t="n"/>
      <c r="O1500" s="113" t="n"/>
      <c r="P1500" s="113" t="n"/>
      <c r="Q1500" s="113" t="n"/>
      <c r="R1500" s="113" t="n"/>
      <c r="S1500" s="113" t="n"/>
      <c r="T1500" s="113" t="n"/>
      <c r="U1500" s="113" t="n"/>
      <c r="V1500" s="113" t="n"/>
      <c r="W1500" s="113" t="n"/>
      <c r="X1500" s="113" t="n"/>
      <c r="Y1500" s="113" t="n"/>
      <c r="Z1500" s="117">
        <f>IF($B1500="",0,IF($S1500="EVET",IF($D1500="GELİR",$O1500,-$O1500),0))</f>
        <v/>
      </c>
      <c r="AA1500" s="117">
        <f>IF($B1500="",0,IF(OR($W1500="EVET",$X1500="EVET",$Y1500="EVET"),0,IF($D1500="GELİR",IF($E1500="SATIŞ İADESİ/İSKONTO",-$O1500,$O1500),-$O1500)))</f>
        <v/>
      </c>
      <c r="AB1500" s="117">
        <f>IF($B1500="","",IF(OR($D1500="",$E1500="",$O1500=""),"EKSİK",IF($O1500&lt;=0,"SIFIR/NEGATİF",IF(COUNTIFS($C$6:$C$5000,$C1500,$O$6:$O$5000,$O1500,$B$6:$B$5000,$B1500)&gt;1,"MÜKERRER","OK"))))</f>
        <v/>
      </c>
    </row>
    <row r="1501" ht="16.5" customHeight="1" s="80">
      <c r="A1501" s="113" t="n"/>
      <c r="B1501" s="113" t="n"/>
      <c r="C1501" s="113" t="n"/>
      <c r="D1501" s="113" t="n"/>
      <c r="E1501" s="113" t="n"/>
      <c r="F1501" s="113" t="n"/>
      <c r="G1501" s="113" t="n"/>
      <c r="H1501" s="113" t="n"/>
      <c r="I1501" s="113" t="n"/>
      <c r="J1501" s="113" t="n"/>
      <c r="K1501" s="113" t="n"/>
      <c r="L1501" s="113" t="n"/>
      <c r="M1501" s="113" t="n"/>
      <c r="N1501" s="113" t="n"/>
      <c r="O1501" s="113" t="n"/>
      <c r="P1501" s="113" t="n"/>
      <c r="Q1501" s="113" t="n"/>
      <c r="R1501" s="113" t="n"/>
      <c r="S1501" s="113" t="n"/>
      <c r="T1501" s="113" t="n"/>
      <c r="U1501" s="113" t="n"/>
      <c r="V1501" s="113" t="n"/>
      <c r="W1501" s="113" t="n"/>
      <c r="X1501" s="113" t="n"/>
      <c r="Y1501" s="113" t="n"/>
      <c r="Z1501" s="117">
        <f>IF($B1501="",0,IF($S1501="EVET",IF($D1501="GELİR",$O1501,-$O1501),0))</f>
        <v/>
      </c>
      <c r="AA1501" s="117">
        <f>IF($B1501="",0,IF(OR($W1501="EVET",$X1501="EVET",$Y1501="EVET"),0,IF($D1501="GELİR",IF($E1501="SATIŞ İADESİ/İSKONTO",-$O1501,$O1501),-$O1501)))</f>
        <v/>
      </c>
      <c r="AB1501" s="117">
        <f>IF($B1501="","",IF(OR($D1501="",$E1501="",$O1501=""),"EKSİK",IF($O1501&lt;=0,"SIFIR/NEGATİF",IF(COUNTIFS($C$6:$C$5000,$C1501,$O$6:$O$5000,$O1501,$B$6:$B$5000,$B1501)&gt;1,"MÜKERRER","OK"))))</f>
        <v/>
      </c>
    </row>
    <row r="1502" ht="16.5" customHeight="1" s="80">
      <c r="A1502" s="113" t="n"/>
      <c r="B1502" s="113" t="n"/>
      <c r="C1502" s="113" t="n"/>
      <c r="D1502" s="113" t="n"/>
      <c r="E1502" s="113" t="n"/>
      <c r="F1502" s="113" t="n"/>
      <c r="G1502" s="113" t="n"/>
      <c r="H1502" s="113" t="n"/>
      <c r="I1502" s="113" t="n"/>
      <c r="J1502" s="113" t="n"/>
      <c r="K1502" s="113" t="n"/>
      <c r="L1502" s="113" t="n"/>
      <c r="M1502" s="113" t="n"/>
      <c r="N1502" s="113" t="n"/>
      <c r="O1502" s="113" t="n"/>
      <c r="P1502" s="113" t="n"/>
      <c r="Q1502" s="113" t="n"/>
      <c r="R1502" s="113" t="n"/>
      <c r="S1502" s="113" t="n"/>
      <c r="T1502" s="113" t="n"/>
      <c r="U1502" s="113" t="n"/>
      <c r="V1502" s="113" t="n"/>
      <c r="W1502" s="113" t="n"/>
      <c r="X1502" s="113" t="n"/>
      <c r="Y1502" s="113" t="n"/>
      <c r="Z1502" s="117">
        <f>IF($B1502="",0,IF($S1502="EVET",IF($D1502="GELİR",$O1502,-$O1502),0))</f>
        <v/>
      </c>
      <c r="AA1502" s="117">
        <f>IF($B1502="",0,IF(OR($W1502="EVET",$X1502="EVET",$Y1502="EVET"),0,IF($D1502="GELİR",IF($E1502="SATIŞ İADESİ/İSKONTO",-$O1502,$O1502),-$O1502)))</f>
        <v/>
      </c>
      <c r="AB1502" s="117">
        <f>IF($B1502="","",IF(OR($D1502="",$E1502="",$O1502=""),"EKSİK",IF($O1502&lt;=0,"SIFIR/NEGATİF",IF(COUNTIFS($C$6:$C$5000,$C1502,$O$6:$O$5000,$O1502,$B$6:$B$5000,$B1502)&gt;1,"MÜKERRER","OK"))))</f>
        <v/>
      </c>
    </row>
    <row r="1503" ht="16.5" customHeight="1" s="80">
      <c r="A1503" s="113" t="n"/>
      <c r="B1503" s="113" t="n"/>
      <c r="C1503" s="113" t="n"/>
      <c r="D1503" s="113" t="n"/>
      <c r="E1503" s="113" t="n"/>
      <c r="F1503" s="113" t="n"/>
      <c r="G1503" s="113" t="n"/>
      <c r="H1503" s="113" t="n"/>
      <c r="I1503" s="113" t="n"/>
      <c r="J1503" s="113" t="n"/>
      <c r="K1503" s="113" t="n"/>
      <c r="L1503" s="113" t="n"/>
      <c r="M1503" s="113" t="n"/>
      <c r="N1503" s="113" t="n"/>
      <c r="O1503" s="113" t="n"/>
      <c r="P1503" s="113" t="n"/>
      <c r="Q1503" s="113" t="n"/>
      <c r="R1503" s="113" t="n"/>
      <c r="S1503" s="113" t="n"/>
      <c r="T1503" s="113" t="n"/>
      <c r="U1503" s="113" t="n"/>
      <c r="V1503" s="113" t="n"/>
      <c r="W1503" s="113" t="n"/>
      <c r="X1503" s="113" t="n"/>
      <c r="Y1503" s="113" t="n"/>
      <c r="Z1503" s="117">
        <f>IF($B1503="",0,IF($S1503="EVET",IF($D1503="GELİR",$O1503,-$O1503),0))</f>
        <v/>
      </c>
      <c r="AA1503" s="117">
        <f>IF($B1503="",0,IF(OR($W1503="EVET",$X1503="EVET",$Y1503="EVET"),0,IF($D1503="GELİR",IF($E1503="SATIŞ İADESİ/İSKONTO",-$O1503,$O1503),-$O1503)))</f>
        <v/>
      </c>
      <c r="AB1503" s="117">
        <f>IF($B1503="","",IF(OR($D1503="",$E1503="",$O1503=""),"EKSİK",IF($O1503&lt;=0,"SIFIR/NEGATİF",IF(COUNTIFS($C$6:$C$5000,$C1503,$O$6:$O$5000,$O1503,$B$6:$B$5000,$B1503)&gt;1,"MÜKERRER","OK"))))</f>
        <v/>
      </c>
    </row>
    <row r="1504" ht="16.5" customHeight="1" s="80">
      <c r="A1504" s="113" t="n"/>
      <c r="B1504" s="113" t="n"/>
      <c r="C1504" s="113" t="n"/>
      <c r="D1504" s="113" t="n"/>
      <c r="E1504" s="113" t="n"/>
      <c r="F1504" s="113" t="n"/>
      <c r="G1504" s="113" t="n"/>
      <c r="H1504" s="113" t="n"/>
      <c r="I1504" s="113" t="n"/>
      <c r="J1504" s="113" t="n"/>
      <c r="K1504" s="113" t="n"/>
      <c r="L1504" s="113" t="n"/>
      <c r="M1504" s="113" t="n"/>
      <c r="N1504" s="113" t="n"/>
      <c r="O1504" s="113" t="n"/>
      <c r="P1504" s="113" t="n"/>
      <c r="Q1504" s="113" t="n"/>
      <c r="R1504" s="113" t="n"/>
      <c r="S1504" s="113" t="n"/>
      <c r="T1504" s="113" t="n"/>
      <c r="U1504" s="113" t="n"/>
      <c r="V1504" s="113" t="n"/>
      <c r="W1504" s="113" t="n"/>
      <c r="X1504" s="113" t="n"/>
      <c r="Y1504" s="113" t="n"/>
      <c r="Z1504" s="117">
        <f>IF($B1504="",0,IF($S1504="EVET",IF($D1504="GELİR",$O1504,-$O1504),0))</f>
        <v/>
      </c>
      <c r="AA1504" s="117">
        <f>IF($B1504="",0,IF(OR($W1504="EVET",$X1504="EVET",$Y1504="EVET"),0,IF($D1504="GELİR",IF($E1504="SATIŞ İADESİ/İSKONTO",-$O1504,$O1504),-$O1504)))</f>
        <v/>
      </c>
      <c r="AB1504" s="117">
        <f>IF($B1504="","",IF(OR($D1504="",$E1504="",$O1504=""),"EKSİK",IF($O1504&lt;=0,"SIFIR/NEGATİF",IF(COUNTIFS($C$6:$C$5000,$C1504,$O$6:$O$5000,$O1504,$B$6:$B$5000,$B1504)&gt;1,"MÜKERRER","OK"))))</f>
        <v/>
      </c>
    </row>
    <row r="1505" ht="16.5" customHeight="1" s="80">
      <c r="A1505" s="113" t="n"/>
      <c r="B1505" s="113" t="n"/>
      <c r="C1505" s="113" t="n"/>
      <c r="D1505" s="113" t="n"/>
      <c r="E1505" s="113" t="n"/>
      <c r="F1505" s="113" t="n"/>
      <c r="G1505" s="113" t="n"/>
      <c r="H1505" s="113" t="n"/>
      <c r="I1505" s="113" t="n"/>
      <c r="J1505" s="113" t="n"/>
      <c r="K1505" s="113" t="n"/>
      <c r="L1505" s="113" t="n"/>
      <c r="M1505" s="113" t="n"/>
      <c r="N1505" s="113" t="n"/>
      <c r="O1505" s="113" t="n"/>
      <c r="P1505" s="113" t="n"/>
      <c r="Q1505" s="113" t="n"/>
      <c r="R1505" s="113" t="n"/>
      <c r="S1505" s="113" t="n"/>
      <c r="T1505" s="113" t="n"/>
      <c r="U1505" s="113" t="n"/>
      <c r="V1505" s="113" t="n"/>
      <c r="W1505" s="113" t="n"/>
      <c r="X1505" s="113" t="n"/>
      <c r="Y1505" s="113" t="n"/>
      <c r="Z1505" s="117">
        <f>IF($B1505="",0,IF($S1505="EVET",IF($D1505="GELİR",$O1505,-$O1505),0))</f>
        <v/>
      </c>
      <c r="AA1505" s="117">
        <f>IF($B1505="",0,IF(OR($W1505="EVET",$X1505="EVET",$Y1505="EVET"),0,IF($D1505="GELİR",IF($E1505="SATIŞ İADESİ/İSKONTO",-$O1505,$O1505),-$O1505)))</f>
        <v/>
      </c>
      <c r="AB1505" s="117">
        <f>IF($B1505="","",IF(OR($D1505="",$E1505="",$O1505=""),"EKSİK",IF($O1505&lt;=0,"SIFIR/NEGATİF",IF(COUNTIFS($C$6:$C$5000,$C1505,$O$6:$O$5000,$O1505,$B$6:$B$5000,$B1505)&gt;1,"MÜKERRER","OK"))))</f>
        <v/>
      </c>
    </row>
    <row r="1506" ht="16.5" customHeight="1" s="80">
      <c r="A1506" s="113" t="n"/>
      <c r="B1506" s="113" t="n"/>
      <c r="C1506" s="113" t="n"/>
      <c r="D1506" s="113" t="n"/>
      <c r="E1506" s="113" t="n"/>
      <c r="F1506" s="113" t="n"/>
      <c r="G1506" s="113" t="n"/>
      <c r="H1506" s="113" t="n"/>
      <c r="I1506" s="113" t="n"/>
      <c r="J1506" s="113" t="n"/>
      <c r="K1506" s="113" t="n"/>
      <c r="L1506" s="113" t="n"/>
      <c r="M1506" s="113" t="n"/>
      <c r="N1506" s="113" t="n"/>
      <c r="O1506" s="113" t="n"/>
      <c r="P1506" s="113" t="n"/>
      <c r="Q1506" s="113" t="n"/>
      <c r="R1506" s="113" t="n"/>
      <c r="S1506" s="113" t="n"/>
      <c r="T1506" s="113" t="n"/>
      <c r="U1506" s="113" t="n"/>
      <c r="V1506" s="113" t="n"/>
      <c r="W1506" s="113" t="n"/>
      <c r="X1506" s="113" t="n"/>
      <c r="Y1506" s="113" t="n"/>
      <c r="Z1506" s="117">
        <f>IF($B1506="",0,IF($S1506="EVET",IF($D1506="GELİR",$O1506,-$O1506),0))</f>
        <v/>
      </c>
      <c r="AA1506" s="117">
        <f>IF($B1506="",0,IF(OR($W1506="EVET",$X1506="EVET",$Y1506="EVET"),0,IF($D1506="GELİR",IF($E1506="SATIŞ İADESİ/İSKONTO",-$O1506,$O1506),-$O1506)))</f>
        <v/>
      </c>
      <c r="AB1506" s="117">
        <f>IF($B1506="","",IF(OR($D1506="",$E1506="",$O1506=""),"EKSİK",IF($O1506&lt;=0,"SIFIR/NEGATİF",IF(COUNTIFS($C$6:$C$5000,$C1506,$O$6:$O$5000,$O1506,$B$6:$B$5000,$B1506)&gt;1,"MÜKERRER","OK"))))</f>
        <v/>
      </c>
    </row>
    <row r="1507" ht="16.5" customHeight="1" s="80">
      <c r="A1507" s="113" t="n"/>
      <c r="B1507" s="113" t="n"/>
      <c r="C1507" s="113" t="n"/>
      <c r="D1507" s="113" t="n"/>
      <c r="E1507" s="113" t="n"/>
      <c r="F1507" s="113" t="n"/>
      <c r="G1507" s="113" t="n"/>
      <c r="H1507" s="113" t="n"/>
      <c r="I1507" s="113" t="n"/>
      <c r="J1507" s="113" t="n"/>
      <c r="K1507" s="113" t="n"/>
      <c r="L1507" s="113" t="n"/>
      <c r="M1507" s="113" t="n"/>
      <c r="N1507" s="113" t="n"/>
      <c r="O1507" s="113" t="n"/>
      <c r="P1507" s="113" t="n"/>
      <c r="Q1507" s="113" t="n"/>
      <c r="R1507" s="113" t="n"/>
      <c r="S1507" s="113" t="n"/>
      <c r="T1507" s="113" t="n"/>
      <c r="U1507" s="113" t="n"/>
      <c r="V1507" s="113" t="n"/>
      <c r="W1507" s="113" t="n"/>
      <c r="X1507" s="113" t="n"/>
      <c r="Y1507" s="113" t="n"/>
      <c r="Z1507" s="117">
        <f>IF($B1507="",0,IF($S1507="EVET",IF($D1507="GELİR",$O1507,-$O1507),0))</f>
        <v/>
      </c>
      <c r="AA1507" s="117">
        <f>IF($B1507="",0,IF(OR($W1507="EVET",$X1507="EVET",$Y1507="EVET"),0,IF($D1507="GELİR",IF($E1507="SATIŞ İADESİ/İSKONTO",-$O1507,$O1507),-$O1507)))</f>
        <v/>
      </c>
      <c r="AB1507" s="117">
        <f>IF($B1507="","",IF(OR($D1507="",$E1507="",$O1507=""),"EKSİK",IF($O1507&lt;=0,"SIFIR/NEGATİF",IF(COUNTIFS($C$6:$C$5000,$C1507,$O$6:$O$5000,$O1507,$B$6:$B$5000,$B1507)&gt;1,"MÜKERRER","OK"))))</f>
        <v/>
      </c>
    </row>
    <row r="1508" ht="16.5" customHeight="1" s="80">
      <c r="A1508" s="113" t="n"/>
      <c r="B1508" s="113" t="n"/>
      <c r="C1508" s="113" t="n"/>
      <c r="D1508" s="113" t="n"/>
      <c r="E1508" s="113" t="n"/>
      <c r="F1508" s="113" t="n"/>
      <c r="G1508" s="113" t="n"/>
      <c r="H1508" s="113" t="n"/>
      <c r="I1508" s="113" t="n"/>
      <c r="J1508" s="113" t="n"/>
      <c r="K1508" s="113" t="n"/>
      <c r="L1508" s="113" t="n"/>
      <c r="M1508" s="113" t="n"/>
      <c r="N1508" s="113" t="n"/>
      <c r="O1508" s="113" t="n"/>
      <c r="P1508" s="113" t="n"/>
      <c r="Q1508" s="113" t="n"/>
      <c r="R1508" s="113" t="n"/>
      <c r="S1508" s="113" t="n"/>
      <c r="T1508" s="113" t="n"/>
      <c r="U1508" s="113" t="n"/>
      <c r="V1508" s="113" t="n"/>
      <c r="W1508" s="113" t="n"/>
      <c r="X1508" s="113" t="n"/>
      <c r="Y1508" s="113" t="n"/>
      <c r="Z1508" s="117">
        <f>IF($B1508="",0,IF($S1508="EVET",IF($D1508="GELİR",$O1508,-$O1508),0))</f>
        <v/>
      </c>
      <c r="AA1508" s="117">
        <f>IF($B1508="",0,IF(OR($W1508="EVET",$X1508="EVET",$Y1508="EVET"),0,IF($D1508="GELİR",IF($E1508="SATIŞ İADESİ/İSKONTO",-$O1508,$O1508),-$O1508)))</f>
        <v/>
      </c>
      <c r="AB1508" s="117">
        <f>IF($B1508="","",IF(OR($D1508="",$E1508="",$O1508=""),"EKSİK",IF($O1508&lt;=0,"SIFIR/NEGATİF",IF(COUNTIFS($C$6:$C$5000,$C1508,$O$6:$O$5000,$O1508,$B$6:$B$5000,$B1508)&gt;1,"MÜKERRER","OK"))))</f>
        <v/>
      </c>
    </row>
    <row r="1509" ht="16.5" customHeight="1" s="80">
      <c r="A1509" s="113" t="n"/>
      <c r="B1509" s="113" t="n"/>
      <c r="C1509" s="113" t="n"/>
      <c r="D1509" s="113" t="n"/>
      <c r="E1509" s="113" t="n"/>
      <c r="F1509" s="113" t="n"/>
      <c r="G1509" s="113" t="n"/>
      <c r="H1509" s="113" t="n"/>
      <c r="I1509" s="113" t="n"/>
      <c r="J1509" s="113" t="n"/>
      <c r="K1509" s="113" t="n"/>
      <c r="L1509" s="113" t="n"/>
      <c r="M1509" s="113" t="n"/>
      <c r="N1509" s="113" t="n"/>
      <c r="O1509" s="113" t="n"/>
      <c r="P1509" s="113" t="n"/>
      <c r="Q1509" s="113" t="n"/>
      <c r="R1509" s="113" t="n"/>
      <c r="S1509" s="113" t="n"/>
      <c r="T1509" s="113" t="n"/>
      <c r="U1509" s="113" t="n"/>
      <c r="V1509" s="113" t="n"/>
      <c r="W1509" s="113" t="n"/>
      <c r="X1509" s="113" t="n"/>
      <c r="Y1509" s="113" t="n"/>
      <c r="Z1509" s="117">
        <f>IF($B1509="",0,IF($S1509="EVET",IF($D1509="GELİR",$O1509,-$O1509),0))</f>
        <v/>
      </c>
      <c r="AA1509" s="117">
        <f>IF($B1509="",0,IF(OR($W1509="EVET",$X1509="EVET",$Y1509="EVET"),0,IF($D1509="GELİR",IF($E1509="SATIŞ İADESİ/İSKONTO",-$O1509,$O1509),-$O1509)))</f>
        <v/>
      </c>
      <c r="AB1509" s="117">
        <f>IF($B1509="","",IF(OR($D1509="",$E1509="",$O1509=""),"EKSİK",IF($O1509&lt;=0,"SIFIR/NEGATİF",IF(COUNTIFS($C$6:$C$5000,$C1509,$O$6:$O$5000,$O1509,$B$6:$B$5000,$B1509)&gt;1,"MÜKERRER","OK"))))</f>
        <v/>
      </c>
    </row>
    <row r="1510" ht="16.5" customHeight="1" s="80">
      <c r="A1510" s="113" t="n"/>
      <c r="B1510" s="113" t="n"/>
      <c r="C1510" s="113" t="n"/>
      <c r="D1510" s="113" t="n"/>
      <c r="E1510" s="113" t="n"/>
      <c r="F1510" s="113" t="n"/>
      <c r="G1510" s="113" t="n"/>
      <c r="H1510" s="113" t="n"/>
      <c r="I1510" s="113" t="n"/>
      <c r="J1510" s="113" t="n"/>
      <c r="K1510" s="113" t="n"/>
      <c r="L1510" s="113" t="n"/>
      <c r="M1510" s="113" t="n"/>
      <c r="N1510" s="113" t="n"/>
      <c r="O1510" s="113" t="n"/>
      <c r="P1510" s="113" t="n"/>
      <c r="Q1510" s="113" t="n"/>
      <c r="R1510" s="113" t="n"/>
      <c r="S1510" s="113" t="n"/>
      <c r="T1510" s="113" t="n"/>
      <c r="U1510" s="113" t="n"/>
      <c r="V1510" s="113" t="n"/>
      <c r="W1510" s="113" t="n"/>
      <c r="X1510" s="113" t="n"/>
      <c r="Y1510" s="113" t="n"/>
      <c r="Z1510" s="117">
        <f>IF($B1510="",0,IF($S1510="EVET",IF($D1510="GELİR",$O1510,-$O1510),0))</f>
        <v/>
      </c>
      <c r="AA1510" s="117">
        <f>IF($B1510="",0,IF(OR($W1510="EVET",$X1510="EVET",$Y1510="EVET"),0,IF($D1510="GELİR",IF($E1510="SATIŞ İADESİ/İSKONTO",-$O1510,$O1510),-$O1510)))</f>
        <v/>
      </c>
      <c r="AB1510" s="117">
        <f>IF($B1510="","",IF(OR($D1510="",$E1510="",$O1510=""),"EKSİK",IF($O1510&lt;=0,"SIFIR/NEGATİF",IF(COUNTIFS($C$6:$C$5000,$C1510,$O$6:$O$5000,$O1510,$B$6:$B$5000,$B1510)&gt;1,"MÜKERRER","OK"))))</f>
        <v/>
      </c>
    </row>
    <row r="1511" ht="16.5" customHeight="1" s="80">
      <c r="A1511" s="113" t="n"/>
      <c r="B1511" s="113" t="n"/>
      <c r="C1511" s="113" t="n"/>
      <c r="D1511" s="113" t="n"/>
      <c r="E1511" s="113" t="n"/>
      <c r="F1511" s="113" t="n"/>
      <c r="G1511" s="113" t="n"/>
      <c r="H1511" s="113" t="n"/>
      <c r="I1511" s="113" t="n"/>
      <c r="J1511" s="113" t="n"/>
      <c r="K1511" s="113" t="n"/>
      <c r="L1511" s="113" t="n"/>
      <c r="M1511" s="113" t="n"/>
      <c r="N1511" s="113" t="n"/>
      <c r="O1511" s="113" t="n"/>
      <c r="P1511" s="113" t="n"/>
      <c r="Q1511" s="113" t="n"/>
      <c r="R1511" s="113" t="n"/>
      <c r="S1511" s="113" t="n"/>
      <c r="T1511" s="113" t="n"/>
      <c r="U1511" s="113" t="n"/>
      <c r="V1511" s="113" t="n"/>
      <c r="W1511" s="113" t="n"/>
      <c r="X1511" s="113" t="n"/>
      <c r="Y1511" s="113" t="n"/>
      <c r="Z1511" s="117">
        <f>IF($B1511="",0,IF($S1511="EVET",IF($D1511="GELİR",$O1511,-$O1511),0))</f>
        <v/>
      </c>
      <c r="AA1511" s="117">
        <f>IF($B1511="",0,IF(OR($W1511="EVET",$X1511="EVET",$Y1511="EVET"),0,IF($D1511="GELİR",IF($E1511="SATIŞ İADESİ/İSKONTO",-$O1511,$O1511),-$O1511)))</f>
        <v/>
      </c>
      <c r="AB1511" s="117">
        <f>IF($B1511="","",IF(OR($D1511="",$E1511="",$O1511=""),"EKSİK",IF($O1511&lt;=0,"SIFIR/NEGATİF",IF(COUNTIFS($C$6:$C$5000,$C1511,$O$6:$O$5000,$O1511,$B$6:$B$5000,$B1511)&gt;1,"MÜKERRER","OK"))))</f>
        <v/>
      </c>
    </row>
    <row r="1512" ht="16.5" customHeight="1" s="80">
      <c r="A1512" s="113" t="n"/>
      <c r="B1512" s="113" t="n"/>
      <c r="C1512" s="113" t="n"/>
      <c r="D1512" s="113" t="n"/>
      <c r="E1512" s="113" t="n"/>
      <c r="F1512" s="113" t="n"/>
      <c r="G1512" s="113" t="n"/>
      <c r="H1512" s="113" t="n"/>
      <c r="I1512" s="113" t="n"/>
      <c r="J1512" s="113" t="n"/>
      <c r="K1512" s="113" t="n"/>
      <c r="L1512" s="113" t="n"/>
      <c r="M1512" s="113" t="n"/>
      <c r="N1512" s="113" t="n"/>
      <c r="O1512" s="113" t="n"/>
      <c r="P1512" s="113" t="n"/>
      <c r="Q1512" s="113" t="n"/>
      <c r="R1512" s="113" t="n"/>
      <c r="S1512" s="113" t="n"/>
      <c r="T1512" s="113" t="n"/>
      <c r="U1512" s="113" t="n"/>
      <c r="V1512" s="113" t="n"/>
      <c r="W1512" s="113" t="n"/>
      <c r="X1512" s="113" t="n"/>
      <c r="Y1512" s="113" t="n"/>
      <c r="Z1512" s="117">
        <f>IF($B1512="",0,IF($S1512="EVET",IF($D1512="GELİR",$O1512,-$O1512),0))</f>
        <v/>
      </c>
      <c r="AA1512" s="117">
        <f>IF($B1512="",0,IF(OR($W1512="EVET",$X1512="EVET",$Y1512="EVET"),0,IF($D1512="GELİR",IF($E1512="SATIŞ İADESİ/İSKONTO",-$O1512,$O1512),-$O1512)))</f>
        <v/>
      </c>
      <c r="AB1512" s="117">
        <f>IF($B1512="","",IF(OR($D1512="",$E1512="",$O1512=""),"EKSİK",IF($O1512&lt;=0,"SIFIR/NEGATİF",IF(COUNTIFS($C$6:$C$5000,$C1512,$O$6:$O$5000,$O1512,$B$6:$B$5000,$B1512)&gt;1,"MÜKERRER","OK"))))</f>
        <v/>
      </c>
    </row>
    <row r="1513" ht="16.5" customHeight="1" s="80">
      <c r="A1513" s="113" t="n"/>
      <c r="B1513" s="113" t="n"/>
      <c r="C1513" s="113" t="n"/>
      <c r="D1513" s="113" t="n"/>
      <c r="E1513" s="113" t="n"/>
      <c r="F1513" s="113" t="n"/>
      <c r="G1513" s="113" t="n"/>
      <c r="H1513" s="113" t="n"/>
      <c r="I1513" s="113" t="n"/>
      <c r="J1513" s="113" t="n"/>
      <c r="K1513" s="113" t="n"/>
      <c r="L1513" s="113" t="n"/>
      <c r="M1513" s="113" t="n"/>
      <c r="N1513" s="113" t="n"/>
      <c r="O1513" s="113" t="n"/>
      <c r="P1513" s="113" t="n"/>
      <c r="Q1513" s="113" t="n"/>
      <c r="R1513" s="113" t="n"/>
      <c r="S1513" s="113" t="n"/>
      <c r="T1513" s="113" t="n"/>
      <c r="U1513" s="113" t="n"/>
      <c r="V1513" s="113" t="n"/>
      <c r="W1513" s="113" t="n"/>
      <c r="X1513" s="113" t="n"/>
      <c r="Y1513" s="113" t="n"/>
      <c r="Z1513" s="117">
        <f>IF($B1513="",0,IF($S1513="EVET",IF($D1513="GELİR",$O1513,-$O1513),0))</f>
        <v/>
      </c>
      <c r="AA1513" s="117">
        <f>IF($B1513="",0,IF(OR($W1513="EVET",$X1513="EVET",$Y1513="EVET"),0,IF($D1513="GELİR",IF($E1513="SATIŞ İADESİ/İSKONTO",-$O1513,$O1513),-$O1513)))</f>
        <v/>
      </c>
      <c r="AB1513" s="117">
        <f>IF($B1513="","",IF(OR($D1513="",$E1513="",$O1513=""),"EKSİK",IF($O1513&lt;=0,"SIFIR/NEGATİF",IF(COUNTIFS($C$6:$C$5000,$C1513,$O$6:$O$5000,$O1513,$B$6:$B$5000,$B1513)&gt;1,"MÜKERRER","OK"))))</f>
        <v/>
      </c>
    </row>
    <row r="1514" ht="16.5" customHeight="1" s="80">
      <c r="A1514" s="113" t="n"/>
      <c r="B1514" s="113" t="n"/>
      <c r="C1514" s="113" t="n"/>
      <c r="D1514" s="113" t="n"/>
      <c r="E1514" s="113" t="n"/>
      <c r="F1514" s="113" t="n"/>
      <c r="G1514" s="113" t="n"/>
      <c r="H1514" s="113" t="n"/>
      <c r="I1514" s="113" t="n"/>
      <c r="J1514" s="113" t="n"/>
      <c r="K1514" s="113" t="n"/>
      <c r="L1514" s="113" t="n"/>
      <c r="M1514" s="113" t="n"/>
      <c r="N1514" s="113" t="n"/>
      <c r="O1514" s="113" t="n"/>
      <c r="P1514" s="113" t="n"/>
      <c r="Q1514" s="113" t="n"/>
      <c r="R1514" s="113" t="n"/>
      <c r="S1514" s="113" t="n"/>
      <c r="T1514" s="113" t="n"/>
      <c r="U1514" s="113" t="n"/>
      <c r="V1514" s="113" t="n"/>
      <c r="W1514" s="113" t="n"/>
      <c r="X1514" s="113" t="n"/>
      <c r="Y1514" s="113" t="n"/>
      <c r="Z1514" s="117">
        <f>IF($B1514="",0,IF($S1514="EVET",IF($D1514="GELİR",$O1514,-$O1514),0))</f>
        <v/>
      </c>
      <c r="AA1514" s="117">
        <f>IF($B1514="",0,IF(OR($W1514="EVET",$X1514="EVET",$Y1514="EVET"),0,IF($D1514="GELİR",IF($E1514="SATIŞ İADESİ/İSKONTO",-$O1514,$O1514),-$O1514)))</f>
        <v/>
      </c>
      <c r="AB1514" s="117">
        <f>IF($B1514="","",IF(OR($D1514="",$E1514="",$O1514=""),"EKSİK",IF($O1514&lt;=0,"SIFIR/NEGATİF",IF(COUNTIFS($C$6:$C$5000,$C1514,$O$6:$O$5000,$O1514,$B$6:$B$5000,$B1514)&gt;1,"MÜKERRER","OK"))))</f>
        <v/>
      </c>
    </row>
    <row r="1515" ht="16.5" customHeight="1" s="80">
      <c r="A1515" s="113" t="n"/>
      <c r="B1515" s="113" t="n"/>
      <c r="C1515" s="113" t="n"/>
      <c r="D1515" s="113" t="n"/>
      <c r="E1515" s="113" t="n"/>
      <c r="F1515" s="113" t="n"/>
      <c r="G1515" s="113" t="n"/>
      <c r="H1515" s="113" t="n"/>
      <c r="I1515" s="113" t="n"/>
      <c r="J1515" s="113" t="n"/>
      <c r="K1515" s="113" t="n"/>
      <c r="L1515" s="113" t="n"/>
      <c r="M1515" s="113" t="n"/>
      <c r="N1515" s="113" t="n"/>
      <c r="O1515" s="113" t="n"/>
      <c r="P1515" s="113" t="n"/>
      <c r="Q1515" s="113" t="n"/>
      <c r="R1515" s="113" t="n"/>
      <c r="S1515" s="113" t="n"/>
      <c r="T1515" s="113" t="n"/>
      <c r="U1515" s="113" t="n"/>
      <c r="V1515" s="113" t="n"/>
      <c r="W1515" s="113" t="n"/>
      <c r="X1515" s="113" t="n"/>
      <c r="Y1515" s="113" t="n"/>
      <c r="Z1515" s="117">
        <f>IF($B1515="",0,IF($S1515="EVET",IF($D1515="GELİR",$O1515,-$O1515),0))</f>
        <v/>
      </c>
      <c r="AA1515" s="117">
        <f>IF($B1515="",0,IF(OR($W1515="EVET",$X1515="EVET",$Y1515="EVET"),0,IF($D1515="GELİR",IF($E1515="SATIŞ İADESİ/İSKONTO",-$O1515,$O1515),-$O1515)))</f>
        <v/>
      </c>
      <c r="AB1515" s="117">
        <f>IF($B1515="","",IF(OR($D1515="",$E1515="",$O1515=""),"EKSİK",IF($O1515&lt;=0,"SIFIR/NEGATİF",IF(COUNTIFS($C$6:$C$5000,$C1515,$O$6:$O$5000,$O1515,$B$6:$B$5000,$B1515)&gt;1,"MÜKERRER","OK"))))</f>
        <v/>
      </c>
    </row>
    <row r="1516" ht="16.5" customHeight="1" s="80">
      <c r="A1516" s="113" t="n"/>
      <c r="B1516" s="113" t="n"/>
      <c r="C1516" s="113" t="n"/>
      <c r="D1516" s="113" t="n"/>
      <c r="E1516" s="113" t="n"/>
      <c r="F1516" s="113" t="n"/>
      <c r="G1516" s="113" t="n"/>
      <c r="H1516" s="113" t="n"/>
      <c r="I1516" s="113" t="n"/>
      <c r="J1516" s="113" t="n"/>
      <c r="K1516" s="113" t="n"/>
      <c r="L1516" s="113" t="n"/>
      <c r="M1516" s="113" t="n"/>
      <c r="N1516" s="113" t="n"/>
      <c r="O1516" s="113" t="n"/>
      <c r="P1516" s="113" t="n"/>
      <c r="Q1516" s="113" t="n"/>
      <c r="R1516" s="113" t="n"/>
      <c r="S1516" s="113" t="n"/>
      <c r="T1516" s="113" t="n"/>
      <c r="U1516" s="113" t="n"/>
      <c r="V1516" s="113" t="n"/>
      <c r="W1516" s="113" t="n"/>
      <c r="X1516" s="113" t="n"/>
      <c r="Y1516" s="113" t="n"/>
      <c r="Z1516" s="117">
        <f>IF($B1516="",0,IF($S1516="EVET",IF($D1516="GELİR",$O1516,-$O1516),0))</f>
        <v/>
      </c>
      <c r="AA1516" s="117">
        <f>IF($B1516="",0,IF(OR($W1516="EVET",$X1516="EVET",$Y1516="EVET"),0,IF($D1516="GELİR",IF($E1516="SATIŞ İADESİ/İSKONTO",-$O1516,$O1516),-$O1516)))</f>
        <v/>
      </c>
      <c r="AB1516" s="117">
        <f>IF($B1516="","",IF(OR($D1516="",$E1516="",$O1516=""),"EKSİK",IF($O1516&lt;=0,"SIFIR/NEGATİF",IF(COUNTIFS($C$6:$C$5000,$C1516,$O$6:$O$5000,$O1516,$B$6:$B$5000,$B1516)&gt;1,"MÜKERRER","OK"))))</f>
        <v/>
      </c>
    </row>
    <row r="1517" ht="16.5" customHeight="1" s="80">
      <c r="A1517" s="113" t="n"/>
      <c r="B1517" s="113" t="n"/>
      <c r="C1517" s="113" t="n"/>
      <c r="D1517" s="113" t="n"/>
      <c r="E1517" s="113" t="n"/>
      <c r="F1517" s="113" t="n"/>
      <c r="G1517" s="113" t="n"/>
      <c r="H1517" s="113" t="n"/>
      <c r="I1517" s="113" t="n"/>
      <c r="J1517" s="113" t="n"/>
      <c r="K1517" s="113" t="n"/>
      <c r="L1517" s="113" t="n"/>
      <c r="M1517" s="113" t="n"/>
      <c r="N1517" s="113" t="n"/>
      <c r="O1517" s="113" t="n"/>
      <c r="P1517" s="113" t="n"/>
      <c r="Q1517" s="113" t="n"/>
      <c r="R1517" s="113" t="n"/>
      <c r="S1517" s="113" t="n"/>
      <c r="T1517" s="113" t="n"/>
      <c r="U1517" s="113" t="n"/>
      <c r="V1517" s="113" t="n"/>
      <c r="W1517" s="113" t="n"/>
      <c r="X1517" s="113" t="n"/>
      <c r="Y1517" s="113" t="n"/>
      <c r="Z1517" s="117">
        <f>IF($B1517="",0,IF($S1517="EVET",IF($D1517="GELİR",$O1517,-$O1517),0))</f>
        <v/>
      </c>
      <c r="AA1517" s="117">
        <f>IF($B1517="",0,IF(OR($W1517="EVET",$X1517="EVET",$Y1517="EVET"),0,IF($D1517="GELİR",IF($E1517="SATIŞ İADESİ/İSKONTO",-$O1517,$O1517),-$O1517)))</f>
        <v/>
      </c>
      <c r="AB1517" s="117">
        <f>IF($B1517="","",IF(OR($D1517="",$E1517="",$O1517=""),"EKSİK",IF($O1517&lt;=0,"SIFIR/NEGATİF",IF(COUNTIFS($C$6:$C$5000,$C1517,$O$6:$O$5000,$O1517,$B$6:$B$5000,$B1517)&gt;1,"MÜKERRER","OK"))))</f>
        <v/>
      </c>
    </row>
    <row r="1518" ht="16.5" customHeight="1" s="80">
      <c r="A1518" s="113" t="n"/>
      <c r="B1518" s="113" t="n"/>
      <c r="C1518" s="113" t="n"/>
      <c r="D1518" s="113" t="n"/>
      <c r="E1518" s="113" t="n"/>
      <c r="F1518" s="113" t="n"/>
      <c r="G1518" s="113" t="n"/>
      <c r="H1518" s="113" t="n"/>
      <c r="I1518" s="113" t="n"/>
      <c r="J1518" s="113" t="n"/>
      <c r="K1518" s="113" t="n"/>
      <c r="L1518" s="113" t="n"/>
      <c r="M1518" s="113" t="n"/>
      <c r="N1518" s="113" t="n"/>
      <c r="O1518" s="113" t="n"/>
      <c r="P1518" s="113" t="n"/>
      <c r="Q1518" s="113" t="n"/>
      <c r="R1518" s="113" t="n"/>
      <c r="S1518" s="113" t="n"/>
      <c r="T1518" s="113" t="n"/>
      <c r="U1518" s="113" t="n"/>
      <c r="V1518" s="113" t="n"/>
      <c r="W1518" s="113" t="n"/>
      <c r="X1518" s="113" t="n"/>
      <c r="Y1518" s="113" t="n"/>
      <c r="Z1518" s="117">
        <f>IF($B1518="",0,IF($S1518="EVET",IF($D1518="GELİR",$O1518,-$O1518),0))</f>
        <v/>
      </c>
      <c r="AA1518" s="117">
        <f>IF($B1518="",0,IF(OR($W1518="EVET",$X1518="EVET",$Y1518="EVET"),0,IF($D1518="GELİR",IF($E1518="SATIŞ İADESİ/İSKONTO",-$O1518,$O1518),-$O1518)))</f>
        <v/>
      </c>
      <c r="AB1518" s="117">
        <f>IF($B1518="","",IF(OR($D1518="",$E1518="",$O1518=""),"EKSİK",IF($O1518&lt;=0,"SIFIR/NEGATİF",IF(COUNTIFS($C$6:$C$5000,$C1518,$O$6:$O$5000,$O1518,$B$6:$B$5000,$B1518)&gt;1,"MÜKERRER","OK"))))</f>
        <v/>
      </c>
    </row>
    <row r="1519" ht="16.5" customHeight="1" s="80">
      <c r="A1519" s="113" t="n"/>
      <c r="B1519" s="113" t="n"/>
      <c r="C1519" s="113" t="n"/>
      <c r="D1519" s="113" t="n"/>
      <c r="E1519" s="113" t="n"/>
      <c r="F1519" s="113" t="n"/>
      <c r="G1519" s="113" t="n"/>
      <c r="H1519" s="113" t="n"/>
      <c r="I1519" s="113" t="n"/>
      <c r="J1519" s="113" t="n"/>
      <c r="K1519" s="113" t="n"/>
      <c r="L1519" s="113" t="n"/>
      <c r="M1519" s="113" t="n"/>
      <c r="N1519" s="113" t="n"/>
      <c r="O1519" s="113" t="n"/>
      <c r="P1519" s="113" t="n"/>
      <c r="Q1519" s="113" t="n"/>
      <c r="R1519" s="113" t="n"/>
      <c r="S1519" s="113" t="n"/>
      <c r="T1519" s="113" t="n"/>
      <c r="U1519" s="113" t="n"/>
      <c r="V1519" s="113" t="n"/>
      <c r="W1519" s="113" t="n"/>
      <c r="X1519" s="113" t="n"/>
      <c r="Y1519" s="113" t="n"/>
      <c r="Z1519" s="117">
        <f>IF($B1519="",0,IF($S1519="EVET",IF($D1519="GELİR",$O1519,-$O1519),0))</f>
        <v/>
      </c>
      <c r="AA1519" s="117">
        <f>IF($B1519="",0,IF(OR($W1519="EVET",$X1519="EVET",$Y1519="EVET"),0,IF($D1519="GELİR",IF($E1519="SATIŞ İADESİ/İSKONTO",-$O1519,$O1519),-$O1519)))</f>
        <v/>
      </c>
      <c r="AB1519" s="117">
        <f>IF($B1519="","",IF(OR($D1519="",$E1519="",$O1519=""),"EKSİK",IF($O1519&lt;=0,"SIFIR/NEGATİF",IF(COUNTIFS($C$6:$C$5000,$C1519,$O$6:$O$5000,$O1519,$B$6:$B$5000,$B1519)&gt;1,"MÜKERRER","OK"))))</f>
        <v/>
      </c>
    </row>
    <row r="1520" ht="16.5" customHeight="1" s="80">
      <c r="A1520" s="113" t="n"/>
      <c r="B1520" s="113" t="n"/>
      <c r="C1520" s="113" t="n"/>
      <c r="D1520" s="113" t="n"/>
      <c r="E1520" s="113" t="n"/>
      <c r="F1520" s="113" t="n"/>
      <c r="G1520" s="113" t="n"/>
      <c r="H1520" s="113" t="n"/>
      <c r="I1520" s="113" t="n"/>
      <c r="J1520" s="113" t="n"/>
      <c r="K1520" s="113" t="n"/>
      <c r="L1520" s="113" t="n"/>
      <c r="M1520" s="113" t="n"/>
      <c r="N1520" s="113" t="n"/>
      <c r="O1520" s="113" t="n"/>
      <c r="P1520" s="113" t="n"/>
      <c r="Q1520" s="113" t="n"/>
      <c r="R1520" s="113" t="n"/>
      <c r="S1520" s="113" t="n"/>
      <c r="T1520" s="113" t="n"/>
      <c r="U1520" s="113" t="n"/>
      <c r="V1520" s="113" t="n"/>
      <c r="W1520" s="113" t="n"/>
      <c r="X1520" s="113" t="n"/>
      <c r="Y1520" s="113" t="n"/>
      <c r="Z1520" s="117">
        <f>IF($B1520="",0,IF($S1520="EVET",IF($D1520="GELİR",$O1520,-$O1520),0))</f>
        <v/>
      </c>
      <c r="AA1520" s="117">
        <f>IF($B1520="",0,IF(OR($W1520="EVET",$X1520="EVET",$Y1520="EVET"),0,IF($D1520="GELİR",IF($E1520="SATIŞ İADESİ/İSKONTO",-$O1520,$O1520),-$O1520)))</f>
        <v/>
      </c>
      <c r="AB1520" s="117">
        <f>IF($B1520="","",IF(OR($D1520="",$E1520="",$O1520=""),"EKSİK",IF($O1520&lt;=0,"SIFIR/NEGATİF",IF(COUNTIFS($C$6:$C$5000,$C1520,$O$6:$O$5000,$O1520,$B$6:$B$5000,$B1520)&gt;1,"MÜKERRER","OK"))))</f>
        <v/>
      </c>
    </row>
    <row r="1521" ht="16.5" customHeight="1" s="80">
      <c r="A1521" s="113" t="n"/>
      <c r="B1521" s="113" t="n"/>
      <c r="C1521" s="113" t="n"/>
      <c r="D1521" s="113" t="n"/>
      <c r="E1521" s="113" t="n"/>
      <c r="F1521" s="113" t="n"/>
      <c r="G1521" s="113" t="n"/>
      <c r="H1521" s="113" t="n"/>
      <c r="I1521" s="113" t="n"/>
      <c r="J1521" s="113" t="n"/>
      <c r="K1521" s="113" t="n"/>
      <c r="L1521" s="113" t="n"/>
      <c r="M1521" s="113" t="n"/>
      <c r="N1521" s="113" t="n"/>
      <c r="O1521" s="113" t="n"/>
      <c r="P1521" s="113" t="n"/>
      <c r="Q1521" s="113" t="n"/>
      <c r="R1521" s="113" t="n"/>
      <c r="S1521" s="113" t="n"/>
      <c r="T1521" s="113" t="n"/>
      <c r="U1521" s="113" t="n"/>
      <c r="V1521" s="113" t="n"/>
      <c r="W1521" s="113" t="n"/>
      <c r="X1521" s="113" t="n"/>
      <c r="Y1521" s="113" t="n"/>
      <c r="Z1521" s="117">
        <f>IF($B1521="",0,IF($S1521="EVET",IF($D1521="GELİR",$O1521,-$O1521),0))</f>
        <v/>
      </c>
      <c r="AA1521" s="117">
        <f>IF($B1521="",0,IF(OR($W1521="EVET",$X1521="EVET",$Y1521="EVET"),0,IF($D1521="GELİR",IF($E1521="SATIŞ İADESİ/İSKONTO",-$O1521,$O1521),-$O1521)))</f>
        <v/>
      </c>
      <c r="AB1521" s="117">
        <f>IF($B1521="","",IF(OR($D1521="",$E1521="",$O1521=""),"EKSİK",IF($O1521&lt;=0,"SIFIR/NEGATİF",IF(COUNTIFS($C$6:$C$5000,$C1521,$O$6:$O$5000,$O1521,$B$6:$B$5000,$B1521)&gt;1,"MÜKERRER","OK"))))</f>
        <v/>
      </c>
    </row>
    <row r="1522" ht="16.5" customHeight="1" s="80">
      <c r="A1522" s="113" t="n"/>
      <c r="B1522" s="113" t="n"/>
      <c r="C1522" s="113" t="n"/>
      <c r="D1522" s="113" t="n"/>
      <c r="E1522" s="113" t="n"/>
      <c r="F1522" s="113" t="n"/>
      <c r="G1522" s="113" t="n"/>
      <c r="H1522" s="113" t="n"/>
      <c r="I1522" s="113" t="n"/>
      <c r="J1522" s="113" t="n"/>
      <c r="K1522" s="113" t="n"/>
      <c r="L1522" s="113" t="n"/>
      <c r="M1522" s="113" t="n"/>
      <c r="N1522" s="113" t="n"/>
      <c r="O1522" s="113" t="n"/>
      <c r="P1522" s="113" t="n"/>
      <c r="Q1522" s="113" t="n"/>
      <c r="R1522" s="113" t="n"/>
      <c r="S1522" s="113" t="n"/>
      <c r="T1522" s="113" t="n"/>
      <c r="U1522" s="113" t="n"/>
      <c r="V1522" s="113" t="n"/>
      <c r="W1522" s="113" t="n"/>
      <c r="X1522" s="113" t="n"/>
      <c r="Y1522" s="113" t="n"/>
      <c r="Z1522" s="117">
        <f>IF($B1522="",0,IF($S1522="EVET",IF($D1522="GELİR",$O1522,-$O1522),0))</f>
        <v/>
      </c>
      <c r="AA1522" s="117">
        <f>IF($B1522="",0,IF(OR($W1522="EVET",$X1522="EVET",$Y1522="EVET"),0,IF($D1522="GELİR",IF($E1522="SATIŞ İADESİ/İSKONTO",-$O1522,$O1522),-$O1522)))</f>
        <v/>
      </c>
      <c r="AB1522" s="117">
        <f>IF($B1522="","",IF(OR($D1522="",$E1522="",$O1522=""),"EKSİK",IF($O1522&lt;=0,"SIFIR/NEGATİF",IF(COUNTIFS($C$6:$C$5000,$C1522,$O$6:$O$5000,$O1522,$B$6:$B$5000,$B1522)&gt;1,"MÜKERRER","OK"))))</f>
        <v/>
      </c>
    </row>
    <row r="1523" ht="16.5" customHeight="1" s="80">
      <c r="A1523" s="113" t="n"/>
      <c r="B1523" s="113" t="n"/>
      <c r="C1523" s="113" t="n"/>
      <c r="D1523" s="113" t="n"/>
      <c r="E1523" s="113" t="n"/>
      <c r="F1523" s="113" t="n"/>
      <c r="G1523" s="113" t="n"/>
      <c r="H1523" s="113" t="n"/>
      <c r="I1523" s="113" t="n"/>
      <c r="J1523" s="113" t="n"/>
      <c r="K1523" s="113" t="n"/>
      <c r="L1523" s="113" t="n"/>
      <c r="M1523" s="113" t="n"/>
      <c r="N1523" s="113" t="n"/>
      <c r="O1523" s="113" t="n"/>
      <c r="P1523" s="113" t="n"/>
      <c r="Q1523" s="113" t="n"/>
      <c r="R1523" s="113" t="n"/>
      <c r="S1523" s="113" t="n"/>
      <c r="T1523" s="113" t="n"/>
      <c r="U1523" s="113" t="n"/>
      <c r="V1523" s="113" t="n"/>
      <c r="W1523" s="113" t="n"/>
      <c r="X1523" s="113" t="n"/>
      <c r="Y1523" s="113" t="n"/>
      <c r="Z1523" s="117">
        <f>IF($B1523="",0,IF($S1523="EVET",IF($D1523="GELİR",$O1523,-$O1523),0))</f>
        <v/>
      </c>
      <c r="AA1523" s="117">
        <f>IF($B1523="",0,IF(OR($W1523="EVET",$X1523="EVET",$Y1523="EVET"),0,IF($D1523="GELİR",IF($E1523="SATIŞ İADESİ/İSKONTO",-$O1523,$O1523),-$O1523)))</f>
        <v/>
      </c>
      <c r="AB1523" s="117">
        <f>IF($B1523="","",IF(OR($D1523="",$E1523="",$O1523=""),"EKSİK",IF($O1523&lt;=0,"SIFIR/NEGATİF",IF(COUNTIFS($C$6:$C$5000,$C1523,$O$6:$O$5000,$O1523,$B$6:$B$5000,$B1523)&gt;1,"MÜKERRER","OK"))))</f>
        <v/>
      </c>
    </row>
    <row r="1524" ht="16.5" customHeight="1" s="80">
      <c r="A1524" s="113" t="n"/>
      <c r="B1524" s="113" t="n"/>
      <c r="C1524" s="113" t="n"/>
      <c r="D1524" s="113" t="n"/>
      <c r="E1524" s="113" t="n"/>
      <c r="F1524" s="113" t="n"/>
      <c r="G1524" s="113" t="n"/>
      <c r="H1524" s="113" t="n"/>
      <c r="I1524" s="113" t="n"/>
      <c r="J1524" s="113" t="n"/>
      <c r="K1524" s="113" t="n"/>
      <c r="L1524" s="113" t="n"/>
      <c r="M1524" s="113" t="n"/>
      <c r="N1524" s="113" t="n"/>
      <c r="O1524" s="113" t="n"/>
      <c r="P1524" s="113" t="n"/>
      <c r="Q1524" s="113" t="n"/>
      <c r="R1524" s="113" t="n"/>
      <c r="S1524" s="113" t="n"/>
      <c r="T1524" s="113" t="n"/>
      <c r="U1524" s="113" t="n"/>
      <c r="V1524" s="113" t="n"/>
      <c r="W1524" s="113" t="n"/>
      <c r="X1524" s="113" t="n"/>
      <c r="Y1524" s="113" t="n"/>
      <c r="Z1524" s="117">
        <f>IF($B1524="",0,IF($S1524="EVET",IF($D1524="GELİR",$O1524,-$O1524),0))</f>
        <v/>
      </c>
      <c r="AA1524" s="117">
        <f>IF($B1524="",0,IF(OR($W1524="EVET",$X1524="EVET",$Y1524="EVET"),0,IF($D1524="GELİR",IF($E1524="SATIŞ İADESİ/İSKONTO",-$O1524,$O1524),-$O1524)))</f>
        <v/>
      </c>
      <c r="AB1524" s="117">
        <f>IF($B1524="","",IF(OR($D1524="",$E1524="",$O1524=""),"EKSİK",IF($O1524&lt;=0,"SIFIR/NEGATİF",IF(COUNTIFS($C$6:$C$5000,$C1524,$O$6:$O$5000,$O1524,$B$6:$B$5000,$B1524)&gt;1,"MÜKERRER","OK"))))</f>
        <v/>
      </c>
    </row>
    <row r="1525" ht="16.5" customHeight="1" s="80">
      <c r="A1525" s="113" t="n"/>
      <c r="B1525" s="113" t="n"/>
      <c r="C1525" s="113" t="n"/>
      <c r="D1525" s="113" t="n"/>
      <c r="E1525" s="113" t="n"/>
      <c r="F1525" s="113" t="n"/>
      <c r="G1525" s="113" t="n"/>
      <c r="H1525" s="113" t="n"/>
      <c r="I1525" s="113" t="n"/>
      <c r="J1525" s="113" t="n"/>
      <c r="K1525" s="113" t="n"/>
      <c r="L1525" s="113" t="n"/>
      <c r="M1525" s="113" t="n"/>
      <c r="N1525" s="113" t="n"/>
      <c r="O1525" s="113" t="n"/>
      <c r="P1525" s="113" t="n"/>
      <c r="Q1525" s="113" t="n"/>
      <c r="R1525" s="113" t="n"/>
      <c r="S1525" s="113" t="n"/>
      <c r="T1525" s="113" t="n"/>
      <c r="U1525" s="113" t="n"/>
      <c r="V1525" s="113" t="n"/>
      <c r="W1525" s="113" t="n"/>
      <c r="X1525" s="113" t="n"/>
      <c r="Y1525" s="113" t="n"/>
      <c r="Z1525" s="117">
        <f>IF($B1525="",0,IF($S1525="EVET",IF($D1525="GELİR",$O1525,-$O1525),0))</f>
        <v/>
      </c>
      <c r="AA1525" s="117">
        <f>IF($B1525="",0,IF(OR($W1525="EVET",$X1525="EVET",$Y1525="EVET"),0,IF($D1525="GELİR",IF($E1525="SATIŞ İADESİ/İSKONTO",-$O1525,$O1525),-$O1525)))</f>
        <v/>
      </c>
      <c r="AB1525" s="117">
        <f>IF($B1525="","",IF(OR($D1525="",$E1525="",$O1525=""),"EKSİK",IF($O1525&lt;=0,"SIFIR/NEGATİF",IF(COUNTIFS($C$6:$C$5000,$C1525,$O$6:$O$5000,$O1525,$B$6:$B$5000,$B1525)&gt;1,"MÜKERRER","OK"))))</f>
        <v/>
      </c>
    </row>
    <row r="1526" ht="16.5" customHeight="1" s="80">
      <c r="A1526" s="113" t="n"/>
      <c r="B1526" s="113" t="n"/>
      <c r="C1526" s="113" t="n"/>
      <c r="D1526" s="113" t="n"/>
      <c r="E1526" s="113" t="n"/>
      <c r="F1526" s="113" t="n"/>
      <c r="G1526" s="113" t="n"/>
      <c r="H1526" s="113" t="n"/>
      <c r="I1526" s="113" t="n"/>
      <c r="J1526" s="113" t="n"/>
      <c r="K1526" s="113" t="n"/>
      <c r="L1526" s="113" t="n"/>
      <c r="M1526" s="113" t="n"/>
      <c r="N1526" s="113" t="n"/>
      <c r="O1526" s="113" t="n"/>
      <c r="P1526" s="113" t="n"/>
      <c r="Q1526" s="113" t="n"/>
      <c r="R1526" s="113" t="n"/>
      <c r="S1526" s="113" t="n"/>
      <c r="T1526" s="113" t="n"/>
      <c r="U1526" s="113" t="n"/>
      <c r="V1526" s="113" t="n"/>
      <c r="W1526" s="113" t="n"/>
      <c r="X1526" s="113" t="n"/>
      <c r="Y1526" s="113" t="n"/>
      <c r="Z1526" s="117">
        <f>IF($B1526="",0,IF($S1526="EVET",IF($D1526="GELİR",$O1526,-$O1526),0))</f>
        <v/>
      </c>
      <c r="AA1526" s="117">
        <f>IF($B1526="",0,IF(OR($W1526="EVET",$X1526="EVET",$Y1526="EVET"),0,IF($D1526="GELİR",IF($E1526="SATIŞ İADESİ/İSKONTO",-$O1526,$O1526),-$O1526)))</f>
        <v/>
      </c>
      <c r="AB1526" s="117">
        <f>IF($B1526="","",IF(OR($D1526="",$E1526="",$O1526=""),"EKSİK",IF($O1526&lt;=0,"SIFIR/NEGATİF",IF(COUNTIFS($C$6:$C$5000,$C1526,$O$6:$O$5000,$O1526,$B$6:$B$5000,$B1526)&gt;1,"MÜKERRER","OK"))))</f>
        <v/>
      </c>
    </row>
    <row r="1527" ht="16.5" customHeight="1" s="80">
      <c r="A1527" s="113" t="n"/>
      <c r="B1527" s="113" t="n"/>
      <c r="C1527" s="113" t="n"/>
      <c r="D1527" s="113" t="n"/>
      <c r="E1527" s="113" t="n"/>
      <c r="F1527" s="113" t="n"/>
      <c r="G1527" s="113" t="n"/>
      <c r="H1527" s="113" t="n"/>
      <c r="I1527" s="113" t="n"/>
      <c r="J1527" s="113" t="n"/>
      <c r="K1527" s="113" t="n"/>
      <c r="L1527" s="113" t="n"/>
      <c r="M1527" s="113" t="n"/>
      <c r="N1527" s="113" t="n"/>
      <c r="O1527" s="113" t="n"/>
      <c r="P1527" s="113" t="n"/>
      <c r="Q1527" s="113" t="n"/>
      <c r="R1527" s="113" t="n"/>
      <c r="S1527" s="113" t="n"/>
      <c r="T1527" s="113" t="n"/>
      <c r="U1527" s="113" t="n"/>
      <c r="V1527" s="113" t="n"/>
      <c r="W1527" s="113" t="n"/>
      <c r="X1527" s="113" t="n"/>
      <c r="Y1527" s="113" t="n"/>
      <c r="Z1527" s="117">
        <f>IF($B1527="",0,IF($S1527="EVET",IF($D1527="GELİR",$O1527,-$O1527),0))</f>
        <v/>
      </c>
      <c r="AA1527" s="117">
        <f>IF($B1527="",0,IF(OR($W1527="EVET",$X1527="EVET",$Y1527="EVET"),0,IF($D1527="GELİR",IF($E1527="SATIŞ İADESİ/İSKONTO",-$O1527,$O1527),-$O1527)))</f>
        <v/>
      </c>
      <c r="AB1527" s="117">
        <f>IF($B1527="","",IF(OR($D1527="",$E1527="",$O1527=""),"EKSİK",IF($O1527&lt;=0,"SIFIR/NEGATİF",IF(COUNTIFS($C$6:$C$5000,$C1527,$O$6:$O$5000,$O1527,$B$6:$B$5000,$B1527)&gt;1,"MÜKERRER","OK"))))</f>
        <v/>
      </c>
    </row>
    <row r="1528" ht="16.5" customHeight="1" s="80">
      <c r="A1528" s="113" t="n"/>
      <c r="B1528" s="113" t="n"/>
      <c r="C1528" s="113" t="n"/>
      <c r="D1528" s="113" t="n"/>
      <c r="E1528" s="113" t="n"/>
      <c r="F1528" s="113" t="n"/>
      <c r="G1528" s="113" t="n"/>
      <c r="H1528" s="113" t="n"/>
      <c r="I1528" s="113" t="n"/>
      <c r="J1528" s="113" t="n"/>
      <c r="K1528" s="113" t="n"/>
      <c r="L1528" s="113" t="n"/>
      <c r="M1528" s="113" t="n"/>
      <c r="N1528" s="113" t="n"/>
      <c r="O1528" s="113" t="n"/>
      <c r="P1528" s="113" t="n"/>
      <c r="Q1528" s="113" t="n"/>
      <c r="R1528" s="113" t="n"/>
      <c r="S1528" s="113" t="n"/>
      <c r="T1528" s="113" t="n"/>
      <c r="U1528" s="113" t="n"/>
      <c r="V1528" s="113" t="n"/>
      <c r="W1528" s="113" t="n"/>
      <c r="X1528" s="113" t="n"/>
      <c r="Y1528" s="113" t="n"/>
      <c r="Z1528" s="117">
        <f>IF($B1528="",0,IF($S1528="EVET",IF($D1528="GELİR",$O1528,-$O1528),0))</f>
        <v/>
      </c>
      <c r="AA1528" s="117">
        <f>IF($B1528="",0,IF(OR($W1528="EVET",$X1528="EVET",$Y1528="EVET"),0,IF($D1528="GELİR",IF($E1528="SATIŞ İADESİ/İSKONTO",-$O1528,$O1528),-$O1528)))</f>
        <v/>
      </c>
      <c r="AB1528" s="117">
        <f>IF($B1528="","",IF(OR($D1528="",$E1528="",$O1528=""),"EKSİK",IF($O1528&lt;=0,"SIFIR/NEGATİF",IF(COUNTIFS($C$6:$C$5000,$C1528,$O$6:$O$5000,$O1528,$B$6:$B$5000,$B1528)&gt;1,"MÜKERRER","OK"))))</f>
        <v/>
      </c>
    </row>
    <row r="1529" ht="16.5" customHeight="1" s="80">
      <c r="A1529" s="113" t="n"/>
      <c r="B1529" s="113" t="n"/>
      <c r="C1529" s="113" t="n"/>
      <c r="D1529" s="113" t="n"/>
      <c r="E1529" s="113" t="n"/>
      <c r="F1529" s="113" t="n"/>
      <c r="G1529" s="113" t="n"/>
      <c r="H1529" s="113" t="n"/>
      <c r="I1529" s="113" t="n"/>
      <c r="J1529" s="113" t="n"/>
      <c r="K1529" s="113" t="n"/>
      <c r="L1529" s="113" t="n"/>
      <c r="M1529" s="113" t="n"/>
      <c r="N1529" s="113" t="n"/>
      <c r="O1529" s="113" t="n"/>
      <c r="P1529" s="113" t="n"/>
      <c r="Q1529" s="113" t="n"/>
      <c r="R1529" s="113" t="n"/>
      <c r="S1529" s="113" t="n"/>
      <c r="T1529" s="113" t="n"/>
      <c r="U1529" s="113" t="n"/>
      <c r="V1529" s="113" t="n"/>
      <c r="W1529" s="113" t="n"/>
      <c r="X1529" s="113" t="n"/>
      <c r="Y1529" s="113" t="n"/>
      <c r="Z1529" s="117">
        <f>IF($B1529="",0,IF($S1529="EVET",IF($D1529="GELİR",$O1529,-$O1529),0))</f>
        <v/>
      </c>
      <c r="AA1529" s="117">
        <f>IF($B1529="",0,IF(OR($W1529="EVET",$X1529="EVET",$Y1529="EVET"),0,IF($D1529="GELİR",IF($E1529="SATIŞ İADESİ/İSKONTO",-$O1529,$O1529),-$O1529)))</f>
        <v/>
      </c>
      <c r="AB1529" s="117">
        <f>IF($B1529="","",IF(OR($D1529="",$E1529="",$O1529=""),"EKSİK",IF($O1529&lt;=0,"SIFIR/NEGATİF",IF(COUNTIFS($C$6:$C$5000,$C1529,$O$6:$O$5000,$O1529,$B$6:$B$5000,$B1529)&gt;1,"MÜKERRER","OK"))))</f>
        <v/>
      </c>
    </row>
    <row r="1530" ht="16.5" customHeight="1" s="80">
      <c r="A1530" s="113" t="n"/>
      <c r="B1530" s="113" t="n"/>
      <c r="C1530" s="113" t="n"/>
      <c r="D1530" s="113" t="n"/>
      <c r="E1530" s="113" t="n"/>
      <c r="F1530" s="113" t="n"/>
      <c r="G1530" s="113" t="n"/>
      <c r="H1530" s="113" t="n"/>
      <c r="I1530" s="113" t="n"/>
      <c r="J1530" s="113" t="n"/>
      <c r="K1530" s="113" t="n"/>
      <c r="L1530" s="113" t="n"/>
      <c r="M1530" s="113" t="n"/>
      <c r="N1530" s="113" t="n"/>
      <c r="O1530" s="113" t="n"/>
      <c r="P1530" s="113" t="n"/>
      <c r="Q1530" s="113" t="n"/>
      <c r="R1530" s="113" t="n"/>
      <c r="S1530" s="113" t="n"/>
      <c r="T1530" s="113" t="n"/>
      <c r="U1530" s="113" t="n"/>
      <c r="V1530" s="113" t="n"/>
      <c r="W1530" s="113" t="n"/>
      <c r="X1530" s="113" t="n"/>
      <c r="Y1530" s="113" t="n"/>
      <c r="Z1530" s="117">
        <f>IF($B1530="",0,IF($S1530="EVET",IF($D1530="GELİR",$O1530,-$O1530),0))</f>
        <v/>
      </c>
      <c r="AA1530" s="117">
        <f>IF($B1530="",0,IF(OR($W1530="EVET",$X1530="EVET",$Y1530="EVET"),0,IF($D1530="GELİR",IF($E1530="SATIŞ İADESİ/İSKONTO",-$O1530,$O1530),-$O1530)))</f>
        <v/>
      </c>
      <c r="AB1530" s="117">
        <f>IF($B1530="","",IF(OR($D1530="",$E1530="",$O1530=""),"EKSİK",IF($O1530&lt;=0,"SIFIR/NEGATİF",IF(COUNTIFS($C$6:$C$5000,$C1530,$O$6:$O$5000,$O1530,$B$6:$B$5000,$B1530)&gt;1,"MÜKERRER","OK"))))</f>
        <v/>
      </c>
    </row>
    <row r="1531" ht="16.5" customHeight="1" s="80">
      <c r="A1531" s="113" t="n"/>
      <c r="B1531" s="113" t="n"/>
      <c r="C1531" s="113" t="n"/>
      <c r="D1531" s="113" t="n"/>
      <c r="E1531" s="113" t="n"/>
      <c r="F1531" s="113" t="n"/>
      <c r="G1531" s="113" t="n"/>
      <c r="H1531" s="113" t="n"/>
      <c r="I1531" s="113" t="n"/>
      <c r="J1531" s="113" t="n"/>
      <c r="K1531" s="113" t="n"/>
      <c r="L1531" s="113" t="n"/>
      <c r="M1531" s="113" t="n"/>
      <c r="N1531" s="113" t="n"/>
      <c r="O1531" s="113" t="n"/>
      <c r="P1531" s="113" t="n"/>
      <c r="Q1531" s="113" t="n"/>
      <c r="R1531" s="113" t="n"/>
      <c r="S1531" s="113" t="n"/>
      <c r="T1531" s="113" t="n"/>
      <c r="U1531" s="113" t="n"/>
      <c r="V1531" s="113" t="n"/>
      <c r="W1531" s="113" t="n"/>
      <c r="X1531" s="113" t="n"/>
      <c r="Y1531" s="113" t="n"/>
      <c r="Z1531" s="117">
        <f>IF($B1531="",0,IF($S1531="EVET",IF($D1531="GELİR",$O1531,-$O1531),0))</f>
        <v/>
      </c>
      <c r="AA1531" s="117">
        <f>IF($B1531="",0,IF(OR($W1531="EVET",$X1531="EVET",$Y1531="EVET"),0,IF($D1531="GELİR",IF($E1531="SATIŞ İADESİ/İSKONTO",-$O1531,$O1531),-$O1531)))</f>
        <v/>
      </c>
      <c r="AB1531" s="117">
        <f>IF($B1531="","",IF(OR($D1531="",$E1531="",$O1531=""),"EKSİK",IF($O1531&lt;=0,"SIFIR/NEGATİF",IF(COUNTIFS($C$6:$C$5000,$C1531,$O$6:$O$5000,$O1531,$B$6:$B$5000,$B1531)&gt;1,"MÜKERRER","OK"))))</f>
        <v/>
      </c>
    </row>
    <row r="1532" ht="16.5" customHeight="1" s="80">
      <c r="A1532" s="113" t="n"/>
      <c r="B1532" s="113" t="n"/>
      <c r="C1532" s="113" t="n"/>
      <c r="D1532" s="113" t="n"/>
      <c r="E1532" s="113" t="n"/>
      <c r="F1532" s="113" t="n"/>
      <c r="G1532" s="113" t="n"/>
      <c r="H1532" s="113" t="n"/>
      <c r="I1532" s="113" t="n"/>
      <c r="J1532" s="113" t="n"/>
      <c r="K1532" s="113" t="n"/>
      <c r="L1532" s="113" t="n"/>
      <c r="M1532" s="113" t="n"/>
      <c r="N1532" s="113" t="n"/>
      <c r="O1532" s="113" t="n"/>
      <c r="P1532" s="113" t="n"/>
      <c r="Q1532" s="113" t="n"/>
      <c r="R1532" s="113" t="n"/>
      <c r="S1532" s="113" t="n"/>
      <c r="T1532" s="113" t="n"/>
      <c r="U1532" s="113" t="n"/>
      <c r="V1532" s="113" t="n"/>
      <c r="W1532" s="113" t="n"/>
      <c r="X1532" s="113" t="n"/>
      <c r="Y1532" s="113" t="n"/>
      <c r="Z1532" s="117">
        <f>IF($B1532="",0,IF($S1532="EVET",IF($D1532="GELİR",$O1532,-$O1532),0))</f>
        <v/>
      </c>
      <c r="AA1532" s="117">
        <f>IF($B1532="",0,IF(OR($W1532="EVET",$X1532="EVET",$Y1532="EVET"),0,IF($D1532="GELİR",IF($E1532="SATIŞ İADESİ/İSKONTO",-$O1532,$O1532),-$O1532)))</f>
        <v/>
      </c>
      <c r="AB1532" s="117">
        <f>IF($B1532="","",IF(OR($D1532="",$E1532="",$O1532=""),"EKSİK",IF($O1532&lt;=0,"SIFIR/NEGATİF",IF(COUNTIFS($C$6:$C$5000,$C1532,$O$6:$O$5000,$O1532,$B$6:$B$5000,$B1532)&gt;1,"MÜKERRER","OK"))))</f>
        <v/>
      </c>
    </row>
    <row r="1533" ht="16.5" customHeight="1" s="80">
      <c r="A1533" s="113" t="n"/>
      <c r="B1533" s="113" t="n"/>
      <c r="C1533" s="113" t="n"/>
      <c r="D1533" s="113" t="n"/>
      <c r="E1533" s="113" t="n"/>
      <c r="F1533" s="113" t="n"/>
      <c r="G1533" s="113" t="n"/>
      <c r="H1533" s="113" t="n"/>
      <c r="I1533" s="113" t="n"/>
      <c r="J1533" s="113" t="n"/>
      <c r="K1533" s="113" t="n"/>
      <c r="L1533" s="113" t="n"/>
      <c r="M1533" s="113" t="n"/>
      <c r="N1533" s="113" t="n"/>
      <c r="O1533" s="113" t="n"/>
      <c r="P1533" s="113" t="n"/>
      <c r="Q1533" s="113" t="n"/>
      <c r="R1533" s="113" t="n"/>
      <c r="S1533" s="113" t="n"/>
      <c r="T1533" s="113" t="n"/>
      <c r="U1533" s="113" t="n"/>
      <c r="V1533" s="113" t="n"/>
      <c r="W1533" s="113" t="n"/>
      <c r="X1533" s="113" t="n"/>
      <c r="Y1533" s="113" t="n"/>
      <c r="Z1533" s="117">
        <f>IF($B1533="",0,IF($S1533="EVET",IF($D1533="GELİR",$O1533,-$O1533),0))</f>
        <v/>
      </c>
      <c r="AA1533" s="117">
        <f>IF($B1533="",0,IF(OR($W1533="EVET",$X1533="EVET",$Y1533="EVET"),0,IF($D1533="GELİR",IF($E1533="SATIŞ İADESİ/İSKONTO",-$O1533,$O1533),-$O1533)))</f>
        <v/>
      </c>
      <c r="AB1533" s="117">
        <f>IF($B1533="","",IF(OR($D1533="",$E1533="",$O1533=""),"EKSİK",IF($O1533&lt;=0,"SIFIR/NEGATİF",IF(COUNTIFS($C$6:$C$5000,$C1533,$O$6:$O$5000,$O1533,$B$6:$B$5000,$B1533)&gt;1,"MÜKERRER","OK"))))</f>
        <v/>
      </c>
    </row>
    <row r="1534" ht="16.5" customHeight="1" s="80">
      <c r="A1534" s="113" t="n"/>
      <c r="B1534" s="113" t="n"/>
      <c r="C1534" s="113" t="n"/>
      <c r="D1534" s="113" t="n"/>
      <c r="E1534" s="113" t="n"/>
      <c r="F1534" s="113" t="n"/>
      <c r="G1534" s="113" t="n"/>
      <c r="H1534" s="113" t="n"/>
      <c r="I1534" s="113" t="n"/>
      <c r="J1534" s="113" t="n"/>
      <c r="K1534" s="113" t="n"/>
      <c r="L1534" s="113" t="n"/>
      <c r="M1534" s="113" t="n"/>
      <c r="N1534" s="113" t="n"/>
      <c r="O1534" s="113" t="n"/>
      <c r="P1534" s="113" t="n"/>
      <c r="Q1534" s="113" t="n"/>
      <c r="R1534" s="113" t="n"/>
      <c r="S1534" s="113" t="n"/>
      <c r="T1534" s="113" t="n"/>
      <c r="U1534" s="113" t="n"/>
      <c r="V1534" s="113" t="n"/>
      <c r="W1534" s="113" t="n"/>
      <c r="X1534" s="113" t="n"/>
      <c r="Y1534" s="113" t="n"/>
      <c r="Z1534" s="117">
        <f>IF($B1534="",0,IF($S1534="EVET",IF($D1534="GELİR",$O1534,-$O1534),0))</f>
        <v/>
      </c>
      <c r="AA1534" s="117">
        <f>IF($B1534="",0,IF(OR($W1534="EVET",$X1534="EVET",$Y1534="EVET"),0,IF($D1534="GELİR",IF($E1534="SATIŞ İADESİ/İSKONTO",-$O1534,$O1534),-$O1534)))</f>
        <v/>
      </c>
      <c r="AB1534" s="117">
        <f>IF($B1534="","",IF(OR($D1534="",$E1534="",$O1534=""),"EKSİK",IF($O1534&lt;=0,"SIFIR/NEGATİF",IF(COUNTIFS($C$6:$C$5000,$C1534,$O$6:$O$5000,$O1534,$B$6:$B$5000,$B1534)&gt;1,"MÜKERRER","OK"))))</f>
        <v/>
      </c>
    </row>
    <row r="1535" ht="16.5" customHeight="1" s="80">
      <c r="A1535" s="113" t="n"/>
      <c r="B1535" s="113" t="n"/>
      <c r="C1535" s="113" t="n"/>
      <c r="D1535" s="113" t="n"/>
      <c r="E1535" s="113" t="n"/>
      <c r="F1535" s="113" t="n"/>
      <c r="G1535" s="113" t="n"/>
      <c r="H1535" s="113" t="n"/>
      <c r="I1535" s="113" t="n"/>
      <c r="J1535" s="113" t="n"/>
      <c r="K1535" s="113" t="n"/>
      <c r="L1535" s="113" t="n"/>
      <c r="M1535" s="113" t="n"/>
      <c r="N1535" s="113" t="n"/>
      <c r="O1535" s="113" t="n"/>
      <c r="P1535" s="113" t="n"/>
      <c r="Q1535" s="113" t="n"/>
      <c r="R1535" s="113" t="n"/>
      <c r="S1535" s="113" t="n"/>
      <c r="T1535" s="113" t="n"/>
      <c r="U1535" s="113" t="n"/>
      <c r="V1535" s="113" t="n"/>
      <c r="W1535" s="113" t="n"/>
      <c r="X1535" s="113" t="n"/>
      <c r="Y1535" s="113" t="n"/>
      <c r="Z1535" s="117">
        <f>IF($B1535="",0,IF($S1535="EVET",IF($D1535="GELİR",$O1535,-$O1535),0))</f>
        <v/>
      </c>
      <c r="AA1535" s="117">
        <f>IF($B1535="",0,IF(OR($W1535="EVET",$X1535="EVET",$Y1535="EVET"),0,IF($D1535="GELİR",IF($E1535="SATIŞ İADESİ/İSKONTO",-$O1535,$O1535),-$O1535)))</f>
        <v/>
      </c>
      <c r="AB1535" s="117">
        <f>IF($B1535="","",IF(OR($D1535="",$E1535="",$O1535=""),"EKSİK",IF($O1535&lt;=0,"SIFIR/NEGATİF",IF(COUNTIFS($C$6:$C$5000,$C1535,$O$6:$O$5000,$O1535,$B$6:$B$5000,$B1535)&gt;1,"MÜKERRER","OK"))))</f>
        <v/>
      </c>
    </row>
    <row r="1536" ht="16.5" customHeight="1" s="80">
      <c r="A1536" s="113" t="n"/>
      <c r="B1536" s="113" t="n"/>
      <c r="C1536" s="113" t="n"/>
      <c r="D1536" s="113" t="n"/>
      <c r="E1536" s="113" t="n"/>
      <c r="F1536" s="113" t="n"/>
      <c r="G1536" s="113" t="n"/>
      <c r="H1536" s="113" t="n"/>
      <c r="I1536" s="113" t="n"/>
      <c r="J1536" s="113" t="n"/>
      <c r="K1536" s="113" t="n"/>
      <c r="L1536" s="113" t="n"/>
      <c r="M1536" s="113" t="n"/>
      <c r="N1536" s="113" t="n"/>
      <c r="O1536" s="113" t="n"/>
      <c r="P1536" s="113" t="n"/>
      <c r="Q1536" s="113" t="n"/>
      <c r="R1536" s="113" t="n"/>
      <c r="S1536" s="113" t="n"/>
      <c r="T1536" s="113" t="n"/>
      <c r="U1536" s="113" t="n"/>
      <c r="V1536" s="113" t="n"/>
      <c r="W1536" s="113" t="n"/>
      <c r="X1536" s="113" t="n"/>
      <c r="Y1536" s="113" t="n"/>
      <c r="Z1536" s="117">
        <f>IF($B1536="",0,IF($S1536="EVET",IF($D1536="GELİR",$O1536,-$O1536),0))</f>
        <v/>
      </c>
      <c r="AA1536" s="117">
        <f>IF($B1536="",0,IF(OR($W1536="EVET",$X1536="EVET",$Y1536="EVET"),0,IF($D1536="GELİR",IF($E1536="SATIŞ İADESİ/İSKONTO",-$O1536,$O1536),-$O1536)))</f>
        <v/>
      </c>
      <c r="AB1536" s="117">
        <f>IF($B1536="","",IF(OR($D1536="",$E1536="",$O1536=""),"EKSİK",IF($O1536&lt;=0,"SIFIR/NEGATİF",IF(COUNTIFS($C$6:$C$5000,$C1536,$O$6:$O$5000,$O1536,$B$6:$B$5000,$B1536)&gt;1,"MÜKERRER","OK"))))</f>
        <v/>
      </c>
    </row>
    <row r="1537" ht="16.5" customHeight="1" s="80">
      <c r="A1537" s="113" t="n"/>
      <c r="B1537" s="113" t="n"/>
      <c r="C1537" s="113" t="n"/>
      <c r="D1537" s="113" t="n"/>
      <c r="E1537" s="113" t="n"/>
      <c r="F1537" s="113" t="n"/>
      <c r="G1537" s="113" t="n"/>
      <c r="H1537" s="113" t="n"/>
      <c r="I1537" s="113" t="n"/>
      <c r="J1537" s="113" t="n"/>
      <c r="K1537" s="113" t="n"/>
      <c r="L1537" s="113" t="n"/>
      <c r="M1537" s="113" t="n"/>
      <c r="N1537" s="113" t="n"/>
      <c r="O1537" s="113" t="n"/>
      <c r="P1537" s="113" t="n"/>
      <c r="Q1537" s="113" t="n"/>
      <c r="R1537" s="113" t="n"/>
      <c r="S1537" s="113" t="n"/>
      <c r="T1537" s="113" t="n"/>
      <c r="U1537" s="113" t="n"/>
      <c r="V1537" s="113" t="n"/>
      <c r="W1537" s="113" t="n"/>
      <c r="X1537" s="113" t="n"/>
      <c r="Y1537" s="113" t="n"/>
      <c r="Z1537" s="117">
        <f>IF($B1537="",0,IF($S1537="EVET",IF($D1537="GELİR",$O1537,-$O1537),0))</f>
        <v/>
      </c>
      <c r="AA1537" s="117">
        <f>IF($B1537="",0,IF(OR($W1537="EVET",$X1537="EVET",$Y1537="EVET"),0,IF($D1537="GELİR",IF($E1537="SATIŞ İADESİ/İSKONTO",-$O1537,$O1537),-$O1537)))</f>
        <v/>
      </c>
      <c r="AB1537" s="117">
        <f>IF($B1537="","",IF(OR($D1537="",$E1537="",$O1537=""),"EKSİK",IF($O1537&lt;=0,"SIFIR/NEGATİF",IF(COUNTIFS($C$6:$C$5000,$C1537,$O$6:$O$5000,$O1537,$B$6:$B$5000,$B1537)&gt;1,"MÜKERRER","OK"))))</f>
        <v/>
      </c>
    </row>
    <row r="1538" ht="16.5" customHeight="1" s="80">
      <c r="A1538" s="113" t="n"/>
      <c r="B1538" s="113" t="n"/>
      <c r="C1538" s="113" t="n"/>
      <c r="D1538" s="113" t="n"/>
      <c r="E1538" s="113" t="n"/>
      <c r="F1538" s="113" t="n"/>
      <c r="G1538" s="113" t="n"/>
      <c r="H1538" s="113" t="n"/>
      <c r="I1538" s="113" t="n"/>
      <c r="J1538" s="113" t="n"/>
      <c r="K1538" s="113" t="n"/>
      <c r="L1538" s="113" t="n"/>
      <c r="M1538" s="113" t="n"/>
      <c r="N1538" s="113" t="n"/>
      <c r="O1538" s="113" t="n"/>
      <c r="P1538" s="113" t="n"/>
      <c r="Q1538" s="113" t="n"/>
      <c r="R1538" s="113" t="n"/>
      <c r="S1538" s="113" t="n"/>
      <c r="T1538" s="113" t="n"/>
      <c r="U1538" s="113" t="n"/>
      <c r="V1538" s="113" t="n"/>
      <c r="W1538" s="113" t="n"/>
      <c r="X1538" s="113" t="n"/>
      <c r="Y1538" s="113" t="n"/>
      <c r="Z1538" s="117">
        <f>IF($B1538="",0,IF($S1538="EVET",IF($D1538="GELİR",$O1538,-$O1538),0))</f>
        <v/>
      </c>
      <c r="AA1538" s="117">
        <f>IF($B1538="",0,IF(OR($W1538="EVET",$X1538="EVET",$Y1538="EVET"),0,IF($D1538="GELİR",IF($E1538="SATIŞ İADESİ/İSKONTO",-$O1538,$O1538),-$O1538)))</f>
        <v/>
      </c>
      <c r="AB1538" s="117">
        <f>IF($B1538="","",IF(OR($D1538="",$E1538="",$O1538=""),"EKSİK",IF($O1538&lt;=0,"SIFIR/NEGATİF",IF(COUNTIFS($C$6:$C$5000,$C1538,$O$6:$O$5000,$O1538,$B$6:$B$5000,$B1538)&gt;1,"MÜKERRER","OK"))))</f>
        <v/>
      </c>
    </row>
    <row r="1539" ht="16.5" customHeight="1" s="80">
      <c r="A1539" s="113" t="n"/>
      <c r="B1539" s="113" t="n"/>
      <c r="C1539" s="113" t="n"/>
      <c r="D1539" s="113" t="n"/>
      <c r="E1539" s="113" t="n"/>
      <c r="F1539" s="113" t="n"/>
      <c r="G1539" s="113" t="n"/>
      <c r="H1539" s="113" t="n"/>
      <c r="I1539" s="113" t="n"/>
      <c r="J1539" s="113" t="n"/>
      <c r="K1539" s="113" t="n"/>
      <c r="L1539" s="113" t="n"/>
      <c r="M1539" s="113" t="n"/>
      <c r="N1539" s="113" t="n"/>
      <c r="O1539" s="113" t="n"/>
      <c r="P1539" s="113" t="n"/>
      <c r="Q1539" s="113" t="n"/>
      <c r="R1539" s="113" t="n"/>
      <c r="S1539" s="113" t="n"/>
      <c r="T1539" s="113" t="n"/>
      <c r="U1539" s="113" t="n"/>
      <c r="V1539" s="113" t="n"/>
      <c r="W1539" s="113" t="n"/>
      <c r="X1539" s="113" t="n"/>
      <c r="Y1539" s="113" t="n"/>
      <c r="Z1539" s="117">
        <f>IF($B1539="",0,IF($S1539="EVET",IF($D1539="GELİR",$O1539,-$O1539),0))</f>
        <v/>
      </c>
      <c r="AA1539" s="117">
        <f>IF($B1539="",0,IF(OR($W1539="EVET",$X1539="EVET",$Y1539="EVET"),0,IF($D1539="GELİR",IF($E1539="SATIŞ İADESİ/İSKONTO",-$O1539,$O1539),-$O1539)))</f>
        <v/>
      </c>
      <c r="AB1539" s="117">
        <f>IF($B1539="","",IF(OR($D1539="",$E1539="",$O1539=""),"EKSİK",IF($O1539&lt;=0,"SIFIR/NEGATİF",IF(COUNTIFS($C$6:$C$5000,$C1539,$O$6:$O$5000,$O1539,$B$6:$B$5000,$B1539)&gt;1,"MÜKERRER","OK"))))</f>
        <v/>
      </c>
    </row>
    <row r="1540" ht="16.5" customHeight="1" s="80">
      <c r="A1540" s="113" t="n"/>
      <c r="B1540" s="113" t="n"/>
      <c r="C1540" s="113" t="n"/>
      <c r="D1540" s="113" t="n"/>
      <c r="E1540" s="113" t="n"/>
      <c r="F1540" s="113" t="n"/>
      <c r="G1540" s="113" t="n"/>
      <c r="H1540" s="113" t="n"/>
      <c r="I1540" s="113" t="n"/>
      <c r="J1540" s="113" t="n"/>
      <c r="K1540" s="113" t="n"/>
      <c r="L1540" s="113" t="n"/>
      <c r="M1540" s="113" t="n"/>
      <c r="N1540" s="113" t="n"/>
      <c r="O1540" s="113" t="n"/>
      <c r="P1540" s="113" t="n"/>
      <c r="Q1540" s="113" t="n"/>
      <c r="R1540" s="113" t="n"/>
      <c r="S1540" s="113" t="n"/>
      <c r="T1540" s="113" t="n"/>
      <c r="U1540" s="113" t="n"/>
      <c r="V1540" s="113" t="n"/>
      <c r="W1540" s="113" t="n"/>
      <c r="X1540" s="113" t="n"/>
      <c r="Y1540" s="113" t="n"/>
      <c r="Z1540" s="117">
        <f>IF($B1540="",0,IF($S1540="EVET",IF($D1540="GELİR",$O1540,-$O1540),0))</f>
        <v/>
      </c>
      <c r="AA1540" s="117">
        <f>IF($B1540="",0,IF(OR($W1540="EVET",$X1540="EVET",$Y1540="EVET"),0,IF($D1540="GELİR",IF($E1540="SATIŞ İADESİ/İSKONTO",-$O1540,$O1540),-$O1540)))</f>
        <v/>
      </c>
      <c r="AB1540" s="117">
        <f>IF($B1540="","",IF(OR($D1540="",$E1540="",$O1540=""),"EKSİK",IF($O1540&lt;=0,"SIFIR/NEGATİF",IF(COUNTIFS($C$6:$C$5000,$C1540,$O$6:$O$5000,$O1540,$B$6:$B$5000,$B1540)&gt;1,"MÜKERRER","OK"))))</f>
        <v/>
      </c>
    </row>
    <row r="1541" ht="16.5" customHeight="1" s="80">
      <c r="A1541" s="113" t="n"/>
      <c r="B1541" s="113" t="n"/>
      <c r="C1541" s="113" t="n"/>
      <c r="D1541" s="113" t="n"/>
      <c r="E1541" s="113" t="n"/>
      <c r="F1541" s="113" t="n"/>
      <c r="G1541" s="113" t="n"/>
      <c r="H1541" s="113" t="n"/>
      <c r="I1541" s="113" t="n"/>
      <c r="J1541" s="113" t="n"/>
      <c r="K1541" s="113" t="n"/>
      <c r="L1541" s="113" t="n"/>
      <c r="M1541" s="113" t="n"/>
      <c r="N1541" s="113" t="n"/>
      <c r="O1541" s="113" t="n"/>
      <c r="P1541" s="113" t="n"/>
      <c r="Q1541" s="113" t="n"/>
      <c r="R1541" s="113" t="n"/>
      <c r="S1541" s="113" t="n"/>
      <c r="T1541" s="113" t="n"/>
      <c r="U1541" s="113" t="n"/>
      <c r="V1541" s="113" t="n"/>
      <c r="W1541" s="113" t="n"/>
      <c r="X1541" s="113" t="n"/>
      <c r="Y1541" s="113" t="n"/>
      <c r="Z1541" s="117">
        <f>IF($B1541="",0,IF($S1541="EVET",IF($D1541="GELİR",$O1541,-$O1541),0))</f>
        <v/>
      </c>
      <c r="AA1541" s="117">
        <f>IF($B1541="",0,IF(OR($W1541="EVET",$X1541="EVET",$Y1541="EVET"),0,IF($D1541="GELİR",IF($E1541="SATIŞ İADESİ/İSKONTO",-$O1541,$O1541),-$O1541)))</f>
        <v/>
      </c>
      <c r="AB1541" s="117">
        <f>IF($B1541="","",IF(OR($D1541="",$E1541="",$O1541=""),"EKSİK",IF($O1541&lt;=0,"SIFIR/NEGATİF",IF(COUNTIFS($C$6:$C$5000,$C1541,$O$6:$O$5000,$O1541,$B$6:$B$5000,$B1541)&gt;1,"MÜKERRER","OK"))))</f>
        <v/>
      </c>
    </row>
    <row r="1542" ht="16.5" customHeight="1" s="80">
      <c r="A1542" s="113" t="n"/>
      <c r="B1542" s="113" t="n"/>
      <c r="C1542" s="113" t="n"/>
      <c r="D1542" s="113" t="n"/>
      <c r="E1542" s="113" t="n"/>
      <c r="F1542" s="113" t="n"/>
      <c r="G1542" s="113" t="n"/>
      <c r="H1542" s="113" t="n"/>
      <c r="I1542" s="113" t="n"/>
      <c r="J1542" s="113" t="n"/>
      <c r="K1542" s="113" t="n"/>
      <c r="L1542" s="113" t="n"/>
      <c r="M1542" s="113" t="n"/>
      <c r="N1542" s="113" t="n"/>
      <c r="O1542" s="113" t="n"/>
      <c r="P1542" s="113" t="n"/>
      <c r="Q1542" s="113" t="n"/>
      <c r="R1542" s="113" t="n"/>
      <c r="S1542" s="113" t="n"/>
      <c r="T1542" s="113" t="n"/>
      <c r="U1542" s="113" t="n"/>
      <c r="V1542" s="113" t="n"/>
      <c r="W1542" s="113" t="n"/>
      <c r="X1542" s="113" t="n"/>
      <c r="Y1542" s="113" t="n"/>
      <c r="Z1542" s="117">
        <f>IF($B1542="",0,IF($S1542="EVET",IF($D1542="GELİR",$O1542,-$O1542),0))</f>
        <v/>
      </c>
      <c r="AA1542" s="117">
        <f>IF($B1542="",0,IF(OR($W1542="EVET",$X1542="EVET",$Y1542="EVET"),0,IF($D1542="GELİR",IF($E1542="SATIŞ İADESİ/İSKONTO",-$O1542,$O1542),-$O1542)))</f>
        <v/>
      </c>
      <c r="AB1542" s="117">
        <f>IF($B1542="","",IF(OR($D1542="",$E1542="",$O1542=""),"EKSİK",IF($O1542&lt;=0,"SIFIR/NEGATİF",IF(COUNTIFS($C$6:$C$5000,$C1542,$O$6:$O$5000,$O1542,$B$6:$B$5000,$B1542)&gt;1,"MÜKERRER","OK"))))</f>
        <v/>
      </c>
    </row>
    <row r="1543" ht="16.5" customHeight="1" s="80">
      <c r="A1543" s="113" t="n"/>
      <c r="B1543" s="113" t="n"/>
      <c r="C1543" s="113" t="n"/>
      <c r="D1543" s="113" t="n"/>
      <c r="E1543" s="113" t="n"/>
      <c r="F1543" s="113" t="n"/>
      <c r="G1543" s="113" t="n"/>
      <c r="H1543" s="113" t="n"/>
      <c r="I1543" s="113" t="n"/>
      <c r="J1543" s="113" t="n"/>
      <c r="K1543" s="113" t="n"/>
      <c r="L1543" s="113" t="n"/>
      <c r="M1543" s="113" t="n"/>
      <c r="N1543" s="113" t="n"/>
      <c r="O1543" s="113" t="n"/>
      <c r="P1543" s="113" t="n"/>
      <c r="Q1543" s="113" t="n"/>
      <c r="R1543" s="113" t="n"/>
      <c r="S1543" s="113" t="n"/>
      <c r="T1543" s="113" t="n"/>
      <c r="U1543" s="113" t="n"/>
      <c r="V1543" s="113" t="n"/>
      <c r="W1543" s="113" t="n"/>
      <c r="X1543" s="113" t="n"/>
      <c r="Y1543" s="113" t="n"/>
      <c r="Z1543" s="117">
        <f>IF($B1543="",0,IF($S1543="EVET",IF($D1543="GELİR",$O1543,-$O1543),0))</f>
        <v/>
      </c>
      <c r="AA1543" s="117">
        <f>IF($B1543="",0,IF(OR($W1543="EVET",$X1543="EVET",$Y1543="EVET"),0,IF($D1543="GELİR",IF($E1543="SATIŞ İADESİ/İSKONTO",-$O1543,$O1543),-$O1543)))</f>
        <v/>
      </c>
      <c r="AB1543" s="117">
        <f>IF($B1543="","",IF(OR($D1543="",$E1543="",$O1543=""),"EKSİK",IF($O1543&lt;=0,"SIFIR/NEGATİF",IF(COUNTIFS($C$6:$C$5000,$C1543,$O$6:$O$5000,$O1543,$B$6:$B$5000,$B1543)&gt;1,"MÜKERRER","OK"))))</f>
        <v/>
      </c>
    </row>
    <row r="1544" ht="16.5" customHeight="1" s="80">
      <c r="A1544" s="113" t="n"/>
      <c r="B1544" s="113" t="n"/>
      <c r="C1544" s="113" t="n"/>
      <c r="D1544" s="113" t="n"/>
      <c r="E1544" s="113" t="n"/>
      <c r="F1544" s="113" t="n"/>
      <c r="G1544" s="113" t="n"/>
      <c r="H1544" s="113" t="n"/>
      <c r="I1544" s="113" t="n"/>
      <c r="J1544" s="113" t="n"/>
      <c r="K1544" s="113" t="n"/>
      <c r="L1544" s="113" t="n"/>
      <c r="M1544" s="113" t="n"/>
      <c r="N1544" s="113" t="n"/>
      <c r="O1544" s="113" t="n"/>
      <c r="P1544" s="113" t="n"/>
      <c r="Q1544" s="113" t="n"/>
      <c r="R1544" s="113" t="n"/>
      <c r="S1544" s="113" t="n"/>
      <c r="T1544" s="113" t="n"/>
      <c r="U1544" s="113" t="n"/>
      <c r="V1544" s="113" t="n"/>
      <c r="W1544" s="113" t="n"/>
      <c r="X1544" s="113" t="n"/>
      <c r="Y1544" s="113" t="n"/>
      <c r="Z1544" s="117">
        <f>IF($B1544="",0,IF($S1544="EVET",IF($D1544="GELİR",$O1544,-$O1544),0))</f>
        <v/>
      </c>
      <c r="AA1544" s="117">
        <f>IF($B1544="",0,IF(OR($W1544="EVET",$X1544="EVET",$Y1544="EVET"),0,IF($D1544="GELİR",IF($E1544="SATIŞ İADESİ/İSKONTO",-$O1544,$O1544),-$O1544)))</f>
        <v/>
      </c>
      <c r="AB1544" s="117">
        <f>IF($B1544="","",IF(OR($D1544="",$E1544="",$O1544=""),"EKSİK",IF($O1544&lt;=0,"SIFIR/NEGATİF",IF(COUNTIFS($C$6:$C$5000,$C1544,$O$6:$O$5000,$O1544,$B$6:$B$5000,$B1544)&gt;1,"MÜKERRER","OK"))))</f>
        <v/>
      </c>
    </row>
    <row r="1545" ht="16.5" customHeight="1" s="80">
      <c r="A1545" s="113" t="n"/>
      <c r="B1545" s="113" t="n"/>
      <c r="C1545" s="113" t="n"/>
      <c r="D1545" s="113" t="n"/>
      <c r="E1545" s="113" t="n"/>
      <c r="F1545" s="113" t="n"/>
      <c r="G1545" s="113" t="n"/>
      <c r="H1545" s="113" t="n"/>
      <c r="I1545" s="113" t="n"/>
      <c r="J1545" s="113" t="n"/>
      <c r="K1545" s="113" t="n"/>
      <c r="L1545" s="113" t="n"/>
      <c r="M1545" s="113" t="n"/>
      <c r="N1545" s="113" t="n"/>
      <c r="O1545" s="113" t="n"/>
      <c r="P1545" s="113" t="n"/>
      <c r="Q1545" s="113" t="n"/>
      <c r="R1545" s="113" t="n"/>
      <c r="S1545" s="113" t="n"/>
      <c r="T1545" s="113" t="n"/>
      <c r="U1545" s="113" t="n"/>
      <c r="V1545" s="113" t="n"/>
      <c r="W1545" s="113" t="n"/>
      <c r="X1545" s="113" t="n"/>
      <c r="Y1545" s="113" t="n"/>
      <c r="Z1545" s="117">
        <f>IF($B1545="",0,IF($S1545="EVET",IF($D1545="GELİR",$O1545,-$O1545),0))</f>
        <v/>
      </c>
      <c r="AA1545" s="117">
        <f>IF($B1545="",0,IF(OR($W1545="EVET",$X1545="EVET",$Y1545="EVET"),0,IF($D1545="GELİR",IF($E1545="SATIŞ İADESİ/İSKONTO",-$O1545,$O1545),-$O1545)))</f>
        <v/>
      </c>
      <c r="AB1545" s="117">
        <f>IF($B1545="","",IF(OR($D1545="",$E1545="",$O1545=""),"EKSİK",IF($O1545&lt;=0,"SIFIR/NEGATİF",IF(COUNTIFS($C$6:$C$5000,$C1545,$O$6:$O$5000,$O1545,$B$6:$B$5000,$B1545)&gt;1,"MÜKERRER","OK"))))</f>
        <v/>
      </c>
    </row>
    <row r="1546" ht="16.5" customHeight="1" s="80">
      <c r="A1546" s="113" t="n"/>
      <c r="B1546" s="113" t="n"/>
      <c r="C1546" s="113" t="n"/>
      <c r="D1546" s="113" t="n"/>
      <c r="E1546" s="113" t="n"/>
      <c r="F1546" s="113" t="n"/>
      <c r="G1546" s="113" t="n"/>
      <c r="H1546" s="113" t="n"/>
      <c r="I1546" s="113" t="n"/>
      <c r="J1546" s="113" t="n"/>
      <c r="K1546" s="113" t="n"/>
      <c r="L1546" s="113" t="n"/>
      <c r="M1546" s="113" t="n"/>
      <c r="N1546" s="113" t="n"/>
      <c r="O1546" s="113" t="n"/>
      <c r="P1546" s="113" t="n"/>
      <c r="Q1546" s="113" t="n"/>
      <c r="R1546" s="113" t="n"/>
      <c r="S1546" s="113" t="n"/>
      <c r="T1546" s="113" t="n"/>
      <c r="U1546" s="113" t="n"/>
      <c r="V1546" s="113" t="n"/>
      <c r="W1546" s="113" t="n"/>
      <c r="X1546" s="113" t="n"/>
      <c r="Y1546" s="113" t="n"/>
      <c r="Z1546" s="117">
        <f>IF($B1546="",0,IF($S1546="EVET",IF($D1546="GELİR",$O1546,-$O1546),0))</f>
        <v/>
      </c>
      <c r="AA1546" s="117">
        <f>IF($B1546="",0,IF(OR($W1546="EVET",$X1546="EVET",$Y1546="EVET"),0,IF($D1546="GELİR",IF($E1546="SATIŞ İADESİ/İSKONTO",-$O1546,$O1546),-$O1546)))</f>
        <v/>
      </c>
      <c r="AB1546" s="117">
        <f>IF($B1546="","",IF(OR($D1546="",$E1546="",$O1546=""),"EKSİK",IF($O1546&lt;=0,"SIFIR/NEGATİF",IF(COUNTIFS($C$6:$C$5000,$C1546,$O$6:$O$5000,$O1546,$B$6:$B$5000,$B1546)&gt;1,"MÜKERRER","OK"))))</f>
        <v/>
      </c>
    </row>
    <row r="1547" ht="16.5" customHeight="1" s="80">
      <c r="A1547" s="113" t="n"/>
      <c r="B1547" s="113" t="n"/>
      <c r="C1547" s="113" t="n"/>
      <c r="D1547" s="113" t="n"/>
      <c r="E1547" s="113" t="n"/>
      <c r="F1547" s="113" t="n"/>
      <c r="G1547" s="113" t="n"/>
      <c r="H1547" s="113" t="n"/>
      <c r="I1547" s="113" t="n"/>
      <c r="J1547" s="113" t="n"/>
      <c r="K1547" s="113" t="n"/>
      <c r="L1547" s="113" t="n"/>
      <c r="M1547" s="113" t="n"/>
      <c r="N1547" s="113" t="n"/>
      <c r="O1547" s="113" t="n"/>
      <c r="P1547" s="113" t="n"/>
      <c r="Q1547" s="113" t="n"/>
      <c r="R1547" s="113" t="n"/>
      <c r="S1547" s="113" t="n"/>
      <c r="T1547" s="113" t="n"/>
      <c r="U1547" s="113" t="n"/>
      <c r="V1547" s="113" t="n"/>
      <c r="W1547" s="113" t="n"/>
      <c r="X1547" s="113" t="n"/>
      <c r="Y1547" s="113" t="n"/>
      <c r="Z1547" s="117">
        <f>IF($B1547="",0,IF($S1547="EVET",IF($D1547="GELİR",$O1547,-$O1547),0))</f>
        <v/>
      </c>
      <c r="AA1547" s="117">
        <f>IF($B1547="",0,IF(OR($W1547="EVET",$X1547="EVET",$Y1547="EVET"),0,IF($D1547="GELİR",IF($E1547="SATIŞ İADESİ/İSKONTO",-$O1547,$O1547),-$O1547)))</f>
        <v/>
      </c>
      <c r="AB1547" s="117">
        <f>IF($B1547="","",IF(OR($D1547="",$E1547="",$O1547=""),"EKSİK",IF($O1547&lt;=0,"SIFIR/NEGATİF",IF(COUNTIFS($C$6:$C$5000,$C1547,$O$6:$O$5000,$O1547,$B$6:$B$5000,$B1547)&gt;1,"MÜKERRER","OK"))))</f>
        <v/>
      </c>
    </row>
    <row r="1548" ht="16.5" customHeight="1" s="80">
      <c r="A1548" s="113" t="n"/>
      <c r="B1548" s="113" t="n"/>
      <c r="C1548" s="113" t="n"/>
      <c r="D1548" s="113" t="n"/>
      <c r="E1548" s="113" t="n"/>
      <c r="F1548" s="113" t="n"/>
      <c r="G1548" s="113" t="n"/>
      <c r="H1548" s="113" t="n"/>
      <c r="I1548" s="113" t="n"/>
      <c r="J1548" s="113" t="n"/>
      <c r="K1548" s="113" t="n"/>
      <c r="L1548" s="113" t="n"/>
      <c r="M1548" s="113" t="n"/>
      <c r="N1548" s="113" t="n"/>
      <c r="O1548" s="113" t="n"/>
      <c r="P1548" s="113" t="n"/>
      <c r="Q1548" s="113" t="n"/>
      <c r="R1548" s="113" t="n"/>
      <c r="S1548" s="113" t="n"/>
      <c r="T1548" s="113" t="n"/>
      <c r="U1548" s="113" t="n"/>
      <c r="V1548" s="113" t="n"/>
      <c r="W1548" s="113" t="n"/>
      <c r="X1548" s="113" t="n"/>
      <c r="Y1548" s="113" t="n"/>
      <c r="Z1548" s="117">
        <f>IF($B1548="",0,IF($S1548="EVET",IF($D1548="GELİR",$O1548,-$O1548),0))</f>
        <v/>
      </c>
      <c r="AA1548" s="117">
        <f>IF($B1548="",0,IF(OR($W1548="EVET",$X1548="EVET",$Y1548="EVET"),0,IF($D1548="GELİR",IF($E1548="SATIŞ İADESİ/İSKONTO",-$O1548,$O1548),-$O1548)))</f>
        <v/>
      </c>
      <c r="AB1548" s="117">
        <f>IF($B1548="","",IF(OR($D1548="",$E1548="",$O1548=""),"EKSİK",IF($O1548&lt;=0,"SIFIR/NEGATİF",IF(COUNTIFS($C$6:$C$5000,$C1548,$O$6:$O$5000,$O1548,$B$6:$B$5000,$B1548)&gt;1,"MÜKERRER","OK"))))</f>
        <v/>
      </c>
    </row>
    <row r="1549" ht="16.5" customHeight="1" s="80">
      <c r="A1549" s="113" t="n"/>
      <c r="B1549" s="113" t="n"/>
      <c r="C1549" s="113" t="n"/>
      <c r="D1549" s="113" t="n"/>
      <c r="E1549" s="113" t="n"/>
      <c r="F1549" s="113" t="n"/>
      <c r="G1549" s="113" t="n"/>
      <c r="H1549" s="113" t="n"/>
      <c r="I1549" s="113" t="n"/>
      <c r="J1549" s="113" t="n"/>
      <c r="K1549" s="113" t="n"/>
      <c r="L1549" s="113" t="n"/>
      <c r="M1549" s="113" t="n"/>
      <c r="N1549" s="113" t="n"/>
      <c r="O1549" s="113" t="n"/>
      <c r="P1549" s="113" t="n"/>
      <c r="Q1549" s="113" t="n"/>
      <c r="R1549" s="113" t="n"/>
      <c r="S1549" s="113" t="n"/>
      <c r="T1549" s="113" t="n"/>
      <c r="U1549" s="113" t="n"/>
      <c r="V1549" s="113" t="n"/>
      <c r="W1549" s="113" t="n"/>
      <c r="X1549" s="113" t="n"/>
      <c r="Y1549" s="113" t="n"/>
      <c r="Z1549" s="117">
        <f>IF($B1549="",0,IF($S1549="EVET",IF($D1549="GELİR",$O1549,-$O1549),0))</f>
        <v/>
      </c>
      <c r="AA1549" s="117">
        <f>IF($B1549="",0,IF(OR($W1549="EVET",$X1549="EVET",$Y1549="EVET"),0,IF($D1549="GELİR",IF($E1549="SATIŞ İADESİ/İSKONTO",-$O1549,$O1549),-$O1549)))</f>
        <v/>
      </c>
      <c r="AB1549" s="117">
        <f>IF($B1549="","",IF(OR($D1549="",$E1549="",$O1549=""),"EKSİK",IF($O1549&lt;=0,"SIFIR/NEGATİF",IF(COUNTIFS($C$6:$C$5000,$C1549,$O$6:$O$5000,$O1549,$B$6:$B$5000,$B1549)&gt;1,"MÜKERRER","OK"))))</f>
        <v/>
      </c>
    </row>
    <row r="1550" ht="16.5" customHeight="1" s="80">
      <c r="A1550" s="113" t="n"/>
      <c r="B1550" s="113" t="n"/>
      <c r="C1550" s="113" t="n"/>
      <c r="D1550" s="113" t="n"/>
      <c r="E1550" s="113" t="n"/>
      <c r="F1550" s="113" t="n"/>
      <c r="G1550" s="113" t="n"/>
      <c r="H1550" s="113" t="n"/>
      <c r="I1550" s="113" t="n"/>
      <c r="J1550" s="113" t="n"/>
      <c r="K1550" s="113" t="n"/>
      <c r="L1550" s="113" t="n"/>
      <c r="M1550" s="113" t="n"/>
      <c r="N1550" s="113" t="n"/>
      <c r="O1550" s="113" t="n"/>
      <c r="P1550" s="113" t="n"/>
      <c r="Q1550" s="113" t="n"/>
      <c r="R1550" s="113" t="n"/>
      <c r="S1550" s="113" t="n"/>
      <c r="T1550" s="113" t="n"/>
      <c r="U1550" s="113" t="n"/>
      <c r="V1550" s="113" t="n"/>
      <c r="W1550" s="113" t="n"/>
      <c r="X1550" s="113" t="n"/>
      <c r="Y1550" s="113" t="n"/>
      <c r="Z1550" s="117">
        <f>IF($B1550="",0,IF($S1550="EVET",IF($D1550="GELİR",$O1550,-$O1550),0))</f>
        <v/>
      </c>
      <c r="AA1550" s="117">
        <f>IF($B1550="",0,IF(OR($W1550="EVET",$X1550="EVET",$Y1550="EVET"),0,IF($D1550="GELİR",IF($E1550="SATIŞ İADESİ/İSKONTO",-$O1550,$O1550),-$O1550)))</f>
        <v/>
      </c>
      <c r="AB1550" s="117">
        <f>IF($B1550="","",IF(OR($D1550="",$E1550="",$O1550=""),"EKSİK",IF($O1550&lt;=0,"SIFIR/NEGATİF",IF(COUNTIFS($C$6:$C$5000,$C1550,$O$6:$O$5000,$O1550,$B$6:$B$5000,$B1550)&gt;1,"MÜKERRER","OK"))))</f>
        <v/>
      </c>
    </row>
    <row r="1551" ht="16.5" customHeight="1" s="80">
      <c r="A1551" s="113" t="n"/>
      <c r="B1551" s="113" t="n"/>
      <c r="C1551" s="113" t="n"/>
      <c r="D1551" s="113" t="n"/>
      <c r="E1551" s="113" t="n"/>
      <c r="F1551" s="113" t="n"/>
      <c r="G1551" s="113" t="n"/>
      <c r="H1551" s="113" t="n"/>
      <c r="I1551" s="113" t="n"/>
      <c r="J1551" s="113" t="n"/>
      <c r="K1551" s="113" t="n"/>
      <c r="L1551" s="113" t="n"/>
      <c r="M1551" s="113" t="n"/>
      <c r="N1551" s="113" t="n"/>
      <c r="O1551" s="113" t="n"/>
      <c r="P1551" s="113" t="n"/>
      <c r="Q1551" s="113" t="n"/>
      <c r="R1551" s="113" t="n"/>
      <c r="S1551" s="113" t="n"/>
      <c r="T1551" s="113" t="n"/>
      <c r="U1551" s="113" t="n"/>
      <c r="V1551" s="113" t="n"/>
      <c r="W1551" s="113" t="n"/>
      <c r="X1551" s="113" t="n"/>
      <c r="Y1551" s="113" t="n"/>
      <c r="Z1551" s="117">
        <f>IF($B1551="",0,IF($S1551="EVET",IF($D1551="GELİR",$O1551,-$O1551),0))</f>
        <v/>
      </c>
      <c r="AA1551" s="117">
        <f>IF($B1551="",0,IF(OR($W1551="EVET",$X1551="EVET",$Y1551="EVET"),0,IF($D1551="GELİR",IF($E1551="SATIŞ İADESİ/İSKONTO",-$O1551,$O1551),-$O1551)))</f>
        <v/>
      </c>
      <c r="AB1551" s="117">
        <f>IF($B1551="","",IF(OR($D1551="",$E1551="",$O1551=""),"EKSİK",IF($O1551&lt;=0,"SIFIR/NEGATİF",IF(COUNTIFS($C$6:$C$5000,$C1551,$O$6:$O$5000,$O1551,$B$6:$B$5000,$B1551)&gt;1,"MÜKERRER","OK"))))</f>
        <v/>
      </c>
    </row>
    <row r="1552" ht="16.5" customHeight="1" s="80">
      <c r="A1552" s="113" t="n"/>
      <c r="B1552" s="113" t="n"/>
      <c r="C1552" s="113" t="n"/>
      <c r="D1552" s="113" t="n"/>
      <c r="E1552" s="113" t="n"/>
      <c r="F1552" s="113" t="n"/>
      <c r="G1552" s="113" t="n"/>
      <c r="H1552" s="113" t="n"/>
      <c r="I1552" s="113" t="n"/>
      <c r="J1552" s="113" t="n"/>
      <c r="K1552" s="113" t="n"/>
      <c r="L1552" s="113" t="n"/>
      <c r="M1552" s="113" t="n"/>
      <c r="N1552" s="113" t="n"/>
      <c r="O1552" s="113" t="n"/>
      <c r="P1552" s="113" t="n"/>
      <c r="Q1552" s="113" t="n"/>
      <c r="R1552" s="113" t="n"/>
      <c r="S1552" s="113" t="n"/>
      <c r="T1552" s="113" t="n"/>
      <c r="U1552" s="113" t="n"/>
      <c r="V1552" s="113" t="n"/>
      <c r="W1552" s="113" t="n"/>
      <c r="X1552" s="113" t="n"/>
      <c r="Y1552" s="113" t="n"/>
      <c r="Z1552" s="117">
        <f>IF($B1552="",0,IF($S1552="EVET",IF($D1552="GELİR",$O1552,-$O1552),0))</f>
        <v/>
      </c>
      <c r="AA1552" s="117">
        <f>IF($B1552="",0,IF(OR($W1552="EVET",$X1552="EVET",$Y1552="EVET"),0,IF($D1552="GELİR",IF($E1552="SATIŞ İADESİ/İSKONTO",-$O1552,$O1552),-$O1552)))</f>
        <v/>
      </c>
      <c r="AB1552" s="117">
        <f>IF($B1552="","",IF(OR($D1552="",$E1552="",$O1552=""),"EKSİK",IF($O1552&lt;=0,"SIFIR/NEGATİF",IF(COUNTIFS($C$6:$C$5000,$C1552,$O$6:$O$5000,$O1552,$B$6:$B$5000,$B1552)&gt;1,"MÜKERRER","OK"))))</f>
        <v/>
      </c>
    </row>
    <row r="1553" ht="16.5" customHeight="1" s="80">
      <c r="A1553" s="113" t="n"/>
      <c r="B1553" s="113" t="n"/>
      <c r="C1553" s="113" t="n"/>
      <c r="D1553" s="113" t="n"/>
      <c r="E1553" s="113" t="n"/>
      <c r="F1553" s="113" t="n"/>
      <c r="G1553" s="113" t="n"/>
      <c r="H1553" s="113" t="n"/>
      <c r="I1553" s="113" t="n"/>
      <c r="J1553" s="113" t="n"/>
      <c r="K1553" s="113" t="n"/>
      <c r="L1553" s="113" t="n"/>
      <c r="M1553" s="113" t="n"/>
      <c r="N1553" s="113" t="n"/>
      <c r="O1553" s="113" t="n"/>
      <c r="P1553" s="113" t="n"/>
      <c r="Q1553" s="113" t="n"/>
      <c r="R1553" s="113" t="n"/>
      <c r="S1553" s="113" t="n"/>
      <c r="T1553" s="113" t="n"/>
      <c r="U1553" s="113" t="n"/>
      <c r="V1553" s="113" t="n"/>
      <c r="W1553" s="113" t="n"/>
      <c r="X1553" s="113" t="n"/>
      <c r="Y1553" s="113" t="n"/>
      <c r="Z1553" s="117">
        <f>IF($B1553="",0,IF($S1553="EVET",IF($D1553="GELİR",$O1553,-$O1553),0))</f>
        <v/>
      </c>
      <c r="AA1553" s="117">
        <f>IF($B1553="",0,IF(OR($W1553="EVET",$X1553="EVET",$Y1553="EVET"),0,IF($D1553="GELİR",IF($E1553="SATIŞ İADESİ/İSKONTO",-$O1553,$O1553),-$O1553)))</f>
        <v/>
      </c>
      <c r="AB1553" s="117">
        <f>IF($B1553="","",IF(OR($D1553="",$E1553="",$O1553=""),"EKSİK",IF($O1553&lt;=0,"SIFIR/NEGATİF",IF(COUNTIFS($C$6:$C$5000,$C1553,$O$6:$O$5000,$O1553,$B$6:$B$5000,$B1553)&gt;1,"MÜKERRER","OK"))))</f>
        <v/>
      </c>
    </row>
    <row r="1554" ht="16.5" customHeight="1" s="80">
      <c r="A1554" s="113" t="n"/>
      <c r="B1554" s="113" t="n"/>
      <c r="C1554" s="113" t="n"/>
      <c r="D1554" s="113" t="n"/>
      <c r="E1554" s="113" t="n"/>
      <c r="F1554" s="113" t="n"/>
      <c r="G1554" s="113" t="n"/>
      <c r="H1554" s="113" t="n"/>
      <c r="I1554" s="113" t="n"/>
      <c r="J1554" s="113" t="n"/>
      <c r="K1554" s="113" t="n"/>
      <c r="L1554" s="113" t="n"/>
      <c r="M1554" s="113" t="n"/>
      <c r="N1554" s="113" t="n"/>
      <c r="O1554" s="113" t="n"/>
      <c r="P1554" s="113" t="n"/>
      <c r="Q1554" s="113" t="n"/>
      <c r="R1554" s="113" t="n"/>
      <c r="S1554" s="113" t="n"/>
      <c r="T1554" s="113" t="n"/>
      <c r="U1554" s="113" t="n"/>
      <c r="V1554" s="113" t="n"/>
      <c r="W1554" s="113" t="n"/>
      <c r="X1554" s="113" t="n"/>
      <c r="Y1554" s="113" t="n"/>
      <c r="Z1554" s="117">
        <f>IF($B1554="",0,IF($S1554="EVET",IF($D1554="GELİR",$O1554,-$O1554),0))</f>
        <v/>
      </c>
      <c r="AA1554" s="117">
        <f>IF($B1554="",0,IF(OR($W1554="EVET",$X1554="EVET",$Y1554="EVET"),0,IF($D1554="GELİR",IF($E1554="SATIŞ İADESİ/İSKONTO",-$O1554,$O1554),-$O1554)))</f>
        <v/>
      </c>
      <c r="AB1554" s="117">
        <f>IF($B1554="","",IF(OR($D1554="",$E1554="",$O1554=""),"EKSİK",IF($O1554&lt;=0,"SIFIR/NEGATİF",IF(COUNTIFS($C$6:$C$5000,$C1554,$O$6:$O$5000,$O1554,$B$6:$B$5000,$B1554)&gt;1,"MÜKERRER","OK"))))</f>
        <v/>
      </c>
    </row>
    <row r="1555" ht="16.5" customHeight="1" s="80">
      <c r="A1555" s="113" t="n"/>
      <c r="B1555" s="113" t="n"/>
      <c r="C1555" s="113" t="n"/>
      <c r="D1555" s="113" t="n"/>
      <c r="E1555" s="113" t="n"/>
      <c r="F1555" s="113" t="n"/>
      <c r="G1555" s="113" t="n"/>
      <c r="H1555" s="113" t="n"/>
      <c r="I1555" s="113" t="n"/>
      <c r="J1555" s="113" t="n"/>
      <c r="K1555" s="113" t="n"/>
      <c r="L1555" s="113" t="n"/>
      <c r="M1555" s="113" t="n"/>
      <c r="N1555" s="113" t="n"/>
      <c r="O1555" s="113" t="n"/>
      <c r="P1555" s="113" t="n"/>
      <c r="Q1555" s="113" t="n"/>
      <c r="R1555" s="113" t="n"/>
      <c r="S1555" s="113" t="n"/>
      <c r="T1555" s="113" t="n"/>
      <c r="U1555" s="113" t="n"/>
      <c r="V1555" s="113" t="n"/>
      <c r="W1555" s="113" t="n"/>
      <c r="X1555" s="113" t="n"/>
      <c r="Y1555" s="113" t="n"/>
      <c r="Z1555" s="117">
        <f>IF($B1555="",0,IF($S1555="EVET",IF($D1555="GELİR",$O1555,-$O1555),0))</f>
        <v/>
      </c>
      <c r="AA1555" s="117">
        <f>IF($B1555="",0,IF(OR($W1555="EVET",$X1555="EVET",$Y1555="EVET"),0,IF($D1555="GELİR",IF($E1555="SATIŞ İADESİ/İSKONTO",-$O1555,$O1555),-$O1555)))</f>
        <v/>
      </c>
      <c r="AB1555" s="117">
        <f>IF($B1555="","",IF(OR($D1555="",$E1555="",$O1555=""),"EKSİK",IF($O1555&lt;=0,"SIFIR/NEGATİF",IF(COUNTIFS($C$6:$C$5000,$C1555,$O$6:$O$5000,$O1555,$B$6:$B$5000,$B1555)&gt;1,"MÜKERRER","OK"))))</f>
        <v/>
      </c>
    </row>
    <row r="1556" ht="16.5" customHeight="1" s="80">
      <c r="A1556" s="113" t="n"/>
      <c r="B1556" s="113" t="n"/>
      <c r="C1556" s="113" t="n"/>
      <c r="D1556" s="113" t="n"/>
      <c r="E1556" s="113" t="n"/>
      <c r="F1556" s="113" t="n"/>
      <c r="G1556" s="113" t="n"/>
      <c r="H1556" s="113" t="n"/>
      <c r="I1556" s="113" t="n"/>
      <c r="J1556" s="113" t="n"/>
      <c r="K1556" s="113" t="n"/>
      <c r="L1556" s="113" t="n"/>
      <c r="M1556" s="113" t="n"/>
      <c r="N1556" s="113" t="n"/>
      <c r="O1556" s="113" t="n"/>
      <c r="P1556" s="113" t="n"/>
      <c r="Q1556" s="113" t="n"/>
      <c r="R1556" s="113" t="n"/>
      <c r="S1556" s="113" t="n"/>
      <c r="T1556" s="113" t="n"/>
      <c r="U1556" s="113" t="n"/>
      <c r="V1556" s="113" t="n"/>
      <c r="W1556" s="113" t="n"/>
      <c r="X1556" s="113" t="n"/>
      <c r="Y1556" s="113" t="n"/>
      <c r="Z1556" s="117">
        <f>IF($B1556="",0,IF($S1556="EVET",IF($D1556="GELİR",$O1556,-$O1556),0))</f>
        <v/>
      </c>
      <c r="AA1556" s="117">
        <f>IF($B1556="",0,IF(OR($W1556="EVET",$X1556="EVET",$Y1556="EVET"),0,IF($D1556="GELİR",IF($E1556="SATIŞ İADESİ/İSKONTO",-$O1556,$O1556),-$O1556)))</f>
        <v/>
      </c>
      <c r="AB1556" s="117">
        <f>IF($B1556="","",IF(OR($D1556="",$E1556="",$O1556=""),"EKSİK",IF($O1556&lt;=0,"SIFIR/NEGATİF",IF(COUNTIFS($C$6:$C$5000,$C1556,$O$6:$O$5000,$O1556,$B$6:$B$5000,$B1556)&gt;1,"MÜKERRER","OK"))))</f>
        <v/>
      </c>
    </row>
    <row r="1557" ht="16.5" customHeight="1" s="80">
      <c r="A1557" s="113" t="n"/>
      <c r="B1557" s="113" t="n"/>
      <c r="C1557" s="113" t="n"/>
      <c r="D1557" s="113" t="n"/>
      <c r="E1557" s="113" t="n"/>
      <c r="F1557" s="113" t="n"/>
      <c r="G1557" s="113" t="n"/>
      <c r="H1557" s="113" t="n"/>
      <c r="I1557" s="113" t="n"/>
      <c r="J1557" s="113" t="n"/>
      <c r="K1557" s="113" t="n"/>
      <c r="L1557" s="113" t="n"/>
      <c r="M1557" s="113" t="n"/>
      <c r="N1557" s="113" t="n"/>
      <c r="O1557" s="113" t="n"/>
      <c r="P1557" s="113" t="n"/>
      <c r="Q1557" s="113" t="n"/>
      <c r="R1557" s="113" t="n"/>
      <c r="S1557" s="113" t="n"/>
      <c r="T1557" s="113" t="n"/>
      <c r="U1557" s="113" t="n"/>
      <c r="V1557" s="113" t="n"/>
      <c r="W1557" s="113" t="n"/>
      <c r="X1557" s="113" t="n"/>
      <c r="Y1557" s="113" t="n"/>
      <c r="Z1557" s="117">
        <f>IF($B1557="",0,IF($S1557="EVET",IF($D1557="GELİR",$O1557,-$O1557),0))</f>
        <v/>
      </c>
      <c r="AA1557" s="117">
        <f>IF($B1557="",0,IF(OR($W1557="EVET",$X1557="EVET",$Y1557="EVET"),0,IF($D1557="GELİR",IF($E1557="SATIŞ İADESİ/İSKONTO",-$O1557,$O1557),-$O1557)))</f>
        <v/>
      </c>
      <c r="AB1557" s="117">
        <f>IF($B1557="","",IF(OR($D1557="",$E1557="",$O1557=""),"EKSİK",IF($O1557&lt;=0,"SIFIR/NEGATİF",IF(COUNTIFS($C$6:$C$5000,$C1557,$O$6:$O$5000,$O1557,$B$6:$B$5000,$B1557)&gt;1,"MÜKERRER","OK"))))</f>
        <v/>
      </c>
    </row>
    <row r="1558" ht="16.5" customHeight="1" s="80">
      <c r="A1558" s="113" t="n"/>
      <c r="B1558" s="113" t="n"/>
      <c r="C1558" s="113" t="n"/>
      <c r="D1558" s="113" t="n"/>
      <c r="E1558" s="113" t="n"/>
      <c r="F1558" s="113" t="n"/>
      <c r="G1558" s="113" t="n"/>
      <c r="H1558" s="113" t="n"/>
      <c r="I1558" s="113" t="n"/>
      <c r="J1558" s="113" t="n"/>
      <c r="K1558" s="113" t="n"/>
      <c r="L1558" s="113" t="n"/>
      <c r="M1558" s="113" t="n"/>
      <c r="N1558" s="113" t="n"/>
      <c r="O1558" s="113" t="n"/>
      <c r="P1558" s="113" t="n"/>
      <c r="Q1558" s="113" t="n"/>
      <c r="R1558" s="113" t="n"/>
      <c r="S1558" s="113" t="n"/>
      <c r="T1558" s="113" t="n"/>
      <c r="U1558" s="113" t="n"/>
      <c r="V1558" s="113" t="n"/>
      <c r="W1558" s="113" t="n"/>
      <c r="X1558" s="113" t="n"/>
      <c r="Y1558" s="113" t="n"/>
      <c r="Z1558" s="117">
        <f>IF($B1558="",0,IF($S1558="EVET",IF($D1558="GELİR",$O1558,-$O1558),0))</f>
        <v/>
      </c>
      <c r="AA1558" s="117">
        <f>IF($B1558="",0,IF(OR($W1558="EVET",$X1558="EVET",$Y1558="EVET"),0,IF($D1558="GELİR",IF($E1558="SATIŞ İADESİ/İSKONTO",-$O1558,$O1558),-$O1558)))</f>
        <v/>
      </c>
      <c r="AB1558" s="117">
        <f>IF($B1558="","",IF(OR($D1558="",$E1558="",$O1558=""),"EKSİK",IF($O1558&lt;=0,"SIFIR/NEGATİF",IF(COUNTIFS($C$6:$C$5000,$C1558,$O$6:$O$5000,$O1558,$B$6:$B$5000,$B1558)&gt;1,"MÜKERRER","OK"))))</f>
        <v/>
      </c>
    </row>
    <row r="1559" ht="16.5" customHeight="1" s="80">
      <c r="A1559" s="113" t="n"/>
      <c r="B1559" s="113" t="n"/>
      <c r="C1559" s="113" t="n"/>
      <c r="D1559" s="113" t="n"/>
      <c r="E1559" s="113" t="n"/>
      <c r="F1559" s="113" t="n"/>
      <c r="G1559" s="113" t="n"/>
      <c r="H1559" s="113" t="n"/>
      <c r="I1559" s="113" t="n"/>
      <c r="J1559" s="113" t="n"/>
      <c r="K1559" s="113" t="n"/>
      <c r="L1559" s="113" t="n"/>
      <c r="M1559" s="113" t="n"/>
      <c r="N1559" s="113" t="n"/>
      <c r="O1559" s="113" t="n"/>
      <c r="P1559" s="113" t="n"/>
      <c r="Q1559" s="113" t="n"/>
      <c r="R1559" s="113" t="n"/>
      <c r="S1559" s="113" t="n"/>
      <c r="T1559" s="113" t="n"/>
      <c r="U1559" s="113" t="n"/>
      <c r="V1559" s="113" t="n"/>
      <c r="W1559" s="113" t="n"/>
      <c r="X1559" s="113" t="n"/>
      <c r="Y1559" s="113" t="n"/>
      <c r="Z1559" s="117">
        <f>IF($B1559="",0,IF($S1559="EVET",IF($D1559="GELİR",$O1559,-$O1559),0))</f>
        <v/>
      </c>
      <c r="AA1559" s="117">
        <f>IF($B1559="",0,IF(OR($W1559="EVET",$X1559="EVET",$Y1559="EVET"),0,IF($D1559="GELİR",IF($E1559="SATIŞ İADESİ/İSKONTO",-$O1559,$O1559),-$O1559)))</f>
        <v/>
      </c>
      <c r="AB1559" s="117">
        <f>IF($B1559="","",IF(OR($D1559="",$E1559="",$O1559=""),"EKSİK",IF($O1559&lt;=0,"SIFIR/NEGATİF",IF(COUNTIFS($C$6:$C$5000,$C1559,$O$6:$O$5000,$O1559,$B$6:$B$5000,$B1559)&gt;1,"MÜKERRER","OK"))))</f>
        <v/>
      </c>
    </row>
    <row r="1560" ht="16.5" customHeight="1" s="80">
      <c r="A1560" s="113" t="n"/>
      <c r="B1560" s="113" t="n"/>
      <c r="C1560" s="113" t="n"/>
      <c r="D1560" s="113" t="n"/>
      <c r="E1560" s="113" t="n"/>
      <c r="F1560" s="113" t="n"/>
      <c r="G1560" s="113" t="n"/>
      <c r="H1560" s="113" t="n"/>
      <c r="I1560" s="113" t="n"/>
      <c r="J1560" s="113" t="n"/>
      <c r="K1560" s="113" t="n"/>
      <c r="L1560" s="113" t="n"/>
      <c r="M1560" s="113" t="n"/>
      <c r="N1560" s="113" t="n"/>
      <c r="O1560" s="113" t="n"/>
      <c r="P1560" s="113" t="n"/>
      <c r="Q1560" s="113" t="n"/>
      <c r="R1560" s="113" t="n"/>
      <c r="S1560" s="113" t="n"/>
      <c r="T1560" s="113" t="n"/>
      <c r="U1560" s="113" t="n"/>
      <c r="V1560" s="113" t="n"/>
      <c r="W1560" s="113" t="n"/>
      <c r="X1560" s="113" t="n"/>
      <c r="Y1560" s="113" t="n"/>
      <c r="Z1560" s="117">
        <f>IF($B1560="",0,IF($S1560="EVET",IF($D1560="GELİR",$O1560,-$O1560),0))</f>
        <v/>
      </c>
      <c r="AA1560" s="117">
        <f>IF($B1560="",0,IF(OR($W1560="EVET",$X1560="EVET",$Y1560="EVET"),0,IF($D1560="GELİR",IF($E1560="SATIŞ İADESİ/İSKONTO",-$O1560,$O1560),-$O1560)))</f>
        <v/>
      </c>
      <c r="AB1560" s="117">
        <f>IF($B1560="","",IF(OR($D1560="",$E1560="",$O1560=""),"EKSİK",IF($O1560&lt;=0,"SIFIR/NEGATİF",IF(COUNTIFS($C$6:$C$5000,$C1560,$O$6:$O$5000,$O1560,$B$6:$B$5000,$B1560)&gt;1,"MÜKERRER","OK"))))</f>
        <v/>
      </c>
    </row>
    <row r="1561" ht="16.5" customHeight="1" s="80">
      <c r="A1561" s="113" t="n"/>
      <c r="B1561" s="113" t="n"/>
      <c r="C1561" s="113" t="n"/>
      <c r="D1561" s="113" t="n"/>
      <c r="E1561" s="113" t="n"/>
      <c r="F1561" s="113" t="n"/>
      <c r="G1561" s="113" t="n"/>
      <c r="H1561" s="113" t="n"/>
      <c r="I1561" s="113" t="n"/>
      <c r="J1561" s="113" t="n"/>
      <c r="K1561" s="113" t="n"/>
      <c r="L1561" s="113" t="n"/>
      <c r="M1561" s="113" t="n"/>
      <c r="N1561" s="113" t="n"/>
      <c r="O1561" s="113" t="n"/>
      <c r="P1561" s="113" t="n"/>
      <c r="Q1561" s="113" t="n"/>
      <c r="R1561" s="113" t="n"/>
      <c r="S1561" s="113" t="n"/>
      <c r="T1561" s="113" t="n"/>
      <c r="U1561" s="113" t="n"/>
      <c r="V1561" s="113" t="n"/>
      <c r="W1561" s="113" t="n"/>
      <c r="X1561" s="113" t="n"/>
      <c r="Y1561" s="113" t="n"/>
      <c r="Z1561" s="117">
        <f>IF($B1561="",0,IF($S1561="EVET",IF($D1561="GELİR",$O1561,-$O1561),0))</f>
        <v/>
      </c>
      <c r="AA1561" s="117">
        <f>IF($B1561="",0,IF(OR($W1561="EVET",$X1561="EVET",$Y1561="EVET"),0,IF($D1561="GELİR",IF($E1561="SATIŞ İADESİ/İSKONTO",-$O1561,$O1561),-$O1561)))</f>
        <v/>
      </c>
      <c r="AB1561" s="117">
        <f>IF($B1561="","",IF(OR($D1561="",$E1561="",$O1561=""),"EKSİK",IF($O1561&lt;=0,"SIFIR/NEGATİF",IF(COUNTIFS($C$6:$C$5000,$C1561,$O$6:$O$5000,$O1561,$B$6:$B$5000,$B1561)&gt;1,"MÜKERRER","OK"))))</f>
        <v/>
      </c>
    </row>
    <row r="1562" ht="16.5" customHeight="1" s="80">
      <c r="A1562" s="113" t="n"/>
      <c r="B1562" s="113" t="n"/>
      <c r="C1562" s="113" t="n"/>
      <c r="D1562" s="113" t="n"/>
      <c r="E1562" s="113" t="n"/>
      <c r="F1562" s="113" t="n"/>
      <c r="G1562" s="113" t="n"/>
      <c r="H1562" s="113" t="n"/>
      <c r="I1562" s="113" t="n"/>
      <c r="J1562" s="113" t="n"/>
      <c r="K1562" s="113" t="n"/>
      <c r="L1562" s="113" t="n"/>
      <c r="M1562" s="113" t="n"/>
      <c r="N1562" s="113" t="n"/>
      <c r="O1562" s="113" t="n"/>
      <c r="P1562" s="113" t="n"/>
      <c r="Q1562" s="113" t="n"/>
      <c r="R1562" s="113" t="n"/>
      <c r="S1562" s="113" t="n"/>
      <c r="T1562" s="113" t="n"/>
      <c r="U1562" s="113" t="n"/>
      <c r="V1562" s="113" t="n"/>
      <c r="W1562" s="113" t="n"/>
      <c r="X1562" s="113" t="n"/>
      <c r="Y1562" s="113" t="n"/>
      <c r="Z1562" s="117">
        <f>IF($B1562="",0,IF($S1562="EVET",IF($D1562="GELİR",$O1562,-$O1562),0))</f>
        <v/>
      </c>
      <c r="AA1562" s="117">
        <f>IF($B1562="",0,IF(OR($W1562="EVET",$X1562="EVET",$Y1562="EVET"),0,IF($D1562="GELİR",IF($E1562="SATIŞ İADESİ/İSKONTO",-$O1562,$O1562),-$O1562)))</f>
        <v/>
      </c>
      <c r="AB1562" s="117">
        <f>IF($B1562="","",IF(OR($D1562="",$E1562="",$O1562=""),"EKSİK",IF($O1562&lt;=0,"SIFIR/NEGATİF",IF(COUNTIFS($C$6:$C$5000,$C1562,$O$6:$O$5000,$O1562,$B$6:$B$5000,$B1562)&gt;1,"MÜKERRER","OK"))))</f>
        <v/>
      </c>
    </row>
    <row r="1563" ht="16.5" customHeight="1" s="80">
      <c r="A1563" s="113" t="n"/>
      <c r="B1563" s="113" t="n"/>
      <c r="C1563" s="113" t="n"/>
      <c r="D1563" s="113" t="n"/>
      <c r="E1563" s="113" t="n"/>
      <c r="F1563" s="113" t="n"/>
      <c r="G1563" s="113" t="n"/>
      <c r="H1563" s="113" t="n"/>
      <c r="I1563" s="113" t="n"/>
      <c r="J1563" s="113" t="n"/>
      <c r="K1563" s="113" t="n"/>
      <c r="L1563" s="113" t="n"/>
      <c r="M1563" s="113" t="n"/>
      <c r="N1563" s="113" t="n"/>
      <c r="O1563" s="113" t="n"/>
      <c r="P1563" s="113" t="n"/>
      <c r="Q1563" s="113" t="n"/>
      <c r="R1563" s="113" t="n"/>
      <c r="S1563" s="113" t="n"/>
      <c r="T1563" s="113" t="n"/>
      <c r="U1563" s="113" t="n"/>
      <c r="V1563" s="113" t="n"/>
      <c r="W1563" s="113" t="n"/>
      <c r="X1563" s="113" t="n"/>
      <c r="Y1563" s="113" t="n"/>
      <c r="Z1563" s="117">
        <f>IF($B1563="",0,IF($S1563="EVET",IF($D1563="GELİR",$O1563,-$O1563),0))</f>
        <v/>
      </c>
      <c r="AA1563" s="117">
        <f>IF($B1563="",0,IF(OR($W1563="EVET",$X1563="EVET",$Y1563="EVET"),0,IF($D1563="GELİR",IF($E1563="SATIŞ İADESİ/İSKONTO",-$O1563,$O1563),-$O1563)))</f>
        <v/>
      </c>
      <c r="AB1563" s="117">
        <f>IF($B1563="","",IF(OR($D1563="",$E1563="",$O1563=""),"EKSİK",IF($O1563&lt;=0,"SIFIR/NEGATİF",IF(COUNTIFS($C$6:$C$5000,$C1563,$O$6:$O$5000,$O1563,$B$6:$B$5000,$B1563)&gt;1,"MÜKERRER","OK"))))</f>
        <v/>
      </c>
    </row>
    <row r="1564" ht="16.5" customHeight="1" s="80">
      <c r="A1564" s="113" t="n"/>
      <c r="B1564" s="113" t="n"/>
      <c r="C1564" s="113" t="n"/>
      <c r="D1564" s="113" t="n"/>
      <c r="E1564" s="113" t="n"/>
      <c r="F1564" s="113" t="n"/>
      <c r="G1564" s="113" t="n"/>
      <c r="H1564" s="113" t="n"/>
      <c r="I1564" s="113" t="n"/>
      <c r="J1564" s="113" t="n"/>
      <c r="K1564" s="113" t="n"/>
      <c r="L1564" s="113" t="n"/>
      <c r="M1564" s="113" t="n"/>
      <c r="N1564" s="113" t="n"/>
      <c r="O1564" s="113" t="n"/>
      <c r="P1564" s="113" t="n"/>
      <c r="Q1564" s="113" t="n"/>
      <c r="R1564" s="113" t="n"/>
      <c r="S1564" s="113" t="n"/>
      <c r="T1564" s="113" t="n"/>
      <c r="U1564" s="113" t="n"/>
      <c r="V1564" s="113" t="n"/>
      <c r="W1564" s="113" t="n"/>
      <c r="X1564" s="113" t="n"/>
      <c r="Y1564" s="113" t="n"/>
      <c r="Z1564" s="117">
        <f>IF($B1564="",0,IF($S1564="EVET",IF($D1564="GELİR",$O1564,-$O1564),0))</f>
        <v/>
      </c>
      <c r="AA1564" s="117">
        <f>IF($B1564="",0,IF(OR($W1564="EVET",$X1564="EVET",$Y1564="EVET"),0,IF($D1564="GELİR",IF($E1564="SATIŞ İADESİ/İSKONTO",-$O1564,$O1564),-$O1564)))</f>
        <v/>
      </c>
      <c r="AB1564" s="117">
        <f>IF($B1564="","",IF(OR($D1564="",$E1564="",$O1564=""),"EKSİK",IF($O1564&lt;=0,"SIFIR/NEGATİF",IF(COUNTIFS($C$6:$C$5000,$C1564,$O$6:$O$5000,$O1564,$B$6:$B$5000,$B1564)&gt;1,"MÜKERRER","OK"))))</f>
        <v/>
      </c>
    </row>
    <row r="1565" ht="16.5" customHeight="1" s="80">
      <c r="A1565" s="113" t="n"/>
      <c r="B1565" s="113" t="n"/>
      <c r="C1565" s="113" t="n"/>
      <c r="D1565" s="113" t="n"/>
      <c r="E1565" s="113" t="n"/>
      <c r="F1565" s="113" t="n"/>
      <c r="G1565" s="113" t="n"/>
      <c r="H1565" s="113" t="n"/>
      <c r="I1565" s="113" t="n"/>
      <c r="J1565" s="113" t="n"/>
      <c r="K1565" s="113" t="n"/>
      <c r="L1565" s="113" t="n"/>
      <c r="M1565" s="113" t="n"/>
      <c r="N1565" s="113" t="n"/>
      <c r="O1565" s="113" t="n"/>
      <c r="P1565" s="113" t="n"/>
      <c r="Q1565" s="113" t="n"/>
      <c r="R1565" s="113" t="n"/>
      <c r="S1565" s="113" t="n"/>
      <c r="T1565" s="113" t="n"/>
      <c r="U1565" s="113" t="n"/>
      <c r="V1565" s="113" t="n"/>
      <c r="W1565" s="113" t="n"/>
      <c r="X1565" s="113" t="n"/>
      <c r="Y1565" s="113" t="n"/>
      <c r="Z1565" s="117">
        <f>IF($B1565="",0,IF($S1565="EVET",IF($D1565="GELİR",$O1565,-$O1565),0))</f>
        <v/>
      </c>
      <c r="AA1565" s="117">
        <f>IF($B1565="",0,IF(OR($W1565="EVET",$X1565="EVET",$Y1565="EVET"),0,IF($D1565="GELİR",IF($E1565="SATIŞ İADESİ/İSKONTO",-$O1565,$O1565),-$O1565)))</f>
        <v/>
      </c>
      <c r="AB1565" s="117">
        <f>IF($B1565="","",IF(OR($D1565="",$E1565="",$O1565=""),"EKSİK",IF($O1565&lt;=0,"SIFIR/NEGATİF",IF(COUNTIFS($C$6:$C$5000,$C1565,$O$6:$O$5000,$O1565,$B$6:$B$5000,$B1565)&gt;1,"MÜKERRER","OK"))))</f>
        <v/>
      </c>
    </row>
    <row r="1566" ht="16.5" customHeight="1" s="80">
      <c r="A1566" s="113" t="n"/>
      <c r="B1566" s="113" t="n"/>
      <c r="C1566" s="113" t="n"/>
      <c r="D1566" s="113" t="n"/>
      <c r="E1566" s="113" t="n"/>
      <c r="F1566" s="113" t="n"/>
      <c r="G1566" s="113" t="n"/>
      <c r="H1566" s="113" t="n"/>
      <c r="I1566" s="113" t="n"/>
      <c r="J1566" s="113" t="n"/>
      <c r="K1566" s="113" t="n"/>
      <c r="L1566" s="113" t="n"/>
      <c r="M1566" s="113" t="n"/>
      <c r="N1566" s="113" t="n"/>
      <c r="O1566" s="113" t="n"/>
      <c r="P1566" s="113" t="n"/>
      <c r="Q1566" s="113" t="n"/>
      <c r="R1566" s="113" t="n"/>
      <c r="S1566" s="113" t="n"/>
      <c r="T1566" s="113" t="n"/>
      <c r="U1566" s="113" t="n"/>
      <c r="V1566" s="113" t="n"/>
      <c r="W1566" s="113" t="n"/>
      <c r="X1566" s="113" t="n"/>
      <c r="Y1566" s="113" t="n"/>
      <c r="Z1566" s="117">
        <f>IF($B1566="",0,IF($S1566="EVET",IF($D1566="GELİR",$O1566,-$O1566),0))</f>
        <v/>
      </c>
      <c r="AA1566" s="117">
        <f>IF($B1566="",0,IF(OR($W1566="EVET",$X1566="EVET",$Y1566="EVET"),0,IF($D1566="GELİR",IF($E1566="SATIŞ İADESİ/İSKONTO",-$O1566,$O1566),-$O1566)))</f>
        <v/>
      </c>
      <c r="AB1566" s="117">
        <f>IF($B1566="","",IF(OR($D1566="",$E1566="",$O1566=""),"EKSİK",IF($O1566&lt;=0,"SIFIR/NEGATİF",IF(COUNTIFS($C$6:$C$5000,$C1566,$O$6:$O$5000,$O1566,$B$6:$B$5000,$B1566)&gt;1,"MÜKERRER","OK"))))</f>
        <v/>
      </c>
    </row>
    <row r="1567" ht="16.5" customHeight="1" s="80">
      <c r="A1567" s="113" t="n"/>
      <c r="B1567" s="113" t="n"/>
      <c r="C1567" s="113" t="n"/>
      <c r="D1567" s="113" t="n"/>
      <c r="E1567" s="113" t="n"/>
      <c r="F1567" s="113" t="n"/>
      <c r="G1567" s="113" t="n"/>
      <c r="H1567" s="113" t="n"/>
      <c r="I1567" s="113" t="n"/>
      <c r="J1567" s="113" t="n"/>
      <c r="K1567" s="113" t="n"/>
      <c r="L1567" s="113" t="n"/>
      <c r="M1567" s="113" t="n"/>
      <c r="N1567" s="113" t="n"/>
      <c r="O1567" s="113" t="n"/>
      <c r="P1567" s="113" t="n"/>
      <c r="Q1567" s="113" t="n"/>
      <c r="R1567" s="113" t="n"/>
      <c r="S1567" s="113" t="n"/>
      <c r="T1567" s="113" t="n"/>
      <c r="U1567" s="113" t="n"/>
      <c r="V1567" s="113" t="n"/>
      <c r="W1567" s="113" t="n"/>
      <c r="X1567" s="113" t="n"/>
      <c r="Y1567" s="113" t="n"/>
      <c r="Z1567" s="117">
        <f>IF($B1567="",0,IF($S1567="EVET",IF($D1567="GELİR",$O1567,-$O1567),0))</f>
        <v/>
      </c>
      <c r="AA1567" s="117">
        <f>IF($B1567="",0,IF(OR($W1567="EVET",$X1567="EVET",$Y1567="EVET"),0,IF($D1567="GELİR",IF($E1567="SATIŞ İADESİ/İSKONTO",-$O1567,$O1567),-$O1567)))</f>
        <v/>
      </c>
      <c r="AB1567" s="117">
        <f>IF($B1567="","",IF(OR($D1567="",$E1567="",$O1567=""),"EKSİK",IF($O1567&lt;=0,"SIFIR/NEGATİF",IF(COUNTIFS($C$6:$C$5000,$C1567,$O$6:$O$5000,$O1567,$B$6:$B$5000,$B1567)&gt;1,"MÜKERRER","OK"))))</f>
        <v/>
      </c>
    </row>
    <row r="1568" ht="16.5" customHeight="1" s="80">
      <c r="A1568" s="113" t="n"/>
      <c r="B1568" s="113" t="n"/>
      <c r="C1568" s="113" t="n"/>
      <c r="D1568" s="113" t="n"/>
      <c r="E1568" s="113" t="n"/>
      <c r="F1568" s="113" t="n"/>
      <c r="G1568" s="113" t="n"/>
      <c r="H1568" s="113" t="n"/>
      <c r="I1568" s="113" t="n"/>
      <c r="J1568" s="113" t="n"/>
      <c r="K1568" s="113" t="n"/>
      <c r="L1568" s="113" t="n"/>
      <c r="M1568" s="113" t="n"/>
      <c r="N1568" s="113" t="n"/>
      <c r="O1568" s="113" t="n"/>
      <c r="P1568" s="113" t="n"/>
      <c r="Q1568" s="113" t="n"/>
      <c r="R1568" s="113" t="n"/>
      <c r="S1568" s="113" t="n"/>
      <c r="T1568" s="113" t="n"/>
      <c r="U1568" s="113" t="n"/>
      <c r="V1568" s="113" t="n"/>
      <c r="W1568" s="113" t="n"/>
      <c r="X1568" s="113" t="n"/>
      <c r="Y1568" s="113" t="n"/>
      <c r="Z1568" s="117">
        <f>IF($B1568="",0,IF($S1568="EVET",IF($D1568="GELİR",$O1568,-$O1568),0))</f>
        <v/>
      </c>
      <c r="AA1568" s="117">
        <f>IF($B1568="",0,IF(OR($W1568="EVET",$X1568="EVET",$Y1568="EVET"),0,IF($D1568="GELİR",IF($E1568="SATIŞ İADESİ/İSKONTO",-$O1568,$O1568),-$O1568)))</f>
        <v/>
      </c>
      <c r="AB1568" s="117">
        <f>IF($B1568="","",IF(OR($D1568="",$E1568="",$O1568=""),"EKSİK",IF($O1568&lt;=0,"SIFIR/NEGATİF",IF(COUNTIFS($C$6:$C$5000,$C1568,$O$6:$O$5000,$O1568,$B$6:$B$5000,$B1568)&gt;1,"MÜKERRER","OK"))))</f>
        <v/>
      </c>
    </row>
    <row r="1569" ht="16.5" customHeight="1" s="80">
      <c r="A1569" s="113" t="n"/>
      <c r="B1569" s="113" t="n"/>
      <c r="C1569" s="113" t="n"/>
      <c r="D1569" s="113" t="n"/>
      <c r="E1569" s="113" t="n"/>
      <c r="F1569" s="113" t="n"/>
      <c r="G1569" s="113" t="n"/>
      <c r="H1569" s="113" t="n"/>
      <c r="I1569" s="113" t="n"/>
      <c r="J1569" s="113" t="n"/>
      <c r="K1569" s="113" t="n"/>
      <c r="L1569" s="113" t="n"/>
      <c r="M1569" s="113" t="n"/>
      <c r="N1569" s="113" t="n"/>
      <c r="O1569" s="113" t="n"/>
      <c r="P1569" s="113" t="n"/>
      <c r="Q1569" s="113" t="n"/>
      <c r="R1569" s="113" t="n"/>
      <c r="S1569" s="113" t="n"/>
      <c r="T1569" s="113" t="n"/>
      <c r="U1569" s="113" t="n"/>
      <c r="V1569" s="113" t="n"/>
      <c r="W1569" s="113" t="n"/>
      <c r="X1569" s="113" t="n"/>
      <c r="Y1569" s="113" t="n"/>
      <c r="Z1569" s="117">
        <f>IF($B1569="",0,IF($S1569="EVET",IF($D1569="GELİR",$O1569,-$O1569),0))</f>
        <v/>
      </c>
      <c r="AA1569" s="117">
        <f>IF($B1569="",0,IF(OR($W1569="EVET",$X1569="EVET",$Y1569="EVET"),0,IF($D1569="GELİR",IF($E1569="SATIŞ İADESİ/İSKONTO",-$O1569,$O1569),-$O1569)))</f>
        <v/>
      </c>
      <c r="AB1569" s="117">
        <f>IF($B1569="","",IF(OR($D1569="",$E1569="",$O1569=""),"EKSİK",IF($O1569&lt;=0,"SIFIR/NEGATİF",IF(COUNTIFS($C$6:$C$5000,$C1569,$O$6:$O$5000,$O1569,$B$6:$B$5000,$B1569)&gt;1,"MÜKERRER","OK"))))</f>
        <v/>
      </c>
    </row>
    <row r="1570" ht="16.5" customHeight="1" s="80">
      <c r="A1570" s="113" t="n"/>
      <c r="B1570" s="113" t="n"/>
      <c r="C1570" s="113" t="n"/>
      <c r="D1570" s="113" t="n"/>
      <c r="E1570" s="113" t="n"/>
      <c r="F1570" s="113" t="n"/>
      <c r="G1570" s="113" t="n"/>
      <c r="H1570" s="113" t="n"/>
      <c r="I1570" s="113" t="n"/>
      <c r="J1570" s="113" t="n"/>
      <c r="K1570" s="113" t="n"/>
      <c r="L1570" s="113" t="n"/>
      <c r="M1570" s="113" t="n"/>
      <c r="N1570" s="113" t="n"/>
      <c r="O1570" s="113" t="n"/>
      <c r="P1570" s="113" t="n"/>
      <c r="Q1570" s="113" t="n"/>
      <c r="R1570" s="113" t="n"/>
      <c r="S1570" s="113" t="n"/>
      <c r="T1570" s="113" t="n"/>
      <c r="U1570" s="113" t="n"/>
      <c r="V1570" s="113" t="n"/>
      <c r="W1570" s="113" t="n"/>
      <c r="X1570" s="113" t="n"/>
      <c r="Y1570" s="113" t="n"/>
      <c r="Z1570" s="117">
        <f>IF($B1570="",0,IF($S1570="EVET",IF($D1570="GELİR",$O1570,-$O1570),0))</f>
        <v/>
      </c>
      <c r="AA1570" s="117">
        <f>IF($B1570="",0,IF(OR($W1570="EVET",$X1570="EVET",$Y1570="EVET"),0,IF($D1570="GELİR",IF($E1570="SATIŞ İADESİ/İSKONTO",-$O1570,$O1570),-$O1570)))</f>
        <v/>
      </c>
      <c r="AB1570" s="117">
        <f>IF($B1570="","",IF(OR($D1570="",$E1570="",$O1570=""),"EKSİK",IF($O1570&lt;=0,"SIFIR/NEGATİF",IF(COUNTIFS($C$6:$C$5000,$C1570,$O$6:$O$5000,$O1570,$B$6:$B$5000,$B1570)&gt;1,"MÜKERRER","OK"))))</f>
        <v/>
      </c>
    </row>
    <row r="1571" ht="16.5" customHeight="1" s="80">
      <c r="A1571" s="113" t="n"/>
      <c r="B1571" s="113" t="n"/>
      <c r="C1571" s="113" t="n"/>
      <c r="D1571" s="113" t="n"/>
      <c r="E1571" s="113" t="n"/>
      <c r="F1571" s="113" t="n"/>
      <c r="G1571" s="113" t="n"/>
      <c r="H1571" s="113" t="n"/>
      <c r="I1571" s="113" t="n"/>
      <c r="J1571" s="113" t="n"/>
      <c r="K1571" s="113" t="n"/>
      <c r="L1571" s="113" t="n"/>
      <c r="M1571" s="113" t="n"/>
      <c r="N1571" s="113" t="n"/>
      <c r="O1571" s="113" t="n"/>
      <c r="P1571" s="113" t="n"/>
      <c r="Q1571" s="113" t="n"/>
      <c r="R1571" s="113" t="n"/>
      <c r="S1571" s="113" t="n"/>
      <c r="T1571" s="113" t="n"/>
      <c r="U1571" s="113" t="n"/>
      <c r="V1571" s="113" t="n"/>
      <c r="W1571" s="113" t="n"/>
      <c r="X1571" s="113" t="n"/>
      <c r="Y1571" s="113" t="n"/>
      <c r="Z1571" s="117">
        <f>IF($B1571="",0,IF($S1571="EVET",IF($D1571="GELİR",$O1571,-$O1571),0))</f>
        <v/>
      </c>
      <c r="AA1571" s="117">
        <f>IF($B1571="",0,IF(OR($W1571="EVET",$X1571="EVET",$Y1571="EVET"),0,IF($D1571="GELİR",IF($E1571="SATIŞ İADESİ/İSKONTO",-$O1571,$O1571),-$O1571)))</f>
        <v/>
      </c>
      <c r="AB1571" s="117">
        <f>IF($B1571="","",IF(OR($D1571="",$E1571="",$O1571=""),"EKSİK",IF($O1571&lt;=0,"SIFIR/NEGATİF",IF(COUNTIFS($C$6:$C$5000,$C1571,$O$6:$O$5000,$O1571,$B$6:$B$5000,$B1571)&gt;1,"MÜKERRER","OK"))))</f>
        <v/>
      </c>
    </row>
    <row r="1572" ht="16.5" customHeight="1" s="80">
      <c r="A1572" s="113" t="n"/>
      <c r="B1572" s="113" t="n"/>
      <c r="C1572" s="113" t="n"/>
      <c r="D1572" s="113" t="n"/>
      <c r="E1572" s="113" t="n"/>
      <c r="F1572" s="113" t="n"/>
      <c r="G1572" s="113" t="n"/>
      <c r="H1572" s="113" t="n"/>
      <c r="I1572" s="113" t="n"/>
      <c r="J1572" s="113" t="n"/>
      <c r="K1572" s="113" t="n"/>
      <c r="L1572" s="113" t="n"/>
      <c r="M1572" s="113" t="n"/>
      <c r="N1572" s="113" t="n"/>
      <c r="O1572" s="113" t="n"/>
      <c r="P1572" s="113" t="n"/>
      <c r="Q1572" s="113" t="n"/>
      <c r="R1572" s="113" t="n"/>
      <c r="S1572" s="113" t="n"/>
      <c r="T1572" s="113" t="n"/>
      <c r="U1572" s="113" t="n"/>
      <c r="V1572" s="113" t="n"/>
      <c r="W1572" s="113" t="n"/>
      <c r="X1572" s="113" t="n"/>
      <c r="Y1572" s="113" t="n"/>
      <c r="Z1572" s="117">
        <f>IF($B1572="",0,IF($S1572="EVET",IF($D1572="GELİR",$O1572,-$O1572),0))</f>
        <v/>
      </c>
      <c r="AA1572" s="117">
        <f>IF($B1572="",0,IF(OR($W1572="EVET",$X1572="EVET",$Y1572="EVET"),0,IF($D1572="GELİR",IF($E1572="SATIŞ İADESİ/İSKONTO",-$O1572,$O1572),-$O1572)))</f>
        <v/>
      </c>
      <c r="AB1572" s="117">
        <f>IF($B1572="","",IF(OR($D1572="",$E1572="",$O1572=""),"EKSİK",IF($O1572&lt;=0,"SIFIR/NEGATİF",IF(COUNTIFS($C$6:$C$5000,$C1572,$O$6:$O$5000,$O1572,$B$6:$B$5000,$B1572)&gt;1,"MÜKERRER","OK"))))</f>
        <v/>
      </c>
    </row>
    <row r="1573" ht="16.5" customHeight="1" s="80">
      <c r="A1573" s="113" t="n"/>
      <c r="B1573" s="113" t="n"/>
      <c r="C1573" s="113" t="n"/>
      <c r="D1573" s="113" t="n"/>
      <c r="E1573" s="113" t="n"/>
      <c r="F1573" s="113" t="n"/>
      <c r="G1573" s="113" t="n"/>
      <c r="H1573" s="113" t="n"/>
      <c r="I1573" s="113" t="n"/>
      <c r="J1573" s="113" t="n"/>
      <c r="K1573" s="113" t="n"/>
      <c r="L1573" s="113" t="n"/>
      <c r="M1573" s="113" t="n"/>
      <c r="N1573" s="113" t="n"/>
      <c r="O1573" s="113" t="n"/>
      <c r="P1573" s="113" t="n"/>
      <c r="Q1573" s="113" t="n"/>
      <c r="R1573" s="113" t="n"/>
      <c r="S1573" s="113" t="n"/>
      <c r="T1573" s="113" t="n"/>
      <c r="U1573" s="113" t="n"/>
      <c r="V1573" s="113" t="n"/>
      <c r="W1573" s="113" t="n"/>
      <c r="X1573" s="113" t="n"/>
      <c r="Y1573" s="113" t="n"/>
      <c r="Z1573" s="117">
        <f>IF($B1573="",0,IF($S1573="EVET",IF($D1573="GELİR",$O1573,-$O1573),0))</f>
        <v/>
      </c>
      <c r="AA1573" s="117">
        <f>IF($B1573="",0,IF(OR($W1573="EVET",$X1573="EVET",$Y1573="EVET"),0,IF($D1573="GELİR",IF($E1573="SATIŞ İADESİ/İSKONTO",-$O1573,$O1573),-$O1573)))</f>
        <v/>
      </c>
      <c r="AB1573" s="117">
        <f>IF($B1573="","",IF(OR($D1573="",$E1573="",$O1573=""),"EKSİK",IF($O1573&lt;=0,"SIFIR/NEGATİF",IF(COUNTIFS($C$6:$C$5000,$C1573,$O$6:$O$5000,$O1573,$B$6:$B$5000,$B1573)&gt;1,"MÜKERRER","OK"))))</f>
        <v/>
      </c>
    </row>
    <row r="1574" ht="16.5" customHeight="1" s="80">
      <c r="A1574" s="113" t="n"/>
      <c r="B1574" s="113" t="n"/>
      <c r="C1574" s="113" t="n"/>
      <c r="D1574" s="113" t="n"/>
      <c r="E1574" s="113" t="n"/>
      <c r="F1574" s="113" t="n"/>
      <c r="G1574" s="113" t="n"/>
      <c r="H1574" s="113" t="n"/>
      <c r="I1574" s="113" t="n"/>
      <c r="J1574" s="113" t="n"/>
      <c r="K1574" s="113" t="n"/>
      <c r="L1574" s="113" t="n"/>
      <c r="M1574" s="113" t="n"/>
      <c r="N1574" s="113" t="n"/>
      <c r="O1574" s="113" t="n"/>
      <c r="P1574" s="113" t="n"/>
      <c r="Q1574" s="113" t="n"/>
      <c r="R1574" s="113" t="n"/>
      <c r="S1574" s="113" t="n"/>
      <c r="T1574" s="113" t="n"/>
      <c r="U1574" s="113" t="n"/>
      <c r="V1574" s="113" t="n"/>
      <c r="W1574" s="113" t="n"/>
      <c r="X1574" s="113" t="n"/>
      <c r="Y1574" s="113" t="n"/>
      <c r="Z1574" s="117">
        <f>IF($B1574="",0,IF($S1574="EVET",IF($D1574="GELİR",$O1574,-$O1574),0))</f>
        <v/>
      </c>
      <c r="AA1574" s="117">
        <f>IF($B1574="",0,IF(OR($W1574="EVET",$X1574="EVET",$Y1574="EVET"),0,IF($D1574="GELİR",IF($E1574="SATIŞ İADESİ/İSKONTO",-$O1574,$O1574),-$O1574)))</f>
        <v/>
      </c>
      <c r="AB1574" s="117">
        <f>IF($B1574="","",IF(OR($D1574="",$E1574="",$O1574=""),"EKSİK",IF($O1574&lt;=0,"SIFIR/NEGATİF",IF(COUNTIFS($C$6:$C$5000,$C1574,$O$6:$O$5000,$O1574,$B$6:$B$5000,$B1574)&gt;1,"MÜKERRER","OK"))))</f>
        <v/>
      </c>
    </row>
    <row r="1575" ht="16.5" customHeight="1" s="80">
      <c r="A1575" s="113" t="n"/>
      <c r="B1575" s="113" t="n"/>
      <c r="C1575" s="113" t="n"/>
      <c r="D1575" s="113" t="n"/>
      <c r="E1575" s="113" t="n"/>
      <c r="F1575" s="113" t="n"/>
      <c r="G1575" s="113" t="n"/>
      <c r="H1575" s="113" t="n"/>
      <c r="I1575" s="113" t="n"/>
      <c r="J1575" s="113" t="n"/>
      <c r="K1575" s="113" t="n"/>
      <c r="L1575" s="113" t="n"/>
      <c r="M1575" s="113" t="n"/>
      <c r="N1575" s="113" t="n"/>
      <c r="O1575" s="113" t="n"/>
      <c r="P1575" s="113" t="n"/>
      <c r="Q1575" s="113" t="n"/>
      <c r="R1575" s="113" t="n"/>
      <c r="S1575" s="113" t="n"/>
      <c r="T1575" s="113" t="n"/>
      <c r="U1575" s="113" t="n"/>
      <c r="V1575" s="113" t="n"/>
      <c r="W1575" s="113" t="n"/>
      <c r="X1575" s="113" t="n"/>
      <c r="Y1575" s="113" t="n"/>
      <c r="Z1575" s="117">
        <f>IF($B1575="",0,IF($S1575="EVET",IF($D1575="GELİR",$O1575,-$O1575),0))</f>
        <v/>
      </c>
      <c r="AA1575" s="117">
        <f>IF($B1575="",0,IF(OR($W1575="EVET",$X1575="EVET",$Y1575="EVET"),0,IF($D1575="GELİR",IF($E1575="SATIŞ İADESİ/İSKONTO",-$O1575,$O1575),-$O1575)))</f>
        <v/>
      </c>
      <c r="AB1575" s="117">
        <f>IF($B1575="","",IF(OR($D1575="",$E1575="",$O1575=""),"EKSİK",IF($O1575&lt;=0,"SIFIR/NEGATİF",IF(COUNTIFS($C$6:$C$5000,$C1575,$O$6:$O$5000,$O1575,$B$6:$B$5000,$B1575)&gt;1,"MÜKERRER","OK"))))</f>
        <v/>
      </c>
    </row>
    <row r="1576" ht="16.5" customHeight="1" s="80">
      <c r="A1576" s="113" t="n"/>
      <c r="B1576" s="113" t="n"/>
      <c r="C1576" s="113" t="n"/>
      <c r="D1576" s="113" t="n"/>
      <c r="E1576" s="113" t="n"/>
      <c r="F1576" s="113" t="n"/>
      <c r="G1576" s="113" t="n"/>
      <c r="H1576" s="113" t="n"/>
      <c r="I1576" s="113" t="n"/>
      <c r="J1576" s="113" t="n"/>
      <c r="K1576" s="113" t="n"/>
      <c r="L1576" s="113" t="n"/>
      <c r="M1576" s="113" t="n"/>
      <c r="N1576" s="113" t="n"/>
      <c r="O1576" s="113" t="n"/>
      <c r="P1576" s="113" t="n"/>
      <c r="Q1576" s="113" t="n"/>
      <c r="R1576" s="113" t="n"/>
      <c r="S1576" s="113" t="n"/>
      <c r="T1576" s="113" t="n"/>
      <c r="U1576" s="113" t="n"/>
      <c r="V1576" s="113" t="n"/>
      <c r="W1576" s="113" t="n"/>
      <c r="X1576" s="113" t="n"/>
      <c r="Y1576" s="113" t="n"/>
      <c r="Z1576" s="117">
        <f>IF($B1576="",0,IF($S1576="EVET",IF($D1576="GELİR",$O1576,-$O1576),0))</f>
        <v/>
      </c>
      <c r="AA1576" s="117">
        <f>IF($B1576="",0,IF(OR($W1576="EVET",$X1576="EVET",$Y1576="EVET"),0,IF($D1576="GELİR",IF($E1576="SATIŞ İADESİ/İSKONTO",-$O1576,$O1576),-$O1576)))</f>
        <v/>
      </c>
      <c r="AB1576" s="117">
        <f>IF($B1576="","",IF(OR($D1576="",$E1576="",$O1576=""),"EKSİK",IF($O1576&lt;=0,"SIFIR/NEGATİF",IF(COUNTIFS($C$6:$C$5000,$C1576,$O$6:$O$5000,$O1576,$B$6:$B$5000,$B1576)&gt;1,"MÜKERRER","OK"))))</f>
        <v/>
      </c>
    </row>
    <row r="1577" ht="16.5" customHeight="1" s="80">
      <c r="A1577" s="113" t="n"/>
      <c r="B1577" s="113" t="n"/>
      <c r="C1577" s="113" t="n"/>
      <c r="D1577" s="113" t="n"/>
      <c r="E1577" s="113" t="n"/>
      <c r="F1577" s="113" t="n"/>
      <c r="G1577" s="113" t="n"/>
      <c r="H1577" s="113" t="n"/>
      <c r="I1577" s="113" t="n"/>
      <c r="J1577" s="113" t="n"/>
      <c r="K1577" s="113" t="n"/>
      <c r="L1577" s="113" t="n"/>
      <c r="M1577" s="113" t="n"/>
      <c r="N1577" s="113" t="n"/>
      <c r="O1577" s="113" t="n"/>
      <c r="P1577" s="113" t="n"/>
      <c r="Q1577" s="113" t="n"/>
      <c r="R1577" s="113" t="n"/>
      <c r="S1577" s="113" t="n"/>
      <c r="T1577" s="113" t="n"/>
      <c r="U1577" s="113" t="n"/>
      <c r="V1577" s="113" t="n"/>
      <c r="W1577" s="113" t="n"/>
      <c r="X1577" s="113" t="n"/>
      <c r="Y1577" s="113" t="n"/>
      <c r="Z1577" s="117">
        <f>IF($B1577="",0,IF($S1577="EVET",IF($D1577="GELİR",$O1577,-$O1577),0))</f>
        <v/>
      </c>
      <c r="AA1577" s="117">
        <f>IF($B1577="",0,IF(OR($W1577="EVET",$X1577="EVET",$Y1577="EVET"),0,IF($D1577="GELİR",IF($E1577="SATIŞ İADESİ/İSKONTO",-$O1577,$O1577),-$O1577)))</f>
        <v/>
      </c>
      <c r="AB1577" s="117">
        <f>IF($B1577="","",IF(OR($D1577="",$E1577="",$O1577=""),"EKSİK",IF($O1577&lt;=0,"SIFIR/NEGATİF",IF(COUNTIFS($C$6:$C$5000,$C1577,$O$6:$O$5000,$O1577,$B$6:$B$5000,$B1577)&gt;1,"MÜKERRER","OK"))))</f>
        <v/>
      </c>
    </row>
    <row r="1578" ht="16.5" customHeight="1" s="80">
      <c r="A1578" s="113" t="n"/>
      <c r="B1578" s="113" t="n"/>
      <c r="C1578" s="113" t="n"/>
      <c r="D1578" s="113" t="n"/>
      <c r="E1578" s="113" t="n"/>
      <c r="F1578" s="113" t="n"/>
      <c r="G1578" s="113" t="n"/>
      <c r="H1578" s="113" t="n"/>
      <c r="I1578" s="113" t="n"/>
      <c r="J1578" s="113" t="n"/>
      <c r="K1578" s="113" t="n"/>
      <c r="L1578" s="113" t="n"/>
      <c r="M1578" s="113" t="n"/>
      <c r="N1578" s="113" t="n"/>
      <c r="O1578" s="113" t="n"/>
      <c r="P1578" s="113" t="n"/>
      <c r="Q1578" s="113" t="n"/>
      <c r="R1578" s="113" t="n"/>
      <c r="S1578" s="113" t="n"/>
      <c r="T1578" s="113" t="n"/>
      <c r="U1578" s="113" t="n"/>
      <c r="V1578" s="113" t="n"/>
      <c r="W1578" s="113" t="n"/>
      <c r="X1578" s="113" t="n"/>
      <c r="Y1578" s="113" t="n"/>
      <c r="Z1578" s="117">
        <f>IF($B1578="",0,IF($S1578="EVET",IF($D1578="GELİR",$O1578,-$O1578),0))</f>
        <v/>
      </c>
      <c r="AA1578" s="117">
        <f>IF($B1578="",0,IF(OR($W1578="EVET",$X1578="EVET",$Y1578="EVET"),0,IF($D1578="GELİR",IF($E1578="SATIŞ İADESİ/İSKONTO",-$O1578,$O1578),-$O1578)))</f>
        <v/>
      </c>
      <c r="AB1578" s="117">
        <f>IF($B1578="","",IF(OR($D1578="",$E1578="",$O1578=""),"EKSİK",IF($O1578&lt;=0,"SIFIR/NEGATİF",IF(COUNTIFS($C$6:$C$5000,$C1578,$O$6:$O$5000,$O1578,$B$6:$B$5000,$B1578)&gt;1,"MÜKERRER","OK"))))</f>
        <v/>
      </c>
    </row>
    <row r="1579" ht="16.5" customHeight="1" s="80">
      <c r="A1579" s="113" t="n"/>
      <c r="B1579" s="113" t="n"/>
      <c r="C1579" s="113" t="n"/>
      <c r="D1579" s="113" t="n"/>
      <c r="E1579" s="113" t="n"/>
      <c r="F1579" s="113" t="n"/>
      <c r="G1579" s="113" t="n"/>
      <c r="H1579" s="113" t="n"/>
      <c r="I1579" s="113" t="n"/>
      <c r="J1579" s="113" t="n"/>
      <c r="K1579" s="113" t="n"/>
      <c r="L1579" s="113" t="n"/>
      <c r="M1579" s="113" t="n"/>
      <c r="N1579" s="113" t="n"/>
      <c r="O1579" s="113" t="n"/>
      <c r="P1579" s="113" t="n"/>
      <c r="Q1579" s="113" t="n"/>
      <c r="R1579" s="113" t="n"/>
      <c r="S1579" s="113" t="n"/>
      <c r="T1579" s="113" t="n"/>
      <c r="U1579" s="113" t="n"/>
      <c r="V1579" s="113" t="n"/>
      <c r="W1579" s="113" t="n"/>
      <c r="X1579" s="113" t="n"/>
      <c r="Y1579" s="113" t="n"/>
      <c r="Z1579" s="117">
        <f>IF($B1579="",0,IF($S1579="EVET",IF($D1579="GELİR",$O1579,-$O1579),0))</f>
        <v/>
      </c>
      <c r="AA1579" s="117">
        <f>IF($B1579="",0,IF(OR($W1579="EVET",$X1579="EVET",$Y1579="EVET"),0,IF($D1579="GELİR",IF($E1579="SATIŞ İADESİ/İSKONTO",-$O1579,$O1579),-$O1579)))</f>
        <v/>
      </c>
      <c r="AB1579" s="117">
        <f>IF($B1579="","",IF(OR($D1579="",$E1579="",$O1579=""),"EKSİK",IF($O1579&lt;=0,"SIFIR/NEGATİF",IF(COUNTIFS($C$6:$C$5000,$C1579,$O$6:$O$5000,$O1579,$B$6:$B$5000,$B1579)&gt;1,"MÜKERRER","OK"))))</f>
        <v/>
      </c>
    </row>
    <row r="1580" ht="16.5" customHeight="1" s="80">
      <c r="A1580" s="113" t="n"/>
      <c r="B1580" s="113" t="n"/>
      <c r="C1580" s="113" t="n"/>
      <c r="D1580" s="113" t="n"/>
      <c r="E1580" s="113" t="n"/>
      <c r="F1580" s="113" t="n"/>
      <c r="G1580" s="113" t="n"/>
      <c r="H1580" s="113" t="n"/>
      <c r="I1580" s="113" t="n"/>
      <c r="J1580" s="113" t="n"/>
      <c r="K1580" s="113" t="n"/>
      <c r="L1580" s="113" t="n"/>
      <c r="M1580" s="113" t="n"/>
      <c r="N1580" s="113" t="n"/>
      <c r="O1580" s="113" t="n"/>
      <c r="P1580" s="113" t="n"/>
      <c r="Q1580" s="113" t="n"/>
      <c r="R1580" s="113" t="n"/>
      <c r="S1580" s="113" t="n"/>
      <c r="T1580" s="113" t="n"/>
      <c r="U1580" s="113" t="n"/>
      <c r="V1580" s="113" t="n"/>
      <c r="W1580" s="113" t="n"/>
      <c r="X1580" s="113" t="n"/>
      <c r="Y1580" s="113" t="n"/>
      <c r="Z1580" s="117">
        <f>IF($B1580="",0,IF($S1580="EVET",IF($D1580="GELİR",$O1580,-$O1580),0))</f>
        <v/>
      </c>
      <c r="AA1580" s="117">
        <f>IF($B1580="",0,IF(OR($W1580="EVET",$X1580="EVET",$Y1580="EVET"),0,IF($D1580="GELİR",IF($E1580="SATIŞ İADESİ/İSKONTO",-$O1580,$O1580),-$O1580)))</f>
        <v/>
      </c>
      <c r="AB1580" s="117">
        <f>IF($B1580="","",IF(OR($D1580="",$E1580="",$O1580=""),"EKSİK",IF($O1580&lt;=0,"SIFIR/NEGATİF",IF(COUNTIFS($C$6:$C$5000,$C1580,$O$6:$O$5000,$O1580,$B$6:$B$5000,$B1580)&gt;1,"MÜKERRER","OK"))))</f>
        <v/>
      </c>
    </row>
    <row r="1581" ht="16.5" customHeight="1" s="80">
      <c r="A1581" s="113" t="n"/>
      <c r="B1581" s="113" t="n"/>
      <c r="C1581" s="113" t="n"/>
      <c r="D1581" s="113" t="n"/>
      <c r="E1581" s="113" t="n"/>
      <c r="F1581" s="113" t="n"/>
      <c r="G1581" s="113" t="n"/>
      <c r="H1581" s="113" t="n"/>
      <c r="I1581" s="113" t="n"/>
      <c r="J1581" s="113" t="n"/>
      <c r="K1581" s="113" t="n"/>
      <c r="L1581" s="113" t="n"/>
      <c r="M1581" s="113" t="n"/>
      <c r="N1581" s="113" t="n"/>
      <c r="O1581" s="113" t="n"/>
      <c r="P1581" s="113" t="n"/>
      <c r="Q1581" s="113" t="n"/>
      <c r="R1581" s="113" t="n"/>
      <c r="S1581" s="113" t="n"/>
      <c r="T1581" s="113" t="n"/>
      <c r="U1581" s="113" t="n"/>
      <c r="V1581" s="113" t="n"/>
      <c r="W1581" s="113" t="n"/>
      <c r="X1581" s="113" t="n"/>
      <c r="Y1581" s="113" t="n"/>
      <c r="Z1581" s="117">
        <f>IF($B1581="",0,IF($S1581="EVET",IF($D1581="GELİR",$O1581,-$O1581),0))</f>
        <v/>
      </c>
      <c r="AA1581" s="117">
        <f>IF($B1581="",0,IF(OR($W1581="EVET",$X1581="EVET",$Y1581="EVET"),0,IF($D1581="GELİR",IF($E1581="SATIŞ İADESİ/İSKONTO",-$O1581,$O1581),-$O1581)))</f>
        <v/>
      </c>
      <c r="AB1581" s="117">
        <f>IF($B1581="","",IF(OR($D1581="",$E1581="",$O1581=""),"EKSİK",IF($O1581&lt;=0,"SIFIR/NEGATİF",IF(COUNTIFS($C$6:$C$5000,$C1581,$O$6:$O$5000,$O1581,$B$6:$B$5000,$B1581)&gt;1,"MÜKERRER","OK"))))</f>
        <v/>
      </c>
    </row>
    <row r="1582" ht="16.5" customHeight="1" s="80">
      <c r="A1582" s="113" t="n"/>
      <c r="B1582" s="113" t="n"/>
      <c r="C1582" s="113" t="n"/>
      <c r="D1582" s="113" t="n"/>
      <c r="E1582" s="113" t="n"/>
      <c r="F1582" s="113" t="n"/>
      <c r="G1582" s="113" t="n"/>
      <c r="H1582" s="113" t="n"/>
      <c r="I1582" s="113" t="n"/>
      <c r="J1582" s="113" t="n"/>
      <c r="K1582" s="113" t="n"/>
      <c r="L1582" s="113" t="n"/>
      <c r="M1582" s="113" t="n"/>
      <c r="N1582" s="113" t="n"/>
      <c r="O1582" s="113" t="n"/>
      <c r="P1582" s="113" t="n"/>
      <c r="Q1582" s="113" t="n"/>
      <c r="R1582" s="113" t="n"/>
      <c r="S1582" s="113" t="n"/>
      <c r="T1582" s="113" t="n"/>
      <c r="U1582" s="113" t="n"/>
      <c r="V1582" s="113" t="n"/>
      <c r="W1582" s="113" t="n"/>
      <c r="X1582" s="113" t="n"/>
      <c r="Y1582" s="113" t="n"/>
      <c r="Z1582" s="117">
        <f>IF($B1582="",0,IF($S1582="EVET",IF($D1582="GELİR",$O1582,-$O1582),0))</f>
        <v/>
      </c>
      <c r="AA1582" s="117">
        <f>IF($B1582="",0,IF(OR($W1582="EVET",$X1582="EVET",$Y1582="EVET"),0,IF($D1582="GELİR",IF($E1582="SATIŞ İADESİ/İSKONTO",-$O1582,$O1582),-$O1582)))</f>
        <v/>
      </c>
      <c r="AB1582" s="117">
        <f>IF($B1582="","",IF(OR($D1582="",$E1582="",$O1582=""),"EKSİK",IF($O1582&lt;=0,"SIFIR/NEGATİF",IF(COUNTIFS($C$6:$C$5000,$C1582,$O$6:$O$5000,$O1582,$B$6:$B$5000,$B1582)&gt;1,"MÜKERRER","OK"))))</f>
        <v/>
      </c>
    </row>
    <row r="1583" ht="16.5" customHeight="1" s="80">
      <c r="A1583" s="113" t="n"/>
      <c r="B1583" s="113" t="n"/>
      <c r="C1583" s="113" t="n"/>
      <c r="D1583" s="113" t="n"/>
      <c r="E1583" s="113" t="n"/>
      <c r="F1583" s="113" t="n"/>
      <c r="G1583" s="113" t="n"/>
      <c r="H1583" s="113" t="n"/>
      <c r="I1583" s="113" t="n"/>
      <c r="J1583" s="113" t="n"/>
      <c r="K1583" s="113" t="n"/>
      <c r="L1583" s="113" t="n"/>
      <c r="M1583" s="113" t="n"/>
      <c r="N1583" s="113" t="n"/>
      <c r="O1583" s="113" t="n"/>
      <c r="P1583" s="113" t="n"/>
      <c r="Q1583" s="113" t="n"/>
      <c r="R1583" s="113" t="n"/>
      <c r="S1583" s="113" t="n"/>
      <c r="T1583" s="113" t="n"/>
      <c r="U1583" s="113" t="n"/>
      <c r="V1583" s="113" t="n"/>
      <c r="W1583" s="113" t="n"/>
      <c r="X1583" s="113" t="n"/>
      <c r="Y1583" s="113" t="n"/>
      <c r="Z1583" s="117">
        <f>IF($B1583="",0,IF($S1583="EVET",IF($D1583="GELİR",$O1583,-$O1583),0))</f>
        <v/>
      </c>
      <c r="AA1583" s="117">
        <f>IF($B1583="",0,IF(OR($W1583="EVET",$X1583="EVET",$Y1583="EVET"),0,IF($D1583="GELİR",IF($E1583="SATIŞ İADESİ/İSKONTO",-$O1583,$O1583),-$O1583)))</f>
        <v/>
      </c>
      <c r="AB1583" s="117">
        <f>IF($B1583="","",IF(OR($D1583="",$E1583="",$O1583=""),"EKSİK",IF($O1583&lt;=0,"SIFIR/NEGATİF",IF(COUNTIFS($C$6:$C$5000,$C1583,$O$6:$O$5000,$O1583,$B$6:$B$5000,$B1583)&gt;1,"MÜKERRER","OK"))))</f>
        <v/>
      </c>
    </row>
    <row r="1584" ht="16.5" customHeight="1" s="80">
      <c r="A1584" s="113" t="n"/>
      <c r="B1584" s="113" t="n"/>
      <c r="C1584" s="113" t="n"/>
      <c r="D1584" s="113" t="n"/>
      <c r="E1584" s="113" t="n"/>
      <c r="F1584" s="113" t="n"/>
      <c r="G1584" s="113" t="n"/>
      <c r="H1584" s="113" t="n"/>
      <c r="I1584" s="113" t="n"/>
      <c r="J1584" s="113" t="n"/>
      <c r="K1584" s="113" t="n"/>
      <c r="L1584" s="113" t="n"/>
      <c r="M1584" s="113" t="n"/>
      <c r="N1584" s="113" t="n"/>
      <c r="O1584" s="113" t="n"/>
      <c r="P1584" s="113" t="n"/>
      <c r="Q1584" s="113" t="n"/>
      <c r="R1584" s="113" t="n"/>
      <c r="S1584" s="113" t="n"/>
      <c r="T1584" s="113" t="n"/>
      <c r="U1584" s="113" t="n"/>
      <c r="V1584" s="113" t="n"/>
      <c r="W1584" s="113" t="n"/>
      <c r="X1584" s="113" t="n"/>
      <c r="Y1584" s="113" t="n"/>
      <c r="Z1584" s="117">
        <f>IF($B1584="",0,IF($S1584="EVET",IF($D1584="GELİR",$O1584,-$O1584),0))</f>
        <v/>
      </c>
      <c r="AA1584" s="117">
        <f>IF($B1584="",0,IF(OR($W1584="EVET",$X1584="EVET",$Y1584="EVET"),0,IF($D1584="GELİR",IF($E1584="SATIŞ İADESİ/İSKONTO",-$O1584,$O1584),-$O1584)))</f>
        <v/>
      </c>
      <c r="AB1584" s="117">
        <f>IF($B1584="","",IF(OR($D1584="",$E1584="",$O1584=""),"EKSİK",IF($O1584&lt;=0,"SIFIR/NEGATİF",IF(COUNTIFS($C$6:$C$5000,$C1584,$O$6:$O$5000,$O1584,$B$6:$B$5000,$B1584)&gt;1,"MÜKERRER","OK"))))</f>
        <v/>
      </c>
    </row>
    <row r="1585" ht="16.5" customHeight="1" s="80">
      <c r="A1585" s="113" t="n"/>
      <c r="B1585" s="113" t="n"/>
      <c r="C1585" s="113" t="n"/>
      <c r="D1585" s="113" t="n"/>
      <c r="E1585" s="113" t="n"/>
      <c r="F1585" s="113" t="n"/>
      <c r="G1585" s="113" t="n"/>
      <c r="H1585" s="113" t="n"/>
      <c r="I1585" s="113" t="n"/>
      <c r="J1585" s="113" t="n"/>
      <c r="K1585" s="113" t="n"/>
      <c r="L1585" s="113" t="n"/>
      <c r="M1585" s="113" t="n"/>
      <c r="N1585" s="113" t="n"/>
      <c r="O1585" s="113" t="n"/>
      <c r="P1585" s="113" t="n"/>
      <c r="Q1585" s="113" t="n"/>
      <c r="R1585" s="113" t="n"/>
      <c r="S1585" s="113" t="n"/>
      <c r="T1585" s="113" t="n"/>
      <c r="U1585" s="113" t="n"/>
      <c r="V1585" s="113" t="n"/>
      <c r="W1585" s="113" t="n"/>
      <c r="X1585" s="113" t="n"/>
      <c r="Y1585" s="113" t="n"/>
      <c r="Z1585" s="117">
        <f>IF($B1585="",0,IF($S1585="EVET",IF($D1585="GELİR",$O1585,-$O1585),0))</f>
        <v/>
      </c>
      <c r="AA1585" s="117">
        <f>IF($B1585="",0,IF(OR($W1585="EVET",$X1585="EVET",$Y1585="EVET"),0,IF($D1585="GELİR",IF($E1585="SATIŞ İADESİ/İSKONTO",-$O1585,$O1585),-$O1585)))</f>
        <v/>
      </c>
      <c r="AB1585" s="117">
        <f>IF($B1585="","",IF(OR($D1585="",$E1585="",$O1585=""),"EKSİK",IF($O1585&lt;=0,"SIFIR/NEGATİF",IF(COUNTIFS($C$6:$C$5000,$C1585,$O$6:$O$5000,$O1585,$B$6:$B$5000,$B1585)&gt;1,"MÜKERRER","OK"))))</f>
        <v/>
      </c>
    </row>
    <row r="1586" ht="16.5" customHeight="1" s="80">
      <c r="A1586" s="113" t="n"/>
      <c r="B1586" s="113" t="n"/>
      <c r="C1586" s="113" t="n"/>
      <c r="D1586" s="113" t="n"/>
      <c r="E1586" s="113" t="n"/>
      <c r="F1586" s="113" t="n"/>
      <c r="G1586" s="113" t="n"/>
      <c r="H1586" s="113" t="n"/>
      <c r="I1586" s="113" t="n"/>
      <c r="J1586" s="113" t="n"/>
      <c r="K1586" s="113" t="n"/>
      <c r="L1586" s="113" t="n"/>
      <c r="M1586" s="113" t="n"/>
      <c r="N1586" s="113" t="n"/>
      <c r="O1586" s="113" t="n"/>
      <c r="P1586" s="113" t="n"/>
      <c r="Q1586" s="113" t="n"/>
      <c r="R1586" s="113" t="n"/>
      <c r="S1586" s="113" t="n"/>
      <c r="T1586" s="113" t="n"/>
      <c r="U1586" s="113" t="n"/>
      <c r="V1586" s="113" t="n"/>
      <c r="W1586" s="113" t="n"/>
      <c r="X1586" s="113" t="n"/>
      <c r="Y1586" s="113" t="n"/>
      <c r="Z1586" s="117">
        <f>IF($B1586="",0,IF($S1586="EVET",IF($D1586="GELİR",$O1586,-$O1586),0))</f>
        <v/>
      </c>
      <c r="AA1586" s="117">
        <f>IF($B1586="",0,IF(OR($W1586="EVET",$X1586="EVET",$Y1586="EVET"),0,IF($D1586="GELİR",IF($E1586="SATIŞ İADESİ/İSKONTO",-$O1586,$O1586),-$O1586)))</f>
        <v/>
      </c>
      <c r="AB1586" s="117">
        <f>IF($B1586="","",IF(OR($D1586="",$E1586="",$O1586=""),"EKSİK",IF($O1586&lt;=0,"SIFIR/NEGATİF",IF(COUNTIFS($C$6:$C$5000,$C1586,$O$6:$O$5000,$O1586,$B$6:$B$5000,$B1586)&gt;1,"MÜKERRER","OK"))))</f>
        <v/>
      </c>
    </row>
    <row r="1587" ht="16.5" customHeight="1" s="80">
      <c r="A1587" s="113" t="n"/>
      <c r="B1587" s="113" t="n"/>
      <c r="C1587" s="113" t="n"/>
      <c r="D1587" s="113" t="n"/>
      <c r="E1587" s="113" t="n"/>
      <c r="F1587" s="113" t="n"/>
      <c r="G1587" s="113" t="n"/>
      <c r="H1587" s="113" t="n"/>
      <c r="I1587" s="113" t="n"/>
      <c r="J1587" s="113" t="n"/>
      <c r="K1587" s="113" t="n"/>
      <c r="L1587" s="113" t="n"/>
      <c r="M1587" s="113" t="n"/>
      <c r="N1587" s="113" t="n"/>
      <c r="O1587" s="113" t="n"/>
      <c r="P1587" s="113" t="n"/>
      <c r="Q1587" s="113" t="n"/>
      <c r="R1587" s="113" t="n"/>
      <c r="S1587" s="113" t="n"/>
      <c r="T1587" s="113" t="n"/>
      <c r="U1587" s="113" t="n"/>
      <c r="V1587" s="113" t="n"/>
      <c r="W1587" s="113" t="n"/>
      <c r="X1587" s="113" t="n"/>
      <c r="Y1587" s="113" t="n"/>
      <c r="Z1587" s="117">
        <f>IF($B1587="",0,IF($S1587="EVET",IF($D1587="GELİR",$O1587,-$O1587),0))</f>
        <v/>
      </c>
      <c r="AA1587" s="117">
        <f>IF($B1587="",0,IF(OR($W1587="EVET",$X1587="EVET",$Y1587="EVET"),0,IF($D1587="GELİR",IF($E1587="SATIŞ İADESİ/İSKONTO",-$O1587,$O1587),-$O1587)))</f>
        <v/>
      </c>
      <c r="AB1587" s="117">
        <f>IF($B1587="","",IF(OR($D1587="",$E1587="",$O1587=""),"EKSİK",IF($O1587&lt;=0,"SIFIR/NEGATİF",IF(COUNTIFS($C$6:$C$5000,$C1587,$O$6:$O$5000,$O1587,$B$6:$B$5000,$B1587)&gt;1,"MÜKERRER","OK"))))</f>
        <v/>
      </c>
    </row>
    <row r="1588" ht="16.5" customHeight="1" s="80">
      <c r="A1588" s="113" t="n"/>
      <c r="B1588" s="113" t="n"/>
      <c r="C1588" s="113" t="n"/>
      <c r="D1588" s="113" t="n"/>
      <c r="E1588" s="113" t="n"/>
      <c r="F1588" s="113" t="n"/>
      <c r="G1588" s="113" t="n"/>
      <c r="H1588" s="113" t="n"/>
      <c r="I1588" s="113" t="n"/>
      <c r="J1588" s="113" t="n"/>
      <c r="K1588" s="113" t="n"/>
      <c r="L1588" s="113" t="n"/>
      <c r="M1588" s="113" t="n"/>
      <c r="N1588" s="113" t="n"/>
      <c r="O1588" s="113" t="n"/>
      <c r="P1588" s="113" t="n"/>
      <c r="Q1588" s="113" t="n"/>
      <c r="R1588" s="113" t="n"/>
      <c r="S1588" s="113" t="n"/>
      <c r="T1588" s="113" t="n"/>
      <c r="U1588" s="113" t="n"/>
      <c r="V1588" s="113" t="n"/>
      <c r="W1588" s="113" t="n"/>
      <c r="X1588" s="113" t="n"/>
      <c r="Y1588" s="113" t="n"/>
      <c r="Z1588" s="117">
        <f>IF($B1588="",0,IF($S1588="EVET",IF($D1588="GELİR",$O1588,-$O1588),0))</f>
        <v/>
      </c>
      <c r="AA1588" s="117">
        <f>IF($B1588="",0,IF(OR($W1588="EVET",$X1588="EVET",$Y1588="EVET"),0,IF($D1588="GELİR",IF($E1588="SATIŞ İADESİ/İSKONTO",-$O1588,$O1588),-$O1588)))</f>
        <v/>
      </c>
      <c r="AB1588" s="117">
        <f>IF($B1588="","",IF(OR($D1588="",$E1588="",$O1588=""),"EKSİK",IF($O1588&lt;=0,"SIFIR/NEGATİF",IF(COUNTIFS($C$6:$C$5000,$C1588,$O$6:$O$5000,$O1588,$B$6:$B$5000,$B1588)&gt;1,"MÜKERRER","OK"))))</f>
        <v/>
      </c>
    </row>
    <row r="1589" ht="16.5" customHeight="1" s="80">
      <c r="A1589" s="113" t="n"/>
      <c r="B1589" s="113" t="n"/>
      <c r="C1589" s="113" t="n"/>
      <c r="D1589" s="113" t="n"/>
      <c r="E1589" s="113" t="n"/>
      <c r="F1589" s="113" t="n"/>
      <c r="G1589" s="113" t="n"/>
      <c r="H1589" s="113" t="n"/>
      <c r="I1589" s="113" t="n"/>
      <c r="J1589" s="113" t="n"/>
      <c r="K1589" s="113" t="n"/>
      <c r="L1589" s="113" t="n"/>
      <c r="M1589" s="113" t="n"/>
      <c r="N1589" s="113" t="n"/>
      <c r="O1589" s="113" t="n"/>
      <c r="P1589" s="113" t="n"/>
      <c r="Q1589" s="113" t="n"/>
      <c r="R1589" s="113" t="n"/>
      <c r="S1589" s="113" t="n"/>
      <c r="T1589" s="113" t="n"/>
      <c r="U1589" s="113" t="n"/>
      <c r="V1589" s="113" t="n"/>
      <c r="W1589" s="113" t="n"/>
      <c r="X1589" s="113" t="n"/>
      <c r="Y1589" s="113" t="n"/>
      <c r="Z1589" s="117">
        <f>IF($B1589="",0,IF($S1589="EVET",IF($D1589="GELİR",$O1589,-$O1589),0))</f>
        <v/>
      </c>
      <c r="AA1589" s="117">
        <f>IF($B1589="",0,IF(OR($W1589="EVET",$X1589="EVET",$Y1589="EVET"),0,IF($D1589="GELİR",IF($E1589="SATIŞ İADESİ/İSKONTO",-$O1589,$O1589),-$O1589)))</f>
        <v/>
      </c>
      <c r="AB1589" s="117">
        <f>IF($B1589="","",IF(OR($D1589="",$E1589="",$O1589=""),"EKSİK",IF($O1589&lt;=0,"SIFIR/NEGATİF",IF(COUNTIFS($C$6:$C$5000,$C1589,$O$6:$O$5000,$O1589,$B$6:$B$5000,$B1589)&gt;1,"MÜKERRER","OK"))))</f>
        <v/>
      </c>
    </row>
    <row r="1590" ht="16.5" customHeight="1" s="80">
      <c r="A1590" s="113" t="n"/>
      <c r="B1590" s="113" t="n"/>
      <c r="C1590" s="113" t="n"/>
      <c r="D1590" s="113" t="n"/>
      <c r="E1590" s="113" t="n"/>
      <c r="F1590" s="113" t="n"/>
      <c r="G1590" s="113" t="n"/>
      <c r="H1590" s="113" t="n"/>
      <c r="I1590" s="113" t="n"/>
      <c r="J1590" s="113" t="n"/>
      <c r="K1590" s="113" t="n"/>
      <c r="L1590" s="113" t="n"/>
      <c r="M1590" s="113" t="n"/>
      <c r="N1590" s="113" t="n"/>
      <c r="O1590" s="113" t="n"/>
      <c r="P1590" s="113" t="n"/>
      <c r="Q1590" s="113" t="n"/>
      <c r="R1590" s="113" t="n"/>
      <c r="S1590" s="113" t="n"/>
      <c r="T1590" s="113" t="n"/>
      <c r="U1590" s="113" t="n"/>
      <c r="V1590" s="113" t="n"/>
      <c r="W1590" s="113" t="n"/>
      <c r="X1590" s="113" t="n"/>
      <c r="Y1590" s="113" t="n"/>
      <c r="Z1590" s="117">
        <f>IF($B1590="",0,IF($S1590="EVET",IF($D1590="GELİR",$O1590,-$O1590),0))</f>
        <v/>
      </c>
      <c r="AA1590" s="117">
        <f>IF($B1590="",0,IF(OR($W1590="EVET",$X1590="EVET",$Y1590="EVET"),0,IF($D1590="GELİR",IF($E1590="SATIŞ İADESİ/İSKONTO",-$O1590,$O1590),-$O1590)))</f>
        <v/>
      </c>
      <c r="AB1590" s="117">
        <f>IF($B1590="","",IF(OR($D1590="",$E1590="",$O1590=""),"EKSİK",IF($O1590&lt;=0,"SIFIR/NEGATİF",IF(COUNTIFS($C$6:$C$5000,$C1590,$O$6:$O$5000,$O1590,$B$6:$B$5000,$B1590)&gt;1,"MÜKERRER","OK"))))</f>
        <v/>
      </c>
    </row>
    <row r="1591" ht="16.5" customHeight="1" s="80">
      <c r="A1591" s="113" t="n"/>
      <c r="B1591" s="113" t="n"/>
      <c r="C1591" s="113" t="n"/>
      <c r="D1591" s="113" t="n"/>
      <c r="E1591" s="113" t="n"/>
      <c r="F1591" s="113" t="n"/>
      <c r="G1591" s="113" t="n"/>
      <c r="H1591" s="113" t="n"/>
      <c r="I1591" s="113" t="n"/>
      <c r="J1591" s="113" t="n"/>
      <c r="K1591" s="113" t="n"/>
      <c r="L1591" s="113" t="n"/>
      <c r="M1591" s="113" t="n"/>
      <c r="N1591" s="113" t="n"/>
      <c r="O1591" s="113" t="n"/>
      <c r="P1591" s="113" t="n"/>
      <c r="Q1591" s="113" t="n"/>
      <c r="R1591" s="113" t="n"/>
      <c r="S1591" s="113" t="n"/>
      <c r="T1591" s="113" t="n"/>
      <c r="U1591" s="113" t="n"/>
      <c r="V1591" s="113" t="n"/>
      <c r="W1591" s="113" t="n"/>
      <c r="X1591" s="113" t="n"/>
      <c r="Y1591" s="113" t="n"/>
      <c r="Z1591" s="117">
        <f>IF($B1591="",0,IF($S1591="EVET",IF($D1591="GELİR",$O1591,-$O1591),0))</f>
        <v/>
      </c>
      <c r="AA1591" s="117">
        <f>IF($B1591="",0,IF(OR($W1591="EVET",$X1591="EVET",$Y1591="EVET"),0,IF($D1591="GELİR",IF($E1591="SATIŞ İADESİ/İSKONTO",-$O1591,$O1591),-$O1591)))</f>
        <v/>
      </c>
      <c r="AB1591" s="117">
        <f>IF($B1591="","",IF(OR($D1591="",$E1591="",$O1591=""),"EKSİK",IF($O1591&lt;=0,"SIFIR/NEGATİF",IF(COUNTIFS($C$6:$C$5000,$C1591,$O$6:$O$5000,$O1591,$B$6:$B$5000,$B1591)&gt;1,"MÜKERRER","OK"))))</f>
        <v/>
      </c>
    </row>
    <row r="1592" ht="16.5" customHeight="1" s="80">
      <c r="A1592" s="113" t="n"/>
      <c r="B1592" s="113" t="n"/>
      <c r="C1592" s="113" t="n"/>
      <c r="D1592" s="113" t="n"/>
      <c r="E1592" s="113" t="n"/>
      <c r="F1592" s="113" t="n"/>
      <c r="G1592" s="113" t="n"/>
      <c r="H1592" s="113" t="n"/>
      <c r="I1592" s="113" t="n"/>
      <c r="J1592" s="113" t="n"/>
      <c r="K1592" s="113" t="n"/>
      <c r="L1592" s="113" t="n"/>
      <c r="M1592" s="113" t="n"/>
      <c r="N1592" s="113" t="n"/>
      <c r="O1592" s="113" t="n"/>
      <c r="P1592" s="113" t="n"/>
      <c r="Q1592" s="113" t="n"/>
      <c r="R1592" s="113" t="n"/>
      <c r="S1592" s="113" t="n"/>
      <c r="T1592" s="113" t="n"/>
      <c r="U1592" s="113" t="n"/>
      <c r="V1592" s="113" t="n"/>
      <c r="W1592" s="113" t="n"/>
      <c r="X1592" s="113" t="n"/>
      <c r="Y1592" s="113" t="n"/>
      <c r="Z1592" s="117">
        <f>IF($B1592="",0,IF($S1592="EVET",IF($D1592="GELİR",$O1592,-$O1592),0))</f>
        <v/>
      </c>
      <c r="AA1592" s="117">
        <f>IF($B1592="",0,IF(OR($W1592="EVET",$X1592="EVET",$Y1592="EVET"),0,IF($D1592="GELİR",IF($E1592="SATIŞ İADESİ/İSKONTO",-$O1592,$O1592),-$O1592)))</f>
        <v/>
      </c>
      <c r="AB1592" s="117">
        <f>IF($B1592="","",IF(OR($D1592="",$E1592="",$O1592=""),"EKSİK",IF($O1592&lt;=0,"SIFIR/NEGATİF",IF(COUNTIFS($C$6:$C$5000,$C1592,$O$6:$O$5000,$O1592,$B$6:$B$5000,$B1592)&gt;1,"MÜKERRER","OK"))))</f>
        <v/>
      </c>
    </row>
    <row r="1593" ht="16.5" customHeight="1" s="80">
      <c r="A1593" s="113" t="n"/>
      <c r="B1593" s="113" t="n"/>
      <c r="C1593" s="113" t="n"/>
      <c r="D1593" s="113" t="n"/>
      <c r="E1593" s="113" t="n"/>
      <c r="F1593" s="113" t="n"/>
      <c r="G1593" s="113" t="n"/>
      <c r="H1593" s="113" t="n"/>
      <c r="I1593" s="113" t="n"/>
      <c r="J1593" s="113" t="n"/>
      <c r="K1593" s="113" t="n"/>
      <c r="L1593" s="113" t="n"/>
      <c r="M1593" s="113" t="n"/>
      <c r="N1593" s="113" t="n"/>
      <c r="O1593" s="113" t="n"/>
      <c r="P1593" s="113" t="n"/>
      <c r="Q1593" s="113" t="n"/>
      <c r="R1593" s="113" t="n"/>
      <c r="S1593" s="113" t="n"/>
      <c r="T1593" s="113" t="n"/>
      <c r="U1593" s="113" t="n"/>
      <c r="V1593" s="113" t="n"/>
      <c r="W1593" s="113" t="n"/>
      <c r="X1593" s="113" t="n"/>
      <c r="Y1593" s="113" t="n"/>
      <c r="Z1593" s="117">
        <f>IF($B1593="",0,IF($S1593="EVET",IF($D1593="GELİR",$O1593,-$O1593),0))</f>
        <v/>
      </c>
      <c r="AA1593" s="117">
        <f>IF($B1593="",0,IF(OR($W1593="EVET",$X1593="EVET",$Y1593="EVET"),0,IF($D1593="GELİR",IF($E1593="SATIŞ İADESİ/İSKONTO",-$O1593,$O1593),-$O1593)))</f>
        <v/>
      </c>
      <c r="AB1593" s="117">
        <f>IF($B1593="","",IF(OR($D1593="",$E1593="",$O1593=""),"EKSİK",IF($O1593&lt;=0,"SIFIR/NEGATİF",IF(COUNTIFS($C$6:$C$5000,$C1593,$O$6:$O$5000,$O1593,$B$6:$B$5000,$B1593)&gt;1,"MÜKERRER","OK"))))</f>
        <v/>
      </c>
    </row>
    <row r="1594" ht="16.5" customHeight="1" s="80">
      <c r="A1594" s="113" t="n"/>
      <c r="B1594" s="113" t="n"/>
      <c r="C1594" s="113" t="n"/>
      <c r="D1594" s="113" t="n"/>
      <c r="E1594" s="113" t="n"/>
      <c r="F1594" s="113" t="n"/>
      <c r="G1594" s="113" t="n"/>
      <c r="H1594" s="113" t="n"/>
      <c r="I1594" s="113" t="n"/>
      <c r="J1594" s="113" t="n"/>
      <c r="K1594" s="113" t="n"/>
      <c r="L1594" s="113" t="n"/>
      <c r="M1594" s="113" t="n"/>
      <c r="N1594" s="113" t="n"/>
      <c r="O1594" s="113" t="n"/>
      <c r="P1594" s="113" t="n"/>
      <c r="Q1594" s="113" t="n"/>
      <c r="R1594" s="113" t="n"/>
      <c r="S1594" s="113" t="n"/>
      <c r="T1594" s="113" t="n"/>
      <c r="U1594" s="113" t="n"/>
      <c r="V1594" s="113" t="n"/>
      <c r="W1594" s="113" t="n"/>
      <c r="X1594" s="113" t="n"/>
      <c r="Y1594" s="113" t="n"/>
      <c r="Z1594" s="117">
        <f>IF($B1594="",0,IF($S1594="EVET",IF($D1594="GELİR",$O1594,-$O1594),0))</f>
        <v/>
      </c>
      <c r="AA1594" s="117">
        <f>IF($B1594="",0,IF(OR($W1594="EVET",$X1594="EVET",$Y1594="EVET"),0,IF($D1594="GELİR",IF($E1594="SATIŞ İADESİ/İSKONTO",-$O1594,$O1594),-$O1594)))</f>
        <v/>
      </c>
      <c r="AB1594" s="117">
        <f>IF($B1594="","",IF(OR($D1594="",$E1594="",$O1594=""),"EKSİK",IF($O1594&lt;=0,"SIFIR/NEGATİF",IF(COUNTIFS($C$6:$C$5000,$C1594,$O$6:$O$5000,$O1594,$B$6:$B$5000,$B1594)&gt;1,"MÜKERRER","OK"))))</f>
        <v/>
      </c>
    </row>
    <row r="1595" ht="16.5" customHeight="1" s="80">
      <c r="A1595" s="113" t="n"/>
      <c r="B1595" s="113" t="n"/>
      <c r="C1595" s="113" t="n"/>
      <c r="D1595" s="113" t="n"/>
      <c r="E1595" s="113" t="n"/>
      <c r="F1595" s="113" t="n"/>
      <c r="G1595" s="113" t="n"/>
      <c r="H1595" s="113" t="n"/>
      <c r="I1595" s="113" t="n"/>
      <c r="J1595" s="113" t="n"/>
      <c r="K1595" s="113" t="n"/>
      <c r="L1595" s="113" t="n"/>
      <c r="M1595" s="113" t="n"/>
      <c r="N1595" s="113" t="n"/>
      <c r="O1595" s="113" t="n"/>
      <c r="P1595" s="113" t="n"/>
      <c r="Q1595" s="113" t="n"/>
      <c r="R1595" s="113" t="n"/>
      <c r="S1595" s="113" t="n"/>
      <c r="T1595" s="113" t="n"/>
      <c r="U1595" s="113" t="n"/>
      <c r="V1595" s="113" t="n"/>
      <c r="W1595" s="113" t="n"/>
      <c r="X1595" s="113" t="n"/>
      <c r="Y1595" s="113" t="n"/>
      <c r="Z1595" s="117">
        <f>IF($B1595="",0,IF($S1595="EVET",IF($D1595="GELİR",$O1595,-$O1595),0))</f>
        <v/>
      </c>
      <c r="AA1595" s="117">
        <f>IF($B1595="",0,IF(OR($W1595="EVET",$X1595="EVET",$Y1595="EVET"),0,IF($D1595="GELİR",IF($E1595="SATIŞ İADESİ/İSKONTO",-$O1595,$O1595),-$O1595)))</f>
        <v/>
      </c>
      <c r="AB1595" s="117">
        <f>IF($B1595="","",IF(OR($D1595="",$E1595="",$O1595=""),"EKSİK",IF($O1595&lt;=0,"SIFIR/NEGATİF",IF(COUNTIFS($C$6:$C$5000,$C1595,$O$6:$O$5000,$O1595,$B$6:$B$5000,$B1595)&gt;1,"MÜKERRER","OK"))))</f>
        <v/>
      </c>
    </row>
    <row r="1596" ht="16.5" customHeight="1" s="80">
      <c r="A1596" s="113" t="n"/>
      <c r="B1596" s="113" t="n"/>
      <c r="C1596" s="113" t="n"/>
      <c r="D1596" s="113" t="n"/>
      <c r="E1596" s="113" t="n"/>
      <c r="F1596" s="113" t="n"/>
      <c r="G1596" s="113" t="n"/>
      <c r="H1596" s="113" t="n"/>
      <c r="I1596" s="113" t="n"/>
      <c r="J1596" s="113" t="n"/>
      <c r="K1596" s="113" t="n"/>
      <c r="L1596" s="113" t="n"/>
      <c r="M1596" s="113" t="n"/>
      <c r="N1596" s="113" t="n"/>
      <c r="O1596" s="113" t="n"/>
      <c r="P1596" s="113" t="n"/>
      <c r="Q1596" s="113" t="n"/>
      <c r="R1596" s="113" t="n"/>
      <c r="S1596" s="113" t="n"/>
      <c r="T1596" s="113" t="n"/>
      <c r="U1596" s="113" t="n"/>
      <c r="V1596" s="113" t="n"/>
      <c r="W1596" s="113" t="n"/>
      <c r="X1596" s="113" t="n"/>
      <c r="Y1596" s="113" t="n"/>
      <c r="Z1596" s="117">
        <f>IF($B1596="",0,IF($S1596="EVET",IF($D1596="GELİR",$O1596,-$O1596),0))</f>
        <v/>
      </c>
      <c r="AA1596" s="117">
        <f>IF($B1596="",0,IF(OR($W1596="EVET",$X1596="EVET",$Y1596="EVET"),0,IF($D1596="GELİR",IF($E1596="SATIŞ İADESİ/İSKONTO",-$O1596,$O1596),-$O1596)))</f>
        <v/>
      </c>
      <c r="AB1596" s="117">
        <f>IF($B1596="","",IF(OR($D1596="",$E1596="",$O1596=""),"EKSİK",IF($O1596&lt;=0,"SIFIR/NEGATİF",IF(COUNTIFS($C$6:$C$5000,$C1596,$O$6:$O$5000,$O1596,$B$6:$B$5000,$B1596)&gt;1,"MÜKERRER","OK"))))</f>
        <v/>
      </c>
    </row>
    <row r="1597" ht="16.5" customHeight="1" s="80">
      <c r="A1597" s="113" t="n"/>
      <c r="B1597" s="113" t="n"/>
      <c r="C1597" s="113" t="n"/>
      <c r="D1597" s="113" t="n"/>
      <c r="E1597" s="113" t="n"/>
      <c r="F1597" s="113" t="n"/>
      <c r="G1597" s="113" t="n"/>
      <c r="H1597" s="113" t="n"/>
      <c r="I1597" s="113" t="n"/>
      <c r="J1597" s="113" t="n"/>
      <c r="K1597" s="113" t="n"/>
      <c r="L1597" s="113" t="n"/>
      <c r="M1597" s="113" t="n"/>
      <c r="N1597" s="113" t="n"/>
      <c r="O1597" s="113" t="n"/>
      <c r="P1597" s="113" t="n"/>
      <c r="Q1597" s="113" t="n"/>
      <c r="R1597" s="113" t="n"/>
      <c r="S1597" s="113" t="n"/>
      <c r="T1597" s="113" t="n"/>
      <c r="U1597" s="113" t="n"/>
      <c r="V1597" s="113" t="n"/>
      <c r="W1597" s="113" t="n"/>
      <c r="X1597" s="113" t="n"/>
      <c r="Y1597" s="113" t="n"/>
      <c r="Z1597" s="117">
        <f>IF($B1597="",0,IF($S1597="EVET",IF($D1597="GELİR",$O1597,-$O1597),0))</f>
        <v/>
      </c>
      <c r="AA1597" s="117">
        <f>IF($B1597="",0,IF(OR($W1597="EVET",$X1597="EVET",$Y1597="EVET"),0,IF($D1597="GELİR",IF($E1597="SATIŞ İADESİ/İSKONTO",-$O1597,$O1597),-$O1597)))</f>
        <v/>
      </c>
      <c r="AB1597" s="117">
        <f>IF($B1597="","",IF(OR($D1597="",$E1597="",$O1597=""),"EKSİK",IF($O1597&lt;=0,"SIFIR/NEGATİF",IF(COUNTIFS($C$6:$C$5000,$C1597,$O$6:$O$5000,$O1597,$B$6:$B$5000,$B1597)&gt;1,"MÜKERRER","OK"))))</f>
        <v/>
      </c>
    </row>
    <row r="1598" ht="16.5" customHeight="1" s="80">
      <c r="A1598" s="113" t="n"/>
      <c r="B1598" s="113" t="n"/>
      <c r="C1598" s="113" t="n"/>
      <c r="D1598" s="113" t="n"/>
      <c r="E1598" s="113" t="n"/>
      <c r="F1598" s="113" t="n"/>
      <c r="G1598" s="113" t="n"/>
      <c r="H1598" s="113" t="n"/>
      <c r="I1598" s="113" t="n"/>
      <c r="J1598" s="113" t="n"/>
      <c r="K1598" s="113" t="n"/>
      <c r="L1598" s="113" t="n"/>
      <c r="M1598" s="113" t="n"/>
      <c r="N1598" s="113" t="n"/>
      <c r="O1598" s="113" t="n"/>
      <c r="P1598" s="113" t="n"/>
      <c r="Q1598" s="113" t="n"/>
      <c r="R1598" s="113" t="n"/>
      <c r="S1598" s="113" t="n"/>
      <c r="T1598" s="113" t="n"/>
      <c r="U1598" s="113" t="n"/>
      <c r="V1598" s="113" t="n"/>
      <c r="W1598" s="113" t="n"/>
      <c r="X1598" s="113" t="n"/>
      <c r="Y1598" s="113" t="n"/>
      <c r="Z1598" s="117">
        <f>IF($B1598="",0,IF($S1598="EVET",IF($D1598="GELİR",$O1598,-$O1598),0))</f>
        <v/>
      </c>
      <c r="AA1598" s="117">
        <f>IF($B1598="",0,IF(OR($W1598="EVET",$X1598="EVET",$Y1598="EVET"),0,IF($D1598="GELİR",IF($E1598="SATIŞ İADESİ/İSKONTO",-$O1598,$O1598),-$O1598)))</f>
        <v/>
      </c>
      <c r="AB1598" s="117">
        <f>IF($B1598="","",IF(OR($D1598="",$E1598="",$O1598=""),"EKSİK",IF($O1598&lt;=0,"SIFIR/NEGATİF",IF(COUNTIFS($C$6:$C$5000,$C1598,$O$6:$O$5000,$O1598,$B$6:$B$5000,$B1598)&gt;1,"MÜKERRER","OK"))))</f>
        <v/>
      </c>
    </row>
    <row r="1599" ht="16.5" customHeight="1" s="80">
      <c r="A1599" s="113" t="n"/>
      <c r="B1599" s="113" t="n"/>
      <c r="C1599" s="113" t="n"/>
      <c r="D1599" s="113" t="n"/>
      <c r="E1599" s="113" t="n"/>
      <c r="F1599" s="113" t="n"/>
      <c r="G1599" s="113" t="n"/>
      <c r="H1599" s="113" t="n"/>
      <c r="I1599" s="113" t="n"/>
      <c r="J1599" s="113" t="n"/>
      <c r="K1599" s="113" t="n"/>
      <c r="L1599" s="113" t="n"/>
      <c r="M1599" s="113" t="n"/>
      <c r="N1599" s="113" t="n"/>
      <c r="O1599" s="113" t="n"/>
      <c r="P1599" s="113" t="n"/>
      <c r="Q1599" s="113" t="n"/>
      <c r="R1599" s="113" t="n"/>
      <c r="S1599" s="113" t="n"/>
      <c r="T1599" s="113" t="n"/>
      <c r="U1599" s="113" t="n"/>
      <c r="V1599" s="113" t="n"/>
      <c r="W1599" s="113" t="n"/>
      <c r="X1599" s="113" t="n"/>
      <c r="Y1599" s="113" t="n"/>
      <c r="Z1599" s="117">
        <f>IF($B1599="",0,IF($S1599="EVET",IF($D1599="GELİR",$O1599,-$O1599),0))</f>
        <v/>
      </c>
      <c r="AA1599" s="117">
        <f>IF($B1599="",0,IF(OR($W1599="EVET",$X1599="EVET",$Y1599="EVET"),0,IF($D1599="GELİR",IF($E1599="SATIŞ İADESİ/İSKONTO",-$O1599,$O1599),-$O1599)))</f>
        <v/>
      </c>
      <c r="AB1599" s="117">
        <f>IF($B1599="","",IF(OR($D1599="",$E1599="",$O1599=""),"EKSİK",IF($O1599&lt;=0,"SIFIR/NEGATİF",IF(COUNTIFS($C$6:$C$5000,$C1599,$O$6:$O$5000,$O1599,$B$6:$B$5000,$B1599)&gt;1,"MÜKERRER","OK"))))</f>
        <v/>
      </c>
    </row>
    <row r="1600" ht="16.5" customHeight="1" s="80">
      <c r="A1600" s="113" t="n"/>
      <c r="B1600" s="113" t="n"/>
      <c r="C1600" s="113" t="n"/>
      <c r="D1600" s="113" t="n"/>
      <c r="E1600" s="113" t="n"/>
      <c r="F1600" s="113" t="n"/>
      <c r="G1600" s="113" t="n"/>
      <c r="H1600" s="113" t="n"/>
      <c r="I1600" s="113" t="n"/>
      <c r="J1600" s="113" t="n"/>
      <c r="K1600" s="113" t="n"/>
      <c r="L1600" s="113" t="n"/>
      <c r="M1600" s="113" t="n"/>
      <c r="N1600" s="113" t="n"/>
      <c r="O1600" s="113" t="n"/>
      <c r="P1600" s="113" t="n"/>
      <c r="Q1600" s="113" t="n"/>
      <c r="R1600" s="113" t="n"/>
      <c r="S1600" s="113" t="n"/>
      <c r="T1600" s="113" t="n"/>
      <c r="U1600" s="113" t="n"/>
      <c r="V1600" s="113" t="n"/>
      <c r="W1600" s="113" t="n"/>
      <c r="X1600" s="113" t="n"/>
      <c r="Y1600" s="113" t="n"/>
      <c r="Z1600" s="117">
        <f>IF($B1600="",0,IF($S1600="EVET",IF($D1600="GELİR",$O1600,-$O1600),0))</f>
        <v/>
      </c>
      <c r="AA1600" s="117">
        <f>IF($B1600="",0,IF(OR($W1600="EVET",$X1600="EVET",$Y1600="EVET"),0,IF($D1600="GELİR",IF($E1600="SATIŞ İADESİ/İSKONTO",-$O1600,$O1600),-$O1600)))</f>
        <v/>
      </c>
      <c r="AB1600" s="117">
        <f>IF($B1600="","",IF(OR($D1600="",$E1600="",$O1600=""),"EKSİK",IF($O1600&lt;=0,"SIFIR/NEGATİF",IF(COUNTIFS($C$6:$C$5000,$C1600,$O$6:$O$5000,$O1600,$B$6:$B$5000,$B1600)&gt;1,"MÜKERRER","OK"))))</f>
        <v/>
      </c>
    </row>
    <row r="1601" ht="16.5" customHeight="1" s="80">
      <c r="A1601" s="113" t="n"/>
      <c r="B1601" s="113" t="n"/>
      <c r="C1601" s="113" t="n"/>
      <c r="D1601" s="113" t="n"/>
      <c r="E1601" s="113" t="n"/>
      <c r="F1601" s="113" t="n"/>
      <c r="G1601" s="113" t="n"/>
      <c r="H1601" s="113" t="n"/>
      <c r="I1601" s="113" t="n"/>
      <c r="J1601" s="113" t="n"/>
      <c r="K1601" s="113" t="n"/>
      <c r="L1601" s="113" t="n"/>
      <c r="M1601" s="113" t="n"/>
      <c r="N1601" s="113" t="n"/>
      <c r="O1601" s="113" t="n"/>
      <c r="P1601" s="113" t="n"/>
      <c r="Q1601" s="113" t="n"/>
      <c r="R1601" s="113" t="n"/>
      <c r="S1601" s="113" t="n"/>
      <c r="T1601" s="113" t="n"/>
      <c r="U1601" s="113" t="n"/>
      <c r="V1601" s="113" t="n"/>
      <c r="W1601" s="113" t="n"/>
      <c r="X1601" s="113" t="n"/>
      <c r="Y1601" s="113" t="n"/>
      <c r="Z1601" s="117">
        <f>IF($B1601="",0,IF($S1601="EVET",IF($D1601="GELİR",$O1601,-$O1601),0))</f>
        <v/>
      </c>
      <c r="AA1601" s="117">
        <f>IF($B1601="",0,IF(OR($W1601="EVET",$X1601="EVET",$Y1601="EVET"),0,IF($D1601="GELİR",IF($E1601="SATIŞ İADESİ/İSKONTO",-$O1601,$O1601),-$O1601)))</f>
        <v/>
      </c>
      <c r="AB1601" s="117">
        <f>IF($B1601="","",IF(OR($D1601="",$E1601="",$O1601=""),"EKSİK",IF($O1601&lt;=0,"SIFIR/NEGATİF",IF(COUNTIFS($C$6:$C$5000,$C1601,$O$6:$O$5000,$O1601,$B$6:$B$5000,$B1601)&gt;1,"MÜKERRER","OK"))))</f>
        <v/>
      </c>
    </row>
    <row r="1602" ht="16.5" customHeight="1" s="80">
      <c r="A1602" s="113" t="n"/>
      <c r="B1602" s="113" t="n"/>
      <c r="C1602" s="113" t="n"/>
      <c r="D1602" s="113" t="n"/>
      <c r="E1602" s="113" t="n"/>
      <c r="F1602" s="113" t="n"/>
      <c r="G1602" s="113" t="n"/>
      <c r="H1602" s="113" t="n"/>
      <c r="I1602" s="113" t="n"/>
      <c r="J1602" s="113" t="n"/>
      <c r="K1602" s="113" t="n"/>
      <c r="L1602" s="113" t="n"/>
      <c r="M1602" s="113" t="n"/>
      <c r="N1602" s="113" t="n"/>
      <c r="O1602" s="113" t="n"/>
      <c r="P1602" s="113" t="n"/>
      <c r="Q1602" s="113" t="n"/>
      <c r="R1602" s="113" t="n"/>
      <c r="S1602" s="113" t="n"/>
      <c r="T1602" s="113" t="n"/>
      <c r="U1602" s="113" t="n"/>
      <c r="V1602" s="113" t="n"/>
      <c r="W1602" s="113" t="n"/>
      <c r="X1602" s="113" t="n"/>
      <c r="Y1602" s="113" t="n"/>
      <c r="Z1602" s="117">
        <f>IF($B1602="",0,IF($S1602="EVET",IF($D1602="GELİR",$O1602,-$O1602),0))</f>
        <v/>
      </c>
      <c r="AA1602" s="117">
        <f>IF($B1602="",0,IF(OR($W1602="EVET",$X1602="EVET",$Y1602="EVET"),0,IF($D1602="GELİR",IF($E1602="SATIŞ İADESİ/İSKONTO",-$O1602,$O1602),-$O1602)))</f>
        <v/>
      </c>
      <c r="AB1602" s="117">
        <f>IF($B1602="","",IF(OR($D1602="",$E1602="",$O1602=""),"EKSİK",IF($O1602&lt;=0,"SIFIR/NEGATİF",IF(COUNTIFS($C$6:$C$5000,$C1602,$O$6:$O$5000,$O1602,$B$6:$B$5000,$B1602)&gt;1,"MÜKERRER","OK"))))</f>
        <v/>
      </c>
    </row>
    <row r="1603" ht="16.5" customHeight="1" s="80">
      <c r="A1603" s="113" t="n"/>
      <c r="B1603" s="113" t="n"/>
      <c r="C1603" s="113" t="n"/>
      <c r="D1603" s="113" t="n"/>
      <c r="E1603" s="113" t="n"/>
      <c r="F1603" s="113" t="n"/>
      <c r="G1603" s="113" t="n"/>
      <c r="H1603" s="113" t="n"/>
      <c r="I1603" s="113" t="n"/>
      <c r="J1603" s="113" t="n"/>
      <c r="K1603" s="113" t="n"/>
      <c r="L1603" s="113" t="n"/>
      <c r="M1603" s="113" t="n"/>
      <c r="N1603" s="113" t="n"/>
      <c r="O1603" s="113" t="n"/>
      <c r="P1603" s="113" t="n"/>
      <c r="Q1603" s="113" t="n"/>
      <c r="R1603" s="113" t="n"/>
      <c r="S1603" s="113" t="n"/>
      <c r="T1603" s="113" t="n"/>
      <c r="U1603" s="113" t="n"/>
      <c r="V1603" s="113" t="n"/>
      <c r="W1603" s="113" t="n"/>
      <c r="X1603" s="113" t="n"/>
      <c r="Y1603" s="113" t="n"/>
      <c r="Z1603" s="117">
        <f>IF($B1603="",0,IF($S1603="EVET",IF($D1603="GELİR",$O1603,-$O1603),0))</f>
        <v/>
      </c>
      <c r="AA1603" s="117">
        <f>IF($B1603="",0,IF(OR($W1603="EVET",$X1603="EVET",$Y1603="EVET"),0,IF($D1603="GELİR",IF($E1603="SATIŞ İADESİ/İSKONTO",-$O1603,$O1603),-$O1603)))</f>
        <v/>
      </c>
      <c r="AB1603" s="117">
        <f>IF($B1603="","",IF(OR($D1603="",$E1603="",$O1603=""),"EKSİK",IF($O1603&lt;=0,"SIFIR/NEGATİF",IF(COUNTIFS($C$6:$C$5000,$C1603,$O$6:$O$5000,$O1603,$B$6:$B$5000,$B1603)&gt;1,"MÜKERRER","OK"))))</f>
        <v/>
      </c>
    </row>
    <row r="1604" ht="16.5" customHeight="1" s="80">
      <c r="A1604" s="113" t="n"/>
      <c r="B1604" s="113" t="n"/>
      <c r="C1604" s="113" t="n"/>
      <c r="D1604" s="113" t="n"/>
      <c r="E1604" s="113" t="n"/>
      <c r="F1604" s="113" t="n"/>
      <c r="G1604" s="113" t="n"/>
      <c r="H1604" s="113" t="n"/>
      <c r="I1604" s="113" t="n"/>
      <c r="J1604" s="113" t="n"/>
      <c r="K1604" s="113" t="n"/>
      <c r="L1604" s="113" t="n"/>
      <c r="M1604" s="113" t="n"/>
      <c r="N1604" s="113" t="n"/>
      <c r="O1604" s="113" t="n"/>
      <c r="P1604" s="113" t="n"/>
      <c r="Q1604" s="113" t="n"/>
      <c r="R1604" s="113" t="n"/>
      <c r="S1604" s="113" t="n"/>
      <c r="T1604" s="113" t="n"/>
      <c r="U1604" s="113" t="n"/>
      <c r="V1604" s="113" t="n"/>
      <c r="W1604" s="113" t="n"/>
      <c r="X1604" s="113" t="n"/>
      <c r="Y1604" s="113" t="n"/>
      <c r="Z1604" s="117">
        <f>IF($B1604="",0,IF($S1604="EVET",IF($D1604="GELİR",$O1604,-$O1604),0))</f>
        <v/>
      </c>
      <c r="AA1604" s="117">
        <f>IF($B1604="",0,IF(OR($W1604="EVET",$X1604="EVET",$Y1604="EVET"),0,IF($D1604="GELİR",IF($E1604="SATIŞ İADESİ/İSKONTO",-$O1604,$O1604),-$O1604)))</f>
        <v/>
      </c>
      <c r="AB1604" s="117">
        <f>IF($B1604="","",IF(OR($D1604="",$E1604="",$O1604=""),"EKSİK",IF($O1604&lt;=0,"SIFIR/NEGATİF",IF(COUNTIFS($C$6:$C$5000,$C1604,$O$6:$O$5000,$O1604,$B$6:$B$5000,$B1604)&gt;1,"MÜKERRER","OK"))))</f>
        <v/>
      </c>
    </row>
    <row r="1605" ht="16.5" customHeight="1" s="80">
      <c r="A1605" s="113" t="n"/>
      <c r="B1605" s="113" t="n"/>
      <c r="C1605" s="113" t="n"/>
      <c r="D1605" s="113" t="n"/>
      <c r="E1605" s="113" t="n"/>
      <c r="F1605" s="113" t="n"/>
      <c r="G1605" s="113" t="n"/>
      <c r="H1605" s="113" t="n"/>
      <c r="I1605" s="113" t="n"/>
      <c r="J1605" s="113" t="n"/>
      <c r="K1605" s="113" t="n"/>
      <c r="L1605" s="113" t="n"/>
      <c r="M1605" s="113" t="n"/>
      <c r="N1605" s="113" t="n"/>
      <c r="O1605" s="113" t="n"/>
      <c r="P1605" s="113" t="n"/>
      <c r="Q1605" s="113" t="n"/>
      <c r="R1605" s="113" t="n"/>
      <c r="S1605" s="113" t="n"/>
      <c r="T1605" s="113" t="n"/>
      <c r="U1605" s="113" t="n"/>
      <c r="V1605" s="113" t="n"/>
      <c r="W1605" s="113" t="n"/>
      <c r="X1605" s="113" t="n"/>
      <c r="Y1605" s="113" t="n"/>
      <c r="Z1605" s="117">
        <f>IF($B1605="",0,IF($S1605="EVET",IF($D1605="GELİR",$O1605,-$O1605),0))</f>
        <v/>
      </c>
      <c r="AA1605" s="117">
        <f>IF($B1605="",0,IF(OR($W1605="EVET",$X1605="EVET",$Y1605="EVET"),0,IF($D1605="GELİR",IF($E1605="SATIŞ İADESİ/İSKONTO",-$O1605,$O1605),-$O1605)))</f>
        <v/>
      </c>
      <c r="AB1605" s="117">
        <f>IF($B1605="","",IF(OR($D1605="",$E1605="",$O1605=""),"EKSİK",IF($O1605&lt;=0,"SIFIR/NEGATİF",IF(COUNTIFS($C$6:$C$5000,$C1605,$O$6:$O$5000,$O1605,$B$6:$B$5000,$B1605)&gt;1,"MÜKERRER","OK"))))</f>
        <v/>
      </c>
    </row>
    <row r="1606" ht="16.5" customHeight="1" s="80">
      <c r="A1606" s="113" t="n"/>
      <c r="B1606" s="113" t="n"/>
      <c r="C1606" s="113" t="n"/>
      <c r="D1606" s="113" t="n"/>
      <c r="E1606" s="113" t="n"/>
      <c r="F1606" s="113" t="n"/>
      <c r="G1606" s="113" t="n"/>
      <c r="H1606" s="113" t="n"/>
      <c r="I1606" s="113" t="n"/>
      <c r="J1606" s="113" t="n"/>
      <c r="K1606" s="113" t="n"/>
      <c r="L1606" s="113" t="n"/>
      <c r="M1606" s="113" t="n"/>
      <c r="N1606" s="113" t="n"/>
      <c r="O1606" s="113" t="n"/>
      <c r="P1606" s="113" t="n"/>
      <c r="Q1606" s="113" t="n"/>
      <c r="R1606" s="113" t="n"/>
      <c r="S1606" s="113" t="n"/>
      <c r="T1606" s="113" t="n"/>
      <c r="U1606" s="113" t="n"/>
      <c r="V1606" s="113" t="n"/>
      <c r="W1606" s="113" t="n"/>
      <c r="X1606" s="113" t="n"/>
      <c r="Y1606" s="113" t="n"/>
      <c r="Z1606" s="117">
        <f>IF($B1606="",0,IF($S1606="EVET",IF($D1606="GELİR",$O1606,-$O1606),0))</f>
        <v/>
      </c>
      <c r="AA1606" s="117">
        <f>IF($B1606="",0,IF(OR($W1606="EVET",$X1606="EVET",$Y1606="EVET"),0,IF($D1606="GELİR",IF($E1606="SATIŞ İADESİ/İSKONTO",-$O1606,$O1606),-$O1606)))</f>
        <v/>
      </c>
      <c r="AB1606" s="117">
        <f>IF($B1606="","",IF(OR($D1606="",$E1606="",$O1606=""),"EKSİK",IF($O1606&lt;=0,"SIFIR/NEGATİF",IF(COUNTIFS($C$6:$C$5000,$C1606,$O$6:$O$5000,$O1606,$B$6:$B$5000,$B1606)&gt;1,"MÜKERRER","OK"))))</f>
        <v/>
      </c>
    </row>
    <row r="1607" ht="16.5" customHeight="1" s="80">
      <c r="A1607" s="113" t="n"/>
      <c r="B1607" s="113" t="n"/>
      <c r="C1607" s="113" t="n"/>
      <c r="D1607" s="113" t="n"/>
      <c r="E1607" s="113" t="n"/>
      <c r="F1607" s="113" t="n"/>
      <c r="G1607" s="113" t="n"/>
      <c r="H1607" s="113" t="n"/>
      <c r="I1607" s="113" t="n"/>
      <c r="J1607" s="113" t="n"/>
      <c r="K1607" s="113" t="n"/>
      <c r="L1607" s="113" t="n"/>
      <c r="M1607" s="113" t="n"/>
      <c r="N1607" s="113" t="n"/>
      <c r="O1607" s="113" t="n"/>
      <c r="P1607" s="113" t="n"/>
      <c r="Q1607" s="113" t="n"/>
      <c r="R1607" s="113" t="n"/>
      <c r="S1607" s="113" t="n"/>
      <c r="T1607" s="113" t="n"/>
      <c r="U1607" s="113" t="n"/>
      <c r="V1607" s="113" t="n"/>
      <c r="W1607" s="113" t="n"/>
      <c r="X1607" s="113" t="n"/>
      <c r="Y1607" s="113" t="n"/>
      <c r="Z1607" s="117">
        <f>IF($B1607="",0,IF($S1607="EVET",IF($D1607="GELİR",$O1607,-$O1607),0))</f>
        <v/>
      </c>
      <c r="AA1607" s="117">
        <f>IF($B1607="",0,IF(OR($W1607="EVET",$X1607="EVET",$Y1607="EVET"),0,IF($D1607="GELİR",IF($E1607="SATIŞ İADESİ/İSKONTO",-$O1607,$O1607),-$O1607)))</f>
        <v/>
      </c>
      <c r="AB1607" s="117">
        <f>IF($B1607="","",IF(OR($D1607="",$E1607="",$O1607=""),"EKSİK",IF($O1607&lt;=0,"SIFIR/NEGATİF",IF(COUNTIFS($C$6:$C$5000,$C1607,$O$6:$O$5000,$O1607,$B$6:$B$5000,$B1607)&gt;1,"MÜKERRER","OK"))))</f>
        <v/>
      </c>
    </row>
    <row r="1608" ht="16.5" customHeight="1" s="80">
      <c r="A1608" s="113" t="n"/>
      <c r="B1608" s="113" t="n"/>
      <c r="C1608" s="113" t="n"/>
      <c r="D1608" s="113" t="n"/>
      <c r="E1608" s="113" t="n"/>
      <c r="F1608" s="113" t="n"/>
      <c r="G1608" s="113" t="n"/>
      <c r="H1608" s="113" t="n"/>
      <c r="I1608" s="113" t="n"/>
      <c r="J1608" s="113" t="n"/>
      <c r="K1608" s="113" t="n"/>
      <c r="L1608" s="113" t="n"/>
      <c r="M1608" s="113" t="n"/>
      <c r="N1608" s="113" t="n"/>
      <c r="O1608" s="113" t="n"/>
      <c r="P1608" s="113" t="n"/>
      <c r="Q1608" s="113" t="n"/>
      <c r="R1608" s="113" t="n"/>
      <c r="S1608" s="113" t="n"/>
      <c r="T1608" s="113" t="n"/>
      <c r="U1608" s="113" t="n"/>
      <c r="V1608" s="113" t="n"/>
      <c r="W1608" s="113" t="n"/>
      <c r="X1608" s="113" t="n"/>
      <c r="Y1608" s="113" t="n"/>
      <c r="Z1608" s="117">
        <f>IF($B1608="",0,IF($S1608="EVET",IF($D1608="GELİR",$O1608,-$O1608),0))</f>
        <v/>
      </c>
      <c r="AA1608" s="117">
        <f>IF($B1608="",0,IF(OR($W1608="EVET",$X1608="EVET",$Y1608="EVET"),0,IF($D1608="GELİR",IF($E1608="SATIŞ İADESİ/İSKONTO",-$O1608,$O1608),-$O1608)))</f>
        <v/>
      </c>
      <c r="AB1608" s="117">
        <f>IF($B1608="","",IF(OR($D1608="",$E1608="",$O1608=""),"EKSİK",IF($O1608&lt;=0,"SIFIR/NEGATİF",IF(COUNTIFS($C$6:$C$5000,$C1608,$O$6:$O$5000,$O1608,$B$6:$B$5000,$B1608)&gt;1,"MÜKERRER","OK"))))</f>
        <v/>
      </c>
    </row>
    <row r="1609" ht="16.5" customHeight="1" s="80">
      <c r="A1609" s="113" t="n"/>
      <c r="B1609" s="113" t="n"/>
      <c r="C1609" s="113" t="n"/>
      <c r="D1609" s="113" t="n"/>
      <c r="E1609" s="113" t="n"/>
      <c r="F1609" s="113" t="n"/>
      <c r="G1609" s="113" t="n"/>
      <c r="H1609" s="113" t="n"/>
      <c r="I1609" s="113" t="n"/>
      <c r="J1609" s="113" t="n"/>
      <c r="K1609" s="113" t="n"/>
      <c r="L1609" s="113" t="n"/>
      <c r="M1609" s="113" t="n"/>
      <c r="N1609" s="113" t="n"/>
      <c r="O1609" s="113" t="n"/>
      <c r="P1609" s="113" t="n"/>
      <c r="Q1609" s="113" t="n"/>
      <c r="R1609" s="113" t="n"/>
      <c r="S1609" s="113" t="n"/>
      <c r="T1609" s="113" t="n"/>
      <c r="U1609" s="113" t="n"/>
      <c r="V1609" s="113" t="n"/>
      <c r="W1609" s="113" t="n"/>
      <c r="X1609" s="113" t="n"/>
      <c r="Y1609" s="113" t="n"/>
      <c r="Z1609" s="117">
        <f>IF($B1609="",0,IF($S1609="EVET",IF($D1609="GELİR",$O1609,-$O1609),0))</f>
        <v/>
      </c>
      <c r="AA1609" s="117">
        <f>IF($B1609="",0,IF(OR($W1609="EVET",$X1609="EVET",$Y1609="EVET"),0,IF($D1609="GELİR",IF($E1609="SATIŞ İADESİ/İSKONTO",-$O1609,$O1609),-$O1609)))</f>
        <v/>
      </c>
      <c r="AB1609" s="117">
        <f>IF($B1609="","",IF(OR($D1609="",$E1609="",$O1609=""),"EKSİK",IF($O1609&lt;=0,"SIFIR/NEGATİF",IF(COUNTIFS($C$6:$C$5000,$C1609,$O$6:$O$5000,$O1609,$B$6:$B$5000,$B1609)&gt;1,"MÜKERRER","OK"))))</f>
        <v/>
      </c>
    </row>
    <row r="1610" ht="16.5" customHeight="1" s="80">
      <c r="A1610" s="113" t="n"/>
      <c r="B1610" s="113" t="n"/>
      <c r="C1610" s="113" t="n"/>
      <c r="D1610" s="113" t="n"/>
      <c r="E1610" s="113" t="n"/>
      <c r="F1610" s="113" t="n"/>
      <c r="G1610" s="113" t="n"/>
      <c r="H1610" s="113" t="n"/>
      <c r="I1610" s="113" t="n"/>
      <c r="J1610" s="113" t="n"/>
      <c r="K1610" s="113" t="n"/>
      <c r="L1610" s="113" t="n"/>
      <c r="M1610" s="113" t="n"/>
      <c r="N1610" s="113" t="n"/>
      <c r="O1610" s="113" t="n"/>
      <c r="P1610" s="113" t="n"/>
      <c r="Q1610" s="113" t="n"/>
      <c r="R1610" s="113" t="n"/>
      <c r="S1610" s="113" t="n"/>
      <c r="T1610" s="113" t="n"/>
      <c r="U1610" s="113" t="n"/>
      <c r="V1610" s="113" t="n"/>
      <c r="W1610" s="113" t="n"/>
      <c r="X1610" s="113" t="n"/>
      <c r="Y1610" s="113" t="n"/>
      <c r="Z1610" s="117">
        <f>IF($B1610="",0,IF($S1610="EVET",IF($D1610="GELİR",$O1610,-$O1610),0))</f>
        <v/>
      </c>
      <c r="AA1610" s="117">
        <f>IF($B1610="",0,IF(OR($W1610="EVET",$X1610="EVET",$Y1610="EVET"),0,IF($D1610="GELİR",IF($E1610="SATIŞ İADESİ/İSKONTO",-$O1610,$O1610),-$O1610)))</f>
        <v/>
      </c>
      <c r="AB1610" s="117">
        <f>IF($B1610="","",IF(OR($D1610="",$E1610="",$O1610=""),"EKSİK",IF($O1610&lt;=0,"SIFIR/NEGATİF",IF(COUNTIFS($C$6:$C$5000,$C1610,$O$6:$O$5000,$O1610,$B$6:$B$5000,$B1610)&gt;1,"MÜKERRER","OK"))))</f>
        <v/>
      </c>
    </row>
    <row r="1611" ht="16.5" customHeight="1" s="80">
      <c r="A1611" s="113" t="n"/>
      <c r="B1611" s="113" t="n"/>
      <c r="C1611" s="113" t="n"/>
      <c r="D1611" s="113" t="n"/>
      <c r="E1611" s="113" t="n"/>
      <c r="F1611" s="113" t="n"/>
      <c r="G1611" s="113" t="n"/>
      <c r="H1611" s="113" t="n"/>
      <c r="I1611" s="113" t="n"/>
      <c r="J1611" s="113" t="n"/>
      <c r="K1611" s="113" t="n"/>
      <c r="L1611" s="113" t="n"/>
      <c r="M1611" s="113" t="n"/>
      <c r="N1611" s="113" t="n"/>
      <c r="O1611" s="113" t="n"/>
      <c r="P1611" s="113" t="n"/>
      <c r="Q1611" s="113" t="n"/>
      <c r="R1611" s="113" t="n"/>
      <c r="S1611" s="113" t="n"/>
      <c r="T1611" s="113" t="n"/>
      <c r="U1611" s="113" t="n"/>
      <c r="V1611" s="113" t="n"/>
      <c r="W1611" s="113" t="n"/>
      <c r="X1611" s="113" t="n"/>
      <c r="Y1611" s="113" t="n"/>
      <c r="Z1611" s="117">
        <f>IF($B1611="",0,IF($S1611="EVET",IF($D1611="GELİR",$O1611,-$O1611),0))</f>
        <v/>
      </c>
      <c r="AA1611" s="117">
        <f>IF($B1611="",0,IF(OR($W1611="EVET",$X1611="EVET",$Y1611="EVET"),0,IF($D1611="GELİR",IF($E1611="SATIŞ İADESİ/İSKONTO",-$O1611,$O1611),-$O1611)))</f>
        <v/>
      </c>
      <c r="AB1611" s="117">
        <f>IF($B1611="","",IF(OR($D1611="",$E1611="",$O1611=""),"EKSİK",IF($O1611&lt;=0,"SIFIR/NEGATİF",IF(COUNTIFS($C$6:$C$5000,$C1611,$O$6:$O$5000,$O1611,$B$6:$B$5000,$B1611)&gt;1,"MÜKERRER","OK"))))</f>
        <v/>
      </c>
    </row>
    <row r="1612" ht="16.5" customHeight="1" s="80">
      <c r="A1612" s="113" t="n"/>
      <c r="B1612" s="113" t="n"/>
      <c r="C1612" s="113" t="n"/>
      <c r="D1612" s="113" t="n"/>
      <c r="E1612" s="113" t="n"/>
      <c r="F1612" s="113" t="n"/>
      <c r="G1612" s="113" t="n"/>
      <c r="H1612" s="113" t="n"/>
      <c r="I1612" s="113" t="n"/>
      <c r="J1612" s="113" t="n"/>
      <c r="K1612" s="113" t="n"/>
      <c r="L1612" s="113" t="n"/>
      <c r="M1612" s="113" t="n"/>
      <c r="N1612" s="113" t="n"/>
      <c r="O1612" s="113" t="n"/>
      <c r="P1612" s="113" t="n"/>
      <c r="Q1612" s="113" t="n"/>
      <c r="R1612" s="113" t="n"/>
      <c r="S1612" s="113" t="n"/>
      <c r="T1612" s="113" t="n"/>
      <c r="U1612" s="113" t="n"/>
      <c r="V1612" s="113" t="n"/>
      <c r="W1612" s="113" t="n"/>
      <c r="X1612" s="113" t="n"/>
      <c r="Y1612" s="113" t="n"/>
      <c r="Z1612" s="117">
        <f>IF($B1612="",0,IF($S1612="EVET",IF($D1612="GELİR",$O1612,-$O1612),0))</f>
        <v/>
      </c>
      <c r="AA1612" s="117">
        <f>IF($B1612="",0,IF(OR($W1612="EVET",$X1612="EVET",$Y1612="EVET"),0,IF($D1612="GELİR",IF($E1612="SATIŞ İADESİ/İSKONTO",-$O1612,$O1612),-$O1612)))</f>
        <v/>
      </c>
      <c r="AB1612" s="117">
        <f>IF($B1612="","",IF(OR($D1612="",$E1612="",$O1612=""),"EKSİK",IF($O1612&lt;=0,"SIFIR/NEGATİF",IF(COUNTIFS($C$6:$C$5000,$C1612,$O$6:$O$5000,$O1612,$B$6:$B$5000,$B1612)&gt;1,"MÜKERRER","OK"))))</f>
        <v/>
      </c>
    </row>
    <row r="1613" ht="16.5" customHeight="1" s="80">
      <c r="A1613" s="113" t="n"/>
      <c r="B1613" s="113" t="n"/>
      <c r="C1613" s="113" t="n"/>
      <c r="D1613" s="113" t="n"/>
      <c r="E1613" s="113" t="n"/>
      <c r="F1613" s="113" t="n"/>
      <c r="G1613" s="113" t="n"/>
      <c r="H1613" s="113" t="n"/>
      <c r="I1613" s="113" t="n"/>
      <c r="J1613" s="113" t="n"/>
      <c r="K1613" s="113" t="n"/>
      <c r="L1613" s="113" t="n"/>
      <c r="M1613" s="113" t="n"/>
      <c r="N1613" s="113" t="n"/>
      <c r="O1613" s="113" t="n"/>
      <c r="P1613" s="113" t="n"/>
      <c r="Q1613" s="113" t="n"/>
      <c r="R1613" s="113" t="n"/>
      <c r="S1613" s="113" t="n"/>
      <c r="T1613" s="113" t="n"/>
      <c r="U1613" s="113" t="n"/>
      <c r="V1613" s="113" t="n"/>
      <c r="W1613" s="113" t="n"/>
      <c r="X1613" s="113" t="n"/>
      <c r="Y1613" s="113" t="n"/>
      <c r="Z1613" s="117">
        <f>IF($B1613="",0,IF($S1613="EVET",IF($D1613="GELİR",$O1613,-$O1613),0))</f>
        <v/>
      </c>
      <c r="AA1613" s="117">
        <f>IF($B1613="",0,IF(OR($W1613="EVET",$X1613="EVET",$Y1613="EVET"),0,IF($D1613="GELİR",IF($E1613="SATIŞ İADESİ/İSKONTO",-$O1613,$O1613),-$O1613)))</f>
        <v/>
      </c>
      <c r="AB1613" s="117">
        <f>IF($B1613="","",IF(OR($D1613="",$E1613="",$O1613=""),"EKSİK",IF($O1613&lt;=0,"SIFIR/NEGATİF",IF(COUNTIFS($C$6:$C$5000,$C1613,$O$6:$O$5000,$O1613,$B$6:$B$5000,$B1613)&gt;1,"MÜKERRER","OK"))))</f>
        <v/>
      </c>
    </row>
    <row r="1614" ht="16.5" customHeight="1" s="80">
      <c r="A1614" s="113" t="n"/>
      <c r="B1614" s="113" t="n"/>
      <c r="C1614" s="113" t="n"/>
      <c r="D1614" s="113" t="n"/>
      <c r="E1614" s="113" t="n"/>
      <c r="F1614" s="113" t="n"/>
      <c r="G1614" s="113" t="n"/>
      <c r="H1614" s="113" t="n"/>
      <c r="I1614" s="113" t="n"/>
      <c r="J1614" s="113" t="n"/>
      <c r="K1614" s="113" t="n"/>
      <c r="L1614" s="113" t="n"/>
      <c r="M1614" s="113" t="n"/>
      <c r="N1614" s="113" t="n"/>
      <c r="O1614" s="113" t="n"/>
      <c r="P1614" s="113" t="n"/>
      <c r="Q1614" s="113" t="n"/>
      <c r="R1614" s="113" t="n"/>
      <c r="S1614" s="113" t="n"/>
      <c r="T1614" s="113" t="n"/>
      <c r="U1614" s="113" t="n"/>
      <c r="V1614" s="113" t="n"/>
      <c r="W1614" s="113" t="n"/>
      <c r="X1614" s="113" t="n"/>
      <c r="Y1614" s="113" t="n"/>
      <c r="Z1614" s="117">
        <f>IF($B1614="",0,IF($S1614="EVET",IF($D1614="GELİR",$O1614,-$O1614),0))</f>
        <v/>
      </c>
      <c r="AA1614" s="117">
        <f>IF($B1614="",0,IF(OR($W1614="EVET",$X1614="EVET",$Y1614="EVET"),0,IF($D1614="GELİR",IF($E1614="SATIŞ İADESİ/İSKONTO",-$O1614,$O1614),-$O1614)))</f>
        <v/>
      </c>
      <c r="AB1614" s="117">
        <f>IF($B1614="","",IF(OR($D1614="",$E1614="",$O1614=""),"EKSİK",IF($O1614&lt;=0,"SIFIR/NEGATİF",IF(COUNTIFS($C$6:$C$5000,$C1614,$O$6:$O$5000,$O1614,$B$6:$B$5000,$B1614)&gt;1,"MÜKERRER","OK"))))</f>
        <v/>
      </c>
    </row>
    <row r="1615" ht="16.5" customHeight="1" s="80">
      <c r="A1615" s="113" t="n"/>
      <c r="B1615" s="113" t="n"/>
      <c r="C1615" s="113" t="n"/>
      <c r="D1615" s="113" t="n"/>
      <c r="E1615" s="113" t="n"/>
      <c r="F1615" s="113" t="n"/>
      <c r="G1615" s="113" t="n"/>
      <c r="H1615" s="113" t="n"/>
      <c r="I1615" s="113" t="n"/>
      <c r="J1615" s="113" t="n"/>
      <c r="K1615" s="113" t="n"/>
      <c r="L1615" s="113" t="n"/>
      <c r="M1615" s="113" t="n"/>
      <c r="N1615" s="113" t="n"/>
      <c r="O1615" s="113" t="n"/>
      <c r="P1615" s="113" t="n"/>
      <c r="Q1615" s="113" t="n"/>
      <c r="R1615" s="113" t="n"/>
      <c r="S1615" s="113" t="n"/>
      <c r="T1615" s="113" t="n"/>
      <c r="U1615" s="113" t="n"/>
      <c r="V1615" s="113" t="n"/>
      <c r="W1615" s="113" t="n"/>
      <c r="X1615" s="113" t="n"/>
      <c r="Y1615" s="113" t="n"/>
      <c r="Z1615" s="117">
        <f>IF($B1615="",0,IF($S1615="EVET",IF($D1615="GELİR",$O1615,-$O1615),0))</f>
        <v/>
      </c>
      <c r="AA1615" s="117">
        <f>IF($B1615="",0,IF(OR($W1615="EVET",$X1615="EVET",$Y1615="EVET"),0,IF($D1615="GELİR",IF($E1615="SATIŞ İADESİ/İSKONTO",-$O1615,$O1615),-$O1615)))</f>
        <v/>
      </c>
      <c r="AB1615" s="117">
        <f>IF($B1615="","",IF(OR($D1615="",$E1615="",$O1615=""),"EKSİK",IF($O1615&lt;=0,"SIFIR/NEGATİF",IF(COUNTIFS($C$6:$C$5000,$C1615,$O$6:$O$5000,$O1615,$B$6:$B$5000,$B1615)&gt;1,"MÜKERRER","OK"))))</f>
        <v/>
      </c>
    </row>
    <row r="1616" ht="16.5" customHeight="1" s="80">
      <c r="A1616" s="113" t="n"/>
      <c r="B1616" s="113" t="n"/>
      <c r="C1616" s="113" t="n"/>
      <c r="D1616" s="113" t="n"/>
      <c r="E1616" s="113" t="n"/>
      <c r="F1616" s="113" t="n"/>
      <c r="G1616" s="113" t="n"/>
      <c r="H1616" s="113" t="n"/>
      <c r="I1616" s="113" t="n"/>
      <c r="J1616" s="113" t="n"/>
      <c r="K1616" s="113" t="n"/>
      <c r="L1616" s="113" t="n"/>
      <c r="M1616" s="113" t="n"/>
      <c r="N1616" s="113" t="n"/>
      <c r="O1616" s="113" t="n"/>
      <c r="P1616" s="113" t="n"/>
      <c r="Q1616" s="113" t="n"/>
      <c r="R1616" s="113" t="n"/>
      <c r="S1616" s="113" t="n"/>
      <c r="T1616" s="113" t="n"/>
      <c r="U1616" s="113" t="n"/>
      <c r="V1616" s="113" t="n"/>
      <c r="W1616" s="113" t="n"/>
      <c r="X1616" s="113" t="n"/>
      <c r="Y1616" s="113" t="n"/>
      <c r="Z1616" s="117">
        <f>IF($B1616="",0,IF($S1616="EVET",IF($D1616="GELİR",$O1616,-$O1616),0))</f>
        <v/>
      </c>
      <c r="AA1616" s="117">
        <f>IF($B1616="",0,IF(OR($W1616="EVET",$X1616="EVET",$Y1616="EVET"),0,IF($D1616="GELİR",IF($E1616="SATIŞ İADESİ/İSKONTO",-$O1616,$O1616),-$O1616)))</f>
        <v/>
      </c>
      <c r="AB1616" s="117">
        <f>IF($B1616="","",IF(OR($D1616="",$E1616="",$O1616=""),"EKSİK",IF($O1616&lt;=0,"SIFIR/NEGATİF",IF(COUNTIFS($C$6:$C$5000,$C1616,$O$6:$O$5000,$O1616,$B$6:$B$5000,$B1616)&gt;1,"MÜKERRER","OK"))))</f>
        <v/>
      </c>
    </row>
    <row r="1617" ht="16.5" customHeight="1" s="80">
      <c r="A1617" s="113" t="n"/>
      <c r="B1617" s="113" t="n"/>
      <c r="C1617" s="113" t="n"/>
      <c r="D1617" s="113" t="n"/>
      <c r="E1617" s="113" t="n"/>
      <c r="F1617" s="113" t="n"/>
      <c r="G1617" s="113" t="n"/>
      <c r="H1617" s="113" t="n"/>
      <c r="I1617" s="113" t="n"/>
      <c r="J1617" s="113" t="n"/>
      <c r="K1617" s="113" t="n"/>
      <c r="L1617" s="113" t="n"/>
      <c r="M1617" s="113" t="n"/>
      <c r="N1617" s="113" t="n"/>
      <c r="O1617" s="113" t="n"/>
      <c r="P1617" s="113" t="n"/>
      <c r="Q1617" s="113" t="n"/>
      <c r="R1617" s="113" t="n"/>
      <c r="S1617" s="113" t="n"/>
      <c r="T1617" s="113" t="n"/>
      <c r="U1617" s="113" t="n"/>
      <c r="V1617" s="113" t="n"/>
      <c r="W1617" s="113" t="n"/>
      <c r="X1617" s="113" t="n"/>
      <c r="Y1617" s="113" t="n"/>
      <c r="Z1617" s="117">
        <f>IF($B1617="",0,IF($S1617="EVET",IF($D1617="GELİR",$O1617,-$O1617),0))</f>
        <v/>
      </c>
      <c r="AA1617" s="117">
        <f>IF($B1617="",0,IF(OR($W1617="EVET",$X1617="EVET",$Y1617="EVET"),0,IF($D1617="GELİR",IF($E1617="SATIŞ İADESİ/İSKONTO",-$O1617,$O1617),-$O1617)))</f>
        <v/>
      </c>
      <c r="AB1617" s="117">
        <f>IF($B1617="","",IF(OR($D1617="",$E1617="",$O1617=""),"EKSİK",IF($O1617&lt;=0,"SIFIR/NEGATİF",IF(COUNTIFS($C$6:$C$5000,$C1617,$O$6:$O$5000,$O1617,$B$6:$B$5000,$B1617)&gt;1,"MÜKERRER","OK"))))</f>
        <v/>
      </c>
    </row>
    <row r="1618" ht="16.5" customHeight="1" s="80">
      <c r="A1618" s="113" t="n"/>
      <c r="B1618" s="113" t="n"/>
      <c r="C1618" s="113" t="n"/>
      <c r="D1618" s="113" t="n"/>
      <c r="E1618" s="113" t="n"/>
      <c r="F1618" s="113" t="n"/>
      <c r="G1618" s="113" t="n"/>
      <c r="H1618" s="113" t="n"/>
      <c r="I1618" s="113" t="n"/>
      <c r="J1618" s="113" t="n"/>
      <c r="K1618" s="113" t="n"/>
      <c r="L1618" s="113" t="n"/>
      <c r="M1618" s="113" t="n"/>
      <c r="N1618" s="113" t="n"/>
      <c r="O1618" s="113" t="n"/>
      <c r="P1618" s="113" t="n"/>
      <c r="Q1618" s="113" t="n"/>
      <c r="R1618" s="113" t="n"/>
      <c r="S1618" s="113" t="n"/>
      <c r="T1618" s="113" t="n"/>
      <c r="U1618" s="113" t="n"/>
      <c r="V1618" s="113" t="n"/>
      <c r="W1618" s="113" t="n"/>
      <c r="X1618" s="113" t="n"/>
      <c r="Y1618" s="113" t="n"/>
      <c r="Z1618" s="117">
        <f>IF($B1618="",0,IF($S1618="EVET",IF($D1618="GELİR",$O1618,-$O1618),0))</f>
        <v/>
      </c>
      <c r="AA1618" s="117">
        <f>IF($B1618="",0,IF(OR($W1618="EVET",$X1618="EVET",$Y1618="EVET"),0,IF($D1618="GELİR",IF($E1618="SATIŞ İADESİ/İSKONTO",-$O1618,$O1618),-$O1618)))</f>
        <v/>
      </c>
      <c r="AB1618" s="117">
        <f>IF($B1618="","",IF(OR($D1618="",$E1618="",$O1618=""),"EKSİK",IF($O1618&lt;=0,"SIFIR/NEGATİF",IF(COUNTIFS($C$6:$C$5000,$C1618,$O$6:$O$5000,$O1618,$B$6:$B$5000,$B1618)&gt;1,"MÜKERRER","OK"))))</f>
        <v/>
      </c>
    </row>
    <row r="1619" ht="16.5" customHeight="1" s="80">
      <c r="A1619" s="113" t="n"/>
      <c r="B1619" s="113" t="n"/>
      <c r="C1619" s="113" t="n"/>
      <c r="D1619" s="113" t="n"/>
      <c r="E1619" s="113" t="n"/>
      <c r="F1619" s="113" t="n"/>
      <c r="G1619" s="113" t="n"/>
      <c r="H1619" s="113" t="n"/>
      <c r="I1619" s="113" t="n"/>
      <c r="J1619" s="113" t="n"/>
      <c r="K1619" s="113" t="n"/>
      <c r="L1619" s="113" t="n"/>
      <c r="M1619" s="113" t="n"/>
      <c r="N1619" s="113" t="n"/>
      <c r="O1619" s="113" t="n"/>
      <c r="P1619" s="113" t="n"/>
      <c r="Q1619" s="113" t="n"/>
      <c r="R1619" s="113" t="n"/>
      <c r="S1619" s="113" t="n"/>
      <c r="T1619" s="113" t="n"/>
      <c r="U1619" s="113" t="n"/>
      <c r="V1619" s="113" t="n"/>
      <c r="W1619" s="113" t="n"/>
      <c r="X1619" s="113" t="n"/>
      <c r="Y1619" s="113" t="n"/>
      <c r="Z1619" s="117">
        <f>IF($B1619="",0,IF($S1619="EVET",IF($D1619="GELİR",$O1619,-$O1619),0))</f>
        <v/>
      </c>
      <c r="AA1619" s="117">
        <f>IF($B1619="",0,IF(OR($W1619="EVET",$X1619="EVET",$Y1619="EVET"),0,IF($D1619="GELİR",IF($E1619="SATIŞ İADESİ/İSKONTO",-$O1619,$O1619),-$O1619)))</f>
        <v/>
      </c>
      <c r="AB1619" s="117">
        <f>IF($B1619="","",IF(OR($D1619="",$E1619="",$O1619=""),"EKSİK",IF($O1619&lt;=0,"SIFIR/NEGATİF",IF(COUNTIFS($C$6:$C$5000,$C1619,$O$6:$O$5000,$O1619,$B$6:$B$5000,$B1619)&gt;1,"MÜKERRER","OK"))))</f>
        <v/>
      </c>
    </row>
    <row r="1620" ht="16.5" customHeight="1" s="80">
      <c r="A1620" s="113" t="n"/>
      <c r="B1620" s="113" t="n"/>
      <c r="C1620" s="113" t="n"/>
      <c r="D1620" s="113" t="n"/>
      <c r="E1620" s="113" t="n"/>
      <c r="F1620" s="113" t="n"/>
      <c r="G1620" s="113" t="n"/>
      <c r="H1620" s="113" t="n"/>
      <c r="I1620" s="113" t="n"/>
      <c r="J1620" s="113" t="n"/>
      <c r="K1620" s="113" t="n"/>
      <c r="L1620" s="113" t="n"/>
      <c r="M1620" s="113" t="n"/>
      <c r="N1620" s="113" t="n"/>
      <c r="O1620" s="113" t="n"/>
      <c r="P1620" s="113" t="n"/>
      <c r="Q1620" s="113" t="n"/>
      <c r="R1620" s="113" t="n"/>
      <c r="S1620" s="113" t="n"/>
      <c r="T1620" s="113" t="n"/>
      <c r="U1620" s="113" t="n"/>
      <c r="V1620" s="113" t="n"/>
      <c r="W1620" s="113" t="n"/>
      <c r="X1620" s="113" t="n"/>
      <c r="Y1620" s="113" t="n"/>
      <c r="Z1620" s="117">
        <f>IF($B1620="",0,IF($S1620="EVET",IF($D1620="GELİR",$O1620,-$O1620),0))</f>
        <v/>
      </c>
      <c r="AA1620" s="117">
        <f>IF($B1620="",0,IF(OR($W1620="EVET",$X1620="EVET",$Y1620="EVET"),0,IF($D1620="GELİR",IF($E1620="SATIŞ İADESİ/İSKONTO",-$O1620,$O1620),-$O1620)))</f>
        <v/>
      </c>
      <c r="AB1620" s="117">
        <f>IF($B1620="","",IF(OR($D1620="",$E1620="",$O1620=""),"EKSİK",IF($O1620&lt;=0,"SIFIR/NEGATİF",IF(COUNTIFS($C$6:$C$5000,$C1620,$O$6:$O$5000,$O1620,$B$6:$B$5000,$B1620)&gt;1,"MÜKERRER","OK"))))</f>
        <v/>
      </c>
    </row>
    <row r="1621" ht="16.5" customHeight="1" s="80">
      <c r="A1621" s="113" t="n"/>
      <c r="B1621" s="113" t="n"/>
      <c r="C1621" s="113" t="n"/>
      <c r="D1621" s="113" t="n"/>
      <c r="E1621" s="113" t="n"/>
      <c r="F1621" s="113" t="n"/>
      <c r="G1621" s="113" t="n"/>
      <c r="H1621" s="113" t="n"/>
      <c r="I1621" s="113" t="n"/>
      <c r="J1621" s="113" t="n"/>
      <c r="K1621" s="113" t="n"/>
      <c r="L1621" s="113" t="n"/>
      <c r="M1621" s="113" t="n"/>
      <c r="N1621" s="113" t="n"/>
      <c r="O1621" s="113" t="n"/>
      <c r="P1621" s="113" t="n"/>
      <c r="Q1621" s="113" t="n"/>
      <c r="R1621" s="113" t="n"/>
      <c r="S1621" s="113" t="n"/>
      <c r="T1621" s="113" t="n"/>
      <c r="U1621" s="113" t="n"/>
      <c r="V1621" s="113" t="n"/>
      <c r="W1621" s="113" t="n"/>
      <c r="X1621" s="113" t="n"/>
      <c r="Y1621" s="113" t="n"/>
      <c r="Z1621" s="117">
        <f>IF($B1621="",0,IF($S1621="EVET",IF($D1621="GELİR",$O1621,-$O1621),0))</f>
        <v/>
      </c>
      <c r="AA1621" s="117">
        <f>IF($B1621="",0,IF(OR($W1621="EVET",$X1621="EVET",$Y1621="EVET"),0,IF($D1621="GELİR",IF($E1621="SATIŞ İADESİ/İSKONTO",-$O1621,$O1621),-$O1621)))</f>
        <v/>
      </c>
      <c r="AB1621" s="117">
        <f>IF($B1621="","",IF(OR($D1621="",$E1621="",$O1621=""),"EKSİK",IF($O1621&lt;=0,"SIFIR/NEGATİF",IF(COUNTIFS($C$6:$C$5000,$C1621,$O$6:$O$5000,$O1621,$B$6:$B$5000,$B1621)&gt;1,"MÜKERRER","OK"))))</f>
        <v/>
      </c>
    </row>
    <row r="1622" ht="16.5" customHeight="1" s="80">
      <c r="A1622" s="113" t="n"/>
      <c r="B1622" s="113" t="n"/>
      <c r="C1622" s="113" t="n"/>
      <c r="D1622" s="113" t="n"/>
      <c r="E1622" s="113" t="n"/>
      <c r="F1622" s="113" t="n"/>
      <c r="G1622" s="113" t="n"/>
      <c r="H1622" s="113" t="n"/>
      <c r="I1622" s="113" t="n"/>
      <c r="J1622" s="113" t="n"/>
      <c r="K1622" s="113" t="n"/>
      <c r="L1622" s="113" t="n"/>
      <c r="M1622" s="113" t="n"/>
      <c r="N1622" s="113" t="n"/>
      <c r="O1622" s="113" t="n"/>
      <c r="P1622" s="113" t="n"/>
      <c r="Q1622" s="113" t="n"/>
      <c r="R1622" s="113" t="n"/>
      <c r="S1622" s="113" t="n"/>
      <c r="T1622" s="113" t="n"/>
      <c r="U1622" s="113" t="n"/>
      <c r="V1622" s="113" t="n"/>
      <c r="W1622" s="113" t="n"/>
      <c r="X1622" s="113" t="n"/>
      <c r="Y1622" s="113" t="n"/>
      <c r="Z1622" s="117">
        <f>IF($B1622="",0,IF($S1622="EVET",IF($D1622="GELİR",$O1622,-$O1622),0))</f>
        <v/>
      </c>
      <c r="AA1622" s="117">
        <f>IF($B1622="",0,IF(OR($W1622="EVET",$X1622="EVET",$Y1622="EVET"),0,IF($D1622="GELİR",IF($E1622="SATIŞ İADESİ/İSKONTO",-$O1622,$O1622),-$O1622)))</f>
        <v/>
      </c>
      <c r="AB1622" s="117">
        <f>IF($B1622="","",IF(OR($D1622="",$E1622="",$O1622=""),"EKSİK",IF($O1622&lt;=0,"SIFIR/NEGATİF",IF(COUNTIFS($C$6:$C$5000,$C1622,$O$6:$O$5000,$O1622,$B$6:$B$5000,$B1622)&gt;1,"MÜKERRER","OK"))))</f>
        <v/>
      </c>
    </row>
    <row r="1623" ht="16.5" customHeight="1" s="80">
      <c r="A1623" s="113" t="n"/>
      <c r="B1623" s="113" t="n"/>
      <c r="C1623" s="113" t="n"/>
      <c r="D1623" s="113" t="n"/>
      <c r="E1623" s="113" t="n"/>
      <c r="F1623" s="113" t="n"/>
      <c r="G1623" s="113" t="n"/>
      <c r="H1623" s="113" t="n"/>
      <c r="I1623" s="113" t="n"/>
      <c r="J1623" s="113" t="n"/>
      <c r="K1623" s="113" t="n"/>
      <c r="L1623" s="113" t="n"/>
      <c r="M1623" s="113" t="n"/>
      <c r="N1623" s="113" t="n"/>
      <c r="O1623" s="113" t="n"/>
      <c r="P1623" s="113" t="n"/>
      <c r="Q1623" s="113" t="n"/>
      <c r="R1623" s="113" t="n"/>
      <c r="S1623" s="113" t="n"/>
      <c r="T1623" s="113" t="n"/>
      <c r="U1623" s="113" t="n"/>
      <c r="V1623" s="113" t="n"/>
      <c r="W1623" s="113" t="n"/>
      <c r="X1623" s="113" t="n"/>
      <c r="Y1623" s="113" t="n"/>
      <c r="Z1623" s="117">
        <f>IF($B1623="",0,IF($S1623="EVET",IF($D1623="GELİR",$O1623,-$O1623),0))</f>
        <v/>
      </c>
      <c r="AA1623" s="117">
        <f>IF($B1623="",0,IF(OR($W1623="EVET",$X1623="EVET",$Y1623="EVET"),0,IF($D1623="GELİR",IF($E1623="SATIŞ İADESİ/İSKONTO",-$O1623,$O1623),-$O1623)))</f>
        <v/>
      </c>
      <c r="AB1623" s="117">
        <f>IF($B1623="","",IF(OR($D1623="",$E1623="",$O1623=""),"EKSİK",IF($O1623&lt;=0,"SIFIR/NEGATİF",IF(COUNTIFS($C$6:$C$5000,$C1623,$O$6:$O$5000,$O1623,$B$6:$B$5000,$B1623)&gt;1,"MÜKERRER","OK"))))</f>
        <v/>
      </c>
    </row>
    <row r="1624" ht="16.5" customHeight="1" s="80">
      <c r="A1624" s="113" t="n"/>
      <c r="B1624" s="113" t="n"/>
      <c r="C1624" s="113" t="n"/>
      <c r="D1624" s="113" t="n"/>
      <c r="E1624" s="113" t="n"/>
      <c r="F1624" s="113" t="n"/>
      <c r="G1624" s="113" t="n"/>
      <c r="H1624" s="113" t="n"/>
      <c r="I1624" s="113" t="n"/>
      <c r="J1624" s="113" t="n"/>
      <c r="K1624" s="113" t="n"/>
      <c r="L1624" s="113" t="n"/>
      <c r="M1624" s="113" t="n"/>
      <c r="N1624" s="113" t="n"/>
      <c r="O1624" s="113" t="n"/>
      <c r="P1624" s="113" t="n"/>
      <c r="Q1624" s="113" t="n"/>
      <c r="R1624" s="113" t="n"/>
      <c r="S1624" s="113" t="n"/>
      <c r="T1624" s="113" t="n"/>
      <c r="U1624" s="113" t="n"/>
      <c r="V1624" s="113" t="n"/>
      <c r="W1624" s="113" t="n"/>
      <c r="X1624" s="113" t="n"/>
      <c r="Y1624" s="113" t="n"/>
      <c r="Z1624" s="117">
        <f>IF($B1624="",0,IF($S1624="EVET",IF($D1624="GELİR",$O1624,-$O1624),0))</f>
        <v/>
      </c>
      <c r="AA1624" s="117">
        <f>IF($B1624="",0,IF(OR($W1624="EVET",$X1624="EVET",$Y1624="EVET"),0,IF($D1624="GELİR",IF($E1624="SATIŞ İADESİ/İSKONTO",-$O1624,$O1624),-$O1624)))</f>
        <v/>
      </c>
      <c r="AB1624" s="117">
        <f>IF($B1624="","",IF(OR($D1624="",$E1624="",$O1624=""),"EKSİK",IF($O1624&lt;=0,"SIFIR/NEGATİF",IF(COUNTIFS($C$6:$C$5000,$C1624,$O$6:$O$5000,$O1624,$B$6:$B$5000,$B1624)&gt;1,"MÜKERRER","OK"))))</f>
        <v/>
      </c>
    </row>
    <row r="1625" ht="16.5" customHeight="1" s="80">
      <c r="A1625" s="113" t="n"/>
      <c r="B1625" s="113" t="n"/>
      <c r="C1625" s="113" t="n"/>
      <c r="D1625" s="113" t="n"/>
      <c r="E1625" s="113" t="n"/>
      <c r="F1625" s="113" t="n"/>
      <c r="G1625" s="113" t="n"/>
      <c r="H1625" s="113" t="n"/>
      <c r="I1625" s="113" t="n"/>
      <c r="J1625" s="113" t="n"/>
      <c r="K1625" s="113" t="n"/>
      <c r="L1625" s="113" t="n"/>
      <c r="M1625" s="113" t="n"/>
      <c r="N1625" s="113" t="n"/>
      <c r="O1625" s="113" t="n"/>
      <c r="P1625" s="113" t="n"/>
      <c r="Q1625" s="113" t="n"/>
      <c r="R1625" s="113" t="n"/>
      <c r="S1625" s="113" t="n"/>
      <c r="T1625" s="113" t="n"/>
      <c r="U1625" s="113" t="n"/>
      <c r="V1625" s="113" t="n"/>
      <c r="W1625" s="113" t="n"/>
      <c r="X1625" s="113" t="n"/>
      <c r="Y1625" s="113" t="n"/>
      <c r="Z1625" s="117">
        <f>IF($B1625="",0,IF($S1625="EVET",IF($D1625="GELİR",$O1625,-$O1625),0))</f>
        <v/>
      </c>
      <c r="AA1625" s="117">
        <f>IF($B1625="",0,IF(OR($W1625="EVET",$X1625="EVET",$Y1625="EVET"),0,IF($D1625="GELİR",IF($E1625="SATIŞ İADESİ/İSKONTO",-$O1625,$O1625),-$O1625)))</f>
        <v/>
      </c>
      <c r="AB1625" s="117">
        <f>IF($B1625="","",IF(OR($D1625="",$E1625="",$O1625=""),"EKSİK",IF($O1625&lt;=0,"SIFIR/NEGATİF",IF(COUNTIFS($C$6:$C$5000,$C1625,$O$6:$O$5000,$O1625,$B$6:$B$5000,$B1625)&gt;1,"MÜKERRER","OK"))))</f>
        <v/>
      </c>
    </row>
    <row r="1626" ht="16.5" customHeight="1" s="80">
      <c r="A1626" s="113" t="n"/>
      <c r="B1626" s="113" t="n"/>
      <c r="C1626" s="113" t="n"/>
      <c r="D1626" s="113" t="n"/>
      <c r="E1626" s="113" t="n"/>
      <c r="F1626" s="113" t="n"/>
      <c r="G1626" s="113" t="n"/>
      <c r="H1626" s="113" t="n"/>
      <c r="I1626" s="113" t="n"/>
      <c r="J1626" s="113" t="n"/>
      <c r="K1626" s="113" t="n"/>
      <c r="L1626" s="113" t="n"/>
      <c r="M1626" s="113" t="n"/>
      <c r="N1626" s="113" t="n"/>
      <c r="O1626" s="113" t="n"/>
      <c r="P1626" s="113" t="n"/>
      <c r="Q1626" s="113" t="n"/>
      <c r="R1626" s="113" t="n"/>
      <c r="S1626" s="113" t="n"/>
      <c r="T1626" s="113" t="n"/>
      <c r="U1626" s="113" t="n"/>
      <c r="V1626" s="113" t="n"/>
      <c r="W1626" s="113" t="n"/>
      <c r="X1626" s="113" t="n"/>
      <c r="Y1626" s="113" t="n"/>
      <c r="Z1626" s="117">
        <f>IF($B1626="",0,IF($S1626="EVET",IF($D1626="GELİR",$O1626,-$O1626),0))</f>
        <v/>
      </c>
      <c r="AA1626" s="117">
        <f>IF($B1626="",0,IF(OR($W1626="EVET",$X1626="EVET",$Y1626="EVET"),0,IF($D1626="GELİR",IF($E1626="SATIŞ İADESİ/İSKONTO",-$O1626,$O1626),-$O1626)))</f>
        <v/>
      </c>
      <c r="AB1626" s="117">
        <f>IF($B1626="","",IF(OR($D1626="",$E1626="",$O1626=""),"EKSİK",IF($O1626&lt;=0,"SIFIR/NEGATİF",IF(COUNTIFS($C$6:$C$5000,$C1626,$O$6:$O$5000,$O1626,$B$6:$B$5000,$B1626)&gt;1,"MÜKERRER","OK"))))</f>
        <v/>
      </c>
    </row>
    <row r="1627" ht="16.5" customHeight="1" s="80">
      <c r="A1627" s="113" t="n"/>
      <c r="B1627" s="113" t="n"/>
      <c r="C1627" s="113" t="n"/>
      <c r="D1627" s="113" t="n"/>
      <c r="E1627" s="113" t="n"/>
      <c r="F1627" s="113" t="n"/>
      <c r="G1627" s="113" t="n"/>
      <c r="H1627" s="113" t="n"/>
      <c r="I1627" s="113" t="n"/>
      <c r="J1627" s="113" t="n"/>
      <c r="K1627" s="113" t="n"/>
      <c r="L1627" s="113" t="n"/>
      <c r="M1627" s="113" t="n"/>
      <c r="N1627" s="113" t="n"/>
      <c r="O1627" s="113" t="n"/>
      <c r="P1627" s="113" t="n"/>
      <c r="Q1627" s="113" t="n"/>
      <c r="R1627" s="113" t="n"/>
      <c r="S1627" s="113" t="n"/>
      <c r="T1627" s="113" t="n"/>
      <c r="U1627" s="113" t="n"/>
      <c r="V1627" s="113" t="n"/>
      <c r="W1627" s="113" t="n"/>
      <c r="X1627" s="113" t="n"/>
      <c r="Y1627" s="113" t="n"/>
      <c r="Z1627" s="117">
        <f>IF($B1627="",0,IF($S1627="EVET",IF($D1627="GELİR",$O1627,-$O1627),0))</f>
        <v/>
      </c>
      <c r="AA1627" s="117">
        <f>IF($B1627="",0,IF(OR($W1627="EVET",$X1627="EVET",$Y1627="EVET"),0,IF($D1627="GELİR",IF($E1627="SATIŞ İADESİ/İSKONTO",-$O1627,$O1627),-$O1627)))</f>
        <v/>
      </c>
      <c r="AB1627" s="117">
        <f>IF($B1627="","",IF(OR($D1627="",$E1627="",$O1627=""),"EKSİK",IF($O1627&lt;=0,"SIFIR/NEGATİF",IF(COUNTIFS($C$6:$C$5000,$C1627,$O$6:$O$5000,$O1627,$B$6:$B$5000,$B1627)&gt;1,"MÜKERRER","OK"))))</f>
        <v/>
      </c>
    </row>
    <row r="1628" ht="16.5" customHeight="1" s="80">
      <c r="A1628" s="113" t="n"/>
      <c r="B1628" s="113" t="n"/>
      <c r="C1628" s="113" t="n"/>
      <c r="D1628" s="113" t="n"/>
      <c r="E1628" s="113" t="n"/>
      <c r="F1628" s="113" t="n"/>
      <c r="G1628" s="113" t="n"/>
      <c r="H1628" s="113" t="n"/>
      <c r="I1628" s="113" t="n"/>
      <c r="J1628" s="113" t="n"/>
      <c r="K1628" s="113" t="n"/>
      <c r="L1628" s="113" t="n"/>
      <c r="M1628" s="113" t="n"/>
      <c r="N1628" s="113" t="n"/>
      <c r="O1628" s="113" t="n"/>
      <c r="P1628" s="113" t="n"/>
      <c r="Q1628" s="113" t="n"/>
      <c r="R1628" s="113" t="n"/>
      <c r="S1628" s="113" t="n"/>
      <c r="T1628" s="113" t="n"/>
      <c r="U1628" s="113" t="n"/>
      <c r="V1628" s="113" t="n"/>
      <c r="W1628" s="113" t="n"/>
      <c r="X1628" s="113" t="n"/>
      <c r="Y1628" s="113" t="n"/>
      <c r="Z1628" s="117">
        <f>IF($B1628="",0,IF($S1628="EVET",IF($D1628="GELİR",$O1628,-$O1628),0))</f>
        <v/>
      </c>
      <c r="AA1628" s="117">
        <f>IF($B1628="",0,IF(OR($W1628="EVET",$X1628="EVET",$Y1628="EVET"),0,IF($D1628="GELİR",IF($E1628="SATIŞ İADESİ/İSKONTO",-$O1628,$O1628),-$O1628)))</f>
        <v/>
      </c>
      <c r="AB1628" s="117">
        <f>IF($B1628="","",IF(OR($D1628="",$E1628="",$O1628=""),"EKSİK",IF($O1628&lt;=0,"SIFIR/NEGATİF",IF(COUNTIFS($C$6:$C$5000,$C1628,$O$6:$O$5000,$O1628,$B$6:$B$5000,$B1628)&gt;1,"MÜKERRER","OK"))))</f>
        <v/>
      </c>
    </row>
    <row r="1629" ht="16.5" customHeight="1" s="80">
      <c r="A1629" s="113" t="n"/>
      <c r="B1629" s="113" t="n"/>
      <c r="C1629" s="113" t="n"/>
      <c r="D1629" s="113" t="n"/>
      <c r="E1629" s="113" t="n"/>
      <c r="F1629" s="113" t="n"/>
      <c r="G1629" s="113" t="n"/>
      <c r="H1629" s="113" t="n"/>
      <c r="I1629" s="113" t="n"/>
      <c r="J1629" s="113" t="n"/>
      <c r="K1629" s="113" t="n"/>
      <c r="L1629" s="113" t="n"/>
      <c r="M1629" s="113" t="n"/>
      <c r="N1629" s="113" t="n"/>
      <c r="O1629" s="113" t="n"/>
      <c r="P1629" s="113" t="n"/>
      <c r="Q1629" s="113" t="n"/>
      <c r="R1629" s="113" t="n"/>
      <c r="S1629" s="113" t="n"/>
      <c r="T1629" s="113" t="n"/>
      <c r="U1629" s="113" t="n"/>
      <c r="V1629" s="113" t="n"/>
      <c r="W1629" s="113" t="n"/>
      <c r="X1629" s="113" t="n"/>
      <c r="Y1629" s="113" t="n"/>
      <c r="Z1629" s="117">
        <f>IF($B1629="",0,IF($S1629="EVET",IF($D1629="GELİR",$O1629,-$O1629),0))</f>
        <v/>
      </c>
      <c r="AA1629" s="117">
        <f>IF($B1629="",0,IF(OR($W1629="EVET",$X1629="EVET",$Y1629="EVET"),0,IF($D1629="GELİR",IF($E1629="SATIŞ İADESİ/İSKONTO",-$O1629,$O1629),-$O1629)))</f>
        <v/>
      </c>
      <c r="AB1629" s="117">
        <f>IF($B1629="","",IF(OR($D1629="",$E1629="",$O1629=""),"EKSİK",IF($O1629&lt;=0,"SIFIR/NEGATİF",IF(COUNTIFS($C$6:$C$5000,$C1629,$O$6:$O$5000,$O1629,$B$6:$B$5000,$B1629)&gt;1,"MÜKERRER","OK"))))</f>
        <v/>
      </c>
    </row>
    <row r="1630" ht="16.5" customHeight="1" s="80">
      <c r="A1630" s="113" t="n"/>
      <c r="B1630" s="113" t="n"/>
      <c r="C1630" s="113" t="n"/>
      <c r="D1630" s="113" t="n"/>
      <c r="E1630" s="113" t="n"/>
      <c r="F1630" s="113" t="n"/>
      <c r="G1630" s="113" t="n"/>
      <c r="H1630" s="113" t="n"/>
      <c r="I1630" s="113" t="n"/>
      <c r="J1630" s="113" t="n"/>
      <c r="K1630" s="113" t="n"/>
      <c r="L1630" s="113" t="n"/>
      <c r="M1630" s="113" t="n"/>
      <c r="N1630" s="113" t="n"/>
      <c r="O1630" s="113" t="n"/>
      <c r="P1630" s="113" t="n"/>
      <c r="Q1630" s="113" t="n"/>
      <c r="R1630" s="113" t="n"/>
      <c r="S1630" s="113" t="n"/>
      <c r="T1630" s="113" t="n"/>
      <c r="U1630" s="113" t="n"/>
      <c r="V1630" s="113" t="n"/>
      <c r="W1630" s="113" t="n"/>
      <c r="X1630" s="113" t="n"/>
      <c r="Y1630" s="113" t="n"/>
      <c r="Z1630" s="117">
        <f>IF($B1630="",0,IF($S1630="EVET",IF($D1630="GELİR",$O1630,-$O1630),0))</f>
        <v/>
      </c>
      <c r="AA1630" s="117">
        <f>IF($B1630="",0,IF(OR($W1630="EVET",$X1630="EVET",$Y1630="EVET"),0,IF($D1630="GELİR",IF($E1630="SATIŞ İADESİ/İSKONTO",-$O1630,$O1630),-$O1630)))</f>
        <v/>
      </c>
      <c r="AB1630" s="117">
        <f>IF($B1630="","",IF(OR($D1630="",$E1630="",$O1630=""),"EKSİK",IF($O1630&lt;=0,"SIFIR/NEGATİF",IF(COUNTIFS($C$6:$C$5000,$C1630,$O$6:$O$5000,$O1630,$B$6:$B$5000,$B1630)&gt;1,"MÜKERRER","OK"))))</f>
        <v/>
      </c>
    </row>
    <row r="1631" ht="16.5" customHeight="1" s="80">
      <c r="A1631" s="113" t="n"/>
      <c r="B1631" s="113" t="n"/>
      <c r="C1631" s="113" t="n"/>
      <c r="D1631" s="113" t="n"/>
      <c r="E1631" s="113" t="n"/>
      <c r="F1631" s="113" t="n"/>
      <c r="G1631" s="113" t="n"/>
      <c r="H1631" s="113" t="n"/>
      <c r="I1631" s="113" t="n"/>
      <c r="J1631" s="113" t="n"/>
      <c r="K1631" s="113" t="n"/>
      <c r="L1631" s="113" t="n"/>
      <c r="M1631" s="113" t="n"/>
      <c r="N1631" s="113" t="n"/>
      <c r="O1631" s="113" t="n"/>
      <c r="P1631" s="113" t="n"/>
      <c r="Q1631" s="113" t="n"/>
      <c r="R1631" s="113" t="n"/>
      <c r="S1631" s="113" t="n"/>
      <c r="T1631" s="113" t="n"/>
      <c r="U1631" s="113" t="n"/>
      <c r="V1631" s="113" t="n"/>
      <c r="W1631" s="113" t="n"/>
      <c r="X1631" s="113" t="n"/>
      <c r="Y1631" s="113" t="n"/>
      <c r="Z1631" s="117">
        <f>IF($B1631="",0,IF($S1631="EVET",IF($D1631="GELİR",$O1631,-$O1631),0))</f>
        <v/>
      </c>
      <c r="AA1631" s="117">
        <f>IF($B1631="",0,IF(OR($W1631="EVET",$X1631="EVET",$Y1631="EVET"),0,IF($D1631="GELİR",IF($E1631="SATIŞ İADESİ/İSKONTO",-$O1631,$O1631),-$O1631)))</f>
        <v/>
      </c>
      <c r="AB1631" s="117">
        <f>IF($B1631="","",IF(OR($D1631="",$E1631="",$O1631=""),"EKSİK",IF($O1631&lt;=0,"SIFIR/NEGATİF",IF(COUNTIFS($C$6:$C$5000,$C1631,$O$6:$O$5000,$O1631,$B$6:$B$5000,$B1631)&gt;1,"MÜKERRER","OK"))))</f>
        <v/>
      </c>
    </row>
    <row r="1632" ht="16.5" customHeight="1" s="80">
      <c r="A1632" s="113" t="n"/>
      <c r="B1632" s="113" t="n"/>
      <c r="C1632" s="113" t="n"/>
      <c r="D1632" s="113" t="n"/>
      <c r="E1632" s="113" t="n"/>
      <c r="F1632" s="113" t="n"/>
      <c r="G1632" s="113" t="n"/>
      <c r="H1632" s="113" t="n"/>
      <c r="I1632" s="113" t="n"/>
      <c r="J1632" s="113" t="n"/>
      <c r="K1632" s="113" t="n"/>
      <c r="L1632" s="113" t="n"/>
      <c r="M1632" s="113" t="n"/>
      <c r="N1632" s="113" t="n"/>
      <c r="O1632" s="113" t="n"/>
      <c r="P1632" s="113" t="n"/>
      <c r="Q1632" s="113" t="n"/>
      <c r="R1632" s="113" t="n"/>
      <c r="S1632" s="113" t="n"/>
      <c r="T1632" s="113" t="n"/>
      <c r="U1632" s="113" t="n"/>
      <c r="V1632" s="113" t="n"/>
      <c r="W1632" s="113" t="n"/>
      <c r="X1632" s="113" t="n"/>
      <c r="Y1632" s="113" t="n"/>
      <c r="Z1632" s="117">
        <f>IF($B1632="",0,IF($S1632="EVET",IF($D1632="GELİR",$O1632,-$O1632),0))</f>
        <v/>
      </c>
      <c r="AA1632" s="117">
        <f>IF($B1632="",0,IF(OR($W1632="EVET",$X1632="EVET",$Y1632="EVET"),0,IF($D1632="GELİR",IF($E1632="SATIŞ İADESİ/İSKONTO",-$O1632,$O1632),-$O1632)))</f>
        <v/>
      </c>
      <c r="AB1632" s="117">
        <f>IF($B1632="","",IF(OR($D1632="",$E1632="",$O1632=""),"EKSİK",IF($O1632&lt;=0,"SIFIR/NEGATİF",IF(COUNTIFS($C$6:$C$5000,$C1632,$O$6:$O$5000,$O1632,$B$6:$B$5000,$B1632)&gt;1,"MÜKERRER","OK"))))</f>
        <v/>
      </c>
    </row>
    <row r="1633" ht="16.5" customHeight="1" s="80">
      <c r="A1633" s="113" t="n"/>
      <c r="B1633" s="113" t="n"/>
      <c r="C1633" s="113" t="n"/>
      <c r="D1633" s="113" t="n"/>
      <c r="E1633" s="113" t="n"/>
      <c r="F1633" s="113" t="n"/>
      <c r="G1633" s="113" t="n"/>
      <c r="H1633" s="113" t="n"/>
      <c r="I1633" s="113" t="n"/>
      <c r="J1633" s="113" t="n"/>
      <c r="K1633" s="113" t="n"/>
      <c r="L1633" s="113" t="n"/>
      <c r="M1633" s="113" t="n"/>
      <c r="N1633" s="113" t="n"/>
      <c r="O1633" s="113" t="n"/>
      <c r="P1633" s="113" t="n"/>
      <c r="Q1633" s="113" t="n"/>
      <c r="R1633" s="113" t="n"/>
      <c r="S1633" s="113" t="n"/>
      <c r="T1633" s="113" t="n"/>
      <c r="U1633" s="113" t="n"/>
      <c r="V1633" s="113" t="n"/>
      <c r="W1633" s="113" t="n"/>
      <c r="X1633" s="113" t="n"/>
      <c r="Y1633" s="113" t="n"/>
      <c r="Z1633" s="117">
        <f>IF($B1633="",0,IF($S1633="EVET",IF($D1633="GELİR",$O1633,-$O1633),0))</f>
        <v/>
      </c>
      <c r="AA1633" s="117">
        <f>IF($B1633="",0,IF(OR($W1633="EVET",$X1633="EVET",$Y1633="EVET"),0,IF($D1633="GELİR",IF($E1633="SATIŞ İADESİ/İSKONTO",-$O1633,$O1633),-$O1633)))</f>
        <v/>
      </c>
      <c r="AB1633" s="117">
        <f>IF($B1633="","",IF(OR($D1633="",$E1633="",$O1633=""),"EKSİK",IF($O1633&lt;=0,"SIFIR/NEGATİF",IF(COUNTIFS($C$6:$C$5000,$C1633,$O$6:$O$5000,$O1633,$B$6:$B$5000,$B1633)&gt;1,"MÜKERRER","OK"))))</f>
        <v/>
      </c>
    </row>
    <row r="1634" ht="16.5" customHeight="1" s="80">
      <c r="A1634" s="113" t="n"/>
      <c r="B1634" s="113" t="n"/>
      <c r="C1634" s="113" t="n"/>
      <c r="D1634" s="113" t="n"/>
      <c r="E1634" s="113" t="n"/>
      <c r="F1634" s="113" t="n"/>
      <c r="G1634" s="113" t="n"/>
      <c r="H1634" s="113" t="n"/>
      <c r="I1634" s="113" t="n"/>
      <c r="J1634" s="113" t="n"/>
      <c r="K1634" s="113" t="n"/>
      <c r="L1634" s="113" t="n"/>
      <c r="M1634" s="113" t="n"/>
      <c r="N1634" s="113" t="n"/>
      <c r="O1634" s="113" t="n"/>
      <c r="P1634" s="113" t="n"/>
      <c r="Q1634" s="113" t="n"/>
      <c r="R1634" s="113" t="n"/>
      <c r="S1634" s="113" t="n"/>
      <c r="T1634" s="113" t="n"/>
      <c r="U1634" s="113" t="n"/>
      <c r="V1634" s="113" t="n"/>
      <c r="W1634" s="113" t="n"/>
      <c r="X1634" s="113" t="n"/>
      <c r="Y1634" s="113" t="n"/>
      <c r="Z1634" s="117">
        <f>IF($B1634="",0,IF($S1634="EVET",IF($D1634="GELİR",$O1634,-$O1634),0))</f>
        <v/>
      </c>
      <c r="AA1634" s="117">
        <f>IF($B1634="",0,IF(OR($W1634="EVET",$X1634="EVET",$Y1634="EVET"),0,IF($D1634="GELİR",IF($E1634="SATIŞ İADESİ/İSKONTO",-$O1634,$O1634),-$O1634)))</f>
        <v/>
      </c>
      <c r="AB1634" s="117">
        <f>IF($B1634="","",IF(OR($D1634="",$E1634="",$O1634=""),"EKSİK",IF($O1634&lt;=0,"SIFIR/NEGATİF",IF(COUNTIFS($C$6:$C$5000,$C1634,$O$6:$O$5000,$O1634,$B$6:$B$5000,$B1634)&gt;1,"MÜKERRER","OK"))))</f>
        <v/>
      </c>
    </row>
    <row r="1635" ht="16.5" customHeight="1" s="80">
      <c r="A1635" s="113" t="n"/>
      <c r="B1635" s="113" t="n"/>
      <c r="C1635" s="113" t="n"/>
      <c r="D1635" s="113" t="n"/>
      <c r="E1635" s="113" t="n"/>
      <c r="F1635" s="113" t="n"/>
      <c r="G1635" s="113" t="n"/>
      <c r="H1635" s="113" t="n"/>
      <c r="I1635" s="113" t="n"/>
      <c r="J1635" s="113" t="n"/>
      <c r="K1635" s="113" t="n"/>
      <c r="L1635" s="113" t="n"/>
      <c r="M1635" s="113" t="n"/>
      <c r="N1635" s="113" t="n"/>
      <c r="O1635" s="113" t="n"/>
      <c r="P1635" s="113" t="n"/>
      <c r="Q1635" s="113" t="n"/>
      <c r="R1635" s="113" t="n"/>
      <c r="S1635" s="113" t="n"/>
      <c r="T1635" s="113" t="n"/>
      <c r="U1635" s="113" t="n"/>
      <c r="V1635" s="113" t="n"/>
      <c r="W1635" s="113" t="n"/>
      <c r="X1635" s="113" t="n"/>
      <c r="Y1635" s="113" t="n"/>
      <c r="Z1635" s="117">
        <f>IF($B1635="",0,IF($S1635="EVET",IF($D1635="GELİR",$O1635,-$O1635),0))</f>
        <v/>
      </c>
      <c r="AA1635" s="117">
        <f>IF($B1635="",0,IF(OR($W1635="EVET",$X1635="EVET",$Y1635="EVET"),0,IF($D1635="GELİR",IF($E1635="SATIŞ İADESİ/İSKONTO",-$O1635,$O1635),-$O1635)))</f>
        <v/>
      </c>
      <c r="AB1635" s="117">
        <f>IF($B1635="","",IF(OR($D1635="",$E1635="",$O1635=""),"EKSİK",IF($O1635&lt;=0,"SIFIR/NEGATİF",IF(COUNTIFS($C$6:$C$5000,$C1635,$O$6:$O$5000,$O1635,$B$6:$B$5000,$B1635)&gt;1,"MÜKERRER","OK"))))</f>
        <v/>
      </c>
    </row>
    <row r="1636" ht="16.5" customHeight="1" s="80">
      <c r="A1636" s="113" t="n"/>
      <c r="B1636" s="113" t="n"/>
      <c r="C1636" s="113" t="n"/>
      <c r="D1636" s="113" t="n"/>
      <c r="E1636" s="113" t="n"/>
      <c r="F1636" s="113" t="n"/>
      <c r="G1636" s="113" t="n"/>
      <c r="H1636" s="113" t="n"/>
      <c r="I1636" s="113" t="n"/>
      <c r="J1636" s="113" t="n"/>
      <c r="K1636" s="113" t="n"/>
      <c r="L1636" s="113" t="n"/>
      <c r="M1636" s="113" t="n"/>
      <c r="N1636" s="113" t="n"/>
      <c r="O1636" s="113" t="n"/>
      <c r="P1636" s="113" t="n"/>
      <c r="Q1636" s="113" t="n"/>
      <c r="R1636" s="113" t="n"/>
      <c r="S1636" s="113" t="n"/>
      <c r="T1636" s="113" t="n"/>
      <c r="U1636" s="113" t="n"/>
      <c r="V1636" s="113" t="n"/>
      <c r="W1636" s="113" t="n"/>
      <c r="X1636" s="113" t="n"/>
      <c r="Y1636" s="113" t="n"/>
      <c r="Z1636" s="117">
        <f>IF($B1636="",0,IF($S1636="EVET",IF($D1636="GELİR",$O1636,-$O1636),0))</f>
        <v/>
      </c>
      <c r="AA1636" s="117">
        <f>IF($B1636="",0,IF(OR($W1636="EVET",$X1636="EVET",$Y1636="EVET"),0,IF($D1636="GELİR",IF($E1636="SATIŞ İADESİ/İSKONTO",-$O1636,$O1636),-$O1636)))</f>
        <v/>
      </c>
      <c r="AB1636" s="117">
        <f>IF($B1636="","",IF(OR($D1636="",$E1636="",$O1636=""),"EKSİK",IF($O1636&lt;=0,"SIFIR/NEGATİF",IF(COUNTIFS($C$6:$C$5000,$C1636,$O$6:$O$5000,$O1636,$B$6:$B$5000,$B1636)&gt;1,"MÜKERRER","OK"))))</f>
        <v/>
      </c>
    </row>
    <row r="1637" ht="16.5" customHeight="1" s="80">
      <c r="A1637" s="113" t="n"/>
      <c r="B1637" s="113" t="n"/>
      <c r="C1637" s="113" t="n"/>
      <c r="D1637" s="113" t="n"/>
      <c r="E1637" s="113" t="n"/>
      <c r="F1637" s="113" t="n"/>
      <c r="G1637" s="113" t="n"/>
      <c r="H1637" s="113" t="n"/>
      <c r="I1637" s="113" t="n"/>
      <c r="J1637" s="113" t="n"/>
      <c r="K1637" s="113" t="n"/>
      <c r="L1637" s="113" t="n"/>
      <c r="M1637" s="113" t="n"/>
      <c r="N1637" s="113" t="n"/>
      <c r="O1637" s="113" t="n"/>
      <c r="P1637" s="113" t="n"/>
      <c r="Q1637" s="113" t="n"/>
      <c r="R1637" s="113" t="n"/>
      <c r="S1637" s="113" t="n"/>
      <c r="T1637" s="113" t="n"/>
      <c r="U1637" s="113" t="n"/>
      <c r="V1637" s="113" t="n"/>
      <c r="W1637" s="113" t="n"/>
      <c r="X1637" s="113" t="n"/>
      <c r="Y1637" s="113" t="n"/>
      <c r="Z1637" s="117">
        <f>IF($B1637="",0,IF($S1637="EVET",IF($D1637="GELİR",$O1637,-$O1637),0))</f>
        <v/>
      </c>
      <c r="AA1637" s="117">
        <f>IF($B1637="",0,IF(OR($W1637="EVET",$X1637="EVET",$Y1637="EVET"),0,IF($D1637="GELİR",IF($E1637="SATIŞ İADESİ/İSKONTO",-$O1637,$O1637),-$O1637)))</f>
        <v/>
      </c>
      <c r="AB1637" s="117">
        <f>IF($B1637="","",IF(OR($D1637="",$E1637="",$O1637=""),"EKSİK",IF($O1637&lt;=0,"SIFIR/NEGATİF",IF(COUNTIFS($C$6:$C$5000,$C1637,$O$6:$O$5000,$O1637,$B$6:$B$5000,$B1637)&gt;1,"MÜKERRER","OK"))))</f>
        <v/>
      </c>
    </row>
    <row r="1638" ht="16.5" customHeight="1" s="80">
      <c r="A1638" s="113" t="n"/>
      <c r="B1638" s="113" t="n"/>
      <c r="C1638" s="113" t="n"/>
      <c r="D1638" s="113" t="n"/>
      <c r="E1638" s="113" t="n"/>
      <c r="F1638" s="113" t="n"/>
      <c r="G1638" s="113" t="n"/>
      <c r="H1638" s="113" t="n"/>
      <c r="I1638" s="113" t="n"/>
      <c r="J1638" s="113" t="n"/>
      <c r="K1638" s="113" t="n"/>
      <c r="L1638" s="113" t="n"/>
      <c r="M1638" s="113" t="n"/>
      <c r="N1638" s="113" t="n"/>
      <c r="O1638" s="113" t="n"/>
      <c r="P1638" s="113" t="n"/>
      <c r="Q1638" s="113" t="n"/>
      <c r="R1638" s="113" t="n"/>
      <c r="S1638" s="113" t="n"/>
      <c r="T1638" s="113" t="n"/>
      <c r="U1638" s="113" t="n"/>
      <c r="V1638" s="113" t="n"/>
      <c r="W1638" s="113" t="n"/>
      <c r="X1638" s="113" t="n"/>
      <c r="Y1638" s="113" t="n"/>
      <c r="Z1638" s="117">
        <f>IF($B1638="",0,IF($S1638="EVET",IF($D1638="GELİR",$O1638,-$O1638),0))</f>
        <v/>
      </c>
      <c r="AA1638" s="117">
        <f>IF($B1638="",0,IF(OR($W1638="EVET",$X1638="EVET",$Y1638="EVET"),0,IF($D1638="GELİR",IF($E1638="SATIŞ İADESİ/İSKONTO",-$O1638,$O1638),-$O1638)))</f>
        <v/>
      </c>
      <c r="AB1638" s="117">
        <f>IF($B1638="","",IF(OR($D1638="",$E1638="",$O1638=""),"EKSİK",IF($O1638&lt;=0,"SIFIR/NEGATİF",IF(COUNTIFS($C$6:$C$5000,$C1638,$O$6:$O$5000,$O1638,$B$6:$B$5000,$B1638)&gt;1,"MÜKERRER","OK"))))</f>
        <v/>
      </c>
    </row>
    <row r="1639" ht="16.5" customHeight="1" s="80">
      <c r="A1639" s="113" t="n"/>
      <c r="B1639" s="113" t="n"/>
      <c r="C1639" s="113" t="n"/>
      <c r="D1639" s="113" t="n"/>
      <c r="E1639" s="113" t="n"/>
      <c r="F1639" s="113" t="n"/>
      <c r="G1639" s="113" t="n"/>
      <c r="H1639" s="113" t="n"/>
      <c r="I1639" s="113" t="n"/>
      <c r="J1639" s="113" t="n"/>
      <c r="K1639" s="113" t="n"/>
      <c r="L1639" s="113" t="n"/>
      <c r="M1639" s="113" t="n"/>
      <c r="N1639" s="113" t="n"/>
      <c r="O1639" s="113" t="n"/>
      <c r="P1639" s="113" t="n"/>
      <c r="Q1639" s="113" t="n"/>
      <c r="R1639" s="113" t="n"/>
      <c r="S1639" s="113" t="n"/>
      <c r="T1639" s="113" t="n"/>
      <c r="U1639" s="113" t="n"/>
      <c r="V1639" s="113" t="n"/>
      <c r="W1639" s="113" t="n"/>
      <c r="X1639" s="113" t="n"/>
      <c r="Y1639" s="113" t="n"/>
      <c r="Z1639" s="117">
        <f>IF($B1639="",0,IF($S1639="EVET",IF($D1639="GELİR",$O1639,-$O1639),0))</f>
        <v/>
      </c>
      <c r="AA1639" s="117">
        <f>IF($B1639="",0,IF(OR($W1639="EVET",$X1639="EVET",$Y1639="EVET"),0,IF($D1639="GELİR",IF($E1639="SATIŞ İADESİ/İSKONTO",-$O1639,$O1639),-$O1639)))</f>
        <v/>
      </c>
      <c r="AB1639" s="117">
        <f>IF($B1639="","",IF(OR($D1639="",$E1639="",$O1639=""),"EKSİK",IF($O1639&lt;=0,"SIFIR/NEGATİF",IF(COUNTIFS($C$6:$C$5000,$C1639,$O$6:$O$5000,$O1639,$B$6:$B$5000,$B1639)&gt;1,"MÜKERRER","OK"))))</f>
        <v/>
      </c>
    </row>
    <row r="1640" ht="16.5" customHeight="1" s="80">
      <c r="A1640" s="113" t="n"/>
      <c r="B1640" s="113" t="n"/>
      <c r="C1640" s="113" t="n"/>
      <c r="D1640" s="113" t="n"/>
      <c r="E1640" s="113" t="n"/>
      <c r="F1640" s="113" t="n"/>
      <c r="G1640" s="113" t="n"/>
      <c r="H1640" s="113" t="n"/>
      <c r="I1640" s="113" t="n"/>
      <c r="J1640" s="113" t="n"/>
      <c r="K1640" s="113" t="n"/>
      <c r="L1640" s="113" t="n"/>
      <c r="M1640" s="113" t="n"/>
      <c r="N1640" s="113" t="n"/>
      <c r="O1640" s="113" t="n"/>
      <c r="P1640" s="113" t="n"/>
      <c r="Q1640" s="113" t="n"/>
      <c r="R1640" s="113" t="n"/>
      <c r="S1640" s="113" t="n"/>
      <c r="T1640" s="113" t="n"/>
      <c r="U1640" s="113" t="n"/>
      <c r="V1640" s="113" t="n"/>
      <c r="W1640" s="113" t="n"/>
      <c r="X1640" s="113" t="n"/>
      <c r="Y1640" s="113" t="n"/>
      <c r="Z1640" s="117">
        <f>IF($B1640="",0,IF($S1640="EVET",IF($D1640="GELİR",$O1640,-$O1640),0))</f>
        <v/>
      </c>
      <c r="AA1640" s="117">
        <f>IF($B1640="",0,IF(OR($W1640="EVET",$X1640="EVET",$Y1640="EVET"),0,IF($D1640="GELİR",IF($E1640="SATIŞ İADESİ/İSKONTO",-$O1640,$O1640),-$O1640)))</f>
        <v/>
      </c>
      <c r="AB1640" s="117">
        <f>IF($B1640="","",IF(OR($D1640="",$E1640="",$O1640=""),"EKSİK",IF($O1640&lt;=0,"SIFIR/NEGATİF",IF(COUNTIFS($C$6:$C$5000,$C1640,$O$6:$O$5000,$O1640,$B$6:$B$5000,$B1640)&gt;1,"MÜKERRER","OK"))))</f>
        <v/>
      </c>
    </row>
    <row r="1641" ht="16.5" customHeight="1" s="80">
      <c r="A1641" s="113" t="n"/>
      <c r="B1641" s="113" t="n"/>
      <c r="C1641" s="113" t="n"/>
      <c r="D1641" s="113" t="n"/>
      <c r="E1641" s="113" t="n"/>
      <c r="F1641" s="113" t="n"/>
      <c r="G1641" s="113" t="n"/>
      <c r="H1641" s="113" t="n"/>
      <c r="I1641" s="113" t="n"/>
      <c r="J1641" s="113" t="n"/>
      <c r="K1641" s="113" t="n"/>
      <c r="L1641" s="113" t="n"/>
      <c r="M1641" s="113" t="n"/>
      <c r="N1641" s="113" t="n"/>
      <c r="O1641" s="113" t="n"/>
      <c r="P1641" s="113" t="n"/>
      <c r="Q1641" s="113" t="n"/>
      <c r="R1641" s="113" t="n"/>
      <c r="S1641" s="113" t="n"/>
      <c r="T1641" s="113" t="n"/>
      <c r="U1641" s="113" t="n"/>
      <c r="V1641" s="113" t="n"/>
      <c r="W1641" s="113" t="n"/>
      <c r="X1641" s="113" t="n"/>
      <c r="Y1641" s="113" t="n"/>
      <c r="Z1641" s="117">
        <f>IF($B1641="",0,IF($S1641="EVET",IF($D1641="GELİR",$O1641,-$O1641),0))</f>
        <v/>
      </c>
      <c r="AA1641" s="117">
        <f>IF($B1641="",0,IF(OR($W1641="EVET",$X1641="EVET",$Y1641="EVET"),0,IF($D1641="GELİR",IF($E1641="SATIŞ İADESİ/İSKONTO",-$O1641,$O1641),-$O1641)))</f>
        <v/>
      </c>
      <c r="AB1641" s="117">
        <f>IF($B1641="","",IF(OR($D1641="",$E1641="",$O1641=""),"EKSİK",IF($O1641&lt;=0,"SIFIR/NEGATİF",IF(COUNTIFS($C$6:$C$5000,$C1641,$O$6:$O$5000,$O1641,$B$6:$B$5000,$B1641)&gt;1,"MÜKERRER","OK"))))</f>
        <v/>
      </c>
    </row>
    <row r="1642" ht="16.5" customHeight="1" s="80">
      <c r="A1642" s="113" t="n"/>
      <c r="B1642" s="113" t="n"/>
      <c r="C1642" s="113" t="n"/>
      <c r="D1642" s="113" t="n"/>
      <c r="E1642" s="113" t="n"/>
      <c r="F1642" s="113" t="n"/>
      <c r="G1642" s="113" t="n"/>
      <c r="H1642" s="113" t="n"/>
      <c r="I1642" s="113" t="n"/>
      <c r="J1642" s="113" t="n"/>
      <c r="K1642" s="113" t="n"/>
      <c r="L1642" s="113" t="n"/>
      <c r="M1642" s="113" t="n"/>
      <c r="N1642" s="113" t="n"/>
      <c r="O1642" s="113" t="n"/>
      <c r="P1642" s="113" t="n"/>
      <c r="Q1642" s="113" t="n"/>
      <c r="R1642" s="113" t="n"/>
      <c r="S1642" s="113" t="n"/>
      <c r="T1642" s="113" t="n"/>
      <c r="U1642" s="113" t="n"/>
      <c r="V1642" s="113" t="n"/>
      <c r="W1642" s="113" t="n"/>
      <c r="X1642" s="113" t="n"/>
      <c r="Y1642" s="113" t="n"/>
      <c r="Z1642" s="117">
        <f>IF($B1642="",0,IF($S1642="EVET",IF($D1642="GELİR",$O1642,-$O1642),0))</f>
        <v/>
      </c>
      <c r="AA1642" s="117">
        <f>IF($B1642="",0,IF(OR($W1642="EVET",$X1642="EVET",$Y1642="EVET"),0,IF($D1642="GELİR",IF($E1642="SATIŞ İADESİ/İSKONTO",-$O1642,$O1642),-$O1642)))</f>
        <v/>
      </c>
      <c r="AB1642" s="117">
        <f>IF($B1642="","",IF(OR($D1642="",$E1642="",$O1642=""),"EKSİK",IF($O1642&lt;=0,"SIFIR/NEGATİF",IF(COUNTIFS($C$6:$C$5000,$C1642,$O$6:$O$5000,$O1642,$B$6:$B$5000,$B1642)&gt;1,"MÜKERRER","OK"))))</f>
        <v/>
      </c>
    </row>
    <row r="1643" ht="16.5" customHeight="1" s="80">
      <c r="A1643" s="113" t="n"/>
      <c r="B1643" s="113" t="n"/>
      <c r="C1643" s="113" t="n"/>
      <c r="D1643" s="113" t="n"/>
      <c r="E1643" s="113" t="n"/>
      <c r="F1643" s="113" t="n"/>
      <c r="G1643" s="113" t="n"/>
      <c r="H1643" s="113" t="n"/>
      <c r="I1643" s="113" t="n"/>
      <c r="J1643" s="113" t="n"/>
      <c r="K1643" s="113" t="n"/>
      <c r="L1643" s="113" t="n"/>
      <c r="M1643" s="113" t="n"/>
      <c r="N1643" s="113" t="n"/>
      <c r="O1643" s="113" t="n"/>
      <c r="P1643" s="113" t="n"/>
      <c r="Q1643" s="113" t="n"/>
      <c r="R1643" s="113" t="n"/>
      <c r="S1643" s="113" t="n"/>
      <c r="T1643" s="113" t="n"/>
      <c r="U1643" s="113" t="n"/>
      <c r="V1643" s="113" t="n"/>
      <c r="W1643" s="113" t="n"/>
      <c r="X1643" s="113" t="n"/>
      <c r="Y1643" s="113" t="n"/>
      <c r="Z1643" s="117">
        <f>IF($B1643="",0,IF($S1643="EVET",IF($D1643="GELİR",$O1643,-$O1643),0))</f>
        <v/>
      </c>
      <c r="AA1643" s="117">
        <f>IF($B1643="",0,IF(OR($W1643="EVET",$X1643="EVET",$Y1643="EVET"),0,IF($D1643="GELİR",IF($E1643="SATIŞ İADESİ/İSKONTO",-$O1643,$O1643),-$O1643)))</f>
        <v/>
      </c>
      <c r="AB1643" s="117">
        <f>IF($B1643="","",IF(OR($D1643="",$E1643="",$O1643=""),"EKSİK",IF($O1643&lt;=0,"SIFIR/NEGATİF",IF(COUNTIFS($C$6:$C$5000,$C1643,$O$6:$O$5000,$O1643,$B$6:$B$5000,$B1643)&gt;1,"MÜKERRER","OK"))))</f>
        <v/>
      </c>
    </row>
    <row r="1644" ht="16.5" customHeight="1" s="80">
      <c r="A1644" s="113" t="n"/>
      <c r="B1644" s="113" t="n"/>
      <c r="C1644" s="113" t="n"/>
      <c r="D1644" s="113" t="n"/>
      <c r="E1644" s="113" t="n"/>
      <c r="F1644" s="113" t="n"/>
      <c r="G1644" s="113" t="n"/>
      <c r="H1644" s="113" t="n"/>
      <c r="I1644" s="113" t="n"/>
      <c r="J1644" s="113" t="n"/>
      <c r="K1644" s="113" t="n"/>
      <c r="L1644" s="113" t="n"/>
      <c r="M1644" s="113" t="n"/>
      <c r="N1644" s="113" t="n"/>
      <c r="O1644" s="113" t="n"/>
      <c r="P1644" s="113" t="n"/>
      <c r="Q1644" s="113" t="n"/>
      <c r="R1644" s="113" t="n"/>
      <c r="S1644" s="113" t="n"/>
      <c r="T1644" s="113" t="n"/>
      <c r="U1644" s="113" t="n"/>
      <c r="V1644" s="113" t="n"/>
      <c r="W1644" s="113" t="n"/>
      <c r="X1644" s="113" t="n"/>
      <c r="Y1644" s="113" t="n"/>
      <c r="Z1644" s="117">
        <f>IF($B1644="",0,IF($S1644="EVET",IF($D1644="GELİR",$O1644,-$O1644),0))</f>
        <v/>
      </c>
      <c r="AA1644" s="117">
        <f>IF($B1644="",0,IF(OR($W1644="EVET",$X1644="EVET",$Y1644="EVET"),0,IF($D1644="GELİR",IF($E1644="SATIŞ İADESİ/İSKONTO",-$O1644,$O1644),-$O1644)))</f>
        <v/>
      </c>
      <c r="AB1644" s="117">
        <f>IF($B1644="","",IF(OR($D1644="",$E1644="",$O1644=""),"EKSİK",IF($O1644&lt;=0,"SIFIR/NEGATİF",IF(COUNTIFS($C$6:$C$5000,$C1644,$O$6:$O$5000,$O1644,$B$6:$B$5000,$B1644)&gt;1,"MÜKERRER","OK"))))</f>
        <v/>
      </c>
    </row>
    <row r="1645" ht="16.5" customHeight="1" s="80">
      <c r="A1645" s="113" t="n"/>
      <c r="B1645" s="113" t="n"/>
      <c r="C1645" s="113" t="n"/>
      <c r="D1645" s="113" t="n"/>
      <c r="E1645" s="113" t="n"/>
      <c r="F1645" s="113" t="n"/>
      <c r="G1645" s="113" t="n"/>
      <c r="H1645" s="113" t="n"/>
      <c r="I1645" s="113" t="n"/>
      <c r="J1645" s="113" t="n"/>
      <c r="K1645" s="113" t="n"/>
      <c r="L1645" s="113" t="n"/>
      <c r="M1645" s="113" t="n"/>
      <c r="N1645" s="113" t="n"/>
      <c r="O1645" s="113" t="n"/>
      <c r="P1645" s="113" t="n"/>
      <c r="Q1645" s="113" t="n"/>
      <c r="R1645" s="113" t="n"/>
      <c r="S1645" s="113" t="n"/>
      <c r="T1645" s="113" t="n"/>
      <c r="U1645" s="113" t="n"/>
      <c r="V1645" s="113" t="n"/>
      <c r="W1645" s="113" t="n"/>
      <c r="X1645" s="113" t="n"/>
      <c r="Y1645" s="113" t="n"/>
      <c r="Z1645" s="117">
        <f>IF($B1645="",0,IF($S1645="EVET",IF($D1645="GELİR",$O1645,-$O1645),0))</f>
        <v/>
      </c>
      <c r="AA1645" s="117">
        <f>IF($B1645="",0,IF(OR($W1645="EVET",$X1645="EVET",$Y1645="EVET"),0,IF($D1645="GELİR",IF($E1645="SATIŞ İADESİ/İSKONTO",-$O1645,$O1645),-$O1645)))</f>
        <v/>
      </c>
      <c r="AB1645" s="117">
        <f>IF($B1645="","",IF(OR($D1645="",$E1645="",$O1645=""),"EKSİK",IF($O1645&lt;=0,"SIFIR/NEGATİF",IF(COUNTIFS($C$6:$C$5000,$C1645,$O$6:$O$5000,$O1645,$B$6:$B$5000,$B1645)&gt;1,"MÜKERRER","OK"))))</f>
        <v/>
      </c>
    </row>
    <row r="1646" ht="16.5" customHeight="1" s="80">
      <c r="A1646" s="113" t="n"/>
      <c r="B1646" s="113" t="n"/>
      <c r="C1646" s="113" t="n"/>
      <c r="D1646" s="113" t="n"/>
      <c r="E1646" s="113" t="n"/>
      <c r="F1646" s="113" t="n"/>
      <c r="G1646" s="113" t="n"/>
      <c r="H1646" s="113" t="n"/>
      <c r="I1646" s="113" t="n"/>
      <c r="J1646" s="113" t="n"/>
      <c r="K1646" s="113" t="n"/>
      <c r="L1646" s="113" t="n"/>
      <c r="M1646" s="113" t="n"/>
      <c r="N1646" s="113" t="n"/>
      <c r="O1646" s="113" t="n"/>
      <c r="P1646" s="113" t="n"/>
      <c r="Q1646" s="113" t="n"/>
      <c r="R1646" s="113" t="n"/>
      <c r="S1646" s="113" t="n"/>
      <c r="T1646" s="113" t="n"/>
      <c r="U1646" s="113" t="n"/>
      <c r="V1646" s="113" t="n"/>
      <c r="W1646" s="113" t="n"/>
      <c r="X1646" s="113" t="n"/>
      <c r="Y1646" s="113" t="n"/>
      <c r="Z1646" s="117">
        <f>IF($B1646="",0,IF($S1646="EVET",IF($D1646="GELİR",$O1646,-$O1646),0))</f>
        <v/>
      </c>
      <c r="AA1646" s="117">
        <f>IF($B1646="",0,IF(OR($W1646="EVET",$X1646="EVET",$Y1646="EVET"),0,IF($D1646="GELİR",IF($E1646="SATIŞ İADESİ/İSKONTO",-$O1646,$O1646),-$O1646)))</f>
        <v/>
      </c>
      <c r="AB1646" s="117">
        <f>IF($B1646="","",IF(OR($D1646="",$E1646="",$O1646=""),"EKSİK",IF($O1646&lt;=0,"SIFIR/NEGATİF",IF(COUNTIFS($C$6:$C$5000,$C1646,$O$6:$O$5000,$O1646,$B$6:$B$5000,$B1646)&gt;1,"MÜKERRER","OK"))))</f>
        <v/>
      </c>
    </row>
    <row r="1647" ht="16.5" customHeight="1" s="80">
      <c r="A1647" s="113" t="n"/>
      <c r="B1647" s="113" t="n"/>
      <c r="C1647" s="113" t="n"/>
      <c r="D1647" s="113" t="n"/>
      <c r="E1647" s="113" t="n"/>
      <c r="F1647" s="113" t="n"/>
      <c r="G1647" s="113" t="n"/>
      <c r="H1647" s="113" t="n"/>
      <c r="I1647" s="113" t="n"/>
      <c r="J1647" s="113" t="n"/>
      <c r="K1647" s="113" t="n"/>
      <c r="L1647" s="113" t="n"/>
      <c r="M1647" s="113" t="n"/>
      <c r="N1647" s="113" t="n"/>
      <c r="O1647" s="113" t="n"/>
      <c r="P1647" s="113" t="n"/>
      <c r="Q1647" s="113" t="n"/>
      <c r="R1647" s="113" t="n"/>
      <c r="S1647" s="113" t="n"/>
      <c r="T1647" s="113" t="n"/>
      <c r="U1647" s="113" t="n"/>
      <c r="V1647" s="113" t="n"/>
      <c r="W1647" s="113" t="n"/>
      <c r="X1647" s="113" t="n"/>
      <c r="Y1647" s="113" t="n"/>
      <c r="Z1647" s="117">
        <f>IF($B1647="",0,IF($S1647="EVET",IF($D1647="GELİR",$O1647,-$O1647),0))</f>
        <v/>
      </c>
      <c r="AA1647" s="117">
        <f>IF($B1647="",0,IF(OR($W1647="EVET",$X1647="EVET",$Y1647="EVET"),0,IF($D1647="GELİR",IF($E1647="SATIŞ İADESİ/İSKONTO",-$O1647,$O1647),-$O1647)))</f>
        <v/>
      </c>
      <c r="AB1647" s="117">
        <f>IF($B1647="","",IF(OR($D1647="",$E1647="",$O1647=""),"EKSİK",IF($O1647&lt;=0,"SIFIR/NEGATİF",IF(COUNTIFS($C$6:$C$5000,$C1647,$O$6:$O$5000,$O1647,$B$6:$B$5000,$B1647)&gt;1,"MÜKERRER","OK"))))</f>
        <v/>
      </c>
    </row>
    <row r="1648" ht="16.5" customHeight="1" s="80">
      <c r="A1648" s="113" t="n"/>
      <c r="B1648" s="113" t="n"/>
      <c r="C1648" s="113" t="n"/>
      <c r="D1648" s="113" t="n"/>
      <c r="E1648" s="113" t="n"/>
      <c r="F1648" s="113" t="n"/>
      <c r="G1648" s="113" t="n"/>
      <c r="H1648" s="113" t="n"/>
      <c r="I1648" s="113" t="n"/>
      <c r="J1648" s="113" t="n"/>
      <c r="K1648" s="113" t="n"/>
      <c r="L1648" s="113" t="n"/>
      <c r="M1648" s="113" t="n"/>
      <c r="N1648" s="113" t="n"/>
      <c r="O1648" s="113" t="n"/>
      <c r="P1648" s="113" t="n"/>
      <c r="Q1648" s="113" t="n"/>
      <c r="R1648" s="113" t="n"/>
      <c r="S1648" s="113" t="n"/>
      <c r="T1648" s="113" t="n"/>
      <c r="U1648" s="113" t="n"/>
      <c r="V1648" s="113" t="n"/>
      <c r="W1648" s="113" t="n"/>
      <c r="X1648" s="113" t="n"/>
      <c r="Y1648" s="113" t="n"/>
      <c r="Z1648" s="117">
        <f>IF($B1648="",0,IF($S1648="EVET",IF($D1648="GELİR",$O1648,-$O1648),0))</f>
        <v/>
      </c>
      <c r="AA1648" s="117">
        <f>IF($B1648="",0,IF(OR($W1648="EVET",$X1648="EVET",$Y1648="EVET"),0,IF($D1648="GELİR",IF($E1648="SATIŞ İADESİ/İSKONTO",-$O1648,$O1648),-$O1648)))</f>
        <v/>
      </c>
      <c r="AB1648" s="117">
        <f>IF($B1648="","",IF(OR($D1648="",$E1648="",$O1648=""),"EKSİK",IF($O1648&lt;=0,"SIFIR/NEGATİF",IF(COUNTIFS($C$6:$C$5000,$C1648,$O$6:$O$5000,$O1648,$B$6:$B$5000,$B1648)&gt;1,"MÜKERRER","OK"))))</f>
        <v/>
      </c>
    </row>
    <row r="1649" ht="16.5" customHeight="1" s="80">
      <c r="A1649" s="113" t="n"/>
      <c r="B1649" s="113" t="n"/>
      <c r="C1649" s="113" t="n"/>
      <c r="D1649" s="113" t="n"/>
      <c r="E1649" s="113" t="n"/>
      <c r="F1649" s="113" t="n"/>
      <c r="G1649" s="113" t="n"/>
      <c r="H1649" s="113" t="n"/>
      <c r="I1649" s="113" t="n"/>
      <c r="J1649" s="113" t="n"/>
      <c r="K1649" s="113" t="n"/>
      <c r="L1649" s="113" t="n"/>
      <c r="M1649" s="113" t="n"/>
      <c r="N1649" s="113" t="n"/>
      <c r="O1649" s="113" t="n"/>
      <c r="P1649" s="113" t="n"/>
      <c r="Q1649" s="113" t="n"/>
      <c r="R1649" s="113" t="n"/>
      <c r="S1649" s="113" t="n"/>
      <c r="T1649" s="113" t="n"/>
      <c r="U1649" s="113" t="n"/>
      <c r="V1649" s="113" t="n"/>
      <c r="W1649" s="113" t="n"/>
      <c r="X1649" s="113" t="n"/>
      <c r="Y1649" s="113" t="n"/>
      <c r="Z1649" s="117">
        <f>IF($B1649="",0,IF($S1649="EVET",IF($D1649="GELİR",$O1649,-$O1649),0))</f>
        <v/>
      </c>
      <c r="AA1649" s="117">
        <f>IF($B1649="",0,IF(OR($W1649="EVET",$X1649="EVET",$Y1649="EVET"),0,IF($D1649="GELİR",IF($E1649="SATIŞ İADESİ/İSKONTO",-$O1649,$O1649),-$O1649)))</f>
        <v/>
      </c>
      <c r="AB1649" s="117">
        <f>IF($B1649="","",IF(OR($D1649="",$E1649="",$O1649=""),"EKSİK",IF($O1649&lt;=0,"SIFIR/NEGATİF",IF(COUNTIFS($C$6:$C$5000,$C1649,$O$6:$O$5000,$O1649,$B$6:$B$5000,$B1649)&gt;1,"MÜKERRER","OK"))))</f>
        <v/>
      </c>
    </row>
    <row r="1650" ht="16.5" customHeight="1" s="80">
      <c r="A1650" s="113" t="n"/>
      <c r="B1650" s="113" t="n"/>
      <c r="C1650" s="113" t="n"/>
      <c r="D1650" s="113" t="n"/>
      <c r="E1650" s="113" t="n"/>
      <c r="F1650" s="113" t="n"/>
      <c r="G1650" s="113" t="n"/>
      <c r="H1650" s="113" t="n"/>
      <c r="I1650" s="113" t="n"/>
      <c r="J1650" s="113" t="n"/>
      <c r="K1650" s="113" t="n"/>
      <c r="L1650" s="113" t="n"/>
      <c r="M1650" s="113" t="n"/>
      <c r="N1650" s="113" t="n"/>
      <c r="O1650" s="113" t="n"/>
      <c r="P1650" s="113" t="n"/>
      <c r="Q1650" s="113" t="n"/>
      <c r="R1650" s="113" t="n"/>
      <c r="S1650" s="113" t="n"/>
      <c r="T1650" s="113" t="n"/>
      <c r="U1650" s="113" t="n"/>
      <c r="V1650" s="113" t="n"/>
      <c r="W1650" s="113" t="n"/>
      <c r="X1650" s="113" t="n"/>
      <c r="Y1650" s="113" t="n"/>
      <c r="Z1650" s="117">
        <f>IF($B1650="",0,IF($S1650="EVET",IF($D1650="GELİR",$O1650,-$O1650),0))</f>
        <v/>
      </c>
      <c r="AA1650" s="117">
        <f>IF($B1650="",0,IF(OR($W1650="EVET",$X1650="EVET",$Y1650="EVET"),0,IF($D1650="GELİR",IF($E1650="SATIŞ İADESİ/İSKONTO",-$O1650,$O1650),-$O1650)))</f>
        <v/>
      </c>
      <c r="AB1650" s="117">
        <f>IF($B1650="","",IF(OR($D1650="",$E1650="",$O1650=""),"EKSİK",IF($O1650&lt;=0,"SIFIR/NEGATİF",IF(COUNTIFS($C$6:$C$5000,$C1650,$O$6:$O$5000,$O1650,$B$6:$B$5000,$B1650)&gt;1,"MÜKERRER","OK"))))</f>
        <v/>
      </c>
    </row>
    <row r="1651" ht="16.5" customHeight="1" s="80">
      <c r="A1651" s="113" t="n"/>
      <c r="B1651" s="113" t="n"/>
      <c r="C1651" s="113" t="n"/>
      <c r="D1651" s="113" t="n"/>
      <c r="E1651" s="113" t="n"/>
      <c r="F1651" s="113" t="n"/>
      <c r="G1651" s="113" t="n"/>
      <c r="H1651" s="113" t="n"/>
      <c r="I1651" s="113" t="n"/>
      <c r="J1651" s="113" t="n"/>
      <c r="K1651" s="113" t="n"/>
      <c r="L1651" s="113" t="n"/>
      <c r="M1651" s="113" t="n"/>
      <c r="N1651" s="113" t="n"/>
      <c r="O1651" s="113" t="n"/>
      <c r="P1651" s="113" t="n"/>
      <c r="Q1651" s="113" t="n"/>
      <c r="R1651" s="113" t="n"/>
      <c r="S1651" s="113" t="n"/>
      <c r="T1651" s="113" t="n"/>
      <c r="U1651" s="113" t="n"/>
      <c r="V1651" s="113" t="n"/>
      <c r="W1651" s="113" t="n"/>
      <c r="X1651" s="113" t="n"/>
      <c r="Y1651" s="113" t="n"/>
      <c r="Z1651" s="117">
        <f>IF($B1651="",0,IF($S1651="EVET",IF($D1651="GELİR",$O1651,-$O1651),0))</f>
        <v/>
      </c>
      <c r="AA1651" s="117">
        <f>IF($B1651="",0,IF(OR($W1651="EVET",$X1651="EVET",$Y1651="EVET"),0,IF($D1651="GELİR",IF($E1651="SATIŞ İADESİ/İSKONTO",-$O1651,$O1651),-$O1651)))</f>
        <v/>
      </c>
      <c r="AB1651" s="117">
        <f>IF($B1651="","",IF(OR($D1651="",$E1651="",$O1651=""),"EKSİK",IF($O1651&lt;=0,"SIFIR/NEGATİF",IF(COUNTIFS($C$6:$C$5000,$C1651,$O$6:$O$5000,$O1651,$B$6:$B$5000,$B1651)&gt;1,"MÜKERRER","OK"))))</f>
        <v/>
      </c>
    </row>
    <row r="1652" ht="16.5" customHeight="1" s="80">
      <c r="A1652" s="113" t="n"/>
      <c r="B1652" s="113" t="n"/>
      <c r="C1652" s="113" t="n"/>
      <c r="D1652" s="113" t="n"/>
      <c r="E1652" s="113" t="n"/>
      <c r="F1652" s="113" t="n"/>
      <c r="G1652" s="113" t="n"/>
      <c r="H1652" s="113" t="n"/>
      <c r="I1652" s="113" t="n"/>
      <c r="J1652" s="113" t="n"/>
      <c r="K1652" s="113" t="n"/>
      <c r="L1652" s="113" t="n"/>
      <c r="M1652" s="113" t="n"/>
      <c r="N1652" s="113" t="n"/>
      <c r="O1652" s="113" t="n"/>
      <c r="P1652" s="113" t="n"/>
      <c r="Q1652" s="113" t="n"/>
      <c r="R1652" s="113" t="n"/>
      <c r="S1652" s="113" t="n"/>
      <c r="T1652" s="113" t="n"/>
      <c r="U1652" s="113" t="n"/>
      <c r="V1652" s="113" t="n"/>
      <c r="W1652" s="113" t="n"/>
      <c r="X1652" s="113" t="n"/>
      <c r="Y1652" s="113" t="n"/>
      <c r="Z1652" s="117">
        <f>IF($B1652="",0,IF($S1652="EVET",IF($D1652="GELİR",$O1652,-$O1652),0))</f>
        <v/>
      </c>
      <c r="AA1652" s="117">
        <f>IF($B1652="",0,IF(OR($W1652="EVET",$X1652="EVET",$Y1652="EVET"),0,IF($D1652="GELİR",IF($E1652="SATIŞ İADESİ/İSKONTO",-$O1652,$O1652),-$O1652)))</f>
        <v/>
      </c>
      <c r="AB1652" s="117">
        <f>IF($B1652="","",IF(OR($D1652="",$E1652="",$O1652=""),"EKSİK",IF($O1652&lt;=0,"SIFIR/NEGATİF",IF(COUNTIFS($C$6:$C$5000,$C1652,$O$6:$O$5000,$O1652,$B$6:$B$5000,$B1652)&gt;1,"MÜKERRER","OK"))))</f>
        <v/>
      </c>
    </row>
    <row r="1653" ht="16.5" customHeight="1" s="80">
      <c r="A1653" s="113" t="n"/>
      <c r="B1653" s="113" t="n"/>
      <c r="C1653" s="113" t="n"/>
      <c r="D1653" s="113" t="n"/>
      <c r="E1653" s="113" t="n"/>
      <c r="F1653" s="113" t="n"/>
      <c r="G1653" s="113" t="n"/>
      <c r="H1653" s="113" t="n"/>
      <c r="I1653" s="113" t="n"/>
      <c r="J1653" s="113" t="n"/>
      <c r="K1653" s="113" t="n"/>
      <c r="L1653" s="113" t="n"/>
      <c r="M1653" s="113" t="n"/>
      <c r="N1653" s="113" t="n"/>
      <c r="O1653" s="113" t="n"/>
      <c r="P1653" s="113" t="n"/>
      <c r="Q1653" s="113" t="n"/>
      <c r="R1653" s="113" t="n"/>
      <c r="S1653" s="113" t="n"/>
      <c r="T1653" s="113" t="n"/>
      <c r="U1653" s="113" t="n"/>
      <c r="V1653" s="113" t="n"/>
      <c r="W1653" s="113" t="n"/>
      <c r="X1653" s="113" t="n"/>
      <c r="Y1653" s="113" t="n"/>
      <c r="Z1653" s="117">
        <f>IF($B1653="",0,IF($S1653="EVET",IF($D1653="GELİR",$O1653,-$O1653),0))</f>
        <v/>
      </c>
      <c r="AA1653" s="117">
        <f>IF($B1653="",0,IF(OR($W1653="EVET",$X1653="EVET",$Y1653="EVET"),0,IF($D1653="GELİR",IF($E1653="SATIŞ İADESİ/İSKONTO",-$O1653,$O1653),-$O1653)))</f>
        <v/>
      </c>
      <c r="AB1653" s="117">
        <f>IF($B1653="","",IF(OR($D1653="",$E1653="",$O1653=""),"EKSİK",IF($O1653&lt;=0,"SIFIR/NEGATİF",IF(COUNTIFS($C$6:$C$5000,$C1653,$O$6:$O$5000,$O1653,$B$6:$B$5000,$B1653)&gt;1,"MÜKERRER","OK"))))</f>
        <v/>
      </c>
    </row>
    <row r="1654" ht="16.5" customHeight="1" s="80">
      <c r="A1654" s="113" t="n"/>
      <c r="B1654" s="113" t="n"/>
      <c r="C1654" s="113" t="n"/>
      <c r="D1654" s="113" t="n"/>
      <c r="E1654" s="113" t="n"/>
      <c r="F1654" s="113" t="n"/>
      <c r="G1654" s="113" t="n"/>
      <c r="H1654" s="113" t="n"/>
      <c r="I1654" s="113" t="n"/>
      <c r="J1654" s="113" t="n"/>
      <c r="K1654" s="113" t="n"/>
      <c r="L1654" s="113" t="n"/>
      <c r="M1654" s="113" t="n"/>
      <c r="N1654" s="113" t="n"/>
      <c r="O1654" s="113" t="n"/>
      <c r="P1654" s="113" t="n"/>
      <c r="Q1654" s="113" t="n"/>
      <c r="R1654" s="113" t="n"/>
      <c r="S1654" s="113" t="n"/>
      <c r="T1654" s="113" t="n"/>
      <c r="U1654" s="113" t="n"/>
      <c r="V1654" s="113" t="n"/>
      <c r="W1654" s="113" t="n"/>
      <c r="X1654" s="113" t="n"/>
      <c r="Y1654" s="113" t="n"/>
      <c r="Z1654" s="117">
        <f>IF($B1654="",0,IF($S1654="EVET",IF($D1654="GELİR",$O1654,-$O1654),0))</f>
        <v/>
      </c>
      <c r="AA1654" s="117">
        <f>IF($B1654="",0,IF(OR($W1654="EVET",$X1654="EVET",$Y1654="EVET"),0,IF($D1654="GELİR",IF($E1654="SATIŞ İADESİ/İSKONTO",-$O1654,$O1654),-$O1654)))</f>
        <v/>
      </c>
      <c r="AB1654" s="117">
        <f>IF($B1654="","",IF(OR($D1654="",$E1654="",$O1654=""),"EKSİK",IF($O1654&lt;=0,"SIFIR/NEGATİF",IF(COUNTIFS($C$6:$C$5000,$C1654,$O$6:$O$5000,$O1654,$B$6:$B$5000,$B1654)&gt;1,"MÜKERRER","OK"))))</f>
        <v/>
      </c>
    </row>
    <row r="1655" ht="16.5" customHeight="1" s="80">
      <c r="A1655" s="113" t="n"/>
      <c r="B1655" s="113" t="n"/>
      <c r="C1655" s="113" t="n"/>
      <c r="D1655" s="113" t="n"/>
      <c r="E1655" s="113" t="n"/>
      <c r="F1655" s="113" t="n"/>
      <c r="G1655" s="113" t="n"/>
      <c r="H1655" s="113" t="n"/>
      <c r="I1655" s="113" t="n"/>
      <c r="J1655" s="113" t="n"/>
      <c r="K1655" s="113" t="n"/>
      <c r="L1655" s="113" t="n"/>
      <c r="M1655" s="113" t="n"/>
      <c r="N1655" s="113" t="n"/>
      <c r="O1655" s="113" t="n"/>
      <c r="P1655" s="113" t="n"/>
      <c r="Q1655" s="113" t="n"/>
      <c r="R1655" s="113" t="n"/>
      <c r="S1655" s="113" t="n"/>
      <c r="T1655" s="113" t="n"/>
      <c r="U1655" s="113" t="n"/>
      <c r="V1655" s="113" t="n"/>
      <c r="W1655" s="113" t="n"/>
      <c r="X1655" s="113" t="n"/>
      <c r="Y1655" s="113" t="n"/>
      <c r="Z1655" s="117">
        <f>IF($B1655="",0,IF($S1655="EVET",IF($D1655="GELİR",$O1655,-$O1655),0))</f>
        <v/>
      </c>
      <c r="AA1655" s="117">
        <f>IF($B1655="",0,IF(OR($W1655="EVET",$X1655="EVET",$Y1655="EVET"),0,IF($D1655="GELİR",IF($E1655="SATIŞ İADESİ/İSKONTO",-$O1655,$O1655),-$O1655)))</f>
        <v/>
      </c>
      <c r="AB1655" s="117">
        <f>IF($B1655="","",IF(OR($D1655="",$E1655="",$O1655=""),"EKSİK",IF($O1655&lt;=0,"SIFIR/NEGATİF",IF(COUNTIFS($C$6:$C$5000,$C1655,$O$6:$O$5000,$O1655,$B$6:$B$5000,$B1655)&gt;1,"MÜKERRER","OK"))))</f>
        <v/>
      </c>
    </row>
    <row r="1656" ht="16.5" customHeight="1" s="80">
      <c r="A1656" s="113" t="n"/>
      <c r="B1656" s="113" t="n"/>
      <c r="C1656" s="113" t="n"/>
      <c r="D1656" s="113" t="n"/>
      <c r="E1656" s="113" t="n"/>
      <c r="F1656" s="113" t="n"/>
      <c r="G1656" s="113" t="n"/>
      <c r="H1656" s="113" t="n"/>
      <c r="I1656" s="113" t="n"/>
      <c r="J1656" s="113" t="n"/>
      <c r="K1656" s="113" t="n"/>
      <c r="L1656" s="113" t="n"/>
      <c r="M1656" s="113" t="n"/>
      <c r="N1656" s="113" t="n"/>
      <c r="O1656" s="113" t="n"/>
      <c r="P1656" s="113" t="n"/>
      <c r="Q1656" s="113" t="n"/>
      <c r="R1656" s="113" t="n"/>
      <c r="S1656" s="113" t="n"/>
      <c r="T1656" s="113" t="n"/>
      <c r="U1656" s="113" t="n"/>
      <c r="V1656" s="113" t="n"/>
      <c r="W1656" s="113" t="n"/>
      <c r="X1656" s="113" t="n"/>
      <c r="Y1656" s="113" t="n"/>
      <c r="Z1656" s="117">
        <f>IF($B1656="",0,IF($S1656="EVET",IF($D1656="GELİR",$O1656,-$O1656),0))</f>
        <v/>
      </c>
      <c r="AA1656" s="117">
        <f>IF($B1656="",0,IF(OR($W1656="EVET",$X1656="EVET",$Y1656="EVET"),0,IF($D1656="GELİR",IF($E1656="SATIŞ İADESİ/İSKONTO",-$O1656,$O1656),-$O1656)))</f>
        <v/>
      </c>
      <c r="AB1656" s="117">
        <f>IF($B1656="","",IF(OR($D1656="",$E1656="",$O1656=""),"EKSİK",IF($O1656&lt;=0,"SIFIR/NEGATİF",IF(COUNTIFS($C$6:$C$5000,$C1656,$O$6:$O$5000,$O1656,$B$6:$B$5000,$B1656)&gt;1,"MÜKERRER","OK"))))</f>
        <v/>
      </c>
    </row>
    <row r="1657" ht="16.5" customHeight="1" s="80">
      <c r="A1657" s="113" t="n"/>
      <c r="B1657" s="113" t="n"/>
      <c r="C1657" s="113" t="n"/>
      <c r="D1657" s="113" t="n"/>
      <c r="E1657" s="113" t="n"/>
      <c r="F1657" s="113" t="n"/>
      <c r="G1657" s="113" t="n"/>
      <c r="H1657" s="113" t="n"/>
      <c r="I1657" s="113" t="n"/>
      <c r="J1657" s="113" t="n"/>
      <c r="K1657" s="113" t="n"/>
      <c r="L1657" s="113" t="n"/>
      <c r="M1657" s="113" t="n"/>
      <c r="N1657" s="113" t="n"/>
      <c r="O1657" s="113" t="n"/>
      <c r="P1657" s="113" t="n"/>
      <c r="Q1657" s="113" t="n"/>
      <c r="R1657" s="113" t="n"/>
      <c r="S1657" s="113" t="n"/>
      <c r="T1657" s="113" t="n"/>
      <c r="U1657" s="113" t="n"/>
      <c r="V1657" s="113" t="n"/>
      <c r="W1657" s="113" t="n"/>
      <c r="X1657" s="113" t="n"/>
      <c r="Y1657" s="113" t="n"/>
      <c r="Z1657" s="117">
        <f>IF($B1657="",0,IF($S1657="EVET",IF($D1657="GELİR",$O1657,-$O1657),0))</f>
        <v/>
      </c>
      <c r="AA1657" s="117">
        <f>IF($B1657="",0,IF(OR($W1657="EVET",$X1657="EVET",$Y1657="EVET"),0,IF($D1657="GELİR",IF($E1657="SATIŞ İADESİ/İSKONTO",-$O1657,$O1657),-$O1657)))</f>
        <v/>
      </c>
      <c r="AB1657" s="117">
        <f>IF($B1657="","",IF(OR($D1657="",$E1657="",$O1657=""),"EKSİK",IF($O1657&lt;=0,"SIFIR/NEGATİF",IF(COUNTIFS($C$6:$C$5000,$C1657,$O$6:$O$5000,$O1657,$B$6:$B$5000,$B1657)&gt;1,"MÜKERRER","OK"))))</f>
        <v/>
      </c>
    </row>
    <row r="1658" ht="16.5" customHeight="1" s="80">
      <c r="A1658" s="113" t="n"/>
      <c r="B1658" s="113" t="n"/>
      <c r="C1658" s="113" t="n"/>
      <c r="D1658" s="113" t="n"/>
      <c r="E1658" s="113" t="n"/>
      <c r="F1658" s="113" t="n"/>
      <c r="G1658" s="113" t="n"/>
      <c r="H1658" s="113" t="n"/>
      <c r="I1658" s="113" t="n"/>
      <c r="J1658" s="113" t="n"/>
      <c r="K1658" s="113" t="n"/>
      <c r="L1658" s="113" t="n"/>
      <c r="M1658" s="113" t="n"/>
      <c r="N1658" s="113" t="n"/>
      <c r="O1658" s="113" t="n"/>
      <c r="P1658" s="113" t="n"/>
      <c r="Q1658" s="113" t="n"/>
      <c r="R1658" s="113" t="n"/>
      <c r="S1658" s="113" t="n"/>
      <c r="T1658" s="113" t="n"/>
      <c r="U1658" s="113" t="n"/>
      <c r="V1658" s="113" t="n"/>
      <c r="W1658" s="113" t="n"/>
      <c r="X1658" s="113" t="n"/>
      <c r="Y1658" s="113" t="n"/>
      <c r="Z1658" s="117">
        <f>IF($B1658="",0,IF($S1658="EVET",IF($D1658="GELİR",$O1658,-$O1658),0))</f>
        <v/>
      </c>
      <c r="AA1658" s="117">
        <f>IF($B1658="",0,IF(OR($W1658="EVET",$X1658="EVET",$Y1658="EVET"),0,IF($D1658="GELİR",IF($E1658="SATIŞ İADESİ/İSKONTO",-$O1658,$O1658),-$O1658)))</f>
        <v/>
      </c>
      <c r="AB1658" s="117">
        <f>IF($B1658="","",IF(OR($D1658="",$E1658="",$O1658=""),"EKSİK",IF($O1658&lt;=0,"SIFIR/NEGATİF",IF(COUNTIFS($C$6:$C$5000,$C1658,$O$6:$O$5000,$O1658,$B$6:$B$5000,$B1658)&gt;1,"MÜKERRER","OK"))))</f>
        <v/>
      </c>
    </row>
    <row r="1659" ht="16.5" customHeight="1" s="80">
      <c r="A1659" s="113" t="n"/>
      <c r="B1659" s="113" t="n"/>
      <c r="C1659" s="113" t="n"/>
      <c r="D1659" s="113" t="n"/>
      <c r="E1659" s="113" t="n"/>
      <c r="F1659" s="113" t="n"/>
      <c r="G1659" s="113" t="n"/>
      <c r="H1659" s="113" t="n"/>
      <c r="I1659" s="113" t="n"/>
      <c r="J1659" s="113" t="n"/>
      <c r="K1659" s="113" t="n"/>
      <c r="L1659" s="113" t="n"/>
      <c r="M1659" s="113" t="n"/>
      <c r="N1659" s="113" t="n"/>
      <c r="O1659" s="113" t="n"/>
      <c r="P1659" s="113" t="n"/>
      <c r="Q1659" s="113" t="n"/>
      <c r="R1659" s="113" t="n"/>
      <c r="S1659" s="113" t="n"/>
      <c r="T1659" s="113" t="n"/>
      <c r="U1659" s="113" t="n"/>
      <c r="V1659" s="113" t="n"/>
      <c r="W1659" s="113" t="n"/>
      <c r="X1659" s="113" t="n"/>
      <c r="Y1659" s="113" t="n"/>
      <c r="Z1659" s="117">
        <f>IF($B1659="",0,IF($S1659="EVET",IF($D1659="GELİR",$O1659,-$O1659),0))</f>
        <v/>
      </c>
      <c r="AA1659" s="117">
        <f>IF($B1659="",0,IF(OR($W1659="EVET",$X1659="EVET",$Y1659="EVET"),0,IF($D1659="GELİR",IF($E1659="SATIŞ İADESİ/İSKONTO",-$O1659,$O1659),-$O1659)))</f>
        <v/>
      </c>
      <c r="AB1659" s="117">
        <f>IF($B1659="","",IF(OR($D1659="",$E1659="",$O1659=""),"EKSİK",IF($O1659&lt;=0,"SIFIR/NEGATİF",IF(COUNTIFS($C$6:$C$5000,$C1659,$O$6:$O$5000,$O1659,$B$6:$B$5000,$B1659)&gt;1,"MÜKERRER","OK"))))</f>
        <v/>
      </c>
    </row>
    <row r="1660" ht="16.5" customHeight="1" s="80">
      <c r="A1660" s="113" t="n"/>
      <c r="B1660" s="113" t="n"/>
      <c r="C1660" s="113" t="n"/>
      <c r="D1660" s="113" t="n"/>
      <c r="E1660" s="113" t="n"/>
      <c r="F1660" s="113" t="n"/>
      <c r="G1660" s="113" t="n"/>
      <c r="H1660" s="113" t="n"/>
      <c r="I1660" s="113" t="n"/>
      <c r="J1660" s="113" t="n"/>
      <c r="K1660" s="113" t="n"/>
      <c r="L1660" s="113" t="n"/>
      <c r="M1660" s="113" t="n"/>
      <c r="N1660" s="113" t="n"/>
      <c r="O1660" s="113" t="n"/>
      <c r="P1660" s="113" t="n"/>
      <c r="Q1660" s="113" t="n"/>
      <c r="R1660" s="113" t="n"/>
      <c r="S1660" s="113" t="n"/>
      <c r="T1660" s="113" t="n"/>
      <c r="U1660" s="113" t="n"/>
      <c r="V1660" s="113" t="n"/>
      <c r="W1660" s="113" t="n"/>
      <c r="X1660" s="113" t="n"/>
      <c r="Y1660" s="113" t="n"/>
      <c r="Z1660" s="117">
        <f>IF($B1660="",0,IF($S1660="EVET",IF($D1660="GELİR",$O1660,-$O1660),0))</f>
        <v/>
      </c>
      <c r="AA1660" s="117">
        <f>IF($B1660="",0,IF(OR($W1660="EVET",$X1660="EVET",$Y1660="EVET"),0,IF($D1660="GELİR",IF($E1660="SATIŞ İADESİ/İSKONTO",-$O1660,$O1660),-$O1660)))</f>
        <v/>
      </c>
      <c r="AB1660" s="117">
        <f>IF($B1660="","",IF(OR($D1660="",$E1660="",$O1660=""),"EKSİK",IF($O1660&lt;=0,"SIFIR/NEGATİF",IF(COUNTIFS($C$6:$C$5000,$C1660,$O$6:$O$5000,$O1660,$B$6:$B$5000,$B1660)&gt;1,"MÜKERRER","OK"))))</f>
        <v/>
      </c>
    </row>
    <row r="1661" ht="16.5" customHeight="1" s="80">
      <c r="A1661" s="113" t="n"/>
      <c r="B1661" s="113" t="n"/>
      <c r="C1661" s="113" t="n"/>
      <c r="D1661" s="113" t="n"/>
      <c r="E1661" s="113" t="n"/>
      <c r="F1661" s="113" t="n"/>
      <c r="G1661" s="113" t="n"/>
      <c r="H1661" s="113" t="n"/>
      <c r="I1661" s="113" t="n"/>
      <c r="J1661" s="113" t="n"/>
      <c r="K1661" s="113" t="n"/>
      <c r="L1661" s="113" t="n"/>
      <c r="M1661" s="113" t="n"/>
      <c r="N1661" s="113" t="n"/>
      <c r="O1661" s="113" t="n"/>
      <c r="P1661" s="113" t="n"/>
      <c r="Q1661" s="113" t="n"/>
      <c r="R1661" s="113" t="n"/>
      <c r="S1661" s="113" t="n"/>
      <c r="T1661" s="113" t="n"/>
      <c r="U1661" s="113" t="n"/>
      <c r="V1661" s="113" t="n"/>
      <c r="W1661" s="113" t="n"/>
      <c r="X1661" s="113" t="n"/>
      <c r="Y1661" s="113" t="n"/>
      <c r="Z1661" s="117">
        <f>IF($B1661="",0,IF($S1661="EVET",IF($D1661="GELİR",$O1661,-$O1661),0))</f>
        <v/>
      </c>
      <c r="AA1661" s="117">
        <f>IF($B1661="",0,IF(OR($W1661="EVET",$X1661="EVET",$Y1661="EVET"),0,IF($D1661="GELİR",IF($E1661="SATIŞ İADESİ/İSKONTO",-$O1661,$O1661),-$O1661)))</f>
        <v/>
      </c>
      <c r="AB1661" s="117">
        <f>IF($B1661="","",IF(OR($D1661="",$E1661="",$O1661=""),"EKSİK",IF($O1661&lt;=0,"SIFIR/NEGATİF",IF(COUNTIFS($C$6:$C$5000,$C1661,$O$6:$O$5000,$O1661,$B$6:$B$5000,$B1661)&gt;1,"MÜKERRER","OK"))))</f>
        <v/>
      </c>
    </row>
    <row r="1662" ht="16.5" customHeight="1" s="80">
      <c r="A1662" s="113" t="n"/>
      <c r="B1662" s="113" t="n"/>
      <c r="C1662" s="113" t="n"/>
      <c r="D1662" s="113" t="n"/>
      <c r="E1662" s="113" t="n"/>
      <c r="F1662" s="113" t="n"/>
      <c r="G1662" s="113" t="n"/>
      <c r="H1662" s="113" t="n"/>
      <c r="I1662" s="113" t="n"/>
      <c r="J1662" s="113" t="n"/>
      <c r="K1662" s="113" t="n"/>
      <c r="L1662" s="113" t="n"/>
      <c r="M1662" s="113" t="n"/>
      <c r="N1662" s="113" t="n"/>
      <c r="O1662" s="113" t="n"/>
      <c r="P1662" s="113" t="n"/>
      <c r="Q1662" s="113" t="n"/>
      <c r="R1662" s="113" t="n"/>
      <c r="S1662" s="113" t="n"/>
      <c r="T1662" s="113" t="n"/>
      <c r="U1662" s="113" t="n"/>
      <c r="V1662" s="113" t="n"/>
      <c r="W1662" s="113" t="n"/>
      <c r="X1662" s="113" t="n"/>
      <c r="Y1662" s="113" t="n"/>
      <c r="Z1662" s="117">
        <f>IF($B1662="",0,IF($S1662="EVET",IF($D1662="GELİR",$O1662,-$O1662),0))</f>
        <v/>
      </c>
      <c r="AA1662" s="117">
        <f>IF($B1662="",0,IF(OR($W1662="EVET",$X1662="EVET",$Y1662="EVET"),0,IF($D1662="GELİR",IF($E1662="SATIŞ İADESİ/İSKONTO",-$O1662,$O1662),-$O1662)))</f>
        <v/>
      </c>
      <c r="AB1662" s="117">
        <f>IF($B1662="","",IF(OR($D1662="",$E1662="",$O1662=""),"EKSİK",IF($O1662&lt;=0,"SIFIR/NEGATİF",IF(COUNTIFS($C$6:$C$5000,$C1662,$O$6:$O$5000,$O1662,$B$6:$B$5000,$B1662)&gt;1,"MÜKERRER","OK"))))</f>
        <v/>
      </c>
    </row>
    <row r="1663" ht="16.5" customHeight="1" s="80">
      <c r="A1663" s="113" t="n"/>
      <c r="B1663" s="113" t="n"/>
      <c r="C1663" s="113" t="n"/>
      <c r="D1663" s="113" t="n"/>
      <c r="E1663" s="113" t="n"/>
      <c r="F1663" s="113" t="n"/>
      <c r="G1663" s="113" t="n"/>
      <c r="H1663" s="113" t="n"/>
      <c r="I1663" s="113" t="n"/>
      <c r="J1663" s="113" t="n"/>
      <c r="K1663" s="113" t="n"/>
      <c r="L1663" s="113" t="n"/>
      <c r="M1663" s="113" t="n"/>
      <c r="N1663" s="113" t="n"/>
      <c r="O1663" s="113" t="n"/>
      <c r="P1663" s="113" t="n"/>
      <c r="Q1663" s="113" t="n"/>
      <c r="R1663" s="113" t="n"/>
      <c r="S1663" s="113" t="n"/>
      <c r="T1663" s="113" t="n"/>
      <c r="U1663" s="113" t="n"/>
      <c r="V1663" s="113" t="n"/>
      <c r="W1663" s="113" t="n"/>
      <c r="X1663" s="113" t="n"/>
      <c r="Y1663" s="113" t="n"/>
      <c r="Z1663" s="117">
        <f>IF($B1663="",0,IF($S1663="EVET",IF($D1663="GELİR",$O1663,-$O1663),0))</f>
        <v/>
      </c>
      <c r="AA1663" s="117">
        <f>IF($B1663="",0,IF(OR($W1663="EVET",$X1663="EVET",$Y1663="EVET"),0,IF($D1663="GELİR",IF($E1663="SATIŞ İADESİ/İSKONTO",-$O1663,$O1663),-$O1663)))</f>
        <v/>
      </c>
      <c r="AB1663" s="117">
        <f>IF($B1663="","",IF(OR($D1663="",$E1663="",$O1663=""),"EKSİK",IF($O1663&lt;=0,"SIFIR/NEGATİF",IF(COUNTIFS($C$6:$C$5000,$C1663,$O$6:$O$5000,$O1663,$B$6:$B$5000,$B1663)&gt;1,"MÜKERRER","OK"))))</f>
        <v/>
      </c>
    </row>
    <row r="1664" ht="16.5" customHeight="1" s="80">
      <c r="A1664" s="113" t="n"/>
      <c r="B1664" s="113" t="n"/>
      <c r="C1664" s="113" t="n"/>
      <c r="D1664" s="113" t="n"/>
      <c r="E1664" s="113" t="n"/>
      <c r="F1664" s="113" t="n"/>
      <c r="G1664" s="113" t="n"/>
      <c r="H1664" s="113" t="n"/>
      <c r="I1664" s="113" t="n"/>
      <c r="J1664" s="113" t="n"/>
      <c r="K1664" s="113" t="n"/>
      <c r="L1664" s="113" t="n"/>
      <c r="M1664" s="113" t="n"/>
      <c r="N1664" s="113" t="n"/>
      <c r="O1664" s="113" t="n"/>
      <c r="P1664" s="113" t="n"/>
      <c r="Q1664" s="113" t="n"/>
      <c r="R1664" s="113" t="n"/>
      <c r="S1664" s="113" t="n"/>
      <c r="T1664" s="113" t="n"/>
      <c r="U1664" s="113" t="n"/>
      <c r="V1664" s="113" t="n"/>
      <c r="W1664" s="113" t="n"/>
      <c r="X1664" s="113" t="n"/>
      <c r="Y1664" s="113" t="n"/>
      <c r="Z1664" s="117">
        <f>IF($B1664="",0,IF($S1664="EVET",IF($D1664="GELİR",$O1664,-$O1664),0))</f>
        <v/>
      </c>
      <c r="AA1664" s="117">
        <f>IF($B1664="",0,IF(OR($W1664="EVET",$X1664="EVET",$Y1664="EVET"),0,IF($D1664="GELİR",IF($E1664="SATIŞ İADESİ/İSKONTO",-$O1664,$O1664),-$O1664)))</f>
        <v/>
      </c>
      <c r="AB1664" s="117">
        <f>IF($B1664="","",IF(OR($D1664="",$E1664="",$O1664=""),"EKSİK",IF($O1664&lt;=0,"SIFIR/NEGATİF",IF(COUNTIFS($C$6:$C$5000,$C1664,$O$6:$O$5000,$O1664,$B$6:$B$5000,$B1664)&gt;1,"MÜKERRER","OK"))))</f>
        <v/>
      </c>
    </row>
    <row r="1665" ht="16.5" customHeight="1" s="80">
      <c r="A1665" s="113" t="n"/>
      <c r="B1665" s="113" t="n"/>
      <c r="C1665" s="113" t="n"/>
      <c r="D1665" s="113" t="n"/>
      <c r="E1665" s="113" t="n"/>
      <c r="F1665" s="113" t="n"/>
      <c r="G1665" s="113" t="n"/>
      <c r="H1665" s="113" t="n"/>
      <c r="I1665" s="113" t="n"/>
      <c r="J1665" s="113" t="n"/>
      <c r="K1665" s="113" t="n"/>
      <c r="L1665" s="113" t="n"/>
      <c r="M1665" s="113" t="n"/>
      <c r="N1665" s="113" t="n"/>
      <c r="O1665" s="113" t="n"/>
      <c r="P1665" s="113" t="n"/>
      <c r="Q1665" s="113" t="n"/>
      <c r="R1665" s="113" t="n"/>
      <c r="S1665" s="113" t="n"/>
      <c r="T1665" s="113" t="n"/>
      <c r="U1665" s="113" t="n"/>
      <c r="V1665" s="113" t="n"/>
      <c r="W1665" s="113" t="n"/>
      <c r="X1665" s="113" t="n"/>
      <c r="Y1665" s="113" t="n"/>
      <c r="Z1665" s="117">
        <f>IF($B1665="",0,IF($S1665="EVET",IF($D1665="GELİR",$O1665,-$O1665),0))</f>
        <v/>
      </c>
      <c r="AA1665" s="117">
        <f>IF($B1665="",0,IF(OR($W1665="EVET",$X1665="EVET",$Y1665="EVET"),0,IF($D1665="GELİR",IF($E1665="SATIŞ İADESİ/İSKONTO",-$O1665,$O1665),-$O1665)))</f>
        <v/>
      </c>
      <c r="AB1665" s="117">
        <f>IF($B1665="","",IF(OR($D1665="",$E1665="",$O1665=""),"EKSİK",IF($O1665&lt;=0,"SIFIR/NEGATİF",IF(COUNTIFS($C$6:$C$5000,$C1665,$O$6:$O$5000,$O1665,$B$6:$B$5000,$B1665)&gt;1,"MÜKERRER","OK"))))</f>
        <v/>
      </c>
    </row>
    <row r="1666" ht="16.5" customHeight="1" s="80">
      <c r="A1666" s="113" t="n"/>
      <c r="B1666" s="113" t="n"/>
      <c r="C1666" s="113" t="n"/>
      <c r="D1666" s="113" t="n"/>
      <c r="E1666" s="113" t="n"/>
      <c r="F1666" s="113" t="n"/>
      <c r="G1666" s="113" t="n"/>
      <c r="H1666" s="113" t="n"/>
      <c r="I1666" s="113" t="n"/>
      <c r="J1666" s="113" t="n"/>
      <c r="K1666" s="113" t="n"/>
      <c r="L1666" s="113" t="n"/>
      <c r="M1666" s="113" t="n"/>
      <c r="N1666" s="113" t="n"/>
      <c r="O1666" s="113" t="n"/>
      <c r="P1666" s="113" t="n"/>
      <c r="Q1666" s="113" t="n"/>
      <c r="R1666" s="113" t="n"/>
      <c r="S1666" s="113" t="n"/>
      <c r="T1666" s="113" t="n"/>
      <c r="U1666" s="113" t="n"/>
      <c r="V1666" s="113" t="n"/>
      <c r="W1666" s="113" t="n"/>
      <c r="X1666" s="113" t="n"/>
      <c r="Y1666" s="113" t="n"/>
      <c r="Z1666" s="117">
        <f>IF($B1666="",0,IF($S1666="EVET",IF($D1666="GELİR",$O1666,-$O1666),0))</f>
        <v/>
      </c>
      <c r="AA1666" s="117">
        <f>IF($B1666="",0,IF(OR($W1666="EVET",$X1666="EVET",$Y1666="EVET"),0,IF($D1666="GELİR",IF($E1666="SATIŞ İADESİ/İSKONTO",-$O1666,$O1666),-$O1666)))</f>
        <v/>
      </c>
      <c r="AB1666" s="117">
        <f>IF($B1666="","",IF(OR($D1666="",$E1666="",$O1666=""),"EKSİK",IF($O1666&lt;=0,"SIFIR/NEGATİF",IF(COUNTIFS($C$6:$C$5000,$C1666,$O$6:$O$5000,$O1666,$B$6:$B$5000,$B1666)&gt;1,"MÜKERRER","OK"))))</f>
        <v/>
      </c>
    </row>
    <row r="1667" ht="16.5" customHeight="1" s="80">
      <c r="A1667" s="113" t="n"/>
      <c r="B1667" s="113" t="n"/>
      <c r="C1667" s="113" t="n"/>
      <c r="D1667" s="113" t="n"/>
      <c r="E1667" s="113" t="n"/>
      <c r="F1667" s="113" t="n"/>
      <c r="G1667" s="113" t="n"/>
      <c r="H1667" s="113" t="n"/>
      <c r="I1667" s="113" t="n"/>
      <c r="J1667" s="113" t="n"/>
      <c r="K1667" s="113" t="n"/>
      <c r="L1667" s="113" t="n"/>
      <c r="M1667" s="113" t="n"/>
      <c r="N1667" s="113" t="n"/>
      <c r="O1667" s="113" t="n"/>
      <c r="P1667" s="113" t="n"/>
      <c r="Q1667" s="113" t="n"/>
      <c r="R1667" s="113" t="n"/>
      <c r="S1667" s="113" t="n"/>
      <c r="T1667" s="113" t="n"/>
      <c r="U1667" s="113" t="n"/>
      <c r="V1667" s="113" t="n"/>
      <c r="W1667" s="113" t="n"/>
      <c r="X1667" s="113" t="n"/>
      <c r="Y1667" s="113" t="n"/>
      <c r="Z1667" s="117">
        <f>IF($B1667="",0,IF($S1667="EVET",IF($D1667="GELİR",$O1667,-$O1667),0))</f>
        <v/>
      </c>
      <c r="AA1667" s="117">
        <f>IF($B1667="",0,IF(OR($W1667="EVET",$X1667="EVET",$Y1667="EVET"),0,IF($D1667="GELİR",IF($E1667="SATIŞ İADESİ/İSKONTO",-$O1667,$O1667),-$O1667)))</f>
        <v/>
      </c>
      <c r="AB1667" s="117">
        <f>IF($B1667="","",IF(OR($D1667="",$E1667="",$O1667=""),"EKSİK",IF($O1667&lt;=0,"SIFIR/NEGATİF",IF(COUNTIFS($C$6:$C$5000,$C1667,$O$6:$O$5000,$O1667,$B$6:$B$5000,$B1667)&gt;1,"MÜKERRER","OK"))))</f>
        <v/>
      </c>
    </row>
    <row r="1668" ht="16.5" customHeight="1" s="80">
      <c r="A1668" s="113" t="n"/>
      <c r="B1668" s="113" t="n"/>
      <c r="C1668" s="113" t="n"/>
      <c r="D1668" s="113" t="n"/>
      <c r="E1668" s="113" t="n"/>
      <c r="F1668" s="113" t="n"/>
      <c r="G1668" s="113" t="n"/>
      <c r="H1668" s="113" t="n"/>
      <c r="I1668" s="113" t="n"/>
      <c r="J1668" s="113" t="n"/>
      <c r="K1668" s="113" t="n"/>
      <c r="L1668" s="113" t="n"/>
      <c r="M1668" s="113" t="n"/>
      <c r="N1668" s="113" t="n"/>
      <c r="O1668" s="113" t="n"/>
      <c r="P1668" s="113" t="n"/>
      <c r="Q1668" s="113" t="n"/>
      <c r="R1668" s="113" t="n"/>
      <c r="S1668" s="113" t="n"/>
      <c r="T1668" s="113" t="n"/>
      <c r="U1668" s="113" t="n"/>
      <c r="V1668" s="113" t="n"/>
      <c r="W1668" s="113" t="n"/>
      <c r="X1668" s="113" t="n"/>
      <c r="Y1668" s="113" t="n"/>
      <c r="Z1668" s="117">
        <f>IF($B1668="",0,IF($S1668="EVET",IF($D1668="GELİR",$O1668,-$O1668),0))</f>
        <v/>
      </c>
      <c r="AA1668" s="117">
        <f>IF($B1668="",0,IF(OR($W1668="EVET",$X1668="EVET",$Y1668="EVET"),0,IF($D1668="GELİR",IF($E1668="SATIŞ İADESİ/İSKONTO",-$O1668,$O1668),-$O1668)))</f>
        <v/>
      </c>
      <c r="AB1668" s="117">
        <f>IF($B1668="","",IF(OR($D1668="",$E1668="",$O1668=""),"EKSİK",IF($O1668&lt;=0,"SIFIR/NEGATİF",IF(COUNTIFS($C$6:$C$5000,$C1668,$O$6:$O$5000,$O1668,$B$6:$B$5000,$B1668)&gt;1,"MÜKERRER","OK"))))</f>
        <v/>
      </c>
    </row>
    <row r="1669" ht="16.5" customHeight="1" s="80">
      <c r="A1669" s="113" t="n"/>
      <c r="B1669" s="113" t="n"/>
      <c r="C1669" s="113" t="n"/>
      <c r="D1669" s="113" t="n"/>
      <c r="E1669" s="113" t="n"/>
      <c r="F1669" s="113" t="n"/>
      <c r="G1669" s="113" t="n"/>
      <c r="H1669" s="113" t="n"/>
      <c r="I1669" s="113" t="n"/>
      <c r="J1669" s="113" t="n"/>
      <c r="K1669" s="113" t="n"/>
      <c r="L1669" s="113" t="n"/>
      <c r="M1669" s="113" t="n"/>
      <c r="N1669" s="113" t="n"/>
      <c r="O1669" s="113" t="n"/>
      <c r="P1669" s="113" t="n"/>
      <c r="Q1669" s="113" t="n"/>
      <c r="R1669" s="113" t="n"/>
      <c r="S1669" s="113" t="n"/>
      <c r="T1669" s="113" t="n"/>
      <c r="U1669" s="113" t="n"/>
      <c r="V1669" s="113" t="n"/>
      <c r="W1669" s="113" t="n"/>
      <c r="X1669" s="113" t="n"/>
      <c r="Y1669" s="113" t="n"/>
      <c r="Z1669" s="117">
        <f>IF($B1669="",0,IF($S1669="EVET",IF($D1669="GELİR",$O1669,-$O1669),0))</f>
        <v/>
      </c>
      <c r="AA1669" s="117">
        <f>IF($B1669="",0,IF(OR($W1669="EVET",$X1669="EVET",$Y1669="EVET"),0,IF($D1669="GELİR",IF($E1669="SATIŞ İADESİ/İSKONTO",-$O1669,$O1669),-$O1669)))</f>
        <v/>
      </c>
      <c r="AB1669" s="117">
        <f>IF($B1669="","",IF(OR($D1669="",$E1669="",$O1669=""),"EKSİK",IF($O1669&lt;=0,"SIFIR/NEGATİF",IF(COUNTIFS($C$6:$C$5000,$C1669,$O$6:$O$5000,$O1669,$B$6:$B$5000,$B1669)&gt;1,"MÜKERRER","OK"))))</f>
        <v/>
      </c>
    </row>
    <row r="1670" ht="16.5" customHeight="1" s="80">
      <c r="A1670" s="113" t="n"/>
      <c r="B1670" s="113" t="n"/>
      <c r="C1670" s="113" t="n"/>
      <c r="D1670" s="113" t="n"/>
      <c r="E1670" s="113" t="n"/>
      <c r="F1670" s="113" t="n"/>
      <c r="G1670" s="113" t="n"/>
      <c r="H1670" s="113" t="n"/>
      <c r="I1670" s="113" t="n"/>
      <c r="J1670" s="113" t="n"/>
      <c r="K1670" s="113" t="n"/>
      <c r="L1670" s="113" t="n"/>
      <c r="M1670" s="113" t="n"/>
      <c r="N1670" s="113" t="n"/>
      <c r="O1670" s="113" t="n"/>
      <c r="P1670" s="113" t="n"/>
      <c r="Q1670" s="113" t="n"/>
      <c r="R1670" s="113" t="n"/>
      <c r="S1670" s="113" t="n"/>
      <c r="T1670" s="113" t="n"/>
      <c r="U1670" s="113" t="n"/>
      <c r="V1670" s="113" t="n"/>
      <c r="W1670" s="113" t="n"/>
      <c r="X1670" s="113" t="n"/>
      <c r="Y1670" s="113" t="n"/>
      <c r="Z1670" s="117">
        <f>IF($B1670="",0,IF($S1670="EVET",IF($D1670="GELİR",$O1670,-$O1670),0))</f>
        <v/>
      </c>
      <c r="AA1670" s="117">
        <f>IF($B1670="",0,IF(OR($W1670="EVET",$X1670="EVET",$Y1670="EVET"),0,IF($D1670="GELİR",IF($E1670="SATIŞ İADESİ/İSKONTO",-$O1670,$O1670),-$O1670)))</f>
        <v/>
      </c>
      <c r="AB1670" s="117">
        <f>IF($B1670="","",IF(OR($D1670="",$E1670="",$O1670=""),"EKSİK",IF($O1670&lt;=0,"SIFIR/NEGATİF",IF(COUNTIFS($C$6:$C$5000,$C1670,$O$6:$O$5000,$O1670,$B$6:$B$5000,$B1670)&gt;1,"MÜKERRER","OK"))))</f>
        <v/>
      </c>
    </row>
    <row r="1671" ht="16.5" customHeight="1" s="80">
      <c r="A1671" s="113" t="n"/>
      <c r="B1671" s="113" t="n"/>
      <c r="C1671" s="113" t="n"/>
      <c r="D1671" s="113" t="n"/>
      <c r="E1671" s="113" t="n"/>
      <c r="F1671" s="113" t="n"/>
      <c r="G1671" s="113" t="n"/>
      <c r="H1671" s="113" t="n"/>
      <c r="I1671" s="113" t="n"/>
      <c r="J1671" s="113" t="n"/>
      <c r="K1671" s="113" t="n"/>
      <c r="L1671" s="113" t="n"/>
      <c r="M1671" s="113" t="n"/>
      <c r="N1671" s="113" t="n"/>
      <c r="O1671" s="113" t="n"/>
      <c r="P1671" s="113" t="n"/>
      <c r="Q1671" s="113" t="n"/>
      <c r="R1671" s="113" t="n"/>
      <c r="S1671" s="113" t="n"/>
      <c r="T1671" s="113" t="n"/>
      <c r="U1671" s="113" t="n"/>
      <c r="V1671" s="113" t="n"/>
      <c r="W1671" s="113" t="n"/>
      <c r="X1671" s="113" t="n"/>
      <c r="Y1671" s="113" t="n"/>
      <c r="Z1671" s="117">
        <f>IF($B1671="",0,IF($S1671="EVET",IF($D1671="GELİR",$O1671,-$O1671),0))</f>
        <v/>
      </c>
      <c r="AA1671" s="117">
        <f>IF($B1671="",0,IF(OR($W1671="EVET",$X1671="EVET",$Y1671="EVET"),0,IF($D1671="GELİR",IF($E1671="SATIŞ İADESİ/İSKONTO",-$O1671,$O1671),-$O1671)))</f>
        <v/>
      </c>
      <c r="AB1671" s="117">
        <f>IF($B1671="","",IF(OR($D1671="",$E1671="",$O1671=""),"EKSİK",IF($O1671&lt;=0,"SIFIR/NEGATİF",IF(COUNTIFS($C$6:$C$5000,$C1671,$O$6:$O$5000,$O1671,$B$6:$B$5000,$B1671)&gt;1,"MÜKERRER","OK"))))</f>
        <v/>
      </c>
    </row>
    <row r="1672" ht="16.5" customHeight="1" s="80">
      <c r="A1672" s="113" t="n"/>
      <c r="B1672" s="113" t="n"/>
      <c r="C1672" s="113" t="n"/>
      <c r="D1672" s="113" t="n"/>
      <c r="E1672" s="113" t="n"/>
      <c r="F1672" s="113" t="n"/>
      <c r="G1672" s="113" t="n"/>
      <c r="H1672" s="113" t="n"/>
      <c r="I1672" s="113" t="n"/>
      <c r="J1672" s="113" t="n"/>
      <c r="K1672" s="113" t="n"/>
      <c r="L1672" s="113" t="n"/>
      <c r="M1672" s="113" t="n"/>
      <c r="N1672" s="113" t="n"/>
      <c r="O1672" s="113" t="n"/>
      <c r="P1672" s="113" t="n"/>
      <c r="Q1672" s="113" t="n"/>
      <c r="R1672" s="113" t="n"/>
      <c r="S1672" s="113" t="n"/>
      <c r="T1672" s="113" t="n"/>
      <c r="U1672" s="113" t="n"/>
      <c r="V1672" s="113" t="n"/>
      <c r="W1672" s="113" t="n"/>
      <c r="X1672" s="113" t="n"/>
      <c r="Y1672" s="113" t="n"/>
      <c r="Z1672" s="117">
        <f>IF($B1672="",0,IF($S1672="EVET",IF($D1672="GELİR",$O1672,-$O1672),0))</f>
        <v/>
      </c>
      <c r="AA1672" s="117">
        <f>IF($B1672="",0,IF(OR($W1672="EVET",$X1672="EVET",$Y1672="EVET"),0,IF($D1672="GELİR",IF($E1672="SATIŞ İADESİ/İSKONTO",-$O1672,$O1672),-$O1672)))</f>
        <v/>
      </c>
      <c r="AB1672" s="117">
        <f>IF($B1672="","",IF(OR($D1672="",$E1672="",$O1672=""),"EKSİK",IF($O1672&lt;=0,"SIFIR/NEGATİF",IF(COUNTIFS($C$6:$C$5000,$C1672,$O$6:$O$5000,$O1672,$B$6:$B$5000,$B1672)&gt;1,"MÜKERRER","OK"))))</f>
        <v/>
      </c>
    </row>
    <row r="1673" ht="16.5" customHeight="1" s="80">
      <c r="A1673" s="113" t="n"/>
      <c r="B1673" s="113" t="n"/>
      <c r="C1673" s="113" t="n"/>
      <c r="D1673" s="113" t="n"/>
      <c r="E1673" s="113" t="n"/>
      <c r="F1673" s="113" t="n"/>
      <c r="G1673" s="113" t="n"/>
      <c r="H1673" s="113" t="n"/>
      <c r="I1673" s="113" t="n"/>
      <c r="J1673" s="113" t="n"/>
      <c r="K1673" s="113" t="n"/>
      <c r="L1673" s="113" t="n"/>
      <c r="M1673" s="113" t="n"/>
      <c r="N1673" s="113" t="n"/>
      <c r="O1673" s="113" t="n"/>
      <c r="P1673" s="113" t="n"/>
      <c r="Q1673" s="113" t="n"/>
      <c r="R1673" s="113" t="n"/>
      <c r="S1673" s="113" t="n"/>
      <c r="T1673" s="113" t="n"/>
      <c r="U1673" s="113" t="n"/>
      <c r="V1673" s="113" t="n"/>
      <c r="W1673" s="113" t="n"/>
      <c r="X1673" s="113" t="n"/>
      <c r="Y1673" s="113" t="n"/>
      <c r="Z1673" s="117">
        <f>IF($B1673="",0,IF($S1673="EVET",IF($D1673="GELİR",$O1673,-$O1673),0))</f>
        <v/>
      </c>
      <c r="AA1673" s="117">
        <f>IF($B1673="",0,IF(OR($W1673="EVET",$X1673="EVET",$Y1673="EVET"),0,IF($D1673="GELİR",IF($E1673="SATIŞ İADESİ/İSKONTO",-$O1673,$O1673),-$O1673)))</f>
        <v/>
      </c>
      <c r="AB1673" s="117">
        <f>IF($B1673="","",IF(OR($D1673="",$E1673="",$O1673=""),"EKSİK",IF($O1673&lt;=0,"SIFIR/NEGATİF",IF(COUNTIFS($C$6:$C$5000,$C1673,$O$6:$O$5000,$O1673,$B$6:$B$5000,$B1673)&gt;1,"MÜKERRER","OK"))))</f>
        <v/>
      </c>
    </row>
    <row r="1674" ht="16.5" customHeight="1" s="80">
      <c r="A1674" s="113" t="n"/>
      <c r="B1674" s="113" t="n"/>
      <c r="C1674" s="113" t="n"/>
      <c r="D1674" s="113" t="n"/>
      <c r="E1674" s="113" t="n"/>
      <c r="F1674" s="113" t="n"/>
      <c r="G1674" s="113" t="n"/>
      <c r="H1674" s="113" t="n"/>
      <c r="I1674" s="113" t="n"/>
      <c r="J1674" s="113" t="n"/>
      <c r="K1674" s="113" t="n"/>
      <c r="L1674" s="113" t="n"/>
      <c r="M1674" s="113" t="n"/>
      <c r="N1674" s="113" t="n"/>
      <c r="O1674" s="113" t="n"/>
      <c r="P1674" s="113" t="n"/>
      <c r="Q1674" s="113" t="n"/>
      <c r="R1674" s="113" t="n"/>
      <c r="S1674" s="113" t="n"/>
      <c r="T1674" s="113" t="n"/>
      <c r="U1674" s="113" t="n"/>
      <c r="V1674" s="113" t="n"/>
      <c r="W1674" s="113" t="n"/>
      <c r="X1674" s="113" t="n"/>
      <c r="Y1674" s="113" t="n"/>
      <c r="Z1674" s="117">
        <f>IF($B1674="",0,IF($S1674="EVET",IF($D1674="GELİR",$O1674,-$O1674),0))</f>
        <v/>
      </c>
      <c r="AA1674" s="117">
        <f>IF($B1674="",0,IF(OR($W1674="EVET",$X1674="EVET",$Y1674="EVET"),0,IF($D1674="GELİR",IF($E1674="SATIŞ İADESİ/İSKONTO",-$O1674,$O1674),-$O1674)))</f>
        <v/>
      </c>
      <c r="AB1674" s="117">
        <f>IF($B1674="","",IF(OR($D1674="",$E1674="",$O1674=""),"EKSİK",IF($O1674&lt;=0,"SIFIR/NEGATİF",IF(COUNTIFS($C$6:$C$5000,$C1674,$O$6:$O$5000,$O1674,$B$6:$B$5000,$B1674)&gt;1,"MÜKERRER","OK"))))</f>
        <v/>
      </c>
    </row>
    <row r="1675" ht="16.5" customHeight="1" s="80">
      <c r="A1675" s="113" t="n"/>
      <c r="B1675" s="113" t="n"/>
      <c r="C1675" s="113" t="n"/>
      <c r="D1675" s="113" t="n"/>
      <c r="E1675" s="113" t="n"/>
      <c r="F1675" s="113" t="n"/>
      <c r="G1675" s="113" t="n"/>
      <c r="H1675" s="113" t="n"/>
      <c r="I1675" s="113" t="n"/>
      <c r="J1675" s="113" t="n"/>
      <c r="K1675" s="113" t="n"/>
      <c r="L1675" s="113" t="n"/>
      <c r="M1675" s="113" t="n"/>
      <c r="N1675" s="113" t="n"/>
      <c r="O1675" s="113" t="n"/>
      <c r="P1675" s="113" t="n"/>
      <c r="Q1675" s="113" t="n"/>
      <c r="R1675" s="113" t="n"/>
      <c r="S1675" s="113" t="n"/>
      <c r="T1675" s="113" t="n"/>
      <c r="U1675" s="113" t="n"/>
      <c r="V1675" s="113" t="n"/>
      <c r="W1675" s="113" t="n"/>
      <c r="X1675" s="113" t="n"/>
      <c r="Y1675" s="113" t="n"/>
      <c r="Z1675" s="117">
        <f>IF($B1675="",0,IF($S1675="EVET",IF($D1675="GELİR",$O1675,-$O1675),0))</f>
        <v/>
      </c>
      <c r="AA1675" s="117">
        <f>IF($B1675="",0,IF(OR($W1675="EVET",$X1675="EVET",$Y1675="EVET"),0,IF($D1675="GELİR",IF($E1675="SATIŞ İADESİ/İSKONTO",-$O1675,$O1675),-$O1675)))</f>
        <v/>
      </c>
      <c r="AB1675" s="117">
        <f>IF($B1675="","",IF(OR($D1675="",$E1675="",$O1675=""),"EKSİK",IF($O1675&lt;=0,"SIFIR/NEGATİF",IF(COUNTIFS($C$6:$C$5000,$C1675,$O$6:$O$5000,$O1675,$B$6:$B$5000,$B1675)&gt;1,"MÜKERRER","OK"))))</f>
        <v/>
      </c>
    </row>
    <row r="1676" ht="16.5" customHeight="1" s="80">
      <c r="A1676" s="113" t="n"/>
      <c r="B1676" s="113" t="n"/>
      <c r="C1676" s="113" t="n"/>
      <c r="D1676" s="113" t="n"/>
      <c r="E1676" s="113" t="n"/>
      <c r="F1676" s="113" t="n"/>
      <c r="G1676" s="113" t="n"/>
      <c r="H1676" s="113" t="n"/>
      <c r="I1676" s="113" t="n"/>
      <c r="J1676" s="113" t="n"/>
      <c r="K1676" s="113" t="n"/>
      <c r="L1676" s="113" t="n"/>
      <c r="M1676" s="113" t="n"/>
      <c r="N1676" s="113" t="n"/>
      <c r="O1676" s="113" t="n"/>
      <c r="P1676" s="113" t="n"/>
      <c r="Q1676" s="113" t="n"/>
      <c r="R1676" s="113" t="n"/>
      <c r="S1676" s="113" t="n"/>
      <c r="T1676" s="113" t="n"/>
      <c r="U1676" s="113" t="n"/>
      <c r="V1676" s="113" t="n"/>
      <c r="W1676" s="113" t="n"/>
      <c r="X1676" s="113" t="n"/>
      <c r="Y1676" s="113" t="n"/>
      <c r="Z1676" s="117">
        <f>IF($B1676="",0,IF($S1676="EVET",IF($D1676="GELİR",$O1676,-$O1676),0))</f>
        <v/>
      </c>
      <c r="AA1676" s="117">
        <f>IF($B1676="",0,IF(OR($W1676="EVET",$X1676="EVET",$Y1676="EVET"),0,IF($D1676="GELİR",IF($E1676="SATIŞ İADESİ/İSKONTO",-$O1676,$O1676),-$O1676)))</f>
        <v/>
      </c>
      <c r="AB1676" s="117">
        <f>IF($B1676="","",IF(OR($D1676="",$E1676="",$O1676=""),"EKSİK",IF($O1676&lt;=0,"SIFIR/NEGATİF",IF(COUNTIFS($C$6:$C$5000,$C1676,$O$6:$O$5000,$O1676,$B$6:$B$5000,$B1676)&gt;1,"MÜKERRER","OK"))))</f>
        <v/>
      </c>
    </row>
    <row r="1677" ht="16.5" customHeight="1" s="80">
      <c r="A1677" s="113" t="n"/>
      <c r="B1677" s="113" t="n"/>
      <c r="C1677" s="113" t="n"/>
      <c r="D1677" s="113" t="n"/>
      <c r="E1677" s="113" t="n"/>
      <c r="F1677" s="113" t="n"/>
      <c r="G1677" s="113" t="n"/>
      <c r="H1677" s="113" t="n"/>
      <c r="I1677" s="113" t="n"/>
      <c r="J1677" s="113" t="n"/>
      <c r="K1677" s="113" t="n"/>
      <c r="L1677" s="113" t="n"/>
      <c r="M1677" s="113" t="n"/>
      <c r="N1677" s="113" t="n"/>
      <c r="O1677" s="113" t="n"/>
      <c r="P1677" s="113" t="n"/>
      <c r="Q1677" s="113" t="n"/>
      <c r="R1677" s="113" t="n"/>
      <c r="S1677" s="113" t="n"/>
      <c r="T1677" s="113" t="n"/>
      <c r="U1677" s="113" t="n"/>
      <c r="V1677" s="113" t="n"/>
      <c r="W1677" s="113" t="n"/>
      <c r="X1677" s="113" t="n"/>
      <c r="Y1677" s="113" t="n"/>
      <c r="Z1677" s="117">
        <f>IF($B1677="",0,IF($S1677="EVET",IF($D1677="GELİR",$O1677,-$O1677),0))</f>
        <v/>
      </c>
      <c r="AA1677" s="117">
        <f>IF($B1677="",0,IF(OR($W1677="EVET",$X1677="EVET",$Y1677="EVET"),0,IF($D1677="GELİR",IF($E1677="SATIŞ İADESİ/İSKONTO",-$O1677,$O1677),-$O1677)))</f>
        <v/>
      </c>
      <c r="AB1677" s="117">
        <f>IF($B1677="","",IF(OR($D1677="",$E1677="",$O1677=""),"EKSİK",IF($O1677&lt;=0,"SIFIR/NEGATİF",IF(COUNTIFS($C$6:$C$5000,$C1677,$O$6:$O$5000,$O1677,$B$6:$B$5000,$B1677)&gt;1,"MÜKERRER","OK"))))</f>
        <v/>
      </c>
    </row>
    <row r="1678" ht="16.5" customHeight="1" s="80">
      <c r="A1678" s="113" t="n"/>
      <c r="B1678" s="113" t="n"/>
      <c r="C1678" s="113" t="n"/>
      <c r="D1678" s="113" t="n"/>
      <c r="E1678" s="113" t="n"/>
      <c r="F1678" s="113" t="n"/>
      <c r="G1678" s="113" t="n"/>
      <c r="H1678" s="113" t="n"/>
      <c r="I1678" s="113" t="n"/>
      <c r="J1678" s="113" t="n"/>
      <c r="K1678" s="113" t="n"/>
      <c r="L1678" s="113" t="n"/>
      <c r="M1678" s="113" t="n"/>
      <c r="N1678" s="113" t="n"/>
      <c r="O1678" s="113" t="n"/>
      <c r="P1678" s="113" t="n"/>
      <c r="Q1678" s="113" t="n"/>
      <c r="R1678" s="113" t="n"/>
      <c r="S1678" s="113" t="n"/>
      <c r="T1678" s="113" t="n"/>
      <c r="U1678" s="113" t="n"/>
      <c r="V1678" s="113" t="n"/>
      <c r="W1678" s="113" t="n"/>
      <c r="X1678" s="113" t="n"/>
      <c r="Y1678" s="113" t="n"/>
      <c r="Z1678" s="117">
        <f>IF($B1678="",0,IF($S1678="EVET",IF($D1678="GELİR",$O1678,-$O1678),0))</f>
        <v/>
      </c>
      <c r="AA1678" s="117">
        <f>IF($B1678="",0,IF(OR($W1678="EVET",$X1678="EVET",$Y1678="EVET"),0,IF($D1678="GELİR",IF($E1678="SATIŞ İADESİ/İSKONTO",-$O1678,$O1678),-$O1678)))</f>
        <v/>
      </c>
      <c r="AB1678" s="117">
        <f>IF($B1678="","",IF(OR($D1678="",$E1678="",$O1678=""),"EKSİK",IF($O1678&lt;=0,"SIFIR/NEGATİF",IF(COUNTIFS($C$6:$C$5000,$C1678,$O$6:$O$5000,$O1678,$B$6:$B$5000,$B1678)&gt;1,"MÜKERRER","OK"))))</f>
        <v/>
      </c>
    </row>
    <row r="1679" ht="16.5" customHeight="1" s="80">
      <c r="A1679" s="113" t="n"/>
      <c r="B1679" s="113" t="n"/>
      <c r="C1679" s="113" t="n"/>
      <c r="D1679" s="113" t="n"/>
      <c r="E1679" s="113" t="n"/>
      <c r="F1679" s="113" t="n"/>
      <c r="G1679" s="113" t="n"/>
      <c r="H1679" s="113" t="n"/>
      <c r="I1679" s="113" t="n"/>
      <c r="J1679" s="113" t="n"/>
      <c r="K1679" s="113" t="n"/>
      <c r="L1679" s="113" t="n"/>
      <c r="M1679" s="113" t="n"/>
      <c r="N1679" s="113" t="n"/>
      <c r="O1679" s="113" t="n"/>
      <c r="P1679" s="113" t="n"/>
      <c r="Q1679" s="113" t="n"/>
      <c r="R1679" s="113" t="n"/>
      <c r="S1679" s="113" t="n"/>
      <c r="T1679" s="113" t="n"/>
      <c r="U1679" s="113" t="n"/>
      <c r="V1679" s="113" t="n"/>
      <c r="W1679" s="113" t="n"/>
      <c r="X1679" s="113" t="n"/>
      <c r="Y1679" s="113" t="n"/>
      <c r="Z1679" s="117">
        <f>IF($B1679="",0,IF($S1679="EVET",IF($D1679="GELİR",$O1679,-$O1679),0))</f>
        <v/>
      </c>
      <c r="AA1679" s="117">
        <f>IF($B1679="",0,IF(OR($W1679="EVET",$X1679="EVET",$Y1679="EVET"),0,IF($D1679="GELİR",IF($E1679="SATIŞ İADESİ/İSKONTO",-$O1679,$O1679),-$O1679)))</f>
        <v/>
      </c>
      <c r="AB1679" s="117">
        <f>IF($B1679="","",IF(OR($D1679="",$E1679="",$O1679=""),"EKSİK",IF($O1679&lt;=0,"SIFIR/NEGATİF",IF(COUNTIFS($C$6:$C$5000,$C1679,$O$6:$O$5000,$O1679,$B$6:$B$5000,$B1679)&gt;1,"MÜKERRER","OK"))))</f>
        <v/>
      </c>
    </row>
    <row r="1680" ht="16.5" customHeight="1" s="80">
      <c r="A1680" s="113" t="n"/>
      <c r="B1680" s="113" t="n"/>
      <c r="C1680" s="113" t="n"/>
      <c r="D1680" s="113" t="n"/>
      <c r="E1680" s="113" t="n"/>
      <c r="F1680" s="113" t="n"/>
      <c r="G1680" s="113" t="n"/>
      <c r="H1680" s="113" t="n"/>
      <c r="I1680" s="113" t="n"/>
      <c r="J1680" s="113" t="n"/>
      <c r="K1680" s="113" t="n"/>
      <c r="L1680" s="113" t="n"/>
      <c r="M1680" s="113" t="n"/>
      <c r="N1680" s="113" t="n"/>
      <c r="O1680" s="113" t="n"/>
      <c r="P1680" s="113" t="n"/>
      <c r="Q1680" s="113" t="n"/>
      <c r="R1680" s="113" t="n"/>
      <c r="S1680" s="113" t="n"/>
      <c r="T1680" s="113" t="n"/>
      <c r="U1680" s="113" t="n"/>
      <c r="V1680" s="113" t="n"/>
      <c r="W1680" s="113" t="n"/>
      <c r="X1680" s="113" t="n"/>
      <c r="Y1680" s="113" t="n"/>
      <c r="Z1680" s="117">
        <f>IF($B1680="",0,IF($S1680="EVET",IF($D1680="GELİR",$O1680,-$O1680),0))</f>
        <v/>
      </c>
      <c r="AA1680" s="117">
        <f>IF($B1680="",0,IF(OR($W1680="EVET",$X1680="EVET",$Y1680="EVET"),0,IF($D1680="GELİR",IF($E1680="SATIŞ İADESİ/İSKONTO",-$O1680,$O1680),-$O1680)))</f>
        <v/>
      </c>
      <c r="AB1680" s="117">
        <f>IF($B1680="","",IF(OR($D1680="",$E1680="",$O1680=""),"EKSİK",IF($O1680&lt;=0,"SIFIR/NEGATİF",IF(COUNTIFS($C$6:$C$5000,$C1680,$O$6:$O$5000,$O1680,$B$6:$B$5000,$B1680)&gt;1,"MÜKERRER","OK"))))</f>
        <v/>
      </c>
    </row>
    <row r="1681" ht="16.5" customHeight="1" s="80">
      <c r="A1681" s="113" t="n"/>
      <c r="B1681" s="113" t="n"/>
      <c r="C1681" s="113" t="n"/>
      <c r="D1681" s="113" t="n"/>
      <c r="E1681" s="113" t="n"/>
      <c r="F1681" s="113" t="n"/>
      <c r="G1681" s="113" t="n"/>
      <c r="H1681" s="113" t="n"/>
      <c r="I1681" s="113" t="n"/>
      <c r="J1681" s="113" t="n"/>
      <c r="K1681" s="113" t="n"/>
      <c r="L1681" s="113" t="n"/>
      <c r="M1681" s="113" t="n"/>
      <c r="N1681" s="113" t="n"/>
      <c r="O1681" s="113" t="n"/>
      <c r="P1681" s="113" t="n"/>
      <c r="Q1681" s="113" t="n"/>
      <c r="R1681" s="113" t="n"/>
      <c r="S1681" s="113" t="n"/>
      <c r="T1681" s="113" t="n"/>
      <c r="U1681" s="113" t="n"/>
      <c r="V1681" s="113" t="n"/>
      <c r="W1681" s="113" t="n"/>
      <c r="X1681" s="113" t="n"/>
      <c r="Y1681" s="113" t="n"/>
      <c r="Z1681" s="117">
        <f>IF($B1681="",0,IF($S1681="EVET",IF($D1681="GELİR",$O1681,-$O1681),0))</f>
        <v/>
      </c>
      <c r="AA1681" s="117">
        <f>IF($B1681="",0,IF(OR($W1681="EVET",$X1681="EVET",$Y1681="EVET"),0,IF($D1681="GELİR",IF($E1681="SATIŞ İADESİ/İSKONTO",-$O1681,$O1681),-$O1681)))</f>
        <v/>
      </c>
      <c r="AB1681" s="117">
        <f>IF($B1681="","",IF(OR($D1681="",$E1681="",$O1681=""),"EKSİK",IF($O1681&lt;=0,"SIFIR/NEGATİF",IF(COUNTIFS($C$6:$C$5000,$C1681,$O$6:$O$5000,$O1681,$B$6:$B$5000,$B1681)&gt;1,"MÜKERRER","OK"))))</f>
        <v/>
      </c>
    </row>
    <row r="1682" ht="16.5" customHeight="1" s="80">
      <c r="A1682" s="113" t="n"/>
      <c r="B1682" s="113" t="n"/>
      <c r="C1682" s="113" t="n"/>
      <c r="D1682" s="113" t="n"/>
      <c r="E1682" s="113" t="n"/>
      <c r="F1682" s="113" t="n"/>
      <c r="G1682" s="113" t="n"/>
      <c r="H1682" s="113" t="n"/>
      <c r="I1682" s="113" t="n"/>
      <c r="J1682" s="113" t="n"/>
      <c r="K1682" s="113" t="n"/>
      <c r="L1682" s="113" t="n"/>
      <c r="M1682" s="113" t="n"/>
      <c r="N1682" s="113" t="n"/>
      <c r="O1682" s="113" t="n"/>
      <c r="P1682" s="113" t="n"/>
      <c r="Q1682" s="113" t="n"/>
      <c r="R1682" s="113" t="n"/>
      <c r="S1682" s="113" t="n"/>
      <c r="T1682" s="113" t="n"/>
      <c r="U1682" s="113" t="n"/>
      <c r="V1682" s="113" t="n"/>
      <c r="W1682" s="113" t="n"/>
      <c r="X1682" s="113" t="n"/>
      <c r="Y1682" s="113" t="n"/>
      <c r="Z1682" s="117">
        <f>IF($B1682="",0,IF($S1682="EVET",IF($D1682="GELİR",$O1682,-$O1682),0))</f>
        <v/>
      </c>
      <c r="AA1682" s="117">
        <f>IF($B1682="",0,IF(OR($W1682="EVET",$X1682="EVET",$Y1682="EVET"),0,IF($D1682="GELİR",IF($E1682="SATIŞ İADESİ/İSKONTO",-$O1682,$O1682),-$O1682)))</f>
        <v/>
      </c>
      <c r="AB1682" s="117">
        <f>IF($B1682="","",IF(OR($D1682="",$E1682="",$O1682=""),"EKSİK",IF($O1682&lt;=0,"SIFIR/NEGATİF",IF(COUNTIFS($C$6:$C$5000,$C1682,$O$6:$O$5000,$O1682,$B$6:$B$5000,$B1682)&gt;1,"MÜKERRER","OK"))))</f>
        <v/>
      </c>
    </row>
    <row r="1683" ht="16.5" customHeight="1" s="80">
      <c r="A1683" s="113" t="n"/>
      <c r="B1683" s="113" t="n"/>
      <c r="C1683" s="113" t="n"/>
      <c r="D1683" s="113" t="n"/>
      <c r="E1683" s="113" t="n"/>
      <c r="F1683" s="113" t="n"/>
      <c r="G1683" s="113" t="n"/>
      <c r="H1683" s="113" t="n"/>
      <c r="I1683" s="113" t="n"/>
      <c r="J1683" s="113" t="n"/>
      <c r="K1683" s="113" t="n"/>
      <c r="L1683" s="113" t="n"/>
      <c r="M1683" s="113" t="n"/>
      <c r="N1683" s="113" t="n"/>
      <c r="O1683" s="113" t="n"/>
      <c r="P1683" s="113" t="n"/>
      <c r="Q1683" s="113" t="n"/>
      <c r="R1683" s="113" t="n"/>
      <c r="S1683" s="113" t="n"/>
      <c r="T1683" s="113" t="n"/>
      <c r="U1683" s="113" t="n"/>
      <c r="V1683" s="113" t="n"/>
      <c r="W1683" s="113" t="n"/>
      <c r="X1683" s="113" t="n"/>
      <c r="Y1683" s="113" t="n"/>
      <c r="Z1683" s="117">
        <f>IF($B1683="",0,IF($S1683="EVET",IF($D1683="GELİR",$O1683,-$O1683),0))</f>
        <v/>
      </c>
      <c r="AA1683" s="117">
        <f>IF($B1683="",0,IF(OR($W1683="EVET",$X1683="EVET",$Y1683="EVET"),0,IF($D1683="GELİR",IF($E1683="SATIŞ İADESİ/İSKONTO",-$O1683,$O1683),-$O1683)))</f>
        <v/>
      </c>
      <c r="AB1683" s="117">
        <f>IF($B1683="","",IF(OR($D1683="",$E1683="",$O1683=""),"EKSİK",IF($O1683&lt;=0,"SIFIR/NEGATİF",IF(COUNTIFS($C$6:$C$5000,$C1683,$O$6:$O$5000,$O1683,$B$6:$B$5000,$B1683)&gt;1,"MÜKERRER","OK"))))</f>
        <v/>
      </c>
    </row>
    <row r="1684" ht="16.5" customHeight="1" s="80">
      <c r="A1684" s="113" t="n"/>
      <c r="B1684" s="113" t="n"/>
      <c r="C1684" s="113" t="n"/>
      <c r="D1684" s="113" t="n"/>
      <c r="E1684" s="113" t="n"/>
      <c r="F1684" s="113" t="n"/>
      <c r="G1684" s="113" t="n"/>
      <c r="H1684" s="113" t="n"/>
      <c r="I1684" s="113" t="n"/>
      <c r="J1684" s="113" t="n"/>
      <c r="K1684" s="113" t="n"/>
      <c r="L1684" s="113" t="n"/>
      <c r="M1684" s="113" t="n"/>
      <c r="N1684" s="113" t="n"/>
      <c r="O1684" s="113" t="n"/>
      <c r="P1684" s="113" t="n"/>
      <c r="Q1684" s="113" t="n"/>
      <c r="R1684" s="113" t="n"/>
      <c r="S1684" s="113" t="n"/>
      <c r="T1684" s="113" t="n"/>
      <c r="U1684" s="113" t="n"/>
      <c r="V1684" s="113" t="n"/>
      <c r="W1684" s="113" t="n"/>
      <c r="X1684" s="113" t="n"/>
      <c r="Y1684" s="113" t="n"/>
      <c r="Z1684" s="117">
        <f>IF($B1684="",0,IF($S1684="EVET",IF($D1684="GELİR",$O1684,-$O1684),0))</f>
        <v/>
      </c>
      <c r="AA1684" s="117">
        <f>IF($B1684="",0,IF(OR($W1684="EVET",$X1684="EVET",$Y1684="EVET"),0,IF($D1684="GELİR",IF($E1684="SATIŞ İADESİ/İSKONTO",-$O1684,$O1684),-$O1684)))</f>
        <v/>
      </c>
      <c r="AB1684" s="117">
        <f>IF($B1684="","",IF(OR($D1684="",$E1684="",$O1684=""),"EKSİK",IF($O1684&lt;=0,"SIFIR/NEGATİF",IF(COUNTIFS($C$6:$C$5000,$C1684,$O$6:$O$5000,$O1684,$B$6:$B$5000,$B1684)&gt;1,"MÜKERRER","OK"))))</f>
        <v/>
      </c>
    </row>
    <row r="1685" ht="16.5" customHeight="1" s="80">
      <c r="A1685" s="113" t="n"/>
      <c r="B1685" s="113" t="n"/>
      <c r="C1685" s="113" t="n"/>
      <c r="D1685" s="113" t="n"/>
      <c r="E1685" s="113" t="n"/>
      <c r="F1685" s="113" t="n"/>
      <c r="G1685" s="113" t="n"/>
      <c r="H1685" s="113" t="n"/>
      <c r="I1685" s="113" t="n"/>
      <c r="J1685" s="113" t="n"/>
      <c r="K1685" s="113" t="n"/>
      <c r="L1685" s="113" t="n"/>
      <c r="M1685" s="113" t="n"/>
      <c r="N1685" s="113" t="n"/>
      <c r="O1685" s="113" t="n"/>
      <c r="P1685" s="113" t="n"/>
      <c r="Q1685" s="113" t="n"/>
      <c r="R1685" s="113" t="n"/>
      <c r="S1685" s="113" t="n"/>
      <c r="T1685" s="113" t="n"/>
      <c r="U1685" s="113" t="n"/>
      <c r="V1685" s="113" t="n"/>
      <c r="W1685" s="113" t="n"/>
      <c r="X1685" s="113" t="n"/>
      <c r="Y1685" s="113" t="n"/>
      <c r="Z1685" s="117">
        <f>IF($B1685="",0,IF($S1685="EVET",IF($D1685="GELİR",$O1685,-$O1685),0))</f>
        <v/>
      </c>
      <c r="AA1685" s="117">
        <f>IF($B1685="",0,IF(OR($W1685="EVET",$X1685="EVET",$Y1685="EVET"),0,IF($D1685="GELİR",IF($E1685="SATIŞ İADESİ/İSKONTO",-$O1685,$O1685),-$O1685)))</f>
        <v/>
      </c>
      <c r="AB1685" s="117">
        <f>IF($B1685="","",IF(OR($D1685="",$E1685="",$O1685=""),"EKSİK",IF($O1685&lt;=0,"SIFIR/NEGATİF",IF(COUNTIFS($C$6:$C$5000,$C1685,$O$6:$O$5000,$O1685,$B$6:$B$5000,$B1685)&gt;1,"MÜKERRER","OK"))))</f>
        <v/>
      </c>
    </row>
    <row r="1686" ht="16.5" customHeight="1" s="80">
      <c r="A1686" s="113" t="n"/>
      <c r="B1686" s="113" t="n"/>
      <c r="C1686" s="113" t="n"/>
      <c r="D1686" s="113" t="n"/>
      <c r="E1686" s="113" t="n"/>
      <c r="F1686" s="113" t="n"/>
      <c r="G1686" s="113" t="n"/>
      <c r="H1686" s="113" t="n"/>
      <c r="I1686" s="113" t="n"/>
      <c r="J1686" s="113" t="n"/>
      <c r="K1686" s="113" t="n"/>
      <c r="L1686" s="113" t="n"/>
      <c r="M1686" s="113" t="n"/>
      <c r="N1686" s="113" t="n"/>
      <c r="O1686" s="113" t="n"/>
      <c r="P1686" s="113" t="n"/>
      <c r="Q1686" s="113" t="n"/>
      <c r="R1686" s="113" t="n"/>
      <c r="S1686" s="113" t="n"/>
      <c r="T1686" s="113" t="n"/>
      <c r="U1686" s="113" t="n"/>
      <c r="V1686" s="113" t="n"/>
      <c r="W1686" s="113" t="n"/>
      <c r="X1686" s="113" t="n"/>
      <c r="Y1686" s="113" t="n"/>
      <c r="Z1686" s="117">
        <f>IF($B1686="",0,IF($S1686="EVET",IF($D1686="GELİR",$O1686,-$O1686),0))</f>
        <v/>
      </c>
      <c r="AA1686" s="117">
        <f>IF($B1686="",0,IF(OR($W1686="EVET",$X1686="EVET",$Y1686="EVET"),0,IF($D1686="GELİR",IF($E1686="SATIŞ İADESİ/İSKONTO",-$O1686,$O1686),-$O1686)))</f>
        <v/>
      </c>
      <c r="AB1686" s="117">
        <f>IF($B1686="","",IF(OR($D1686="",$E1686="",$O1686=""),"EKSİK",IF($O1686&lt;=0,"SIFIR/NEGATİF",IF(COUNTIFS($C$6:$C$5000,$C1686,$O$6:$O$5000,$O1686,$B$6:$B$5000,$B1686)&gt;1,"MÜKERRER","OK"))))</f>
        <v/>
      </c>
    </row>
    <row r="1687" ht="16.5" customHeight="1" s="80">
      <c r="A1687" s="113" t="n"/>
      <c r="B1687" s="113" t="n"/>
      <c r="C1687" s="113" t="n"/>
      <c r="D1687" s="113" t="n"/>
      <c r="E1687" s="113" t="n"/>
      <c r="F1687" s="113" t="n"/>
      <c r="G1687" s="113" t="n"/>
      <c r="H1687" s="113" t="n"/>
      <c r="I1687" s="113" t="n"/>
      <c r="J1687" s="113" t="n"/>
      <c r="K1687" s="113" t="n"/>
      <c r="L1687" s="113" t="n"/>
      <c r="M1687" s="113" t="n"/>
      <c r="N1687" s="113" t="n"/>
      <c r="O1687" s="113" t="n"/>
      <c r="P1687" s="113" t="n"/>
      <c r="Q1687" s="113" t="n"/>
      <c r="R1687" s="113" t="n"/>
      <c r="S1687" s="113" t="n"/>
      <c r="T1687" s="113" t="n"/>
      <c r="U1687" s="113" t="n"/>
      <c r="V1687" s="113" t="n"/>
      <c r="W1687" s="113" t="n"/>
      <c r="X1687" s="113" t="n"/>
      <c r="Y1687" s="113" t="n"/>
      <c r="Z1687" s="117">
        <f>IF($B1687="",0,IF($S1687="EVET",IF($D1687="GELİR",$O1687,-$O1687),0))</f>
        <v/>
      </c>
      <c r="AA1687" s="117">
        <f>IF($B1687="",0,IF(OR($W1687="EVET",$X1687="EVET",$Y1687="EVET"),0,IF($D1687="GELİR",IF($E1687="SATIŞ İADESİ/İSKONTO",-$O1687,$O1687),-$O1687)))</f>
        <v/>
      </c>
      <c r="AB1687" s="117">
        <f>IF($B1687="","",IF(OR($D1687="",$E1687="",$O1687=""),"EKSİK",IF($O1687&lt;=0,"SIFIR/NEGATİF",IF(COUNTIFS($C$6:$C$5000,$C1687,$O$6:$O$5000,$O1687,$B$6:$B$5000,$B1687)&gt;1,"MÜKERRER","OK"))))</f>
        <v/>
      </c>
    </row>
    <row r="1688" ht="16.5" customHeight="1" s="80">
      <c r="A1688" s="113" t="n"/>
      <c r="B1688" s="113" t="n"/>
      <c r="C1688" s="113" t="n"/>
      <c r="D1688" s="113" t="n"/>
      <c r="E1688" s="113" t="n"/>
      <c r="F1688" s="113" t="n"/>
      <c r="G1688" s="113" t="n"/>
      <c r="H1688" s="113" t="n"/>
      <c r="I1688" s="113" t="n"/>
      <c r="J1688" s="113" t="n"/>
      <c r="K1688" s="113" t="n"/>
      <c r="L1688" s="113" t="n"/>
      <c r="M1688" s="113" t="n"/>
      <c r="N1688" s="113" t="n"/>
      <c r="O1688" s="113" t="n"/>
      <c r="P1688" s="113" t="n"/>
      <c r="Q1688" s="113" t="n"/>
      <c r="R1688" s="113" t="n"/>
      <c r="S1688" s="113" t="n"/>
      <c r="T1688" s="113" t="n"/>
      <c r="U1688" s="113" t="n"/>
      <c r="V1688" s="113" t="n"/>
      <c r="W1688" s="113" t="n"/>
      <c r="X1688" s="113" t="n"/>
      <c r="Y1688" s="113" t="n"/>
      <c r="Z1688" s="117">
        <f>IF($B1688="",0,IF($S1688="EVET",IF($D1688="GELİR",$O1688,-$O1688),0))</f>
        <v/>
      </c>
      <c r="AA1688" s="117">
        <f>IF($B1688="",0,IF(OR($W1688="EVET",$X1688="EVET",$Y1688="EVET"),0,IF($D1688="GELİR",IF($E1688="SATIŞ İADESİ/İSKONTO",-$O1688,$O1688),-$O1688)))</f>
        <v/>
      </c>
      <c r="AB1688" s="117">
        <f>IF($B1688="","",IF(OR($D1688="",$E1688="",$O1688=""),"EKSİK",IF($O1688&lt;=0,"SIFIR/NEGATİF",IF(COUNTIFS($C$6:$C$5000,$C1688,$O$6:$O$5000,$O1688,$B$6:$B$5000,$B1688)&gt;1,"MÜKERRER","OK"))))</f>
        <v/>
      </c>
    </row>
    <row r="1689" ht="16.5" customHeight="1" s="80">
      <c r="A1689" s="113" t="n"/>
      <c r="B1689" s="113" t="n"/>
      <c r="C1689" s="113" t="n"/>
      <c r="D1689" s="113" t="n"/>
      <c r="E1689" s="113" t="n"/>
      <c r="F1689" s="113" t="n"/>
      <c r="G1689" s="113" t="n"/>
      <c r="H1689" s="113" t="n"/>
      <c r="I1689" s="113" t="n"/>
      <c r="J1689" s="113" t="n"/>
      <c r="K1689" s="113" t="n"/>
      <c r="L1689" s="113" t="n"/>
      <c r="M1689" s="113" t="n"/>
      <c r="N1689" s="113" t="n"/>
      <c r="O1689" s="113" t="n"/>
      <c r="P1689" s="113" t="n"/>
      <c r="Q1689" s="113" t="n"/>
      <c r="R1689" s="113" t="n"/>
      <c r="S1689" s="113" t="n"/>
      <c r="T1689" s="113" t="n"/>
      <c r="U1689" s="113" t="n"/>
      <c r="V1689" s="113" t="n"/>
      <c r="W1689" s="113" t="n"/>
      <c r="X1689" s="113" t="n"/>
      <c r="Y1689" s="113" t="n"/>
      <c r="Z1689" s="117">
        <f>IF($B1689="",0,IF($S1689="EVET",IF($D1689="GELİR",$O1689,-$O1689),0))</f>
        <v/>
      </c>
      <c r="AA1689" s="117">
        <f>IF($B1689="",0,IF(OR($W1689="EVET",$X1689="EVET",$Y1689="EVET"),0,IF($D1689="GELİR",IF($E1689="SATIŞ İADESİ/İSKONTO",-$O1689,$O1689),-$O1689)))</f>
        <v/>
      </c>
      <c r="AB1689" s="117">
        <f>IF($B1689="","",IF(OR($D1689="",$E1689="",$O1689=""),"EKSİK",IF($O1689&lt;=0,"SIFIR/NEGATİF",IF(COUNTIFS($C$6:$C$5000,$C1689,$O$6:$O$5000,$O1689,$B$6:$B$5000,$B1689)&gt;1,"MÜKERRER","OK"))))</f>
        <v/>
      </c>
    </row>
    <row r="1690" ht="16.5" customHeight="1" s="80">
      <c r="A1690" s="113" t="n"/>
      <c r="B1690" s="113" t="n"/>
      <c r="C1690" s="113" t="n"/>
      <c r="D1690" s="113" t="n"/>
      <c r="E1690" s="113" t="n"/>
      <c r="F1690" s="113" t="n"/>
      <c r="G1690" s="113" t="n"/>
      <c r="H1690" s="113" t="n"/>
      <c r="I1690" s="113" t="n"/>
      <c r="J1690" s="113" t="n"/>
      <c r="K1690" s="113" t="n"/>
      <c r="L1690" s="113" t="n"/>
      <c r="M1690" s="113" t="n"/>
      <c r="N1690" s="113" t="n"/>
      <c r="O1690" s="113" t="n"/>
      <c r="P1690" s="113" t="n"/>
      <c r="Q1690" s="113" t="n"/>
      <c r="R1690" s="113" t="n"/>
      <c r="S1690" s="113" t="n"/>
      <c r="T1690" s="113" t="n"/>
      <c r="U1690" s="113" t="n"/>
      <c r="V1690" s="113" t="n"/>
      <c r="W1690" s="113" t="n"/>
      <c r="X1690" s="113" t="n"/>
      <c r="Y1690" s="113" t="n"/>
      <c r="Z1690" s="117">
        <f>IF($B1690="",0,IF($S1690="EVET",IF($D1690="GELİR",$O1690,-$O1690),0))</f>
        <v/>
      </c>
      <c r="AA1690" s="117">
        <f>IF($B1690="",0,IF(OR($W1690="EVET",$X1690="EVET",$Y1690="EVET"),0,IF($D1690="GELİR",IF($E1690="SATIŞ İADESİ/İSKONTO",-$O1690,$O1690),-$O1690)))</f>
        <v/>
      </c>
      <c r="AB1690" s="117">
        <f>IF($B1690="","",IF(OR($D1690="",$E1690="",$O1690=""),"EKSİK",IF($O1690&lt;=0,"SIFIR/NEGATİF",IF(COUNTIFS($C$6:$C$5000,$C1690,$O$6:$O$5000,$O1690,$B$6:$B$5000,$B1690)&gt;1,"MÜKERRER","OK"))))</f>
        <v/>
      </c>
    </row>
    <row r="1691" ht="16.5" customHeight="1" s="80">
      <c r="A1691" s="113" t="n"/>
      <c r="B1691" s="113" t="n"/>
      <c r="C1691" s="113" t="n"/>
      <c r="D1691" s="113" t="n"/>
      <c r="E1691" s="113" t="n"/>
      <c r="F1691" s="113" t="n"/>
      <c r="G1691" s="113" t="n"/>
      <c r="H1691" s="113" t="n"/>
      <c r="I1691" s="113" t="n"/>
      <c r="J1691" s="113" t="n"/>
      <c r="K1691" s="113" t="n"/>
      <c r="L1691" s="113" t="n"/>
      <c r="M1691" s="113" t="n"/>
      <c r="N1691" s="113" t="n"/>
      <c r="O1691" s="113" t="n"/>
      <c r="P1691" s="113" t="n"/>
      <c r="Q1691" s="113" t="n"/>
      <c r="R1691" s="113" t="n"/>
      <c r="S1691" s="113" t="n"/>
      <c r="T1691" s="113" t="n"/>
      <c r="U1691" s="113" t="n"/>
      <c r="V1691" s="113" t="n"/>
      <c r="W1691" s="113" t="n"/>
      <c r="X1691" s="113" t="n"/>
      <c r="Y1691" s="113" t="n"/>
      <c r="Z1691" s="117">
        <f>IF($B1691="",0,IF($S1691="EVET",IF($D1691="GELİR",$O1691,-$O1691),0))</f>
        <v/>
      </c>
      <c r="AA1691" s="117">
        <f>IF($B1691="",0,IF(OR($W1691="EVET",$X1691="EVET",$Y1691="EVET"),0,IF($D1691="GELİR",IF($E1691="SATIŞ İADESİ/İSKONTO",-$O1691,$O1691),-$O1691)))</f>
        <v/>
      </c>
      <c r="AB1691" s="117">
        <f>IF($B1691="","",IF(OR($D1691="",$E1691="",$O1691=""),"EKSİK",IF($O1691&lt;=0,"SIFIR/NEGATİF",IF(COUNTIFS($C$6:$C$5000,$C1691,$O$6:$O$5000,$O1691,$B$6:$B$5000,$B1691)&gt;1,"MÜKERRER","OK"))))</f>
        <v/>
      </c>
    </row>
    <row r="1692" ht="16.5" customHeight="1" s="80">
      <c r="A1692" s="113" t="n"/>
      <c r="B1692" s="113" t="n"/>
      <c r="C1692" s="113" t="n"/>
      <c r="D1692" s="113" t="n"/>
      <c r="E1692" s="113" t="n"/>
      <c r="F1692" s="113" t="n"/>
      <c r="G1692" s="113" t="n"/>
      <c r="H1692" s="113" t="n"/>
      <c r="I1692" s="113" t="n"/>
      <c r="J1692" s="113" t="n"/>
      <c r="K1692" s="113" t="n"/>
      <c r="L1692" s="113" t="n"/>
      <c r="M1692" s="113" t="n"/>
      <c r="N1692" s="113" t="n"/>
      <c r="O1692" s="113" t="n"/>
      <c r="P1692" s="113" t="n"/>
      <c r="Q1692" s="113" t="n"/>
      <c r="R1692" s="113" t="n"/>
      <c r="S1692" s="113" t="n"/>
      <c r="T1692" s="113" t="n"/>
      <c r="U1692" s="113" t="n"/>
      <c r="V1692" s="113" t="n"/>
      <c r="W1692" s="113" t="n"/>
      <c r="X1692" s="113" t="n"/>
      <c r="Y1692" s="113" t="n"/>
      <c r="Z1692" s="117">
        <f>IF($B1692="",0,IF($S1692="EVET",IF($D1692="GELİR",$O1692,-$O1692),0))</f>
        <v/>
      </c>
      <c r="AA1692" s="117">
        <f>IF($B1692="",0,IF(OR($W1692="EVET",$X1692="EVET",$Y1692="EVET"),0,IF($D1692="GELİR",IF($E1692="SATIŞ İADESİ/İSKONTO",-$O1692,$O1692),-$O1692)))</f>
        <v/>
      </c>
      <c r="AB1692" s="117">
        <f>IF($B1692="","",IF(OR($D1692="",$E1692="",$O1692=""),"EKSİK",IF($O1692&lt;=0,"SIFIR/NEGATİF",IF(COUNTIFS($C$6:$C$5000,$C1692,$O$6:$O$5000,$O1692,$B$6:$B$5000,$B1692)&gt;1,"MÜKERRER","OK"))))</f>
        <v/>
      </c>
    </row>
    <row r="1693" ht="16.5" customHeight="1" s="80">
      <c r="A1693" s="113" t="n"/>
      <c r="B1693" s="113" t="n"/>
      <c r="C1693" s="113" t="n"/>
      <c r="D1693" s="113" t="n"/>
      <c r="E1693" s="113" t="n"/>
      <c r="F1693" s="113" t="n"/>
      <c r="G1693" s="113" t="n"/>
      <c r="H1693" s="113" t="n"/>
      <c r="I1693" s="113" t="n"/>
      <c r="J1693" s="113" t="n"/>
      <c r="K1693" s="113" t="n"/>
      <c r="L1693" s="113" t="n"/>
      <c r="M1693" s="113" t="n"/>
      <c r="N1693" s="113" t="n"/>
      <c r="O1693" s="113" t="n"/>
      <c r="P1693" s="113" t="n"/>
      <c r="Q1693" s="113" t="n"/>
      <c r="R1693" s="113" t="n"/>
      <c r="S1693" s="113" t="n"/>
      <c r="T1693" s="113" t="n"/>
      <c r="U1693" s="113" t="n"/>
      <c r="V1693" s="113" t="n"/>
      <c r="W1693" s="113" t="n"/>
      <c r="X1693" s="113" t="n"/>
      <c r="Y1693" s="113" t="n"/>
      <c r="Z1693" s="117">
        <f>IF($B1693="",0,IF($S1693="EVET",IF($D1693="GELİR",$O1693,-$O1693),0))</f>
        <v/>
      </c>
      <c r="AA1693" s="117">
        <f>IF($B1693="",0,IF(OR($W1693="EVET",$X1693="EVET",$Y1693="EVET"),0,IF($D1693="GELİR",IF($E1693="SATIŞ İADESİ/İSKONTO",-$O1693,$O1693),-$O1693)))</f>
        <v/>
      </c>
      <c r="AB1693" s="117">
        <f>IF($B1693="","",IF(OR($D1693="",$E1693="",$O1693=""),"EKSİK",IF($O1693&lt;=0,"SIFIR/NEGATİF",IF(COUNTIFS($C$6:$C$5000,$C1693,$O$6:$O$5000,$O1693,$B$6:$B$5000,$B1693)&gt;1,"MÜKERRER","OK"))))</f>
        <v/>
      </c>
    </row>
    <row r="1694" ht="16.5" customHeight="1" s="80">
      <c r="A1694" s="113" t="n"/>
      <c r="B1694" s="113" t="n"/>
      <c r="C1694" s="113" t="n"/>
      <c r="D1694" s="113" t="n"/>
      <c r="E1694" s="113" t="n"/>
      <c r="F1694" s="113" t="n"/>
      <c r="G1694" s="113" t="n"/>
      <c r="H1694" s="113" t="n"/>
      <c r="I1694" s="113" t="n"/>
      <c r="J1694" s="113" t="n"/>
      <c r="K1694" s="113" t="n"/>
      <c r="L1694" s="113" t="n"/>
      <c r="M1694" s="113" t="n"/>
      <c r="N1694" s="113" t="n"/>
      <c r="O1694" s="113" t="n"/>
      <c r="P1694" s="113" t="n"/>
      <c r="Q1694" s="113" t="n"/>
      <c r="R1694" s="113" t="n"/>
      <c r="S1694" s="113" t="n"/>
      <c r="T1694" s="113" t="n"/>
      <c r="U1694" s="113" t="n"/>
      <c r="V1694" s="113" t="n"/>
      <c r="W1694" s="113" t="n"/>
      <c r="X1694" s="113" t="n"/>
      <c r="Y1694" s="113" t="n"/>
      <c r="Z1694" s="117">
        <f>IF($B1694="",0,IF($S1694="EVET",IF($D1694="GELİR",$O1694,-$O1694),0))</f>
        <v/>
      </c>
      <c r="AA1694" s="117">
        <f>IF($B1694="",0,IF(OR($W1694="EVET",$X1694="EVET",$Y1694="EVET"),0,IF($D1694="GELİR",IF($E1694="SATIŞ İADESİ/İSKONTO",-$O1694,$O1694),-$O1694)))</f>
        <v/>
      </c>
      <c r="AB1694" s="117">
        <f>IF($B1694="","",IF(OR($D1694="",$E1694="",$O1694=""),"EKSİK",IF($O1694&lt;=0,"SIFIR/NEGATİF",IF(COUNTIFS($C$6:$C$5000,$C1694,$O$6:$O$5000,$O1694,$B$6:$B$5000,$B1694)&gt;1,"MÜKERRER","OK"))))</f>
        <v/>
      </c>
    </row>
    <row r="1695" ht="16.5" customHeight="1" s="80">
      <c r="A1695" s="113" t="n"/>
      <c r="B1695" s="113" t="n"/>
      <c r="C1695" s="113" t="n"/>
      <c r="D1695" s="113" t="n"/>
      <c r="E1695" s="113" t="n"/>
      <c r="F1695" s="113" t="n"/>
      <c r="G1695" s="113" t="n"/>
      <c r="H1695" s="113" t="n"/>
      <c r="I1695" s="113" t="n"/>
      <c r="J1695" s="113" t="n"/>
      <c r="K1695" s="113" t="n"/>
      <c r="L1695" s="113" t="n"/>
      <c r="M1695" s="113" t="n"/>
      <c r="N1695" s="113" t="n"/>
      <c r="O1695" s="113" t="n"/>
      <c r="P1695" s="113" t="n"/>
      <c r="Q1695" s="113" t="n"/>
      <c r="R1695" s="113" t="n"/>
      <c r="S1695" s="113" t="n"/>
      <c r="T1695" s="113" t="n"/>
      <c r="U1695" s="113" t="n"/>
      <c r="V1695" s="113" t="n"/>
      <c r="W1695" s="113" t="n"/>
      <c r="X1695" s="113" t="n"/>
      <c r="Y1695" s="113" t="n"/>
      <c r="Z1695" s="117">
        <f>IF($B1695="",0,IF($S1695="EVET",IF($D1695="GELİR",$O1695,-$O1695),0))</f>
        <v/>
      </c>
      <c r="AA1695" s="117">
        <f>IF($B1695="",0,IF(OR($W1695="EVET",$X1695="EVET",$Y1695="EVET"),0,IF($D1695="GELİR",IF($E1695="SATIŞ İADESİ/İSKONTO",-$O1695,$O1695),-$O1695)))</f>
        <v/>
      </c>
      <c r="AB1695" s="117">
        <f>IF($B1695="","",IF(OR($D1695="",$E1695="",$O1695=""),"EKSİK",IF($O1695&lt;=0,"SIFIR/NEGATİF",IF(COUNTIFS($C$6:$C$5000,$C1695,$O$6:$O$5000,$O1695,$B$6:$B$5000,$B1695)&gt;1,"MÜKERRER","OK"))))</f>
        <v/>
      </c>
    </row>
    <row r="1696" ht="16.5" customHeight="1" s="80">
      <c r="A1696" s="113" t="n"/>
      <c r="B1696" s="113" t="n"/>
      <c r="C1696" s="113" t="n"/>
      <c r="D1696" s="113" t="n"/>
      <c r="E1696" s="113" t="n"/>
      <c r="F1696" s="113" t="n"/>
      <c r="G1696" s="113" t="n"/>
      <c r="H1696" s="113" t="n"/>
      <c r="I1696" s="113" t="n"/>
      <c r="J1696" s="113" t="n"/>
      <c r="K1696" s="113" t="n"/>
      <c r="L1696" s="113" t="n"/>
      <c r="M1696" s="113" t="n"/>
      <c r="N1696" s="113" t="n"/>
      <c r="O1696" s="113" t="n"/>
      <c r="P1696" s="113" t="n"/>
      <c r="Q1696" s="113" t="n"/>
      <c r="R1696" s="113" t="n"/>
      <c r="S1696" s="113" t="n"/>
      <c r="T1696" s="113" t="n"/>
      <c r="U1696" s="113" t="n"/>
      <c r="V1696" s="113" t="n"/>
      <c r="W1696" s="113" t="n"/>
      <c r="X1696" s="113" t="n"/>
      <c r="Y1696" s="113" t="n"/>
      <c r="Z1696" s="117">
        <f>IF($B1696="",0,IF($S1696="EVET",IF($D1696="GELİR",$O1696,-$O1696),0))</f>
        <v/>
      </c>
      <c r="AA1696" s="117">
        <f>IF($B1696="",0,IF(OR($W1696="EVET",$X1696="EVET",$Y1696="EVET"),0,IF($D1696="GELİR",IF($E1696="SATIŞ İADESİ/İSKONTO",-$O1696,$O1696),-$O1696)))</f>
        <v/>
      </c>
      <c r="AB1696" s="117">
        <f>IF($B1696="","",IF(OR($D1696="",$E1696="",$O1696=""),"EKSİK",IF($O1696&lt;=0,"SIFIR/NEGATİF",IF(COUNTIFS($C$6:$C$5000,$C1696,$O$6:$O$5000,$O1696,$B$6:$B$5000,$B1696)&gt;1,"MÜKERRER","OK"))))</f>
        <v/>
      </c>
    </row>
    <row r="1697" ht="16.5" customHeight="1" s="80">
      <c r="A1697" s="113" t="n"/>
      <c r="B1697" s="113" t="n"/>
      <c r="C1697" s="113" t="n"/>
      <c r="D1697" s="113" t="n"/>
      <c r="E1697" s="113" t="n"/>
      <c r="F1697" s="113" t="n"/>
      <c r="G1697" s="113" t="n"/>
      <c r="H1697" s="113" t="n"/>
      <c r="I1697" s="113" t="n"/>
      <c r="J1697" s="113" t="n"/>
      <c r="K1697" s="113" t="n"/>
      <c r="L1697" s="113" t="n"/>
      <c r="M1697" s="113" t="n"/>
      <c r="N1697" s="113" t="n"/>
      <c r="O1697" s="113" t="n"/>
      <c r="P1697" s="113" t="n"/>
      <c r="Q1697" s="113" t="n"/>
      <c r="R1697" s="113" t="n"/>
      <c r="S1697" s="113" t="n"/>
      <c r="T1697" s="113" t="n"/>
      <c r="U1697" s="113" t="n"/>
      <c r="V1697" s="113" t="n"/>
      <c r="W1697" s="113" t="n"/>
      <c r="X1697" s="113" t="n"/>
      <c r="Y1697" s="113" t="n"/>
      <c r="Z1697" s="117">
        <f>IF($B1697="",0,IF($S1697="EVET",IF($D1697="GELİR",$O1697,-$O1697),0))</f>
        <v/>
      </c>
      <c r="AA1697" s="117">
        <f>IF($B1697="",0,IF(OR($W1697="EVET",$X1697="EVET",$Y1697="EVET"),0,IF($D1697="GELİR",IF($E1697="SATIŞ İADESİ/İSKONTO",-$O1697,$O1697),-$O1697)))</f>
        <v/>
      </c>
      <c r="AB1697" s="117">
        <f>IF($B1697="","",IF(OR($D1697="",$E1697="",$O1697=""),"EKSİK",IF($O1697&lt;=0,"SIFIR/NEGATİF",IF(COUNTIFS($C$6:$C$5000,$C1697,$O$6:$O$5000,$O1697,$B$6:$B$5000,$B1697)&gt;1,"MÜKERRER","OK"))))</f>
        <v/>
      </c>
    </row>
    <row r="1698" ht="16.5" customHeight="1" s="80">
      <c r="A1698" s="113" t="n"/>
      <c r="B1698" s="113" t="n"/>
      <c r="C1698" s="113" t="n"/>
      <c r="D1698" s="113" t="n"/>
      <c r="E1698" s="113" t="n"/>
      <c r="F1698" s="113" t="n"/>
      <c r="G1698" s="113" t="n"/>
      <c r="H1698" s="113" t="n"/>
      <c r="I1698" s="113" t="n"/>
      <c r="J1698" s="113" t="n"/>
      <c r="K1698" s="113" t="n"/>
      <c r="L1698" s="113" t="n"/>
      <c r="M1698" s="113" t="n"/>
      <c r="N1698" s="113" t="n"/>
      <c r="O1698" s="113" t="n"/>
      <c r="P1698" s="113" t="n"/>
      <c r="Q1698" s="113" t="n"/>
      <c r="R1698" s="113" t="n"/>
      <c r="S1698" s="113" t="n"/>
      <c r="T1698" s="113" t="n"/>
      <c r="U1698" s="113" t="n"/>
      <c r="V1698" s="113" t="n"/>
      <c r="W1698" s="113" t="n"/>
      <c r="X1698" s="113" t="n"/>
      <c r="Y1698" s="113" t="n"/>
      <c r="Z1698" s="117">
        <f>IF($B1698="",0,IF($S1698="EVET",IF($D1698="GELİR",$O1698,-$O1698),0))</f>
        <v/>
      </c>
      <c r="AA1698" s="117">
        <f>IF($B1698="",0,IF(OR($W1698="EVET",$X1698="EVET",$Y1698="EVET"),0,IF($D1698="GELİR",IF($E1698="SATIŞ İADESİ/İSKONTO",-$O1698,$O1698),-$O1698)))</f>
        <v/>
      </c>
      <c r="AB1698" s="117">
        <f>IF($B1698="","",IF(OR($D1698="",$E1698="",$O1698=""),"EKSİK",IF($O1698&lt;=0,"SIFIR/NEGATİF",IF(COUNTIFS($C$6:$C$5000,$C1698,$O$6:$O$5000,$O1698,$B$6:$B$5000,$B1698)&gt;1,"MÜKERRER","OK"))))</f>
        <v/>
      </c>
    </row>
    <row r="1699" ht="16.5" customHeight="1" s="80">
      <c r="A1699" s="113" t="n"/>
      <c r="B1699" s="113" t="n"/>
      <c r="C1699" s="113" t="n"/>
      <c r="D1699" s="113" t="n"/>
      <c r="E1699" s="113" t="n"/>
      <c r="F1699" s="113" t="n"/>
      <c r="G1699" s="113" t="n"/>
      <c r="H1699" s="113" t="n"/>
      <c r="I1699" s="113" t="n"/>
      <c r="J1699" s="113" t="n"/>
      <c r="K1699" s="113" t="n"/>
      <c r="L1699" s="113" t="n"/>
      <c r="M1699" s="113" t="n"/>
      <c r="N1699" s="113" t="n"/>
      <c r="O1699" s="113" t="n"/>
      <c r="P1699" s="113" t="n"/>
      <c r="Q1699" s="113" t="n"/>
      <c r="R1699" s="113" t="n"/>
      <c r="S1699" s="113" t="n"/>
      <c r="T1699" s="113" t="n"/>
      <c r="U1699" s="113" t="n"/>
      <c r="V1699" s="113" t="n"/>
      <c r="W1699" s="113" t="n"/>
      <c r="X1699" s="113" t="n"/>
      <c r="Y1699" s="113" t="n"/>
      <c r="Z1699" s="117">
        <f>IF($B1699="",0,IF($S1699="EVET",IF($D1699="GELİR",$O1699,-$O1699),0))</f>
        <v/>
      </c>
      <c r="AA1699" s="117">
        <f>IF($B1699="",0,IF(OR($W1699="EVET",$X1699="EVET",$Y1699="EVET"),0,IF($D1699="GELİR",IF($E1699="SATIŞ İADESİ/İSKONTO",-$O1699,$O1699),-$O1699)))</f>
        <v/>
      </c>
      <c r="AB1699" s="117">
        <f>IF($B1699="","",IF(OR($D1699="",$E1699="",$O1699=""),"EKSİK",IF($O1699&lt;=0,"SIFIR/NEGATİF",IF(COUNTIFS($C$6:$C$5000,$C1699,$O$6:$O$5000,$O1699,$B$6:$B$5000,$B1699)&gt;1,"MÜKERRER","OK"))))</f>
        <v/>
      </c>
    </row>
    <row r="1700" ht="16.5" customHeight="1" s="80">
      <c r="A1700" s="113" t="n"/>
      <c r="B1700" s="113" t="n"/>
      <c r="C1700" s="113" t="n"/>
      <c r="D1700" s="113" t="n"/>
      <c r="E1700" s="113" t="n"/>
      <c r="F1700" s="113" t="n"/>
      <c r="G1700" s="113" t="n"/>
      <c r="H1700" s="113" t="n"/>
      <c r="I1700" s="113" t="n"/>
      <c r="J1700" s="113" t="n"/>
      <c r="K1700" s="113" t="n"/>
      <c r="L1700" s="113" t="n"/>
      <c r="M1700" s="113" t="n"/>
      <c r="N1700" s="113" t="n"/>
      <c r="O1700" s="113" t="n"/>
      <c r="P1700" s="113" t="n"/>
      <c r="Q1700" s="113" t="n"/>
      <c r="R1700" s="113" t="n"/>
      <c r="S1700" s="113" t="n"/>
      <c r="T1700" s="113" t="n"/>
      <c r="U1700" s="113" t="n"/>
      <c r="V1700" s="113" t="n"/>
      <c r="W1700" s="113" t="n"/>
      <c r="X1700" s="113" t="n"/>
      <c r="Y1700" s="113" t="n"/>
      <c r="Z1700" s="117">
        <f>IF($B1700="",0,IF($S1700="EVET",IF($D1700="GELİR",$O1700,-$O1700),0))</f>
        <v/>
      </c>
      <c r="AA1700" s="117">
        <f>IF($B1700="",0,IF(OR($W1700="EVET",$X1700="EVET",$Y1700="EVET"),0,IF($D1700="GELİR",IF($E1700="SATIŞ İADESİ/İSKONTO",-$O1700,$O1700),-$O1700)))</f>
        <v/>
      </c>
      <c r="AB1700" s="117">
        <f>IF($B1700="","",IF(OR($D1700="",$E1700="",$O1700=""),"EKSİK",IF($O1700&lt;=0,"SIFIR/NEGATİF",IF(COUNTIFS($C$6:$C$5000,$C1700,$O$6:$O$5000,$O1700,$B$6:$B$5000,$B1700)&gt;1,"MÜKERRER","OK"))))</f>
        <v/>
      </c>
    </row>
    <row r="1701" ht="16.5" customHeight="1" s="80">
      <c r="A1701" s="113" t="n"/>
      <c r="B1701" s="113" t="n"/>
      <c r="C1701" s="113" t="n"/>
      <c r="D1701" s="113" t="n"/>
      <c r="E1701" s="113" t="n"/>
      <c r="F1701" s="113" t="n"/>
      <c r="G1701" s="113" t="n"/>
      <c r="H1701" s="113" t="n"/>
      <c r="I1701" s="113" t="n"/>
      <c r="J1701" s="113" t="n"/>
      <c r="K1701" s="113" t="n"/>
      <c r="L1701" s="113" t="n"/>
      <c r="M1701" s="113" t="n"/>
      <c r="N1701" s="113" t="n"/>
      <c r="O1701" s="113" t="n"/>
      <c r="P1701" s="113" t="n"/>
      <c r="Q1701" s="113" t="n"/>
      <c r="R1701" s="113" t="n"/>
      <c r="S1701" s="113" t="n"/>
      <c r="T1701" s="113" t="n"/>
      <c r="U1701" s="113" t="n"/>
      <c r="V1701" s="113" t="n"/>
      <c r="W1701" s="113" t="n"/>
      <c r="X1701" s="113" t="n"/>
      <c r="Y1701" s="113" t="n"/>
      <c r="Z1701" s="117">
        <f>IF($B1701="",0,IF($S1701="EVET",IF($D1701="GELİR",$O1701,-$O1701),0))</f>
        <v/>
      </c>
      <c r="AA1701" s="117">
        <f>IF($B1701="",0,IF(OR($W1701="EVET",$X1701="EVET",$Y1701="EVET"),0,IF($D1701="GELİR",IF($E1701="SATIŞ İADESİ/İSKONTO",-$O1701,$O1701),-$O1701)))</f>
        <v/>
      </c>
      <c r="AB1701" s="117">
        <f>IF($B1701="","",IF(OR($D1701="",$E1701="",$O1701=""),"EKSİK",IF($O1701&lt;=0,"SIFIR/NEGATİF",IF(COUNTIFS($C$6:$C$5000,$C1701,$O$6:$O$5000,$O1701,$B$6:$B$5000,$B1701)&gt;1,"MÜKERRER","OK"))))</f>
        <v/>
      </c>
    </row>
    <row r="1702" ht="16.5" customHeight="1" s="80">
      <c r="A1702" s="113" t="n"/>
      <c r="B1702" s="113" t="n"/>
      <c r="C1702" s="113" t="n"/>
      <c r="D1702" s="113" t="n"/>
      <c r="E1702" s="113" t="n"/>
      <c r="F1702" s="113" t="n"/>
      <c r="G1702" s="113" t="n"/>
      <c r="H1702" s="113" t="n"/>
      <c r="I1702" s="113" t="n"/>
      <c r="J1702" s="113" t="n"/>
      <c r="K1702" s="113" t="n"/>
      <c r="L1702" s="113" t="n"/>
      <c r="M1702" s="113" t="n"/>
      <c r="N1702" s="113" t="n"/>
      <c r="O1702" s="113" t="n"/>
      <c r="P1702" s="113" t="n"/>
      <c r="Q1702" s="113" t="n"/>
      <c r="R1702" s="113" t="n"/>
      <c r="S1702" s="113" t="n"/>
      <c r="T1702" s="113" t="n"/>
      <c r="U1702" s="113" t="n"/>
      <c r="V1702" s="113" t="n"/>
      <c r="W1702" s="113" t="n"/>
      <c r="X1702" s="113" t="n"/>
      <c r="Y1702" s="113" t="n"/>
      <c r="Z1702" s="117">
        <f>IF($B1702="",0,IF($S1702="EVET",IF($D1702="GELİR",$O1702,-$O1702),0))</f>
        <v/>
      </c>
      <c r="AA1702" s="117">
        <f>IF($B1702="",0,IF(OR($W1702="EVET",$X1702="EVET",$Y1702="EVET"),0,IF($D1702="GELİR",IF($E1702="SATIŞ İADESİ/İSKONTO",-$O1702,$O1702),-$O1702)))</f>
        <v/>
      </c>
      <c r="AB1702" s="117">
        <f>IF($B1702="","",IF(OR($D1702="",$E1702="",$O1702=""),"EKSİK",IF($O1702&lt;=0,"SIFIR/NEGATİF",IF(COUNTIFS($C$6:$C$5000,$C1702,$O$6:$O$5000,$O1702,$B$6:$B$5000,$B1702)&gt;1,"MÜKERRER","OK"))))</f>
        <v/>
      </c>
    </row>
    <row r="1703" ht="16.5" customHeight="1" s="80">
      <c r="A1703" s="113" t="n"/>
      <c r="B1703" s="113" t="n"/>
      <c r="C1703" s="113" t="n"/>
      <c r="D1703" s="113" t="n"/>
      <c r="E1703" s="113" t="n"/>
      <c r="F1703" s="113" t="n"/>
      <c r="G1703" s="113" t="n"/>
      <c r="H1703" s="113" t="n"/>
      <c r="I1703" s="113" t="n"/>
      <c r="J1703" s="113" t="n"/>
      <c r="K1703" s="113" t="n"/>
      <c r="L1703" s="113" t="n"/>
      <c r="M1703" s="113" t="n"/>
      <c r="N1703" s="113" t="n"/>
      <c r="O1703" s="113" t="n"/>
      <c r="P1703" s="113" t="n"/>
      <c r="Q1703" s="113" t="n"/>
      <c r="R1703" s="113" t="n"/>
      <c r="S1703" s="113" t="n"/>
      <c r="T1703" s="113" t="n"/>
      <c r="U1703" s="113" t="n"/>
      <c r="V1703" s="113" t="n"/>
      <c r="W1703" s="113" t="n"/>
      <c r="X1703" s="113" t="n"/>
      <c r="Y1703" s="113" t="n"/>
      <c r="Z1703" s="117">
        <f>IF($B1703="",0,IF($S1703="EVET",IF($D1703="GELİR",$O1703,-$O1703),0))</f>
        <v/>
      </c>
      <c r="AA1703" s="117">
        <f>IF($B1703="",0,IF(OR($W1703="EVET",$X1703="EVET",$Y1703="EVET"),0,IF($D1703="GELİR",IF($E1703="SATIŞ İADESİ/İSKONTO",-$O1703,$O1703),-$O1703)))</f>
        <v/>
      </c>
      <c r="AB1703" s="117">
        <f>IF($B1703="","",IF(OR($D1703="",$E1703="",$O1703=""),"EKSİK",IF($O1703&lt;=0,"SIFIR/NEGATİF",IF(COUNTIFS($C$6:$C$5000,$C1703,$O$6:$O$5000,$O1703,$B$6:$B$5000,$B1703)&gt;1,"MÜKERRER","OK"))))</f>
        <v/>
      </c>
    </row>
    <row r="1704" ht="16.5" customHeight="1" s="80">
      <c r="A1704" s="113" t="n"/>
      <c r="B1704" s="113" t="n"/>
      <c r="C1704" s="113" t="n"/>
      <c r="D1704" s="113" t="n"/>
      <c r="E1704" s="113" t="n"/>
      <c r="F1704" s="113" t="n"/>
      <c r="G1704" s="113" t="n"/>
      <c r="H1704" s="113" t="n"/>
      <c r="I1704" s="113" t="n"/>
      <c r="J1704" s="113" t="n"/>
      <c r="K1704" s="113" t="n"/>
      <c r="L1704" s="113" t="n"/>
      <c r="M1704" s="113" t="n"/>
      <c r="N1704" s="113" t="n"/>
      <c r="O1704" s="113" t="n"/>
      <c r="P1704" s="113" t="n"/>
      <c r="Q1704" s="113" t="n"/>
      <c r="R1704" s="113" t="n"/>
      <c r="S1704" s="113" t="n"/>
      <c r="T1704" s="113" t="n"/>
      <c r="U1704" s="113" t="n"/>
      <c r="V1704" s="113" t="n"/>
      <c r="W1704" s="113" t="n"/>
      <c r="X1704" s="113" t="n"/>
      <c r="Y1704" s="113" t="n"/>
      <c r="Z1704" s="117">
        <f>IF($B1704="",0,IF($S1704="EVET",IF($D1704="GELİR",$O1704,-$O1704),0))</f>
        <v/>
      </c>
      <c r="AA1704" s="117">
        <f>IF($B1704="",0,IF(OR($W1704="EVET",$X1704="EVET",$Y1704="EVET"),0,IF($D1704="GELİR",IF($E1704="SATIŞ İADESİ/İSKONTO",-$O1704,$O1704),-$O1704)))</f>
        <v/>
      </c>
      <c r="AB1704" s="117">
        <f>IF($B1704="","",IF(OR($D1704="",$E1704="",$O1704=""),"EKSİK",IF($O1704&lt;=0,"SIFIR/NEGATİF",IF(COUNTIFS($C$6:$C$5000,$C1704,$O$6:$O$5000,$O1704,$B$6:$B$5000,$B1704)&gt;1,"MÜKERRER","OK"))))</f>
        <v/>
      </c>
    </row>
    <row r="1705" ht="16.5" customHeight="1" s="80">
      <c r="A1705" s="113" t="n"/>
      <c r="B1705" s="113" t="n"/>
      <c r="C1705" s="113" t="n"/>
      <c r="D1705" s="113" t="n"/>
      <c r="E1705" s="113" t="n"/>
      <c r="F1705" s="113" t="n"/>
      <c r="G1705" s="113" t="n"/>
      <c r="H1705" s="113" t="n"/>
      <c r="I1705" s="113" t="n"/>
      <c r="J1705" s="113" t="n"/>
      <c r="K1705" s="113" t="n"/>
      <c r="L1705" s="113" t="n"/>
      <c r="M1705" s="113" t="n"/>
      <c r="N1705" s="113" t="n"/>
      <c r="O1705" s="113" t="n"/>
      <c r="P1705" s="113" t="n"/>
      <c r="Q1705" s="113" t="n"/>
      <c r="R1705" s="113" t="n"/>
      <c r="S1705" s="113" t="n"/>
      <c r="T1705" s="113" t="n"/>
      <c r="U1705" s="113" t="n"/>
      <c r="V1705" s="113" t="n"/>
      <c r="W1705" s="113" t="n"/>
      <c r="X1705" s="113" t="n"/>
      <c r="Y1705" s="113" t="n"/>
      <c r="Z1705" s="117">
        <f>IF($B1705="",0,IF($S1705="EVET",IF($D1705="GELİR",$O1705,-$O1705),0))</f>
        <v/>
      </c>
      <c r="AA1705" s="117">
        <f>IF($B1705="",0,IF(OR($W1705="EVET",$X1705="EVET",$Y1705="EVET"),0,IF($D1705="GELİR",IF($E1705="SATIŞ İADESİ/İSKONTO",-$O1705,$O1705),-$O1705)))</f>
        <v/>
      </c>
      <c r="AB1705" s="117">
        <f>IF($B1705="","",IF(OR($D1705="",$E1705="",$O1705=""),"EKSİK",IF($O1705&lt;=0,"SIFIR/NEGATİF",IF(COUNTIFS($C$6:$C$5000,$C1705,$O$6:$O$5000,$O1705,$B$6:$B$5000,$B1705)&gt;1,"MÜKERRER","OK"))))</f>
        <v/>
      </c>
    </row>
    <row r="1706" ht="16.5" customHeight="1" s="80">
      <c r="A1706" s="113" t="n"/>
      <c r="B1706" s="113" t="n"/>
      <c r="C1706" s="113" t="n"/>
      <c r="D1706" s="113" t="n"/>
      <c r="E1706" s="113" t="n"/>
      <c r="F1706" s="113" t="n"/>
      <c r="G1706" s="113" t="n"/>
      <c r="H1706" s="113" t="n"/>
      <c r="I1706" s="113" t="n"/>
      <c r="J1706" s="113" t="n"/>
      <c r="K1706" s="113" t="n"/>
      <c r="L1706" s="113" t="n"/>
      <c r="M1706" s="113" t="n"/>
      <c r="N1706" s="113" t="n"/>
      <c r="O1706" s="113" t="n"/>
      <c r="P1706" s="113" t="n"/>
      <c r="Q1706" s="113" t="n"/>
      <c r="R1706" s="113" t="n"/>
      <c r="S1706" s="113" t="n"/>
      <c r="T1706" s="113" t="n"/>
      <c r="U1706" s="113" t="n"/>
      <c r="V1706" s="113" t="n"/>
      <c r="W1706" s="113" t="n"/>
      <c r="X1706" s="113" t="n"/>
      <c r="Y1706" s="113" t="n"/>
      <c r="Z1706" s="117">
        <f>IF($B1706="",0,IF($S1706="EVET",IF($D1706="GELİR",$O1706,-$O1706),0))</f>
        <v/>
      </c>
      <c r="AA1706" s="117">
        <f>IF($B1706="",0,IF(OR($W1706="EVET",$X1706="EVET",$Y1706="EVET"),0,IF($D1706="GELİR",IF($E1706="SATIŞ İADESİ/İSKONTO",-$O1706,$O1706),-$O1706)))</f>
        <v/>
      </c>
      <c r="AB1706" s="117">
        <f>IF($B1706="","",IF(OR($D1706="",$E1706="",$O1706=""),"EKSİK",IF($O1706&lt;=0,"SIFIR/NEGATİF",IF(COUNTIFS($C$6:$C$5000,$C1706,$O$6:$O$5000,$O1706,$B$6:$B$5000,$B1706)&gt;1,"MÜKERRER","OK"))))</f>
        <v/>
      </c>
    </row>
    <row r="1707" ht="16.5" customHeight="1" s="80">
      <c r="A1707" s="113" t="n"/>
      <c r="B1707" s="113" t="n"/>
      <c r="C1707" s="113" t="n"/>
      <c r="D1707" s="113" t="n"/>
      <c r="E1707" s="113" t="n"/>
      <c r="F1707" s="113" t="n"/>
      <c r="G1707" s="113" t="n"/>
      <c r="H1707" s="113" t="n"/>
      <c r="I1707" s="113" t="n"/>
      <c r="J1707" s="113" t="n"/>
      <c r="K1707" s="113" t="n"/>
      <c r="L1707" s="113" t="n"/>
      <c r="M1707" s="113" t="n"/>
      <c r="N1707" s="113" t="n"/>
      <c r="O1707" s="113" t="n"/>
      <c r="P1707" s="113" t="n"/>
      <c r="Q1707" s="113" t="n"/>
      <c r="R1707" s="113" t="n"/>
      <c r="S1707" s="113" t="n"/>
      <c r="T1707" s="113" t="n"/>
      <c r="U1707" s="113" t="n"/>
      <c r="V1707" s="113" t="n"/>
      <c r="W1707" s="113" t="n"/>
      <c r="X1707" s="113" t="n"/>
      <c r="Y1707" s="113" t="n"/>
      <c r="Z1707" s="117">
        <f>IF($B1707="",0,IF($S1707="EVET",IF($D1707="GELİR",$O1707,-$O1707),0))</f>
        <v/>
      </c>
      <c r="AA1707" s="117">
        <f>IF($B1707="",0,IF(OR($W1707="EVET",$X1707="EVET",$Y1707="EVET"),0,IF($D1707="GELİR",IF($E1707="SATIŞ İADESİ/İSKONTO",-$O1707,$O1707),-$O1707)))</f>
        <v/>
      </c>
      <c r="AB1707" s="117">
        <f>IF($B1707="","",IF(OR($D1707="",$E1707="",$O1707=""),"EKSİK",IF($O1707&lt;=0,"SIFIR/NEGATİF",IF(COUNTIFS($C$6:$C$5000,$C1707,$O$6:$O$5000,$O1707,$B$6:$B$5000,$B1707)&gt;1,"MÜKERRER","OK"))))</f>
        <v/>
      </c>
    </row>
    <row r="1708" ht="16.5" customHeight="1" s="80">
      <c r="A1708" s="113" t="n"/>
      <c r="B1708" s="113" t="n"/>
      <c r="C1708" s="113" t="n"/>
      <c r="D1708" s="113" t="n"/>
      <c r="E1708" s="113" t="n"/>
      <c r="F1708" s="113" t="n"/>
      <c r="G1708" s="113" t="n"/>
      <c r="H1708" s="113" t="n"/>
      <c r="I1708" s="113" t="n"/>
      <c r="J1708" s="113" t="n"/>
      <c r="K1708" s="113" t="n"/>
      <c r="L1708" s="113" t="n"/>
      <c r="M1708" s="113" t="n"/>
      <c r="N1708" s="113" t="n"/>
      <c r="O1708" s="113" t="n"/>
      <c r="P1708" s="113" t="n"/>
      <c r="Q1708" s="113" t="n"/>
      <c r="R1708" s="113" t="n"/>
      <c r="S1708" s="113" t="n"/>
      <c r="T1708" s="113" t="n"/>
      <c r="U1708" s="113" t="n"/>
      <c r="V1708" s="113" t="n"/>
      <c r="W1708" s="113" t="n"/>
      <c r="X1708" s="113" t="n"/>
      <c r="Y1708" s="113" t="n"/>
      <c r="Z1708" s="117">
        <f>IF($B1708="",0,IF($S1708="EVET",IF($D1708="GELİR",$O1708,-$O1708),0))</f>
        <v/>
      </c>
      <c r="AA1708" s="117">
        <f>IF($B1708="",0,IF(OR($W1708="EVET",$X1708="EVET",$Y1708="EVET"),0,IF($D1708="GELİR",IF($E1708="SATIŞ İADESİ/İSKONTO",-$O1708,$O1708),-$O1708)))</f>
        <v/>
      </c>
      <c r="AB1708" s="117">
        <f>IF($B1708="","",IF(OR($D1708="",$E1708="",$O1708=""),"EKSİK",IF($O1708&lt;=0,"SIFIR/NEGATİF",IF(COUNTIFS($C$6:$C$5000,$C1708,$O$6:$O$5000,$O1708,$B$6:$B$5000,$B1708)&gt;1,"MÜKERRER","OK"))))</f>
        <v/>
      </c>
    </row>
    <row r="1709" ht="16.5" customHeight="1" s="80">
      <c r="A1709" s="113" t="n"/>
      <c r="B1709" s="113" t="n"/>
      <c r="C1709" s="113" t="n"/>
      <c r="D1709" s="113" t="n"/>
      <c r="E1709" s="113" t="n"/>
      <c r="F1709" s="113" t="n"/>
      <c r="G1709" s="113" t="n"/>
      <c r="H1709" s="113" t="n"/>
      <c r="I1709" s="113" t="n"/>
      <c r="J1709" s="113" t="n"/>
      <c r="K1709" s="113" t="n"/>
      <c r="L1709" s="113" t="n"/>
      <c r="M1709" s="113" t="n"/>
      <c r="N1709" s="113" t="n"/>
      <c r="O1709" s="113" t="n"/>
      <c r="P1709" s="113" t="n"/>
      <c r="Q1709" s="113" t="n"/>
      <c r="R1709" s="113" t="n"/>
      <c r="S1709" s="113" t="n"/>
      <c r="T1709" s="113" t="n"/>
      <c r="U1709" s="113" t="n"/>
      <c r="V1709" s="113" t="n"/>
      <c r="W1709" s="113" t="n"/>
      <c r="X1709" s="113" t="n"/>
      <c r="Y1709" s="113" t="n"/>
      <c r="Z1709" s="117">
        <f>IF($B1709="",0,IF($S1709="EVET",IF($D1709="GELİR",$O1709,-$O1709),0))</f>
        <v/>
      </c>
      <c r="AA1709" s="117">
        <f>IF($B1709="",0,IF(OR($W1709="EVET",$X1709="EVET",$Y1709="EVET"),0,IF($D1709="GELİR",IF($E1709="SATIŞ İADESİ/İSKONTO",-$O1709,$O1709),-$O1709)))</f>
        <v/>
      </c>
      <c r="AB1709" s="117">
        <f>IF($B1709="","",IF(OR($D1709="",$E1709="",$O1709=""),"EKSİK",IF($O1709&lt;=0,"SIFIR/NEGATİF",IF(COUNTIFS($C$6:$C$5000,$C1709,$O$6:$O$5000,$O1709,$B$6:$B$5000,$B1709)&gt;1,"MÜKERRER","OK"))))</f>
        <v/>
      </c>
    </row>
    <row r="1710" ht="16.5" customHeight="1" s="80">
      <c r="A1710" s="113" t="n"/>
      <c r="B1710" s="113" t="n"/>
      <c r="C1710" s="113" t="n"/>
      <c r="D1710" s="113" t="n"/>
      <c r="E1710" s="113" t="n"/>
      <c r="F1710" s="113" t="n"/>
      <c r="G1710" s="113" t="n"/>
      <c r="H1710" s="113" t="n"/>
      <c r="I1710" s="113" t="n"/>
      <c r="J1710" s="113" t="n"/>
      <c r="K1710" s="113" t="n"/>
      <c r="L1710" s="113" t="n"/>
      <c r="M1710" s="113" t="n"/>
      <c r="N1710" s="113" t="n"/>
      <c r="O1710" s="113" t="n"/>
      <c r="P1710" s="113" t="n"/>
      <c r="Q1710" s="113" t="n"/>
      <c r="R1710" s="113" t="n"/>
      <c r="S1710" s="113" t="n"/>
      <c r="T1710" s="113" t="n"/>
      <c r="U1710" s="113" t="n"/>
      <c r="V1710" s="113" t="n"/>
      <c r="W1710" s="113" t="n"/>
      <c r="X1710" s="113" t="n"/>
      <c r="Y1710" s="113" t="n"/>
      <c r="Z1710" s="117">
        <f>IF($B1710="",0,IF($S1710="EVET",IF($D1710="GELİR",$O1710,-$O1710),0))</f>
        <v/>
      </c>
      <c r="AA1710" s="117">
        <f>IF($B1710="",0,IF(OR($W1710="EVET",$X1710="EVET",$Y1710="EVET"),0,IF($D1710="GELİR",IF($E1710="SATIŞ İADESİ/İSKONTO",-$O1710,$O1710),-$O1710)))</f>
        <v/>
      </c>
      <c r="AB1710" s="117">
        <f>IF($B1710="","",IF(OR($D1710="",$E1710="",$O1710=""),"EKSİK",IF($O1710&lt;=0,"SIFIR/NEGATİF",IF(COUNTIFS($C$6:$C$5000,$C1710,$O$6:$O$5000,$O1710,$B$6:$B$5000,$B1710)&gt;1,"MÜKERRER","OK"))))</f>
        <v/>
      </c>
    </row>
    <row r="1711" ht="16.5" customHeight="1" s="80">
      <c r="A1711" s="113" t="n"/>
      <c r="B1711" s="113" t="n"/>
      <c r="C1711" s="113" t="n"/>
      <c r="D1711" s="113" t="n"/>
      <c r="E1711" s="113" t="n"/>
      <c r="F1711" s="113" t="n"/>
      <c r="G1711" s="113" t="n"/>
      <c r="H1711" s="113" t="n"/>
      <c r="I1711" s="113" t="n"/>
      <c r="J1711" s="113" t="n"/>
      <c r="K1711" s="113" t="n"/>
      <c r="L1711" s="113" t="n"/>
      <c r="M1711" s="113" t="n"/>
      <c r="N1711" s="113" t="n"/>
      <c r="O1711" s="113" t="n"/>
      <c r="P1711" s="113" t="n"/>
      <c r="Q1711" s="113" t="n"/>
      <c r="R1711" s="113" t="n"/>
      <c r="S1711" s="113" t="n"/>
      <c r="T1711" s="113" t="n"/>
      <c r="U1711" s="113" t="n"/>
      <c r="V1711" s="113" t="n"/>
      <c r="W1711" s="113" t="n"/>
      <c r="X1711" s="113" t="n"/>
      <c r="Y1711" s="113" t="n"/>
      <c r="Z1711" s="117">
        <f>IF($B1711="",0,IF($S1711="EVET",IF($D1711="GELİR",$O1711,-$O1711),0))</f>
        <v/>
      </c>
      <c r="AA1711" s="117">
        <f>IF($B1711="",0,IF(OR($W1711="EVET",$X1711="EVET",$Y1711="EVET"),0,IF($D1711="GELİR",IF($E1711="SATIŞ İADESİ/İSKONTO",-$O1711,$O1711),-$O1711)))</f>
        <v/>
      </c>
      <c r="AB1711" s="117">
        <f>IF($B1711="","",IF(OR($D1711="",$E1711="",$O1711=""),"EKSİK",IF($O1711&lt;=0,"SIFIR/NEGATİF",IF(COUNTIFS($C$6:$C$5000,$C1711,$O$6:$O$5000,$O1711,$B$6:$B$5000,$B1711)&gt;1,"MÜKERRER","OK"))))</f>
        <v/>
      </c>
    </row>
    <row r="1712" ht="16.5" customHeight="1" s="80">
      <c r="A1712" s="113" t="n"/>
      <c r="B1712" s="113" t="n"/>
      <c r="C1712" s="113" t="n"/>
      <c r="D1712" s="113" t="n"/>
      <c r="E1712" s="113" t="n"/>
      <c r="F1712" s="113" t="n"/>
      <c r="G1712" s="113" t="n"/>
      <c r="H1712" s="113" t="n"/>
      <c r="I1712" s="113" t="n"/>
      <c r="J1712" s="113" t="n"/>
      <c r="K1712" s="113" t="n"/>
      <c r="L1712" s="113" t="n"/>
      <c r="M1712" s="113" t="n"/>
      <c r="N1712" s="113" t="n"/>
      <c r="O1712" s="113" t="n"/>
      <c r="P1712" s="113" t="n"/>
      <c r="Q1712" s="113" t="n"/>
      <c r="R1712" s="113" t="n"/>
      <c r="S1712" s="113" t="n"/>
      <c r="T1712" s="113" t="n"/>
      <c r="U1712" s="113" t="n"/>
      <c r="V1712" s="113" t="n"/>
      <c r="W1712" s="113" t="n"/>
      <c r="X1712" s="113" t="n"/>
      <c r="Y1712" s="113" t="n"/>
      <c r="Z1712" s="117">
        <f>IF($B1712="",0,IF($S1712="EVET",IF($D1712="GELİR",$O1712,-$O1712),0))</f>
        <v/>
      </c>
      <c r="AA1712" s="117">
        <f>IF($B1712="",0,IF(OR($W1712="EVET",$X1712="EVET",$Y1712="EVET"),0,IF($D1712="GELİR",IF($E1712="SATIŞ İADESİ/İSKONTO",-$O1712,$O1712),-$O1712)))</f>
        <v/>
      </c>
      <c r="AB1712" s="117">
        <f>IF($B1712="","",IF(OR($D1712="",$E1712="",$O1712=""),"EKSİK",IF($O1712&lt;=0,"SIFIR/NEGATİF",IF(COUNTIFS($C$6:$C$5000,$C1712,$O$6:$O$5000,$O1712,$B$6:$B$5000,$B1712)&gt;1,"MÜKERRER","OK"))))</f>
        <v/>
      </c>
    </row>
    <row r="1713" ht="16.5" customHeight="1" s="80">
      <c r="A1713" s="113" t="n"/>
      <c r="B1713" s="113" t="n"/>
      <c r="C1713" s="113" t="n"/>
      <c r="D1713" s="113" t="n"/>
      <c r="E1713" s="113" t="n"/>
      <c r="F1713" s="113" t="n"/>
      <c r="G1713" s="113" t="n"/>
      <c r="H1713" s="113" t="n"/>
      <c r="I1713" s="113" t="n"/>
      <c r="J1713" s="113" t="n"/>
      <c r="K1713" s="113" t="n"/>
      <c r="L1713" s="113" t="n"/>
      <c r="M1713" s="113" t="n"/>
      <c r="N1713" s="113" t="n"/>
      <c r="O1713" s="113" t="n"/>
      <c r="P1713" s="113" t="n"/>
      <c r="Q1713" s="113" t="n"/>
      <c r="R1713" s="113" t="n"/>
      <c r="S1713" s="113" t="n"/>
      <c r="T1713" s="113" t="n"/>
      <c r="U1713" s="113" t="n"/>
      <c r="V1713" s="113" t="n"/>
      <c r="W1713" s="113" t="n"/>
      <c r="X1713" s="113" t="n"/>
      <c r="Y1713" s="113" t="n"/>
      <c r="Z1713" s="117">
        <f>IF($B1713="",0,IF($S1713="EVET",IF($D1713="GELİR",$O1713,-$O1713),0))</f>
        <v/>
      </c>
      <c r="AA1713" s="117">
        <f>IF($B1713="",0,IF(OR($W1713="EVET",$X1713="EVET",$Y1713="EVET"),0,IF($D1713="GELİR",IF($E1713="SATIŞ İADESİ/İSKONTO",-$O1713,$O1713),-$O1713)))</f>
        <v/>
      </c>
      <c r="AB1713" s="117">
        <f>IF($B1713="","",IF(OR($D1713="",$E1713="",$O1713=""),"EKSİK",IF($O1713&lt;=0,"SIFIR/NEGATİF",IF(COUNTIFS($C$6:$C$5000,$C1713,$O$6:$O$5000,$O1713,$B$6:$B$5000,$B1713)&gt;1,"MÜKERRER","OK"))))</f>
        <v/>
      </c>
    </row>
    <row r="1714" ht="16.5" customHeight="1" s="80">
      <c r="A1714" s="113" t="n"/>
      <c r="B1714" s="113" t="n"/>
      <c r="C1714" s="113" t="n"/>
      <c r="D1714" s="113" t="n"/>
      <c r="E1714" s="113" t="n"/>
      <c r="F1714" s="113" t="n"/>
      <c r="G1714" s="113" t="n"/>
      <c r="H1714" s="113" t="n"/>
      <c r="I1714" s="113" t="n"/>
      <c r="J1714" s="113" t="n"/>
      <c r="K1714" s="113" t="n"/>
      <c r="L1714" s="113" t="n"/>
      <c r="M1714" s="113" t="n"/>
      <c r="N1714" s="113" t="n"/>
      <c r="O1714" s="113" t="n"/>
      <c r="P1714" s="113" t="n"/>
      <c r="Q1714" s="113" t="n"/>
      <c r="R1714" s="113" t="n"/>
      <c r="S1714" s="113" t="n"/>
      <c r="T1714" s="113" t="n"/>
      <c r="U1714" s="113" t="n"/>
      <c r="V1714" s="113" t="n"/>
      <c r="W1714" s="113" t="n"/>
      <c r="X1714" s="113" t="n"/>
      <c r="Y1714" s="113" t="n"/>
      <c r="Z1714" s="117">
        <f>IF($B1714="",0,IF($S1714="EVET",IF($D1714="GELİR",$O1714,-$O1714),0))</f>
        <v/>
      </c>
      <c r="AA1714" s="117">
        <f>IF($B1714="",0,IF(OR($W1714="EVET",$X1714="EVET",$Y1714="EVET"),0,IF($D1714="GELİR",IF($E1714="SATIŞ İADESİ/İSKONTO",-$O1714,$O1714),-$O1714)))</f>
        <v/>
      </c>
      <c r="AB1714" s="117">
        <f>IF($B1714="","",IF(OR($D1714="",$E1714="",$O1714=""),"EKSİK",IF($O1714&lt;=0,"SIFIR/NEGATİF",IF(COUNTIFS($C$6:$C$5000,$C1714,$O$6:$O$5000,$O1714,$B$6:$B$5000,$B1714)&gt;1,"MÜKERRER","OK"))))</f>
        <v/>
      </c>
    </row>
    <row r="1715" ht="16.5" customHeight="1" s="80">
      <c r="A1715" s="113" t="n"/>
      <c r="B1715" s="113" t="n"/>
      <c r="C1715" s="113" t="n"/>
      <c r="D1715" s="113" t="n"/>
      <c r="E1715" s="113" t="n"/>
      <c r="F1715" s="113" t="n"/>
      <c r="G1715" s="113" t="n"/>
      <c r="H1715" s="113" t="n"/>
      <c r="I1715" s="113" t="n"/>
      <c r="J1715" s="113" t="n"/>
      <c r="K1715" s="113" t="n"/>
      <c r="L1715" s="113" t="n"/>
      <c r="M1715" s="113" t="n"/>
      <c r="N1715" s="113" t="n"/>
      <c r="O1715" s="113" t="n"/>
      <c r="P1715" s="113" t="n"/>
      <c r="Q1715" s="113" t="n"/>
      <c r="R1715" s="113" t="n"/>
      <c r="S1715" s="113" t="n"/>
      <c r="T1715" s="113" t="n"/>
      <c r="U1715" s="113" t="n"/>
      <c r="V1715" s="113" t="n"/>
      <c r="W1715" s="113" t="n"/>
      <c r="X1715" s="113" t="n"/>
      <c r="Y1715" s="113" t="n"/>
      <c r="Z1715" s="117">
        <f>IF($B1715="",0,IF($S1715="EVET",IF($D1715="GELİR",$O1715,-$O1715),0))</f>
        <v/>
      </c>
      <c r="AA1715" s="117">
        <f>IF($B1715="",0,IF(OR($W1715="EVET",$X1715="EVET",$Y1715="EVET"),0,IF($D1715="GELİR",IF($E1715="SATIŞ İADESİ/İSKONTO",-$O1715,$O1715),-$O1715)))</f>
        <v/>
      </c>
      <c r="AB1715" s="117">
        <f>IF($B1715="","",IF(OR($D1715="",$E1715="",$O1715=""),"EKSİK",IF($O1715&lt;=0,"SIFIR/NEGATİF",IF(COUNTIFS($C$6:$C$5000,$C1715,$O$6:$O$5000,$O1715,$B$6:$B$5000,$B1715)&gt;1,"MÜKERRER","OK"))))</f>
        <v/>
      </c>
    </row>
    <row r="1716" ht="16.5" customHeight="1" s="80">
      <c r="A1716" s="113" t="n"/>
      <c r="B1716" s="113" t="n"/>
      <c r="C1716" s="113" t="n"/>
      <c r="D1716" s="113" t="n"/>
      <c r="E1716" s="113" t="n"/>
      <c r="F1716" s="113" t="n"/>
      <c r="G1716" s="113" t="n"/>
      <c r="H1716" s="113" t="n"/>
      <c r="I1716" s="113" t="n"/>
      <c r="J1716" s="113" t="n"/>
      <c r="K1716" s="113" t="n"/>
      <c r="L1716" s="113" t="n"/>
      <c r="M1716" s="113" t="n"/>
      <c r="N1716" s="113" t="n"/>
      <c r="O1716" s="113" t="n"/>
      <c r="P1716" s="113" t="n"/>
      <c r="Q1716" s="113" t="n"/>
      <c r="R1716" s="113" t="n"/>
      <c r="S1716" s="113" t="n"/>
      <c r="T1716" s="113" t="n"/>
      <c r="U1716" s="113" t="n"/>
      <c r="V1716" s="113" t="n"/>
      <c r="W1716" s="113" t="n"/>
      <c r="X1716" s="113" t="n"/>
      <c r="Y1716" s="113" t="n"/>
      <c r="Z1716" s="117">
        <f>IF($B1716="",0,IF($S1716="EVET",IF($D1716="GELİR",$O1716,-$O1716),0))</f>
        <v/>
      </c>
      <c r="AA1716" s="117">
        <f>IF($B1716="",0,IF(OR($W1716="EVET",$X1716="EVET",$Y1716="EVET"),0,IF($D1716="GELİR",IF($E1716="SATIŞ İADESİ/İSKONTO",-$O1716,$O1716),-$O1716)))</f>
        <v/>
      </c>
      <c r="AB1716" s="117">
        <f>IF($B1716="","",IF(OR($D1716="",$E1716="",$O1716=""),"EKSİK",IF($O1716&lt;=0,"SIFIR/NEGATİF",IF(COUNTIFS($C$6:$C$5000,$C1716,$O$6:$O$5000,$O1716,$B$6:$B$5000,$B1716)&gt;1,"MÜKERRER","OK"))))</f>
        <v/>
      </c>
    </row>
    <row r="1717" ht="16.5" customHeight="1" s="80">
      <c r="A1717" s="113" t="n"/>
      <c r="B1717" s="113" t="n"/>
      <c r="C1717" s="113" t="n"/>
      <c r="D1717" s="113" t="n"/>
      <c r="E1717" s="113" t="n"/>
      <c r="F1717" s="113" t="n"/>
      <c r="G1717" s="113" t="n"/>
      <c r="H1717" s="113" t="n"/>
      <c r="I1717" s="113" t="n"/>
      <c r="J1717" s="113" t="n"/>
      <c r="K1717" s="113" t="n"/>
      <c r="L1717" s="113" t="n"/>
      <c r="M1717" s="113" t="n"/>
      <c r="N1717" s="113" t="n"/>
      <c r="O1717" s="113" t="n"/>
      <c r="P1717" s="113" t="n"/>
      <c r="Q1717" s="113" t="n"/>
      <c r="R1717" s="113" t="n"/>
      <c r="S1717" s="113" t="n"/>
      <c r="T1717" s="113" t="n"/>
      <c r="U1717" s="113" t="n"/>
      <c r="V1717" s="113" t="n"/>
      <c r="W1717" s="113" t="n"/>
      <c r="X1717" s="113" t="n"/>
      <c r="Y1717" s="113" t="n"/>
      <c r="Z1717" s="117">
        <f>IF($B1717="",0,IF($S1717="EVET",IF($D1717="GELİR",$O1717,-$O1717),0))</f>
        <v/>
      </c>
      <c r="AA1717" s="117">
        <f>IF($B1717="",0,IF(OR($W1717="EVET",$X1717="EVET",$Y1717="EVET"),0,IF($D1717="GELİR",IF($E1717="SATIŞ İADESİ/İSKONTO",-$O1717,$O1717),-$O1717)))</f>
        <v/>
      </c>
      <c r="AB1717" s="117">
        <f>IF($B1717="","",IF(OR($D1717="",$E1717="",$O1717=""),"EKSİK",IF($O1717&lt;=0,"SIFIR/NEGATİF",IF(COUNTIFS($C$6:$C$5000,$C1717,$O$6:$O$5000,$O1717,$B$6:$B$5000,$B1717)&gt;1,"MÜKERRER","OK"))))</f>
        <v/>
      </c>
    </row>
    <row r="1718" ht="16.5" customHeight="1" s="80">
      <c r="A1718" s="113" t="n"/>
      <c r="B1718" s="113" t="n"/>
      <c r="C1718" s="113" t="n"/>
      <c r="D1718" s="113" t="n"/>
      <c r="E1718" s="113" t="n"/>
      <c r="F1718" s="113" t="n"/>
      <c r="G1718" s="113" t="n"/>
      <c r="H1718" s="113" t="n"/>
      <c r="I1718" s="113" t="n"/>
      <c r="J1718" s="113" t="n"/>
      <c r="K1718" s="113" t="n"/>
      <c r="L1718" s="113" t="n"/>
      <c r="M1718" s="113" t="n"/>
      <c r="N1718" s="113" t="n"/>
      <c r="O1718" s="113" t="n"/>
      <c r="P1718" s="113" t="n"/>
      <c r="Q1718" s="113" t="n"/>
      <c r="R1718" s="113" t="n"/>
      <c r="S1718" s="113" t="n"/>
      <c r="T1718" s="113" t="n"/>
      <c r="U1718" s="113" t="n"/>
      <c r="V1718" s="113" t="n"/>
      <c r="W1718" s="113" t="n"/>
      <c r="X1718" s="113" t="n"/>
      <c r="Y1718" s="113" t="n"/>
      <c r="Z1718" s="117">
        <f>IF($B1718="",0,IF($S1718="EVET",IF($D1718="GELİR",$O1718,-$O1718),0))</f>
        <v/>
      </c>
      <c r="AA1718" s="117">
        <f>IF($B1718="",0,IF(OR($W1718="EVET",$X1718="EVET",$Y1718="EVET"),0,IF($D1718="GELİR",IF($E1718="SATIŞ İADESİ/İSKONTO",-$O1718,$O1718),-$O1718)))</f>
        <v/>
      </c>
      <c r="AB1718" s="117">
        <f>IF($B1718="","",IF(OR($D1718="",$E1718="",$O1718=""),"EKSİK",IF($O1718&lt;=0,"SIFIR/NEGATİF",IF(COUNTIFS($C$6:$C$5000,$C1718,$O$6:$O$5000,$O1718,$B$6:$B$5000,$B1718)&gt;1,"MÜKERRER","OK"))))</f>
        <v/>
      </c>
    </row>
    <row r="1719" ht="16.5" customHeight="1" s="80">
      <c r="A1719" s="113" t="n"/>
      <c r="B1719" s="113" t="n"/>
      <c r="C1719" s="113" t="n"/>
      <c r="D1719" s="113" t="n"/>
      <c r="E1719" s="113" t="n"/>
      <c r="F1719" s="113" t="n"/>
      <c r="G1719" s="113" t="n"/>
      <c r="H1719" s="113" t="n"/>
      <c r="I1719" s="113" t="n"/>
      <c r="J1719" s="113" t="n"/>
      <c r="K1719" s="113" t="n"/>
      <c r="L1719" s="113" t="n"/>
      <c r="M1719" s="113" t="n"/>
      <c r="N1719" s="113" t="n"/>
      <c r="O1719" s="113" t="n"/>
      <c r="P1719" s="113" t="n"/>
      <c r="Q1719" s="113" t="n"/>
      <c r="R1719" s="113" t="n"/>
      <c r="S1719" s="113" t="n"/>
      <c r="T1719" s="113" t="n"/>
      <c r="U1719" s="113" t="n"/>
      <c r="V1719" s="113" t="n"/>
      <c r="W1719" s="113" t="n"/>
      <c r="X1719" s="113" t="n"/>
      <c r="Y1719" s="113" t="n"/>
      <c r="Z1719" s="117">
        <f>IF($B1719="",0,IF($S1719="EVET",IF($D1719="GELİR",$O1719,-$O1719),0))</f>
        <v/>
      </c>
      <c r="AA1719" s="117">
        <f>IF($B1719="",0,IF(OR($W1719="EVET",$X1719="EVET",$Y1719="EVET"),0,IF($D1719="GELİR",IF($E1719="SATIŞ İADESİ/İSKONTO",-$O1719,$O1719),-$O1719)))</f>
        <v/>
      </c>
      <c r="AB1719" s="117">
        <f>IF($B1719="","",IF(OR($D1719="",$E1719="",$O1719=""),"EKSİK",IF($O1719&lt;=0,"SIFIR/NEGATİF",IF(COUNTIFS($C$6:$C$5000,$C1719,$O$6:$O$5000,$O1719,$B$6:$B$5000,$B1719)&gt;1,"MÜKERRER","OK"))))</f>
        <v/>
      </c>
    </row>
    <row r="1720" ht="16.5" customHeight="1" s="80">
      <c r="A1720" s="113" t="n"/>
      <c r="B1720" s="113" t="n"/>
      <c r="C1720" s="113" t="n"/>
      <c r="D1720" s="113" t="n"/>
      <c r="E1720" s="113" t="n"/>
      <c r="F1720" s="113" t="n"/>
      <c r="G1720" s="113" t="n"/>
      <c r="H1720" s="113" t="n"/>
      <c r="I1720" s="113" t="n"/>
      <c r="J1720" s="113" t="n"/>
      <c r="K1720" s="113" t="n"/>
      <c r="L1720" s="113" t="n"/>
      <c r="M1720" s="113" t="n"/>
      <c r="N1720" s="113" t="n"/>
      <c r="O1720" s="113" t="n"/>
      <c r="P1720" s="113" t="n"/>
      <c r="Q1720" s="113" t="n"/>
      <c r="R1720" s="113" t="n"/>
      <c r="S1720" s="113" t="n"/>
      <c r="T1720" s="113" t="n"/>
      <c r="U1720" s="113" t="n"/>
      <c r="V1720" s="113" t="n"/>
      <c r="W1720" s="113" t="n"/>
      <c r="X1720" s="113" t="n"/>
      <c r="Y1720" s="113" t="n"/>
      <c r="Z1720" s="117">
        <f>IF($B1720="",0,IF($S1720="EVET",IF($D1720="GELİR",$O1720,-$O1720),0))</f>
        <v/>
      </c>
      <c r="AA1720" s="117">
        <f>IF($B1720="",0,IF(OR($W1720="EVET",$X1720="EVET",$Y1720="EVET"),0,IF($D1720="GELİR",IF($E1720="SATIŞ İADESİ/İSKONTO",-$O1720,$O1720),-$O1720)))</f>
        <v/>
      </c>
      <c r="AB1720" s="117">
        <f>IF($B1720="","",IF(OR($D1720="",$E1720="",$O1720=""),"EKSİK",IF($O1720&lt;=0,"SIFIR/NEGATİF",IF(COUNTIFS($C$6:$C$5000,$C1720,$O$6:$O$5000,$O1720,$B$6:$B$5000,$B1720)&gt;1,"MÜKERRER","OK"))))</f>
        <v/>
      </c>
    </row>
    <row r="1721" ht="16.5" customHeight="1" s="80">
      <c r="A1721" s="113" t="n"/>
      <c r="B1721" s="113" t="n"/>
      <c r="C1721" s="113" t="n"/>
      <c r="D1721" s="113" t="n"/>
      <c r="E1721" s="113" t="n"/>
      <c r="F1721" s="113" t="n"/>
      <c r="G1721" s="113" t="n"/>
      <c r="H1721" s="113" t="n"/>
      <c r="I1721" s="113" t="n"/>
      <c r="J1721" s="113" t="n"/>
      <c r="K1721" s="113" t="n"/>
      <c r="L1721" s="113" t="n"/>
      <c r="M1721" s="113" t="n"/>
      <c r="N1721" s="113" t="n"/>
      <c r="O1721" s="113" t="n"/>
      <c r="P1721" s="113" t="n"/>
      <c r="Q1721" s="113" t="n"/>
      <c r="R1721" s="113" t="n"/>
      <c r="S1721" s="113" t="n"/>
      <c r="T1721" s="113" t="n"/>
      <c r="U1721" s="113" t="n"/>
      <c r="V1721" s="113" t="n"/>
      <c r="W1721" s="113" t="n"/>
      <c r="X1721" s="113" t="n"/>
      <c r="Y1721" s="113" t="n"/>
      <c r="Z1721" s="117">
        <f>IF($B1721="",0,IF($S1721="EVET",IF($D1721="GELİR",$O1721,-$O1721),0))</f>
        <v/>
      </c>
      <c r="AA1721" s="117">
        <f>IF($B1721="",0,IF(OR($W1721="EVET",$X1721="EVET",$Y1721="EVET"),0,IF($D1721="GELİR",IF($E1721="SATIŞ İADESİ/İSKONTO",-$O1721,$O1721),-$O1721)))</f>
        <v/>
      </c>
      <c r="AB1721" s="117">
        <f>IF($B1721="","",IF(OR($D1721="",$E1721="",$O1721=""),"EKSİK",IF($O1721&lt;=0,"SIFIR/NEGATİF",IF(COUNTIFS($C$6:$C$5000,$C1721,$O$6:$O$5000,$O1721,$B$6:$B$5000,$B1721)&gt;1,"MÜKERRER","OK"))))</f>
        <v/>
      </c>
    </row>
    <row r="1722" ht="16.5" customHeight="1" s="80">
      <c r="A1722" s="113" t="n"/>
      <c r="B1722" s="113" t="n"/>
      <c r="C1722" s="113" t="n"/>
      <c r="D1722" s="113" t="n"/>
      <c r="E1722" s="113" t="n"/>
      <c r="F1722" s="113" t="n"/>
      <c r="G1722" s="113" t="n"/>
      <c r="H1722" s="113" t="n"/>
      <c r="I1722" s="113" t="n"/>
      <c r="J1722" s="113" t="n"/>
      <c r="K1722" s="113" t="n"/>
      <c r="L1722" s="113" t="n"/>
      <c r="M1722" s="113" t="n"/>
      <c r="N1722" s="113" t="n"/>
      <c r="O1722" s="113" t="n"/>
      <c r="P1722" s="113" t="n"/>
      <c r="Q1722" s="113" t="n"/>
      <c r="R1722" s="113" t="n"/>
      <c r="S1722" s="113" t="n"/>
      <c r="T1722" s="113" t="n"/>
      <c r="U1722" s="113" t="n"/>
      <c r="V1722" s="113" t="n"/>
      <c r="W1722" s="113" t="n"/>
      <c r="X1722" s="113" t="n"/>
      <c r="Y1722" s="113" t="n"/>
      <c r="Z1722" s="117">
        <f>IF($B1722="",0,IF($S1722="EVET",IF($D1722="GELİR",$O1722,-$O1722),0))</f>
        <v/>
      </c>
      <c r="AA1722" s="117">
        <f>IF($B1722="",0,IF(OR($W1722="EVET",$X1722="EVET",$Y1722="EVET"),0,IF($D1722="GELİR",IF($E1722="SATIŞ İADESİ/İSKONTO",-$O1722,$O1722),-$O1722)))</f>
        <v/>
      </c>
      <c r="AB1722" s="117">
        <f>IF($B1722="","",IF(OR($D1722="",$E1722="",$O1722=""),"EKSİK",IF($O1722&lt;=0,"SIFIR/NEGATİF",IF(COUNTIFS($C$6:$C$5000,$C1722,$O$6:$O$5000,$O1722,$B$6:$B$5000,$B1722)&gt;1,"MÜKERRER","OK"))))</f>
        <v/>
      </c>
    </row>
    <row r="1723" ht="16.5" customHeight="1" s="80">
      <c r="A1723" s="113" t="n"/>
      <c r="B1723" s="113" t="n"/>
      <c r="C1723" s="113" t="n"/>
      <c r="D1723" s="113" t="n"/>
      <c r="E1723" s="113" t="n"/>
      <c r="F1723" s="113" t="n"/>
      <c r="G1723" s="113" t="n"/>
      <c r="H1723" s="113" t="n"/>
      <c r="I1723" s="113" t="n"/>
      <c r="J1723" s="113" t="n"/>
      <c r="K1723" s="113" t="n"/>
      <c r="L1723" s="113" t="n"/>
      <c r="M1723" s="113" t="n"/>
      <c r="N1723" s="113" t="n"/>
      <c r="O1723" s="113" t="n"/>
      <c r="P1723" s="113" t="n"/>
      <c r="Q1723" s="113" t="n"/>
      <c r="R1723" s="113" t="n"/>
      <c r="S1723" s="113" t="n"/>
      <c r="T1723" s="113" t="n"/>
      <c r="U1723" s="113" t="n"/>
      <c r="V1723" s="113" t="n"/>
      <c r="W1723" s="113" t="n"/>
      <c r="X1723" s="113" t="n"/>
      <c r="Y1723" s="113" t="n"/>
      <c r="Z1723" s="117">
        <f>IF($B1723="",0,IF($S1723="EVET",IF($D1723="GELİR",$O1723,-$O1723),0))</f>
        <v/>
      </c>
      <c r="AA1723" s="117">
        <f>IF($B1723="",0,IF(OR($W1723="EVET",$X1723="EVET",$Y1723="EVET"),0,IF($D1723="GELİR",IF($E1723="SATIŞ İADESİ/İSKONTO",-$O1723,$O1723),-$O1723)))</f>
        <v/>
      </c>
      <c r="AB1723" s="117">
        <f>IF($B1723="","",IF(OR($D1723="",$E1723="",$O1723=""),"EKSİK",IF($O1723&lt;=0,"SIFIR/NEGATİF",IF(COUNTIFS($C$6:$C$5000,$C1723,$O$6:$O$5000,$O1723,$B$6:$B$5000,$B1723)&gt;1,"MÜKERRER","OK"))))</f>
        <v/>
      </c>
    </row>
    <row r="1724" ht="16.5" customHeight="1" s="80">
      <c r="A1724" s="113" t="n"/>
      <c r="B1724" s="113" t="n"/>
      <c r="C1724" s="113" t="n"/>
      <c r="D1724" s="113" t="n"/>
      <c r="E1724" s="113" t="n"/>
      <c r="F1724" s="113" t="n"/>
      <c r="G1724" s="113" t="n"/>
      <c r="H1724" s="113" t="n"/>
      <c r="I1724" s="113" t="n"/>
      <c r="J1724" s="113" t="n"/>
      <c r="K1724" s="113" t="n"/>
      <c r="L1724" s="113" t="n"/>
      <c r="M1724" s="113" t="n"/>
      <c r="N1724" s="113" t="n"/>
      <c r="O1724" s="113" t="n"/>
      <c r="P1724" s="113" t="n"/>
      <c r="Q1724" s="113" t="n"/>
      <c r="R1724" s="113" t="n"/>
      <c r="S1724" s="113" t="n"/>
      <c r="T1724" s="113" t="n"/>
      <c r="U1724" s="113" t="n"/>
      <c r="V1724" s="113" t="n"/>
      <c r="W1724" s="113" t="n"/>
      <c r="X1724" s="113" t="n"/>
      <c r="Y1724" s="113" t="n"/>
      <c r="Z1724" s="117">
        <f>IF($B1724="",0,IF($S1724="EVET",IF($D1724="GELİR",$O1724,-$O1724),0))</f>
        <v/>
      </c>
      <c r="AA1724" s="117">
        <f>IF($B1724="",0,IF(OR($W1724="EVET",$X1724="EVET",$Y1724="EVET"),0,IF($D1724="GELİR",IF($E1724="SATIŞ İADESİ/İSKONTO",-$O1724,$O1724),-$O1724)))</f>
        <v/>
      </c>
      <c r="AB1724" s="117">
        <f>IF($B1724="","",IF(OR($D1724="",$E1724="",$O1724=""),"EKSİK",IF($O1724&lt;=0,"SIFIR/NEGATİF",IF(COUNTIFS($C$6:$C$5000,$C1724,$O$6:$O$5000,$O1724,$B$6:$B$5000,$B1724)&gt;1,"MÜKERRER","OK"))))</f>
        <v/>
      </c>
    </row>
    <row r="1725" ht="16.5" customHeight="1" s="80">
      <c r="A1725" s="113" t="n"/>
      <c r="B1725" s="113" t="n"/>
      <c r="C1725" s="113" t="n"/>
      <c r="D1725" s="113" t="n"/>
      <c r="E1725" s="113" t="n"/>
      <c r="F1725" s="113" t="n"/>
      <c r="G1725" s="113" t="n"/>
      <c r="H1725" s="113" t="n"/>
      <c r="I1725" s="113" t="n"/>
      <c r="J1725" s="113" t="n"/>
      <c r="K1725" s="113" t="n"/>
      <c r="L1725" s="113" t="n"/>
      <c r="M1725" s="113" t="n"/>
      <c r="N1725" s="113" t="n"/>
      <c r="O1725" s="113" t="n"/>
      <c r="P1725" s="113" t="n"/>
      <c r="Q1725" s="113" t="n"/>
      <c r="R1725" s="113" t="n"/>
      <c r="S1725" s="113" t="n"/>
      <c r="T1725" s="113" t="n"/>
      <c r="U1725" s="113" t="n"/>
      <c r="V1725" s="113" t="n"/>
      <c r="W1725" s="113" t="n"/>
      <c r="X1725" s="113" t="n"/>
      <c r="Y1725" s="113" t="n"/>
      <c r="Z1725" s="117">
        <f>IF($B1725="",0,IF($S1725="EVET",IF($D1725="GELİR",$O1725,-$O1725),0))</f>
        <v/>
      </c>
      <c r="AA1725" s="117">
        <f>IF($B1725="",0,IF(OR($W1725="EVET",$X1725="EVET",$Y1725="EVET"),0,IF($D1725="GELİR",IF($E1725="SATIŞ İADESİ/İSKONTO",-$O1725,$O1725),-$O1725)))</f>
        <v/>
      </c>
      <c r="AB1725" s="117">
        <f>IF($B1725="","",IF(OR($D1725="",$E1725="",$O1725=""),"EKSİK",IF($O1725&lt;=0,"SIFIR/NEGATİF",IF(COUNTIFS($C$6:$C$5000,$C1725,$O$6:$O$5000,$O1725,$B$6:$B$5000,$B1725)&gt;1,"MÜKERRER","OK"))))</f>
        <v/>
      </c>
    </row>
    <row r="1726" ht="16.5" customHeight="1" s="80">
      <c r="A1726" s="113" t="n"/>
      <c r="B1726" s="113" t="n"/>
      <c r="C1726" s="113" t="n"/>
      <c r="D1726" s="113" t="n"/>
      <c r="E1726" s="113" t="n"/>
      <c r="F1726" s="113" t="n"/>
      <c r="G1726" s="113" t="n"/>
      <c r="H1726" s="113" t="n"/>
      <c r="I1726" s="113" t="n"/>
      <c r="J1726" s="113" t="n"/>
      <c r="K1726" s="113" t="n"/>
      <c r="L1726" s="113" t="n"/>
      <c r="M1726" s="113" t="n"/>
      <c r="N1726" s="113" t="n"/>
      <c r="O1726" s="113" t="n"/>
      <c r="P1726" s="113" t="n"/>
      <c r="Q1726" s="113" t="n"/>
      <c r="R1726" s="113" t="n"/>
      <c r="S1726" s="113" t="n"/>
      <c r="T1726" s="113" t="n"/>
      <c r="U1726" s="113" t="n"/>
      <c r="V1726" s="113" t="n"/>
      <c r="W1726" s="113" t="n"/>
      <c r="X1726" s="113" t="n"/>
      <c r="Y1726" s="113" t="n"/>
      <c r="Z1726" s="117">
        <f>IF($B1726="",0,IF($S1726="EVET",IF($D1726="GELİR",$O1726,-$O1726),0))</f>
        <v/>
      </c>
      <c r="AA1726" s="117">
        <f>IF($B1726="",0,IF(OR($W1726="EVET",$X1726="EVET",$Y1726="EVET"),0,IF($D1726="GELİR",IF($E1726="SATIŞ İADESİ/İSKONTO",-$O1726,$O1726),-$O1726)))</f>
        <v/>
      </c>
      <c r="AB1726" s="117">
        <f>IF($B1726="","",IF(OR($D1726="",$E1726="",$O1726=""),"EKSİK",IF($O1726&lt;=0,"SIFIR/NEGATİF",IF(COUNTIFS($C$6:$C$5000,$C1726,$O$6:$O$5000,$O1726,$B$6:$B$5000,$B1726)&gt;1,"MÜKERRER","OK"))))</f>
        <v/>
      </c>
    </row>
    <row r="1727" ht="16.5" customHeight="1" s="80">
      <c r="A1727" s="113" t="n"/>
      <c r="B1727" s="113" t="n"/>
      <c r="C1727" s="113" t="n"/>
      <c r="D1727" s="113" t="n"/>
      <c r="E1727" s="113" t="n"/>
      <c r="F1727" s="113" t="n"/>
      <c r="G1727" s="113" t="n"/>
      <c r="H1727" s="113" t="n"/>
      <c r="I1727" s="113" t="n"/>
      <c r="J1727" s="113" t="n"/>
      <c r="K1727" s="113" t="n"/>
      <c r="L1727" s="113" t="n"/>
      <c r="M1727" s="113" t="n"/>
      <c r="N1727" s="113" t="n"/>
      <c r="O1727" s="113" t="n"/>
      <c r="P1727" s="113" t="n"/>
      <c r="Q1727" s="113" t="n"/>
      <c r="R1727" s="113" t="n"/>
      <c r="S1727" s="113" t="n"/>
      <c r="T1727" s="113" t="n"/>
      <c r="U1727" s="113" t="n"/>
      <c r="V1727" s="113" t="n"/>
      <c r="W1727" s="113" t="n"/>
      <c r="X1727" s="113" t="n"/>
      <c r="Y1727" s="113" t="n"/>
      <c r="Z1727" s="117">
        <f>IF($B1727="",0,IF($S1727="EVET",IF($D1727="GELİR",$O1727,-$O1727),0))</f>
        <v/>
      </c>
      <c r="AA1727" s="117">
        <f>IF($B1727="",0,IF(OR($W1727="EVET",$X1727="EVET",$Y1727="EVET"),0,IF($D1727="GELİR",IF($E1727="SATIŞ İADESİ/İSKONTO",-$O1727,$O1727),-$O1727)))</f>
        <v/>
      </c>
      <c r="AB1727" s="117">
        <f>IF($B1727="","",IF(OR($D1727="",$E1727="",$O1727=""),"EKSİK",IF($O1727&lt;=0,"SIFIR/NEGATİF",IF(COUNTIFS($C$6:$C$5000,$C1727,$O$6:$O$5000,$O1727,$B$6:$B$5000,$B1727)&gt;1,"MÜKERRER","OK"))))</f>
        <v/>
      </c>
    </row>
    <row r="1728" ht="16.5" customHeight="1" s="80">
      <c r="A1728" s="113" t="n"/>
      <c r="B1728" s="113" t="n"/>
      <c r="C1728" s="113" t="n"/>
      <c r="D1728" s="113" t="n"/>
      <c r="E1728" s="113" t="n"/>
      <c r="F1728" s="113" t="n"/>
      <c r="G1728" s="113" t="n"/>
      <c r="H1728" s="113" t="n"/>
      <c r="I1728" s="113" t="n"/>
      <c r="J1728" s="113" t="n"/>
      <c r="K1728" s="113" t="n"/>
      <c r="L1728" s="113" t="n"/>
      <c r="M1728" s="113" t="n"/>
      <c r="N1728" s="113" t="n"/>
      <c r="O1728" s="113" t="n"/>
      <c r="P1728" s="113" t="n"/>
      <c r="Q1728" s="113" t="n"/>
      <c r="R1728" s="113" t="n"/>
      <c r="S1728" s="113" t="n"/>
      <c r="T1728" s="113" t="n"/>
      <c r="U1728" s="113" t="n"/>
      <c r="V1728" s="113" t="n"/>
      <c r="W1728" s="113" t="n"/>
      <c r="X1728" s="113" t="n"/>
      <c r="Y1728" s="113" t="n"/>
      <c r="Z1728" s="117">
        <f>IF($B1728="",0,IF($S1728="EVET",IF($D1728="GELİR",$O1728,-$O1728),0))</f>
        <v/>
      </c>
      <c r="AA1728" s="117">
        <f>IF($B1728="",0,IF(OR($W1728="EVET",$X1728="EVET",$Y1728="EVET"),0,IF($D1728="GELİR",IF($E1728="SATIŞ İADESİ/İSKONTO",-$O1728,$O1728),-$O1728)))</f>
        <v/>
      </c>
      <c r="AB1728" s="117">
        <f>IF($B1728="","",IF(OR($D1728="",$E1728="",$O1728=""),"EKSİK",IF($O1728&lt;=0,"SIFIR/NEGATİF",IF(COUNTIFS($C$6:$C$5000,$C1728,$O$6:$O$5000,$O1728,$B$6:$B$5000,$B1728)&gt;1,"MÜKERRER","OK"))))</f>
        <v/>
      </c>
    </row>
    <row r="1729" ht="16.5" customHeight="1" s="80">
      <c r="A1729" s="113" t="n"/>
      <c r="B1729" s="113" t="n"/>
      <c r="C1729" s="113" t="n"/>
      <c r="D1729" s="113" t="n"/>
      <c r="E1729" s="113" t="n"/>
      <c r="F1729" s="113" t="n"/>
      <c r="G1729" s="113" t="n"/>
      <c r="H1729" s="113" t="n"/>
      <c r="I1729" s="113" t="n"/>
      <c r="J1729" s="113" t="n"/>
      <c r="K1729" s="113" t="n"/>
      <c r="L1729" s="113" t="n"/>
      <c r="M1729" s="113" t="n"/>
      <c r="N1729" s="113" t="n"/>
      <c r="O1729" s="113" t="n"/>
      <c r="P1729" s="113" t="n"/>
      <c r="Q1729" s="113" t="n"/>
      <c r="R1729" s="113" t="n"/>
      <c r="S1729" s="113" t="n"/>
      <c r="T1729" s="113" t="n"/>
      <c r="U1729" s="113" t="n"/>
      <c r="V1729" s="113" t="n"/>
      <c r="W1729" s="113" t="n"/>
      <c r="X1729" s="113" t="n"/>
      <c r="Y1729" s="113" t="n"/>
      <c r="Z1729" s="117">
        <f>IF($B1729="",0,IF($S1729="EVET",IF($D1729="GELİR",$O1729,-$O1729),0))</f>
        <v/>
      </c>
      <c r="AA1729" s="117">
        <f>IF($B1729="",0,IF(OR($W1729="EVET",$X1729="EVET",$Y1729="EVET"),0,IF($D1729="GELİR",IF($E1729="SATIŞ İADESİ/İSKONTO",-$O1729,$O1729),-$O1729)))</f>
        <v/>
      </c>
      <c r="AB1729" s="117">
        <f>IF($B1729="","",IF(OR($D1729="",$E1729="",$O1729=""),"EKSİK",IF($O1729&lt;=0,"SIFIR/NEGATİF",IF(COUNTIFS($C$6:$C$5000,$C1729,$O$6:$O$5000,$O1729,$B$6:$B$5000,$B1729)&gt;1,"MÜKERRER","OK"))))</f>
        <v/>
      </c>
    </row>
    <row r="1730" ht="16.5" customHeight="1" s="80">
      <c r="A1730" s="113" t="n"/>
      <c r="B1730" s="113" t="n"/>
      <c r="C1730" s="113" t="n"/>
      <c r="D1730" s="113" t="n"/>
      <c r="E1730" s="113" t="n"/>
      <c r="F1730" s="113" t="n"/>
      <c r="G1730" s="113" t="n"/>
      <c r="H1730" s="113" t="n"/>
      <c r="I1730" s="113" t="n"/>
      <c r="J1730" s="113" t="n"/>
      <c r="K1730" s="113" t="n"/>
      <c r="L1730" s="113" t="n"/>
      <c r="M1730" s="113" t="n"/>
      <c r="N1730" s="113" t="n"/>
      <c r="O1730" s="113" t="n"/>
      <c r="P1730" s="113" t="n"/>
      <c r="Q1730" s="113" t="n"/>
      <c r="R1730" s="113" t="n"/>
      <c r="S1730" s="113" t="n"/>
      <c r="T1730" s="113" t="n"/>
      <c r="U1730" s="113" t="n"/>
      <c r="V1730" s="113" t="n"/>
      <c r="W1730" s="113" t="n"/>
      <c r="X1730" s="113" t="n"/>
      <c r="Y1730" s="113" t="n"/>
      <c r="Z1730" s="117">
        <f>IF($B1730="",0,IF($S1730="EVET",IF($D1730="GELİR",$O1730,-$O1730),0))</f>
        <v/>
      </c>
      <c r="AA1730" s="117">
        <f>IF($B1730="",0,IF(OR($W1730="EVET",$X1730="EVET",$Y1730="EVET"),0,IF($D1730="GELİR",IF($E1730="SATIŞ İADESİ/İSKONTO",-$O1730,$O1730),-$O1730)))</f>
        <v/>
      </c>
      <c r="AB1730" s="117">
        <f>IF($B1730="","",IF(OR($D1730="",$E1730="",$O1730=""),"EKSİK",IF($O1730&lt;=0,"SIFIR/NEGATİF",IF(COUNTIFS($C$6:$C$5000,$C1730,$O$6:$O$5000,$O1730,$B$6:$B$5000,$B1730)&gt;1,"MÜKERRER","OK"))))</f>
        <v/>
      </c>
    </row>
    <row r="1731" ht="16.5" customHeight="1" s="80">
      <c r="A1731" s="113" t="n"/>
      <c r="B1731" s="113" t="n"/>
      <c r="C1731" s="113" t="n"/>
      <c r="D1731" s="113" t="n"/>
      <c r="E1731" s="113" t="n"/>
      <c r="F1731" s="113" t="n"/>
      <c r="G1731" s="113" t="n"/>
      <c r="H1731" s="113" t="n"/>
      <c r="I1731" s="113" t="n"/>
      <c r="J1731" s="113" t="n"/>
      <c r="K1731" s="113" t="n"/>
      <c r="L1731" s="113" t="n"/>
      <c r="M1731" s="113" t="n"/>
      <c r="N1731" s="113" t="n"/>
      <c r="O1731" s="113" t="n"/>
      <c r="P1731" s="113" t="n"/>
      <c r="Q1731" s="113" t="n"/>
      <c r="R1731" s="113" t="n"/>
      <c r="S1731" s="113" t="n"/>
      <c r="T1731" s="113" t="n"/>
      <c r="U1731" s="113" t="n"/>
      <c r="V1731" s="113" t="n"/>
      <c r="W1731" s="113" t="n"/>
      <c r="X1731" s="113" t="n"/>
      <c r="Y1731" s="113" t="n"/>
      <c r="Z1731" s="117">
        <f>IF($B1731="",0,IF($S1731="EVET",IF($D1731="GELİR",$O1731,-$O1731),0))</f>
        <v/>
      </c>
      <c r="AA1731" s="117">
        <f>IF($B1731="",0,IF(OR($W1731="EVET",$X1731="EVET",$Y1731="EVET"),0,IF($D1731="GELİR",IF($E1731="SATIŞ İADESİ/İSKONTO",-$O1731,$O1731),-$O1731)))</f>
        <v/>
      </c>
      <c r="AB1731" s="117">
        <f>IF($B1731="","",IF(OR($D1731="",$E1731="",$O1731=""),"EKSİK",IF($O1731&lt;=0,"SIFIR/NEGATİF",IF(COUNTIFS($C$6:$C$5000,$C1731,$O$6:$O$5000,$O1731,$B$6:$B$5000,$B1731)&gt;1,"MÜKERRER","OK"))))</f>
        <v/>
      </c>
    </row>
    <row r="1732" ht="16.5" customHeight="1" s="80">
      <c r="A1732" s="113" t="n"/>
      <c r="B1732" s="113" t="n"/>
      <c r="C1732" s="113" t="n"/>
      <c r="D1732" s="113" t="n"/>
      <c r="E1732" s="113" t="n"/>
      <c r="F1732" s="113" t="n"/>
      <c r="G1732" s="113" t="n"/>
      <c r="H1732" s="113" t="n"/>
      <c r="I1732" s="113" t="n"/>
      <c r="J1732" s="113" t="n"/>
      <c r="K1732" s="113" t="n"/>
      <c r="L1732" s="113" t="n"/>
      <c r="M1732" s="113" t="n"/>
      <c r="N1732" s="113" t="n"/>
      <c r="O1732" s="113" t="n"/>
      <c r="P1732" s="113" t="n"/>
      <c r="Q1732" s="113" t="n"/>
      <c r="R1732" s="113" t="n"/>
      <c r="S1732" s="113" t="n"/>
      <c r="T1732" s="113" t="n"/>
      <c r="U1732" s="113" t="n"/>
      <c r="V1732" s="113" t="n"/>
      <c r="W1732" s="113" t="n"/>
      <c r="X1732" s="113" t="n"/>
      <c r="Y1732" s="113" t="n"/>
      <c r="Z1732" s="117">
        <f>IF($B1732="",0,IF($S1732="EVET",IF($D1732="GELİR",$O1732,-$O1732),0))</f>
        <v/>
      </c>
      <c r="AA1732" s="117">
        <f>IF($B1732="",0,IF(OR($W1732="EVET",$X1732="EVET",$Y1732="EVET"),0,IF($D1732="GELİR",IF($E1732="SATIŞ İADESİ/İSKONTO",-$O1732,$O1732),-$O1732)))</f>
        <v/>
      </c>
      <c r="AB1732" s="117">
        <f>IF($B1732="","",IF(OR($D1732="",$E1732="",$O1732=""),"EKSİK",IF($O1732&lt;=0,"SIFIR/NEGATİF",IF(COUNTIFS($C$6:$C$5000,$C1732,$O$6:$O$5000,$O1732,$B$6:$B$5000,$B1732)&gt;1,"MÜKERRER","OK"))))</f>
        <v/>
      </c>
    </row>
    <row r="1733" ht="16.5" customHeight="1" s="80">
      <c r="A1733" s="113" t="n"/>
      <c r="B1733" s="113" t="n"/>
      <c r="C1733" s="113" t="n"/>
      <c r="D1733" s="113" t="n"/>
      <c r="E1733" s="113" t="n"/>
      <c r="F1733" s="113" t="n"/>
      <c r="G1733" s="113" t="n"/>
      <c r="H1733" s="113" t="n"/>
      <c r="I1733" s="113" t="n"/>
      <c r="J1733" s="113" t="n"/>
      <c r="K1733" s="113" t="n"/>
      <c r="L1733" s="113" t="n"/>
      <c r="M1733" s="113" t="n"/>
      <c r="N1733" s="113" t="n"/>
      <c r="O1733" s="113" t="n"/>
      <c r="P1733" s="113" t="n"/>
      <c r="Q1733" s="113" t="n"/>
      <c r="R1733" s="113" t="n"/>
      <c r="S1733" s="113" t="n"/>
      <c r="T1733" s="113" t="n"/>
      <c r="U1733" s="113" t="n"/>
      <c r="V1733" s="113" t="n"/>
      <c r="W1733" s="113" t="n"/>
      <c r="X1733" s="113" t="n"/>
      <c r="Y1733" s="113" t="n"/>
      <c r="Z1733" s="117">
        <f>IF($B1733="",0,IF($S1733="EVET",IF($D1733="GELİR",$O1733,-$O1733),0))</f>
        <v/>
      </c>
      <c r="AA1733" s="117">
        <f>IF($B1733="",0,IF(OR($W1733="EVET",$X1733="EVET",$Y1733="EVET"),0,IF($D1733="GELİR",IF($E1733="SATIŞ İADESİ/İSKONTO",-$O1733,$O1733),-$O1733)))</f>
        <v/>
      </c>
      <c r="AB1733" s="117">
        <f>IF($B1733="","",IF(OR($D1733="",$E1733="",$O1733=""),"EKSİK",IF($O1733&lt;=0,"SIFIR/NEGATİF",IF(COUNTIFS($C$6:$C$5000,$C1733,$O$6:$O$5000,$O1733,$B$6:$B$5000,$B1733)&gt;1,"MÜKERRER","OK"))))</f>
        <v/>
      </c>
    </row>
    <row r="1734" ht="16.5" customHeight="1" s="80">
      <c r="A1734" s="113" t="n"/>
      <c r="B1734" s="113" t="n"/>
      <c r="C1734" s="113" t="n"/>
      <c r="D1734" s="113" t="n"/>
      <c r="E1734" s="113" t="n"/>
      <c r="F1734" s="113" t="n"/>
      <c r="G1734" s="113" t="n"/>
      <c r="H1734" s="113" t="n"/>
      <c r="I1734" s="113" t="n"/>
      <c r="J1734" s="113" t="n"/>
      <c r="K1734" s="113" t="n"/>
      <c r="L1734" s="113" t="n"/>
      <c r="M1734" s="113" t="n"/>
      <c r="N1734" s="113" t="n"/>
      <c r="O1734" s="113" t="n"/>
      <c r="P1734" s="113" t="n"/>
      <c r="Q1734" s="113" t="n"/>
      <c r="R1734" s="113" t="n"/>
      <c r="S1734" s="113" t="n"/>
      <c r="T1734" s="113" t="n"/>
      <c r="U1734" s="113" t="n"/>
      <c r="V1734" s="113" t="n"/>
      <c r="W1734" s="113" t="n"/>
      <c r="X1734" s="113" t="n"/>
      <c r="Y1734" s="113" t="n"/>
      <c r="Z1734" s="117">
        <f>IF($B1734="",0,IF($S1734="EVET",IF($D1734="GELİR",$O1734,-$O1734),0))</f>
        <v/>
      </c>
      <c r="AA1734" s="117">
        <f>IF($B1734="",0,IF(OR($W1734="EVET",$X1734="EVET",$Y1734="EVET"),0,IF($D1734="GELİR",IF($E1734="SATIŞ İADESİ/İSKONTO",-$O1734,$O1734),-$O1734)))</f>
        <v/>
      </c>
      <c r="AB1734" s="117">
        <f>IF($B1734="","",IF(OR($D1734="",$E1734="",$O1734=""),"EKSİK",IF($O1734&lt;=0,"SIFIR/NEGATİF",IF(COUNTIFS($C$6:$C$5000,$C1734,$O$6:$O$5000,$O1734,$B$6:$B$5000,$B1734)&gt;1,"MÜKERRER","OK"))))</f>
        <v/>
      </c>
    </row>
    <row r="1735" ht="16.5" customHeight="1" s="80">
      <c r="A1735" s="113" t="n"/>
      <c r="B1735" s="113" t="n"/>
      <c r="C1735" s="113" t="n"/>
      <c r="D1735" s="113" t="n"/>
      <c r="E1735" s="113" t="n"/>
      <c r="F1735" s="113" t="n"/>
      <c r="G1735" s="113" t="n"/>
      <c r="H1735" s="113" t="n"/>
      <c r="I1735" s="113" t="n"/>
      <c r="J1735" s="113" t="n"/>
      <c r="K1735" s="113" t="n"/>
      <c r="L1735" s="113" t="n"/>
      <c r="M1735" s="113" t="n"/>
      <c r="N1735" s="113" t="n"/>
      <c r="O1735" s="113" t="n"/>
      <c r="P1735" s="113" t="n"/>
      <c r="Q1735" s="113" t="n"/>
      <c r="R1735" s="113" t="n"/>
      <c r="S1735" s="113" t="n"/>
      <c r="T1735" s="113" t="n"/>
      <c r="U1735" s="113" t="n"/>
      <c r="V1735" s="113" t="n"/>
      <c r="W1735" s="113" t="n"/>
      <c r="X1735" s="113" t="n"/>
      <c r="Y1735" s="113" t="n"/>
      <c r="Z1735" s="117">
        <f>IF($B1735="",0,IF($S1735="EVET",IF($D1735="GELİR",$O1735,-$O1735),0))</f>
        <v/>
      </c>
      <c r="AA1735" s="117">
        <f>IF($B1735="",0,IF(OR($W1735="EVET",$X1735="EVET",$Y1735="EVET"),0,IF($D1735="GELİR",IF($E1735="SATIŞ İADESİ/İSKONTO",-$O1735,$O1735),-$O1735)))</f>
        <v/>
      </c>
      <c r="AB1735" s="117">
        <f>IF($B1735="","",IF(OR($D1735="",$E1735="",$O1735=""),"EKSİK",IF($O1735&lt;=0,"SIFIR/NEGATİF",IF(COUNTIFS($C$6:$C$5000,$C1735,$O$6:$O$5000,$O1735,$B$6:$B$5000,$B1735)&gt;1,"MÜKERRER","OK"))))</f>
        <v/>
      </c>
    </row>
    <row r="1736" ht="16.5" customHeight="1" s="80">
      <c r="A1736" s="113" t="n"/>
      <c r="B1736" s="113" t="n"/>
      <c r="C1736" s="113" t="n"/>
      <c r="D1736" s="113" t="n"/>
      <c r="E1736" s="113" t="n"/>
      <c r="F1736" s="113" t="n"/>
      <c r="G1736" s="113" t="n"/>
      <c r="H1736" s="113" t="n"/>
      <c r="I1736" s="113" t="n"/>
      <c r="J1736" s="113" t="n"/>
      <c r="K1736" s="113" t="n"/>
      <c r="L1736" s="113" t="n"/>
      <c r="M1736" s="113" t="n"/>
      <c r="N1736" s="113" t="n"/>
      <c r="O1736" s="113" t="n"/>
      <c r="P1736" s="113" t="n"/>
      <c r="Q1736" s="113" t="n"/>
      <c r="R1736" s="113" t="n"/>
      <c r="S1736" s="113" t="n"/>
      <c r="T1736" s="113" t="n"/>
      <c r="U1736" s="113" t="n"/>
      <c r="V1736" s="113" t="n"/>
      <c r="W1736" s="113" t="n"/>
      <c r="X1736" s="113" t="n"/>
      <c r="Y1736" s="113" t="n"/>
      <c r="Z1736" s="117">
        <f>IF($B1736="",0,IF($S1736="EVET",IF($D1736="GELİR",$O1736,-$O1736),0))</f>
        <v/>
      </c>
      <c r="AA1736" s="117">
        <f>IF($B1736="",0,IF(OR($W1736="EVET",$X1736="EVET",$Y1736="EVET"),0,IF($D1736="GELİR",IF($E1736="SATIŞ İADESİ/İSKONTO",-$O1736,$O1736),-$O1736)))</f>
        <v/>
      </c>
      <c r="AB1736" s="117">
        <f>IF($B1736="","",IF(OR($D1736="",$E1736="",$O1736=""),"EKSİK",IF($O1736&lt;=0,"SIFIR/NEGATİF",IF(COUNTIFS($C$6:$C$5000,$C1736,$O$6:$O$5000,$O1736,$B$6:$B$5000,$B1736)&gt;1,"MÜKERRER","OK"))))</f>
        <v/>
      </c>
    </row>
    <row r="1737" ht="16.5" customHeight="1" s="80">
      <c r="A1737" s="113" t="n"/>
      <c r="B1737" s="113" t="n"/>
      <c r="C1737" s="113" t="n"/>
      <c r="D1737" s="113" t="n"/>
      <c r="E1737" s="113" t="n"/>
      <c r="F1737" s="113" t="n"/>
      <c r="G1737" s="113" t="n"/>
      <c r="H1737" s="113" t="n"/>
      <c r="I1737" s="113" t="n"/>
      <c r="J1737" s="113" t="n"/>
      <c r="K1737" s="113" t="n"/>
      <c r="L1737" s="113" t="n"/>
      <c r="M1737" s="113" t="n"/>
      <c r="N1737" s="113" t="n"/>
      <c r="O1737" s="113" t="n"/>
      <c r="P1737" s="113" t="n"/>
      <c r="Q1737" s="113" t="n"/>
      <c r="R1737" s="113" t="n"/>
      <c r="S1737" s="113" t="n"/>
      <c r="T1737" s="113" t="n"/>
      <c r="U1737" s="113" t="n"/>
      <c r="V1737" s="113" t="n"/>
      <c r="W1737" s="113" t="n"/>
      <c r="X1737" s="113" t="n"/>
      <c r="Y1737" s="113" t="n"/>
      <c r="Z1737" s="117">
        <f>IF($B1737="",0,IF($S1737="EVET",IF($D1737="GELİR",$O1737,-$O1737),0))</f>
        <v/>
      </c>
      <c r="AA1737" s="117">
        <f>IF($B1737="",0,IF(OR($W1737="EVET",$X1737="EVET",$Y1737="EVET"),0,IF($D1737="GELİR",IF($E1737="SATIŞ İADESİ/İSKONTO",-$O1737,$O1737),-$O1737)))</f>
        <v/>
      </c>
      <c r="AB1737" s="117">
        <f>IF($B1737="","",IF(OR($D1737="",$E1737="",$O1737=""),"EKSİK",IF($O1737&lt;=0,"SIFIR/NEGATİF",IF(COUNTIFS($C$6:$C$5000,$C1737,$O$6:$O$5000,$O1737,$B$6:$B$5000,$B1737)&gt;1,"MÜKERRER","OK"))))</f>
        <v/>
      </c>
    </row>
    <row r="1738" ht="16.5" customHeight="1" s="80">
      <c r="A1738" s="113" t="n"/>
      <c r="B1738" s="113" t="n"/>
      <c r="C1738" s="113" t="n"/>
      <c r="D1738" s="113" t="n"/>
      <c r="E1738" s="113" t="n"/>
      <c r="F1738" s="113" t="n"/>
      <c r="G1738" s="113" t="n"/>
      <c r="H1738" s="113" t="n"/>
      <c r="I1738" s="113" t="n"/>
      <c r="J1738" s="113" t="n"/>
      <c r="K1738" s="113" t="n"/>
      <c r="L1738" s="113" t="n"/>
      <c r="M1738" s="113" t="n"/>
      <c r="N1738" s="113" t="n"/>
      <c r="O1738" s="113" t="n"/>
      <c r="P1738" s="113" t="n"/>
      <c r="Q1738" s="113" t="n"/>
      <c r="R1738" s="113" t="n"/>
      <c r="S1738" s="113" t="n"/>
      <c r="T1738" s="113" t="n"/>
      <c r="U1738" s="113" t="n"/>
      <c r="V1738" s="113" t="n"/>
      <c r="W1738" s="113" t="n"/>
      <c r="X1738" s="113" t="n"/>
      <c r="Y1738" s="113" t="n"/>
      <c r="Z1738" s="117">
        <f>IF($B1738="",0,IF($S1738="EVET",IF($D1738="GELİR",$O1738,-$O1738),0))</f>
        <v/>
      </c>
      <c r="AA1738" s="117">
        <f>IF($B1738="",0,IF(OR($W1738="EVET",$X1738="EVET",$Y1738="EVET"),0,IF($D1738="GELİR",IF($E1738="SATIŞ İADESİ/İSKONTO",-$O1738,$O1738),-$O1738)))</f>
        <v/>
      </c>
      <c r="AB1738" s="117">
        <f>IF($B1738="","",IF(OR($D1738="",$E1738="",$O1738=""),"EKSİK",IF($O1738&lt;=0,"SIFIR/NEGATİF",IF(COUNTIFS($C$6:$C$5000,$C1738,$O$6:$O$5000,$O1738,$B$6:$B$5000,$B1738)&gt;1,"MÜKERRER","OK"))))</f>
        <v/>
      </c>
    </row>
    <row r="1739" ht="16.5" customHeight="1" s="80">
      <c r="A1739" s="113" t="n"/>
      <c r="B1739" s="113" t="n"/>
      <c r="C1739" s="113" t="n"/>
      <c r="D1739" s="113" t="n"/>
      <c r="E1739" s="113" t="n"/>
      <c r="F1739" s="113" t="n"/>
      <c r="G1739" s="113" t="n"/>
      <c r="H1739" s="113" t="n"/>
      <c r="I1739" s="113" t="n"/>
      <c r="J1739" s="113" t="n"/>
      <c r="K1739" s="113" t="n"/>
      <c r="L1739" s="113" t="n"/>
      <c r="M1739" s="113" t="n"/>
      <c r="N1739" s="113" t="n"/>
      <c r="O1739" s="113" t="n"/>
      <c r="P1739" s="113" t="n"/>
      <c r="Q1739" s="113" t="n"/>
      <c r="R1739" s="113" t="n"/>
      <c r="S1739" s="113" t="n"/>
      <c r="T1739" s="113" t="n"/>
      <c r="U1739" s="113" t="n"/>
      <c r="V1739" s="113" t="n"/>
      <c r="W1739" s="113" t="n"/>
      <c r="X1739" s="113" t="n"/>
      <c r="Y1739" s="113" t="n"/>
      <c r="Z1739" s="117">
        <f>IF($B1739="",0,IF($S1739="EVET",IF($D1739="GELİR",$O1739,-$O1739),0))</f>
        <v/>
      </c>
      <c r="AA1739" s="117">
        <f>IF($B1739="",0,IF(OR($W1739="EVET",$X1739="EVET",$Y1739="EVET"),0,IF($D1739="GELİR",IF($E1739="SATIŞ İADESİ/İSKONTO",-$O1739,$O1739),-$O1739)))</f>
        <v/>
      </c>
      <c r="AB1739" s="117">
        <f>IF($B1739="","",IF(OR($D1739="",$E1739="",$O1739=""),"EKSİK",IF($O1739&lt;=0,"SIFIR/NEGATİF",IF(COUNTIFS($C$6:$C$5000,$C1739,$O$6:$O$5000,$O1739,$B$6:$B$5000,$B1739)&gt;1,"MÜKERRER","OK"))))</f>
        <v/>
      </c>
    </row>
    <row r="1740" ht="16.5" customHeight="1" s="80">
      <c r="A1740" s="113" t="n"/>
      <c r="B1740" s="113" t="n"/>
      <c r="C1740" s="113" t="n"/>
      <c r="D1740" s="113" t="n"/>
      <c r="E1740" s="113" t="n"/>
      <c r="F1740" s="113" t="n"/>
      <c r="G1740" s="113" t="n"/>
      <c r="H1740" s="113" t="n"/>
      <c r="I1740" s="113" t="n"/>
      <c r="J1740" s="113" t="n"/>
      <c r="K1740" s="113" t="n"/>
      <c r="L1740" s="113" t="n"/>
      <c r="M1740" s="113" t="n"/>
      <c r="N1740" s="113" t="n"/>
      <c r="O1740" s="113" t="n"/>
      <c r="P1740" s="113" t="n"/>
      <c r="Q1740" s="113" t="n"/>
      <c r="R1740" s="113" t="n"/>
      <c r="S1740" s="113" t="n"/>
      <c r="T1740" s="113" t="n"/>
      <c r="U1740" s="113" t="n"/>
      <c r="V1740" s="113" t="n"/>
      <c r="W1740" s="113" t="n"/>
      <c r="X1740" s="113" t="n"/>
      <c r="Y1740" s="113" t="n"/>
      <c r="Z1740" s="117">
        <f>IF($B1740="",0,IF($S1740="EVET",IF($D1740="GELİR",$O1740,-$O1740),0))</f>
        <v/>
      </c>
      <c r="AA1740" s="117">
        <f>IF($B1740="",0,IF(OR($W1740="EVET",$X1740="EVET",$Y1740="EVET"),0,IF($D1740="GELİR",IF($E1740="SATIŞ İADESİ/İSKONTO",-$O1740,$O1740),-$O1740)))</f>
        <v/>
      </c>
      <c r="AB1740" s="117">
        <f>IF($B1740="","",IF(OR($D1740="",$E1740="",$O1740=""),"EKSİK",IF($O1740&lt;=0,"SIFIR/NEGATİF",IF(COUNTIFS($C$6:$C$5000,$C1740,$O$6:$O$5000,$O1740,$B$6:$B$5000,$B1740)&gt;1,"MÜKERRER","OK"))))</f>
        <v/>
      </c>
    </row>
    <row r="1741" ht="16.5" customHeight="1" s="80">
      <c r="A1741" s="113" t="n"/>
      <c r="B1741" s="113" t="n"/>
      <c r="C1741" s="113" t="n"/>
      <c r="D1741" s="113" t="n"/>
      <c r="E1741" s="113" t="n"/>
      <c r="F1741" s="113" t="n"/>
      <c r="G1741" s="113" t="n"/>
      <c r="H1741" s="113" t="n"/>
      <c r="I1741" s="113" t="n"/>
      <c r="J1741" s="113" t="n"/>
      <c r="K1741" s="113" t="n"/>
      <c r="L1741" s="113" t="n"/>
      <c r="M1741" s="113" t="n"/>
      <c r="N1741" s="113" t="n"/>
      <c r="O1741" s="113" t="n"/>
      <c r="P1741" s="113" t="n"/>
      <c r="Q1741" s="113" t="n"/>
      <c r="R1741" s="113" t="n"/>
      <c r="S1741" s="113" t="n"/>
      <c r="T1741" s="113" t="n"/>
      <c r="U1741" s="113" t="n"/>
      <c r="V1741" s="113" t="n"/>
      <c r="W1741" s="113" t="n"/>
      <c r="X1741" s="113" t="n"/>
      <c r="Y1741" s="113" t="n"/>
      <c r="Z1741" s="117">
        <f>IF($B1741="",0,IF($S1741="EVET",IF($D1741="GELİR",$O1741,-$O1741),0))</f>
        <v/>
      </c>
      <c r="AA1741" s="117">
        <f>IF($B1741="",0,IF(OR($W1741="EVET",$X1741="EVET",$Y1741="EVET"),0,IF($D1741="GELİR",IF($E1741="SATIŞ İADESİ/İSKONTO",-$O1741,$O1741),-$O1741)))</f>
        <v/>
      </c>
      <c r="AB1741" s="117">
        <f>IF($B1741="","",IF(OR($D1741="",$E1741="",$O1741=""),"EKSİK",IF($O1741&lt;=0,"SIFIR/NEGATİF",IF(COUNTIFS($C$6:$C$5000,$C1741,$O$6:$O$5000,$O1741,$B$6:$B$5000,$B1741)&gt;1,"MÜKERRER","OK"))))</f>
        <v/>
      </c>
    </row>
    <row r="1742" ht="16.5" customHeight="1" s="80">
      <c r="A1742" s="113" t="n"/>
      <c r="B1742" s="113" t="n"/>
      <c r="C1742" s="113" t="n"/>
      <c r="D1742" s="113" t="n"/>
      <c r="E1742" s="113" t="n"/>
      <c r="F1742" s="113" t="n"/>
      <c r="G1742" s="113" t="n"/>
      <c r="H1742" s="113" t="n"/>
      <c r="I1742" s="113" t="n"/>
      <c r="J1742" s="113" t="n"/>
      <c r="K1742" s="113" t="n"/>
      <c r="L1742" s="113" t="n"/>
      <c r="M1742" s="113" t="n"/>
      <c r="N1742" s="113" t="n"/>
      <c r="O1742" s="113" t="n"/>
      <c r="P1742" s="113" t="n"/>
      <c r="Q1742" s="113" t="n"/>
      <c r="R1742" s="113" t="n"/>
      <c r="S1742" s="113" t="n"/>
      <c r="T1742" s="113" t="n"/>
      <c r="U1742" s="113" t="n"/>
      <c r="V1742" s="113" t="n"/>
      <c r="W1742" s="113" t="n"/>
      <c r="X1742" s="113" t="n"/>
      <c r="Y1742" s="113" t="n"/>
      <c r="Z1742" s="117">
        <f>IF($B1742="",0,IF($S1742="EVET",IF($D1742="GELİR",$O1742,-$O1742),0))</f>
        <v/>
      </c>
      <c r="AA1742" s="117">
        <f>IF($B1742="",0,IF(OR($W1742="EVET",$X1742="EVET",$Y1742="EVET"),0,IF($D1742="GELİR",IF($E1742="SATIŞ İADESİ/İSKONTO",-$O1742,$O1742),-$O1742)))</f>
        <v/>
      </c>
      <c r="AB1742" s="117">
        <f>IF($B1742="","",IF(OR($D1742="",$E1742="",$O1742=""),"EKSİK",IF($O1742&lt;=0,"SIFIR/NEGATİF",IF(COUNTIFS($C$6:$C$5000,$C1742,$O$6:$O$5000,$O1742,$B$6:$B$5000,$B1742)&gt;1,"MÜKERRER","OK"))))</f>
        <v/>
      </c>
    </row>
    <row r="1743" ht="16.5" customHeight="1" s="80">
      <c r="A1743" s="113" t="n"/>
      <c r="B1743" s="113" t="n"/>
      <c r="C1743" s="113" t="n"/>
      <c r="D1743" s="113" t="n"/>
      <c r="E1743" s="113" t="n"/>
      <c r="F1743" s="113" t="n"/>
      <c r="G1743" s="113" t="n"/>
      <c r="H1743" s="113" t="n"/>
      <c r="I1743" s="113" t="n"/>
      <c r="J1743" s="113" t="n"/>
      <c r="K1743" s="113" t="n"/>
      <c r="L1743" s="113" t="n"/>
      <c r="M1743" s="113" t="n"/>
      <c r="N1743" s="113" t="n"/>
      <c r="O1743" s="113" t="n"/>
      <c r="P1743" s="113" t="n"/>
      <c r="Q1743" s="113" t="n"/>
      <c r="R1743" s="113" t="n"/>
      <c r="S1743" s="113" t="n"/>
      <c r="T1743" s="113" t="n"/>
      <c r="U1743" s="113" t="n"/>
      <c r="V1743" s="113" t="n"/>
      <c r="W1743" s="113" t="n"/>
      <c r="X1743" s="113" t="n"/>
      <c r="Y1743" s="113" t="n"/>
      <c r="Z1743" s="117">
        <f>IF($B1743="",0,IF($S1743="EVET",IF($D1743="GELİR",$O1743,-$O1743),0))</f>
        <v/>
      </c>
      <c r="AA1743" s="117">
        <f>IF($B1743="",0,IF(OR($W1743="EVET",$X1743="EVET",$Y1743="EVET"),0,IF($D1743="GELİR",IF($E1743="SATIŞ İADESİ/İSKONTO",-$O1743,$O1743),-$O1743)))</f>
        <v/>
      </c>
      <c r="AB1743" s="117">
        <f>IF($B1743="","",IF(OR($D1743="",$E1743="",$O1743=""),"EKSİK",IF($O1743&lt;=0,"SIFIR/NEGATİF",IF(COUNTIFS($C$6:$C$5000,$C1743,$O$6:$O$5000,$O1743,$B$6:$B$5000,$B1743)&gt;1,"MÜKERRER","OK"))))</f>
        <v/>
      </c>
    </row>
    <row r="1744" ht="16.5" customHeight="1" s="80">
      <c r="A1744" s="113" t="n"/>
      <c r="B1744" s="113" t="n"/>
      <c r="C1744" s="113" t="n"/>
      <c r="D1744" s="113" t="n"/>
      <c r="E1744" s="113" t="n"/>
      <c r="F1744" s="113" t="n"/>
      <c r="G1744" s="113" t="n"/>
      <c r="H1744" s="113" t="n"/>
      <c r="I1744" s="113" t="n"/>
      <c r="J1744" s="113" t="n"/>
      <c r="K1744" s="113" t="n"/>
      <c r="L1744" s="113" t="n"/>
      <c r="M1744" s="113" t="n"/>
      <c r="N1744" s="113" t="n"/>
      <c r="O1744" s="113" t="n"/>
      <c r="P1744" s="113" t="n"/>
      <c r="Q1744" s="113" t="n"/>
      <c r="R1744" s="113" t="n"/>
      <c r="S1744" s="113" t="n"/>
      <c r="T1744" s="113" t="n"/>
      <c r="U1744" s="113" t="n"/>
      <c r="V1744" s="113" t="n"/>
      <c r="W1744" s="113" t="n"/>
      <c r="X1744" s="113" t="n"/>
      <c r="Y1744" s="113" t="n"/>
      <c r="Z1744" s="117">
        <f>IF($B1744="",0,IF($S1744="EVET",IF($D1744="GELİR",$O1744,-$O1744),0))</f>
        <v/>
      </c>
      <c r="AA1744" s="117">
        <f>IF($B1744="",0,IF(OR($W1744="EVET",$X1744="EVET",$Y1744="EVET"),0,IF($D1744="GELİR",IF($E1744="SATIŞ İADESİ/İSKONTO",-$O1744,$O1744),-$O1744)))</f>
        <v/>
      </c>
      <c r="AB1744" s="117">
        <f>IF($B1744="","",IF(OR($D1744="",$E1744="",$O1744=""),"EKSİK",IF($O1744&lt;=0,"SIFIR/NEGATİF",IF(COUNTIFS($C$6:$C$5000,$C1744,$O$6:$O$5000,$O1744,$B$6:$B$5000,$B1744)&gt;1,"MÜKERRER","OK"))))</f>
        <v/>
      </c>
    </row>
    <row r="1745" ht="16.5" customHeight="1" s="80">
      <c r="A1745" s="113" t="n"/>
      <c r="B1745" s="113" t="n"/>
      <c r="C1745" s="113" t="n"/>
      <c r="D1745" s="113" t="n"/>
      <c r="E1745" s="113" t="n"/>
      <c r="F1745" s="113" t="n"/>
      <c r="G1745" s="113" t="n"/>
      <c r="H1745" s="113" t="n"/>
      <c r="I1745" s="113" t="n"/>
      <c r="J1745" s="113" t="n"/>
      <c r="K1745" s="113" t="n"/>
      <c r="L1745" s="113" t="n"/>
      <c r="M1745" s="113" t="n"/>
      <c r="N1745" s="113" t="n"/>
      <c r="O1745" s="113" t="n"/>
      <c r="P1745" s="113" t="n"/>
      <c r="Q1745" s="113" t="n"/>
      <c r="R1745" s="113" t="n"/>
      <c r="S1745" s="113" t="n"/>
      <c r="T1745" s="113" t="n"/>
      <c r="U1745" s="113" t="n"/>
      <c r="V1745" s="113" t="n"/>
      <c r="W1745" s="113" t="n"/>
      <c r="X1745" s="113" t="n"/>
      <c r="Y1745" s="113" t="n"/>
      <c r="Z1745" s="117">
        <f>IF($B1745="",0,IF($S1745="EVET",IF($D1745="GELİR",$O1745,-$O1745),0))</f>
        <v/>
      </c>
      <c r="AA1745" s="117">
        <f>IF($B1745="",0,IF(OR($W1745="EVET",$X1745="EVET",$Y1745="EVET"),0,IF($D1745="GELİR",IF($E1745="SATIŞ İADESİ/İSKONTO",-$O1745,$O1745),-$O1745)))</f>
        <v/>
      </c>
      <c r="AB1745" s="117">
        <f>IF($B1745="","",IF(OR($D1745="",$E1745="",$O1745=""),"EKSİK",IF($O1745&lt;=0,"SIFIR/NEGATİF",IF(COUNTIFS($C$6:$C$5000,$C1745,$O$6:$O$5000,$O1745,$B$6:$B$5000,$B1745)&gt;1,"MÜKERRER","OK"))))</f>
        <v/>
      </c>
    </row>
    <row r="1746" ht="16.5" customHeight="1" s="80">
      <c r="A1746" s="113" t="n"/>
      <c r="B1746" s="113" t="n"/>
      <c r="C1746" s="113" t="n"/>
      <c r="D1746" s="113" t="n"/>
      <c r="E1746" s="113" t="n"/>
      <c r="F1746" s="113" t="n"/>
      <c r="G1746" s="113" t="n"/>
      <c r="H1746" s="113" t="n"/>
      <c r="I1746" s="113" t="n"/>
      <c r="J1746" s="113" t="n"/>
      <c r="K1746" s="113" t="n"/>
      <c r="L1746" s="113" t="n"/>
      <c r="M1746" s="113" t="n"/>
      <c r="N1746" s="113" t="n"/>
      <c r="O1746" s="113" t="n"/>
      <c r="P1746" s="113" t="n"/>
      <c r="Q1746" s="113" t="n"/>
      <c r="R1746" s="113" t="n"/>
      <c r="S1746" s="113" t="n"/>
      <c r="T1746" s="113" t="n"/>
      <c r="U1746" s="113" t="n"/>
      <c r="V1746" s="113" t="n"/>
      <c r="W1746" s="113" t="n"/>
      <c r="X1746" s="113" t="n"/>
      <c r="Y1746" s="113" t="n"/>
      <c r="Z1746" s="117">
        <f>IF($B1746="",0,IF($S1746="EVET",IF($D1746="GELİR",$O1746,-$O1746),0))</f>
        <v/>
      </c>
      <c r="AA1746" s="117">
        <f>IF($B1746="",0,IF(OR($W1746="EVET",$X1746="EVET",$Y1746="EVET"),0,IF($D1746="GELİR",IF($E1746="SATIŞ İADESİ/İSKONTO",-$O1746,$O1746),-$O1746)))</f>
        <v/>
      </c>
      <c r="AB1746" s="117">
        <f>IF($B1746="","",IF(OR($D1746="",$E1746="",$O1746=""),"EKSİK",IF($O1746&lt;=0,"SIFIR/NEGATİF",IF(COUNTIFS($C$6:$C$5000,$C1746,$O$6:$O$5000,$O1746,$B$6:$B$5000,$B1746)&gt;1,"MÜKERRER","OK"))))</f>
        <v/>
      </c>
    </row>
    <row r="1747" ht="16.5" customHeight="1" s="80">
      <c r="A1747" s="113" t="n"/>
      <c r="B1747" s="113" t="n"/>
      <c r="C1747" s="113" t="n"/>
      <c r="D1747" s="113" t="n"/>
      <c r="E1747" s="113" t="n"/>
      <c r="F1747" s="113" t="n"/>
      <c r="G1747" s="113" t="n"/>
      <c r="H1747" s="113" t="n"/>
      <c r="I1747" s="113" t="n"/>
      <c r="J1747" s="113" t="n"/>
      <c r="K1747" s="113" t="n"/>
      <c r="L1747" s="113" t="n"/>
      <c r="M1747" s="113" t="n"/>
      <c r="N1747" s="113" t="n"/>
      <c r="O1747" s="113" t="n"/>
      <c r="P1747" s="113" t="n"/>
      <c r="Q1747" s="113" t="n"/>
      <c r="R1747" s="113" t="n"/>
      <c r="S1747" s="113" t="n"/>
      <c r="T1747" s="113" t="n"/>
      <c r="U1747" s="113" t="n"/>
      <c r="V1747" s="113" t="n"/>
      <c r="W1747" s="113" t="n"/>
      <c r="X1747" s="113" t="n"/>
      <c r="Y1747" s="113" t="n"/>
      <c r="Z1747" s="117">
        <f>IF($B1747="",0,IF($S1747="EVET",IF($D1747="GELİR",$O1747,-$O1747),0))</f>
        <v/>
      </c>
      <c r="AA1747" s="117">
        <f>IF($B1747="",0,IF(OR($W1747="EVET",$X1747="EVET",$Y1747="EVET"),0,IF($D1747="GELİR",IF($E1747="SATIŞ İADESİ/İSKONTO",-$O1747,$O1747),-$O1747)))</f>
        <v/>
      </c>
      <c r="AB1747" s="117">
        <f>IF($B1747="","",IF(OR($D1747="",$E1747="",$O1747=""),"EKSİK",IF($O1747&lt;=0,"SIFIR/NEGATİF",IF(COUNTIFS($C$6:$C$5000,$C1747,$O$6:$O$5000,$O1747,$B$6:$B$5000,$B1747)&gt;1,"MÜKERRER","OK"))))</f>
        <v/>
      </c>
    </row>
    <row r="1748" ht="16.5" customHeight="1" s="80">
      <c r="A1748" s="113" t="n"/>
      <c r="B1748" s="113" t="n"/>
      <c r="C1748" s="113" t="n"/>
      <c r="D1748" s="113" t="n"/>
      <c r="E1748" s="113" t="n"/>
      <c r="F1748" s="113" t="n"/>
      <c r="G1748" s="113" t="n"/>
      <c r="H1748" s="113" t="n"/>
      <c r="I1748" s="113" t="n"/>
      <c r="J1748" s="113" t="n"/>
      <c r="K1748" s="113" t="n"/>
      <c r="L1748" s="113" t="n"/>
      <c r="M1748" s="113" t="n"/>
      <c r="N1748" s="113" t="n"/>
      <c r="O1748" s="113" t="n"/>
      <c r="P1748" s="113" t="n"/>
      <c r="Q1748" s="113" t="n"/>
      <c r="R1748" s="113" t="n"/>
      <c r="S1748" s="113" t="n"/>
      <c r="T1748" s="113" t="n"/>
      <c r="U1748" s="113" t="n"/>
      <c r="V1748" s="113" t="n"/>
      <c r="W1748" s="113" t="n"/>
      <c r="X1748" s="113" t="n"/>
      <c r="Y1748" s="113" t="n"/>
      <c r="Z1748" s="117">
        <f>IF($B1748="",0,IF($S1748="EVET",IF($D1748="GELİR",$O1748,-$O1748),0))</f>
        <v/>
      </c>
      <c r="AA1748" s="117">
        <f>IF($B1748="",0,IF(OR($W1748="EVET",$X1748="EVET",$Y1748="EVET"),0,IF($D1748="GELİR",IF($E1748="SATIŞ İADESİ/İSKONTO",-$O1748,$O1748),-$O1748)))</f>
        <v/>
      </c>
      <c r="AB1748" s="117">
        <f>IF($B1748="","",IF(OR($D1748="",$E1748="",$O1748=""),"EKSİK",IF($O1748&lt;=0,"SIFIR/NEGATİF",IF(COUNTIFS($C$6:$C$5000,$C1748,$O$6:$O$5000,$O1748,$B$6:$B$5000,$B1748)&gt;1,"MÜKERRER","OK"))))</f>
        <v/>
      </c>
    </row>
    <row r="1749" ht="16.5" customHeight="1" s="80">
      <c r="A1749" s="113" t="n"/>
      <c r="B1749" s="113" t="n"/>
      <c r="C1749" s="113" t="n"/>
      <c r="D1749" s="113" t="n"/>
      <c r="E1749" s="113" t="n"/>
      <c r="F1749" s="113" t="n"/>
      <c r="G1749" s="113" t="n"/>
      <c r="H1749" s="113" t="n"/>
      <c r="I1749" s="113" t="n"/>
      <c r="J1749" s="113" t="n"/>
      <c r="K1749" s="113" t="n"/>
      <c r="L1749" s="113" t="n"/>
      <c r="M1749" s="113" t="n"/>
      <c r="N1749" s="113" t="n"/>
      <c r="O1749" s="113" t="n"/>
      <c r="P1749" s="113" t="n"/>
      <c r="Q1749" s="113" t="n"/>
      <c r="R1749" s="113" t="n"/>
      <c r="S1749" s="113" t="n"/>
      <c r="T1749" s="113" t="n"/>
      <c r="U1749" s="113" t="n"/>
      <c r="V1749" s="113" t="n"/>
      <c r="W1749" s="113" t="n"/>
      <c r="X1749" s="113" t="n"/>
      <c r="Y1749" s="113" t="n"/>
      <c r="Z1749" s="117">
        <f>IF($B1749="",0,IF($S1749="EVET",IF($D1749="GELİR",$O1749,-$O1749),0))</f>
        <v/>
      </c>
      <c r="AA1749" s="117">
        <f>IF($B1749="",0,IF(OR($W1749="EVET",$X1749="EVET",$Y1749="EVET"),0,IF($D1749="GELİR",IF($E1749="SATIŞ İADESİ/İSKONTO",-$O1749,$O1749),-$O1749)))</f>
        <v/>
      </c>
      <c r="AB1749" s="117">
        <f>IF($B1749="","",IF(OR($D1749="",$E1749="",$O1749=""),"EKSİK",IF($O1749&lt;=0,"SIFIR/NEGATİF",IF(COUNTIFS($C$6:$C$5000,$C1749,$O$6:$O$5000,$O1749,$B$6:$B$5000,$B1749)&gt;1,"MÜKERRER","OK"))))</f>
        <v/>
      </c>
    </row>
    <row r="1750" ht="16.5" customHeight="1" s="80">
      <c r="A1750" s="113" t="n"/>
      <c r="B1750" s="113" t="n"/>
      <c r="C1750" s="113" t="n"/>
      <c r="D1750" s="113" t="n"/>
      <c r="E1750" s="113" t="n"/>
      <c r="F1750" s="113" t="n"/>
      <c r="G1750" s="113" t="n"/>
      <c r="H1750" s="113" t="n"/>
      <c r="I1750" s="113" t="n"/>
      <c r="J1750" s="113" t="n"/>
      <c r="K1750" s="113" t="n"/>
      <c r="L1750" s="113" t="n"/>
      <c r="M1750" s="113" t="n"/>
      <c r="N1750" s="113" t="n"/>
      <c r="O1750" s="113" t="n"/>
      <c r="P1750" s="113" t="n"/>
      <c r="Q1750" s="113" t="n"/>
      <c r="R1750" s="113" t="n"/>
      <c r="S1750" s="113" t="n"/>
      <c r="T1750" s="113" t="n"/>
      <c r="U1750" s="113" t="n"/>
      <c r="V1750" s="113" t="n"/>
      <c r="W1750" s="113" t="n"/>
      <c r="X1750" s="113" t="n"/>
      <c r="Y1750" s="113" t="n"/>
      <c r="Z1750" s="117">
        <f>IF($B1750="",0,IF($S1750="EVET",IF($D1750="GELİR",$O1750,-$O1750),0))</f>
        <v/>
      </c>
      <c r="AA1750" s="117">
        <f>IF($B1750="",0,IF(OR($W1750="EVET",$X1750="EVET",$Y1750="EVET"),0,IF($D1750="GELİR",IF($E1750="SATIŞ İADESİ/İSKONTO",-$O1750,$O1750),-$O1750)))</f>
        <v/>
      </c>
      <c r="AB1750" s="117">
        <f>IF($B1750="","",IF(OR($D1750="",$E1750="",$O1750=""),"EKSİK",IF($O1750&lt;=0,"SIFIR/NEGATİF",IF(COUNTIFS($C$6:$C$5000,$C1750,$O$6:$O$5000,$O1750,$B$6:$B$5000,$B1750)&gt;1,"MÜKERRER","OK"))))</f>
        <v/>
      </c>
    </row>
    <row r="1751" ht="16.5" customHeight="1" s="80">
      <c r="A1751" s="113" t="n"/>
      <c r="B1751" s="113" t="n"/>
      <c r="C1751" s="113" t="n"/>
      <c r="D1751" s="113" t="n"/>
      <c r="E1751" s="113" t="n"/>
      <c r="F1751" s="113" t="n"/>
      <c r="G1751" s="113" t="n"/>
      <c r="H1751" s="113" t="n"/>
      <c r="I1751" s="113" t="n"/>
      <c r="J1751" s="113" t="n"/>
      <c r="K1751" s="113" t="n"/>
      <c r="L1751" s="113" t="n"/>
      <c r="M1751" s="113" t="n"/>
      <c r="N1751" s="113" t="n"/>
      <c r="O1751" s="113" t="n"/>
      <c r="P1751" s="113" t="n"/>
      <c r="Q1751" s="113" t="n"/>
      <c r="R1751" s="113" t="n"/>
      <c r="S1751" s="113" t="n"/>
      <c r="T1751" s="113" t="n"/>
      <c r="U1751" s="113" t="n"/>
      <c r="V1751" s="113" t="n"/>
      <c r="W1751" s="113" t="n"/>
      <c r="X1751" s="113" t="n"/>
      <c r="Y1751" s="113" t="n"/>
      <c r="Z1751" s="117">
        <f>IF($B1751="",0,IF($S1751="EVET",IF($D1751="GELİR",$O1751,-$O1751),0))</f>
        <v/>
      </c>
      <c r="AA1751" s="117">
        <f>IF($B1751="",0,IF(OR($W1751="EVET",$X1751="EVET",$Y1751="EVET"),0,IF($D1751="GELİR",IF($E1751="SATIŞ İADESİ/İSKONTO",-$O1751,$O1751),-$O1751)))</f>
        <v/>
      </c>
      <c r="AB1751" s="117">
        <f>IF($B1751="","",IF(OR($D1751="",$E1751="",$O1751=""),"EKSİK",IF($O1751&lt;=0,"SIFIR/NEGATİF",IF(COUNTIFS($C$6:$C$5000,$C1751,$O$6:$O$5000,$O1751,$B$6:$B$5000,$B1751)&gt;1,"MÜKERRER","OK"))))</f>
        <v/>
      </c>
    </row>
    <row r="1752" ht="16.5" customHeight="1" s="80">
      <c r="A1752" s="113" t="n"/>
      <c r="B1752" s="113" t="n"/>
      <c r="C1752" s="113" t="n"/>
      <c r="D1752" s="113" t="n"/>
      <c r="E1752" s="113" t="n"/>
      <c r="F1752" s="113" t="n"/>
      <c r="G1752" s="113" t="n"/>
      <c r="H1752" s="113" t="n"/>
      <c r="I1752" s="113" t="n"/>
      <c r="J1752" s="113" t="n"/>
      <c r="K1752" s="113" t="n"/>
      <c r="L1752" s="113" t="n"/>
      <c r="M1752" s="113" t="n"/>
      <c r="N1752" s="113" t="n"/>
      <c r="O1752" s="113" t="n"/>
      <c r="P1752" s="113" t="n"/>
      <c r="Q1752" s="113" t="n"/>
      <c r="R1752" s="113" t="n"/>
      <c r="S1752" s="113" t="n"/>
      <c r="T1752" s="113" t="n"/>
      <c r="U1752" s="113" t="n"/>
      <c r="V1752" s="113" t="n"/>
      <c r="W1752" s="113" t="n"/>
      <c r="X1752" s="113" t="n"/>
      <c r="Y1752" s="113" t="n"/>
      <c r="Z1752" s="117">
        <f>IF($B1752="",0,IF($S1752="EVET",IF($D1752="GELİR",$O1752,-$O1752),0))</f>
        <v/>
      </c>
      <c r="AA1752" s="117">
        <f>IF($B1752="",0,IF(OR($W1752="EVET",$X1752="EVET",$Y1752="EVET"),0,IF($D1752="GELİR",IF($E1752="SATIŞ İADESİ/İSKONTO",-$O1752,$O1752),-$O1752)))</f>
        <v/>
      </c>
      <c r="AB1752" s="117">
        <f>IF($B1752="","",IF(OR($D1752="",$E1752="",$O1752=""),"EKSİK",IF($O1752&lt;=0,"SIFIR/NEGATİF",IF(COUNTIFS($C$6:$C$5000,$C1752,$O$6:$O$5000,$O1752,$B$6:$B$5000,$B1752)&gt;1,"MÜKERRER","OK"))))</f>
        <v/>
      </c>
    </row>
    <row r="1753" ht="16.5" customHeight="1" s="80">
      <c r="A1753" s="113" t="n"/>
      <c r="B1753" s="113" t="n"/>
      <c r="C1753" s="113" t="n"/>
      <c r="D1753" s="113" t="n"/>
      <c r="E1753" s="113" t="n"/>
      <c r="F1753" s="113" t="n"/>
      <c r="G1753" s="113" t="n"/>
      <c r="H1753" s="113" t="n"/>
      <c r="I1753" s="113" t="n"/>
      <c r="J1753" s="113" t="n"/>
      <c r="K1753" s="113" t="n"/>
      <c r="L1753" s="113" t="n"/>
      <c r="M1753" s="113" t="n"/>
      <c r="N1753" s="113" t="n"/>
      <c r="O1753" s="113" t="n"/>
      <c r="P1753" s="113" t="n"/>
      <c r="Q1753" s="113" t="n"/>
      <c r="R1753" s="113" t="n"/>
      <c r="S1753" s="113" t="n"/>
      <c r="T1753" s="113" t="n"/>
      <c r="U1753" s="113" t="n"/>
      <c r="V1753" s="113" t="n"/>
      <c r="W1753" s="113" t="n"/>
      <c r="X1753" s="113" t="n"/>
      <c r="Y1753" s="113" t="n"/>
      <c r="Z1753" s="117">
        <f>IF($B1753="",0,IF($S1753="EVET",IF($D1753="GELİR",$O1753,-$O1753),0))</f>
        <v/>
      </c>
      <c r="AA1753" s="117">
        <f>IF($B1753="",0,IF(OR($W1753="EVET",$X1753="EVET",$Y1753="EVET"),0,IF($D1753="GELİR",IF($E1753="SATIŞ İADESİ/İSKONTO",-$O1753,$O1753),-$O1753)))</f>
        <v/>
      </c>
      <c r="AB1753" s="117">
        <f>IF($B1753="","",IF(OR($D1753="",$E1753="",$O1753=""),"EKSİK",IF($O1753&lt;=0,"SIFIR/NEGATİF",IF(COUNTIFS($C$6:$C$5000,$C1753,$O$6:$O$5000,$O1753,$B$6:$B$5000,$B1753)&gt;1,"MÜKERRER","OK"))))</f>
        <v/>
      </c>
    </row>
    <row r="1754" ht="16.5" customHeight="1" s="80">
      <c r="A1754" s="113" t="n"/>
      <c r="B1754" s="113" t="n"/>
      <c r="C1754" s="113" t="n"/>
      <c r="D1754" s="113" t="n"/>
      <c r="E1754" s="113" t="n"/>
      <c r="F1754" s="113" t="n"/>
      <c r="G1754" s="113" t="n"/>
      <c r="H1754" s="113" t="n"/>
      <c r="I1754" s="113" t="n"/>
      <c r="J1754" s="113" t="n"/>
      <c r="K1754" s="113" t="n"/>
      <c r="L1754" s="113" t="n"/>
      <c r="M1754" s="113" t="n"/>
      <c r="N1754" s="113" t="n"/>
      <c r="O1754" s="113" t="n"/>
      <c r="P1754" s="113" t="n"/>
      <c r="Q1754" s="113" t="n"/>
      <c r="R1754" s="113" t="n"/>
      <c r="S1754" s="113" t="n"/>
      <c r="T1754" s="113" t="n"/>
      <c r="U1754" s="113" t="n"/>
      <c r="V1754" s="113" t="n"/>
      <c r="W1754" s="113" t="n"/>
      <c r="X1754" s="113" t="n"/>
      <c r="Y1754" s="113" t="n"/>
      <c r="Z1754" s="117">
        <f>IF($B1754="",0,IF($S1754="EVET",IF($D1754="GELİR",$O1754,-$O1754),0))</f>
        <v/>
      </c>
      <c r="AA1754" s="117">
        <f>IF($B1754="",0,IF(OR($W1754="EVET",$X1754="EVET",$Y1754="EVET"),0,IF($D1754="GELİR",IF($E1754="SATIŞ İADESİ/İSKONTO",-$O1754,$O1754),-$O1754)))</f>
        <v/>
      </c>
      <c r="AB1754" s="117">
        <f>IF($B1754="","",IF(OR($D1754="",$E1754="",$O1754=""),"EKSİK",IF($O1754&lt;=0,"SIFIR/NEGATİF",IF(COUNTIFS($C$6:$C$5000,$C1754,$O$6:$O$5000,$O1754,$B$6:$B$5000,$B1754)&gt;1,"MÜKERRER","OK"))))</f>
        <v/>
      </c>
    </row>
    <row r="1755" ht="16.5" customHeight="1" s="80">
      <c r="A1755" s="113" t="n"/>
      <c r="B1755" s="113" t="n"/>
      <c r="C1755" s="113" t="n"/>
      <c r="D1755" s="113" t="n"/>
      <c r="E1755" s="113" t="n"/>
      <c r="F1755" s="113" t="n"/>
      <c r="G1755" s="113" t="n"/>
      <c r="H1755" s="113" t="n"/>
      <c r="I1755" s="113" t="n"/>
      <c r="J1755" s="113" t="n"/>
      <c r="K1755" s="113" t="n"/>
      <c r="L1755" s="113" t="n"/>
      <c r="M1755" s="113" t="n"/>
      <c r="N1755" s="113" t="n"/>
      <c r="O1755" s="113" t="n"/>
      <c r="P1755" s="113" t="n"/>
      <c r="Q1755" s="113" t="n"/>
      <c r="R1755" s="113" t="n"/>
      <c r="S1755" s="113" t="n"/>
      <c r="T1755" s="113" t="n"/>
      <c r="U1755" s="113" t="n"/>
      <c r="V1755" s="113" t="n"/>
      <c r="W1755" s="113" t="n"/>
      <c r="X1755" s="113" t="n"/>
      <c r="Y1755" s="113" t="n"/>
      <c r="Z1755" s="117">
        <f>IF($B1755="",0,IF($S1755="EVET",IF($D1755="GELİR",$O1755,-$O1755),0))</f>
        <v/>
      </c>
      <c r="AA1755" s="117">
        <f>IF($B1755="",0,IF(OR($W1755="EVET",$X1755="EVET",$Y1755="EVET"),0,IF($D1755="GELİR",IF($E1755="SATIŞ İADESİ/İSKONTO",-$O1755,$O1755),-$O1755)))</f>
        <v/>
      </c>
      <c r="AB1755" s="117">
        <f>IF($B1755="","",IF(OR($D1755="",$E1755="",$O1755=""),"EKSİK",IF($O1755&lt;=0,"SIFIR/NEGATİF",IF(COUNTIFS($C$6:$C$5000,$C1755,$O$6:$O$5000,$O1755,$B$6:$B$5000,$B1755)&gt;1,"MÜKERRER","OK"))))</f>
        <v/>
      </c>
    </row>
    <row r="1756" ht="16.5" customHeight="1" s="80">
      <c r="A1756" s="113" t="n"/>
      <c r="B1756" s="113" t="n"/>
      <c r="C1756" s="113" t="n"/>
      <c r="D1756" s="113" t="n"/>
      <c r="E1756" s="113" t="n"/>
      <c r="F1756" s="113" t="n"/>
      <c r="G1756" s="113" t="n"/>
      <c r="H1756" s="113" t="n"/>
      <c r="I1756" s="113" t="n"/>
      <c r="J1756" s="113" t="n"/>
      <c r="K1756" s="113" t="n"/>
      <c r="L1756" s="113" t="n"/>
      <c r="M1756" s="113" t="n"/>
      <c r="N1756" s="113" t="n"/>
      <c r="O1756" s="113" t="n"/>
      <c r="P1756" s="113" t="n"/>
      <c r="Q1756" s="113" t="n"/>
      <c r="R1756" s="113" t="n"/>
      <c r="S1756" s="113" t="n"/>
      <c r="T1756" s="113" t="n"/>
      <c r="U1756" s="113" t="n"/>
      <c r="V1756" s="113" t="n"/>
      <c r="W1756" s="113" t="n"/>
      <c r="X1756" s="113" t="n"/>
      <c r="Y1756" s="113" t="n"/>
      <c r="Z1756" s="117">
        <f>IF($B1756="",0,IF($S1756="EVET",IF($D1756="GELİR",$O1756,-$O1756),0))</f>
        <v/>
      </c>
      <c r="AA1756" s="117">
        <f>IF($B1756="",0,IF(OR($W1756="EVET",$X1756="EVET",$Y1756="EVET"),0,IF($D1756="GELİR",IF($E1756="SATIŞ İADESİ/İSKONTO",-$O1756,$O1756),-$O1756)))</f>
        <v/>
      </c>
      <c r="AB1756" s="117">
        <f>IF($B1756="","",IF(OR($D1756="",$E1756="",$O1756=""),"EKSİK",IF($O1756&lt;=0,"SIFIR/NEGATİF",IF(COUNTIFS($C$6:$C$5000,$C1756,$O$6:$O$5000,$O1756,$B$6:$B$5000,$B1756)&gt;1,"MÜKERRER","OK"))))</f>
        <v/>
      </c>
    </row>
    <row r="1757" ht="16.5" customHeight="1" s="80">
      <c r="A1757" s="113" t="n"/>
      <c r="B1757" s="113" t="n"/>
      <c r="C1757" s="113" t="n"/>
      <c r="D1757" s="113" t="n"/>
      <c r="E1757" s="113" t="n"/>
      <c r="F1757" s="113" t="n"/>
      <c r="G1757" s="113" t="n"/>
      <c r="H1757" s="113" t="n"/>
      <c r="I1757" s="113" t="n"/>
      <c r="J1757" s="113" t="n"/>
      <c r="K1757" s="113" t="n"/>
      <c r="L1757" s="113" t="n"/>
      <c r="M1757" s="113" t="n"/>
      <c r="N1757" s="113" t="n"/>
      <c r="O1757" s="113" t="n"/>
      <c r="P1757" s="113" t="n"/>
      <c r="Q1757" s="113" t="n"/>
      <c r="R1757" s="113" t="n"/>
      <c r="S1757" s="113" t="n"/>
      <c r="T1757" s="113" t="n"/>
      <c r="U1757" s="113" t="n"/>
      <c r="V1757" s="113" t="n"/>
      <c r="W1757" s="113" t="n"/>
      <c r="X1757" s="113" t="n"/>
      <c r="Y1757" s="113" t="n"/>
      <c r="Z1757" s="117">
        <f>IF($B1757="",0,IF($S1757="EVET",IF($D1757="GELİR",$O1757,-$O1757),0))</f>
        <v/>
      </c>
      <c r="AA1757" s="117">
        <f>IF($B1757="",0,IF(OR($W1757="EVET",$X1757="EVET",$Y1757="EVET"),0,IF($D1757="GELİR",IF($E1757="SATIŞ İADESİ/İSKONTO",-$O1757,$O1757),-$O1757)))</f>
        <v/>
      </c>
      <c r="AB1757" s="117">
        <f>IF($B1757="","",IF(OR($D1757="",$E1757="",$O1757=""),"EKSİK",IF($O1757&lt;=0,"SIFIR/NEGATİF",IF(COUNTIFS($C$6:$C$5000,$C1757,$O$6:$O$5000,$O1757,$B$6:$B$5000,$B1757)&gt;1,"MÜKERRER","OK"))))</f>
        <v/>
      </c>
    </row>
    <row r="1758" ht="16.5" customHeight="1" s="80">
      <c r="A1758" s="113" t="n"/>
      <c r="B1758" s="113" t="n"/>
      <c r="C1758" s="113" t="n"/>
      <c r="D1758" s="113" t="n"/>
      <c r="E1758" s="113" t="n"/>
      <c r="F1758" s="113" t="n"/>
      <c r="G1758" s="113" t="n"/>
      <c r="H1758" s="113" t="n"/>
      <c r="I1758" s="113" t="n"/>
      <c r="J1758" s="113" t="n"/>
      <c r="K1758" s="113" t="n"/>
      <c r="L1758" s="113" t="n"/>
      <c r="M1758" s="113" t="n"/>
      <c r="N1758" s="113" t="n"/>
      <c r="O1758" s="113" t="n"/>
      <c r="P1758" s="113" t="n"/>
      <c r="Q1758" s="113" t="n"/>
      <c r="R1758" s="113" t="n"/>
      <c r="S1758" s="113" t="n"/>
      <c r="T1758" s="113" t="n"/>
      <c r="U1758" s="113" t="n"/>
      <c r="V1758" s="113" t="n"/>
      <c r="W1758" s="113" t="n"/>
      <c r="X1758" s="113" t="n"/>
      <c r="Y1758" s="113" t="n"/>
      <c r="Z1758" s="117">
        <f>IF($B1758="",0,IF($S1758="EVET",IF($D1758="GELİR",$O1758,-$O1758),0))</f>
        <v/>
      </c>
      <c r="AA1758" s="117">
        <f>IF($B1758="",0,IF(OR($W1758="EVET",$X1758="EVET",$Y1758="EVET"),0,IF($D1758="GELİR",IF($E1758="SATIŞ İADESİ/İSKONTO",-$O1758,$O1758),-$O1758)))</f>
        <v/>
      </c>
      <c r="AB1758" s="117">
        <f>IF($B1758="","",IF(OR($D1758="",$E1758="",$O1758=""),"EKSİK",IF($O1758&lt;=0,"SIFIR/NEGATİF",IF(COUNTIFS($C$6:$C$5000,$C1758,$O$6:$O$5000,$O1758,$B$6:$B$5000,$B1758)&gt;1,"MÜKERRER","OK"))))</f>
        <v/>
      </c>
    </row>
    <row r="1759" ht="16.5" customHeight="1" s="80">
      <c r="A1759" s="113" t="n"/>
      <c r="B1759" s="113" t="n"/>
      <c r="C1759" s="113" t="n"/>
      <c r="D1759" s="113" t="n"/>
      <c r="E1759" s="113" t="n"/>
      <c r="F1759" s="113" t="n"/>
      <c r="G1759" s="113" t="n"/>
      <c r="H1759" s="113" t="n"/>
      <c r="I1759" s="113" t="n"/>
      <c r="J1759" s="113" t="n"/>
      <c r="K1759" s="113" t="n"/>
      <c r="L1759" s="113" t="n"/>
      <c r="M1759" s="113" t="n"/>
      <c r="N1759" s="113" t="n"/>
      <c r="O1759" s="113" t="n"/>
      <c r="P1759" s="113" t="n"/>
      <c r="Q1759" s="113" t="n"/>
      <c r="R1759" s="113" t="n"/>
      <c r="S1759" s="113" t="n"/>
      <c r="T1759" s="113" t="n"/>
      <c r="U1759" s="113" t="n"/>
      <c r="V1759" s="113" t="n"/>
      <c r="W1759" s="113" t="n"/>
      <c r="X1759" s="113" t="n"/>
      <c r="Y1759" s="113" t="n"/>
      <c r="Z1759" s="117">
        <f>IF($B1759="",0,IF($S1759="EVET",IF($D1759="GELİR",$O1759,-$O1759),0))</f>
        <v/>
      </c>
      <c r="AA1759" s="117">
        <f>IF($B1759="",0,IF(OR($W1759="EVET",$X1759="EVET",$Y1759="EVET"),0,IF($D1759="GELİR",IF($E1759="SATIŞ İADESİ/İSKONTO",-$O1759,$O1759),-$O1759)))</f>
        <v/>
      </c>
      <c r="AB1759" s="117">
        <f>IF($B1759="","",IF(OR($D1759="",$E1759="",$O1759=""),"EKSİK",IF($O1759&lt;=0,"SIFIR/NEGATİF",IF(COUNTIFS($C$6:$C$5000,$C1759,$O$6:$O$5000,$O1759,$B$6:$B$5000,$B1759)&gt;1,"MÜKERRER","OK"))))</f>
        <v/>
      </c>
    </row>
    <row r="1760" ht="16.5" customHeight="1" s="80">
      <c r="A1760" s="113" t="n"/>
      <c r="B1760" s="113" t="n"/>
      <c r="C1760" s="113" t="n"/>
      <c r="D1760" s="113" t="n"/>
      <c r="E1760" s="113" t="n"/>
      <c r="F1760" s="113" t="n"/>
      <c r="G1760" s="113" t="n"/>
      <c r="H1760" s="113" t="n"/>
      <c r="I1760" s="113" t="n"/>
      <c r="J1760" s="113" t="n"/>
      <c r="K1760" s="113" t="n"/>
      <c r="L1760" s="113" t="n"/>
      <c r="M1760" s="113" t="n"/>
      <c r="N1760" s="113" t="n"/>
      <c r="O1760" s="113" t="n"/>
      <c r="P1760" s="113" t="n"/>
      <c r="Q1760" s="113" t="n"/>
      <c r="R1760" s="113" t="n"/>
      <c r="S1760" s="113" t="n"/>
      <c r="T1760" s="113" t="n"/>
      <c r="U1760" s="113" t="n"/>
      <c r="V1760" s="113" t="n"/>
      <c r="W1760" s="113" t="n"/>
      <c r="X1760" s="113" t="n"/>
      <c r="Y1760" s="113" t="n"/>
      <c r="Z1760" s="117">
        <f>IF($B1760="",0,IF($S1760="EVET",IF($D1760="GELİR",$O1760,-$O1760),0))</f>
        <v/>
      </c>
      <c r="AA1760" s="117">
        <f>IF($B1760="",0,IF(OR($W1760="EVET",$X1760="EVET",$Y1760="EVET"),0,IF($D1760="GELİR",IF($E1760="SATIŞ İADESİ/İSKONTO",-$O1760,$O1760),-$O1760)))</f>
        <v/>
      </c>
      <c r="AB1760" s="117">
        <f>IF($B1760="","",IF(OR($D1760="",$E1760="",$O1760=""),"EKSİK",IF($O1760&lt;=0,"SIFIR/NEGATİF",IF(COUNTIFS($C$6:$C$5000,$C1760,$O$6:$O$5000,$O1760,$B$6:$B$5000,$B1760)&gt;1,"MÜKERRER","OK"))))</f>
        <v/>
      </c>
    </row>
    <row r="1761" ht="16.5" customHeight="1" s="80">
      <c r="A1761" s="113" t="n"/>
      <c r="B1761" s="113" t="n"/>
      <c r="C1761" s="113" t="n"/>
      <c r="D1761" s="113" t="n"/>
      <c r="E1761" s="113" t="n"/>
      <c r="F1761" s="113" t="n"/>
      <c r="G1761" s="113" t="n"/>
      <c r="H1761" s="113" t="n"/>
      <c r="I1761" s="113" t="n"/>
      <c r="J1761" s="113" t="n"/>
      <c r="K1761" s="113" t="n"/>
      <c r="L1761" s="113" t="n"/>
      <c r="M1761" s="113" t="n"/>
      <c r="N1761" s="113" t="n"/>
      <c r="O1761" s="113" t="n"/>
      <c r="P1761" s="113" t="n"/>
      <c r="Q1761" s="113" t="n"/>
      <c r="R1761" s="113" t="n"/>
      <c r="S1761" s="113" t="n"/>
      <c r="T1761" s="113" t="n"/>
      <c r="U1761" s="113" t="n"/>
      <c r="V1761" s="113" t="n"/>
      <c r="W1761" s="113" t="n"/>
      <c r="X1761" s="113" t="n"/>
      <c r="Y1761" s="113" t="n"/>
      <c r="Z1761" s="117">
        <f>IF($B1761="",0,IF($S1761="EVET",IF($D1761="GELİR",$O1761,-$O1761),0))</f>
        <v/>
      </c>
      <c r="AA1761" s="117">
        <f>IF($B1761="",0,IF(OR($W1761="EVET",$X1761="EVET",$Y1761="EVET"),0,IF($D1761="GELİR",IF($E1761="SATIŞ İADESİ/İSKONTO",-$O1761,$O1761),-$O1761)))</f>
        <v/>
      </c>
      <c r="AB1761" s="117">
        <f>IF($B1761="","",IF(OR($D1761="",$E1761="",$O1761=""),"EKSİK",IF($O1761&lt;=0,"SIFIR/NEGATİF",IF(COUNTIFS($C$6:$C$5000,$C1761,$O$6:$O$5000,$O1761,$B$6:$B$5000,$B1761)&gt;1,"MÜKERRER","OK"))))</f>
        <v/>
      </c>
    </row>
    <row r="1762" ht="16.5" customHeight="1" s="80">
      <c r="A1762" s="113" t="n"/>
      <c r="B1762" s="113" t="n"/>
      <c r="C1762" s="113" t="n"/>
      <c r="D1762" s="113" t="n"/>
      <c r="E1762" s="113" t="n"/>
      <c r="F1762" s="113" t="n"/>
      <c r="G1762" s="113" t="n"/>
      <c r="H1762" s="113" t="n"/>
      <c r="I1762" s="113" t="n"/>
      <c r="J1762" s="113" t="n"/>
      <c r="K1762" s="113" t="n"/>
      <c r="L1762" s="113" t="n"/>
      <c r="M1762" s="113" t="n"/>
      <c r="N1762" s="113" t="n"/>
      <c r="O1762" s="113" t="n"/>
      <c r="P1762" s="113" t="n"/>
      <c r="Q1762" s="113" t="n"/>
      <c r="R1762" s="113" t="n"/>
      <c r="S1762" s="113" t="n"/>
      <c r="T1762" s="113" t="n"/>
      <c r="U1762" s="113" t="n"/>
      <c r="V1762" s="113" t="n"/>
      <c r="W1762" s="113" t="n"/>
      <c r="X1762" s="113" t="n"/>
      <c r="Y1762" s="113" t="n"/>
      <c r="Z1762" s="117">
        <f>IF($B1762="",0,IF($S1762="EVET",IF($D1762="GELİR",$O1762,-$O1762),0))</f>
        <v/>
      </c>
      <c r="AA1762" s="117">
        <f>IF($B1762="",0,IF(OR($W1762="EVET",$X1762="EVET",$Y1762="EVET"),0,IF($D1762="GELİR",IF($E1762="SATIŞ İADESİ/İSKONTO",-$O1762,$O1762),-$O1762)))</f>
        <v/>
      </c>
      <c r="AB1762" s="117">
        <f>IF($B1762="","",IF(OR($D1762="",$E1762="",$O1762=""),"EKSİK",IF($O1762&lt;=0,"SIFIR/NEGATİF",IF(COUNTIFS($C$6:$C$5000,$C1762,$O$6:$O$5000,$O1762,$B$6:$B$5000,$B1762)&gt;1,"MÜKERRER","OK"))))</f>
        <v/>
      </c>
    </row>
    <row r="1763" ht="16.5" customHeight="1" s="80">
      <c r="A1763" s="113" t="n"/>
      <c r="B1763" s="113" t="n"/>
      <c r="C1763" s="113" t="n"/>
      <c r="D1763" s="113" t="n"/>
      <c r="E1763" s="113" t="n"/>
      <c r="F1763" s="113" t="n"/>
      <c r="G1763" s="113" t="n"/>
      <c r="H1763" s="113" t="n"/>
      <c r="I1763" s="113" t="n"/>
      <c r="J1763" s="113" t="n"/>
      <c r="K1763" s="113" t="n"/>
      <c r="L1763" s="113" t="n"/>
      <c r="M1763" s="113" t="n"/>
      <c r="N1763" s="113" t="n"/>
      <c r="O1763" s="113" t="n"/>
      <c r="P1763" s="113" t="n"/>
      <c r="Q1763" s="113" t="n"/>
      <c r="R1763" s="113" t="n"/>
      <c r="S1763" s="113" t="n"/>
      <c r="T1763" s="113" t="n"/>
      <c r="U1763" s="113" t="n"/>
      <c r="V1763" s="113" t="n"/>
      <c r="W1763" s="113" t="n"/>
      <c r="X1763" s="113" t="n"/>
      <c r="Y1763" s="113" t="n"/>
      <c r="Z1763" s="117">
        <f>IF($B1763="",0,IF($S1763="EVET",IF($D1763="GELİR",$O1763,-$O1763),0))</f>
        <v/>
      </c>
      <c r="AA1763" s="117">
        <f>IF($B1763="",0,IF(OR($W1763="EVET",$X1763="EVET",$Y1763="EVET"),0,IF($D1763="GELİR",IF($E1763="SATIŞ İADESİ/İSKONTO",-$O1763,$O1763),-$O1763)))</f>
        <v/>
      </c>
      <c r="AB1763" s="117">
        <f>IF($B1763="","",IF(OR($D1763="",$E1763="",$O1763=""),"EKSİK",IF($O1763&lt;=0,"SIFIR/NEGATİF",IF(COUNTIFS($C$6:$C$5000,$C1763,$O$6:$O$5000,$O1763,$B$6:$B$5000,$B1763)&gt;1,"MÜKERRER","OK"))))</f>
        <v/>
      </c>
    </row>
    <row r="1764" ht="16.5" customHeight="1" s="80">
      <c r="A1764" s="113" t="n"/>
      <c r="B1764" s="113" t="n"/>
      <c r="C1764" s="113" t="n"/>
      <c r="D1764" s="113" t="n"/>
      <c r="E1764" s="113" t="n"/>
      <c r="F1764" s="113" t="n"/>
      <c r="G1764" s="113" t="n"/>
      <c r="H1764" s="113" t="n"/>
      <c r="I1764" s="113" t="n"/>
      <c r="J1764" s="113" t="n"/>
      <c r="K1764" s="113" t="n"/>
      <c r="L1764" s="113" t="n"/>
      <c r="M1764" s="113" t="n"/>
      <c r="N1764" s="113" t="n"/>
      <c r="O1764" s="113" t="n"/>
      <c r="P1764" s="113" t="n"/>
      <c r="Q1764" s="113" t="n"/>
      <c r="R1764" s="113" t="n"/>
      <c r="S1764" s="113" t="n"/>
      <c r="T1764" s="113" t="n"/>
      <c r="U1764" s="113" t="n"/>
      <c r="V1764" s="113" t="n"/>
      <c r="W1764" s="113" t="n"/>
      <c r="X1764" s="113" t="n"/>
      <c r="Y1764" s="113" t="n"/>
      <c r="Z1764" s="117">
        <f>IF($B1764="",0,IF($S1764="EVET",IF($D1764="GELİR",$O1764,-$O1764),0))</f>
        <v/>
      </c>
      <c r="AA1764" s="117">
        <f>IF($B1764="",0,IF(OR($W1764="EVET",$X1764="EVET",$Y1764="EVET"),0,IF($D1764="GELİR",IF($E1764="SATIŞ İADESİ/İSKONTO",-$O1764,$O1764),-$O1764)))</f>
        <v/>
      </c>
      <c r="AB1764" s="117">
        <f>IF($B1764="","",IF(OR($D1764="",$E1764="",$O1764=""),"EKSİK",IF($O1764&lt;=0,"SIFIR/NEGATİF",IF(COUNTIFS($C$6:$C$5000,$C1764,$O$6:$O$5000,$O1764,$B$6:$B$5000,$B1764)&gt;1,"MÜKERRER","OK"))))</f>
        <v/>
      </c>
    </row>
    <row r="1765" ht="16.5" customHeight="1" s="80">
      <c r="A1765" s="113" t="n"/>
      <c r="B1765" s="113" t="n"/>
      <c r="C1765" s="113" t="n"/>
      <c r="D1765" s="113" t="n"/>
      <c r="E1765" s="113" t="n"/>
      <c r="F1765" s="113" t="n"/>
      <c r="G1765" s="113" t="n"/>
      <c r="H1765" s="113" t="n"/>
      <c r="I1765" s="113" t="n"/>
      <c r="J1765" s="113" t="n"/>
      <c r="K1765" s="113" t="n"/>
      <c r="L1765" s="113" t="n"/>
      <c r="M1765" s="113" t="n"/>
      <c r="N1765" s="113" t="n"/>
      <c r="O1765" s="113" t="n"/>
      <c r="P1765" s="113" t="n"/>
      <c r="Q1765" s="113" t="n"/>
      <c r="R1765" s="113" t="n"/>
      <c r="S1765" s="113" t="n"/>
      <c r="T1765" s="113" t="n"/>
      <c r="U1765" s="113" t="n"/>
      <c r="V1765" s="113" t="n"/>
      <c r="W1765" s="113" t="n"/>
      <c r="X1765" s="113" t="n"/>
      <c r="Y1765" s="113" t="n"/>
      <c r="Z1765" s="117">
        <f>IF($B1765="",0,IF($S1765="EVET",IF($D1765="GELİR",$O1765,-$O1765),0))</f>
        <v/>
      </c>
      <c r="AA1765" s="117">
        <f>IF($B1765="",0,IF(OR($W1765="EVET",$X1765="EVET",$Y1765="EVET"),0,IF($D1765="GELİR",IF($E1765="SATIŞ İADESİ/İSKONTO",-$O1765,$O1765),-$O1765)))</f>
        <v/>
      </c>
      <c r="AB1765" s="117">
        <f>IF($B1765="","",IF(OR($D1765="",$E1765="",$O1765=""),"EKSİK",IF($O1765&lt;=0,"SIFIR/NEGATİF",IF(COUNTIFS($C$6:$C$5000,$C1765,$O$6:$O$5000,$O1765,$B$6:$B$5000,$B1765)&gt;1,"MÜKERRER","OK"))))</f>
        <v/>
      </c>
    </row>
    <row r="1766" ht="16.5" customHeight="1" s="80">
      <c r="A1766" s="113" t="n"/>
      <c r="B1766" s="113" t="n"/>
      <c r="C1766" s="113" t="n"/>
      <c r="D1766" s="113" t="n"/>
      <c r="E1766" s="113" t="n"/>
      <c r="F1766" s="113" t="n"/>
      <c r="G1766" s="113" t="n"/>
      <c r="H1766" s="113" t="n"/>
      <c r="I1766" s="113" t="n"/>
      <c r="J1766" s="113" t="n"/>
      <c r="K1766" s="113" t="n"/>
      <c r="L1766" s="113" t="n"/>
      <c r="M1766" s="113" t="n"/>
      <c r="N1766" s="113" t="n"/>
      <c r="O1766" s="113" t="n"/>
      <c r="P1766" s="113" t="n"/>
      <c r="Q1766" s="113" t="n"/>
      <c r="R1766" s="113" t="n"/>
      <c r="S1766" s="113" t="n"/>
      <c r="T1766" s="113" t="n"/>
      <c r="U1766" s="113" t="n"/>
      <c r="V1766" s="113" t="n"/>
      <c r="W1766" s="113" t="n"/>
      <c r="X1766" s="113" t="n"/>
      <c r="Y1766" s="113" t="n"/>
      <c r="Z1766" s="117">
        <f>IF($B1766="",0,IF($S1766="EVET",IF($D1766="GELİR",$O1766,-$O1766),0))</f>
        <v/>
      </c>
      <c r="AA1766" s="117">
        <f>IF($B1766="",0,IF(OR($W1766="EVET",$X1766="EVET",$Y1766="EVET"),0,IF($D1766="GELİR",IF($E1766="SATIŞ İADESİ/İSKONTO",-$O1766,$O1766),-$O1766)))</f>
        <v/>
      </c>
      <c r="AB1766" s="117">
        <f>IF($B1766="","",IF(OR($D1766="",$E1766="",$O1766=""),"EKSİK",IF($O1766&lt;=0,"SIFIR/NEGATİF",IF(COUNTIFS($C$6:$C$5000,$C1766,$O$6:$O$5000,$O1766,$B$6:$B$5000,$B1766)&gt;1,"MÜKERRER","OK"))))</f>
        <v/>
      </c>
    </row>
    <row r="1767" ht="16.5" customHeight="1" s="80">
      <c r="A1767" s="113" t="n"/>
      <c r="B1767" s="113" t="n"/>
      <c r="C1767" s="113" t="n"/>
      <c r="D1767" s="113" t="n"/>
      <c r="E1767" s="113" t="n"/>
      <c r="F1767" s="113" t="n"/>
      <c r="G1767" s="113" t="n"/>
      <c r="H1767" s="113" t="n"/>
      <c r="I1767" s="113" t="n"/>
      <c r="J1767" s="113" t="n"/>
      <c r="K1767" s="113" t="n"/>
      <c r="L1767" s="113" t="n"/>
      <c r="M1767" s="113" t="n"/>
      <c r="N1767" s="113" t="n"/>
      <c r="O1767" s="113" t="n"/>
      <c r="P1767" s="113" t="n"/>
      <c r="Q1767" s="113" t="n"/>
      <c r="R1767" s="113" t="n"/>
      <c r="S1767" s="113" t="n"/>
      <c r="T1767" s="113" t="n"/>
      <c r="U1767" s="113" t="n"/>
      <c r="V1767" s="113" t="n"/>
      <c r="W1767" s="113" t="n"/>
      <c r="X1767" s="113" t="n"/>
      <c r="Y1767" s="113" t="n"/>
      <c r="Z1767" s="117">
        <f>IF($B1767="",0,IF($S1767="EVET",IF($D1767="GELİR",$O1767,-$O1767),0))</f>
        <v/>
      </c>
      <c r="AA1767" s="117">
        <f>IF($B1767="",0,IF(OR($W1767="EVET",$X1767="EVET",$Y1767="EVET"),0,IF($D1767="GELİR",IF($E1767="SATIŞ İADESİ/İSKONTO",-$O1767,$O1767),-$O1767)))</f>
        <v/>
      </c>
      <c r="AB1767" s="117">
        <f>IF($B1767="","",IF(OR($D1767="",$E1767="",$O1767=""),"EKSİK",IF($O1767&lt;=0,"SIFIR/NEGATİF",IF(COUNTIFS($C$6:$C$5000,$C1767,$O$6:$O$5000,$O1767,$B$6:$B$5000,$B1767)&gt;1,"MÜKERRER","OK"))))</f>
        <v/>
      </c>
    </row>
    <row r="1768" ht="16.5" customHeight="1" s="80">
      <c r="A1768" s="113" t="n"/>
      <c r="B1768" s="113" t="n"/>
      <c r="C1768" s="113" t="n"/>
      <c r="D1768" s="113" t="n"/>
      <c r="E1768" s="113" t="n"/>
      <c r="F1768" s="113" t="n"/>
      <c r="G1768" s="113" t="n"/>
      <c r="H1768" s="113" t="n"/>
      <c r="I1768" s="113" t="n"/>
      <c r="J1768" s="113" t="n"/>
      <c r="K1768" s="113" t="n"/>
      <c r="L1768" s="113" t="n"/>
      <c r="M1768" s="113" t="n"/>
      <c r="N1768" s="113" t="n"/>
      <c r="O1768" s="113" t="n"/>
      <c r="P1768" s="113" t="n"/>
      <c r="Q1768" s="113" t="n"/>
      <c r="R1768" s="113" t="n"/>
      <c r="S1768" s="113" t="n"/>
      <c r="T1768" s="113" t="n"/>
      <c r="U1768" s="113" t="n"/>
      <c r="V1768" s="113" t="n"/>
      <c r="W1768" s="113" t="n"/>
      <c r="X1768" s="113" t="n"/>
      <c r="Y1768" s="113" t="n"/>
      <c r="Z1768" s="117">
        <f>IF($B1768="",0,IF($S1768="EVET",IF($D1768="GELİR",$O1768,-$O1768),0))</f>
        <v/>
      </c>
      <c r="AA1768" s="117">
        <f>IF($B1768="",0,IF(OR($W1768="EVET",$X1768="EVET",$Y1768="EVET"),0,IF($D1768="GELİR",IF($E1768="SATIŞ İADESİ/İSKONTO",-$O1768,$O1768),-$O1768)))</f>
        <v/>
      </c>
      <c r="AB1768" s="117">
        <f>IF($B1768="","",IF(OR($D1768="",$E1768="",$O1768=""),"EKSİK",IF($O1768&lt;=0,"SIFIR/NEGATİF",IF(COUNTIFS($C$6:$C$5000,$C1768,$O$6:$O$5000,$O1768,$B$6:$B$5000,$B1768)&gt;1,"MÜKERRER","OK"))))</f>
        <v/>
      </c>
    </row>
    <row r="1769" ht="16.5" customHeight="1" s="80">
      <c r="A1769" s="113" t="n"/>
      <c r="B1769" s="113" t="n"/>
      <c r="C1769" s="113" t="n"/>
      <c r="D1769" s="113" t="n"/>
      <c r="E1769" s="113" t="n"/>
      <c r="F1769" s="113" t="n"/>
      <c r="G1769" s="113" t="n"/>
      <c r="H1769" s="113" t="n"/>
      <c r="I1769" s="113" t="n"/>
      <c r="J1769" s="113" t="n"/>
      <c r="K1769" s="113" t="n"/>
      <c r="L1769" s="113" t="n"/>
      <c r="M1769" s="113" t="n"/>
      <c r="N1769" s="113" t="n"/>
      <c r="O1769" s="113" t="n"/>
      <c r="P1769" s="113" t="n"/>
      <c r="Q1769" s="113" t="n"/>
      <c r="R1769" s="113" t="n"/>
      <c r="S1769" s="113" t="n"/>
      <c r="T1769" s="113" t="n"/>
      <c r="U1769" s="113" t="n"/>
      <c r="V1769" s="113" t="n"/>
      <c r="W1769" s="113" t="n"/>
      <c r="X1769" s="113" t="n"/>
      <c r="Y1769" s="113" t="n"/>
      <c r="Z1769" s="117">
        <f>IF($B1769="",0,IF($S1769="EVET",IF($D1769="GELİR",$O1769,-$O1769),0))</f>
        <v/>
      </c>
      <c r="AA1769" s="117">
        <f>IF($B1769="",0,IF(OR($W1769="EVET",$X1769="EVET",$Y1769="EVET"),0,IF($D1769="GELİR",IF($E1769="SATIŞ İADESİ/İSKONTO",-$O1769,$O1769),-$O1769)))</f>
        <v/>
      </c>
      <c r="AB1769" s="117">
        <f>IF($B1769="","",IF(OR($D1769="",$E1769="",$O1769=""),"EKSİK",IF($O1769&lt;=0,"SIFIR/NEGATİF",IF(COUNTIFS($C$6:$C$5000,$C1769,$O$6:$O$5000,$O1769,$B$6:$B$5000,$B1769)&gt;1,"MÜKERRER","OK"))))</f>
        <v/>
      </c>
    </row>
    <row r="1770" ht="16.5" customHeight="1" s="80">
      <c r="A1770" s="113" t="n"/>
      <c r="B1770" s="113" t="n"/>
      <c r="C1770" s="113" t="n"/>
      <c r="D1770" s="113" t="n"/>
      <c r="E1770" s="113" t="n"/>
      <c r="F1770" s="113" t="n"/>
      <c r="G1770" s="113" t="n"/>
      <c r="H1770" s="113" t="n"/>
      <c r="I1770" s="113" t="n"/>
      <c r="J1770" s="113" t="n"/>
      <c r="K1770" s="113" t="n"/>
      <c r="L1770" s="113" t="n"/>
      <c r="M1770" s="113" t="n"/>
      <c r="N1770" s="113" t="n"/>
      <c r="O1770" s="113" t="n"/>
      <c r="P1770" s="113" t="n"/>
      <c r="Q1770" s="113" t="n"/>
      <c r="R1770" s="113" t="n"/>
      <c r="S1770" s="113" t="n"/>
      <c r="T1770" s="113" t="n"/>
      <c r="U1770" s="113" t="n"/>
      <c r="V1770" s="113" t="n"/>
      <c r="W1770" s="113" t="n"/>
      <c r="X1770" s="113" t="n"/>
      <c r="Y1770" s="113" t="n"/>
      <c r="Z1770" s="117">
        <f>IF($B1770="",0,IF($S1770="EVET",IF($D1770="GELİR",$O1770,-$O1770),0))</f>
        <v/>
      </c>
      <c r="AA1770" s="117">
        <f>IF($B1770="",0,IF(OR($W1770="EVET",$X1770="EVET",$Y1770="EVET"),0,IF($D1770="GELİR",IF($E1770="SATIŞ İADESİ/İSKONTO",-$O1770,$O1770),-$O1770)))</f>
        <v/>
      </c>
      <c r="AB1770" s="117">
        <f>IF($B1770="","",IF(OR($D1770="",$E1770="",$O1770=""),"EKSİK",IF($O1770&lt;=0,"SIFIR/NEGATİF",IF(COUNTIFS($C$6:$C$5000,$C1770,$O$6:$O$5000,$O1770,$B$6:$B$5000,$B1770)&gt;1,"MÜKERRER","OK"))))</f>
        <v/>
      </c>
    </row>
    <row r="1771" ht="16.5" customHeight="1" s="80">
      <c r="A1771" s="113" t="n"/>
      <c r="B1771" s="113" t="n"/>
      <c r="C1771" s="113" t="n"/>
      <c r="D1771" s="113" t="n"/>
      <c r="E1771" s="113" t="n"/>
      <c r="F1771" s="113" t="n"/>
      <c r="G1771" s="113" t="n"/>
      <c r="H1771" s="113" t="n"/>
      <c r="I1771" s="113" t="n"/>
      <c r="J1771" s="113" t="n"/>
      <c r="K1771" s="113" t="n"/>
      <c r="L1771" s="113" t="n"/>
      <c r="M1771" s="113" t="n"/>
      <c r="N1771" s="113" t="n"/>
      <c r="O1771" s="113" t="n"/>
      <c r="P1771" s="113" t="n"/>
      <c r="Q1771" s="113" t="n"/>
      <c r="R1771" s="113" t="n"/>
      <c r="S1771" s="113" t="n"/>
      <c r="T1771" s="113" t="n"/>
      <c r="U1771" s="113" t="n"/>
      <c r="V1771" s="113" t="n"/>
      <c r="W1771" s="113" t="n"/>
      <c r="X1771" s="113" t="n"/>
      <c r="Y1771" s="113" t="n"/>
      <c r="Z1771" s="117">
        <f>IF($B1771="",0,IF($S1771="EVET",IF($D1771="GELİR",$O1771,-$O1771),0))</f>
        <v/>
      </c>
      <c r="AA1771" s="117">
        <f>IF($B1771="",0,IF(OR($W1771="EVET",$X1771="EVET",$Y1771="EVET"),0,IF($D1771="GELİR",IF($E1771="SATIŞ İADESİ/İSKONTO",-$O1771,$O1771),-$O1771)))</f>
        <v/>
      </c>
      <c r="AB1771" s="117">
        <f>IF($B1771="","",IF(OR($D1771="",$E1771="",$O1771=""),"EKSİK",IF($O1771&lt;=0,"SIFIR/NEGATİF",IF(COUNTIFS($C$6:$C$5000,$C1771,$O$6:$O$5000,$O1771,$B$6:$B$5000,$B1771)&gt;1,"MÜKERRER","OK"))))</f>
        <v/>
      </c>
    </row>
    <row r="1772" ht="16.5" customHeight="1" s="80">
      <c r="A1772" s="113" t="n"/>
      <c r="B1772" s="113" t="n"/>
      <c r="C1772" s="113" t="n"/>
      <c r="D1772" s="113" t="n"/>
      <c r="E1772" s="113" t="n"/>
      <c r="F1772" s="113" t="n"/>
      <c r="G1772" s="113" t="n"/>
      <c r="H1772" s="113" t="n"/>
      <c r="I1772" s="113" t="n"/>
      <c r="J1772" s="113" t="n"/>
      <c r="K1772" s="113" t="n"/>
      <c r="L1772" s="113" t="n"/>
      <c r="M1772" s="113" t="n"/>
      <c r="N1772" s="113" t="n"/>
      <c r="O1772" s="113" t="n"/>
      <c r="P1772" s="113" t="n"/>
      <c r="Q1772" s="113" t="n"/>
      <c r="R1772" s="113" t="n"/>
      <c r="S1772" s="113" t="n"/>
      <c r="T1772" s="113" t="n"/>
      <c r="U1772" s="113" t="n"/>
      <c r="V1772" s="113" t="n"/>
      <c r="W1772" s="113" t="n"/>
      <c r="X1772" s="113" t="n"/>
      <c r="Y1772" s="113" t="n"/>
      <c r="Z1772" s="117">
        <f>IF($B1772="",0,IF($S1772="EVET",IF($D1772="GELİR",$O1772,-$O1772),0))</f>
        <v/>
      </c>
      <c r="AA1772" s="117">
        <f>IF($B1772="",0,IF(OR($W1772="EVET",$X1772="EVET",$Y1772="EVET"),0,IF($D1772="GELİR",IF($E1772="SATIŞ İADESİ/İSKONTO",-$O1772,$O1772),-$O1772)))</f>
        <v/>
      </c>
      <c r="AB1772" s="117">
        <f>IF($B1772="","",IF(OR($D1772="",$E1772="",$O1772=""),"EKSİK",IF($O1772&lt;=0,"SIFIR/NEGATİF",IF(COUNTIFS($C$6:$C$5000,$C1772,$O$6:$O$5000,$O1772,$B$6:$B$5000,$B1772)&gt;1,"MÜKERRER","OK"))))</f>
        <v/>
      </c>
    </row>
    <row r="1773" ht="16.5" customHeight="1" s="80">
      <c r="A1773" s="113" t="n"/>
      <c r="B1773" s="113" t="n"/>
      <c r="C1773" s="113" t="n"/>
      <c r="D1773" s="113" t="n"/>
      <c r="E1773" s="113" t="n"/>
      <c r="F1773" s="113" t="n"/>
      <c r="G1773" s="113" t="n"/>
      <c r="H1773" s="113" t="n"/>
      <c r="I1773" s="113" t="n"/>
      <c r="J1773" s="113" t="n"/>
      <c r="K1773" s="113" t="n"/>
      <c r="L1773" s="113" t="n"/>
      <c r="M1773" s="113" t="n"/>
      <c r="N1773" s="113" t="n"/>
      <c r="O1773" s="113" t="n"/>
      <c r="P1773" s="113" t="n"/>
      <c r="Q1773" s="113" t="n"/>
      <c r="R1773" s="113" t="n"/>
      <c r="S1773" s="113" t="n"/>
      <c r="T1773" s="113" t="n"/>
      <c r="U1773" s="113" t="n"/>
      <c r="V1773" s="113" t="n"/>
      <c r="W1773" s="113" t="n"/>
      <c r="X1773" s="113" t="n"/>
      <c r="Y1773" s="113" t="n"/>
      <c r="Z1773" s="117">
        <f>IF($B1773="",0,IF($S1773="EVET",IF($D1773="GELİR",$O1773,-$O1773),0))</f>
        <v/>
      </c>
      <c r="AA1773" s="117">
        <f>IF($B1773="",0,IF(OR($W1773="EVET",$X1773="EVET",$Y1773="EVET"),0,IF($D1773="GELİR",IF($E1773="SATIŞ İADESİ/İSKONTO",-$O1773,$O1773),-$O1773)))</f>
        <v/>
      </c>
      <c r="AB1773" s="117">
        <f>IF($B1773="","",IF(OR($D1773="",$E1773="",$O1773=""),"EKSİK",IF($O1773&lt;=0,"SIFIR/NEGATİF",IF(COUNTIFS($C$6:$C$5000,$C1773,$O$6:$O$5000,$O1773,$B$6:$B$5000,$B1773)&gt;1,"MÜKERRER","OK"))))</f>
        <v/>
      </c>
    </row>
    <row r="1774" ht="16.5" customHeight="1" s="80">
      <c r="A1774" s="113" t="n"/>
      <c r="B1774" s="113" t="n"/>
      <c r="C1774" s="113" t="n"/>
      <c r="D1774" s="113" t="n"/>
      <c r="E1774" s="113" t="n"/>
      <c r="F1774" s="113" t="n"/>
      <c r="G1774" s="113" t="n"/>
      <c r="H1774" s="113" t="n"/>
      <c r="I1774" s="113" t="n"/>
      <c r="J1774" s="113" t="n"/>
      <c r="K1774" s="113" t="n"/>
      <c r="L1774" s="113" t="n"/>
      <c r="M1774" s="113" t="n"/>
      <c r="N1774" s="113" t="n"/>
      <c r="O1774" s="113" t="n"/>
      <c r="P1774" s="113" t="n"/>
      <c r="Q1774" s="113" t="n"/>
      <c r="R1774" s="113" t="n"/>
      <c r="S1774" s="113" t="n"/>
      <c r="T1774" s="113" t="n"/>
      <c r="U1774" s="113" t="n"/>
      <c r="V1774" s="113" t="n"/>
      <c r="W1774" s="113" t="n"/>
      <c r="X1774" s="113" t="n"/>
      <c r="Y1774" s="113" t="n"/>
      <c r="Z1774" s="117">
        <f>IF($B1774="",0,IF($S1774="EVET",IF($D1774="GELİR",$O1774,-$O1774),0))</f>
        <v/>
      </c>
      <c r="AA1774" s="117">
        <f>IF($B1774="",0,IF(OR($W1774="EVET",$X1774="EVET",$Y1774="EVET"),0,IF($D1774="GELİR",IF($E1774="SATIŞ İADESİ/İSKONTO",-$O1774,$O1774),-$O1774)))</f>
        <v/>
      </c>
      <c r="AB1774" s="117">
        <f>IF($B1774="","",IF(OR($D1774="",$E1774="",$O1774=""),"EKSİK",IF($O1774&lt;=0,"SIFIR/NEGATİF",IF(COUNTIFS($C$6:$C$5000,$C1774,$O$6:$O$5000,$O1774,$B$6:$B$5000,$B1774)&gt;1,"MÜKERRER","OK"))))</f>
        <v/>
      </c>
    </row>
    <row r="1775" ht="16.5" customHeight="1" s="80">
      <c r="A1775" s="113" t="n"/>
      <c r="B1775" s="113" t="n"/>
      <c r="C1775" s="113" t="n"/>
      <c r="D1775" s="113" t="n"/>
      <c r="E1775" s="113" t="n"/>
      <c r="F1775" s="113" t="n"/>
      <c r="G1775" s="113" t="n"/>
      <c r="H1775" s="113" t="n"/>
      <c r="I1775" s="113" t="n"/>
      <c r="J1775" s="113" t="n"/>
      <c r="K1775" s="113" t="n"/>
      <c r="L1775" s="113" t="n"/>
      <c r="M1775" s="113" t="n"/>
      <c r="N1775" s="113" t="n"/>
      <c r="O1775" s="113" t="n"/>
      <c r="P1775" s="113" t="n"/>
      <c r="Q1775" s="113" t="n"/>
      <c r="R1775" s="113" t="n"/>
      <c r="S1775" s="113" t="n"/>
      <c r="T1775" s="113" t="n"/>
      <c r="U1775" s="113" t="n"/>
      <c r="V1775" s="113" t="n"/>
      <c r="W1775" s="113" t="n"/>
      <c r="X1775" s="113" t="n"/>
      <c r="Y1775" s="113" t="n"/>
      <c r="Z1775" s="117">
        <f>IF($B1775="",0,IF($S1775="EVET",IF($D1775="GELİR",$O1775,-$O1775),0))</f>
        <v/>
      </c>
      <c r="AA1775" s="117">
        <f>IF($B1775="",0,IF(OR($W1775="EVET",$X1775="EVET",$Y1775="EVET"),0,IF($D1775="GELİR",IF($E1775="SATIŞ İADESİ/İSKONTO",-$O1775,$O1775),-$O1775)))</f>
        <v/>
      </c>
      <c r="AB1775" s="117">
        <f>IF($B1775="","",IF(OR($D1775="",$E1775="",$O1775=""),"EKSİK",IF($O1775&lt;=0,"SIFIR/NEGATİF",IF(COUNTIFS($C$6:$C$5000,$C1775,$O$6:$O$5000,$O1775,$B$6:$B$5000,$B1775)&gt;1,"MÜKERRER","OK"))))</f>
        <v/>
      </c>
    </row>
    <row r="1776" ht="16.5" customHeight="1" s="80">
      <c r="A1776" s="113" t="n"/>
      <c r="B1776" s="113" t="n"/>
      <c r="C1776" s="113" t="n"/>
      <c r="D1776" s="113" t="n"/>
      <c r="E1776" s="113" t="n"/>
      <c r="F1776" s="113" t="n"/>
      <c r="G1776" s="113" t="n"/>
      <c r="H1776" s="113" t="n"/>
      <c r="I1776" s="113" t="n"/>
      <c r="J1776" s="113" t="n"/>
      <c r="K1776" s="113" t="n"/>
      <c r="L1776" s="113" t="n"/>
      <c r="M1776" s="113" t="n"/>
      <c r="N1776" s="113" t="n"/>
      <c r="O1776" s="113" t="n"/>
      <c r="P1776" s="113" t="n"/>
      <c r="Q1776" s="113" t="n"/>
      <c r="R1776" s="113" t="n"/>
      <c r="S1776" s="113" t="n"/>
      <c r="T1776" s="113" t="n"/>
      <c r="U1776" s="113" t="n"/>
      <c r="V1776" s="113" t="n"/>
      <c r="W1776" s="113" t="n"/>
      <c r="X1776" s="113" t="n"/>
      <c r="Y1776" s="113" t="n"/>
      <c r="Z1776" s="117">
        <f>IF($B1776="",0,IF($S1776="EVET",IF($D1776="GELİR",$O1776,-$O1776),0))</f>
        <v/>
      </c>
      <c r="AA1776" s="117">
        <f>IF($B1776="",0,IF(OR($W1776="EVET",$X1776="EVET",$Y1776="EVET"),0,IF($D1776="GELİR",IF($E1776="SATIŞ İADESİ/İSKONTO",-$O1776,$O1776),-$O1776)))</f>
        <v/>
      </c>
      <c r="AB1776" s="117">
        <f>IF($B1776="","",IF(OR($D1776="",$E1776="",$O1776=""),"EKSİK",IF($O1776&lt;=0,"SIFIR/NEGATİF",IF(COUNTIFS($C$6:$C$5000,$C1776,$O$6:$O$5000,$O1776,$B$6:$B$5000,$B1776)&gt;1,"MÜKERRER","OK"))))</f>
        <v/>
      </c>
    </row>
    <row r="1777" ht="16.5" customHeight="1" s="80">
      <c r="A1777" s="113" t="n"/>
      <c r="B1777" s="113" t="n"/>
      <c r="C1777" s="113" t="n"/>
      <c r="D1777" s="113" t="n"/>
      <c r="E1777" s="113" t="n"/>
      <c r="F1777" s="113" t="n"/>
      <c r="G1777" s="113" t="n"/>
      <c r="H1777" s="113" t="n"/>
      <c r="I1777" s="113" t="n"/>
      <c r="J1777" s="113" t="n"/>
      <c r="K1777" s="113" t="n"/>
      <c r="L1777" s="113" t="n"/>
      <c r="M1777" s="113" t="n"/>
      <c r="N1777" s="113" t="n"/>
      <c r="O1777" s="113" t="n"/>
      <c r="P1777" s="113" t="n"/>
      <c r="Q1777" s="113" t="n"/>
      <c r="R1777" s="113" t="n"/>
      <c r="S1777" s="113" t="n"/>
      <c r="T1777" s="113" t="n"/>
      <c r="U1777" s="113" t="n"/>
      <c r="V1777" s="113" t="n"/>
      <c r="W1777" s="113" t="n"/>
      <c r="X1777" s="113" t="n"/>
      <c r="Y1777" s="113" t="n"/>
      <c r="Z1777" s="117">
        <f>IF($B1777="",0,IF($S1777="EVET",IF($D1777="GELİR",$O1777,-$O1777),0))</f>
        <v/>
      </c>
      <c r="AA1777" s="117">
        <f>IF($B1777="",0,IF(OR($W1777="EVET",$X1777="EVET",$Y1777="EVET"),0,IF($D1777="GELİR",IF($E1777="SATIŞ İADESİ/İSKONTO",-$O1777,$O1777),-$O1777)))</f>
        <v/>
      </c>
      <c r="AB1777" s="117">
        <f>IF($B1777="","",IF(OR($D1777="",$E1777="",$O1777=""),"EKSİK",IF($O1777&lt;=0,"SIFIR/NEGATİF",IF(COUNTIFS($C$6:$C$5000,$C1777,$O$6:$O$5000,$O1777,$B$6:$B$5000,$B1777)&gt;1,"MÜKERRER","OK"))))</f>
        <v/>
      </c>
    </row>
    <row r="1778" ht="16.5" customHeight="1" s="80">
      <c r="A1778" s="113" t="n"/>
      <c r="B1778" s="113" t="n"/>
      <c r="C1778" s="113" t="n"/>
      <c r="D1778" s="113" t="n"/>
      <c r="E1778" s="113" t="n"/>
      <c r="F1778" s="113" t="n"/>
      <c r="G1778" s="113" t="n"/>
      <c r="H1778" s="113" t="n"/>
      <c r="I1778" s="113" t="n"/>
      <c r="J1778" s="113" t="n"/>
      <c r="K1778" s="113" t="n"/>
      <c r="L1778" s="113" t="n"/>
      <c r="M1778" s="113" t="n"/>
      <c r="N1778" s="113" t="n"/>
      <c r="O1778" s="113" t="n"/>
      <c r="P1778" s="113" t="n"/>
      <c r="Q1778" s="113" t="n"/>
      <c r="R1778" s="113" t="n"/>
      <c r="S1778" s="113" t="n"/>
      <c r="T1778" s="113" t="n"/>
      <c r="U1778" s="113" t="n"/>
      <c r="V1778" s="113" t="n"/>
      <c r="W1778" s="113" t="n"/>
      <c r="X1778" s="113" t="n"/>
      <c r="Y1778" s="113" t="n"/>
      <c r="Z1778" s="117">
        <f>IF($B1778="",0,IF($S1778="EVET",IF($D1778="GELİR",$O1778,-$O1778),0))</f>
        <v/>
      </c>
      <c r="AA1778" s="117">
        <f>IF($B1778="",0,IF(OR($W1778="EVET",$X1778="EVET",$Y1778="EVET"),0,IF($D1778="GELİR",IF($E1778="SATIŞ İADESİ/İSKONTO",-$O1778,$O1778),-$O1778)))</f>
        <v/>
      </c>
      <c r="AB1778" s="117">
        <f>IF($B1778="","",IF(OR($D1778="",$E1778="",$O1778=""),"EKSİK",IF($O1778&lt;=0,"SIFIR/NEGATİF",IF(COUNTIFS($C$6:$C$5000,$C1778,$O$6:$O$5000,$O1778,$B$6:$B$5000,$B1778)&gt;1,"MÜKERRER","OK"))))</f>
        <v/>
      </c>
    </row>
    <row r="1779" ht="16.5" customHeight="1" s="80">
      <c r="A1779" s="113" t="n"/>
      <c r="B1779" s="113" t="n"/>
      <c r="C1779" s="113" t="n"/>
      <c r="D1779" s="113" t="n"/>
      <c r="E1779" s="113" t="n"/>
      <c r="F1779" s="113" t="n"/>
      <c r="G1779" s="113" t="n"/>
      <c r="H1779" s="113" t="n"/>
      <c r="I1779" s="113" t="n"/>
      <c r="J1779" s="113" t="n"/>
      <c r="K1779" s="113" t="n"/>
      <c r="L1779" s="113" t="n"/>
      <c r="M1779" s="113" t="n"/>
      <c r="N1779" s="113" t="n"/>
      <c r="O1779" s="113" t="n"/>
      <c r="P1779" s="113" t="n"/>
      <c r="Q1779" s="113" t="n"/>
      <c r="R1779" s="113" t="n"/>
      <c r="S1779" s="113" t="n"/>
      <c r="T1779" s="113" t="n"/>
      <c r="U1779" s="113" t="n"/>
      <c r="V1779" s="113" t="n"/>
      <c r="W1779" s="113" t="n"/>
      <c r="X1779" s="113" t="n"/>
      <c r="Y1779" s="113" t="n"/>
      <c r="Z1779" s="117">
        <f>IF($B1779="",0,IF($S1779="EVET",IF($D1779="GELİR",$O1779,-$O1779),0))</f>
        <v/>
      </c>
      <c r="AA1779" s="117">
        <f>IF($B1779="",0,IF(OR($W1779="EVET",$X1779="EVET",$Y1779="EVET"),0,IF($D1779="GELİR",IF($E1779="SATIŞ İADESİ/İSKONTO",-$O1779,$O1779),-$O1779)))</f>
        <v/>
      </c>
      <c r="AB1779" s="117">
        <f>IF($B1779="","",IF(OR($D1779="",$E1779="",$O1779=""),"EKSİK",IF($O1779&lt;=0,"SIFIR/NEGATİF",IF(COUNTIFS($C$6:$C$5000,$C1779,$O$6:$O$5000,$O1779,$B$6:$B$5000,$B1779)&gt;1,"MÜKERRER","OK"))))</f>
        <v/>
      </c>
    </row>
    <row r="1780" ht="16.5" customHeight="1" s="80">
      <c r="A1780" s="113" t="n"/>
      <c r="B1780" s="113" t="n"/>
      <c r="C1780" s="113" t="n"/>
      <c r="D1780" s="113" t="n"/>
      <c r="E1780" s="113" t="n"/>
      <c r="F1780" s="113" t="n"/>
      <c r="G1780" s="113" t="n"/>
      <c r="H1780" s="113" t="n"/>
      <c r="I1780" s="113" t="n"/>
      <c r="J1780" s="113" t="n"/>
      <c r="K1780" s="113" t="n"/>
      <c r="L1780" s="113" t="n"/>
      <c r="M1780" s="113" t="n"/>
      <c r="N1780" s="113" t="n"/>
      <c r="O1780" s="113" t="n"/>
      <c r="P1780" s="113" t="n"/>
      <c r="Q1780" s="113" t="n"/>
      <c r="R1780" s="113" t="n"/>
      <c r="S1780" s="113" t="n"/>
      <c r="T1780" s="113" t="n"/>
      <c r="U1780" s="113" t="n"/>
      <c r="V1780" s="113" t="n"/>
      <c r="W1780" s="113" t="n"/>
      <c r="X1780" s="113" t="n"/>
      <c r="Y1780" s="113" t="n"/>
      <c r="Z1780" s="117">
        <f>IF($B1780="",0,IF($S1780="EVET",IF($D1780="GELİR",$O1780,-$O1780),0))</f>
        <v/>
      </c>
      <c r="AA1780" s="117">
        <f>IF($B1780="",0,IF(OR($W1780="EVET",$X1780="EVET",$Y1780="EVET"),0,IF($D1780="GELİR",IF($E1780="SATIŞ İADESİ/İSKONTO",-$O1780,$O1780),-$O1780)))</f>
        <v/>
      </c>
      <c r="AB1780" s="117">
        <f>IF($B1780="","",IF(OR($D1780="",$E1780="",$O1780=""),"EKSİK",IF($O1780&lt;=0,"SIFIR/NEGATİF",IF(COUNTIFS($C$6:$C$5000,$C1780,$O$6:$O$5000,$O1780,$B$6:$B$5000,$B1780)&gt;1,"MÜKERRER","OK"))))</f>
        <v/>
      </c>
    </row>
    <row r="1781" ht="16.5" customHeight="1" s="80">
      <c r="A1781" s="113" t="n"/>
      <c r="B1781" s="113" t="n"/>
      <c r="C1781" s="113" t="n"/>
      <c r="D1781" s="113" t="n"/>
      <c r="E1781" s="113" t="n"/>
      <c r="F1781" s="113" t="n"/>
      <c r="G1781" s="113" t="n"/>
      <c r="H1781" s="113" t="n"/>
      <c r="I1781" s="113" t="n"/>
      <c r="J1781" s="113" t="n"/>
      <c r="K1781" s="113" t="n"/>
      <c r="L1781" s="113" t="n"/>
      <c r="M1781" s="113" t="n"/>
      <c r="N1781" s="113" t="n"/>
      <c r="O1781" s="113" t="n"/>
      <c r="P1781" s="113" t="n"/>
      <c r="Q1781" s="113" t="n"/>
      <c r="R1781" s="113" t="n"/>
      <c r="S1781" s="113" t="n"/>
      <c r="T1781" s="113" t="n"/>
      <c r="U1781" s="113" t="n"/>
      <c r="V1781" s="113" t="n"/>
      <c r="W1781" s="113" t="n"/>
      <c r="X1781" s="113" t="n"/>
      <c r="Y1781" s="113" t="n"/>
      <c r="Z1781" s="117">
        <f>IF($B1781="",0,IF($S1781="EVET",IF($D1781="GELİR",$O1781,-$O1781),0))</f>
        <v/>
      </c>
      <c r="AA1781" s="117">
        <f>IF($B1781="",0,IF(OR($W1781="EVET",$X1781="EVET",$Y1781="EVET"),0,IF($D1781="GELİR",IF($E1781="SATIŞ İADESİ/İSKONTO",-$O1781,$O1781),-$O1781)))</f>
        <v/>
      </c>
      <c r="AB1781" s="117">
        <f>IF($B1781="","",IF(OR($D1781="",$E1781="",$O1781=""),"EKSİK",IF($O1781&lt;=0,"SIFIR/NEGATİF",IF(COUNTIFS($C$6:$C$5000,$C1781,$O$6:$O$5000,$O1781,$B$6:$B$5000,$B1781)&gt;1,"MÜKERRER","OK"))))</f>
        <v/>
      </c>
    </row>
    <row r="1782" ht="16.5" customHeight="1" s="80">
      <c r="A1782" s="113" t="n"/>
      <c r="B1782" s="113" t="n"/>
      <c r="C1782" s="113" t="n"/>
      <c r="D1782" s="113" t="n"/>
      <c r="E1782" s="113" t="n"/>
      <c r="F1782" s="113" t="n"/>
      <c r="G1782" s="113" t="n"/>
      <c r="H1782" s="113" t="n"/>
      <c r="I1782" s="113" t="n"/>
      <c r="J1782" s="113" t="n"/>
      <c r="K1782" s="113" t="n"/>
      <c r="L1782" s="113" t="n"/>
      <c r="M1782" s="113" t="n"/>
      <c r="N1782" s="113" t="n"/>
      <c r="O1782" s="113" t="n"/>
      <c r="P1782" s="113" t="n"/>
      <c r="Q1782" s="113" t="n"/>
      <c r="R1782" s="113" t="n"/>
      <c r="S1782" s="113" t="n"/>
      <c r="T1782" s="113" t="n"/>
      <c r="U1782" s="113" t="n"/>
      <c r="V1782" s="113" t="n"/>
      <c r="W1782" s="113" t="n"/>
      <c r="X1782" s="113" t="n"/>
      <c r="Y1782" s="113" t="n"/>
      <c r="Z1782" s="117">
        <f>IF($B1782="",0,IF($S1782="EVET",IF($D1782="GELİR",$O1782,-$O1782),0))</f>
        <v/>
      </c>
      <c r="AA1782" s="117">
        <f>IF($B1782="",0,IF(OR($W1782="EVET",$X1782="EVET",$Y1782="EVET"),0,IF($D1782="GELİR",IF($E1782="SATIŞ İADESİ/İSKONTO",-$O1782,$O1782),-$O1782)))</f>
        <v/>
      </c>
      <c r="AB1782" s="117">
        <f>IF($B1782="","",IF(OR($D1782="",$E1782="",$O1782=""),"EKSİK",IF($O1782&lt;=0,"SIFIR/NEGATİF",IF(COUNTIFS($C$6:$C$5000,$C1782,$O$6:$O$5000,$O1782,$B$6:$B$5000,$B1782)&gt;1,"MÜKERRER","OK"))))</f>
        <v/>
      </c>
    </row>
    <row r="1783" ht="16.5" customHeight="1" s="80">
      <c r="A1783" s="113" t="n"/>
      <c r="B1783" s="113" t="n"/>
      <c r="C1783" s="113" t="n"/>
      <c r="D1783" s="113" t="n"/>
      <c r="E1783" s="113" t="n"/>
      <c r="F1783" s="113" t="n"/>
      <c r="G1783" s="113" t="n"/>
      <c r="H1783" s="113" t="n"/>
      <c r="I1783" s="113" t="n"/>
      <c r="J1783" s="113" t="n"/>
      <c r="K1783" s="113" t="n"/>
      <c r="L1783" s="113" t="n"/>
      <c r="M1783" s="113" t="n"/>
      <c r="N1783" s="113" t="n"/>
      <c r="O1783" s="113" t="n"/>
      <c r="P1783" s="113" t="n"/>
      <c r="Q1783" s="113" t="n"/>
      <c r="R1783" s="113" t="n"/>
      <c r="S1783" s="113" t="n"/>
      <c r="T1783" s="113" t="n"/>
      <c r="U1783" s="113" t="n"/>
      <c r="V1783" s="113" t="n"/>
      <c r="W1783" s="113" t="n"/>
      <c r="X1783" s="113" t="n"/>
      <c r="Y1783" s="113" t="n"/>
      <c r="Z1783" s="117">
        <f>IF($B1783="",0,IF($S1783="EVET",IF($D1783="GELİR",$O1783,-$O1783),0))</f>
        <v/>
      </c>
      <c r="AA1783" s="117">
        <f>IF($B1783="",0,IF(OR($W1783="EVET",$X1783="EVET",$Y1783="EVET"),0,IF($D1783="GELİR",IF($E1783="SATIŞ İADESİ/İSKONTO",-$O1783,$O1783),-$O1783)))</f>
        <v/>
      </c>
      <c r="AB1783" s="117">
        <f>IF($B1783="","",IF(OR($D1783="",$E1783="",$O1783=""),"EKSİK",IF($O1783&lt;=0,"SIFIR/NEGATİF",IF(COUNTIFS($C$6:$C$5000,$C1783,$O$6:$O$5000,$O1783,$B$6:$B$5000,$B1783)&gt;1,"MÜKERRER","OK"))))</f>
        <v/>
      </c>
    </row>
    <row r="1784" ht="16.5" customHeight="1" s="80">
      <c r="A1784" s="113" t="n"/>
      <c r="B1784" s="113" t="n"/>
      <c r="C1784" s="113" t="n"/>
      <c r="D1784" s="113" t="n"/>
      <c r="E1784" s="113" t="n"/>
      <c r="F1784" s="113" t="n"/>
      <c r="G1784" s="113" t="n"/>
      <c r="H1784" s="113" t="n"/>
      <c r="I1784" s="113" t="n"/>
      <c r="J1784" s="113" t="n"/>
      <c r="K1784" s="113" t="n"/>
      <c r="L1784" s="113" t="n"/>
      <c r="M1784" s="113" t="n"/>
      <c r="N1784" s="113" t="n"/>
      <c r="O1784" s="113" t="n"/>
      <c r="P1784" s="113" t="n"/>
      <c r="Q1784" s="113" t="n"/>
      <c r="R1784" s="113" t="n"/>
      <c r="S1784" s="113" t="n"/>
      <c r="T1784" s="113" t="n"/>
      <c r="U1784" s="113" t="n"/>
      <c r="V1784" s="113" t="n"/>
      <c r="W1784" s="113" t="n"/>
      <c r="X1784" s="113" t="n"/>
      <c r="Y1784" s="113" t="n"/>
      <c r="Z1784" s="117">
        <f>IF($B1784="",0,IF($S1784="EVET",IF($D1784="GELİR",$O1784,-$O1784),0))</f>
        <v/>
      </c>
      <c r="AA1784" s="117">
        <f>IF($B1784="",0,IF(OR($W1784="EVET",$X1784="EVET",$Y1784="EVET"),0,IF($D1784="GELİR",IF($E1784="SATIŞ İADESİ/İSKONTO",-$O1784,$O1784),-$O1784)))</f>
        <v/>
      </c>
      <c r="AB1784" s="117">
        <f>IF($B1784="","",IF(OR($D1784="",$E1784="",$O1784=""),"EKSİK",IF($O1784&lt;=0,"SIFIR/NEGATİF",IF(COUNTIFS($C$6:$C$5000,$C1784,$O$6:$O$5000,$O1784,$B$6:$B$5000,$B1784)&gt;1,"MÜKERRER","OK"))))</f>
        <v/>
      </c>
    </row>
    <row r="1785" ht="16.5" customHeight="1" s="80">
      <c r="A1785" s="113" t="n"/>
      <c r="B1785" s="113" t="n"/>
      <c r="C1785" s="113" t="n"/>
      <c r="D1785" s="113" t="n"/>
      <c r="E1785" s="113" t="n"/>
      <c r="F1785" s="113" t="n"/>
      <c r="G1785" s="113" t="n"/>
      <c r="H1785" s="113" t="n"/>
      <c r="I1785" s="113" t="n"/>
      <c r="J1785" s="113" t="n"/>
      <c r="K1785" s="113" t="n"/>
      <c r="L1785" s="113" t="n"/>
      <c r="M1785" s="113" t="n"/>
      <c r="N1785" s="113" t="n"/>
      <c r="O1785" s="113" t="n"/>
      <c r="P1785" s="113" t="n"/>
      <c r="Q1785" s="113" t="n"/>
      <c r="R1785" s="113" t="n"/>
      <c r="S1785" s="113" t="n"/>
      <c r="T1785" s="113" t="n"/>
      <c r="U1785" s="113" t="n"/>
      <c r="V1785" s="113" t="n"/>
      <c r="W1785" s="113" t="n"/>
      <c r="X1785" s="113" t="n"/>
      <c r="Y1785" s="113" t="n"/>
      <c r="Z1785" s="117">
        <f>IF($B1785="",0,IF($S1785="EVET",IF($D1785="GELİR",$O1785,-$O1785),0))</f>
        <v/>
      </c>
      <c r="AA1785" s="117">
        <f>IF($B1785="",0,IF(OR($W1785="EVET",$X1785="EVET",$Y1785="EVET"),0,IF($D1785="GELİR",IF($E1785="SATIŞ İADESİ/İSKONTO",-$O1785,$O1785),-$O1785)))</f>
        <v/>
      </c>
      <c r="AB1785" s="117">
        <f>IF($B1785="","",IF(OR($D1785="",$E1785="",$O1785=""),"EKSİK",IF($O1785&lt;=0,"SIFIR/NEGATİF",IF(COUNTIFS($C$6:$C$5000,$C1785,$O$6:$O$5000,$O1785,$B$6:$B$5000,$B1785)&gt;1,"MÜKERRER","OK"))))</f>
        <v/>
      </c>
    </row>
    <row r="1786" ht="16.5" customHeight="1" s="80">
      <c r="A1786" s="113" t="n"/>
      <c r="B1786" s="113" t="n"/>
      <c r="C1786" s="113" t="n"/>
      <c r="D1786" s="113" t="n"/>
      <c r="E1786" s="113" t="n"/>
      <c r="F1786" s="113" t="n"/>
      <c r="G1786" s="113" t="n"/>
      <c r="H1786" s="113" t="n"/>
      <c r="I1786" s="113" t="n"/>
      <c r="J1786" s="113" t="n"/>
      <c r="K1786" s="113" t="n"/>
      <c r="L1786" s="113" t="n"/>
      <c r="M1786" s="113" t="n"/>
      <c r="N1786" s="113" t="n"/>
      <c r="O1786" s="113" t="n"/>
      <c r="P1786" s="113" t="n"/>
      <c r="Q1786" s="113" t="n"/>
      <c r="R1786" s="113" t="n"/>
      <c r="S1786" s="113" t="n"/>
      <c r="T1786" s="113" t="n"/>
      <c r="U1786" s="113" t="n"/>
      <c r="V1786" s="113" t="n"/>
      <c r="W1786" s="113" t="n"/>
      <c r="X1786" s="113" t="n"/>
      <c r="Y1786" s="113" t="n"/>
      <c r="Z1786" s="117">
        <f>IF($B1786="",0,IF($S1786="EVET",IF($D1786="GELİR",$O1786,-$O1786),0))</f>
        <v/>
      </c>
      <c r="AA1786" s="117">
        <f>IF($B1786="",0,IF(OR($W1786="EVET",$X1786="EVET",$Y1786="EVET"),0,IF($D1786="GELİR",IF($E1786="SATIŞ İADESİ/İSKONTO",-$O1786,$O1786),-$O1786)))</f>
        <v/>
      </c>
      <c r="AB1786" s="117">
        <f>IF($B1786="","",IF(OR($D1786="",$E1786="",$O1786=""),"EKSİK",IF($O1786&lt;=0,"SIFIR/NEGATİF",IF(COUNTIFS($C$6:$C$5000,$C1786,$O$6:$O$5000,$O1786,$B$6:$B$5000,$B1786)&gt;1,"MÜKERRER","OK"))))</f>
        <v/>
      </c>
    </row>
    <row r="1787" ht="16.5" customHeight="1" s="80">
      <c r="A1787" s="113" t="n"/>
      <c r="B1787" s="113" t="n"/>
      <c r="C1787" s="113" t="n"/>
      <c r="D1787" s="113" t="n"/>
      <c r="E1787" s="113" t="n"/>
      <c r="F1787" s="113" t="n"/>
      <c r="G1787" s="113" t="n"/>
      <c r="H1787" s="113" t="n"/>
      <c r="I1787" s="113" t="n"/>
      <c r="J1787" s="113" t="n"/>
      <c r="K1787" s="113" t="n"/>
      <c r="L1787" s="113" t="n"/>
      <c r="M1787" s="113" t="n"/>
      <c r="N1787" s="113" t="n"/>
      <c r="O1787" s="113" t="n"/>
      <c r="P1787" s="113" t="n"/>
      <c r="Q1787" s="113" t="n"/>
      <c r="R1787" s="113" t="n"/>
      <c r="S1787" s="113" t="n"/>
      <c r="T1787" s="113" t="n"/>
      <c r="U1787" s="113" t="n"/>
      <c r="V1787" s="113" t="n"/>
      <c r="W1787" s="113" t="n"/>
      <c r="X1787" s="113" t="n"/>
      <c r="Y1787" s="113" t="n"/>
      <c r="Z1787" s="117">
        <f>IF($B1787="",0,IF($S1787="EVET",IF($D1787="GELİR",$O1787,-$O1787),0))</f>
        <v/>
      </c>
      <c r="AA1787" s="117">
        <f>IF($B1787="",0,IF(OR($W1787="EVET",$X1787="EVET",$Y1787="EVET"),0,IF($D1787="GELİR",IF($E1787="SATIŞ İADESİ/İSKONTO",-$O1787,$O1787),-$O1787)))</f>
        <v/>
      </c>
      <c r="AB1787" s="117">
        <f>IF($B1787="","",IF(OR($D1787="",$E1787="",$O1787=""),"EKSİK",IF($O1787&lt;=0,"SIFIR/NEGATİF",IF(COUNTIFS($C$6:$C$5000,$C1787,$O$6:$O$5000,$O1787,$B$6:$B$5000,$B1787)&gt;1,"MÜKERRER","OK"))))</f>
        <v/>
      </c>
    </row>
    <row r="1788" ht="16.5" customHeight="1" s="80">
      <c r="A1788" s="113" t="n"/>
      <c r="B1788" s="113" t="n"/>
      <c r="C1788" s="113" t="n"/>
      <c r="D1788" s="113" t="n"/>
      <c r="E1788" s="113" t="n"/>
      <c r="F1788" s="113" t="n"/>
      <c r="G1788" s="113" t="n"/>
      <c r="H1788" s="113" t="n"/>
      <c r="I1788" s="113" t="n"/>
      <c r="J1788" s="113" t="n"/>
      <c r="K1788" s="113" t="n"/>
      <c r="L1788" s="113" t="n"/>
      <c r="M1788" s="113" t="n"/>
      <c r="N1788" s="113" t="n"/>
      <c r="O1788" s="113" t="n"/>
      <c r="P1788" s="113" t="n"/>
      <c r="Q1788" s="113" t="n"/>
      <c r="R1788" s="113" t="n"/>
      <c r="S1788" s="113" t="n"/>
      <c r="T1788" s="113" t="n"/>
      <c r="U1788" s="113" t="n"/>
      <c r="V1788" s="113" t="n"/>
      <c r="W1788" s="113" t="n"/>
      <c r="X1788" s="113" t="n"/>
      <c r="Y1788" s="113" t="n"/>
      <c r="Z1788" s="117">
        <f>IF($B1788="",0,IF($S1788="EVET",IF($D1788="GELİR",$O1788,-$O1788),0))</f>
        <v/>
      </c>
      <c r="AA1788" s="117">
        <f>IF($B1788="",0,IF(OR($W1788="EVET",$X1788="EVET",$Y1788="EVET"),0,IF($D1788="GELİR",IF($E1788="SATIŞ İADESİ/İSKONTO",-$O1788,$O1788),-$O1788)))</f>
        <v/>
      </c>
      <c r="AB1788" s="117">
        <f>IF($B1788="","",IF(OR($D1788="",$E1788="",$O1788=""),"EKSİK",IF($O1788&lt;=0,"SIFIR/NEGATİF",IF(COUNTIFS($C$6:$C$5000,$C1788,$O$6:$O$5000,$O1788,$B$6:$B$5000,$B1788)&gt;1,"MÜKERRER","OK"))))</f>
        <v/>
      </c>
    </row>
    <row r="1789" ht="16.5" customHeight="1" s="80">
      <c r="A1789" s="113" t="n"/>
      <c r="B1789" s="113" t="n"/>
      <c r="C1789" s="113" t="n"/>
      <c r="D1789" s="113" t="n"/>
      <c r="E1789" s="113" t="n"/>
      <c r="F1789" s="113" t="n"/>
      <c r="G1789" s="113" t="n"/>
      <c r="H1789" s="113" t="n"/>
      <c r="I1789" s="113" t="n"/>
      <c r="J1789" s="113" t="n"/>
      <c r="K1789" s="113" t="n"/>
      <c r="L1789" s="113" t="n"/>
      <c r="M1789" s="113" t="n"/>
      <c r="N1789" s="113" t="n"/>
      <c r="O1789" s="113" t="n"/>
      <c r="P1789" s="113" t="n"/>
      <c r="Q1789" s="113" t="n"/>
      <c r="R1789" s="113" t="n"/>
      <c r="S1789" s="113" t="n"/>
      <c r="T1789" s="113" t="n"/>
      <c r="U1789" s="113" t="n"/>
      <c r="V1789" s="113" t="n"/>
      <c r="W1789" s="113" t="n"/>
      <c r="X1789" s="113" t="n"/>
      <c r="Y1789" s="113" t="n"/>
      <c r="Z1789" s="117">
        <f>IF($B1789="",0,IF($S1789="EVET",IF($D1789="GELİR",$O1789,-$O1789),0))</f>
        <v/>
      </c>
      <c r="AA1789" s="117">
        <f>IF($B1789="",0,IF(OR($W1789="EVET",$X1789="EVET",$Y1789="EVET"),0,IF($D1789="GELİR",IF($E1789="SATIŞ İADESİ/İSKONTO",-$O1789,$O1789),-$O1789)))</f>
        <v/>
      </c>
      <c r="AB1789" s="117">
        <f>IF($B1789="","",IF(OR($D1789="",$E1789="",$O1789=""),"EKSİK",IF($O1789&lt;=0,"SIFIR/NEGATİF",IF(COUNTIFS($C$6:$C$5000,$C1789,$O$6:$O$5000,$O1789,$B$6:$B$5000,$B1789)&gt;1,"MÜKERRER","OK"))))</f>
        <v/>
      </c>
    </row>
    <row r="1790" ht="16.5" customHeight="1" s="80">
      <c r="A1790" s="113" t="n"/>
      <c r="B1790" s="113" t="n"/>
      <c r="C1790" s="113" t="n"/>
      <c r="D1790" s="113" t="n"/>
      <c r="E1790" s="113" t="n"/>
      <c r="F1790" s="113" t="n"/>
      <c r="G1790" s="113" t="n"/>
      <c r="H1790" s="113" t="n"/>
      <c r="I1790" s="113" t="n"/>
      <c r="J1790" s="113" t="n"/>
      <c r="K1790" s="113" t="n"/>
      <c r="L1790" s="113" t="n"/>
      <c r="M1790" s="113" t="n"/>
      <c r="N1790" s="113" t="n"/>
      <c r="O1790" s="113" t="n"/>
      <c r="P1790" s="113" t="n"/>
      <c r="Q1790" s="113" t="n"/>
      <c r="R1790" s="113" t="n"/>
      <c r="S1790" s="113" t="n"/>
      <c r="T1790" s="113" t="n"/>
      <c r="U1790" s="113" t="n"/>
      <c r="V1790" s="113" t="n"/>
      <c r="W1790" s="113" t="n"/>
      <c r="X1790" s="113" t="n"/>
      <c r="Y1790" s="113" t="n"/>
      <c r="Z1790" s="117">
        <f>IF($B1790="",0,IF($S1790="EVET",IF($D1790="GELİR",$O1790,-$O1790),0))</f>
        <v/>
      </c>
      <c r="AA1790" s="117">
        <f>IF($B1790="",0,IF(OR($W1790="EVET",$X1790="EVET",$Y1790="EVET"),0,IF($D1790="GELİR",IF($E1790="SATIŞ İADESİ/İSKONTO",-$O1790,$O1790),-$O1790)))</f>
        <v/>
      </c>
      <c r="AB1790" s="117">
        <f>IF($B1790="","",IF(OR($D1790="",$E1790="",$O1790=""),"EKSİK",IF($O1790&lt;=0,"SIFIR/NEGATİF",IF(COUNTIFS($C$6:$C$5000,$C1790,$O$6:$O$5000,$O1790,$B$6:$B$5000,$B1790)&gt;1,"MÜKERRER","OK"))))</f>
        <v/>
      </c>
    </row>
    <row r="1791" ht="16.5" customHeight="1" s="80">
      <c r="A1791" s="113" t="n"/>
      <c r="B1791" s="113" t="n"/>
      <c r="C1791" s="113" t="n"/>
      <c r="D1791" s="113" t="n"/>
      <c r="E1791" s="113" t="n"/>
      <c r="F1791" s="113" t="n"/>
      <c r="G1791" s="113" t="n"/>
      <c r="H1791" s="113" t="n"/>
      <c r="I1791" s="113" t="n"/>
      <c r="J1791" s="113" t="n"/>
      <c r="K1791" s="113" t="n"/>
      <c r="L1791" s="113" t="n"/>
      <c r="M1791" s="113" t="n"/>
      <c r="N1791" s="113" t="n"/>
      <c r="O1791" s="113" t="n"/>
      <c r="P1791" s="113" t="n"/>
      <c r="Q1791" s="113" t="n"/>
      <c r="R1791" s="113" t="n"/>
      <c r="S1791" s="113" t="n"/>
      <c r="T1791" s="113" t="n"/>
      <c r="U1791" s="113" t="n"/>
      <c r="V1791" s="113" t="n"/>
      <c r="W1791" s="113" t="n"/>
      <c r="X1791" s="113" t="n"/>
      <c r="Y1791" s="113" t="n"/>
      <c r="Z1791" s="117">
        <f>IF($B1791="",0,IF($S1791="EVET",IF($D1791="GELİR",$O1791,-$O1791),0))</f>
        <v/>
      </c>
      <c r="AA1791" s="117">
        <f>IF($B1791="",0,IF(OR($W1791="EVET",$X1791="EVET",$Y1791="EVET"),0,IF($D1791="GELİR",IF($E1791="SATIŞ İADESİ/İSKONTO",-$O1791,$O1791),-$O1791)))</f>
        <v/>
      </c>
      <c r="AB1791" s="117">
        <f>IF($B1791="","",IF(OR($D1791="",$E1791="",$O1791=""),"EKSİK",IF($O1791&lt;=0,"SIFIR/NEGATİF",IF(COUNTIFS($C$6:$C$5000,$C1791,$O$6:$O$5000,$O1791,$B$6:$B$5000,$B1791)&gt;1,"MÜKERRER","OK"))))</f>
        <v/>
      </c>
    </row>
    <row r="1792" ht="16.5" customHeight="1" s="80">
      <c r="A1792" s="113" t="n"/>
      <c r="B1792" s="113" t="n"/>
      <c r="C1792" s="113" t="n"/>
      <c r="D1792" s="113" t="n"/>
      <c r="E1792" s="113" t="n"/>
      <c r="F1792" s="113" t="n"/>
      <c r="G1792" s="113" t="n"/>
      <c r="H1792" s="113" t="n"/>
      <c r="I1792" s="113" t="n"/>
      <c r="J1792" s="113" t="n"/>
      <c r="K1792" s="113" t="n"/>
      <c r="L1792" s="113" t="n"/>
      <c r="M1792" s="113" t="n"/>
      <c r="N1792" s="113" t="n"/>
      <c r="O1792" s="113" t="n"/>
      <c r="P1792" s="113" t="n"/>
      <c r="Q1792" s="113" t="n"/>
      <c r="R1792" s="113" t="n"/>
      <c r="S1792" s="113" t="n"/>
      <c r="T1792" s="113" t="n"/>
      <c r="U1792" s="113" t="n"/>
      <c r="V1792" s="113" t="n"/>
      <c r="W1792" s="113" t="n"/>
      <c r="X1792" s="113" t="n"/>
      <c r="Y1792" s="113" t="n"/>
      <c r="Z1792" s="117">
        <f>IF($B1792="",0,IF($S1792="EVET",IF($D1792="GELİR",$O1792,-$O1792),0))</f>
        <v/>
      </c>
      <c r="AA1792" s="117">
        <f>IF($B1792="",0,IF(OR($W1792="EVET",$X1792="EVET",$Y1792="EVET"),0,IF($D1792="GELİR",IF($E1792="SATIŞ İADESİ/İSKONTO",-$O1792,$O1792),-$O1792)))</f>
        <v/>
      </c>
      <c r="AB1792" s="117">
        <f>IF($B1792="","",IF(OR($D1792="",$E1792="",$O1792=""),"EKSİK",IF($O1792&lt;=0,"SIFIR/NEGATİF",IF(COUNTIFS($C$6:$C$5000,$C1792,$O$6:$O$5000,$O1792,$B$6:$B$5000,$B1792)&gt;1,"MÜKERRER","OK"))))</f>
        <v/>
      </c>
    </row>
    <row r="1793" ht="16.5" customHeight="1" s="80">
      <c r="A1793" s="113" t="n"/>
      <c r="B1793" s="113" t="n"/>
      <c r="C1793" s="113" t="n"/>
      <c r="D1793" s="113" t="n"/>
      <c r="E1793" s="113" t="n"/>
      <c r="F1793" s="113" t="n"/>
      <c r="G1793" s="113" t="n"/>
      <c r="H1793" s="113" t="n"/>
      <c r="I1793" s="113" t="n"/>
      <c r="J1793" s="113" t="n"/>
      <c r="K1793" s="113" t="n"/>
      <c r="L1793" s="113" t="n"/>
      <c r="M1793" s="113" t="n"/>
      <c r="N1793" s="113" t="n"/>
      <c r="O1793" s="113" t="n"/>
      <c r="P1793" s="113" t="n"/>
      <c r="Q1793" s="113" t="n"/>
      <c r="R1793" s="113" t="n"/>
      <c r="S1793" s="113" t="n"/>
      <c r="T1793" s="113" t="n"/>
      <c r="U1793" s="113" t="n"/>
      <c r="V1793" s="113" t="n"/>
      <c r="W1793" s="113" t="n"/>
      <c r="X1793" s="113" t="n"/>
      <c r="Y1793" s="113" t="n"/>
      <c r="Z1793" s="117">
        <f>IF($B1793="",0,IF($S1793="EVET",IF($D1793="GELİR",$O1793,-$O1793),0))</f>
        <v/>
      </c>
      <c r="AA1793" s="117">
        <f>IF($B1793="",0,IF(OR($W1793="EVET",$X1793="EVET",$Y1793="EVET"),0,IF($D1793="GELİR",IF($E1793="SATIŞ İADESİ/İSKONTO",-$O1793,$O1793),-$O1793)))</f>
        <v/>
      </c>
      <c r="AB1793" s="117">
        <f>IF($B1793="","",IF(OR($D1793="",$E1793="",$O1793=""),"EKSİK",IF($O1793&lt;=0,"SIFIR/NEGATİF",IF(COUNTIFS($C$6:$C$5000,$C1793,$O$6:$O$5000,$O1793,$B$6:$B$5000,$B1793)&gt;1,"MÜKERRER","OK"))))</f>
        <v/>
      </c>
    </row>
    <row r="1794" ht="16.5" customHeight="1" s="80">
      <c r="A1794" s="113" t="n"/>
      <c r="B1794" s="113" t="n"/>
      <c r="C1794" s="113" t="n"/>
      <c r="D1794" s="113" t="n"/>
      <c r="E1794" s="113" t="n"/>
      <c r="F1794" s="113" t="n"/>
      <c r="G1794" s="113" t="n"/>
      <c r="H1794" s="113" t="n"/>
      <c r="I1794" s="113" t="n"/>
      <c r="J1794" s="113" t="n"/>
      <c r="K1794" s="113" t="n"/>
      <c r="L1794" s="113" t="n"/>
      <c r="M1794" s="113" t="n"/>
      <c r="N1794" s="113" t="n"/>
      <c r="O1794" s="113" t="n"/>
      <c r="P1794" s="113" t="n"/>
      <c r="Q1794" s="113" t="n"/>
      <c r="R1794" s="113" t="n"/>
      <c r="S1794" s="113" t="n"/>
      <c r="T1794" s="113" t="n"/>
      <c r="U1794" s="113" t="n"/>
      <c r="V1794" s="113" t="n"/>
      <c r="W1794" s="113" t="n"/>
      <c r="X1794" s="113" t="n"/>
      <c r="Y1794" s="113" t="n"/>
      <c r="Z1794" s="117">
        <f>IF($B1794="",0,IF($S1794="EVET",IF($D1794="GELİR",$O1794,-$O1794),0))</f>
        <v/>
      </c>
      <c r="AA1794" s="117">
        <f>IF($B1794="",0,IF(OR($W1794="EVET",$X1794="EVET",$Y1794="EVET"),0,IF($D1794="GELİR",IF($E1794="SATIŞ İADESİ/İSKONTO",-$O1794,$O1794),-$O1794)))</f>
        <v/>
      </c>
      <c r="AB1794" s="117">
        <f>IF($B1794="","",IF(OR($D1794="",$E1794="",$O1794=""),"EKSİK",IF($O1794&lt;=0,"SIFIR/NEGATİF",IF(COUNTIFS($C$6:$C$5000,$C1794,$O$6:$O$5000,$O1794,$B$6:$B$5000,$B1794)&gt;1,"MÜKERRER","OK"))))</f>
        <v/>
      </c>
    </row>
    <row r="1795" ht="16.5" customHeight="1" s="80">
      <c r="A1795" s="113" t="n"/>
      <c r="B1795" s="113" t="n"/>
      <c r="C1795" s="113" t="n"/>
      <c r="D1795" s="113" t="n"/>
      <c r="E1795" s="113" t="n"/>
      <c r="F1795" s="113" t="n"/>
      <c r="G1795" s="113" t="n"/>
      <c r="H1795" s="113" t="n"/>
      <c r="I1795" s="113" t="n"/>
      <c r="J1795" s="113" t="n"/>
      <c r="K1795" s="113" t="n"/>
      <c r="L1795" s="113" t="n"/>
      <c r="M1795" s="113" t="n"/>
      <c r="N1795" s="113" t="n"/>
      <c r="O1795" s="113" t="n"/>
      <c r="P1795" s="113" t="n"/>
      <c r="Q1795" s="113" t="n"/>
      <c r="R1795" s="113" t="n"/>
      <c r="S1795" s="113" t="n"/>
      <c r="T1795" s="113" t="n"/>
      <c r="U1795" s="113" t="n"/>
      <c r="V1795" s="113" t="n"/>
      <c r="W1795" s="113" t="n"/>
      <c r="X1795" s="113" t="n"/>
      <c r="Y1795" s="113" t="n"/>
      <c r="Z1795" s="117">
        <f>IF($B1795="",0,IF($S1795="EVET",IF($D1795="GELİR",$O1795,-$O1795),0))</f>
        <v/>
      </c>
      <c r="AA1795" s="117">
        <f>IF($B1795="",0,IF(OR($W1795="EVET",$X1795="EVET",$Y1795="EVET"),0,IF($D1795="GELİR",IF($E1795="SATIŞ İADESİ/İSKONTO",-$O1795,$O1795),-$O1795)))</f>
        <v/>
      </c>
      <c r="AB1795" s="117">
        <f>IF($B1795="","",IF(OR($D1795="",$E1795="",$O1795=""),"EKSİK",IF($O1795&lt;=0,"SIFIR/NEGATİF",IF(COUNTIFS($C$6:$C$5000,$C1795,$O$6:$O$5000,$O1795,$B$6:$B$5000,$B1795)&gt;1,"MÜKERRER","OK"))))</f>
        <v/>
      </c>
    </row>
    <row r="1796" ht="16.5" customHeight="1" s="80">
      <c r="A1796" s="113" t="n"/>
      <c r="B1796" s="113" t="n"/>
      <c r="C1796" s="113" t="n"/>
      <c r="D1796" s="113" t="n"/>
      <c r="E1796" s="113" t="n"/>
      <c r="F1796" s="113" t="n"/>
      <c r="G1796" s="113" t="n"/>
      <c r="H1796" s="113" t="n"/>
      <c r="I1796" s="113" t="n"/>
      <c r="J1796" s="113" t="n"/>
      <c r="K1796" s="113" t="n"/>
      <c r="L1796" s="113" t="n"/>
      <c r="M1796" s="113" t="n"/>
      <c r="N1796" s="113" t="n"/>
      <c r="O1796" s="113" t="n"/>
      <c r="P1796" s="113" t="n"/>
      <c r="Q1796" s="113" t="n"/>
      <c r="R1796" s="113" t="n"/>
      <c r="S1796" s="113" t="n"/>
      <c r="T1796" s="113" t="n"/>
      <c r="U1796" s="113" t="n"/>
      <c r="V1796" s="113" t="n"/>
      <c r="W1796" s="113" t="n"/>
      <c r="X1796" s="113" t="n"/>
      <c r="Y1796" s="113" t="n"/>
      <c r="Z1796" s="117">
        <f>IF($B1796="",0,IF($S1796="EVET",IF($D1796="GELİR",$O1796,-$O1796),0))</f>
        <v/>
      </c>
      <c r="AA1796" s="117">
        <f>IF($B1796="",0,IF(OR($W1796="EVET",$X1796="EVET",$Y1796="EVET"),0,IF($D1796="GELİR",IF($E1796="SATIŞ İADESİ/İSKONTO",-$O1796,$O1796),-$O1796)))</f>
        <v/>
      </c>
      <c r="AB1796" s="117">
        <f>IF($B1796="","",IF(OR($D1796="",$E1796="",$O1796=""),"EKSİK",IF($O1796&lt;=0,"SIFIR/NEGATİF",IF(COUNTIFS($C$6:$C$5000,$C1796,$O$6:$O$5000,$O1796,$B$6:$B$5000,$B1796)&gt;1,"MÜKERRER","OK"))))</f>
        <v/>
      </c>
    </row>
    <row r="1797" ht="16.5" customHeight="1" s="80">
      <c r="A1797" s="113" t="n"/>
      <c r="B1797" s="113" t="n"/>
      <c r="C1797" s="113" t="n"/>
      <c r="D1797" s="113" t="n"/>
      <c r="E1797" s="113" t="n"/>
      <c r="F1797" s="113" t="n"/>
      <c r="G1797" s="113" t="n"/>
      <c r="H1797" s="113" t="n"/>
      <c r="I1797" s="113" t="n"/>
      <c r="J1797" s="113" t="n"/>
      <c r="K1797" s="113" t="n"/>
      <c r="L1797" s="113" t="n"/>
      <c r="M1797" s="113" t="n"/>
      <c r="N1797" s="113" t="n"/>
      <c r="O1797" s="113" t="n"/>
      <c r="P1797" s="113" t="n"/>
      <c r="Q1797" s="113" t="n"/>
      <c r="R1797" s="113" t="n"/>
      <c r="S1797" s="113" t="n"/>
      <c r="T1797" s="113" t="n"/>
      <c r="U1797" s="113" t="n"/>
      <c r="V1797" s="113" t="n"/>
      <c r="W1797" s="113" t="n"/>
      <c r="X1797" s="113" t="n"/>
      <c r="Y1797" s="113" t="n"/>
      <c r="Z1797" s="117">
        <f>IF($B1797="",0,IF($S1797="EVET",IF($D1797="GELİR",$O1797,-$O1797),0))</f>
        <v/>
      </c>
      <c r="AA1797" s="117">
        <f>IF($B1797="",0,IF(OR($W1797="EVET",$X1797="EVET",$Y1797="EVET"),0,IF($D1797="GELİR",IF($E1797="SATIŞ İADESİ/İSKONTO",-$O1797,$O1797),-$O1797)))</f>
        <v/>
      </c>
      <c r="AB1797" s="117">
        <f>IF($B1797="","",IF(OR($D1797="",$E1797="",$O1797=""),"EKSİK",IF($O1797&lt;=0,"SIFIR/NEGATİF",IF(COUNTIFS($C$6:$C$5000,$C1797,$O$6:$O$5000,$O1797,$B$6:$B$5000,$B1797)&gt;1,"MÜKERRER","OK"))))</f>
        <v/>
      </c>
    </row>
    <row r="1798" ht="16.5" customHeight="1" s="80">
      <c r="A1798" s="113" t="n"/>
      <c r="B1798" s="113" t="n"/>
      <c r="C1798" s="113" t="n"/>
      <c r="D1798" s="113" t="n"/>
      <c r="E1798" s="113" t="n"/>
      <c r="F1798" s="113" t="n"/>
      <c r="G1798" s="113" t="n"/>
      <c r="H1798" s="113" t="n"/>
      <c r="I1798" s="113" t="n"/>
      <c r="J1798" s="113" t="n"/>
      <c r="K1798" s="113" t="n"/>
      <c r="L1798" s="113" t="n"/>
      <c r="M1798" s="113" t="n"/>
      <c r="N1798" s="113" t="n"/>
      <c r="O1798" s="113" t="n"/>
      <c r="P1798" s="113" t="n"/>
      <c r="Q1798" s="113" t="n"/>
      <c r="R1798" s="113" t="n"/>
      <c r="S1798" s="113" t="n"/>
      <c r="T1798" s="113" t="n"/>
      <c r="U1798" s="113" t="n"/>
      <c r="V1798" s="113" t="n"/>
      <c r="W1798" s="113" t="n"/>
      <c r="X1798" s="113" t="n"/>
      <c r="Y1798" s="113" t="n"/>
      <c r="Z1798" s="117">
        <f>IF($B1798="",0,IF($S1798="EVET",IF($D1798="GELİR",$O1798,-$O1798),0))</f>
        <v/>
      </c>
      <c r="AA1798" s="117">
        <f>IF($B1798="",0,IF(OR($W1798="EVET",$X1798="EVET",$Y1798="EVET"),0,IF($D1798="GELİR",IF($E1798="SATIŞ İADESİ/İSKONTO",-$O1798,$O1798),-$O1798)))</f>
        <v/>
      </c>
      <c r="AB1798" s="117">
        <f>IF($B1798="","",IF(OR($D1798="",$E1798="",$O1798=""),"EKSİK",IF($O1798&lt;=0,"SIFIR/NEGATİF",IF(COUNTIFS($C$6:$C$5000,$C1798,$O$6:$O$5000,$O1798,$B$6:$B$5000,$B1798)&gt;1,"MÜKERRER","OK"))))</f>
        <v/>
      </c>
    </row>
    <row r="1799" ht="16.5" customHeight="1" s="80">
      <c r="A1799" s="113" t="n"/>
      <c r="B1799" s="113" t="n"/>
      <c r="C1799" s="113" t="n"/>
      <c r="D1799" s="113" t="n"/>
      <c r="E1799" s="113" t="n"/>
      <c r="F1799" s="113" t="n"/>
      <c r="G1799" s="113" t="n"/>
      <c r="H1799" s="113" t="n"/>
      <c r="I1799" s="113" t="n"/>
      <c r="J1799" s="113" t="n"/>
      <c r="K1799" s="113" t="n"/>
      <c r="L1799" s="113" t="n"/>
      <c r="M1799" s="113" t="n"/>
      <c r="N1799" s="113" t="n"/>
      <c r="O1799" s="113" t="n"/>
      <c r="P1799" s="113" t="n"/>
      <c r="Q1799" s="113" t="n"/>
      <c r="R1799" s="113" t="n"/>
      <c r="S1799" s="113" t="n"/>
      <c r="T1799" s="113" t="n"/>
      <c r="U1799" s="113" t="n"/>
      <c r="V1799" s="113" t="n"/>
      <c r="W1799" s="113" t="n"/>
      <c r="X1799" s="113" t="n"/>
      <c r="Y1799" s="113" t="n"/>
      <c r="Z1799" s="117">
        <f>IF($B1799="",0,IF($S1799="EVET",IF($D1799="GELİR",$O1799,-$O1799),0))</f>
        <v/>
      </c>
      <c r="AA1799" s="117">
        <f>IF($B1799="",0,IF(OR($W1799="EVET",$X1799="EVET",$Y1799="EVET"),0,IF($D1799="GELİR",IF($E1799="SATIŞ İADESİ/İSKONTO",-$O1799,$O1799),-$O1799)))</f>
        <v/>
      </c>
      <c r="AB1799" s="117">
        <f>IF($B1799="","",IF(OR($D1799="",$E1799="",$O1799=""),"EKSİK",IF($O1799&lt;=0,"SIFIR/NEGATİF",IF(COUNTIFS($C$6:$C$5000,$C1799,$O$6:$O$5000,$O1799,$B$6:$B$5000,$B1799)&gt;1,"MÜKERRER","OK"))))</f>
        <v/>
      </c>
    </row>
    <row r="1800" ht="16.5" customHeight="1" s="80">
      <c r="A1800" s="113" t="n"/>
      <c r="B1800" s="113" t="n"/>
      <c r="C1800" s="113" t="n"/>
      <c r="D1800" s="113" t="n"/>
      <c r="E1800" s="113" t="n"/>
      <c r="F1800" s="113" t="n"/>
      <c r="G1800" s="113" t="n"/>
      <c r="H1800" s="113" t="n"/>
      <c r="I1800" s="113" t="n"/>
      <c r="J1800" s="113" t="n"/>
      <c r="K1800" s="113" t="n"/>
      <c r="L1800" s="113" t="n"/>
      <c r="M1800" s="113" t="n"/>
      <c r="N1800" s="113" t="n"/>
      <c r="O1800" s="113" t="n"/>
      <c r="P1800" s="113" t="n"/>
      <c r="Q1800" s="113" t="n"/>
      <c r="R1800" s="113" t="n"/>
      <c r="S1800" s="113" t="n"/>
      <c r="T1800" s="113" t="n"/>
      <c r="U1800" s="113" t="n"/>
      <c r="V1800" s="113" t="n"/>
      <c r="W1800" s="113" t="n"/>
      <c r="X1800" s="113" t="n"/>
      <c r="Y1800" s="113" t="n"/>
      <c r="Z1800" s="117">
        <f>IF($B1800="",0,IF($S1800="EVET",IF($D1800="GELİR",$O1800,-$O1800),0))</f>
        <v/>
      </c>
      <c r="AA1800" s="117">
        <f>IF($B1800="",0,IF(OR($W1800="EVET",$X1800="EVET",$Y1800="EVET"),0,IF($D1800="GELİR",IF($E1800="SATIŞ İADESİ/İSKONTO",-$O1800,$O1800),-$O1800)))</f>
        <v/>
      </c>
      <c r="AB1800" s="117">
        <f>IF($B1800="","",IF(OR($D1800="",$E1800="",$O1800=""),"EKSİK",IF($O1800&lt;=0,"SIFIR/NEGATİF",IF(COUNTIFS($C$6:$C$5000,$C1800,$O$6:$O$5000,$O1800,$B$6:$B$5000,$B1800)&gt;1,"MÜKERRER","OK"))))</f>
        <v/>
      </c>
    </row>
    <row r="1801" ht="16.5" customHeight="1" s="80">
      <c r="A1801" s="113" t="n"/>
      <c r="B1801" s="113" t="n"/>
      <c r="C1801" s="113" t="n"/>
      <c r="D1801" s="113" t="n"/>
      <c r="E1801" s="113" t="n"/>
      <c r="F1801" s="113" t="n"/>
      <c r="G1801" s="113" t="n"/>
      <c r="H1801" s="113" t="n"/>
      <c r="I1801" s="113" t="n"/>
      <c r="J1801" s="113" t="n"/>
      <c r="K1801" s="113" t="n"/>
      <c r="L1801" s="113" t="n"/>
      <c r="M1801" s="113" t="n"/>
      <c r="N1801" s="113" t="n"/>
      <c r="O1801" s="113" t="n"/>
      <c r="P1801" s="113" t="n"/>
      <c r="Q1801" s="113" t="n"/>
      <c r="R1801" s="113" t="n"/>
      <c r="S1801" s="113" t="n"/>
      <c r="T1801" s="113" t="n"/>
      <c r="U1801" s="113" t="n"/>
      <c r="V1801" s="113" t="n"/>
      <c r="W1801" s="113" t="n"/>
      <c r="X1801" s="113" t="n"/>
      <c r="Y1801" s="113" t="n"/>
      <c r="Z1801" s="117">
        <f>IF($B1801="",0,IF($S1801="EVET",IF($D1801="GELİR",$O1801,-$O1801),0))</f>
        <v/>
      </c>
      <c r="AA1801" s="117">
        <f>IF($B1801="",0,IF(OR($W1801="EVET",$X1801="EVET",$Y1801="EVET"),0,IF($D1801="GELİR",IF($E1801="SATIŞ İADESİ/İSKONTO",-$O1801,$O1801),-$O1801)))</f>
        <v/>
      </c>
      <c r="AB1801" s="117">
        <f>IF($B1801="","",IF(OR($D1801="",$E1801="",$O1801=""),"EKSİK",IF($O1801&lt;=0,"SIFIR/NEGATİF",IF(COUNTIFS($C$6:$C$5000,$C1801,$O$6:$O$5000,$O1801,$B$6:$B$5000,$B1801)&gt;1,"MÜKERRER","OK"))))</f>
        <v/>
      </c>
    </row>
    <row r="1802" ht="16.5" customHeight="1" s="80">
      <c r="A1802" s="113" t="n"/>
      <c r="B1802" s="113" t="n"/>
      <c r="C1802" s="113" t="n"/>
      <c r="D1802" s="113" t="n"/>
      <c r="E1802" s="113" t="n"/>
      <c r="F1802" s="113" t="n"/>
      <c r="G1802" s="113" t="n"/>
      <c r="H1802" s="113" t="n"/>
      <c r="I1802" s="113" t="n"/>
      <c r="J1802" s="113" t="n"/>
      <c r="K1802" s="113" t="n"/>
      <c r="L1802" s="113" t="n"/>
      <c r="M1802" s="113" t="n"/>
      <c r="N1802" s="113" t="n"/>
      <c r="O1802" s="113" t="n"/>
      <c r="P1802" s="113" t="n"/>
      <c r="Q1802" s="113" t="n"/>
      <c r="R1802" s="113" t="n"/>
      <c r="S1802" s="113" t="n"/>
      <c r="T1802" s="113" t="n"/>
      <c r="U1802" s="113" t="n"/>
      <c r="V1802" s="113" t="n"/>
      <c r="W1802" s="113" t="n"/>
      <c r="X1802" s="113" t="n"/>
      <c r="Y1802" s="113" t="n"/>
      <c r="Z1802" s="117">
        <f>IF($B1802="",0,IF($S1802="EVET",IF($D1802="GELİR",$O1802,-$O1802),0))</f>
        <v/>
      </c>
      <c r="AA1802" s="117">
        <f>IF($B1802="",0,IF(OR($W1802="EVET",$X1802="EVET",$Y1802="EVET"),0,IF($D1802="GELİR",IF($E1802="SATIŞ İADESİ/İSKONTO",-$O1802,$O1802),-$O1802)))</f>
        <v/>
      </c>
      <c r="AB1802" s="117">
        <f>IF($B1802="","",IF(OR($D1802="",$E1802="",$O1802=""),"EKSİK",IF($O1802&lt;=0,"SIFIR/NEGATİF",IF(COUNTIFS($C$6:$C$5000,$C1802,$O$6:$O$5000,$O1802,$B$6:$B$5000,$B1802)&gt;1,"MÜKERRER","OK"))))</f>
        <v/>
      </c>
    </row>
    <row r="1803" ht="16.5" customHeight="1" s="80">
      <c r="A1803" s="113" t="n"/>
      <c r="B1803" s="113" t="n"/>
      <c r="C1803" s="113" t="n"/>
      <c r="D1803" s="113" t="n"/>
      <c r="E1803" s="113" t="n"/>
      <c r="F1803" s="113" t="n"/>
      <c r="G1803" s="113" t="n"/>
      <c r="H1803" s="113" t="n"/>
      <c r="I1803" s="113" t="n"/>
      <c r="J1803" s="113" t="n"/>
      <c r="K1803" s="113" t="n"/>
      <c r="L1803" s="113" t="n"/>
      <c r="M1803" s="113" t="n"/>
      <c r="N1803" s="113" t="n"/>
      <c r="O1803" s="113" t="n"/>
      <c r="P1803" s="113" t="n"/>
      <c r="Q1803" s="113" t="n"/>
      <c r="R1803" s="113" t="n"/>
      <c r="S1803" s="113" t="n"/>
      <c r="T1803" s="113" t="n"/>
      <c r="U1803" s="113" t="n"/>
      <c r="V1803" s="113" t="n"/>
      <c r="W1803" s="113" t="n"/>
      <c r="X1803" s="113" t="n"/>
      <c r="Y1803" s="113" t="n"/>
      <c r="Z1803" s="117">
        <f>IF($B1803="",0,IF($S1803="EVET",IF($D1803="GELİR",$O1803,-$O1803),0))</f>
        <v/>
      </c>
      <c r="AA1803" s="117">
        <f>IF($B1803="",0,IF(OR($W1803="EVET",$X1803="EVET",$Y1803="EVET"),0,IF($D1803="GELİR",IF($E1803="SATIŞ İADESİ/İSKONTO",-$O1803,$O1803),-$O1803)))</f>
        <v/>
      </c>
      <c r="AB1803" s="117">
        <f>IF($B1803="","",IF(OR($D1803="",$E1803="",$O1803=""),"EKSİK",IF($O1803&lt;=0,"SIFIR/NEGATİF",IF(COUNTIFS($C$6:$C$5000,$C1803,$O$6:$O$5000,$O1803,$B$6:$B$5000,$B1803)&gt;1,"MÜKERRER","OK"))))</f>
        <v/>
      </c>
    </row>
    <row r="1804" ht="16.5" customHeight="1" s="80">
      <c r="A1804" s="113" t="n"/>
      <c r="B1804" s="113" t="n"/>
      <c r="C1804" s="113" t="n"/>
      <c r="D1804" s="113" t="n"/>
      <c r="E1804" s="113" t="n"/>
      <c r="F1804" s="113" t="n"/>
      <c r="G1804" s="113" t="n"/>
      <c r="H1804" s="113" t="n"/>
      <c r="I1804" s="113" t="n"/>
      <c r="J1804" s="113" t="n"/>
      <c r="K1804" s="113" t="n"/>
      <c r="L1804" s="113" t="n"/>
      <c r="M1804" s="113" t="n"/>
      <c r="N1804" s="113" t="n"/>
      <c r="O1804" s="113" t="n"/>
      <c r="P1804" s="113" t="n"/>
      <c r="Q1804" s="113" t="n"/>
      <c r="R1804" s="113" t="n"/>
      <c r="S1804" s="113" t="n"/>
      <c r="T1804" s="113" t="n"/>
      <c r="U1804" s="113" t="n"/>
      <c r="V1804" s="113" t="n"/>
      <c r="W1804" s="113" t="n"/>
      <c r="X1804" s="113" t="n"/>
      <c r="Y1804" s="113" t="n"/>
      <c r="Z1804" s="117">
        <f>IF($B1804="",0,IF($S1804="EVET",IF($D1804="GELİR",$O1804,-$O1804),0))</f>
        <v/>
      </c>
      <c r="AA1804" s="117">
        <f>IF($B1804="",0,IF(OR($W1804="EVET",$X1804="EVET",$Y1804="EVET"),0,IF($D1804="GELİR",IF($E1804="SATIŞ İADESİ/İSKONTO",-$O1804,$O1804),-$O1804)))</f>
        <v/>
      </c>
      <c r="AB1804" s="117">
        <f>IF($B1804="","",IF(OR($D1804="",$E1804="",$O1804=""),"EKSİK",IF($O1804&lt;=0,"SIFIR/NEGATİF",IF(COUNTIFS($C$6:$C$5000,$C1804,$O$6:$O$5000,$O1804,$B$6:$B$5000,$B1804)&gt;1,"MÜKERRER","OK"))))</f>
        <v/>
      </c>
    </row>
    <row r="1805" ht="16.5" customHeight="1" s="80">
      <c r="A1805" s="113" t="n"/>
      <c r="B1805" s="113" t="n"/>
      <c r="C1805" s="113" t="n"/>
      <c r="D1805" s="113" t="n"/>
      <c r="E1805" s="113" t="n"/>
      <c r="F1805" s="113" t="n"/>
      <c r="G1805" s="113" t="n"/>
      <c r="H1805" s="113" t="n"/>
      <c r="I1805" s="113" t="n"/>
      <c r="J1805" s="113" t="n"/>
      <c r="K1805" s="113" t="n"/>
      <c r="L1805" s="113" t="n"/>
      <c r="M1805" s="113" t="n"/>
      <c r="N1805" s="113" t="n"/>
      <c r="O1805" s="113" t="n"/>
      <c r="P1805" s="113" t="n"/>
      <c r="Q1805" s="113" t="n"/>
      <c r="R1805" s="113" t="n"/>
      <c r="S1805" s="113" t="n"/>
      <c r="T1805" s="113" t="n"/>
      <c r="U1805" s="113" t="n"/>
      <c r="V1805" s="113" t="n"/>
      <c r="W1805" s="113" t="n"/>
      <c r="X1805" s="113" t="n"/>
      <c r="Y1805" s="113" t="n"/>
      <c r="Z1805" s="117">
        <f>IF($B1805="",0,IF($S1805="EVET",IF($D1805="GELİR",$O1805,-$O1805),0))</f>
        <v/>
      </c>
      <c r="AA1805" s="117">
        <f>IF($B1805="",0,IF(OR($W1805="EVET",$X1805="EVET",$Y1805="EVET"),0,IF($D1805="GELİR",IF($E1805="SATIŞ İADESİ/İSKONTO",-$O1805,$O1805),-$O1805)))</f>
        <v/>
      </c>
      <c r="AB1805" s="117">
        <f>IF($B1805="","",IF(OR($D1805="",$E1805="",$O1805=""),"EKSİK",IF($O1805&lt;=0,"SIFIR/NEGATİF",IF(COUNTIFS($C$6:$C$5000,$C1805,$O$6:$O$5000,$O1805,$B$6:$B$5000,$B1805)&gt;1,"MÜKERRER","OK"))))</f>
        <v/>
      </c>
    </row>
    <row r="1806" ht="16.5" customHeight="1" s="80">
      <c r="A1806" s="113" t="n"/>
      <c r="B1806" s="113" t="n"/>
      <c r="C1806" s="113" t="n"/>
      <c r="D1806" s="113" t="n"/>
      <c r="E1806" s="113" t="n"/>
      <c r="F1806" s="113" t="n"/>
      <c r="G1806" s="113" t="n"/>
      <c r="H1806" s="113" t="n"/>
      <c r="I1806" s="113" t="n"/>
      <c r="J1806" s="113" t="n"/>
      <c r="K1806" s="113" t="n"/>
      <c r="L1806" s="113" t="n"/>
      <c r="M1806" s="113" t="n"/>
      <c r="N1806" s="113" t="n"/>
      <c r="O1806" s="113" t="n"/>
      <c r="P1806" s="113" t="n"/>
      <c r="Q1806" s="113" t="n"/>
      <c r="R1806" s="113" t="n"/>
      <c r="S1806" s="113" t="n"/>
      <c r="T1806" s="113" t="n"/>
      <c r="U1806" s="113" t="n"/>
      <c r="V1806" s="113" t="n"/>
      <c r="W1806" s="113" t="n"/>
      <c r="X1806" s="113" t="n"/>
      <c r="Y1806" s="113" t="n"/>
      <c r="Z1806" s="117">
        <f>IF($B1806="",0,IF($S1806="EVET",IF($D1806="GELİR",$O1806,-$O1806),0))</f>
        <v/>
      </c>
      <c r="AA1806" s="117">
        <f>IF($B1806="",0,IF(OR($W1806="EVET",$X1806="EVET",$Y1806="EVET"),0,IF($D1806="GELİR",IF($E1806="SATIŞ İADESİ/İSKONTO",-$O1806,$O1806),-$O1806)))</f>
        <v/>
      </c>
      <c r="AB1806" s="117">
        <f>IF($B1806="","",IF(OR($D1806="",$E1806="",$O1806=""),"EKSİK",IF($O1806&lt;=0,"SIFIR/NEGATİF",IF(COUNTIFS($C$6:$C$5000,$C1806,$O$6:$O$5000,$O1806,$B$6:$B$5000,$B1806)&gt;1,"MÜKERRER","OK"))))</f>
        <v/>
      </c>
    </row>
    <row r="1807" ht="16.5" customHeight="1" s="80">
      <c r="A1807" s="113" t="n"/>
      <c r="B1807" s="113" t="n"/>
      <c r="C1807" s="113" t="n"/>
      <c r="D1807" s="113" t="n"/>
      <c r="E1807" s="113" t="n"/>
      <c r="F1807" s="113" t="n"/>
      <c r="G1807" s="113" t="n"/>
      <c r="H1807" s="113" t="n"/>
      <c r="I1807" s="113" t="n"/>
      <c r="J1807" s="113" t="n"/>
      <c r="K1807" s="113" t="n"/>
      <c r="L1807" s="113" t="n"/>
      <c r="M1807" s="113" t="n"/>
      <c r="N1807" s="113" t="n"/>
      <c r="O1807" s="113" t="n"/>
      <c r="P1807" s="113" t="n"/>
      <c r="Q1807" s="113" t="n"/>
      <c r="R1807" s="113" t="n"/>
      <c r="S1807" s="113" t="n"/>
      <c r="T1807" s="113" t="n"/>
      <c r="U1807" s="113" t="n"/>
      <c r="V1807" s="113" t="n"/>
      <c r="W1807" s="113" t="n"/>
      <c r="X1807" s="113" t="n"/>
      <c r="Y1807" s="113" t="n"/>
      <c r="Z1807" s="117">
        <f>IF($B1807="",0,IF($S1807="EVET",IF($D1807="GELİR",$O1807,-$O1807),0))</f>
        <v/>
      </c>
      <c r="AA1807" s="117">
        <f>IF($B1807="",0,IF(OR($W1807="EVET",$X1807="EVET",$Y1807="EVET"),0,IF($D1807="GELİR",IF($E1807="SATIŞ İADESİ/İSKONTO",-$O1807,$O1807),-$O1807)))</f>
        <v/>
      </c>
      <c r="AB1807" s="117">
        <f>IF($B1807="","",IF(OR($D1807="",$E1807="",$O1807=""),"EKSİK",IF($O1807&lt;=0,"SIFIR/NEGATİF",IF(COUNTIFS($C$6:$C$5000,$C1807,$O$6:$O$5000,$O1807,$B$6:$B$5000,$B1807)&gt;1,"MÜKERRER","OK"))))</f>
        <v/>
      </c>
    </row>
    <row r="1808" ht="16.5" customHeight="1" s="80">
      <c r="A1808" s="113" t="n"/>
      <c r="B1808" s="113" t="n"/>
      <c r="C1808" s="113" t="n"/>
      <c r="D1808" s="113" t="n"/>
      <c r="E1808" s="113" t="n"/>
      <c r="F1808" s="113" t="n"/>
      <c r="G1808" s="113" t="n"/>
      <c r="H1808" s="113" t="n"/>
      <c r="I1808" s="113" t="n"/>
      <c r="J1808" s="113" t="n"/>
      <c r="K1808" s="113" t="n"/>
      <c r="L1808" s="113" t="n"/>
      <c r="M1808" s="113" t="n"/>
      <c r="N1808" s="113" t="n"/>
      <c r="O1808" s="113" t="n"/>
      <c r="P1808" s="113" t="n"/>
      <c r="Q1808" s="113" t="n"/>
      <c r="R1808" s="113" t="n"/>
      <c r="S1808" s="113" t="n"/>
      <c r="T1808" s="113" t="n"/>
      <c r="U1808" s="113" t="n"/>
      <c r="V1808" s="113" t="n"/>
      <c r="W1808" s="113" t="n"/>
      <c r="X1808" s="113" t="n"/>
      <c r="Y1808" s="113" t="n"/>
      <c r="Z1808" s="117">
        <f>IF($B1808="",0,IF($S1808="EVET",IF($D1808="GELİR",$O1808,-$O1808),0))</f>
        <v/>
      </c>
      <c r="AA1808" s="117">
        <f>IF($B1808="",0,IF(OR($W1808="EVET",$X1808="EVET",$Y1808="EVET"),0,IF($D1808="GELİR",IF($E1808="SATIŞ İADESİ/İSKONTO",-$O1808,$O1808),-$O1808)))</f>
        <v/>
      </c>
      <c r="AB1808" s="117">
        <f>IF($B1808="","",IF(OR($D1808="",$E1808="",$O1808=""),"EKSİK",IF($O1808&lt;=0,"SIFIR/NEGATİF",IF(COUNTIFS($C$6:$C$5000,$C1808,$O$6:$O$5000,$O1808,$B$6:$B$5000,$B1808)&gt;1,"MÜKERRER","OK"))))</f>
        <v/>
      </c>
    </row>
    <row r="1809" ht="16.5" customHeight="1" s="80">
      <c r="A1809" s="113" t="n"/>
      <c r="B1809" s="113" t="n"/>
      <c r="C1809" s="113" t="n"/>
      <c r="D1809" s="113" t="n"/>
      <c r="E1809" s="113" t="n"/>
      <c r="F1809" s="113" t="n"/>
      <c r="G1809" s="113" t="n"/>
      <c r="H1809" s="113" t="n"/>
      <c r="I1809" s="113" t="n"/>
      <c r="J1809" s="113" t="n"/>
      <c r="K1809" s="113" t="n"/>
      <c r="L1809" s="113" t="n"/>
      <c r="M1809" s="113" t="n"/>
      <c r="N1809" s="113" t="n"/>
      <c r="O1809" s="113" t="n"/>
      <c r="P1809" s="113" t="n"/>
      <c r="Q1809" s="113" t="n"/>
      <c r="R1809" s="113" t="n"/>
      <c r="S1809" s="113" t="n"/>
      <c r="T1809" s="113" t="n"/>
      <c r="U1809" s="113" t="n"/>
      <c r="V1809" s="113" t="n"/>
      <c r="W1809" s="113" t="n"/>
      <c r="X1809" s="113" t="n"/>
      <c r="Y1809" s="113" t="n"/>
      <c r="Z1809" s="117">
        <f>IF($B1809="",0,IF($S1809="EVET",IF($D1809="GELİR",$O1809,-$O1809),0))</f>
        <v/>
      </c>
      <c r="AA1809" s="117">
        <f>IF($B1809="",0,IF(OR($W1809="EVET",$X1809="EVET",$Y1809="EVET"),0,IF($D1809="GELİR",IF($E1809="SATIŞ İADESİ/İSKONTO",-$O1809,$O1809),-$O1809)))</f>
        <v/>
      </c>
      <c r="AB1809" s="117">
        <f>IF($B1809="","",IF(OR($D1809="",$E1809="",$O1809=""),"EKSİK",IF($O1809&lt;=0,"SIFIR/NEGATİF",IF(COUNTIFS($C$6:$C$5000,$C1809,$O$6:$O$5000,$O1809,$B$6:$B$5000,$B1809)&gt;1,"MÜKERRER","OK"))))</f>
        <v/>
      </c>
    </row>
    <row r="1810" ht="16.5" customHeight="1" s="80">
      <c r="A1810" s="113" t="n"/>
      <c r="B1810" s="113" t="n"/>
      <c r="C1810" s="113" t="n"/>
      <c r="D1810" s="113" t="n"/>
      <c r="E1810" s="113" t="n"/>
      <c r="F1810" s="113" t="n"/>
      <c r="G1810" s="113" t="n"/>
      <c r="H1810" s="113" t="n"/>
      <c r="I1810" s="113" t="n"/>
      <c r="J1810" s="113" t="n"/>
      <c r="K1810" s="113" t="n"/>
      <c r="L1810" s="113" t="n"/>
      <c r="M1810" s="113" t="n"/>
      <c r="N1810" s="113" t="n"/>
      <c r="O1810" s="113" t="n"/>
      <c r="P1810" s="113" t="n"/>
      <c r="Q1810" s="113" t="n"/>
      <c r="R1810" s="113" t="n"/>
      <c r="S1810" s="113" t="n"/>
      <c r="T1810" s="113" t="n"/>
      <c r="U1810" s="113" t="n"/>
      <c r="V1810" s="113" t="n"/>
      <c r="W1810" s="113" t="n"/>
      <c r="X1810" s="113" t="n"/>
      <c r="Y1810" s="113" t="n"/>
      <c r="Z1810" s="117">
        <f>IF($B1810="",0,IF($S1810="EVET",IF($D1810="GELİR",$O1810,-$O1810),0))</f>
        <v/>
      </c>
      <c r="AA1810" s="117">
        <f>IF($B1810="",0,IF(OR($W1810="EVET",$X1810="EVET",$Y1810="EVET"),0,IF($D1810="GELİR",IF($E1810="SATIŞ İADESİ/İSKONTO",-$O1810,$O1810),-$O1810)))</f>
        <v/>
      </c>
      <c r="AB1810" s="117">
        <f>IF($B1810="","",IF(OR($D1810="",$E1810="",$O1810=""),"EKSİK",IF($O1810&lt;=0,"SIFIR/NEGATİF",IF(COUNTIFS($C$6:$C$5000,$C1810,$O$6:$O$5000,$O1810,$B$6:$B$5000,$B1810)&gt;1,"MÜKERRER","OK"))))</f>
        <v/>
      </c>
    </row>
    <row r="1811" ht="16.5" customHeight="1" s="80">
      <c r="A1811" s="113" t="n"/>
      <c r="B1811" s="113" t="n"/>
      <c r="C1811" s="113" t="n"/>
      <c r="D1811" s="113" t="n"/>
      <c r="E1811" s="113" t="n"/>
      <c r="F1811" s="113" t="n"/>
      <c r="G1811" s="113" t="n"/>
      <c r="H1811" s="113" t="n"/>
      <c r="I1811" s="113" t="n"/>
      <c r="J1811" s="113" t="n"/>
      <c r="K1811" s="113" t="n"/>
      <c r="L1811" s="113" t="n"/>
      <c r="M1811" s="113" t="n"/>
      <c r="N1811" s="113" t="n"/>
      <c r="O1811" s="113" t="n"/>
      <c r="P1811" s="113" t="n"/>
      <c r="Q1811" s="113" t="n"/>
      <c r="R1811" s="113" t="n"/>
      <c r="S1811" s="113" t="n"/>
      <c r="T1811" s="113" t="n"/>
      <c r="U1811" s="113" t="n"/>
      <c r="V1811" s="113" t="n"/>
      <c r="W1811" s="113" t="n"/>
      <c r="X1811" s="113" t="n"/>
      <c r="Y1811" s="113" t="n"/>
      <c r="Z1811" s="117">
        <f>IF($B1811="",0,IF($S1811="EVET",IF($D1811="GELİR",$O1811,-$O1811),0))</f>
        <v/>
      </c>
      <c r="AA1811" s="117">
        <f>IF($B1811="",0,IF(OR($W1811="EVET",$X1811="EVET",$Y1811="EVET"),0,IF($D1811="GELİR",IF($E1811="SATIŞ İADESİ/İSKONTO",-$O1811,$O1811),-$O1811)))</f>
        <v/>
      </c>
      <c r="AB1811" s="117">
        <f>IF($B1811="","",IF(OR($D1811="",$E1811="",$O1811=""),"EKSİK",IF($O1811&lt;=0,"SIFIR/NEGATİF",IF(COUNTIFS($C$6:$C$5000,$C1811,$O$6:$O$5000,$O1811,$B$6:$B$5000,$B1811)&gt;1,"MÜKERRER","OK"))))</f>
        <v/>
      </c>
    </row>
    <row r="1812" ht="16.5" customHeight="1" s="80">
      <c r="A1812" s="113" t="n"/>
      <c r="B1812" s="113" t="n"/>
      <c r="C1812" s="113" t="n"/>
      <c r="D1812" s="113" t="n"/>
      <c r="E1812" s="113" t="n"/>
      <c r="F1812" s="113" t="n"/>
      <c r="G1812" s="113" t="n"/>
      <c r="H1812" s="113" t="n"/>
      <c r="I1812" s="113" t="n"/>
      <c r="J1812" s="113" t="n"/>
      <c r="K1812" s="113" t="n"/>
      <c r="L1812" s="113" t="n"/>
      <c r="M1812" s="113" t="n"/>
      <c r="N1812" s="113" t="n"/>
      <c r="O1812" s="113" t="n"/>
      <c r="P1812" s="113" t="n"/>
      <c r="Q1812" s="113" t="n"/>
      <c r="R1812" s="113" t="n"/>
      <c r="S1812" s="113" t="n"/>
      <c r="T1812" s="113" t="n"/>
      <c r="U1812" s="113" t="n"/>
      <c r="V1812" s="113" t="n"/>
      <c r="W1812" s="113" t="n"/>
      <c r="X1812" s="113" t="n"/>
      <c r="Y1812" s="113" t="n"/>
      <c r="Z1812" s="117">
        <f>IF($B1812="",0,IF($S1812="EVET",IF($D1812="GELİR",$O1812,-$O1812),0))</f>
        <v/>
      </c>
      <c r="AA1812" s="117">
        <f>IF($B1812="",0,IF(OR($W1812="EVET",$X1812="EVET",$Y1812="EVET"),0,IF($D1812="GELİR",IF($E1812="SATIŞ İADESİ/İSKONTO",-$O1812,$O1812),-$O1812)))</f>
        <v/>
      </c>
      <c r="AB1812" s="117">
        <f>IF($B1812="","",IF(OR($D1812="",$E1812="",$O1812=""),"EKSİK",IF($O1812&lt;=0,"SIFIR/NEGATİF",IF(COUNTIFS($C$6:$C$5000,$C1812,$O$6:$O$5000,$O1812,$B$6:$B$5000,$B1812)&gt;1,"MÜKERRER","OK"))))</f>
        <v/>
      </c>
    </row>
    <row r="1813" ht="16.5" customHeight="1" s="80">
      <c r="A1813" s="113" t="n"/>
      <c r="B1813" s="113" t="n"/>
      <c r="C1813" s="113" t="n"/>
      <c r="D1813" s="113" t="n"/>
      <c r="E1813" s="113" t="n"/>
      <c r="F1813" s="113" t="n"/>
      <c r="G1813" s="113" t="n"/>
      <c r="H1813" s="113" t="n"/>
      <c r="I1813" s="113" t="n"/>
      <c r="J1813" s="113" t="n"/>
      <c r="K1813" s="113" t="n"/>
      <c r="L1813" s="113" t="n"/>
      <c r="M1813" s="113" t="n"/>
      <c r="N1813" s="113" t="n"/>
      <c r="O1813" s="113" t="n"/>
      <c r="P1813" s="113" t="n"/>
      <c r="Q1813" s="113" t="n"/>
      <c r="R1813" s="113" t="n"/>
      <c r="S1813" s="113" t="n"/>
      <c r="T1813" s="113" t="n"/>
      <c r="U1813" s="113" t="n"/>
      <c r="V1813" s="113" t="n"/>
      <c r="W1813" s="113" t="n"/>
      <c r="X1813" s="113" t="n"/>
      <c r="Y1813" s="113" t="n"/>
      <c r="Z1813" s="117">
        <f>IF($B1813="",0,IF($S1813="EVET",IF($D1813="GELİR",$O1813,-$O1813),0))</f>
        <v/>
      </c>
      <c r="AA1813" s="117">
        <f>IF($B1813="",0,IF(OR($W1813="EVET",$X1813="EVET",$Y1813="EVET"),0,IF($D1813="GELİR",IF($E1813="SATIŞ İADESİ/İSKONTO",-$O1813,$O1813),-$O1813)))</f>
        <v/>
      </c>
      <c r="AB1813" s="117">
        <f>IF($B1813="","",IF(OR($D1813="",$E1813="",$O1813=""),"EKSİK",IF($O1813&lt;=0,"SIFIR/NEGATİF",IF(COUNTIFS($C$6:$C$5000,$C1813,$O$6:$O$5000,$O1813,$B$6:$B$5000,$B1813)&gt;1,"MÜKERRER","OK"))))</f>
        <v/>
      </c>
    </row>
    <row r="1814" ht="16.5" customHeight="1" s="80">
      <c r="A1814" s="113" t="n"/>
      <c r="B1814" s="113" t="n"/>
      <c r="C1814" s="113" t="n"/>
      <c r="D1814" s="113" t="n"/>
      <c r="E1814" s="113" t="n"/>
      <c r="F1814" s="113" t="n"/>
      <c r="G1814" s="113" t="n"/>
      <c r="H1814" s="113" t="n"/>
      <c r="I1814" s="113" t="n"/>
      <c r="J1814" s="113" t="n"/>
      <c r="K1814" s="113" t="n"/>
      <c r="L1814" s="113" t="n"/>
      <c r="M1814" s="113" t="n"/>
      <c r="N1814" s="113" t="n"/>
      <c r="O1814" s="113" t="n"/>
      <c r="P1814" s="113" t="n"/>
      <c r="Q1814" s="113" t="n"/>
      <c r="R1814" s="113" t="n"/>
      <c r="S1814" s="113" t="n"/>
      <c r="T1814" s="113" t="n"/>
      <c r="U1814" s="113" t="n"/>
      <c r="V1814" s="113" t="n"/>
      <c r="W1814" s="113" t="n"/>
      <c r="X1814" s="113" t="n"/>
      <c r="Y1814" s="113" t="n"/>
      <c r="Z1814" s="117">
        <f>IF($B1814="",0,IF($S1814="EVET",IF($D1814="GELİR",$O1814,-$O1814),0))</f>
        <v/>
      </c>
      <c r="AA1814" s="117">
        <f>IF($B1814="",0,IF(OR($W1814="EVET",$X1814="EVET",$Y1814="EVET"),0,IF($D1814="GELİR",IF($E1814="SATIŞ İADESİ/İSKONTO",-$O1814,$O1814),-$O1814)))</f>
        <v/>
      </c>
      <c r="AB1814" s="117">
        <f>IF($B1814="","",IF(OR($D1814="",$E1814="",$O1814=""),"EKSİK",IF($O1814&lt;=0,"SIFIR/NEGATİF",IF(COUNTIFS($C$6:$C$5000,$C1814,$O$6:$O$5000,$O1814,$B$6:$B$5000,$B1814)&gt;1,"MÜKERRER","OK"))))</f>
        <v/>
      </c>
    </row>
    <row r="1815" ht="16.5" customHeight="1" s="80">
      <c r="A1815" s="113" t="n"/>
      <c r="B1815" s="113" t="n"/>
      <c r="C1815" s="113" t="n"/>
      <c r="D1815" s="113" t="n"/>
      <c r="E1815" s="113" t="n"/>
      <c r="F1815" s="113" t="n"/>
      <c r="G1815" s="113" t="n"/>
      <c r="H1815" s="113" t="n"/>
      <c r="I1815" s="113" t="n"/>
      <c r="J1815" s="113" t="n"/>
      <c r="K1815" s="113" t="n"/>
      <c r="L1815" s="113" t="n"/>
      <c r="M1815" s="113" t="n"/>
      <c r="N1815" s="113" t="n"/>
      <c r="O1815" s="113" t="n"/>
      <c r="P1815" s="113" t="n"/>
      <c r="Q1815" s="113" t="n"/>
      <c r="R1815" s="113" t="n"/>
      <c r="S1815" s="113" t="n"/>
      <c r="T1815" s="113" t="n"/>
      <c r="U1815" s="113" t="n"/>
      <c r="V1815" s="113" t="n"/>
      <c r="W1815" s="113" t="n"/>
      <c r="X1815" s="113" t="n"/>
      <c r="Y1815" s="113" t="n"/>
      <c r="Z1815" s="117">
        <f>IF($B1815="",0,IF($S1815="EVET",IF($D1815="GELİR",$O1815,-$O1815),0))</f>
        <v/>
      </c>
      <c r="AA1815" s="117">
        <f>IF($B1815="",0,IF(OR($W1815="EVET",$X1815="EVET",$Y1815="EVET"),0,IF($D1815="GELİR",IF($E1815="SATIŞ İADESİ/İSKONTO",-$O1815,$O1815),-$O1815)))</f>
        <v/>
      </c>
      <c r="AB1815" s="117">
        <f>IF($B1815="","",IF(OR($D1815="",$E1815="",$O1815=""),"EKSİK",IF($O1815&lt;=0,"SIFIR/NEGATİF",IF(COUNTIFS($C$6:$C$5000,$C1815,$O$6:$O$5000,$O1815,$B$6:$B$5000,$B1815)&gt;1,"MÜKERRER","OK"))))</f>
        <v/>
      </c>
    </row>
    <row r="1816" ht="16.5" customHeight="1" s="80">
      <c r="A1816" s="113" t="n"/>
      <c r="B1816" s="113" t="n"/>
      <c r="C1816" s="113" t="n"/>
      <c r="D1816" s="113" t="n"/>
      <c r="E1816" s="113" t="n"/>
      <c r="F1816" s="113" t="n"/>
      <c r="G1816" s="113" t="n"/>
      <c r="H1816" s="113" t="n"/>
      <c r="I1816" s="113" t="n"/>
      <c r="J1816" s="113" t="n"/>
      <c r="K1816" s="113" t="n"/>
      <c r="L1816" s="113" t="n"/>
      <c r="M1816" s="113" t="n"/>
      <c r="N1816" s="113" t="n"/>
      <c r="O1816" s="113" t="n"/>
      <c r="P1816" s="113" t="n"/>
      <c r="Q1816" s="113" t="n"/>
      <c r="R1816" s="113" t="n"/>
      <c r="S1816" s="113" t="n"/>
      <c r="T1816" s="113" t="n"/>
      <c r="U1816" s="113" t="n"/>
      <c r="V1816" s="113" t="n"/>
      <c r="W1816" s="113" t="n"/>
      <c r="X1816" s="113" t="n"/>
      <c r="Y1816" s="113" t="n"/>
      <c r="Z1816" s="117">
        <f>IF($B1816="",0,IF($S1816="EVET",IF($D1816="GELİR",$O1816,-$O1816),0))</f>
        <v/>
      </c>
      <c r="AA1816" s="117">
        <f>IF($B1816="",0,IF(OR($W1816="EVET",$X1816="EVET",$Y1816="EVET"),0,IF($D1816="GELİR",IF($E1816="SATIŞ İADESİ/İSKONTO",-$O1816,$O1816),-$O1816)))</f>
        <v/>
      </c>
      <c r="AB1816" s="117">
        <f>IF($B1816="","",IF(OR($D1816="",$E1816="",$O1816=""),"EKSİK",IF($O1816&lt;=0,"SIFIR/NEGATİF",IF(COUNTIFS($C$6:$C$5000,$C1816,$O$6:$O$5000,$O1816,$B$6:$B$5000,$B1816)&gt;1,"MÜKERRER","OK"))))</f>
        <v/>
      </c>
    </row>
    <row r="1817" ht="16.5" customHeight="1" s="80">
      <c r="A1817" s="113" t="n"/>
      <c r="B1817" s="113" t="n"/>
      <c r="C1817" s="113" t="n"/>
      <c r="D1817" s="113" t="n"/>
      <c r="E1817" s="113" t="n"/>
      <c r="F1817" s="113" t="n"/>
      <c r="G1817" s="113" t="n"/>
      <c r="H1817" s="113" t="n"/>
      <c r="I1817" s="113" t="n"/>
      <c r="J1817" s="113" t="n"/>
      <c r="K1817" s="113" t="n"/>
      <c r="L1817" s="113" t="n"/>
      <c r="M1817" s="113" t="n"/>
      <c r="N1817" s="113" t="n"/>
      <c r="O1817" s="113" t="n"/>
      <c r="P1817" s="113" t="n"/>
      <c r="Q1817" s="113" t="n"/>
      <c r="R1817" s="113" t="n"/>
      <c r="S1817" s="113" t="n"/>
      <c r="T1817" s="113" t="n"/>
      <c r="U1817" s="113" t="n"/>
      <c r="V1817" s="113" t="n"/>
      <c r="W1817" s="113" t="n"/>
      <c r="X1817" s="113" t="n"/>
      <c r="Y1817" s="113" t="n"/>
      <c r="Z1817" s="117">
        <f>IF($B1817="",0,IF($S1817="EVET",IF($D1817="GELİR",$O1817,-$O1817),0))</f>
        <v/>
      </c>
      <c r="AA1817" s="117">
        <f>IF($B1817="",0,IF(OR($W1817="EVET",$X1817="EVET",$Y1817="EVET"),0,IF($D1817="GELİR",IF($E1817="SATIŞ İADESİ/İSKONTO",-$O1817,$O1817),-$O1817)))</f>
        <v/>
      </c>
      <c r="AB1817" s="117">
        <f>IF($B1817="","",IF(OR($D1817="",$E1817="",$O1817=""),"EKSİK",IF($O1817&lt;=0,"SIFIR/NEGATİF",IF(COUNTIFS($C$6:$C$5000,$C1817,$O$6:$O$5000,$O1817,$B$6:$B$5000,$B1817)&gt;1,"MÜKERRER","OK"))))</f>
        <v/>
      </c>
    </row>
    <row r="1818" ht="16.5" customHeight="1" s="80">
      <c r="A1818" s="113" t="n"/>
      <c r="B1818" s="113" t="n"/>
      <c r="C1818" s="113" t="n"/>
      <c r="D1818" s="113" t="n"/>
      <c r="E1818" s="113" t="n"/>
      <c r="F1818" s="113" t="n"/>
      <c r="G1818" s="113" t="n"/>
      <c r="H1818" s="113" t="n"/>
      <c r="I1818" s="113" t="n"/>
      <c r="J1818" s="113" t="n"/>
      <c r="K1818" s="113" t="n"/>
      <c r="L1818" s="113" t="n"/>
      <c r="M1818" s="113" t="n"/>
      <c r="N1818" s="113" t="n"/>
      <c r="O1818" s="113" t="n"/>
      <c r="P1818" s="113" t="n"/>
      <c r="Q1818" s="113" t="n"/>
      <c r="R1818" s="113" t="n"/>
      <c r="S1818" s="113" t="n"/>
      <c r="T1818" s="113" t="n"/>
      <c r="U1818" s="113" t="n"/>
      <c r="V1818" s="113" t="n"/>
      <c r="W1818" s="113" t="n"/>
      <c r="X1818" s="113" t="n"/>
      <c r="Y1818" s="113" t="n"/>
      <c r="Z1818" s="117">
        <f>IF($B1818="",0,IF($S1818="EVET",IF($D1818="GELİR",$O1818,-$O1818),0))</f>
        <v/>
      </c>
      <c r="AA1818" s="117">
        <f>IF($B1818="",0,IF(OR($W1818="EVET",$X1818="EVET",$Y1818="EVET"),0,IF($D1818="GELİR",IF($E1818="SATIŞ İADESİ/İSKONTO",-$O1818,$O1818),-$O1818)))</f>
        <v/>
      </c>
      <c r="AB1818" s="117">
        <f>IF($B1818="","",IF(OR($D1818="",$E1818="",$O1818=""),"EKSİK",IF($O1818&lt;=0,"SIFIR/NEGATİF",IF(COUNTIFS($C$6:$C$5000,$C1818,$O$6:$O$5000,$O1818,$B$6:$B$5000,$B1818)&gt;1,"MÜKERRER","OK"))))</f>
        <v/>
      </c>
    </row>
    <row r="1819" ht="16.5" customHeight="1" s="80">
      <c r="A1819" s="113" t="n"/>
      <c r="B1819" s="113" t="n"/>
      <c r="C1819" s="113" t="n"/>
      <c r="D1819" s="113" t="n"/>
      <c r="E1819" s="113" t="n"/>
      <c r="F1819" s="113" t="n"/>
      <c r="G1819" s="113" t="n"/>
      <c r="H1819" s="113" t="n"/>
      <c r="I1819" s="113" t="n"/>
      <c r="J1819" s="113" t="n"/>
      <c r="K1819" s="113" t="n"/>
      <c r="L1819" s="113" t="n"/>
      <c r="M1819" s="113" t="n"/>
      <c r="N1819" s="113" t="n"/>
      <c r="O1819" s="113" t="n"/>
      <c r="P1819" s="113" t="n"/>
      <c r="Q1819" s="113" t="n"/>
      <c r="R1819" s="113" t="n"/>
      <c r="S1819" s="113" t="n"/>
      <c r="T1819" s="113" t="n"/>
      <c r="U1819" s="113" t="n"/>
      <c r="V1819" s="113" t="n"/>
      <c r="W1819" s="113" t="n"/>
      <c r="X1819" s="113" t="n"/>
      <c r="Y1819" s="113" t="n"/>
      <c r="Z1819" s="117">
        <f>IF($B1819="",0,IF($S1819="EVET",IF($D1819="GELİR",$O1819,-$O1819),0))</f>
        <v/>
      </c>
      <c r="AA1819" s="117">
        <f>IF($B1819="",0,IF(OR($W1819="EVET",$X1819="EVET",$Y1819="EVET"),0,IF($D1819="GELİR",IF($E1819="SATIŞ İADESİ/İSKONTO",-$O1819,$O1819),-$O1819)))</f>
        <v/>
      </c>
      <c r="AB1819" s="117">
        <f>IF($B1819="","",IF(OR($D1819="",$E1819="",$O1819=""),"EKSİK",IF($O1819&lt;=0,"SIFIR/NEGATİF",IF(COUNTIFS($C$6:$C$5000,$C1819,$O$6:$O$5000,$O1819,$B$6:$B$5000,$B1819)&gt;1,"MÜKERRER","OK"))))</f>
        <v/>
      </c>
    </row>
    <row r="1820" ht="16.5" customHeight="1" s="80">
      <c r="A1820" s="113" t="n"/>
      <c r="B1820" s="113" t="n"/>
      <c r="C1820" s="113" t="n"/>
      <c r="D1820" s="113" t="n"/>
      <c r="E1820" s="113" t="n"/>
      <c r="F1820" s="113" t="n"/>
      <c r="G1820" s="113" t="n"/>
      <c r="H1820" s="113" t="n"/>
      <c r="I1820" s="113" t="n"/>
      <c r="J1820" s="113" t="n"/>
      <c r="K1820" s="113" t="n"/>
      <c r="L1820" s="113" t="n"/>
      <c r="M1820" s="113" t="n"/>
      <c r="N1820" s="113" t="n"/>
      <c r="O1820" s="113" t="n"/>
      <c r="P1820" s="113" t="n"/>
      <c r="Q1820" s="113" t="n"/>
      <c r="R1820" s="113" t="n"/>
      <c r="S1820" s="113" t="n"/>
      <c r="T1820" s="113" t="n"/>
      <c r="U1820" s="113" t="n"/>
      <c r="V1820" s="113" t="n"/>
      <c r="W1820" s="113" t="n"/>
      <c r="X1820" s="113" t="n"/>
      <c r="Y1820" s="113" t="n"/>
      <c r="Z1820" s="117">
        <f>IF($B1820="",0,IF($S1820="EVET",IF($D1820="GELİR",$O1820,-$O1820),0))</f>
        <v/>
      </c>
      <c r="AA1820" s="117">
        <f>IF($B1820="",0,IF(OR($W1820="EVET",$X1820="EVET",$Y1820="EVET"),0,IF($D1820="GELİR",IF($E1820="SATIŞ İADESİ/İSKONTO",-$O1820,$O1820),-$O1820)))</f>
        <v/>
      </c>
      <c r="AB1820" s="117">
        <f>IF($B1820="","",IF(OR($D1820="",$E1820="",$O1820=""),"EKSİK",IF($O1820&lt;=0,"SIFIR/NEGATİF",IF(COUNTIFS($C$6:$C$5000,$C1820,$O$6:$O$5000,$O1820,$B$6:$B$5000,$B1820)&gt;1,"MÜKERRER","OK"))))</f>
        <v/>
      </c>
    </row>
    <row r="1821" ht="16.5" customHeight="1" s="80">
      <c r="A1821" s="113" t="n"/>
      <c r="B1821" s="113" t="n"/>
      <c r="C1821" s="113" t="n"/>
      <c r="D1821" s="113" t="n"/>
      <c r="E1821" s="113" t="n"/>
      <c r="F1821" s="113" t="n"/>
      <c r="G1821" s="113" t="n"/>
      <c r="H1821" s="113" t="n"/>
      <c r="I1821" s="113" t="n"/>
      <c r="J1821" s="113" t="n"/>
      <c r="K1821" s="113" t="n"/>
      <c r="L1821" s="113" t="n"/>
      <c r="M1821" s="113" t="n"/>
      <c r="N1821" s="113" t="n"/>
      <c r="O1821" s="113" t="n"/>
      <c r="P1821" s="113" t="n"/>
      <c r="Q1821" s="113" t="n"/>
      <c r="R1821" s="113" t="n"/>
      <c r="S1821" s="113" t="n"/>
      <c r="T1821" s="113" t="n"/>
      <c r="U1821" s="113" t="n"/>
      <c r="V1821" s="113" t="n"/>
      <c r="W1821" s="113" t="n"/>
      <c r="X1821" s="113" t="n"/>
      <c r="Y1821" s="113" t="n"/>
      <c r="Z1821" s="117">
        <f>IF($B1821="",0,IF($S1821="EVET",IF($D1821="GELİR",$O1821,-$O1821),0))</f>
        <v/>
      </c>
      <c r="AA1821" s="117">
        <f>IF($B1821="",0,IF(OR($W1821="EVET",$X1821="EVET",$Y1821="EVET"),0,IF($D1821="GELİR",IF($E1821="SATIŞ İADESİ/İSKONTO",-$O1821,$O1821),-$O1821)))</f>
        <v/>
      </c>
      <c r="AB1821" s="117">
        <f>IF($B1821="","",IF(OR($D1821="",$E1821="",$O1821=""),"EKSİK",IF($O1821&lt;=0,"SIFIR/NEGATİF",IF(COUNTIFS($C$6:$C$5000,$C1821,$O$6:$O$5000,$O1821,$B$6:$B$5000,$B1821)&gt;1,"MÜKERRER","OK"))))</f>
        <v/>
      </c>
    </row>
    <row r="1822" ht="16.5" customHeight="1" s="80">
      <c r="A1822" s="113" t="n"/>
      <c r="B1822" s="113" t="n"/>
      <c r="C1822" s="113" t="n"/>
      <c r="D1822" s="113" t="n"/>
      <c r="E1822" s="113" t="n"/>
      <c r="F1822" s="113" t="n"/>
      <c r="G1822" s="113" t="n"/>
      <c r="H1822" s="113" t="n"/>
      <c r="I1822" s="113" t="n"/>
      <c r="J1822" s="113" t="n"/>
      <c r="K1822" s="113" t="n"/>
      <c r="L1822" s="113" t="n"/>
      <c r="M1822" s="113" t="n"/>
      <c r="N1822" s="113" t="n"/>
      <c r="O1822" s="113" t="n"/>
      <c r="P1822" s="113" t="n"/>
      <c r="Q1822" s="113" t="n"/>
      <c r="R1822" s="113" t="n"/>
      <c r="S1822" s="113" t="n"/>
      <c r="T1822" s="113" t="n"/>
      <c r="U1822" s="113" t="n"/>
      <c r="V1822" s="113" t="n"/>
      <c r="W1822" s="113" t="n"/>
      <c r="X1822" s="113" t="n"/>
      <c r="Y1822" s="113" t="n"/>
      <c r="Z1822" s="117">
        <f>IF($B1822="",0,IF($S1822="EVET",IF($D1822="GELİR",$O1822,-$O1822),0))</f>
        <v/>
      </c>
      <c r="AA1822" s="117">
        <f>IF($B1822="",0,IF(OR($W1822="EVET",$X1822="EVET",$Y1822="EVET"),0,IF($D1822="GELİR",IF($E1822="SATIŞ İADESİ/İSKONTO",-$O1822,$O1822),-$O1822)))</f>
        <v/>
      </c>
      <c r="AB1822" s="117">
        <f>IF($B1822="","",IF(OR($D1822="",$E1822="",$O1822=""),"EKSİK",IF($O1822&lt;=0,"SIFIR/NEGATİF",IF(COUNTIFS($C$6:$C$5000,$C1822,$O$6:$O$5000,$O1822,$B$6:$B$5000,$B1822)&gt;1,"MÜKERRER","OK"))))</f>
        <v/>
      </c>
    </row>
    <row r="1823" ht="16.5" customHeight="1" s="80">
      <c r="A1823" s="113" t="n"/>
      <c r="B1823" s="113" t="n"/>
      <c r="C1823" s="113" t="n"/>
      <c r="D1823" s="113" t="n"/>
      <c r="E1823" s="113" t="n"/>
      <c r="F1823" s="113" t="n"/>
      <c r="G1823" s="113" t="n"/>
      <c r="H1823" s="113" t="n"/>
      <c r="I1823" s="113" t="n"/>
      <c r="J1823" s="113" t="n"/>
      <c r="K1823" s="113" t="n"/>
      <c r="L1823" s="113" t="n"/>
      <c r="M1823" s="113" t="n"/>
      <c r="N1823" s="113" t="n"/>
      <c r="O1823" s="113" t="n"/>
      <c r="P1823" s="113" t="n"/>
      <c r="Q1823" s="113" t="n"/>
      <c r="R1823" s="113" t="n"/>
      <c r="S1823" s="113" t="n"/>
      <c r="T1823" s="113" t="n"/>
      <c r="U1823" s="113" t="n"/>
      <c r="V1823" s="113" t="n"/>
      <c r="W1823" s="113" t="n"/>
      <c r="X1823" s="113" t="n"/>
      <c r="Y1823" s="113" t="n"/>
      <c r="Z1823" s="117">
        <f>IF($B1823="",0,IF($S1823="EVET",IF($D1823="GELİR",$O1823,-$O1823),0))</f>
        <v/>
      </c>
      <c r="AA1823" s="117">
        <f>IF($B1823="",0,IF(OR($W1823="EVET",$X1823="EVET",$Y1823="EVET"),0,IF($D1823="GELİR",IF($E1823="SATIŞ İADESİ/İSKONTO",-$O1823,$O1823),-$O1823)))</f>
        <v/>
      </c>
      <c r="AB1823" s="117">
        <f>IF($B1823="","",IF(OR($D1823="",$E1823="",$O1823=""),"EKSİK",IF($O1823&lt;=0,"SIFIR/NEGATİF",IF(COUNTIFS($C$6:$C$5000,$C1823,$O$6:$O$5000,$O1823,$B$6:$B$5000,$B1823)&gt;1,"MÜKERRER","OK"))))</f>
        <v/>
      </c>
    </row>
    <row r="1824" ht="16.5" customHeight="1" s="80">
      <c r="A1824" s="113" t="n"/>
      <c r="B1824" s="113" t="n"/>
      <c r="C1824" s="113" t="n"/>
      <c r="D1824" s="113" t="n"/>
      <c r="E1824" s="113" t="n"/>
      <c r="F1824" s="113" t="n"/>
      <c r="G1824" s="113" t="n"/>
      <c r="H1824" s="113" t="n"/>
      <c r="I1824" s="113" t="n"/>
      <c r="J1824" s="113" t="n"/>
      <c r="K1824" s="113" t="n"/>
      <c r="L1824" s="113" t="n"/>
      <c r="M1824" s="113" t="n"/>
      <c r="N1824" s="113" t="n"/>
      <c r="O1824" s="113" t="n"/>
      <c r="P1824" s="113" t="n"/>
      <c r="Q1824" s="113" t="n"/>
      <c r="R1824" s="113" t="n"/>
      <c r="S1824" s="113" t="n"/>
      <c r="T1824" s="113" t="n"/>
      <c r="U1824" s="113" t="n"/>
      <c r="V1824" s="113" t="n"/>
      <c r="W1824" s="113" t="n"/>
      <c r="X1824" s="113" t="n"/>
      <c r="Y1824" s="113" t="n"/>
      <c r="Z1824" s="117">
        <f>IF($B1824="",0,IF($S1824="EVET",IF($D1824="GELİR",$O1824,-$O1824),0))</f>
        <v/>
      </c>
      <c r="AA1824" s="117">
        <f>IF($B1824="",0,IF(OR($W1824="EVET",$X1824="EVET",$Y1824="EVET"),0,IF($D1824="GELİR",IF($E1824="SATIŞ İADESİ/İSKONTO",-$O1824,$O1824),-$O1824)))</f>
        <v/>
      </c>
      <c r="AB1824" s="117">
        <f>IF($B1824="","",IF(OR($D1824="",$E1824="",$O1824=""),"EKSİK",IF($O1824&lt;=0,"SIFIR/NEGATİF",IF(COUNTIFS($C$6:$C$5000,$C1824,$O$6:$O$5000,$O1824,$B$6:$B$5000,$B1824)&gt;1,"MÜKERRER","OK"))))</f>
        <v/>
      </c>
    </row>
    <row r="1825" ht="16.5" customHeight="1" s="80">
      <c r="A1825" s="113" t="n"/>
      <c r="B1825" s="113" t="n"/>
      <c r="C1825" s="113" t="n"/>
      <c r="D1825" s="113" t="n"/>
      <c r="E1825" s="113" t="n"/>
      <c r="F1825" s="113" t="n"/>
      <c r="G1825" s="113" t="n"/>
      <c r="H1825" s="113" t="n"/>
      <c r="I1825" s="113" t="n"/>
      <c r="J1825" s="113" t="n"/>
      <c r="K1825" s="113" t="n"/>
      <c r="L1825" s="113" t="n"/>
      <c r="M1825" s="113" t="n"/>
      <c r="N1825" s="113" t="n"/>
      <c r="O1825" s="113" t="n"/>
      <c r="P1825" s="113" t="n"/>
      <c r="Q1825" s="113" t="n"/>
      <c r="R1825" s="113" t="n"/>
      <c r="S1825" s="113" t="n"/>
      <c r="T1825" s="113" t="n"/>
      <c r="U1825" s="113" t="n"/>
      <c r="V1825" s="113" t="n"/>
      <c r="W1825" s="113" t="n"/>
      <c r="X1825" s="113" t="n"/>
      <c r="Y1825" s="113" t="n"/>
      <c r="Z1825" s="117">
        <f>IF($B1825="",0,IF($S1825="EVET",IF($D1825="GELİR",$O1825,-$O1825),0))</f>
        <v/>
      </c>
      <c r="AA1825" s="117">
        <f>IF($B1825="",0,IF(OR($W1825="EVET",$X1825="EVET",$Y1825="EVET"),0,IF($D1825="GELİR",IF($E1825="SATIŞ İADESİ/İSKONTO",-$O1825,$O1825),-$O1825)))</f>
        <v/>
      </c>
      <c r="AB1825" s="117">
        <f>IF($B1825="","",IF(OR($D1825="",$E1825="",$O1825=""),"EKSİK",IF($O1825&lt;=0,"SIFIR/NEGATİF",IF(COUNTIFS($C$6:$C$5000,$C1825,$O$6:$O$5000,$O1825,$B$6:$B$5000,$B1825)&gt;1,"MÜKERRER","OK"))))</f>
        <v/>
      </c>
    </row>
    <row r="1826" ht="16.5" customHeight="1" s="80">
      <c r="A1826" s="113" t="n"/>
      <c r="B1826" s="113" t="n"/>
      <c r="C1826" s="113" t="n"/>
      <c r="D1826" s="113" t="n"/>
      <c r="E1826" s="113" t="n"/>
      <c r="F1826" s="113" t="n"/>
      <c r="G1826" s="113" t="n"/>
      <c r="H1826" s="113" t="n"/>
      <c r="I1826" s="113" t="n"/>
      <c r="J1826" s="113" t="n"/>
      <c r="K1826" s="113" t="n"/>
      <c r="L1826" s="113" t="n"/>
      <c r="M1826" s="113" t="n"/>
      <c r="N1826" s="113" t="n"/>
      <c r="O1826" s="113" t="n"/>
      <c r="P1826" s="113" t="n"/>
      <c r="Q1826" s="113" t="n"/>
      <c r="R1826" s="113" t="n"/>
      <c r="S1826" s="113" t="n"/>
      <c r="T1826" s="113" t="n"/>
      <c r="U1826" s="113" t="n"/>
      <c r="V1826" s="113" t="n"/>
      <c r="W1826" s="113" t="n"/>
      <c r="X1826" s="113" t="n"/>
      <c r="Y1826" s="113" t="n"/>
      <c r="Z1826" s="117">
        <f>IF($B1826="",0,IF($S1826="EVET",IF($D1826="GELİR",$O1826,-$O1826),0))</f>
        <v/>
      </c>
      <c r="AA1826" s="117">
        <f>IF($B1826="",0,IF(OR($W1826="EVET",$X1826="EVET",$Y1826="EVET"),0,IF($D1826="GELİR",IF($E1826="SATIŞ İADESİ/İSKONTO",-$O1826,$O1826),-$O1826)))</f>
        <v/>
      </c>
      <c r="AB1826" s="117">
        <f>IF($B1826="","",IF(OR($D1826="",$E1826="",$O1826=""),"EKSİK",IF($O1826&lt;=0,"SIFIR/NEGATİF",IF(COUNTIFS($C$6:$C$5000,$C1826,$O$6:$O$5000,$O1826,$B$6:$B$5000,$B1826)&gt;1,"MÜKERRER","OK"))))</f>
        <v/>
      </c>
    </row>
    <row r="1827" ht="16.5" customHeight="1" s="80">
      <c r="A1827" s="113" t="n"/>
      <c r="B1827" s="113" t="n"/>
      <c r="C1827" s="113" t="n"/>
      <c r="D1827" s="113" t="n"/>
      <c r="E1827" s="113" t="n"/>
      <c r="F1827" s="113" t="n"/>
      <c r="G1827" s="113" t="n"/>
      <c r="H1827" s="113" t="n"/>
      <c r="I1827" s="113" t="n"/>
      <c r="J1827" s="113" t="n"/>
      <c r="K1827" s="113" t="n"/>
      <c r="L1827" s="113" t="n"/>
      <c r="M1827" s="113" t="n"/>
      <c r="N1827" s="113" t="n"/>
      <c r="O1827" s="113" t="n"/>
      <c r="P1827" s="113" t="n"/>
      <c r="Q1827" s="113" t="n"/>
      <c r="R1827" s="113" t="n"/>
      <c r="S1827" s="113" t="n"/>
      <c r="T1827" s="113" t="n"/>
      <c r="U1827" s="113" t="n"/>
      <c r="V1827" s="113" t="n"/>
      <c r="W1827" s="113" t="n"/>
      <c r="X1827" s="113" t="n"/>
      <c r="Y1827" s="113" t="n"/>
      <c r="Z1827" s="117">
        <f>IF($B1827="",0,IF($S1827="EVET",IF($D1827="GELİR",$O1827,-$O1827),0))</f>
        <v/>
      </c>
      <c r="AA1827" s="117">
        <f>IF($B1827="",0,IF(OR($W1827="EVET",$X1827="EVET",$Y1827="EVET"),0,IF($D1827="GELİR",IF($E1827="SATIŞ İADESİ/İSKONTO",-$O1827,$O1827),-$O1827)))</f>
        <v/>
      </c>
      <c r="AB1827" s="117">
        <f>IF($B1827="","",IF(OR($D1827="",$E1827="",$O1827=""),"EKSİK",IF($O1827&lt;=0,"SIFIR/NEGATİF",IF(COUNTIFS($C$6:$C$5000,$C1827,$O$6:$O$5000,$O1827,$B$6:$B$5000,$B1827)&gt;1,"MÜKERRER","OK"))))</f>
        <v/>
      </c>
    </row>
    <row r="1828" ht="16.5" customHeight="1" s="80">
      <c r="A1828" s="113" t="n"/>
      <c r="B1828" s="113" t="n"/>
      <c r="C1828" s="113" t="n"/>
      <c r="D1828" s="113" t="n"/>
      <c r="E1828" s="113" t="n"/>
      <c r="F1828" s="113" t="n"/>
      <c r="G1828" s="113" t="n"/>
      <c r="H1828" s="113" t="n"/>
      <c r="I1828" s="113" t="n"/>
      <c r="J1828" s="113" t="n"/>
      <c r="K1828" s="113" t="n"/>
      <c r="L1828" s="113" t="n"/>
      <c r="M1828" s="113" t="n"/>
      <c r="N1828" s="113" t="n"/>
      <c r="O1828" s="113" t="n"/>
      <c r="P1828" s="113" t="n"/>
      <c r="Q1828" s="113" t="n"/>
      <c r="R1828" s="113" t="n"/>
      <c r="S1828" s="113" t="n"/>
      <c r="T1828" s="113" t="n"/>
      <c r="U1828" s="113" t="n"/>
      <c r="V1828" s="113" t="n"/>
      <c r="W1828" s="113" t="n"/>
      <c r="X1828" s="113" t="n"/>
      <c r="Y1828" s="113" t="n"/>
      <c r="Z1828" s="117">
        <f>IF($B1828="",0,IF($S1828="EVET",IF($D1828="GELİR",$O1828,-$O1828),0))</f>
        <v/>
      </c>
      <c r="AA1828" s="117">
        <f>IF($B1828="",0,IF(OR($W1828="EVET",$X1828="EVET",$Y1828="EVET"),0,IF($D1828="GELİR",IF($E1828="SATIŞ İADESİ/İSKONTO",-$O1828,$O1828),-$O1828)))</f>
        <v/>
      </c>
      <c r="AB1828" s="117">
        <f>IF($B1828="","",IF(OR($D1828="",$E1828="",$O1828=""),"EKSİK",IF($O1828&lt;=0,"SIFIR/NEGATİF",IF(COUNTIFS($C$6:$C$5000,$C1828,$O$6:$O$5000,$O1828,$B$6:$B$5000,$B1828)&gt;1,"MÜKERRER","OK"))))</f>
        <v/>
      </c>
    </row>
    <row r="1829" ht="16.5" customHeight="1" s="80">
      <c r="A1829" s="113" t="n"/>
      <c r="B1829" s="113" t="n"/>
      <c r="C1829" s="113" t="n"/>
      <c r="D1829" s="113" t="n"/>
      <c r="E1829" s="113" t="n"/>
      <c r="F1829" s="113" t="n"/>
      <c r="G1829" s="113" t="n"/>
      <c r="H1829" s="113" t="n"/>
      <c r="I1829" s="113" t="n"/>
      <c r="J1829" s="113" t="n"/>
      <c r="K1829" s="113" t="n"/>
      <c r="L1829" s="113" t="n"/>
      <c r="M1829" s="113" t="n"/>
      <c r="N1829" s="113" t="n"/>
      <c r="O1829" s="113" t="n"/>
      <c r="P1829" s="113" t="n"/>
      <c r="Q1829" s="113" t="n"/>
      <c r="R1829" s="113" t="n"/>
      <c r="S1829" s="113" t="n"/>
      <c r="T1829" s="113" t="n"/>
      <c r="U1829" s="113" t="n"/>
      <c r="V1829" s="113" t="n"/>
      <c r="W1829" s="113" t="n"/>
      <c r="X1829" s="113" t="n"/>
      <c r="Y1829" s="113" t="n"/>
      <c r="Z1829" s="117">
        <f>IF($B1829="",0,IF($S1829="EVET",IF($D1829="GELİR",$O1829,-$O1829),0))</f>
        <v/>
      </c>
      <c r="AA1829" s="117">
        <f>IF($B1829="",0,IF(OR($W1829="EVET",$X1829="EVET",$Y1829="EVET"),0,IF($D1829="GELİR",IF($E1829="SATIŞ İADESİ/İSKONTO",-$O1829,$O1829),-$O1829)))</f>
        <v/>
      </c>
      <c r="AB1829" s="117">
        <f>IF($B1829="","",IF(OR($D1829="",$E1829="",$O1829=""),"EKSİK",IF($O1829&lt;=0,"SIFIR/NEGATİF",IF(COUNTIFS($C$6:$C$5000,$C1829,$O$6:$O$5000,$O1829,$B$6:$B$5000,$B1829)&gt;1,"MÜKERRER","OK"))))</f>
        <v/>
      </c>
    </row>
    <row r="1830" ht="16.5" customHeight="1" s="80">
      <c r="A1830" s="113" t="n"/>
      <c r="B1830" s="113" t="n"/>
      <c r="C1830" s="113" t="n"/>
      <c r="D1830" s="113" t="n"/>
      <c r="E1830" s="113" t="n"/>
      <c r="F1830" s="113" t="n"/>
      <c r="G1830" s="113" t="n"/>
      <c r="H1830" s="113" t="n"/>
      <c r="I1830" s="113" t="n"/>
      <c r="J1830" s="113" t="n"/>
      <c r="K1830" s="113" t="n"/>
      <c r="L1830" s="113" t="n"/>
      <c r="M1830" s="113" t="n"/>
      <c r="N1830" s="113" t="n"/>
      <c r="O1830" s="113" t="n"/>
      <c r="P1830" s="113" t="n"/>
      <c r="Q1830" s="113" t="n"/>
      <c r="R1830" s="113" t="n"/>
      <c r="S1830" s="113" t="n"/>
      <c r="T1830" s="113" t="n"/>
      <c r="U1830" s="113" t="n"/>
      <c r="V1830" s="113" t="n"/>
      <c r="W1830" s="113" t="n"/>
      <c r="X1830" s="113" t="n"/>
      <c r="Y1830" s="113" t="n"/>
      <c r="Z1830" s="117">
        <f>IF($B1830="",0,IF($S1830="EVET",IF($D1830="GELİR",$O1830,-$O1830),0))</f>
        <v/>
      </c>
      <c r="AA1830" s="117">
        <f>IF($B1830="",0,IF(OR($W1830="EVET",$X1830="EVET",$Y1830="EVET"),0,IF($D1830="GELİR",IF($E1830="SATIŞ İADESİ/İSKONTO",-$O1830,$O1830),-$O1830)))</f>
        <v/>
      </c>
      <c r="AB1830" s="117">
        <f>IF($B1830="","",IF(OR($D1830="",$E1830="",$O1830=""),"EKSİK",IF($O1830&lt;=0,"SIFIR/NEGATİF",IF(COUNTIFS($C$6:$C$5000,$C1830,$O$6:$O$5000,$O1830,$B$6:$B$5000,$B1830)&gt;1,"MÜKERRER","OK"))))</f>
        <v/>
      </c>
    </row>
    <row r="1831" ht="16.5" customHeight="1" s="80">
      <c r="A1831" s="113" t="n"/>
      <c r="B1831" s="113" t="n"/>
      <c r="C1831" s="113" t="n"/>
      <c r="D1831" s="113" t="n"/>
      <c r="E1831" s="113" t="n"/>
      <c r="F1831" s="113" t="n"/>
      <c r="G1831" s="113" t="n"/>
      <c r="H1831" s="113" t="n"/>
      <c r="I1831" s="113" t="n"/>
      <c r="J1831" s="113" t="n"/>
      <c r="K1831" s="113" t="n"/>
      <c r="L1831" s="113" t="n"/>
      <c r="M1831" s="113" t="n"/>
      <c r="N1831" s="113" t="n"/>
      <c r="O1831" s="113" t="n"/>
      <c r="P1831" s="113" t="n"/>
      <c r="Q1831" s="113" t="n"/>
      <c r="R1831" s="113" t="n"/>
      <c r="S1831" s="113" t="n"/>
      <c r="T1831" s="113" t="n"/>
      <c r="U1831" s="113" t="n"/>
      <c r="V1831" s="113" t="n"/>
      <c r="W1831" s="113" t="n"/>
      <c r="X1831" s="113" t="n"/>
      <c r="Y1831" s="113" t="n"/>
      <c r="Z1831" s="117">
        <f>IF($B1831="",0,IF($S1831="EVET",IF($D1831="GELİR",$O1831,-$O1831),0))</f>
        <v/>
      </c>
      <c r="AA1831" s="117">
        <f>IF($B1831="",0,IF(OR($W1831="EVET",$X1831="EVET",$Y1831="EVET"),0,IF($D1831="GELİR",IF($E1831="SATIŞ İADESİ/İSKONTO",-$O1831,$O1831),-$O1831)))</f>
        <v/>
      </c>
      <c r="AB1831" s="117">
        <f>IF($B1831="","",IF(OR($D1831="",$E1831="",$O1831=""),"EKSİK",IF($O1831&lt;=0,"SIFIR/NEGATİF",IF(COUNTIFS($C$6:$C$5000,$C1831,$O$6:$O$5000,$O1831,$B$6:$B$5000,$B1831)&gt;1,"MÜKERRER","OK"))))</f>
        <v/>
      </c>
    </row>
    <row r="1832" ht="16.5" customHeight="1" s="80">
      <c r="A1832" s="113" t="n"/>
      <c r="B1832" s="113" t="n"/>
      <c r="C1832" s="113" t="n"/>
      <c r="D1832" s="113" t="n"/>
      <c r="E1832" s="113" t="n"/>
      <c r="F1832" s="113" t="n"/>
      <c r="G1832" s="113" t="n"/>
      <c r="H1832" s="113" t="n"/>
      <c r="I1832" s="113" t="n"/>
      <c r="J1832" s="113" t="n"/>
      <c r="K1832" s="113" t="n"/>
      <c r="L1832" s="113" t="n"/>
      <c r="M1832" s="113" t="n"/>
      <c r="N1832" s="113" t="n"/>
      <c r="O1832" s="113" t="n"/>
      <c r="P1832" s="113" t="n"/>
      <c r="Q1832" s="113" t="n"/>
      <c r="R1832" s="113" t="n"/>
      <c r="S1832" s="113" t="n"/>
      <c r="T1832" s="113" t="n"/>
      <c r="U1832" s="113" t="n"/>
      <c r="V1832" s="113" t="n"/>
      <c r="W1832" s="113" t="n"/>
      <c r="X1832" s="113" t="n"/>
      <c r="Y1832" s="113" t="n"/>
      <c r="Z1832" s="117">
        <f>IF($B1832="",0,IF($S1832="EVET",IF($D1832="GELİR",$O1832,-$O1832),0))</f>
        <v/>
      </c>
      <c r="AA1832" s="117">
        <f>IF($B1832="",0,IF(OR($W1832="EVET",$X1832="EVET",$Y1832="EVET"),0,IF($D1832="GELİR",IF($E1832="SATIŞ İADESİ/İSKONTO",-$O1832,$O1832),-$O1832)))</f>
        <v/>
      </c>
      <c r="AB1832" s="117">
        <f>IF($B1832="","",IF(OR($D1832="",$E1832="",$O1832=""),"EKSİK",IF($O1832&lt;=0,"SIFIR/NEGATİF",IF(COUNTIFS($C$6:$C$5000,$C1832,$O$6:$O$5000,$O1832,$B$6:$B$5000,$B1832)&gt;1,"MÜKERRER","OK"))))</f>
        <v/>
      </c>
    </row>
    <row r="1833" ht="16.5" customHeight="1" s="80">
      <c r="A1833" s="113" t="n"/>
      <c r="B1833" s="113" t="n"/>
      <c r="C1833" s="113" t="n"/>
      <c r="D1833" s="113" t="n"/>
      <c r="E1833" s="113" t="n"/>
      <c r="F1833" s="113" t="n"/>
      <c r="G1833" s="113" t="n"/>
      <c r="H1833" s="113" t="n"/>
      <c r="I1833" s="113" t="n"/>
      <c r="J1833" s="113" t="n"/>
      <c r="K1833" s="113" t="n"/>
      <c r="L1833" s="113" t="n"/>
      <c r="M1833" s="113" t="n"/>
      <c r="N1833" s="113" t="n"/>
      <c r="O1833" s="113" t="n"/>
      <c r="P1833" s="113" t="n"/>
      <c r="Q1833" s="113" t="n"/>
      <c r="R1833" s="113" t="n"/>
      <c r="S1833" s="113" t="n"/>
      <c r="T1833" s="113" t="n"/>
      <c r="U1833" s="113" t="n"/>
      <c r="V1833" s="113" t="n"/>
      <c r="W1833" s="113" t="n"/>
      <c r="X1833" s="113" t="n"/>
      <c r="Y1833" s="113" t="n"/>
      <c r="Z1833" s="117">
        <f>IF($B1833="",0,IF($S1833="EVET",IF($D1833="GELİR",$O1833,-$O1833),0))</f>
        <v/>
      </c>
      <c r="AA1833" s="117">
        <f>IF($B1833="",0,IF(OR($W1833="EVET",$X1833="EVET",$Y1833="EVET"),0,IF($D1833="GELİR",IF($E1833="SATIŞ İADESİ/İSKONTO",-$O1833,$O1833),-$O1833)))</f>
        <v/>
      </c>
      <c r="AB1833" s="117">
        <f>IF($B1833="","",IF(OR($D1833="",$E1833="",$O1833=""),"EKSİK",IF($O1833&lt;=0,"SIFIR/NEGATİF",IF(COUNTIFS($C$6:$C$5000,$C1833,$O$6:$O$5000,$O1833,$B$6:$B$5000,$B1833)&gt;1,"MÜKERRER","OK"))))</f>
        <v/>
      </c>
    </row>
    <row r="1834" ht="16.5" customHeight="1" s="80">
      <c r="A1834" s="113" t="n"/>
      <c r="B1834" s="113" t="n"/>
      <c r="C1834" s="113" t="n"/>
      <c r="D1834" s="113" t="n"/>
      <c r="E1834" s="113" t="n"/>
      <c r="F1834" s="113" t="n"/>
      <c r="G1834" s="113" t="n"/>
      <c r="H1834" s="113" t="n"/>
      <c r="I1834" s="113" t="n"/>
      <c r="J1834" s="113" t="n"/>
      <c r="K1834" s="113" t="n"/>
      <c r="L1834" s="113" t="n"/>
      <c r="M1834" s="113" t="n"/>
      <c r="N1834" s="113" t="n"/>
      <c r="O1834" s="113" t="n"/>
      <c r="P1834" s="113" t="n"/>
      <c r="Q1834" s="113" t="n"/>
      <c r="R1834" s="113" t="n"/>
      <c r="S1834" s="113" t="n"/>
      <c r="T1834" s="113" t="n"/>
      <c r="U1834" s="113" t="n"/>
      <c r="V1834" s="113" t="n"/>
      <c r="W1834" s="113" t="n"/>
      <c r="X1834" s="113" t="n"/>
      <c r="Y1834" s="113" t="n"/>
      <c r="Z1834" s="117">
        <f>IF($B1834="",0,IF($S1834="EVET",IF($D1834="GELİR",$O1834,-$O1834),0))</f>
        <v/>
      </c>
      <c r="AA1834" s="117">
        <f>IF($B1834="",0,IF(OR($W1834="EVET",$X1834="EVET",$Y1834="EVET"),0,IF($D1834="GELİR",IF($E1834="SATIŞ İADESİ/İSKONTO",-$O1834,$O1834),-$O1834)))</f>
        <v/>
      </c>
      <c r="AB1834" s="117">
        <f>IF($B1834="","",IF(OR($D1834="",$E1834="",$O1834=""),"EKSİK",IF($O1834&lt;=0,"SIFIR/NEGATİF",IF(COUNTIFS($C$6:$C$5000,$C1834,$O$6:$O$5000,$O1834,$B$6:$B$5000,$B1834)&gt;1,"MÜKERRER","OK"))))</f>
        <v/>
      </c>
    </row>
    <row r="1835" ht="16.5" customHeight="1" s="80">
      <c r="A1835" s="113" t="n"/>
      <c r="B1835" s="113" t="n"/>
      <c r="C1835" s="113" t="n"/>
      <c r="D1835" s="113" t="n"/>
      <c r="E1835" s="113" t="n"/>
      <c r="F1835" s="113" t="n"/>
      <c r="G1835" s="113" t="n"/>
      <c r="H1835" s="113" t="n"/>
      <c r="I1835" s="113" t="n"/>
      <c r="J1835" s="113" t="n"/>
      <c r="K1835" s="113" t="n"/>
      <c r="L1835" s="113" t="n"/>
      <c r="M1835" s="113" t="n"/>
      <c r="N1835" s="113" t="n"/>
      <c r="O1835" s="113" t="n"/>
      <c r="P1835" s="113" t="n"/>
      <c r="Q1835" s="113" t="n"/>
      <c r="R1835" s="113" t="n"/>
      <c r="S1835" s="113" t="n"/>
      <c r="T1835" s="113" t="n"/>
      <c r="U1835" s="113" t="n"/>
      <c r="V1835" s="113" t="n"/>
      <c r="W1835" s="113" t="n"/>
      <c r="X1835" s="113" t="n"/>
      <c r="Y1835" s="113" t="n"/>
      <c r="Z1835" s="117">
        <f>IF($B1835="",0,IF($S1835="EVET",IF($D1835="GELİR",$O1835,-$O1835),0))</f>
        <v/>
      </c>
      <c r="AA1835" s="117">
        <f>IF($B1835="",0,IF(OR($W1835="EVET",$X1835="EVET",$Y1835="EVET"),0,IF($D1835="GELİR",IF($E1835="SATIŞ İADESİ/İSKONTO",-$O1835,$O1835),-$O1835)))</f>
        <v/>
      </c>
      <c r="AB1835" s="117">
        <f>IF($B1835="","",IF(OR($D1835="",$E1835="",$O1835=""),"EKSİK",IF($O1835&lt;=0,"SIFIR/NEGATİF",IF(COUNTIFS($C$6:$C$5000,$C1835,$O$6:$O$5000,$O1835,$B$6:$B$5000,$B1835)&gt;1,"MÜKERRER","OK"))))</f>
        <v/>
      </c>
    </row>
    <row r="1836" ht="16.5" customHeight="1" s="80">
      <c r="A1836" s="113" t="n"/>
      <c r="B1836" s="113" t="n"/>
      <c r="C1836" s="113" t="n"/>
      <c r="D1836" s="113" t="n"/>
      <c r="E1836" s="113" t="n"/>
      <c r="F1836" s="113" t="n"/>
      <c r="G1836" s="113" t="n"/>
      <c r="H1836" s="113" t="n"/>
      <c r="I1836" s="113" t="n"/>
      <c r="J1836" s="113" t="n"/>
      <c r="K1836" s="113" t="n"/>
      <c r="L1836" s="113" t="n"/>
      <c r="M1836" s="113" t="n"/>
      <c r="N1836" s="113" t="n"/>
      <c r="O1836" s="113" t="n"/>
      <c r="P1836" s="113" t="n"/>
      <c r="Q1836" s="113" t="n"/>
      <c r="R1836" s="113" t="n"/>
      <c r="S1836" s="113" t="n"/>
      <c r="T1836" s="113" t="n"/>
      <c r="U1836" s="113" t="n"/>
      <c r="V1836" s="113" t="n"/>
      <c r="W1836" s="113" t="n"/>
      <c r="X1836" s="113" t="n"/>
      <c r="Y1836" s="113" t="n"/>
      <c r="Z1836" s="117">
        <f>IF($B1836="",0,IF($S1836="EVET",IF($D1836="GELİR",$O1836,-$O1836),0))</f>
        <v/>
      </c>
      <c r="AA1836" s="117">
        <f>IF($B1836="",0,IF(OR($W1836="EVET",$X1836="EVET",$Y1836="EVET"),0,IF($D1836="GELİR",IF($E1836="SATIŞ İADESİ/İSKONTO",-$O1836,$O1836),-$O1836)))</f>
        <v/>
      </c>
      <c r="AB1836" s="117">
        <f>IF($B1836="","",IF(OR($D1836="",$E1836="",$O1836=""),"EKSİK",IF($O1836&lt;=0,"SIFIR/NEGATİF",IF(COUNTIFS($C$6:$C$5000,$C1836,$O$6:$O$5000,$O1836,$B$6:$B$5000,$B1836)&gt;1,"MÜKERRER","OK"))))</f>
        <v/>
      </c>
    </row>
    <row r="1837" ht="16.5" customHeight="1" s="80">
      <c r="A1837" s="113" t="n"/>
      <c r="B1837" s="113" t="n"/>
      <c r="C1837" s="113" t="n"/>
      <c r="D1837" s="113" t="n"/>
      <c r="E1837" s="113" t="n"/>
      <c r="F1837" s="113" t="n"/>
      <c r="G1837" s="113" t="n"/>
      <c r="H1837" s="113" t="n"/>
      <c r="I1837" s="113" t="n"/>
      <c r="J1837" s="113" t="n"/>
      <c r="K1837" s="113" t="n"/>
      <c r="L1837" s="113" t="n"/>
      <c r="M1837" s="113" t="n"/>
      <c r="N1837" s="113" t="n"/>
      <c r="O1837" s="113" t="n"/>
      <c r="P1837" s="113" t="n"/>
      <c r="Q1837" s="113" t="n"/>
      <c r="R1837" s="113" t="n"/>
      <c r="S1837" s="113" t="n"/>
      <c r="T1837" s="113" t="n"/>
      <c r="U1837" s="113" t="n"/>
      <c r="V1837" s="113" t="n"/>
      <c r="W1837" s="113" t="n"/>
      <c r="X1837" s="113" t="n"/>
      <c r="Y1837" s="113" t="n"/>
      <c r="Z1837" s="117">
        <f>IF($B1837="",0,IF($S1837="EVET",IF($D1837="GELİR",$O1837,-$O1837),0))</f>
        <v/>
      </c>
      <c r="AA1837" s="117">
        <f>IF($B1837="",0,IF(OR($W1837="EVET",$X1837="EVET",$Y1837="EVET"),0,IF($D1837="GELİR",IF($E1837="SATIŞ İADESİ/İSKONTO",-$O1837,$O1837),-$O1837)))</f>
        <v/>
      </c>
      <c r="AB1837" s="117">
        <f>IF($B1837="","",IF(OR($D1837="",$E1837="",$O1837=""),"EKSİK",IF($O1837&lt;=0,"SIFIR/NEGATİF",IF(COUNTIFS($C$6:$C$5000,$C1837,$O$6:$O$5000,$O1837,$B$6:$B$5000,$B1837)&gt;1,"MÜKERRER","OK"))))</f>
        <v/>
      </c>
    </row>
    <row r="1838" ht="16.5" customHeight="1" s="80">
      <c r="A1838" s="113" t="n"/>
      <c r="B1838" s="113" t="n"/>
      <c r="C1838" s="113" t="n"/>
      <c r="D1838" s="113" t="n"/>
      <c r="E1838" s="113" t="n"/>
      <c r="F1838" s="113" t="n"/>
      <c r="G1838" s="113" t="n"/>
      <c r="H1838" s="113" t="n"/>
      <c r="I1838" s="113" t="n"/>
      <c r="J1838" s="113" t="n"/>
      <c r="K1838" s="113" t="n"/>
      <c r="L1838" s="113" t="n"/>
      <c r="M1838" s="113" t="n"/>
      <c r="N1838" s="113" t="n"/>
      <c r="O1838" s="113" t="n"/>
      <c r="P1838" s="113" t="n"/>
      <c r="Q1838" s="113" t="n"/>
      <c r="R1838" s="113" t="n"/>
      <c r="S1838" s="113" t="n"/>
      <c r="T1838" s="113" t="n"/>
      <c r="U1838" s="113" t="n"/>
      <c r="V1838" s="113" t="n"/>
      <c r="W1838" s="113" t="n"/>
      <c r="X1838" s="113" t="n"/>
      <c r="Y1838" s="113" t="n"/>
      <c r="Z1838" s="117">
        <f>IF($B1838="",0,IF($S1838="EVET",IF($D1838="GELİR",$O1838,-$O1838),0))</f>
        <v/>
      </c>
      <c r="AA1838" s="117">
        <f>IF($B1838="",0,IF(OR($W1838="EVET",$X1838="EVET",$Y1838="EVET"),0,IF($D1838="GELİR",IF($E1838="SATIŞ İADESİ/İSKONTO",-$O1838,$O1838),-$O1838)))</f>
        <v/>
      </c>
      <c r="AB1838" s="117">
        <f>IF($B1838="","",IF(OR($D1838="",$E1838="",$O1838=""),"EKSİK",IF($O1838&lt;=0,"SIFIR/NEGATİF",IF(COUNTIFS($C$6:$C$5000,$C1838,$O$6:$O$5000,$O1838,$B$6:$B$5000,$B1838)&gt;1,"MÜKERRER","OK"))))</f>
        <v/>
      </c>
    </row>
    <row r="1839" ht="16.5" customHeight="1" s="80">
      <c r="A1839" s="113" t="n"/>
      <c r="B1839" s="113" t="n"/>
      <c r="C1839" s="113" t="n"/>
      <c r="D1839" s="113" t="n"/>
      <c r="E1839" s="113" t="n"/>
      <c r="F1839" s="113" t="n"/>
      <c r="G1839" s="113" t="n"/>
      <c r="H1839" s="113" t="n"/>
      <c r="I1839" s="113" t="n"/>
      <c r="J1839" s="113" t="n"/>
      <c r="K1839" s="113" t="n"/>
      <c r="L1839" s="113" t="n"/>
      <c r="M1839" s="113" t="n"/>
      <c r="N1839" s="113" t="n"/>
      <c r="O1839" s="113" t="n"/>
      <c r="P1839" s="113" t="n"/>
      <c r="Q1839" s="113" t="n"/>
      <c r="R1839" s="113" t="n"/>
      <c r="S1839" s="113" t="n"/>
      <c r="T1839" s="113" t="n"/>
      <c r="U1839" s="113" t="n"/>
      <c r="V1839" s="113" t="n"/>
      <c r="W1839" s="113" t="n"/>
      <c r="X1839" s="113" t="n"/>
      <c r="Y1839" s="113" t="n"/>
      <c r="Z1839" s="117">
        <f>IF($B1839="",0,IF($S1839="EVET",IF($D1839="GELİR",$O1839,-$O1839),0))</f>
        <v/>
      </c>
      <c r="AA1839" s="117">
        <f>IF($B1839="",0,IF(OR($W1839="EVET",$X1839="EVET",$Y1839="EVET"),0,IF($D1839="GELİR",IF($E1839="SATIŞ İADESİ/İSKONTO",-$O1839,$O1839),-$O1839)))</f>
        <v/>
      </c>
      <c r="AB1839" s="117">
        <f>IF($B1839="","",IF(OR($D1839="",$E1839="",$O1839=""),"EKSİK",IF($O1839&lt;=0,"SIFIR/NEGATİF",IF(COUNTIFS($C$6:$C$5000,$C1839,$O$6:$O$5000,$O1839,$B$6:$B$5000,$B1839)&gt;1,"MÜKERRER","OK"))))</f>
        <v/>
      </c>
    </row>
    <row r="1840" ht="16.5" customHeight="1" s="80">
      <c r="A1840" s="113" t="n"/>
      <c r="B1840" s="113" t="n"/>
      <c r="C1840" s="113" t="n"/>
      <c r="D1840" s="113" t="n"/>
      <c r="E1840" s="113" t="n"/>
      <c r="F1840" s="113" t="n"/>
      <c r="G1840" s="113" t="n"/>
      <c r="H1840" s="113" t="n"/>
      <c r="I1840" s="113" t="n"/>
      <c r="J1840" s="113" t="n"/>
      <c r="K1840" s="113" t="n"/>
      <c r="L1840" s="113" t="n"/>
      <c r="M1840" s="113" t="n"/>
      <c r="N1840" s="113" t="n"/>
      <c r="O1840" s="113" t="n"/>
      <c r="P1840" s="113" t="n"/>
      <c r="Q1840" s="113" t="n"/>
      <c r="R1840" s="113" t="n"/>
      <c r="S1840" s="113" t="n"/>
      <c r="T1840" s="113" t="n"/>
      <c r="U1840" s="113" t="n"/>
      <c r="V1840" s="113" t="n"/>
      <c r="W1840" s="113" t="n"/>
      <c r="X1840" s="113" t="n"/>
      <c r="Y1840" s="113" t="n"/>
      <c r="Z1840" s="117">
        <f>IF($B1840="",0,IF($S1840="EVET",IF($D1840="GELİR",$O1840,-$O1840),0))</f>
        <v/>
      </c>
      <c r="AA1840" s="117">
        <f>IF($B1840="",0,IF(OR($W1840="EVET",$X1840="EVET",$Y1840="EVET"),0,IF($D1840="GELİR",IF($E1840="SATIŞ İADESİ/İSKONTO",-$O1840,$O1840),-$O1840)))</f>
        <v/>
      </c>
      <c r="AB1840" s="117">
        <f>IF($B1840="","",IF(OR($D1840="",$E1840="",$O1840=""),"EKSİK",IF($O1840&lt;=0,"SIFIR/NEGATİF",IF(COUNTIFS($C$6:$C$5000,$C1840,$O$6:$O$5000,$O1840,$B$6:$B$5000,$B1840)&gt;1,"MÜKERRER","OK"))))</f>
        <v/>
      </c>
    </row>
    <row r="1841" ht="16.5" customHeight="1" s="80">
      <c r="A1841" s="113" t="n"/>
      <c r="B1841" s="113" t="n"/>
      <c r="C1841" s="113" t="n"/>
      <c r="D1841" s="113" t="n"/>
      <c r="E1841" s="113" t="n"/>
      <c r="F1841" s="113" t="n"/>
      <c r="G1841" s="113" t="n"/>
      <c r="H1841" s="113" t="n"/>
      <c r="I1841" s="113" t="n"/>
      <c r="J1841" s="113" t="n"/>
      <c r="K1841" s="113" t="n"/>
      <c r="L1841" s="113" t="n"/>
      <c r="M1841" s="113" t="n"/>
      <c r="N1841" s="113" t="n"/>
      <c r="O1841" s="113" t="n"/>
      <c r="P1841" s="113" t="n"/>
      <c r="Q1841" s="113" t="n"/>
      <c r="R1841" s="113" t="n"/>
      <c r="S1841" s="113" t="n"/>
      <c r="T1841" s="113" t="n"/>
      <c r="U1841" s="113" t="n"/>
      <c r="V1841" s="113" t="n"/>
      <c r="W1841" s="113" t="n"/>
      <c r="X1841" s="113" t="n"/>
      <c r="Y1841" s="113" t="n"/>
      <c r="Z1841" s="117">
        <f>IF($B1841="",0,IF($S1841="EVET",IF($D1841="GELİR",$O1841,-$O1841),0))</f>
        <v/>
      </c>
      <c r="AA1841" s="117">
        <f>IF($B1841="",0,IF(OR($W1841="EVET",$X1841="EVET",$Y1841="EVET"),0,IF($D1841="GELİR",IF($E1841="SATIŞ İADESİ/İSKONTO",-$O1841,$O1841),-$O1841)))</f>
        <v/>
      </c>
      <c r="AB1841" s="117">
        <f>IF($B1841="","",IF(OR($D1841="",$E1841="",$O1841=""),"EKSİK",IF($O1841&lt;=0,"SIFIR/NEGATİF",IF(COUNTIFS($C$6:$C$5000,$C1841,$O$6:$O$5000,$O1841,$B$6:$B$5000,$B1841)&gt;1,"MÜKERRER","OK"))))</f>
        <v/>
      </c>
    </row>
    <row r="1842" ht="16.5" customHeight="1" s="80">
      <c r="A1842" s="113" t="n"/>
      <c r="B1842" s="113" t="n"/>
      <c r="C1842" s="113" t="n"/>
      <c r="D1842" s="113" t="n"/>
      <c r="E1842" s="113" t="n"/>
      <c r="F1842" s="113" t="n"/>
      <c r="G1842" s="113" t="n"/>
      <c r="H1842" s="113" t="n"/>
      <c r="I1842" s="113" t="n"/>
      <c r="J1842" s="113" t="n"/>
      <c r="K1842" s="113" t="n"/>
      <c r="L1842" s="113" t="n"/>
      <c r="M1842" s="113" t="n"/>
      <c r="N1842" s="113" t="n"/>
      <c r="O1842" s="113" t="n"/>
      <c r="P1842" s="113" t="n"/>
      <c r="Q1842" s="113" t="n"/>
      <c r="R1842" s="113" t="n"/>
      <c r="S1842" s="113" t="n"/>
      <c r="T1842" s="113" t="n"/>
      <c r="U1842" s="113" t="n"/>
      <c r="V1842" s="113" t="n"/>
      <c r="W1842" s="113" t="n"/>
      <c r="X1842" s="113" t="n"/>
      <c r="Y1842" s="113" t="n"/>
      <c r="Z1842" s="117">
        <f>IF($B1842="",0,IF($S1842="EVET",IF($D1842="GELİR",$O1842,-$O1842),0))</f>
        <v/>
      </c>
      <c r="AA1842" s="117">
        <f>IF($B1842="",0,IF(OR($W1842="EVET",$X1842="EVET",$Y1842="EVET"),0,IF($D1842="GELİR",IF($E1842="SATIŞ İADESİ/İSKONTO",-$O1842,$O1842),-$O1842)))</f>
        <v/>
      </c>
      <c r="AB1842" s="117">
        <f>IF($B1842="","",IF(OR($D1842="",$E1842="",$O1842=""),"EKSİK",IF($O1842&lt;=0,"SIFIR/NEGATİF",IF(COUNTIFS($C$6:$C$5000,$C1842,$O$6:$O$5000,$O1842,$B$6:$B$5000,$B1842)&gt;1,"MÜKERRER","OK"))))</f>
        <v/>
      </c>
    </row>
    <row r="1843" ht="16.5" customHeight="1" s="80">
      <c r="A1843" s="113" t="n"/>
      <c r="B1843" s="113" t="n"/>
      <c r="C1843" s="113" t="n"/>
      <c r="D1843" s="113" t="n"/>
      <c r="E1843" s="113" t="n"/>
      <c r="F1843" s="113" t="n"/>
      <c r="G1843" s="113" t="n"/>
      <c r="H1843" s="113" t="n"/>
      <c r="I1843" s="113" t="n"/>
      <c r="J1843" s="113" t="n"/>
      <c r="K1843" s="113" t="n"/>
      <c r="L1843" s="113" t="n"/>
      <c r="M1843" s="113" t="n"/>
      <c r="N1843" s="113" t="n"/>
      <c r="O1843" s="113" t="n"/>
      <c r="P1843" s="113" t="n"/>
      <c r="Q1843" s="113" t="n"/>
      <c r="R1843" s="113" t="n"/>
      <c r="S1843" s="113" t="n"/>
      <c r="T1843" s="113" t="n"/>
      <c r="U1843" s="113" t="n"/>
      <c r="V1843" s="113" t="n"/>
      <c r="W1843" s="113" t="n"/>
      <c r="X1843" s="113" t="n"/>
      <c r="Y1843" s="113" t="n"/>
      <c r="Z1843" s="117">
        <f>IF($B1843="",0,IF($S1843="EVET",IF($D1843="GELİR",$O1843,-$O1843),0))</f>
        <v/>
      </c>
      <c r="AA1843" s="117">
        <f>IF($B1843="",0,IF(OR($W1843="EVET",$X1843="EVET",$Y1843="EVET"),0,IF($D1843="GELİR",IF($E1843="SATIŞ İADESİ/İSKONTO",-$O1843,$O1843),-$O1843)))</f>
        <v/>
      </c>
      <c r="AB1843" s="117">
        <f>IF($B1843="","",IF(OR($D1843="",$E1843="",$O1843=""),"EKSİK",IF($O1843&lt;=0,"SIFIR/NEGATİF",IF(COUNTIFS($C$6:$C$5000,$C1843,$O$6:$O$5000,$O1843,$B$6:$B$5000,$B1843)&gt;1,"MÜKERRER","OK"))))</f>
        <v/>
      </c>
    </row>
    <row r="1844" ht="16.5" customHeight="1" s="80">
      <c r="A1844" s="113" t="n"/>
      <c r="B1844" s="113" t="n"/>
      <c r="C1844" s="113" t="n"/>
      <c r="D1844" s="113" t="n"/>
      <c r="E1844" s="113" t="n"/>
      <c r="F1844" s="113" t="n"/>
      <c r="G1844" s="113" t="n"/>
      <c r="H1844" s="113" t="n"/>
      <c r="I1844" s="113" t="n"/>
      <c r="J1844" s="113" t="n"/>
      <c r="K1844" s="113" t="n"/>
      <c r="L1844" s="113" t="n"/>
      <c r="M1844" s="113" t="n"/>
      <c r="N1844" s="113" t="n"/>
      <c r="O1844" s="113" t="n"/>
      <c r="P1844" s="113" t="n"/>
      <c r="Q1844" s="113" t="n"/>
      <c r="R1844" s="113" t="n"/>
      <c r="S1844" s="113" t="n"/>
      <c r="T1844" s="113" t="n"/>
      <c r="U1844" s="113" t="n"/>
      <c r="V1844" s="113" t="n"/>
      <c r="W1844" s="113" t="n"/>
      <c r="X1844" s="113" t="n"/>
      <c r="Y1844" s="113" t="n"/>
      <c r="Z1844" s="117">
        <f>IF($B1844="",0,IF($S1844="EVET",IF($D1844="GELİR",$O1844,-$O1844),0))</f>
        <v/>
      </c>
      <c r="AA1844" s="117">
        <f>IF($B1844="",0,IF(OR($W1844="EVET",$X1844="EVET",$Y1844="EVET"),0,IF($D1844="GELİR",IF($E1844="SATIŞ İADESİ/İSKONTO",-$O1844,$O1844),-$O1844)))</f>
        <v/>
      </c>
      <c r="AB1844" s="117">
        <f>IF($B1844="","",IF(OR($D1844="",$E1844="",$O1844=""),"EKSİK",IF($O1844&lt;=0,"SIFIR/NEGATİF",IF(COUNTIFS($C$6:$C$5000,$C1844,$O$6:$O$5000,$O1844,$B$6:$B$5000,$B1844)&gt;1,"MÜKERRER","OK"))))</f>
        <v/>
      </c>
    </row>
    <row r="1845" ht="16.5" customHeight="1" s="80">
      <c r="A1845" s="113" t="n"/>
      <c r="B1845" s="113" t="n"/>
      <c r="C1845" s="113" t="n"/>
      <c r="D1845" s="113" t="n"/>
      <c r="E1845" s="113" t="n"/>
      <c r="F1845" s="113" t="n"/>
      <c r="G1845" s="113" t="n"/>
      <c r="H1845" s="113" t="n"/>
      <c r="I1845" s="113" t="n"/>
      <c r="J1845" s="113" t="n"/>
      <c r="K1845" s="113" t="n"/>
      <c r="L1845" s="113" t="n"/>
      <c r="M1845" s="113" t="n"/>
      <c r="N1845" s="113" t="n"/>
      <c r="O1845" s="113" t="n"/>
      <c r="P1845" s="113" t="n"/>
      <c r="Q1845" s="113" t="n"/>
      <c r="R1845" s="113" t="n"/>
      <c r="S1845" s="113" t="n"/>
      <c r="T1845" s="113" t="n"/>
      <c r="U1845" s="113" t="n"/>
      <c r="V1845" s="113" t="n"/>
      <c r="W1845" s="113" t="n"/>
      <c r="X1845" s="113" t="n"/>
      <c r="Y1845" s="113" t="n"/>
      <c r="Z1845" s="117">
        <f>IF($B1845="",0,IF($S1845="EVET",IF($D1845="GELİR",$O1845,-$O1845),0))</f>
        <v/>
      </c>
      <c r="AA1845" s="117">
        <f>IF($B1845="",0,IF(OR($W1845="EVET",$X1845="EVET",$Y1845="EVET"),0,IF($D1845="GELİR",IF($E1845="SATIŞ İADESİ/İSKONTO",-$O1845,$O1845),-$O1845)))</f>
        <v/>
      </c>
      <c r="AB1845" s="117">
        <f>IF($B1845="","",IF(OR($D1845="",$E1845="",$O1845=""),"EKSİK",IF($O1845&lt;=0,"SIFIR/NEGATİF",IF(COUNTIFS($C$6:$C$5000,$C1845,$O$6:$O$5000,$O1845,$B$6:$B$5000,$B1845)&gt;1,"MÜKERRER","OK"))))</f>
        <v/>
      </c>
    </row>
    <row r="1846" ht="16.5" customHeight="1" s="80">
      <c r="A1846" s="113" t="n"/>
      <c r="B1846" s="113" t="n"/>
      <c r="C1846" s="113" t="n"/>
      <c r="D1846" s="113" t="n"/>
      <c r="E1846" s="113" t="n"/>
      <c r="F1846" s="113" t="n"/>
      <c r="G1846" s="113" t="n"/>
      <c r="H1846" s="113" t="n"/>
      <c r="I1846" s="113" t="n"/>
      <c r="J1846" s="113" t="n"/>
      <c r="K1846" s="113" t="n"/>
      <c r="L1846" s="113" t="n"/>
      <c r="M1846" s="113" t="n"/>
      <c r="N1846" s="113" t="n"/>
      <c r="O1846" s="113" t="n"/>
      <c r="P1846" s="113" t="n"/>
      <c r="Q1846" s="113" t="n"/>
      <c r="R1846" s="113" t="n"/>
      <c r="S1846" s="113" t="n"/>
      <c r="T1846" s="113" t="n"/>
      <c r="U1846" s="113" t="n"/>
      <c r="V1846" s="113" t="n"/>
      <c r="W1846" s="113" t="n"/>
      <c r="X1846" s="113" t="n"/>
      <c r="Y1846" s="113" t="n"/>
      <c r="Z1846" s="117">
        <f>IF($B1846="",0,IF($S1846="EVET",IF($D1846="GELİR",$O1846,-$O1846),0))</f>
        <v/>
      </c>
      <c r="AA1846" s="117">
        <f>IF($B1846="",0,IF(OR($W1846="EVET",$X1846="EVET",$Y1846="EVET"),0,IF($D1846="GELİR",IF($E1846="SATIŞ İADESİ/İSKONTO",-$O1846,$O1846),-$O1846)))</f>
        <v/>
      </c>
      <c r="AB1846" s="117">
        <f>IF($B1846="","",IF(OR($D1846="",$E1846="",$O1846=""),"EKSİK",IF($O1846&lt;=0,"SIFIR/NEGATİF",IF(COUNTIFS($C$6:$C$5000,$C1846,$O$6:$O$5000,$O1846,$B$6:$B$5000,$B1846)&gt;1,"MÜKERRER","OK"))))</f>
        <v/>
      </c>
    </row>
    <row r="1847" ht="16.5" customHeight="1" s="80">
      <c r="A1847" s="113" t="n"/>
      <c r="B1847" s="113" t="n"/>
      <c r="C1847" s="113" t="n"/>
      <c r="D1847" s="113" t="n"/>
      <c r="E1847" s="113" t="n"/>
      <c r="F1847" s="113" t="n"/>
      <c r="G1847" s="113" t="n"/>
      <c r="H1847" s="113" t="n"/>
      <c r="I1847" s="113" t="n"/>
      <c r="J1847" s="113" t="n"/>
      <c r="K1847" s="113" t="n"/>
      <c r="L1847" s="113" t="n"/>
      <c r="M1847" s="113" t="n"/>
      <c r="N1847" s="113" t="n"/>
      <c r="O1847" s="113" t="n"/>
      <c r="P1847" s="113" t="n"/>
      <c r="Q1847" s="113" t="n"/>
      <c r="R1847" s="113" t="n"/>
      <c r="S1847" s="113" t="n"/>
      <c r="T1847" s="113" t="n"/>
      <c r="U1847" s="113" t="n"/>
      <c r="V1847" s="113" t="n"/>
      <c r="W1847" s="113" t="n"/>
      <c r="X1847" s="113" t="n"/>
      <c r="Y1847" s="113" t="n"/>
      <c r="Z1847" s="117">
        <f>IF($B1847="",0,IF($S1847="EVET",IF($D1847="GELİR",$O1847,-$O1847),0))</f>
        <v/>
      </c>
      <c r="AA1847" s="117">
        <f>IF($B1847="",0,IF(OR($W1847="EVET",$X1847="EVET",$Y1847="EVET"),0,IF($D1847="GELİR",IF($E1847="SATIŞ İADESİ/İSKONTO",-$O1847,$O1847),-$O1847)))</f>
        <v/>
      </c>
      <c r="AB1847" s="117">
        <f>IF($B1847="","",IF(OR($D1847="",$E1847="",$O1847=""),"EKSİK",IF($O1847&lt;=0,"SIFIR/NEGATİF",IF(COUNTIFS($C$6:$C$5000,$C1847,$O$6:$O$5000,$O1847,$B$6:$B$5000,$B1847)&gt;1,"MÜKERRER","OK"))))</f>
        <v/>
      </c>
    </row>
    <row r="1848" ht="16.5" customHeight="1" s="80">
      <c r="A1848" s="113" t="n"/>
      <c r="B1848" s="113" t="n"/>
      <c r="C1848" s="113" t="n"/>
      <c r="D1848" s="113" t="n"/>
      <c r="E1848" s="113" t="n"/>
      <c r="F1848" s="113" t="n"/>
      <c r="G1848" s="113" t="n"/>
      <c r="H1848" s="113" t="n"/>
      <c r="I1848" s="113" t="n"/>
      <c r="J1848" s="113" t="n"/>
      <c r="K1848" s="113" t="n"/>
      <c r="L1848" s="113" t="n"/>
      <c r="M1848" s="113" t="n"/>
      <c r="N1848" s="113" t="n"/>
      <c r="O1848" s="113" t="n"/>
      <c r="P1848" s="113" t="n"/>
      <c r="Q1848" s="113" t="n"/>
      <c r="R1848" s="113" t="n"/>
      <c r="S1848" s="113" t="n"/>
      <c r="T1848" s="113" t="n"/>
      <c r="U1848" s="113" t="n"/>
      <c r="V1848" s="113" t="n"/>
      <c r="W1848" s="113" t="n"/>
      <c r="X1848" s="113" t="n"/>
      <c r="Y1848" s="113" t="n"/>
      <c r="Z1848" s="117">
        <f>IF($B1848="",0,IF($S1848="EVET",IF($D1848="GELİR",$O1848,-$O1848),0))</f>
        <v/>
      </c>
      <c r="AA1848" s="117">
        <f>IF($B1848="",0,IF(OR($W1848="EVET",$X1848="EVET",$Y1848="EVET"),0,IF($D1848="GELİR",IF($E1848="SATIŞ İADESİ/İSKONTO",-$O1848,$O1848),-$O1848)))</f>
        <v/>
      </c>
      <c r="AB1848" s="117">
        <f>IF($B1848="","",IF(OR($D1848="",$E1848="",$O1848=""),"EKSİK",IF($O1848&lt;=0,"SIFIR/NEGATİF",IF(COUNTIFS($C$6:$C$5000,$C1848,$O$6:$O$5000,$O1848,$B$6:$B$5000,$B1848)&gt;1,"MÜKERRER","OK"))))</f>
        <v/>
      </c>
    </row>
    <row r="1849" ht="16.5" customHeight="1" s="80">
      <c r="A1849" s="113" t="n"/>
      <c r="B1849" s="113" t="n"/>
      <c r="C1849" s="113" t="n"/>
      <c r="D1849" s="113" t="n"/>
      <c r="E1849" s="113" t="n"/>
      <c r="F1849" s="113" t="n"/>
      <c r="G1849" s="113" t="n"/>
      <c r="H1849" s="113" t="n"/>
      <c r="I1849" s="113" t="n"/>
      <c r="J1849" s="113" t="n"/>
      <c r="K1849" s="113" t="n"/>
      <c r="L1849" s="113" t="n"/>
      <c r="M1849" s="113" t="n"/>
      <c r="N1849" s="113" t="n"/>
      <c r="O1849" s="113" t="n"/>
      <c r="P1849" s="113" t="n"/>
      <c r="Q1849" s="113" t="n"/>
      <c r="R1849" s="113" t="n"/>
      <c r="S1849" s="113" t="n"/>
      <c r="T1849" s="113" t="n"/>
      <c r="U1849" s="113" t="n"/>
      <c r="V1849" s="113" t="n"/>
      <c r="W1849" s="113" t="n"/>
      <c r="X1849" s="113" t="n"/>
      <c r="Y1849" s="113" t="n"/>
      <c r="Z1849" s="117">
        <f>IF($B1849="",0,IF($S1849="EVET",IF($D1849="GELİR",$O1849,-$O1849),0))</f>
        <v/>
      </c>
      <c r="AA1849" s="117">
        <f>IF($B1849="",0,IF(OR($W1849="EVET",$X1849="EVET",$Y1849="EVET"),0,IF($D1849="GELİR",IF($E1849="SATIŞ İADESİ/İSKONTO",-$O1849,$O1849),-$O1849)))</f>
        <v/>
      </c>
      <c r="AB1849" s="117">
        <f>IF($B1849="","",IF(OR($D1849="",$E1849="",$O1849=""),"EKSİK",IF($O1849&lt;=0,"SIFIR/NEGATİF",IF(COUNTIFS($C$6:$C$5000,$C1849,$O$6:$O$5000,$O1849,$B$6:$B$5000,$B1849)&gt;1,"MÜKERRER","OK"))))</f>
        <v/>
      </c>
    </row>
    <row r="1850" ht="16.5" customHeight="1" s="80">
      <c r="A1850" s="113" t="n"/>
      <c r="B1850" s="113" t="n"/>
      <c r="C1850" s="113" t="n"/>
      <c r="D1850" s="113" t="n"/>
      <c r="E1850" s="113" t="n"/>
      <c r="F1850" s="113" t="n"/>
      <c r="G1850" s="113" t="n"/>
      <c r="H1850" s="113" t="n"/>
      <c r="I1850" s="113" t="n"/>
      <c r="J1850" s="113" t="n"/>
      <c r="K1850" s="113" t="n"/>
      <c r="L1850" s="113" t="n"/>
      <c r="M1850" s="113" t="n"/>
      <c r="N1850" s="113" t="n"/>
      <c r="O1850" s="113" t="n"/>
      <c r="P1850" s="113" t="n"/>
      <c r="Q1850" s="113" t="n"/>
      <c r="R1850" s="113" t="n"/>
      <c r="S1850" s="113" t="n"/>
      <c r="T1850" s="113" t="n"/>
      <c r="U1850" s="113" t="n"/>
      <c r="V1850" s="113" t="n"/>
      <c r="W1850" s="113" t="n"/>
      <c r="X1850" s="113" t="n"/>
      <c r="Y1850" s="113" t="n"/>
      <c r="Z1850" s="117">
        <f>IF($B1850="",0,IF($S1850="EVET",IF($D1850="GELİR",$O1850,-$O1850),0))</f>
        <v/>
      </c>
      <c r="AA1850" s="117">
        <f>IF($B1850="",0,IF(OR($W1850="EVET",$X1850="EVET",$Y1850="EVET"),0,IF($D1850="GELİR",IF($E1850="SATIŞ İADESİ/İSKONTO",-$O1850,$O1850),-$O1850)))</f>
        <v/>
      </c>
      <c r="AB1850" s="117">
        <f>IF($B1850="","",IF(OR($D1850="",$E1850="",$O1850=""),"EKSİK",IF($O1850&lt;=0,"SIFIR/NEGATİF",IF(COUNTIFS($C$6:$C$5000,$C1850,$O$6:$O$5000,$O1850,$B$6:$B$5000,$B1850)&gt;1,"MÜKERRER","OK"))))</f>
        <v/>
      </c>
    </row>
    <row r="1851" ht="16.5" customHeight="1" s="80">
      <c r="A1851" s="113" t="n"/>
      <c r="B1851" s="113" t="n"/>
      <c r="C1851" s="113" t="n"/>
      <c r="D1851" s="113" t="n"/>
      <c r="E1851" s="113" t="n"/>
      <c r="F1851" s="113" t="n"/>
      <c r="G1851" s="113" t="n"/>
      <c r="H1851" s="113" t="n"/>
      <c r="I1851" s="113" t="n"/>
      <c r="J1851" s="113" t="n"/>
      <c r="K1851" s="113" t="n"/>
      <c r="L1851" s="113" t="n"/>
      <c r="M1851" s="113" t="n"/>
      <c r="N1851" s="113" t="n"/>
      <c r="O1851" s="113" t="n"/>
      <c r="P1851" s="113" t="n"/>
      <c r="Q1851" s="113" t="n"/>
      <c r="R1851" s="113" t="n"/>
      <c r="S1851" s="113" t="n"/>
      <c r="T1851" s="113" t="n"/>
      <c r="U1851" s="113" t="n"/>
      <c r="V1851" s="113" t="n"/>
      <c r="W1851" s="113" t="n"/>
      <c r="X1851" s="113" t="n"/>
      <c r="Y1851" s="113" t="n"/>
      <c r="Z1851" s="117">
        <f>IF($B1851="",0,IF($S1851="EVET",IF($D1851="GELİR",$O1851,-$O1851),0))</f>
        <v/>
      </c>
      <c r="AA1851" s="117">
        <f>IF($B1851="",0,IF(OR($W1851="EVET",$X1851="EVET",$Y1851="EVET"),0,IF($D1851="GELİR",IF($E1851="SATIŞ İADESİ/İSKONTO",-$O1851,$O1851),-$O1851)))</f>
        <v/>
      </c>
      <c r="AB1851" s="117">
        <f>IF($B1851="","",IF(OR($D1851="",$E1851="",$O1851=""),"EKSİK",IF($O1851&lt;=0,"SIFIR/NEGATİF",IF(COUNTIFS($C$6:$C$5000,$C1851,$O$6:$O$5000,$O1851,$B$6:$B$5000,$B1851)&gt;1,"MÜKERRER","OK"))))</f>
        <v/>
      </c>
    </row>
    <row r="1852" ht="16.5" customHeight="1" s="80">
      <c r="A1852" s="113" t="n"/>
      <c r="B1852" s="113" t="n"/>
      <c r="C1852" s="113" t="n"/>
      <c r="D1852" s="113" t="n"/>
      <c r="E1852" s="113" t="n"/>
      <c r="F1852" s="113" t="n"/>
      <c r="G1852" s="113" t="n"/>
      <c r="H1852" s="113" t="n"/>
      <c r="I1852" s="113" t="n"/>
      <c r="J1852" s="113" t="n"/>
      <c r="K1852" s="113" t="n"/>
      <c r="L1852" s="113" t="n"/>
      <c r="M1852" s="113" t="n"/>
      <c r="N1852" s="113" t="n"/>
      <c r="O1852" s="113" t="n"/>
      <c r="P1852" s="113" t="n"/>
      <c r="Q1852" s="113" t="n"/>
      <c r="R1852" s="113" t="n"/>
      <c r="S1852" s="113" t="n"/>
      <c r="T1852" s="113" t="n"/>
      <c r="U1852" s="113" t="n"/>
      <c r="V1852" s="113" t="n"/>
      <c r="W1852" s="113" t="n"/>
      <c r="X1852" s="113" t="n"/>
      <c r="Y1852" s="113" t="n"/>
      <c r="Z1852" s="117">
        <f>IF($B1852="",0,IF($S1852="EVET",IF($D1852="GELİR",$O1852,-$O1852),0))</f>
        <v/>
      </c>
      <c r="AA1852" s="117">
        <f>IF($B1852="",0,IF(OR($W1852="EVET",$X1852="EVET",$Y1852="EVET"),0,IF($D1852="GELİR",IF($E1852="SATIŞ İADESİ/İSKONTO",-$O1852,$O1852),-$O1852)))</f>
        <v/>
      </c>
      <c r="AB1852" s="117">
        <f>IF($B1852="","",IF(OR($D1852="",$E1852="",$O1852=""),"EKSİK",IF($O1852&lt;=0,"SIFIR/NEGATİF",IF(COUNTIFS($C$6:$C$5000,$C1852,$O$6:$O$5000,$O1852,$B$6:$B$5000,$B1852)&gt;1,"MÜKERRER","OK"))))</f>
        <v/>
      </c>
    </row>
    <row r="1853" ht="16.5" customHeight="1" s="80">
      <c r="A1853" s="113" t="n"/>
      <c r="B1853" s="113" t="n"/>
      <c r="C1853" s="113" t="n"/>
      <c r="D1853" s="113" t="n"/>
      <c r="E1853" s="113" t="n"/>
      <c r="F1853" s="113" t="n"/>
      <c r="G1853" s="113" t="n"/>
      <c r="H1853" s="113" t="n"/>
      <c r="I1853" s="113" t="n"/>
      <c r="J1853" s="113" t="n"/>
      <c r="K1853" s="113" t="n"/>
      <c r="L1853" s="113" t="n"/>
      <c r="M1853" s="113" t="n"/>
      <c r="N1853" s="113" t="n"/>
      <c r="O1853" s="113" t="n"/>
      <c r="P1853" s="113" t="n"/>
      <c r="Q1853" s="113" t="n"/>
      <c r="R1853" s="113" t="n"/>
      <c r="S1853" s="113" t="n"/>
      <c r="T1853" s="113" t="n"/>
      <c r="U1853" s="113" t="n"/>
      <c r="V1853" s="113" t="n"/>
      <c r="W1853" s="113" t="n"/>
      <c r="X1853" s="113" t="n"/>
      <c r="Y1853" s="113" t="n"/>
      <c r="Z1853" s="117">
        <f>IF($B1853="",0,IF($S1853="EVET",IF($D1853="GELİR",$O1853,-$O1853),0))</f>
        <v/>
      </c>
      <c r="AA1853" s="117">
        <f>IF($B1853="",0,IF(OR($W1853="EVET",$X1853="EVET",$Y1853="EVET"),0,IF($D1853="GELİR",IF($E1853="SATIŞ İADESİ/İSKONTO",-$O1853,$O1853),-$O1853)))</f>
        <v/>
      </c>
      <c r="AB1853" s="117">
        <f>IF($B1853="","",IF(OR($D1853="",$E1853="",$O1853=""),"EKSİK",IF($O1853&lt;=0,"SIFIR/NEGATİF",IF(COUNTIFS($C$6:$C$5000,$C1853,$O$6:$O$5000,$O1853,$B$6:$B$5000,$B1853)&gt;1,"MÜKERRER","OK"))))</f>
        <v/>
      </c>
    </row>
    <row r="1854" ht="16.5" customHeight="1" s="80">
      <c r="A1854" s="113" t="n"/>
      <c r="B1854" s="113" t="n"/>
      <c r="C1854" s="113" t="n"/>
      <c r="D1854" s="113" t="n"/>
      <c r="E1854" s="113" t="n"/>
      <c r="F1854" s="113" t="n"/>
      <c r="G1854" s="113" t="n"/>
      <c r="H1854" s="113" t="n"/>
      <c r="I1854" s="113" t="n"/>
      <c r="J1854" s="113" t="n"/>
      <c r="K1854" s="113" t="n"/>
      <c r="L1854" s="113" t="n"/>
      <c r="M1854" s="113" t="n"/>
      <c r="N1854" s="113" t="n"/>
      <c r="O1854" s="113" t="n"/>
      <c r="P1854" s="113" t="n"/>
      <c r="Q1854" s="113" t="n"/>
      <c r="R1854" s="113" t="n"/>
      <c r="S1854" s="113" t="n"/>
      <c r="T1854" s="113" t="n"/>
      <c r="U1854" s="113" t="n"/>
      <c r="V1854" s="113" t="n"/>
      <c r="W1854" s="113" t="n"/>
      <c r="X1854" s="113" t="n"/>
      <c r="Y1854" s="113" t="n"/>
      <c r="Z1854" s="117">
        <f>IF($B1854="",0,IF($S1854="EVET",IF($D1854="GELİR",$O1854,-$O1854),0))</f>
        <v/>
      </c>
      <c r="AA1854" s="117">
        <f>IF($B1854="",0,IF(OR($W1854="EVET",$X1854="EVET",$Y1854="EVET"),0,IF($D1854="GELİR",IF($E1854="SATIŞ İADESİ/İSKONTO",-$O1854,$O1854),-$O1854)))</f>
        <v/>
      </c>
      <c r="AB1854" s="117">
        <f>IF($B1854="","",IF(OR($D1854="",$E1854="",$O1854=""),"EKSİK",IF($O1854&lt;=0,"SIFIR/NEGATİF",IF(COUNTIFS($C$6:$C$5000,$C1854,$O$6:$O$5000,$O1854,$B$6:$B$5000,$B1854)&gt;1,"MÜKERRER","OK"))))</f>
        <v/>
      </c>
    </row>
    <row r="1855" ht="16.5" customHeight="1" s="80">
      <c r="A1855" s="113" t="n"/>
      <c r="B1855" s="113" t="n"/>
      <c r="C1855" s="113" t="n"/>
      <c r="D1855" s="113" t="n"/>
      <c r="E1855" s="113" t="n"/>
      <c r="F1855" s="113" t="n"/>
      <c r="G1855" s="113" t="n"/>
      <c r="H1855" s="113" t="n"/>
      <c r="I1855" s="113" t="n"/>
      <c r="J1855" s="113" t="n"/>
      <c r="K1855" s="113" t="n"/>
      <c r="L1855" s="113" t="n"/>
      <c r="M1855" s="113" t="n"/>
      <c r="N1855" s="113" t="n"/>
      <c r="O1855" s="113" t="n"/>
      <c r="P1855" s="113" t="n"/>
      <c r="Q1855" s="113" t="n"/>
      <c r="R1855" s="113" t="n"/>
      <c r="S1855" s="113" t="n"/>
      <c r="T1855" s="113" t="n"/>
      <c r="U1855" s="113" t="n"/>
      <c r="V1855" s="113" t="n"/>
      <c r="W1855" s="113" t="n"/>
      <c r="X1855" s="113" t="n"/>
      <c r="Y1855" s="113" t="n"/>
      <c r="Z1855" s="117">
        <f>IF($B1855="",0,IF($S1855="EVET",IF($D1855="GELİR",$O1855,-$O1855),0))</f>
        <v/>
      </c>
      <c r="AA1855" s="117">
        <f>IF($B1855="",0,IF(OR($W1855="EVET",$X1855="EVET",$Y1855="EVET"),0,IF($D1855="GELİR",IF($E1855="SATIŞ İADESİ/İSKONTO",-$O1855,$O1855),-$O1855)))</f>
        <v/>
      </c>
      <c r="AB1855" s="117">
        <f>IF($B1855="","",IF(OR($D1855="",$E1855="",$O1855=""),"EKSİK",IF($O1855&lt;=0,"SIFIR/NEGATİF",IF(COUNTIFS($C$6:$C$5000,$C1855,$O$6:$O$5000,$O1855,$B$6:$B$5000,$B1855)&gt;1,"MÜKERRER","OK"))))</f>
        <v/>
      </c>
    </row>
    <row r="1856" ht="16.5" customHeight="1" s="80">
      <c r="A1856" s="113" t="n"/>
      <c r="B1856" s="113" t="n"/>
      <c r="C1856" s="113" t="n"/>
      <c r="D1856" s="113" t="n"/>
      <c r="E1856" s="113" t="n"/>
      <c r="F1856" s="113" t="n"/>
      <c r="G1856" s="113" t="n"/>
      <c r="H1856" s="113" t="n"/>
      <c r="I1856" s="113" t="n"/>
      <c r="J1856" s="113" t="n"/>
      <c r="K1856" s="113" t="n"/>
      <c r="L1856" s="113" t="n"/>
      <c r="M1856" s="113" t="n"/>
      <c r="N1856" s="113" t="n"/>
      <c r="O1856" s="113" t="n"/>
      <c r="P1856" s="113" t="n"/>
      <c r="Q1856" s="113" t="n"/>
      <c r="R1856" s="113" t="n"/>
      <c r="S1856" s="113" t="n"/>
      <c r="T1856" s="113" t="n"/>
      <c r="U1856" s="113" t="n"/>
      <c r="V1856" s="113" t="n"/>
      <c r="W1856" s="113" t="n"/>
      <c r="X1856" s="113" t="n"/>
      <c r="Y1856" s="113" t="n"/>
      <c r="Z1856" s="117">
        <f>IF($B1856="",0,IF($S1856="EVET",IF($D1856="GELİR",$O1856,-$O1856),0))</f>
        <v/>
      </c>
      <c r="AA1856" s="117">
        <f>IF($B1856="",0,IF(OR($W1856="EVET",$X1856="EVET",$Y1856="EVET"),0,IF($D1856="GELİR",IF($E1856="SATIŞ İADESİ/İSKONTO",-$O1856,$O1856),-$O1856)))</f>
        <v/>
      </c>
      <c r="AB1856" s="117">
        <f>IF($B1856="","",IF(OR($D1856="",$E1856="",$O1856=""),"EKSİK",IF($O1856&lt;=0,"SIFIR/NEGATİF",IF(COUNTIFS($C$6:$C$5000,$C1856,$O$6:$O$5000,$O1856,$B$6:$B$5000,$B1856)&gt;1,"MÜKERRER","OK"))))</f>
        <v/>
      </c>
    </row>
    <row r="1857" ht="16.5" customHeight="1" s="80">
      <c r="A1857" s="113" t="n"/>
      <c r="B1857" s="113" t="n"/>
      <c r="C1857" s="113" t="n"/>
      <c r="D1857" s="113" t="n"/>
      <c r="E1857" s="113" t="n"/>
      <c r="F1857" s="113" t="n"/>
      <c r="G1857" s="113" t="n"/>
      <c r="H1857" s="113" t="n"/>
      <c r="I1857" s="113" t="n"/>
      <c r="J1857" s="113" t="n"/>
      <c r="K1857" s="113" t="n"/>
      <c r="L1857" s="113" t="n"/>
      <c r="M1857" s="113" t="n"/>
      <c r="N1857" s="113" t="n"/>
      <c r="O1857" s="113" t="n"/>
      <c r="P1857" s="113" t="n"/>
      <c r="Q1857" s="113" t="n"/>
      <c r="R1857" s="113" t="n"/>
      <c r="S1857" s="113" t="n"/>
      <c r="T1857" s="113" t="n"/>
      <c r="U1857" s="113" t="n"/>
      <c r="V1857" s="113" t="n"/>
      <c r="W1857" s="113" t="n"/>
      <c r="X1857" s="113" t="n"/>
      <c r="Y1857" s="113" t="n"/>
      <c r="Z1857" s="117">
        <f>IF($B1857="",0,IF($S1857="EVET",IF($D1857="GELİR",$O1857,-$O1857),0))</f>
        <v/>
      </c>
      <c r="AA1857" s="117">
        <f>IF($B1857="",0,IF(OR($W1857="EVET",$X1857="EVET",$Y1857="EVET"),0,IF($D1857="GELİR",IF($E1857="SATIŞ İADESİ/İSKONTO",-$O1857,$O1857),-$O1857)))</f>
        <v/>
      </c>
      <c r="AB1857" s="117">
        <f>IF($B1857="","",IF(OR($D1857="",$E1857="",$O1857=""),"EKSİK",IF($O1857&lt;=0,"SIFIR/NEGATİF",IF(COUNTIFS($C$6:$C$5000,$C1857,$O$6:$O$5000,$O1857,$B$6:$B$5000,$B1857)&gt;1,"MÜKERRER","OK"))))</f>
        <v/>
      </c>
    </row>
    <row r="1858" ht="16.5" customHeight="1" s="80">
      <c r="A1858" s="113" t="n"/>
      <c r="B1858" s="113" t="n"/>
      <c r="C1858" s="113" t="n"/>
      <c r="D1858" s="113" t="n"/>
      <c r="E1858" s="113" t="n"/>
      <c r="F1858" s="113" t="n"/>
      <c r="G1858" s="113" t="n"/>
      <c r="H1858" s="113" t="n"/>
      <c r="I1858" s="113" t="n"/>
      <c r="J1858" s="113" t="n"/>
      <c r="K1858" s="113" t="n"/>
      <c r="L1858" s="113" t="n"/>
      <c r="M1858" s="113" t="n"/>
      <c r="N1858" s="113" t="n"/>
      <c r="O1858" s="113" t="n"/>
      <c r="P1858" s="113" t="n"/>
      <c r="Q1858" s="113" t="n"/>
      <c r="R1858" s="113" t="n"/>
      <c r="S1858" s="113" t="n"/>
      <c r="T1858" s="113" t="n"/>
      <c r="U1858" s="113" t="n"/>
      <c r="V1858" s="113" t="n"/>
      <c r="W1858" s="113" t="n"/>
      <c r="X1858" s="113" t="n"/>
      <c r="Y1858" s="113" t="n"/>
      <c r="Z1858" s="117">
        <f>IF($B1858="",0,IF($S1858="EVET",IF($D1858="GELİR",$O1858,-$O1858),0))</f>
        <v/>
      </c>
      <c r="AA1858" s="117">
        <f>IF($B1858="",0,IF(OR($W1858="EVET",$X1858="EVET",$Y1858="EVET"),0,IF($D1858="GELİR",IF($E1858="SATIŞ İADESİ/İSKONTO",-$O1858,$O1858),-$O1858)))</f>
        <v/>
      </c>
      <c r="AB1858" s="117">
        <f>IF($B1858="","",IF(OR($D1858="",$E1858="",$O1858=""),"EKSİK",IF($O1858&lt;=0,"SIFIR/NEGATİF",IF(COUNTIFS($C$6:$C$5000,$C1858,$O$6:$O$5000,$O1858,$B$6:$B$5000,$B1858)&gt;1,"MÜKERRER","OK"))))</f>
        <v/>
      </c>
    </row>
    <row r="1859" ht="16.5" customHeight="1" s="80">
      <c r="A1859" s="113" t="n"/>
      <c r="B1859" s="113" t="n"/>
      <c r="C1859" s="113" t="n"/>
      <c r="D1859" s="113" t="n"/>
      <c r="E1859" s="113" t="n"/>
      <c r="F1859" s="113" t="n"/>
      <c r="G1859" s="113" t="n"/>
      <c r="H1859" s="113" t="n"/>
      <c r="I1859" s="113" t="n"/>
      <c r="J1859" s="113" t="n"/>
      <c r="K1859" s="113" t="n"/>
      <c r="L1859" s="113" t="n"/>
      <c r="M1859" s="113" t="n"/>
      <c r="N1859" s="113" t="n"/>
      <c r="O1859" s="113" t="n"/>
      <c r="P1859" s="113" t="n"/>
      <c r="Q1859" s="113" t="n"/>
      <c r="R1859" s="113" t="n"/>
      <c r="S1859" s="113" t="n"/>
      <c r="T1859" s="113" t="n"/>
      <c r="U1859" s="113" t="n"/>
      <c r="V1859" s="113" t="n"/>
      <c r="W1859" s="113" t="n"/>
      <c r="X1859" s="113" t="n"/>
      <c r="Y1859" s="113" t="n"/>
      <c r="Z1859" s="117">
        <f>IF($B1859="",0,IF($S1859="EVET",IF($D1859="GELİR",$O1859,-$O1859),0))</f>
        <v/>
      </c>
      <c r="AA1859" s="117">
        <f>IF($B1859="",0,IF(OR($W1859="EVET",$X1859="EVET",$Y1859="EVET"),0,IF($D1859="GELİR",IF($E1859="SATIŞ İADESİ/İSKONTO",-$O1859,$O1859),-$O1859)))</f>
        <v/>
      </c>
      <c r="AB1859" s="117">
        <f>IF($B1859="","",IF(OR($D1859="",$E1859="",$O1859=""),"EKSİK",IF($O1859&lt;=0,"SIFIR/NEGATİF",IF(COUNTIFS($C$6:$C$5000,$C1859,$O$6:$O$5000,$O1859,$B$6:$B$5000,$B1859)&gt;1,"MÜKERRER","OK"))))</f>
        <v/>
      </c>
    </row>
    <row r="1860" ht="16.5" customHeight="1" s="80">
      <c r="A1860" s="113" t="n"/>
      <c r="B1860" s="113" t="n"/>
      <c r="C1860" s="113" t="n"/>
      <c r="D1860" s="113" t="n"/>
      <c r="E1860" s="113" t="n"/>
      <c r="F1860" s="113" t="n"/>
      <c r="G1860" s="113" t="n"/>
      <c r="H1860" s="113" t="n"/>
      <c r="I1860" s="113" t="n"/>
      <c r="J1860" s="113" t="n"/>
      <c r="K1860" s="113" t="n"/>
      <c r="L1860" s="113" t="n"/>
      <c r="M1860" s="113" t="n"/>
      <c r="N1860" s="113" t="n"/>
      <c r="O1860" s="113" t="n"/>
      <c r="P1860" s="113" t="n"/>
      <c r="Q1860" s="113" t="n"/>
      <c r="R1860" s="113" t="n"/>
      <c r="S1860" s="113" t="n"/>
      <c r="T1860" s="113" t="n"/>
      <c r="U1860" s="113" t="n"/>
      <c r="V1860" s="113" t="n"/>
      <c r="W1860" s="113" t="n"/>
      <c r="X1860" s="113" t="n"/>
      <c r="Y1860" s="113" t="n"/>
      <c r="Z1860" s="117">
        <f>IF($B1860="",0,IF($S1860="EVET",IF($D1860="GELİR",$O1860,-$O1860),0))</f>
        <v/>
      </c>
      <c r="AA1860" s="117">
        <f>IF($B1860="",0,IF(OR($W1860="EVET",$X1860="EVET",$Y1860="EVET"),0,IF($D1860="GELİR",IF($E1860="SATIŞ İADESİ/İSKONTO",-$O1860,$O1860),-$O1860)))</f>
        <v/>
      </c>
      <c r="AB1860" s="117">
        <f>IF($B1860="","",IF(OR($D1860="",$E1860="",$O1860=""),"EKSİK",IF($O1860&lt;=0,"SIFIR/NEGATİF",IF(COUNTIFS($C$6:$C$5000,$C1860,$O$6:$O$5000,$O1860,$B$6:$B$5000,$B1860)&gt;1,"MÜKERRER","OK"))))</f>
        <v/>
      </c>
    </row>
    <row r="1861" ht="16.5" customHeight="1" s="80">
      <c r="A1861" s="113" t="n"/>
      <c r="B1861" s="113" t="n"/>
      <c r="C1861" s="113" t="n"/>
      <c r="D1861" s="113" t="n"/>
      <c r="E1861" s="113" t="n"/>
      <c r="F1861" s="113" t="n"/>
      <c r="G1861" s="113" t="n"/>
      <c r="H1861" s="113" t="n"/>
      <c r="I1861" s="113" t="n"/>
      <c r="J1861" s="113" t="n"/>
      <c r="K1861" s="113" t="n"/>
      <c r="L1861" s="113" t="n"/>
      <c r="M1861" s="113" t="n"/>
      <c r="N1861" s="113" t="n"/>
      <c r="O1861" s="113" t="n"/>
      <c r="P1861" s="113" t="n"/>
      <c r="Q1861" s="113" t="n"/>
      <c r="R1861" s="113" t="n"/>
      <c r="S1861" s="113" t="n"/>
      <c r="T1861" s="113" t="n"/>
      <c r="U1861" s="113" t="n"/>
      <c r="V1861" s="113" t="n"/>
      <c r="W1861" s="113" t="n"/>
      <c r="X1861" s="113" t="n"/>
      <c r="Y1861" s="113" t="n"/>
      <c r="Z1861" s="117">
        <f>IF($B1861="",0,IF($S1861="EVET",IF($D1861="GELİR",$O1861,-$O1861),0))</f>
        <v/>
      </c>
      <c r="AA1861" s="117">
        <f>IF($B1861="",0,IF(OR($W1861="EVET",$X1861="EVET",$Y1861="EVET"),0,IF($D1861="GELİR",IF($E1861="SATIŞ İADESİ/İSKONTO",-$O1861,$O1861),-$O1861)))</f>
        <v/>
      </c>
      <c r="AB1861" s="117">
        <f>IF($B1861="","",IF(OR($D1861="",$E1861="",$O1861=""),"EKSİK",IF($O1861&lt;=0,"SIFIR/NEGATİF",IF(COUNTIFS($C$6:$C$5000,$C1861,$O$6:$O$5000,$O1861,$B$6:$B$5000,$B1861)&gt;1,"MÜKERRER","OK"))))</f>
        <v/>
      </c>
    </row>
    <row r="1862" ht="16.5" customHeight="1" s="80">
      <c r="A1862" s="113" t="n"/>
      <c r="B1862" s="113" t="n"/>
      <c r="C1862" s="113" t="n"/>
      <c r="D1862" s="113" t="n"/>
      <c r="E1862" s="113" t="n"/>
      <c r="F1862" s="113" t="n"/>
      <c r="G1862" s="113" t="n"/>
      <c r="H1862" s="113" t="n"/>
      <c r="I1862" s="113" t="n"/>
      <c r="J1862" s="113" t="n"/>
      <c r="K1862" s="113" t="n"/>
      <c r="L1862" s="113" t="n"/>
      <c r="M1862" s="113" t="n"/>
      <c r="N1862" s="113" t="n"/>
      <c r="O1862" s="113" t="n"/>
      <c r="P1862" s="113" t="n"/>
      <c r="Q1862" s="113" t="n"/>
      <c r="R1862" s="113" t="n"/>
      <c r="S1862" s="113" t="n"/>
      <c r="T1862" s="113" t="n"/>
      <c r="U1862" s="113" t="n"/>
      <c r="V1862" s="113" t="n"/>
      <c r="W1862" s="113" t="n"/>
      <c r="X1862" s="113" t="n"/>
      <c r="Y1862" s="113" t="n"/>
      <c r="Z1862" s="117">
        <f>IF($B1862="",0,IF($S1862="EVET",IF($D1862="GELİR",$O1862,-$O1862),0))</f>
        <v/>
      </c>
      <c r="AA1862" s="117">
        <f>IF($B1862="",0,IF(OR($W1862="EVET",$X1862="EVET",$Y1862="EVET"),0,IF($D1862="GELİR",IF($E1862="SATIŞ İADESİ/İSKONTO",-$O1862,$O1862),-$O1862)))</f>
        <v/>
      </c>
      <c r="AB1862" s="117">
        <f>IF($B1862="","",IF(OR($D1862="",$E1862="",$O1862=""),"EKSİK",IF($O1862&lt;=0,"SIFIR/NEGATİF",IF(COUNTIFS($C$6:$C$5000,$C1862,$O$6:$O$5000,$O1862,$B$6:$B$5000,$B1862)&gt;1,"MÜKERRER","OK"))))</f>
        <v/>
      </c>
    </row>
    <row r="1863" ht="16.5" customHeight="1" s="80">
      <c r="A1863" s="113" t="n"/>
      <c r="B1863" s="113" t="n"/>
      <c r="C1863" s="113" t="n"/>
      <c r="D1863" s="113" t="n"/>
      <c r="E1863" s="113" t="n"/>
      <c r="F1863" s="113" t="n"/>
      <c r="G1863" s="113" t="n"/>
      <c r="H1863" s="113" t="n"/>
      <c r="I1863" s="113" t="n"/>
      <c r="J1863" s="113" t="n"/>
      <c r="K1863" s="113" t="n"/>
      <c r="L1863" s="113" t="n"/>
      <c r="M1863" s="113" t="n"/>
      <c r="N1863" s="113" t="n"/>
      <c r="O1863" s="113" t="n"/>
      <c r="P1863" s="113" t="n"/>
      <c r="Q1863" s="113" t="n"/>
      <c r="R1863" s="113" t="n"/>
      <c r="S1863" s="113" t="n"/>
      <c r="T1863" s="113" t="n"/>
      <c r="U1863" s="113" t="n"/>
      <c r="V1863" s="113" t="n"/>
      <c r="W1863" s="113" t="n"/>
      <c r="X1863" s="113" t="n"/>
      <c r="Y1863" s="113" t="n"/>
      <c r="Z1863" s="117">
        <f>IF($B1863="",0,IF($S1863="EVET",IF($D1863="GELİR",$O1863,-$O1863),0))</f>
        <v/>
      </c>
      <c r="AA1863" s="117">
        <f>IF($B1863="",0,IF(OR($W1863="EVET",$X1863="EVET",$Y1863="EVET"),0,IF($D1863="GELİR",IF($E1863="SATIŞ İADESİ/İSKONTO",-$O1863,$O1863),-$O1863)))</f>
        <v/>
      </c>
      <c r="AB1863" s="117">
        <f>IF($B1863="","",IF(OR($D1863="",$E1863="",$O1863=""),"EKSİK",IF($O1863&lt;=0,"SIFIR/NEGATİF",IF(COUNTIFS($C$6:$C$5000,$C1863,$O$6:$O$5000,$O1863,$B$6:$B$5000,$B1863)&gt;1,"MÜKERRER","OK"))))</f>
        <v/>
      </c>
    </row>
    <row r="1864" ht="16.5" customHeight="1" s="80">
      <c r="A1864" s="113" t="n"/>
      <c r="B1864" s="113" t="n"/>
      <c r="C1864" s="113" t="n"/>
      <c r="D1864" s="113" t="n"/>
      <c r="E1864" s="113" t="n"/>
      <c r="F1864" s="113" t="n"/>
      <c r="G1864" s="113" t="n"/>
      <c r="H1864" s="113" t="n"/>
      <c r="I1864" s="113" t="n"/>
      <c r="J1864" s="113" t="n"/>
      <c r="K1864" s="113" t="n"/>
      <c r="L1864" s="113" t="n"/>
      <c r="M1864" s="113" t="n"/>
      <c r="N1864" s="113" t="n"/>
      <c r="O1864" s="113" t="n"/>
      <c r="P1864" s="113" t="n"/>
      <c r="Q1864" s="113" t="n"/>
      <c r="R1864" s="113" t="n"/>
      <c r="S1864" s="113" t="n"/>
      <c r="T1864" s="113" t="n"/>
      <c r="U1864" s="113" t="n"/>
      <c r="V1864" s="113" t="n"/>
      <c r="W1864" s="113" t="n"/>
      <c r="X1864" s="113" t="n"/>
      <c r="Y1864" s="113" t="n"/>
      <c r="Z1864" s="117">
        <f>IF($B1864="",0,IF($S1864="EVET",IF($D1864="GELİR",$O1864,-$O1864),0))</f>
        <v/>
      </c>
      <c r="AA1864" s="117">
        <f>IF($B1864="",0,IF(OR($W1864="EVET",$X1864="EVET",$Y1864="EVET"),0,IF($D1864="GELİR",IF($E1864="SATIŞ İADESİ/İSKONTO",-$O1864,$O1864),-$O1864)))</f>
        <v/>
      </c>
      <c r="AB1864" s="117">
        <f>IF($B1864="","",IF(OR($D1864="",$E1864="",$O1864=""),"EKSİK",IF($O1864&lt;=0,"SIFIR/NEGATİF",IF(COUNTIFS($C$6:$C$5000,$C1864,$O$6:$O$5000,$O1864,$B$6:$B$5000,$B1864)&gt;1,"MÜKERRER","OK"))))</f>
        <v/>
      </c>
    </row>
    <row r="1865" ht="16.5" customHeight="1" s="80">
      <c r="A1865" s="113" t="n"/>
      <c r="B1865" s="113" t="n"/>
      <c r="C1865" s="113" t="n"/>
      <c r="D1865" s="113" t="n"/>
      <c r="E1865" s="113" t="n"/>
      <c r="F1865" s="113" t="n"/>
      <c r="G1865" s="113" t="n"/>
      <c r="H1865" s="113" t="n"/>
      <c r="I1865" s="113" t="n"/>
      <c r="J1865" s="113" t="n"/>
      <c r="K1865" s="113" t="n"/>
      <c r="L1865" s="113" t="n"/>
      <c r="M1865" s="113" t="n"/>
      <c r="N1865" s="113" t="n"/>
      <c r="O1865" s="113" t="n"/>
      <c r="P1865" s="113" t="n"/>
      <c r="Q1865" s="113" t="n"/>
      <c r="R1865" s="113" t="n"/>
      <c r="S1865" s="113" t="n"/>
      <c r="T1865" s="113" t="n"/>
      <c r="U1865" s="113" t="n"/>
      <c r="V1865" s="113" t="n"/>
      <c r="W1865" s="113" t="n"/>
      <c r="X1865" s="113" t="n"/>
      <c r="Y1865" s="113" t="n"/>
      <c r="Z1865" s="117">
        <f>IF($B1865="",0,IF($S1865="EVET",IF($D1865="GELİR",$O1865,-$O1865),0))</f>
        <v/>
      </c>
      <c r="AA1865" s="117">
        <f>IF($B1865="",0,IF(OR($W1865="EVET",$X1865="EVET",$Y1865="EVET"),0,IF($D1865="GELİR",IF($E1865="SATIŞ İADESİ/İSKONTO",-$O1865,$O1865),-$O1865)))</f>
        <v/>
      </c>
      <c r="AB1865" s="117">
        <f>IF($B1865="","",IF(OR($D1865="",$E1865="",$O1865=""),"EKSİK",IF($O1865&lt;=0,"SIFIR/NEGATİF",IF(COUNTIFS($C$6:$C$5000,$C1865,$O$6:$O$5000,$O1865,$B$6:$B$5000,$B1865)&gt;1,"MÜKERRER","OK"))))</f>
        <v/>
      </c>
    </row>
    <row r="1866" ht="16.5" customHeight="1" s="80">
      <c r="A1866" s="113" t="n"/>
      <c r="B1866" s="113" t="n"/>
      <c r="C1866" s="113" t="n"/>
      <c r="D1866" s="113" t="n"/>
      <c r="E1866" s="113" t="n"/>
      <c r="F1866" s="113" t="n"/>
      <c r="G1866" s="113" t="n"/>
      <c r="H1866" s="113" t="n"/>
      <c r="I1866" s="113" t="n"/>
      <c r="J1866" s="113" t="n"/>
      <c r="K1866" s="113" t="n"/>
      <c r="L1866" s="113" t="n"/>
      <c r="M1866" s="113" t="n"/>
      <c r="N1866" s="113" t="n"/>
      <c r="O1866" s="113" t="n"/>
      <c r="P1866" s="113" t="n"/>
      <c r="Q1866" s="113" t="n"/>
      <c r="R1866" s="113" t="n"/>
      <c r="S1866" s="113" t="n"/>
      <c r="T1866" s="113" t="n"/>
      <c r="U1866" s="113" t="n"/>
      <c r="V1866" s="113" t="n"/>
      <c r="W1866" s="113" t="n"/>
      <c r="X1866" s="113" t="n"/>
      <c r="Y1866" s="113" t="n"/>
      <c r="Z1866" s="117">
        <f>IF($B1866="",0,IF($S1866="EVET",IF($D1866="GELİR",$O1866,-$O1866),0))</f>
        <v/>
      </c>
      <c r="AA1866" s="117">
        <f>IF($B1866="",0,IF(OR($W1866="EVET",$X1866="EVET",$Y1866="EVET"),0,IF($D1866="GELİR",IF($E1866="SATIŞ İADESİ/İSKONTO",-$O1866,$O1866),-$O1866)))</f>
        <v/>
      </c>
      <c r="AB1866" s="117">
        <f>IF($B1866="","",IF(OR($D1866="",$E1866="",$O1866=""),"EKSİK",IF($O1866&lt;=0,"SIFIR/NEGATİF",IF(COUNTIFS($C$6:$C$5000,$C1866,$O$6:$O$5000,$O1866,$B$6:$B$5000,$B1866)&gt;1,"MÜKERRER","OK"))))</f>
        <v/>
      </c>
    </row>
    <row r="1867" ht="16.5" customHeight="1" s="80">
      <c r="A1867" s="113" t="n"/>
      <c r="B1867" s="113" t="n"/>
      <c r="C1867" s="113" t="n"/>
      <c r="D1867" s="113" t="n"/>
      <c r="E1867" s="113" t="n"/>
      <c r="F1867" s="113" t="n"/>
      <c r="G1867" s="113" t="n"/>
      <c r="H1867" s="113" t="n"/>
      <c r="I1867" s="113" t="n"/>
      <c r="J1867" s="113" t="n"/>
      <c r="K1867" s="113" t="n"/>
      <c r="L1867" s="113" t="n"/>
      <c r="M1867" s="113" t="n"/>
      <c r="N1867" s="113" t="n"/>
      <c r="O1867" s="113" t="n"/>
      <c r="P1867" s="113" t="n"/>
      <c r="Q1867" s="113" t="n"/>
      <c r="R1867" s="113" t="n"/>
      <c r="S1867" s="113" t="n"/>
      <c r="T1867" s="113" t="n"/>
      <c r="U1867" s="113" t="n"/>
      <c r="V1867" s="113" t="n"/>
      <c r="W1867" s="113" t="n"/>
      <c r="X1867" s="113" t="n"/>
      <c r="Y1867" s="113" t="n"/>
      <c r="Z1867" s="117">
        <f>IF($B1867="",0,IF($S1867="EVET",IF($D1867="GELİR",$O1867,-$O1867),0))</f>
        <v/>
      </c>
      <c r="AA1867" s="117">
        <f>IF($B1867="",0,IF(OR($W1867="EVET",$X1867="EVET",$Y1867="EVET"),0,IF($D1867="GELİR",IF($E1867="SATIŞ İADESİ/İSKONTO",-$O1867,$O1867),-$O1867)))</f>
        <v/>
      </c>
      <c r="AB1867" s="117">
        <f>IF($B1867="","",IF(OR($D1867="",$E1867="",$O1867=""),"EKSİK",IF($O1867&lt;=0,"SIFIR/NEGATİF",IF(COUNTIFS($C$6:$C$5000,$C1867,$O$6:$O$5000,$O1867,$B$6:$B$5000,$B1867)&gt;1,"MÜKERRER","OK"))))</f>
        <v/>
      </c>
    </row>
    <row r="1868" ht="16.5" customHeight="1" s="80">
      <c r="A1868" s="113" t="n"/>
      <c r="B1868" s="113" t="n"/>
      <c r="C1868" s="113" t="n"/>
      <c r="D1868" s="113" t="n"/>
      <c r="E1868" s="113" t="n"/>
      <c r="F1868" s="113" t="n"/>
      <c r="G1868" s="113" t="n"/>
      <c r="H1868" s="113" t="n"/>
      <c r="I1868" s="113" t="n"/>
      <c r="J1868" s="113" t="n"/>
      <c r="K1868" s="113" t="n"/>
      <c r="L1868" s="113" t="n"/>
      <c r="M1868" s="113" t="n"/>
      <c r="N1868" s="113" t="n"/>
      <c r="O1868" s="113" t="n"/>
      <c r="P1868" s="113" t="n"/>
      <c r="Q1868" s="113" t="n"/>
      <c r="R1868" s="113" t="n"/>
      <c r="S1868" s="113" t="n"/>
      <c r="T1868" s="113" t="n"/>
      <c r="U1868" s="113" t="n"/>
      <c r="V1868" s="113" t="n"/>
      <c r="W1868" s="113" t="n"/>
      <c r="X1868" s="113" t="n"/>
      <c r="Y1868" s="113" t="n"/>
      <c r="Z1868" s="117">
        <f>IF($B1868="",0,IF($S1868="EVET",IF($D1868="GELİR",$O1868,-$O1868),0))</f>
        <v/>
      </c>
      <c r="AA1868" s="117">
        <f>IF($B1868="",0,IF(OR($W1868="EVET",$X1868="EVET",$Y1868="EVET"),0,IF($D1868="GELİR",IF($E1868="SATIŞ İADESİ/İSKONTO",-$O1868,$O1868),-$O1868)))</f>
        <v/>
      </c>
      <c r="AB1868" s="117">
        <f>IF($B1868="","",IF(OR($D1868="",$E1868="",$O1868=""),"EKSİK",IF($O1868&lt;=0,"SIFIR/NEGATİF",IF(COUNTIFS($C$6:$C$5000,$C1868,$O$6:$O$5000,$O1868,$B$6:$B$5000,$B1868)&gt;1,"MÜKERRER","OK"))))</f>
        <v/>
      </c>
    </row>
    <row r="1869" ht="16.5" customHeight="1" s="80">
      <c r="A1869" s="113" t="n"/>
      <c r="B1869" s="113" t="n"/>
      <c r="C1869" s="113" t="n"/>
      <c r="D1869" s="113" t="n"/>
      <c r="E1869" s="113" t="n"/>
      <c r="F1869" s="113" t="n"/>
      <c r="G1869" s="113" t="n"/>
      <c r="H1869" s="113" t="n"/>
      <c r="I1869" s="113" t="n"/>
      <c r="J1869" s="113" t="n"/>
      <c r="K1869" s="113" t="n"/>
      <c r="L1869" s="113" t="n"/>
      <c r="M1869" s="113" t="n"/>
      <c r="N1869" s="113" t="n"/>
      <c r="O1869" s="113" t="n"/>
      <c r="P1869" s="113" t="n"/>
      <c r="Q1869" s="113" t="n"/>
      <c r="R1869" s="113" t="n"/>
      <c r="S1869" s="113" t="n"/>
      <c r="T1869" s="113" t="n"/>
      <c r="U1869" s="113" t="n"/>
      <c r="V1869" s="113" t="n"/>
      <c r="W1869" s="113" t="n"/>
      <c r="X1869" s="113" t="n"/>
      <c r="Y1869" s="113" t="n"/>
      <c r="Z1869" s="117">
        <f>IF($B1869="",0,IF($S1869="EVET",IF($D1869="GELİR",$O1869,-$O1869),0))</f>
        <v/>
      </c>
      <c r="AA1869" s="117">
        <f>IF($B1869="",0,IF(OR($W1869="EVET",$X1869="EVET",$Y1869="EVET"),0,IF($D1869="GELİR",IF($E1869="SATIŞ İADESİ/İSKONTO",-$O1869,$O1869),-$O1869)))</f>
        <v/>
      </c>
      <c r="AB1869" s="117">
        <f>IF($B1869="","",IF(OR($D1869="",$E1869="",$O1869=""),"EKSİK",IF($O1869&lt;=0,"SIFIR/NEGATİF",IF(COUNTIFS($C$6:$C$5000,$C1869,$O$6:$O$5000,$O1869,$B$6:$B$5000,$B1869)&gt;1,"MÜKERRER","OK"))))</f>
        <v/>
      </c>
    </row>
    <row r="1870" ht="16.5" customHeight="1" s="80">
      <c r="A1870" s="113" t="n"/>
      <c r="B1870" s="113" t="n"/>
      <c r="C1870" s="113" t="n"/>
      <c r="D1870" s="113" t="n"/>
      <c r="E1870" s="113" t="n"/>
      <c r="F1870" s="113" t="n"/>
      <c r="G1870" s="113" t="n"/>
      <c r="H1870" s="113" t="n"/>
      <c r="I1870" s="113" t="n"/>
      <c r="J1870" s="113" t="n"/>
      <c r="K1870" s="113" t="n"/>
      <c r="L1870" s="113" t="n"/>
      <c r="M1870" s="113" t="n"/>
      <c r="N1870" s="113" t="n"/>
      <c r="O1870" s="113" t="n"/>
      <c r="P1870" s="113" t="n"/>
      <c r="Q1870" s="113" t="n"/>
      <c r="R1870" s="113" t="n"/>
      <c r="S1870" s="113" t="n"/>
      <c r="T1870" s="113" t="n"/>
      <c r="U1870" s="113" t="n"/>
      <c r="V1870" s="113" t="n"/>
      <c r="W1870" s="113" t="n"/>
      <c r="X1870" s="113" t="n"/>
      <c r="Y1870" s="113" t="n"/>
      <c r="Z1870" s="117">
        <f>IF($B1870="",0,IF($S1870="EVET",IF($D1870="GELİR",$O1870,-$O1870),0))</f>
        <v/>
      </c>
      <c r="AA1870" s="117">
        <f>IF($B1870="",0,IF(OR($W1870="EVET",$X1870="EVET",$Y1870="EVET"),0,IF($D1870="GELİR",IF($E1870="SATIŞ İADESİ/İSKONTO",-$O1870,$O1870),-$O1870)))</f>
        <v/>
      </c>
      <c r="AB1870" s="117">
        <f>IF($B1870="","",IF(OR($D1870="",$E1870="",$O1870=""),"EKSİK",IF($O1870&lt;=0,"SIFIR/NEGATİF",IF(COUNTIFS($C$6:$C$5000,$C1870,$O$6:$O$5000,$O1870,$B$6:$B$5000,$B1870)&gt;1,"MÜKERRER","OK"))))</f>
        <v/>
      </c>
    </row>
    <row r="1871" ht="16.5" customHeight="1" s="80">
      <c r="A1871" s="113" t="n"/>
      <c r="B1871" s="113" t="n"/>
      <c r="C1871" s="113" t="n"/>
      <c r="D1871" s="113" t="n"/>
      <c r="E1871" s="113" t="n"/>
      <c r="F1871" s="113" t="n"/>
      <c r="G1871" s="113" t="n"/>
      <c r="H1871" s="113" t="n"/>
      <c r="I1871" s="113" t="n"/>
      <c r="J1871" s="113" t="n"/>
      <c r="K1871" s="113" t="n"/>
      <c r="L1871" s="113" t="n"/>
      <c r="M1871" s="113" t="n"/>
      <c r="N1871" s="113" t="n"/>
      <c r="O1871" s="113" t="n"/>
      <c r="P1871" s="113" t="n"/>
      <c r="Q1871" s="113" t="n"/>
      <c r="R1871" s="113" t="n"/>
      <c r="S1871" s="113" t="n"/>
      <c r="T1871" s="113" t="n"/>
      <c r="U1871" s="113" t="n"/>
      <c r="V1871" s="113" t="n"/>
      <c r="W1871" s="113" t="n"/>
      <c r="X1871" s="113" t="n"/>
      <c r="Y1871" s="113" t="n"/>
      <c r="Z1871" s="117">
        <f>IF($B1871="",0,IF($S1871="EVET",IF($D1871="GELİR",$O1871,-$O1871),0))</f>
        <v/>
      </c>
      <c r="AA1871" s="117">
        <f>IF($B1871="",0,IF(OR($W1871="EVET",$X1871="EVET",$Y1871="EVET"),0,IF($D1871="GELİR",IF($E1871="SATIŞ İADESİ/İSKONTO",-$O1871,$O1871),-$O1871)))</f>
        <v/>
      </c>
      <c r="AB1871" s="117">
        <f>IF($B1871="","",IF(OR($D1871="",$E1871="",$O1871=""),"EKSİK",IF($O1871&lt;=0,"SIFIR/NEGATİF",IF(COUNTIFS($C$6:$C$5000,$C1871,$O$6:$O$5000,$O1871,$B$6:$B$5000,$B1871)&gt;1,"MÜKERRER","OK"))))</f>
        <v/>
      </c>
    </row>
    <row r="1872" ht="16.5" customHeight="1" s="80">
      <c r="A1872" s="113" t="n"/>
      <c r="B1872" s="113" t="n"/>
      <c r="C1872" s="113" t="n"/>
      <c r="D1872" s="113" t="n"/>
      <c r="E1872" s="113" t="n"/>
      <c r="F1872" s="113" t="n"/>
      <c r="G1872" s="113" t="n"/>
      <c r="H1872" s="113" t="n"/>
      <c r="I1872" s="113" t="n"/>
      <c r="J1872" s="113" t="n"/>
      <c r="K1872" s="113" t="n"/>
      <c r="L1872" s="113" t="n"/>
      <c r="M1872" s="113" t="n"/>
      <c r="N1872" s="113" t="n"/>
      <c r="O1872" s="113" t="n"/>
      <c r="P1872" s="113" t="n"/>
      <c r="Q1872" s="113" t="n"/>
      <c r="R1872" s="113" t="n"/>
      <c r="S1872" s="113" t="n"/>
      <c r="T1872" s="113" t="n"/>
      <c r="U1872" s="113" t="n"/>
      <c r="V1872" s="113" t="n"/>
      <c r="W1872" s="113" t="n"/>
      <c r="X1872" s="113" t="n"/>
      <c r="Y1872" s="113" t="n"/>
      <c r="Z1872" s="117">
        <f>IF($B1872="",0,IF($S1872="EVET",IF($D1872="GELİR",$O1872,-$O1872),0))</f>
        <v/>
      </c>
      <c r="AA1872" s="117">
        <f>IF($B1872="",0,IF(OR($W1872="EVET",$X1872="EVET",$Y1872="EVET"),0,IF($D1872="GELİR",IF($E1872="SATIŞ İADESİ/İSKONTO",-$O1872,$O1872),-$O1872)))</f>
        <v/>
      </c>
      <c r="AB1872" s="117">
        <f>IF($B1872="","",IF(OR($D1872="",$E1872="",$O1872=""),"EKSİK",IF($O1872&lt;=0,"SIFIR/NEGATİF",IF(COUNTIFS($C$6:$C$5000,$C1872,$O$6:$O$5000,$O1872,$B$6:$B$5000,$B1872)&gt;1,"MÜKERRER","OK"))))</f>
        <v/>
      </c>
    </row>
    <row r="1873" ht="16.5" customHeight="1" s="80">
      <c r="A1873" s="113" t="n"/>
      <c r="B1873" s="113" t="n"/>
      <c r="C1873" s="113" t="n"/>
      <c r="D1873" s="113" t="n"/>
      <c r="E1873" s="113" t="n"/>
      <c r="F1873" s="113" t="n"/>
      <c r="G1873" s="113" t="n"/>
      <c r="H1873" s="113" t="n"/>
      <c r="I1873" s="113" t="n"/>
      <c r="J1873" s="113" t="n"/>
      <c r="K1873" s="113" t="n"/>
      <c r="L1873" s="113" t="n"/>
      <c r="M1873" s="113" t="n"/>
      <c r="N1873" s="113" t="n"/>
      <c r="O1873" s="113" t="n"/>
      <c r="P1873" s="113" t="n"/>
      <c r="Q1873" s="113" t="n"/>
      <c r="R1873" s="113" t="n"/>
      <c r="S1873" s="113" t="n"/>
      <c r="T1873" s="113" t="n"/>
      <c r="U1873" s="113" t="n"/>
      <c r="V1873" s="113" t="n"/>
      <c r="W1873" s="113" t="n"/>
      <c r="X1873" s="113" t="n"/>
      <c r="Y1873" s="113" t="n"/>
      <c r="Z1873" s="117">
        <f>IF($B1873="",0,IF($S1873="EVET",IF($D1873="GELİR",$O1873,-$O1873),0))</f>
        <v/>
      </c>
      <c r="AA1873" s="117">
        <f>IF($B1873="",0,IF(OR($W1873="EVET",$X1873="EVET",$Y1873="EVET"),0,IF($D1873="GELİR",IF($E1873="SATIŞ İADESİ/İSKONTO",-$O1873,$O1873),-$O1873)))</f>
        <v/>
      </c>
      <c r="AB1873" s="117">
        <f>IF($B1873="","",IF(OR($D1873="",$E1873="",$O1873=""),"EKSİK",IF($O1873&lt;=0,"SIFIR/NEGATİF",IF(COUNTIFS($C$6:$C$5000,$C1873,$O$6:$O$5000,$O1873,$B$6:$B$5000,$B1873)&gt;1,"MÜKERRER","OK"))))</f>
        <v/>
      </c>
    </row>
    <row r="1874" ht="16.5" customHeight="1" s="80">
      <c r="A1874" s="113" t="n"/>
      <c r="B1874" s="113" t="n"/>
      <c r="C1874" s="113" t="n"/>
      <c r="D1874" s="113" t="n"/>
      <c r="E1874" s="113" t="n"/>
      <c r="F1874" s="113" t="n"/>
      <c r="G1874" s="113" t="n"/>
      <c r="H1874" s="113" t="n"/>
      <c r="I1874" s="113" t="n"/>
      <c r="J1874" s="113" t="n"/>
      <c r="K1874" s="113" t="n"/>
      <c r="L1874" s="113" t="n"/>
      <c r="M1874" s="113" t="n"/>
      <c r="N1874" s="113" t="n"/>
      <c r="O1874" s="113" t="n"/>
      <c r="P1874" s="113" t="n"/>
      <c r="Q1874" s="113" t="n"/>
      <c r="R1874" s="113" t="n"/>
      <c r="S1874" s="113" t="n"/>
      <c r="T1874" s="113" t="n"/>
      <c r="U1874" s="113" t="n"/>
      <c r="V1874" s="113" t="n"/>
      <c r="W1874" s="113" t="n"/>
      <c r="X1874" s="113" t="n"/>
      <c r="Y1874" s="113" t="n"/>
      <c r="Z1874" s="117">
        <f>IF($B1874="",0,IF($S1874="EVET",IF($D1874="GELİR",$O1874,-$O1874),0))</f>
        <v/>
      </c>
      <c r="AA1874" s="117">
        <f>IF($B1874="",0,IF(OR($W1874="EVET",$X1874="EVET",$Y1874="EVET"),0,IF($D1874="GELİR",IF($E1874="SATIŞ İADESİ/İSKONTO",-$O1874,$O1874),-$O1874)))</f>
        <v/>
      </c>
      <c r="AB1874" s="117">
        <f>IF($B1874="","",IF(OR($D1874="",$E1874="",$O1874=""),"EKSİK",IF($O1874&lt;=0,"SIFIR/NEGATİF",IF(COUNTIFS($C$6:$C$5000,$C1874,$O$6:$O$5000,$O1874,$B$6:$B$5000,$B1874)&gt;1,"MÜKERRER","OK"))))</f>
        <v/>
      </c>
    </row>
    <row r="1875" ht="16.5" customHeight="1" s="80">
      <c r="A1875" s="113" t="n"/>
      <c r="B1875" s="113" t="n"/>
      <c r="C1875" s="113" t="n"/>
      <c r="D1875" s="113" t="n"/>
      <c r="E1875" s="113" t="n"/>
      <c r="F1875" s="113" t="n"/>
      <c r="G1875" s="113" t="n"/>
      <c r="H1875" s="113" t="n"/>
      <c r="I1875" s="113" t="n"/>
      <c r="J1875" s="113" t="n"/>
      <c r="K1875" s="113" t="n"/>
      <c r="L1875" s="113" t="n"/>
      <c r="M1875" s="113" t="n"/>
      <c r="N1875" s="113" t="n"/>
      <c r="O1875" s="113" t="n"/>
      <c r="P1875" s="113" t="n"/>
      <c r="Q1875" s="113" t="n"/>
      <c r="R1875" s="113" t="n"/>
      <c r="S1875" s="113" t="n"/>
      <c r="T1875" s="113" t="n"/>
      <c r="U1875" s="113" t="n"/>
      <c r="V1875" s="113" t="n"/>
      <c r="W1875" s="113" t="n"/>
      <c r="X1875" s="113" t="n"/>
      <c r="Y1875" s="113" t="n"/>
      <c r="Z1875" s="117">
        <f>IF($B1875="",0,IF($S1875="EVET",IF($D1875="GELİR",$O1875,-$O1875),0))</f>
        <v/>
      </c>
      <c r="AA1875" s="117">
        <f>IF($B1875="",0,IF(OR($W1875="EVET",$X1875="EVET",$Y1875="EVET"),0,IF($D1875="GELİR",IF($E1875="SATIŞ İADESİ/İSKONTO",-$O1875,$O1875),-$O1875)))</f>
        <v/>
      </c>
      <c r="AB1875" s="117">
        <f>IF($B1875="","",IF(OR($D1875="",$E1875="",$O1875=""),"EKSİK",IF($O1875&lt;=0,"SIFIR/NEGATİF",IF(COUNTIFS($C$6:$C$5000,$C1875,$O$6:$O$5000,$O1875,$B$6:$B$5000,$B1875)&gt;1,"MÜKERRER","OK"))))</f>
        <v/>
      </c>
    </row>
    <row r="1876" ht="16.5" customHeight="1" s="80">
      <c r="A1876" s="113" t="n"/>
      <c r="B1876" s="113" t="n"/>
      <c r="C1876" s="113" t="n"/>
      <c r="D1876" s="113" t="n"/>
      <c r="E1876" s="113" t="n"/>
      <c r="F1876" s="113" t="n"/>
      <c r="G1876" s="113" t="n"/>
      <c r="H1876" s="113" t="n"/>
      <c r="I1876" s="113" t="n"/>
      <c r="J1876" s="113" t="n"/>
      <c r="K1876" s="113" t="n"/>
      <c r="L1876" s="113" t="n"/>
      <c r="M1876" s="113" t="n"/>
      <c r="N1876" s="113" t="n"/>
      <c r="O1876" s="113" t="n"/>
      <c r="P1876" s="113" t="n"/>
      <c r="Q1876" s="113" t="n"/>
      <c r="R1876" s="113" t="n"/>
      <c r="S1876" s="113" t="n"/>
      <c r="T1876" s="113" t="n"/>
      <c r="U1876" s="113" t="n"/>
      <c r="V1876" s="113" t="n"/>
      <c r="W1876" s="113" t="n"/>
      <c r="X1876" s="113" t="n"/>
      <c r="Y1876" s="113" t="n"/>
      <c r="Z1876" s="117">
        <f>IF($B1876="",0,IF($S1876="EVET",IF($D1876="GELİR",$O1876,-$O1876),0))</f>
        <v/>
      </c>
      <c r="AA1876" s="117">
        <f>IF($B1876="",0,IF(OR($W1876="EVET",$X1876="EVET",$Y1876="EVET"),0,IF($D1876="GELİR",IF($E1876="SATIŞ İADESİ/İSKONTO",-$O1876,$O1876),-$O1876)))</f>
        <v/>
      </c>
      <c r="AB1876" s="117">
        <f>IF($B1876="","",IF(OR($D1876="",$E1876="",$O1876=""),"EKSİK",IF($O1876&lt;=0,"SIFIR/NEGATİF",IF(COUNTIFS($C$6:$C$5000,$C1876,$O$6:$O$5000,$O1876,$B$6:$B$5000,$B1876)&gt;1,"MÜKERRER","OK"))))</f>
        <v/>
      </c>
    </row>
    <row r="1877" ht="16.5" customHeight="1" s="80">
      <c r="A1877" s="113" t="n"/>
      <c r="B1877" s="113" t="n"/>
      <c r="C1877" s="113" t="n"/>
      <c r="D1877" s="113" t="n"/>
      <c r="E1877" s="113" t="n"/>
      <c r="F1877" s="113" t="n"/>
      <c r="G1877" s="113" t="n"/>
      <c r="H1877" s="113" t="n"/>
      <c r="I1877" s="113" t="n"/>
      <c r="J1877" s="113" t="n"/>
      <c r="K1877" s="113" t="n"/>
      <c r="L1877" s="113" t="n"/>
      <c r="M1877" s="113" t="n"/>
      <c r="N1877" s="113" t="n"/>
      <c r="O1877" s="113" t="n"/>
      <c r="P1877" s="113" t="n"/>
      <c r="Q1877" s="113" t="n"/>
      <c r="R1877" s="113" t="n"/>
      <c r="S1877" s="113" t="n"/>
      <c r="T1877" s="113" t="n"/>
      <c r="U1877" s="113" t="n"/>
      <c r="V1877" s="113" t="n"/>
      <c r="W1877" s="113" t="n"/>
      <c r="X1877" s="113" t="n"/>
      <c r="Y1877" s="113" t="n"/>
      <c r="Z1877" s="117">
        <f>IF($B1877="",0,IF($S1877="EVET",IF($D1877="GELİR",$O1877,-$O1877),0))</f>
        <v/>
      </c>
      <c r="AA1877" s="117">
        <f>IF($B1877="",0,IF(OR($W1877="EVET",$X1877="EVET",$Y1877="EVET"),0,IF($D1877="GELİR",IF($E1877="SATIŞ İADESİ/İSKONTO",-$O1877,$O1877),-$O1877)))</f>
        <v/>
      </c>
      <c r="AB1877" s="117">
        <f>IF($B1877="","",IF(OR($D1877="",$E1877="",$O1877=""),"EKSİK",IF($O1877&lt;=0,"SIFIR/NEGATİF",IF(COUNTIFS($C$6:$C$5000,$C1877,$O$6:$O$5000,$O1877,$B$6:$B$5000,$B1877)&gt;1,"MÜKERRER","OK"))))</f>
        <v/>
      </c>
    </row>
    <row r="1878" ht="16.5" customHeight="1" s="80">
      <c r="A1878" s="113" t="n"/>
      <c r="B1878" s="113" t="n"/>
      <c r="C1878" s="113" t="n"/>
      <c r="D1878" s="113" t="n"/>
      <c r="E1878" s="113" t="n"/>
      <c r="F1878" s="113" t="n"/>
      <c r="G1878" s="113" t="n"/>
      <c r="H1878" s="113" t="n"/>
      <c r="I1878" s="113" t="n"/>
      <c r="J1878" s="113" t="n"/>
      <c r="K1878" s="113" t="n"/>
      <c r="L1878" s="113" t="n"/>
      <c r="M1878" s="113" t="n"/>
      <c r="N1878" s="113" t="n"/>
      <c r="O1878" s="113" t="n"/>
      <c r="P1878" s="113" t="n"/>
      <c r="Q1878" s="113" t="n"/>
      <c r="R1878" s="113" t="n"/>
      <c r="S1878" s="113" t="n"/>
      <c r="T1878" s="113" t="n"/>
      <c r="U1878" s="113" t="n"/>
      <c r="V1878" s="113" t="n"/>
      <c r="W1878" s="113" t="n"/>
      <c r="X1878" s="113" t="n"/>
      <c r="Y1878" s="113" t="n"/>
      <c r="Z1878" s="117">
        <f>IF($B1878="",0,IF($S1878="EVET",IF($D1878="GELİR",$O1878,-$O1878),0))</f>
        <v/>
      </c>
      <c r="AA1878" s="117">
        <f>IF($B1878="",0,IF(OR($W1878="EVET",$X1878="EVET",$Y1878="EVET"),0,IF($D1878="GELİR",IF($E1878="SATIŞ İADESİ/İSKONTO",-$O1878,$O1878),-$O1878)))</f>
        <v/>
      </c>
      <c r="AB1878" s="117">
        <f>IF($B1878="","",IF(OR($D1878="",$E1878="",$O1878=""),"EKSİK",IF($O1878&lt;=0,"SIFIR/NEGATİF",IF(COUNTIFS($C$6:$C$5000,$C1878,$O$6:$O$5000,$O1878,$B$6:$B$5000,$B1878)&gt;1,"MÜKERRER","OK"))))</f>
        <v/>
      </c>
    </row>
    <row r="1879" ht="16.5" customHeight="1" s="80">
      <c r="A1879" s="113" t="n"/>
      <c r="B1879" s="113" t="n"/>
      <c r="C1879" s="113" t="n"/>
      <c r="D1879" s="113" t="n"/>
      <c r="E1879" s="113" t="n"/>
      <c r="F1879" s="113" t="n"/>
      <c r="G1879" s="113" t="n"/>
      <c r="H1879" s="113" t="n"/>
      <c r="I1879" s="113" t="n"/>
      <c r="J1879" s="113" t="n"/>
      <c r="K1879" s="113" t="n"/>
      <c r="L1879" s="113" t="n"/>
      <c r="M1879" s="113" t="n"/>
      <c r="N1879" s="113" t="n"/>
      <c r="O1879" s="113" t="n"/>
      <c r="P1879" s="113" t="n"/>
      <c r="Q1879" s="113" t="n"/>
      <c r="R1879" s="113" t="n"/>
      <c r="S1879" s="113" t="n"/>
      <c r="T1879" s="113" t="n"/>
      <c r="U1879" s="113" t="n"/>
      <c r="V1879" s="113" t="n"/>
      <c r="W1879" s="113" t="n"/>
      <c r="X1879" s="113" t="n"/>
      <c r="Y1879" s="113" t="n"/>
      <c r="Z1879" s="117">
        <f>IF($B1879="",0,IF($S1879="EVET",IF($D1879="GELİR",$O1879,-$O1879),0))</f>
        <v/>
      </c>
      <c r="AA1879" s="117">
        <f>IF($B1879="",0,IF(OR($W1879="EVET",$X1879="EVET",$Y1879="EVET"),0,IF($D1879="GELİR",IF($E1879="SATIŞ İADESİ/İSKONTO",-$O1879,$O1879),-$O1879)))</f>
        <v/>
      </c>
      <c r="AB1879" s="117">
        <f>IF($B1879="","",IF(OR($D1879="",$E1879="",$O1879=""),"EKSİK",IF($O1879&lt;=0,"SIFIR/NEGATİF",IF(COUNTIFS($C$6:$C$5000,$C1879,$O$6:$O$5000,$O1879,$B$6:$B$5000,$B1879)&gt;1,"MÜKERRER","OK"))))</f>
        <v/>
      </c>
    </row>
    <row r="1880" ht="16.5" customHeight="1" s="80">
      <c r="A1880" s="113" t="n"/>
      <c r="B1880" s="113" t="n"/>
      <c r="C1880" s="113" t="n"/>
      <c r="D1880" s="113" t="n"/>
      <c r="E1880" s="113" t="n"/>
      <c r="F1880" s="113" t="n"/>
      <c r="G1880" s="113" t="n"/>
      <c r="H1880" s="113" t="n"/>
      <c r="I1880" s="113" t="n"/>
      <c r="J1880" s="113" t="n"/>
      <c r="K1880" s="113" t="n"/>
      <c r="L1880" s="113" t="n"/>
      <c r="M1880" s="113" t="n"/>
      <c r="N1880" s="113" t="n"/>
      <c r="O1880" s="113" t="n"/>
      <c r="P1880" s="113" t="n"/>
      <c r="Q1880" s="113" t="n"/>
      <c r="R1880" s="113" t="n"/>
      <c r="S1880" s="113" t="n"/>
      <c r="T1880" s="113" t="n"/>
      <c r="U1880" s="113" t="n"/>
      <c r="V1880" s="113" t="n"/>
      <c r="W1880" s="113" t="n"/>
      <c r="X1880" s="113" t="n"/>
      <c r="Y1880" s="113" t="n"/>
      <c r="Z1880" s="117">
        <f>IF($B1880="",0,IF($S1880="EVET",IF($D1880="GELİR",$O1880,-$O1880),0))</f>
        <v/>
      </c>
      <c r="AA1880" s="117">
        <f>IF($B1880="",0,IF(OR($W1880="EVET",$X1880="EVET",$Y1880="EVET"),0,IF($D1880="GELİR",IF($E1880="SATIŞ İADESİ/İSKONTO",-$O1880,$O1880),-$O1880)))</f>
        <v/>
      </c>
      <c r="AB1880" s="117">
        <f>IF($B1880="","",IF(OR($D1880="",$E1880="",$O1880=""),"EKSİK",IF($O1880&lt;=0,"SIFIR/NEGATİF",IF(COUNTIFS($C$6:$C$5000,$C1880,$O$6:$O$5000,$O1880,$B$6:$B$5000,$B1880)&gt;1,"MÜKERRER","OK"))))</f>
        <v/>
      </c>
    </row>
    <row r="1881" ht="16.5" customHeight="1" s="80">
      <c r="A1881" s="113" t="n"/>
      <c r="B1881" s="113" t="n"/>
      <c r="C1881" s="113" t="n"/>
      <c r="D1881" s="113" t="n"/>
      <c r="E1881" s="113" t="n"/>
      <c r="F1881" s="113" t="n"/>
      <c r="G1881" s="113" t="n"/>
      <c r="H1881" s="113" t="n"/>
      <c r="I1881" s="113" t="n"/>
      <c r="J1881" s="113" t="n"/>
      <c r="K1881" s="113" t="n"/>
      <c r="L1881" s="113" t="n"/>
      <c r="M1881" s="113" t="n"/>
      <c r="N1881" s="113" t="n"/>
      <c r="O1881" s="113" t="n"/>
      <c r="P1881" s="113" t="n"/>
      <c r="Q1881" s="113" t="n"/>
      <c r="R1881" s="113" t="n"/>
      <c r="S1881" s="113" t="n"/>
      <c r="T1881" s="113" t="n"/>
      <c r="U1881" s="113" t="n"/>
      <c r="V1881" s="113" t="n"/>
      <c r="W1881" s="113" t="n"/>
      <c r="X1881" s="113" t="n"/>
      <c r="Y1881" s="113" t="n"/>
      <c r="Z1881" s="117">
        <f>IF($B1881="",0,IF($S1881="EVET",IF($D1881="GELİR",$O1881,-$O1881),0))</f>
        <v/>
      </c>
      <c r="AA1881" s="117">
        <f>IF($B1881="",0,IF(OR($W1881="EVET",$X1881="EVET",$Y1881="EVET"),0,IF($D1881="GELİR",IF($E1881="SATIŞ İADESİ/İSKONTO",-$O1881,$O1881),-$O1881)))</f>
        <v/>
      </c>
      <c r="AB1881" s="117">
        <f>IF($B1881="","",IF(OR($D1881="",$E1881="",$O1881=""),"EKSİK",IF($O1881&lt;=0,"SIFIR/NEGATİF",IF(COUNTIFS($C$6:$C$5000,$C1881,$O$6:$O$5000,$O1881,$B$6:$B$5000,$B1881)&gt;1,"MÜKERRER","OK"))))</f>
        <v/>
      </c>
    </row>
    <row r="1882" ht="16.5" customHeight="1" s="80">
      <c r="A1882" s="113" t="n"/>
      <c r="B1882" s="113" t="n"/>
      <c r="C1882" s="113" t="n"/>
      <c r="D1882" s="113" t="n"/>
      <c r="E1882" s="113" t="n"/>
      <c r="F1882" s="113" t="n"/>
      <c r="G1882" s="113" t="n"/>
      <c r="H1882" s="113" t="n"/>
      <c r="I1882" s="113" t="n"/>
      <c r="J1882" s="113" t="n"/>
      <c r="K1882" s="113" t="n"/>
      <c r="L1882" s="113" t="n"/>
      <c r="M1882" s="113" t="n"/>
      <c r="N1882" s="113" t="n"/>
      <c r="O1882" s="113" t="n"/>
      <c r="P1882" s="113" t="n"/>
      <c r="Q1882" s="113" t="n"/>
      <c r="R1882" s="113" t="n"/>
      <c r="S1882" s="113" t="n"/>
      <c r="T1882" s="113" t="n"/>
      <c r="U1882" s="113" t="n"/>
      <c r="V1882" s="113" t="n"/>
      <c r="W1882" s="113" t="n"/>
      <c r="X1882" s="113" t="n"/>
      <c r="Y1882" s="113" t="n"/>
      <c r="Z1882" s="117">
        <f>IF($B1882="",0,IF($S1882="EVET",IF($D1882="GELİR",$O1882,-$O1882),0))</f>
        <v/>
      </c>
      <c r="AA1882" s="117">
        <f>IF($B1882="",0,IF(OR($W1882="EVET",$X1882="EVET",$Y1882="EVET"),0,IF($D1882="GELİR",IF($E1882="SATIŞ İADESİ/İSKONTO",-$O1882,$O1882),-$O1882)))</f>
        <v/>
      </c>
      <c r="AB1882" s="117">
        <f>IF($B1882="","",IF(OR($D1882="",$E1882="",$O1882=""),"EKSİK",IF($O1882&lt;=0,"SIFIR/NEGATİF",IF(COUNTIFS($C$6:$C$5000,$C1882,$O$6:$O$5000,$O1882,$B$6:$B$5000,$B1882)&gt;1,"MÜKERRER","OK"))))</f>
        <v/>
      </c>
    </row>
    <row r="1883" ht="16.5" customHeight="1" s="80">
      <c r="A1883" s="113" t="n"/>
      <c r="B1883" s="113" t="n"/>
      <c r="C1883" s="113" t="n"/>
      <c r="D1883" s="113" t="n"/>
      <c r="E1883" s="113" t="n"/>
      <c r="F1883" s="113" t="n"/>
      <c r="G1883" s="113" t="n"/>
      <c r="H1883" s="113" t="n"/>
      <c r="I1883" s="113" t="n"/>
      <c r="J1883" s="113" t="n"/>
      <c r="K1883" s="113" t="n"/>
      <c r="L1883" s="113" t="n"/>
      <c r="M1883" s="113" t="n"/>
      <c r="N1883" s="113" t="n"/>
      <c r="O1883" s="113" t="n"/>
      <c r="P1883" s="113" t="n"/>
      <c r="Q1883" s="113" t="n"/>
      <c r="R1883" s="113" t="n"/>
      <c r="S1883" s="113" t="n"/>
      <c r="T1883" s="113" t="n"/>
      <c r="U1883" s="113" t="n"/>
      <c r="V1883" s="113" t="n"/>
      <c r="W1883" s="113" t="n"/>
      <c r="X1883" s="113" t="n"/>
      <c r="Y1883" s="113" t="n"/>
      <c r="Z1883" s="117">
        <f>IF($B1883="",0,IF($S1883="EVET",IF($D1883="GELİR",$O1883,-$O1883),0))</f>
        <v/>
      </c>
      <c r="AA1883" s="117">
        <f>IF($B1883="",0,IF(OR($W1883="EVET",$X1883="EVET",$Y1883="EVET"),0,IF($D1883="GELİR",IF($E1883="SATIŞ İADESİ/İSKONTO",-$O1883,$O1883),-$O1883)))</f>
        <v/>
      </c>
      <c r="AB1883" s="117">
        <f>IF($B1883="","",IF(OR($D1883="",$E1883="",$O1883=""),"EKSİK",IF($O1883&lt;=0,"SIFIR/NEGATİF",IF(COUNTIFS($C$6:$C$5000,$C1883,$O$6:$O$5000,$O1883,$B$6:$B$5000,$B1883)&gt;1,"MÜKERRER","OK"))))</f>
        <v/>
      </c>
    </row>
    <row r="1884" ht="16.5" customHeight="1" s="80">
      <c r="A1884" s="113" t="n"/>
      <c r="B1884" s="113" t="n"/>
      <c r="C1884" s="113" t="n"/>
      <c r="D1884" s="113" t="n"/>
      <c r="E1884" s="113" t="n"/>
      <c r="F1884" s="113" t="n"/>
      <c r="G1884" s="113" t="n"/>
      <c r="H1884" s="113" t="n"/>
      <c r="I1884" s="113" t="n"/>
      <c r="J1884" s="113" t="n"/>
      <c r="K1884" s="113" t="n"/>
      <c r="L1884" s="113" t="n"/>
      <c r="M1884" s="113" t="n"/>
      <c r="N1884" s="113" t="n"/>
      <c r="O1884" s="113" t="n"/>
      <c r="P1884" s="113" t="n"/>
      <c r="Q1884" s="113" t="n"/>
      <c r="R1884" s="113" t="n"/>
      <c r="S1884" s="113" t="n"/>
      <c r="T1884" s="113" t="n"/>
      <c r="U1884" s="113" t="n"/>
      <c r="V1884" s="113" t="n"/>
      <c r="W1884" s="113" t="n"/>
      <c r="X1884" s="113" t="n"/>
      <c r="Y1884" s="113" t="n"/>
      <c r="Z1884" s="117">
        <f>IF($B1884="",0,IF($S1884="EVET",IF($D1884="GELİR",$O1884,-$O1884),0))</f>
        <v/>
      </c>
      <c r="AA1884" s="117">
        <f>IF($B1884="",0,IF(OR($W1884="EVET",$X1884="EVET",$Y1884="EVET"),0,IF($D1884="GELİR",IF($E1884="SATIŞ İADESİ/İSKONTO",-$O1884,$O1884),-$O1884)))</f>
        <v/>
      </c>
      <c r="AB1884" s="117">
        <f>IF($B1884="","",IF(OR($D1884="",$E1884="",$O1884=""),"EKSİK",IF($O1884&lt;=0,"SIFIR/NEGATİF",IF(COUNTIFS($C$6:$C$5000,$C1884,$O$6:$O$5000,$O1884,$B$6:$B$5000,$B1884)&gt;1,"MÜKERRER","OK"))))</f>
        <v/>
      </c>
    </row>
    <row r="1885" ht="16.5" customHeight="1" s="80">
      <c r="A1885" s="113" t="n"/>
      <c r="B1885" s="113" t="n"/>
      <c r="C1885" s="113" t="n"/>
      <c r="D1885" s="113" t="n"/>
      <c r="E1885" s="113" t="n"/>
      <c r="F1885" s="113" t="n"/>
      <c r="G1885" s="113" t="n"/>
      <c r="H1885" s="113" t="n"/>
      <c r="I1885" s="113" t="n"/>
      <c r="J1885" s="113" t="n"/>
      <c r="K1885" s="113" t="n"/>
      <c r="L1885" s="113" t="n"/>
      <c r="M1885" s="113" t="n"/>
      <c r="N1885" s="113" t="n"/>
      <c r="O1885" s="113" t="n"/>
      <c r="P1885" s="113" t="n"/>
      <c r="Q1885" s="113" t="n"/>
      <c r="R1885" s="113" t="n"/>
      <c r="S1885" s="113" t="n"/>
      <c r="T1885" s="113" t="n"/>
      <c r="U1885" s="113" t="n"/>
      <c r="V1885" s="113" t="n"/>
      <c r="W1885" s="113" t="n"/>
      <c r="X1885" s="113" t="n"/>
      <c r="Y1885" s="113" t="n"/>
      <c r="Z1885" s="117">
        <f>IF($B1885="",0,IF($S1885="EVET",IF($D1885="GELİR",$O1885,-$O1885),0))</f>
        <v/>
      </c>
      <c r="AA1885" s="117">
        <f>IF($B1885="",0,IF(OR($W1885="EVET",$X1885="EVET",$Y1885="EVET"),0,IF($D1885="GELİR",IF($E1885="SATIŞ İADESİ/İSKONTO",-$O1885,$O1885),-$O1885)))</f>
        <v/>
      </c>
      <c r="AB1885" s="117">
        <f>IF($B1885="","",IF(OR($D1885="",$E1885="",$O1885=""),"EKSİK",IF($O1885&lt;=0,"SIFIR/NEGATİF",IF(COUNTIFS($C$6:$C$5000,$C1885,$O$6:$O$5000,$O1885,$B$6:$B$5000,$B1885)&gt;1,"MÜKERRER","OK"))))</f>
        <v/>
      </c>
    </row>
    <row r="1886" ht="16.5" customHeight="1" s="80">
      <c r="A1886" s="113" t="n"/>
      <c r="B1886" s="113" t="n"/>
      <c r="C1886" s="113" t="n"/>
      <c r="D1886" s="113" t="n"/>
      <c r="E1886" s="113" t="n"/>
      <c r="F1886" s="113" t="n"/>
      <c r="G1886" s="113" t="n"/>
      <c r="H1886" s="113" t="n"/>
      <c r="I1886" s="113" t="n"/>
      <c r="J1886" s="113" t="n"/>
      <c r="K1886" s="113" t="n"/>
      <c r="L1886" s="113" t="n"/>
      <c r="M1886" s="113" t="n"/>
      <c r="N1886" s="113" t="n"/>
      <c r="O1886" s="113" t="n"/>
      <c r="P1886" s="113" t="n"/>
      <c r="Q1886" s="113" t="n"/>
      <c r="R1886" s="113" t="n"/>
      <c r="S1886" s="113" t="n"/>
      <c r="T1886" s="113" t="n"/>
      <c r="U1886" s="113" t="n"/>
      <c r="V1886" s="113" t="n"/>
      <c r="W1886" s="113" t="n"/>
      <c r="X1886" s="113" t="n"/>
      <c r="Y1886" s="113" t="n"/>
      <c r="Z1886" s="117">
        <f>IF($B1886="",0,IF($S1886="EVET",IF($D1886="GELİR",$O1886,-$O1886),0))</f>
        <v/>
      </c>
      <c r="AA1886" s="117">
        <f>IF($B1886="",0,IF(OR($W1886="EVET",$X1886="EVET",$Y1886="EVET"),0,IF($D1886="GELİR",IF($E1886="SATIŞ İADESİ/İSKONTO",-$O1886,$O1886),-$O1886)))</f>
        <v/>
      </c>
      <c r="AB1886" s="117">
        <f>IF($B1886="","",IF(OR($D1886="",$E1886="",$O1886=""),"EKSİK",IF($O1886&lt;=0,"SIFIR/NEGATİF",IF(COUNTIFS($C$6:$C$5000,$C1886,$O$6:$O$5000,$O1886,$B$6:$B$5000,$B1886)&gt;1,"MÜKERRER","OK"))))</f>
        <v/>
      </c>
    </row>
    <row r="1887" ht="16.5" customHeight="1" s="80">
      <c r="A1887" s="113" t="n"/>
      <c r="B1887" s="113" t="n"/>
      <c r="C1887" s="113" t="n"/>
      <c r="D1887" s="113" t="n"/>
      <c r="E1887" s="113" t="n"/>
      <c r="F1887" s="113" t="n"/>
      <c r="G1887" s="113" t="n"/>
      <c r="H1887" s="113" t="n"/>
      <c r="I1887" s="113" t="n"/>
      <c r="J1887" s="113" t="n"/>
      <c r="K1887" s="113" t="n"/>
      <c r="L1887" s="113" t="n"/>
      <c r="M1887" s="113" t="n"/>
      <c r="N1887" s="113" t="n"/>
      <c r="O1887" s="113" t="n"/>
      <c r="P1887" s="113" t="n"/>
      <c r="Q1887" s="113" t="n"/>
      <c r="R1887" s="113" t="n"/>
      <c r="S1887" s="113" t="n"/>
      <c r="T1887" s="113" t="n"/>
      <c r="U1887" s="113" t="n"/>
      <c r="V1887" s="113" t="n"/>
      <c r="W1887" s="113" t="n"/>
      <c r="X1887" s="113" t="n"/>
      <c r="Y1887" s="113" t="n"/>
      <c r="Z1887" s="117">
        <f>IF($B1887="",0,IF($S1887="EVET",IF($D1887="GELİR",$O1887,-$O1887),0))</f>
        <v/>
      </c>
      <c r="AA1887" s="117">
        <f>IF($B1887="",0,IF(OR($W1887="EVET",$X1887="EVET",$Y1887="EVET"),0,IF($D1887="GELİR",IF($E1887="SATIŞ İADESİ/İSKONTO",-$O1887,$O1887),-$O1887)))</f>
        <v/>
      </c>
      <c r="AB1887" s="117">
        <f>IF($B1887="","",IF(OR($D1887="",$E1887="",$O1887=""),"EKSİK",IF($O1887&lt;=0,"SIFIR/NEGATİF",IF(COUNTIFS($C$6:$C$5000,$C1887,$O$6:$O$5000,$O1887,$B$6:$B$5000,$B1887)&gt;1,"MÜKERRER","OK"))))</f>
        <v/>
      </c>
    </row>
    <row r="1888" ht="16.5" customHeight="1" s="80">
      <c r="A1888" s="113" t="n"/>
      <c r="B1888" s="113" t="n"/>
      <c r="C1888" s="113" t="n"/>
      <c r="D1888" s="113" t="n"/>
      <c r="E1888" s="113" t="n"/>
      <c r="F1888" s="113" t="n"/>
      <c r="G1888" s="113" t="n"/>
      <c r="H1888" s="113" t="n"/>
      <c r="I1888" s="113" t="n"/>
      <c r="J1888" s="113" t="n"/>
      <c r="K1888" s="113" t="n"/>
      <c r="L1888" s="113" t="n"/>
      <c r="M1888" s="113" t="n"/>
      <c r="N1888" s="113" t="n"/>
      <c r="O1888" s="113" t="n"/>
      <c r="P1888" s="113" t="n"/>
      <c r="Q1888" s="113" t="n"/>
      <c r="R1888" s="113" t="n"/>
      <c r="S1888" s="113" t="n"/>
      <c r="T1888" s="113" t="n"/>
      <c r="U1888" s="113" t="n"/>
      <c r="V1888" s="113" t="n"/>
      <c r="W1888" s="113" t="n"/>
      <c r="X1888" s="113" t="n"/>
      <c r="Y1888" s="113" t="n"/>
      <c r="Z1888" s="117">
        <f>IF($B1888="",0,IF($S1888="EVET",IF($D1888="GELİR",$O1888,-$O1888),0))</f>
        <v/>
      </c>
      <c r="AA1888" s="117">
        <f>IF($B1888="",0,IF(OR($W1888="EVET",$X1888="EVET",$Y1888="EVET"),0,IF($D1888="GELİR",IF($E1888="SATIŞ İADESİ/İSKONTO",-$O1888,$O1888),-$O1888)))</f>
        <v/>
      </c>
      <c r="AB1888" s="117">
        <f>IF($B1888="","",IF(OR($D1888="",$E1888="",$O1888=""),"EKSİK",IF($O1888&lt;=0,"SIFIR/NEGATİF",IF(COUNTIFS($C$6:$C$5000,$C1888,$O$6:$O$5000,$O1888,$B$6:$B$5000,$B1888)&gt;1,"MÜKERRER","OK"))))</f>
        <v/>
      </c>
    </row>
    <row r="1889" ht="16.5" customHeight="1" s="80">
      <c r="A1889" s="113" t="n"/>
      <c r="B1889" s="113" t="n"/>
      <c r="C1889" s="113" t="n"/>
      <c r="D1889" s="113" t="n"/>
      <c r="E1889" s="113" t="n"/>
      <c r="F1889" s="113" t="n"/>
      <c r="G1889" s="113" t="n"/>
      <c r="H1889" s="113" t="n"/>
      <c r="I1889" s="113" t="n"/>
      <c r="J1889" s="113" t="n"/>
      <c r="K1889" s="113" t="n"/>
      <c r="L1889" s="113" t="n"/>
      <c r="M1889" s="113" t="n"/>
      <c r="N1889" s="113" t="n"/>
      <c r="O1889" s="113" t="n"/>
      <c r="P1889" s="113" t="n"/>
      <c r="Q1889" s="113" t="n"/>
      <c r="R1889" s="113" t="n"/>
      <c r="S1889" s="113" t="n"/>
      <c r="T1889" s="113" t="n"/>
      <c r="U1889" s="113" t="n"/>
      <c r="V1889" s="113" t="n"/>
      <c r="W1889" s="113" t="n"/>
      <c r="X1889" s="113" t="n"/>
      <c r="Y1889" s="113" t="n"/>
      <c r="Z1889" s="117">
        <f>IF($B1889="",0,IF($S1889="EVET",IF($D1889="GELİR",$O1889,-$O1889),0))</f>
        <v/>
      </c>
      <c r="AA1889" s="117">
        <f>IF($B1889="",0,IF(OR($W1889="EVET",$X1889="EVET",$Y1889="EVET"),0,IF($D1889="GELİR",IF($E1889="SATIŞ İADESİ/İSKONTO",-$O1889,$O1889),-$O1889)))</f>
        <v/>
      </c>
      <c r="AB1889" s="117">
        <f>IF($B1889="","",IF(OR($D1889="",$E1889="",$O1889=""),"EKSİK",IF($O1889&lt;=0,"SIFIR/NEGATİF",IF(COUNTIFS($C$6:$C$5000,$C1889,$O$6:$O$5000,$O1889,$B$6:$B$5000,$B1889)&gt;1,"MÜKERRER","OK"))))</f>
        <v/>
      </c>
    </row>
    <row r="1890" ht="16.5" customHeight="1" s="80">
      <c r="A1890" s="113" t="n"/>
      <c r="B1890" s="113" t="n"/>
      <c r="C1890" s="113" t="n"/>
      <c r="D1890" s="113" t="n"/>
      <c r="E1890" s="113" t="n"/>
      <c r="F1890" s="113" t="n"/>
      <c r="G1890" s="113" t="n"/>
      <c r="H1890" s="113" t="n"/>
      <c r="I1890" s="113" t="n"/>
      <c r="J1890" s="113" t="n"/>
      <c r="K1890" s="113" t="n"/>
      <c r="L1890" s="113" t="n"/>
      <c r="M1890" s="113" t="n"/>
      <c r="N1890" s="113" t="n"/>
      <c r="O1890" s="113" t="n"/>
      <c r="P1890" s="113" t="n"/>
      <c r="Q1890" s="113" t="n"/>
      <c r="R1890" s="113" t="n"/>
      <c r="S1890" s="113" t="n"/>
      <c r="T1890" s="113" t="n"/>
      <c r="U1890" s="113" t="n"/>
      <c r="V1890" s="113" t="n"/>
      <c r="W1890" s="113" t="n"/>
      <c r="X1890" s="113" t="n"/>
      <c r="Y1890" s="113" t="n"/>
      <c r="Z1890" s="117">
        <f>IF($B1890="",0,IF($S1890="EVET",IF($D1890="GELİR",$O1890,-$O1890),0))</f>
        <v/>
      </c>
      <c r="AA1890" s="117">
        <f>IF($B1890="",0,IF(OR($W1890="EVET",$X1890="EVET",$Y1890="EVET"),0,IF($D1890="GELİR",IF($E1890="SATIŞ İADESİ/İSKONTO",-$O1890,$O1890),-$O1890)))</f>
        <v/>
      </c>
      <c r="AB1890" s="117">
        <f>IF($B1890="","",IF(OR($D1890="",$E1890="",$O1890=""),"EKSİK",IF($O1890&lt;=0,"SIFIR/NEGATİF",IF(COUNTIFS($C$6:$C$5000,$C1890,$O$6:$O$5000,$O1890,$B$6:$B$5000,$B1890)&gt;1,"MÜKERRER","OK"))))</f>
        <v/>
      </c>
    </row>
    <row r="1891" ht="16.5" customHeight="1" s="80">
      <c r="A1891" s="113" t="n"/>
      <c r="B1891" s="113" t="n"/>
      <c r="C1891" s="113" t="n"/>
      <c r="D1891" s="113" t="n"/>
      <c r="E1891" s="113" t="n"/>
      <c r="F1891" s="113" t="n"/>
      <c r="G1891" s="113" t="n"/>
      <c r="H1891" s="113" t="n"/>
      <c r="I1891" s="113" t="n"/>
      <c r="J1891" s="113" t="n"/>
      <c r="K1891" s="113" t="n"/>
      <c r="L1891" s="113" t="n"/>
      <c r="M1891" s="113" t="n"/>
      <c r="N1891" s="113" t="n"/>
      <c r="O1891" s="113" t="n"/>
      <c r="P1891" s="113" t="n"/>
      <c r="Q1891" s="113" t="n"/>
      <c r="R1891" s="113" t="n"/>
      <c r="S1891" s="113" t="n"/>
      <c r="T1891" s="113" t="n"/>
      <c r="U1891" s="113" t="n"/>
      <c r="V1891" s="113" t="n"/>
      <c r="W1891" s="113" t="n"/>
      <c r="X1891" s="113" t="n"/>
      <c r="Y1891" s="113" t="n"/>
      <c r="Z1891" s="117">
        <f>IF($B1891="",0,IF($S1891="EVET",IF($D1891="GELİR",$O1891,-$O1891),0))</f>
        <v/>
      </c>
      <c r="AA1891" s="117">
        <f>IF($B1891="",0,IF(OR($W1891="EVET",$X1891="EVET",$Y1891="EVET"),0,IF($D1891="GELİR",IF($E1891="SATIŞ İADESİ/İSKONTO",-$O1891,$O1891),-$O1891)))</f>
        <v/>
      </c>
      <c r="AB1891" s="117">
        <f>IF($B1891="","",IF(OR($D1891="",$E1891="",$O1891=""),"EKSİK",IF($O1891&lt;=0,"SIFIR/NEGATİF",IF(COUNTIFS($C$6:$C$5000,$C1891,$O$6:$O$5000,$O1891,$B$6:$B$5000,$B1891)&gt;1,"MÜKERRER","OK"))))</f>
        <v/>
      </c>
    </row>
    <row r="1892" ht="16.5" customHeight="1" s="80">
      <c r="A1892" s="113" t="n"/>
      <c r="B1892" s="113" t="n"/>
      <c r="C1892" s="113" t="n"/>
      <c r="D1892" s="113" t="n"/>
      <c r="E1892" s="113" t="n"/>
      <c r="F1892" s="113" t="n"/>
      <c r="G1892" s="113" t="n"/>
      <c r="H1892" s="113" t="n"/>
      <c r="I1892" s="113" t="n"/>
      <c r="J1892" s="113" t="n"/>
      <c r="K1892" s="113" t="n"/>
      <c r="L1892" s="113" t="n"/>
      <c r="M1892" s="113" t="n"/>
      <c r="N1892" s="113" t="n"/>
      <c r="O1892" s="113" t="n"/>
      <c r="P1892" s="113" t="n"/>
      <c r="Q1892" s="113" t="n"/>
      <c r="R1892" s="113" t="n"/>
      <c r="S1892" s="113" t="n"/>
      <c r="T1892" s="113" t="n"/>
      <c r="U1892" s="113" t="n"/>
      <c r="V1892" s="113" t="n"/>
      <c r="W1892" s="113" t="n"/>
      <c r="X1892" s="113" t="n"/>
      <c r="Y1892" s="113" t="n"/>
      <c r="Z1892" s="117">
        <f>IF($B1892="",0,IF($S1892="EVET",IF($D1892="GELİR",$O1892,-$O1892),0))</f>
        <v/>
      </c>
      <c r="AA1892" s="117">
        <f>IF($B1892="",0,IF(OR($W1892="EVET",$X1892="EVET",$Y1892="EVET"),0,IF($D1892="GELİR",IF($E1892="SATIŞ İADESİ/İSKONTO",-$O1892,$O1892),-$O1892)))</f>
        <v/>
      </c>
      <c r="AB1892" s="117">
        <f>IF($B1892="","",IF(OR($D1892="",$E1892="",$O1892=""),"EKSİK",IF($O1892&lt;=0,"SIFIR/NEGATİF",IF(COUNTIFS($C$6:$C$5000,$C1892,$O$6:$O$5000,$O1892,$B$6:$B$5000,$B1892)&gt;1,"MÜKERRER","OK"))))</f>
        <v/>
      </c>
    </row>
    <row r="1893" ht="16.5" customHeight="1" s="80">
      <c r="A1893" s="113" t="n"/>
      <c r="B1893" s="113" t="n"/>
      <c r="C1893" s="113" t="n"/>
      <c r="D1893" s="113" t="n"/>
      <c r="E1893" s="113" t="n"/>
      <c r="F1893" s="113" t="n"/>
      <c r="G1893" s="113" t="n"/>
      <c r="H1893" s="113" t="n"/>
      <c r="I1893" s="113" t="n"/>
      <c r="J1893" s="113" t="n"/>
      <c r="K1893" s="113" t="n"/>
      <c r="L1893" s="113" t="n"/>
      <c r="M1893" s="113" t="n"/>
      <c r="N1893" s="113" t="n"/>
      <c r="O1893" s="113" t="n"/>
      <c r="P1893" s="113" t="n"/>
      <c r="Q1893" s="113" t="n"/>
      <c r="R1893" s="113" t="n"/>
      <c r="S1893" s="113" t="n"/>
      <c r="T1893" s="113" t="n"/>
      <c r="U1893" s="113" t="n"/>
      <c r="V1893" s="113" t="n"/>
      <c r="W1893" s="113" t="n"/>
      <c r="X1893" s="113" t="n"/>
      <c r="Y1893" s="113" t="n"/>
      <c r="Z1893" s="117">
        <f>IF($B1893="",0,IF($S1893="EVET",IF($D1893="GELİR",$O1893,-$O1893),0))</f>
        <v/>
      </c>
      <c r="AA1893" s="117">
        <f>IF($B1893="",0,IF(OR($W1893="EVET",$X1893="EVET",$Y1893="EVET"),0,IF($D1893="GELİR",IF($E1893="SATIŞ İADESİ/İSKONTO",-$O1893,$O1893),-$O1893)))</f>
        <v/>
      </c>
      <c r="AB1893" s="117">
        <f>IF($B1893="","",IF(OR($D1893="",$E1893="",$O1893=""),"EKSİK",IF($O1893&lt;=0,"SIFIR/NEGATİF",IF(COUNTIFS($C$6:$C$5000,$C1893,$O$6:$O$5000,$O1893,$B$6:$B$5000,$B1893)&gt;1,"MÜKERRER","OK"))))</f>
        <v/>
      </c>
    </row>
    <row r="1894" ht="16.5" customHeight="1" s="80">
      <c r="A1894" s="113" t="n"/>
      <c r="B1894" s="113" t="n"/>
      <c r="C1894" s="113" t="n"/>
      <c r="D1894" s="113" t="n"/>
      <c r="E1894" s="113" t="n"/>
      <c r="F1894" s="113" t="n"/>
      <c r="G1894" s="113" t="n"/>
      <c r="H1894" s="113" t="n"/>
      <c r="I1894" s="113" t="n"/>
      <c r="J1894" s="113" t="n"/>
      <c r="K1894" s="113" t="n"/>
      <c r="L1894" s="113" t="n"/>
      <c r="M1894" s="113" t="n"/>
      <c r="N1894" s="113" t="n"/>
      <c r="O1894" s="113" t="n"/>
      <c r="P1894" s="113" t="n"/>
      <c r="Q1894" s="113" t="n"/>
      <c r="R1894" s="113" t="n"/>
      <c r="S1894" s="113" t="n"/>
      <c r="T1894" s="113" t="n"/>
      <c r="U1894" s="113" t="n"/>
      <c r="V1894" s="113" t="n"/>
      <c r="W1894" s="113" t="n"/>
      <c r="X1894" s="113" t="n"/>
      <c r="Y1894" s="113" t="n"/>
      <c r="Z1894" s="117">
        <f>IF($B1894="",0,IF($S1894="EVET",IF($D1894="GELİR",$O1894,-$O1894),0))</f>
        <v/>
      </c>
      <c r="AA1894" s="117">
        <f>IF($B1894="",0,IF(OR($W1894="EVET",$X1894="EVET",$Y1894="EVET"),0,IF($D1894="GELİR",IF($E1894="SATIŞ İADESİ/İSKONTO",-$O1894,$O1894),-$O1894)))</f>
        <v/>
      </c>
      <c r="AB1894" s="117">
        <f>IF($B1894="","",IF(OR($D1894="",$E1894="",$O1894=""),"EKSİK",IF($O1894&lt;=0,"SIFIR/NEGATİF",IF(COUNTIFS($C$6:$C$5000,$C1894,$O$6:$O$5000,$O1894,$B$6:$B$5000,$B1894)&gt;1,"MÜKERRER","OK"))))</f>
        <v/>
      </c>
    </row>
    <row r="1895" ht="16.5" customHeight="1" s="80">
      <c r="A1895" s="113" t="n"/>
      <c r="B1895" s="113" t="n"/>
      <c r="C1895" s="113" t="n"/>
      <c r="D1895" s="113" t="n"/>
      <c r="E1895" s="113" t="n"/>
      <c r="F1895" s="113" t="n"/>
      <c r="G1895" s="113" t="n"/>
      <c r="H1895" s="113" t="n"/>
      <c r="I1895" s="113" t="n"/>
      <c r="J1895" s="113" t="n"/>
      <c r="K1895" s="113" t="n"/>
      <c r="L1895" s="113" t="n"/>
      <c r="M1895" s="113" t="n"/>
      <c r="N1895" s="113" t="n"/>
      <c r="O1895" s="113" t="n"/>
      <c r="P1895" s="113" t="n"/>
      <c r="Q1895" s="113" t="n"/>
      <c r="R1895" s="113" t="n"/>
      <c r="S1895" s="113" t="n"/>
      <c r="T1895" s="113" t="n"/>
      <c r="U1895" s="113" t="n"/>
      <c r="V1895" s="113" t="n"/>
      <c r="W1895" s="113" t="n"/>
      <c r="X1895" s="113" t="n"/>
      <c r="Y1895" s="113" t="n"/>
      <c r="Z1895" s="117">
        <f>IF($B1895="",0,IF($S1895="EVET",IF($D1895="GELİR",$O1895,-$O1895),0))</f>
        <v/>
      </c>
      <c r="AA1895" s="117">
        <f>IF($B1895="",0,IF(OR($W1895="EVET",$X1895="EVET",$Y1895="EVET"),0,IF($D1895="GELİR",IF($E1895="SATIŞ İADESİ/İSKONTO",-$O1895,$O1895),-$O1895)))</f>
        <v/>
      </c>
      <c r="AB1895" s="117">
        <f>IF($B1895="","",IF(OR($D1895="",$E1895="",$O1895=""),"EKSİK",IF($O1895&lt;=0,"SIFIR/NEGATİF",IF(COUNTIFS($C$6:$C$5000,$C1895,$O$6:$O$5000,$O1895,$B$6:$B$5000,$B1895)&gt;1,"MÜKERRER","OK"))))</f>
        <v/>
      </c>
    </row>
    <row r="1896" ht="16.5" customHeight="1" s="80">
      <c r="A1896" s="113" t="n"/>
      <c r="B1896" s="113" t="n"/>
      <c r="C1896" s="113" t="n"/>
      <c r="D1896" s="113" t="n"/>
      <c r="E1896" s="113" t="n"/>
      <c r="F1896" s="113" t="n"/>
      <c r="G1896" s="113" t="n"/>
      <c r="H1896" s="113" t="n"/>
      <c r="I1896" s="113" t="n"/>
      <c r="J1896" s="113" t="n"/>
      <c r="K1896" s="113" t="n"/>
      <c r="L1896" s="113" t="n"/>
      <c r="M1896" s="113" t="n"/>
      <c r="N1896" s="113" t="n"/>
      <c r="O1896" s="113" t="n"/>
      <c r="P1896" s="113" t="n"/>
      <c r="Q1896" s="113" t="n"/>
      <c r="R1896" s="113" t="n"/>
      <c r="S1896" s="113" t="n"/>
      <c r="T1896" s="113" t="n"/>
      <c r="U1896" s="113" t="n"/>
      <c r="V1896" s="113" t="n"/>
      <c r="W1896" s="113" t="n"/>
      <c r="X1896" s="113" t="n"/>
      <c r="Y1896" s="113" t="n"/>
      <c r="Z1896" s="117">
        <f>IF($B1896="",0,IF($S1896="EVET",IF($D1896="GELİR",$O1896,-$O1896),0))</f>
        <v/>
      </c>
      <c r="AA1896" s="117">
        <f>IF($B1896="",0,IF(OR($W1896="EVET",$X1896="EVET",$Y1896="EVET"),0,IF($D1896="GELİR",IF($E1896="SATIŞ İADESİ/İSKONTO",-$O1896,$O1896),-$O1896)))</f>
        <v/>
      </c>
      <c r="AB1896" s="117">
        <f>IF($B1896="","",IF(OR($D1896="",$E1896="",$O1896=""),"EKSİK",IF($O1896&lt;=0,"SIFIR/NEGATİF",IF(COUNTIFS($C$6:$C$5000,$C1896,$O$6:$O$5000,$O1896,$B$6:$B$5000,$B1896)&gt;1,"MÜKERRER","OK"))))</f>
        <v/>
      </c>
    </row>
    <row r="1897" ht="16.5" customHeight="1" s="80">
      <c r="A1897" s="113" t="n"/>
      <c r="B1897" s="113" t="n"/>
      <c r="C1897" s="113" t="n"/>
      <c r="D1897" s="113" t="n"/>
      <c r="E1897" s="113" t="n"/>
      <c r="F1897" s="113" t="n"/>
      <c r="G1897" s="113" t="n"/>
      <c r="H1897" s="113" t="n"/>
      <c r="I1897" s="113" t="n"/>
      <c r="J1897" s="113" t="n"/>
      <c r="K1897" s="113" t="n"/>
      <c r="L1897" s="113" t="n"/>
      <c r="M1897" s="113" t="n"/>
      <c r="N1897" s="113" t="n"/>
      <c r="O1897" s="113" t="n"/>
      <c r="P1897" s="113" t="n"/>
      <c r="Q1897" s="113" t="n"/>
      <c r="R1897" s="113" t="n"/>
      <c r="S1897" s="113" t="n"/>
      <c r="T1897" s="113" t="n"/>
      <c r="U1897" s="113" t="n"/>
      <c r="V1897" s="113" t="n"/>
      <c r="W1897" s="113" t="n"/>
      <c r="X1897" s="113" t="n"/>
      <c r="Y1897" s="113" t="n"/>
      <c r="Z1897" s="117">
        <f>IF($B1897="",0,IF($S1897="EVET",IF($D1897="GELİR",$O1897,-$O1897),0))</f>
        <v/>
      </c>
      <c r="AA1897" s="117">
        <f>IF($B1897="",0,IF(OR($W1897="EVET",$X1897="EVET",$Y1897="EVET"),0,IF($D1897="GELİR",IF($E1897="SATIŞ İADESİ/İSKONTO",-$O1897,$O1897),-$O1897)))</f>
        <v/>
      </c>
      <c r="AB1897" s="117">
        <f>IF($B1897="","",IF(OR($D1897="",$E1897="",$O1897=""),"EKSİK",IF($O1897&lt;=0,"SIFIR/NEGATİF",IF(COUNTIFS($C$6:$C$5000,$C1897,$O$6:$O$5000,$O1897,$B$6:$B$5000,$B1897)&gt;1,"MÜKERRER","OK"))))</f>
        <v/>
      </c>
    </row>
    <row r="1898" ht="16.5" customHeight="1" s="80">
      <c r="A1898" s="113" t="n"/>
      <c r="B1898" s="113" t="n"/>
      <c r="C1898" s="113" t="n"/>
      <c r="D1898" s="113" t="n"/>
      <c r="E1898" s="113" t="n"/>
      <c r="F1898" s="113" t="n"/>
      <c r="G1898" s="113" t="n"/>
      <c r="H1898" s="113" t="n"/>
      <c r="I1898" s="113" t="n"/>
      <c r="J1898" s="113" t="n"/>
      <c r="K1898" s="113" t="n"/>
      <c r="L1898" s="113" t="n"/>
      <c r="M1898" s="113" t="n"/>
      <c r="N1898" s="113" t="n"/>
      <c r="O1898" s="113" t="n"/>
      <c r="P1898" s="113" t="n"/>
      <c r="Q1898" s="113" t="n"/>
      <c r="R1898" s="113" t="n"/>
      <c r="S1898" s="113" t="n"/>
      <c r="T1898" s="113" t="n"/>
      <c r="U1898" s="113" t="n"/>
      <c r="V1898" s="113" t="n"/>
      <c r="W1898" s="113" t="n"/>
      <c r="X1898" s="113" t="n"/>
      <c r="Y1898" s="113" t="n"/>
      <c r="Z1898" s="117">
        <f>IF($B1898="",0,IF($S1898="EVET",IF($D1898="GELİR",$O1898,-$O1898),0))</f>
        <v/>
      </c>
      <c r="AA1898" s="117">
        <f>IF($B1898="",0,IF(OR($W1898="EVET",$X1898="EVET",$Y1898="EVET"),0,IF($D1898="GELİR",IF($E1898="SATIŞ İADESİ/İSKONTO",-$O1898,$O1898),-$O1898)))</f>
        <v/>
      </c>
      <c r="AB1898" s="117">
        <f>IF($B1898="","",IF(OR($D1898="",$E1898="",$O1898=""),"EKSİK",IF($O1898&lt;=0,"SIFIR/NEGATİF",IF(COUNTIFS($C$6:$C$5000,$C1898,$O$6:$O$5000,$O1898,$B$6:$B$5000,$B1898)&gt;1,"MÜKERRER","OK"))))</f>
        <v/>
      </c>
    </row>
    <row r="1899" ht="16.5" customHeight="1" s="80">
      <c r="A1899" s="113" t="n"/>
      <c r="B1899" s="113" t="n"/>
      <c r="C1899" s="113" t="n"/>
      <c r="D1899" s="113" t="n"/>
      <c r="E1899" s="113" t="n"/>
      <c r="F1899" s="113" t="n"/>
      <c r="G1899" s="113" t="n"/>
      <c r="H1899" s="113" t="n"/>
      <c r="I1899" s="113" t="n"/>
      <c r="J1899" s="113" t="n"/>
      <c r="K1899" s="113" t="n"/>
      <c r="L1899" s="113" t="n"/>
      <c r="M1899" s="113" t="n"/>
      <c r="N1899" s="113" t="n"/>
      <c r="O1899" s="113" t="n"/>
      <c r="P1899" s="113" t="n"/>
      <c r="Q1899" s="113" t="n"/>
      <c r="R1899" s="113" t="n"/>
      <c r="S1899" s="113" t="n"/>
      <c r="T1899" s="113" t="n"/>
      <c r="U1899" s="113" t="n"/>
      <c r="V1899" s="113" t="n"/>
      <c r="W1899" s="113" t="n"/>
      <c r="X1899" s="113" t="n"/>
      <c r="Y1899" s="113" t="n"/>
      <c r="Z1899" s="117">
        <f>IF($B1899="",0,IF($S1899="EVET",IF($D1899="GELİR",$O1899,-$O1899),0))</f>
        <v/>
      </c>
      <c r="AA1899" s="117">
        <f>IF($B1899="",0,IF(OR($W1899="EVET",$X1899="EVET",$Y1899="EVET"),0,IF($D1899="GELİR",IF($E1899="SATIŞ İADESİ/İSKONTO",-$O1899,$O1899),-$O1899)))</f>
        <v/>
      </c>
      <c r="AB1899" s="117">
        <f>IF($B1899="","",IF(OR($D1899="",$E1899="",$O1899=""),"EKSİK",IF($O1899&lt;=0,"SIFIR/NEGATİF",IF(COUNTIFS($C$6:$C$5000,$C1899,$O$6:$O$5000,$O1899,$B$6:$B$5000,$B1899)&gt;1,"MÜKERRER","OK"))))</f>
        <v/>
      </c>
    </row>
    <row r="1900" ht="16.5" customHeight="1" s="80">
      <c r="A1900" s="113" t="n"/>
      <c r="B1900" s="113" t="n"/>
      <c r="C1900" s="113" t="n"/>
      <c r="D1900" s="113" t="n"/>
      <c r="E1900" s="113" t="n"/>
      <c r="F1900" s="113" t="n"/>
      <c r="G1900" s="113" t="n"/>
      <c r="H1900" s="113" t="n"/>
      <c r="I1900" s="113" t="n"/>
      <c r="J1900" s="113" t="n"/>
      <c r="K1900" s="113" t="n"/>
      <c r="L1900" s="113" t="n"/>
      <c r="M1900" s="113" t="n"/>
      <c r="N1900" s="113" t="n"/>
      <c r="O1900" s="113" t="n"/>
      <c r="P1900" s="113" t="n"/>
      <c r="Q1900" s="113" t="n"/>
      <c r="R1900" s="113" t="n"/>
      <c r="S1900" s="113" t="n"/>
      <c r="T1900" s="113" t="n"/>
      <c r="U1900" s="113" t="n"/>
      <c r="V1900" s="113" t="n"/>
      <c r="W1900" s="113" t="n"/>
      <c r="X1900" s="113" t="n"/>
      <c r="Y1900" s="113" t="n"/>
      <c r="Z1900" s="117">
        <f>IF($B1900="",0,IF($S1900="EVET",IF($D1900="GELİR",$O1900,-$O1900),0))</f>
        <v/>
      </c>
      <c r="AA1900" s="117">
        <f>IF($B1900="",0,IF(OR($W1900="EVET",$X1900="EVET",$Y1900="EVET"),0,IF($D1900="GELİR",IF($E1900="SATIŞ İADESİ/İSKONTO",-$O1900,$O1900),-$O1900)))</f>
        <v/>
      </c>
      <c r="AB1900" s="117">
        <f>IF($B1900="","",IF(OR($D1900="",$E1900="",$O1900=""),"EKSİK",IF($O1900&lt;=0,"SIFIR/NEGATİF",IF(COUNTIFS($C$6:$C$5000,$C1900,$O$6:$O$5000,$O1900,$B$6:$B$5000,$B1900)&gt;1,"MÜKERRER","OK"))))</f>
        <v/>
      </c>
    </row>
    <row r="1901" ht="16.5" customHeight="1" s="80">
      <c r="A1901" s="113" t="n"/>
      <c r="B1901" s="113" t="n"/>
      <c r="C1901" s="113" t="n"/>
      <c r="D1901" s="113" t="n"/>
      <c r="E1901" s="113" t="n"/>
      <c r="F1901" s="113" t="n"/>
      <c r="G1901" s="113" t="n"/>
      <c r="H1901" s="113" t="n"/>
      <c r="I1901" s="113" t="n"/>
      <c r="J1901" s="113" t="n"/>
      <c r="K1901" s="113" t="n"/>
      <c r="L1901" s="113" t="n"/>
      <c r="M1901" s="113" t="n"/>
      <c r="N1901" s="113" t="n"/>
      <c r="O1901" s="113" t="n"/>
      <c r="P1901" s="113" t="n"/>
      <c r="Q1901" s="113" t="n"/>
      <c r="R1901" s="113" t="n"/>
      <c r="S1901" s="113" t="n"/>
      <c r="T1901" s="113" t="n"/>
      <c r="U1901" s="113" t="n"/>
      <c r="V1901" s="113" t="n"/>
      <c r="W1901" s="113" t="n"/>
      <c r="X1901" s="113" t="n"/>
      <c r="Y1901" s="113" t="n"/>
      <c r="Z1901" s="117">
        <f>IF($B1901="",0,IF($S1901="EVET",IF($D1901="GELİR",$O1901,-$O1901),0))</f>
        <v/>
      </c>
      <c r="AA1901" s="117">
        <f>IF($B1901="",0,IF(OR($W1901="EVET",$X1901="EVET",$Y1901="EVET"),0,IF($D1901="GELİR",IF($E1901="SATIŞ İADESİ/İSKONTO",-$O1901,$O1901),-$O1901)))</f>
        <v/>
      </c>
      <c r="AB1901" s="117">
        <f>IF($B1901="","",IF(OR($D1901="",$E1901="",$O1901=""),"EKSİK",IF($O1901&lt;=0,"SIFIR/NEGATİF",IF(COUNTIFS($C$6:$C$5000,$C1901,$O$6:$O$5000,$O1901,$B$6:$B$5000,$B1901)&gt;1,"MÜKERRER","OK"))))</f>
        <v/>
      </c>
    </row>
    <row r="1902" ht="16.5" customHeight="1" s="80">
      <c r="A1902" s="113" t="n"/>
      <c r="B1902" s="113" t="n"/>
      <c r="C1902" s="113" t="n"/>
      <c r="D1902" s="113" t="n"/>
      <c r="E1902" s="113" t="n"/>
      <c r="F1902" s="113" t="n"/>
      <c r="G1902" s="113" t="n"/>
      <c r="H1902" s="113" t="n"/>
      <c r="I1902" s="113" t="n"/>
      <c r="J1902" s="113" t="n"/>
      <c r="K1902" s="113" t="n"/>
      <c r="L1902" s="113" t="n"/>
      <c r="M1902" s="113" t="n"/>
      <c r="N1902" s="113" t="n"/>
      <c r="O1902" s="113" t="n"/>
      <c r="P1902" s="113" t="n"/>
      <c r="Q1902" s="113" t="n"/>
      <c r="R1902" s="113" t="n"/>
      <c r="S1902" s="113" t="n"/>
      <c r="T1902" s="113" t="n"/>
      <c r="U1902" s="113" t="n"/>
      <c r="V1902" s="113" t="n"/>
      <c r="W1902" s="113" t="n"/>
      <c r="X1902" s="113" t="n"/>
      <c r="Y1902" s="113" t="n"/>
      <c r="Z1902" s="117">
        <f>IF($B1902="",0,IF($S1902="EVET",IF($D1902="GELİR",$O1902,-$O1902),0))</f>
        <v/>
      </c>
      <c r="AA1902" s="117">
        <f>IF($B1902="",0,IF(OR($W1902="EVET",$X1902="EVET",$Y1902="EVET"),0,IF($D1902="GELİR",IF($E1902="SATIŞ İADESİ/İSKONTO",-$O1902,$O1902),-$O1902)))</f>
        <v/>
      </c>
      <c r="AB1902" s="117">
        <f>IF($B1902="","",IF(OR($D1902="",$E1902="",$O1902=""),"EKSİK",IF($O1902&lt;=0,"SIFIR/NEGATİF",IF(COUNTIFS($C$6:$C$5000,$C1902,$O$6:$O$5000,$O1902,$B$6:$B$5000,$B1902)&gt;1,"MÜKERRER","OK"))))</f>
        <v/>
      </c>
    </row>
    <row r="1903" ht="16.5" customHeight="1" s="80">
      <c r="A1903" s="113" t="n"/>
      <c r="B1903" s="113" t="n"/>
      <c r="C1903" s="113" t="n"/>
      <c r="D1903" s="113" t="n"/>
      <c r="E1903" s="113" t="n"/>
      <c r="F1903" s="113" t="n"/>
      <c r="G1903" s="113" t="n"/>
      <c r="H1903" s="113" t="n"/>
      <c r="I1903" s="113" t="n"/>
      <c r="J1903" s="113" t="n"/>
      <c r="K1903" s="113" t="n"/>
      <c r="L1903" s="113" t="n"/>
      <c r="M1903" s="113" t="n"/>
      <c r="N1903" s="113" t="n"/>
      <c r="O1903" s="113" t="n"/>
      <c r="P1903" s="113" t="n"/>
      <c r="Q1903" s="113" t="n"/>
      <c r="R1903" s="113" t="n"/>
      <c r="S1903" s="113" t="n"/>
      <c r="T1903" s="113" t="n"/>
      <c r="U1903" s="113" t="n"/>
      <c r="V1903" s="113" t="n"/>
      <c r="W1903" s="113" t="n"/>
      <c r="X1903" s="113" t="n"/>
      <c r="Y1903" s="113" t="n"/>
      <c r="Z1903" s="117">
        <f>IF($B1903="",0,IF($S1903="EVET",IF($D1903="GELİR",$O1903,-$O1903),0))</f>
        <v/>
      </c>
      <c r="AA1903" s="117">
        <f>IF($B1903="",0,IF(OR($W1903="EVET",$X1903="EVET",$Y1903="EVET"),0,IF($D1903="GELİR",IF($E1903="SATIŞ İADESİ/İSKONTO",-$O1903,$O1903),-$O1903)))</f>
        <v/>
      </c>
      <c r="AB1903" s="117">
        <f>IF($B1903="","",IF(OR($D1903="",$E1903="",$O1903=""),"EKSİK",IF($O1903&lt;=0,"SIFIR/NEGATİF",IF(COUNTIFS($C$6:$C$5000,$C1903,$O$6:$O$5000,$O1903,$B$6:$B$5000,$B1903)&gt;1,"MÜKERRER","OK"))))</f>
        <v/>
      </c>
    </row>
    <row r="1904" ht="16.5" customHeight="1" s="80">
      <c r="A1904" s="113" t="n"/>
      <c r="B1904" s="113" t="n"/>
      <c r="C1904" s="113" t="n"/>
      <c r="D1904" s="113" t="n"/>
      <c r="E1904" s="113" t="n"/>
      <c r="F1904" s="113" t="n"/>
      <c r="G1904" s="113" t="n"/>
      <c r="H1904" s="113" t="n"/>
      <c r="I1904" s="113" t="n"/>
      <c r="J1904" s="113" t="n"/>
      <c r="K1904" s="113" t="n"/>
      <c r="L1904" s="113" t="n"/>
      <c r="M1904" s="113" t="n"/>
      <c r="N1904" s="113" t="n"/>
      <c r="O1904" s="113" t="n"/>
      <c r="P1904" s="113" t="n"/>
      <c r="Q1904" s="113" t="n"/>
      <c r="R1904" s="113" t="n"/>
      <c r="S1904" s="113" t="n"/>
      <c r="T1904" s="113" t="n"/>
      <c r="U1904" s="113" t="n"/>
      <c r="V1904" s="113" t="n"/>
      <c r="W1904" s="113" t="n"/>
      <c r="X1904" s="113" t="n"/>
      <c r="Y1904" s="113" t="n"/>
      <c r="Z1904" s="117">
        <f>IF($B1904="",0,IF($S1904="EVET",IF($D1904="GELİR",$O1904,-$O1904),0))</f>
        <v/>
      </c>
      <c r="AA1904" s="117">
        <f>IF($B1904="",0,IF(OR($W1904="EVET",$X1904="EVET",$Y1904="EVET"),0,IF($D1904="GELİR",IF($E1904="SATIŞ İADESİ/İSKONTO",-$O1904,$O1904),-$O1904)))</f>
        <v/>
      </c>
      <c r="AB1904" s="117">
        <f>IF($B1904="","",IF(OR($D1904="",$E1904="",$O1904=""),"EKSİK",IF($O1904&lt;=0,"SIFIR/NEGATİF",IF(COUNTIFS($C$6:$C$5000,$C1904,$O$6:$O$5000,$O1904,$B$6:$B$5000,$B1904)&gt;1,"MÜKERRER","OK"))))</f>
        <v/>
      </c>
    </row>
    <row r="1905" ht="16.5" customHeight="1" s="80">
      <c r="A1905" s="113" t="n"/>
      <c r="B1905" s="113" t="n"/>
      <c r="C1905" s="113" t="n"/>
      <c r="D1905" s="113" t="n"/>
      <c r="E1905" s="113" t="n"/>
      <c r="F1905" s="113" t="n"/>
      <c r="G1905" s="113" t="n"/>
      <c r="H1905" s="113" t="n"/>
      <c r="I1905" s="113" t="n"/>
      <c r="J1905" s="113" t="n"/>
      <c r="K1905" s="113" t="n"/>
      <c r="L1905" s="113" t="n"/>
      <c r="M1905" s="113" t="n"/>
      <c r="N1905" s="113" t="n"/>
      <c r="O1905" s="113" t="n"/>
      <c r="P1905" s="113" t="n"/>
      <c r="Q1905" s="113" t="n"/>
      <c r="R1905" s="113" t="n"/>
      <c r="S1905" s="113" t="n"/>
      <c r="T1905" s="113" t="n"/>
      <c r="U1905" s="113" t="n"/>
      <c r="V1905" s="113" t="n"/>
      <c r="W1905" s="113" t="n"/>
      <c r="X1905" s="113" t="n"/>
      <c r="Y1905" s="113" t="n"/>
      <c r="Z1905" s="117">
        <f>IF($B1905="",0,IF($S1905="EVET",IF($D1905="GELİR",$O1905,-$O1905),0))</f>
        <v/>
      </c>
      <c r="AA1905" s="117">
        <f>IF($B1905="",0,IF(OR($W1905="EVET",$X1905="EVET",$Y1905="EVET"),0,IF($D1905="GELİR",IF($E1905="SATIŞ İADESİ/İSKONTO",-$O1905,$O1905),-$O1905)))</f>
        <v/>
      </c>
      <c r="AB1905" s="117">
        <f>IF($B1905="","",IF(OR($D1905="",$E1905="",$O1905=""),"EKSİK",IF($O1905&lt;=0,"SIFIR/NEGATİF",IF(COUNTIFS($C$6:$C$5000,$C1905,$O$6:$O$5000,$O1905,$B$6:$B$5000,$B1905)&gt;1,"MÜKERRER","OK"))))</f>
        <v/>
      </c>
    </row>
    <row r="1906" ht="16.5" customHeight="1" s="80">
      <c r="A1906" s="113" t="n"/>
      <c r="B1906" s="113" t="n"/>
      <c r="C1906" s="113" t="n"/>
      <c r="D1906" s="113" t="n"/>
      <c r="E1906" s="113" t="n"/>
      <c r="F1906" s="113" t="n"/>
      <c r="G1906" s="113" t="n"/>
      <c r="H1906" s="113" t="n"/>
      <c r="I1906" s="113" t="n"/>
      <c r="J1906" s="113" t="n"/>
      <c r="K1906" s="113" t="n"/>
      <c r="L1906" s="113" t="n"/>
      <c r="M1906" s="113" t="n"/>
      <c r="N1906" s="113" t="n"/>
      <c r="O1906" s="113" t="n"/>
      <c r="P1906" s="113" t="n"/>
      <c r="Q1906" s="113" t="n"/>
      <c r="R1906" s="113" t="n"/>
      <c r="S1906" s="113" t="n"/>
      <c r="T1906" s="113" t="n"/>
      <c r="U1906" s="113" t="n"/>
      <c r="V1906" s="113" t="n"/>
      <c r="W1906" s="113" t="n"/>
      <c r="X1906" s="113" t="n"/>
      <c r="Y1906" s="113" t="n"/>
      <c r="Z1906" s="117">
        <f>IF($B1906="",0,IF($S1906="EVET",IF($D1906="GELİR",$O1906,-$O1906),0))</f>
        <v/>
      </c>
      <c r="AA1906" s="117">
        <f>IF($B1906="",0,IF(OR($W1906="EVET",$X1906="EVET",$Y1906="EVET"),0,IF($D1906="GELİR",IF($E1906="SATIŞ İADESİ/İSKONTO",-$O1906,$O1906),-$O1906)))</f>
        <v/>
      </c>
      <c r="AB1906" s="117">
        <f>IF($B1906="","",IF(OR($D1906="",$E1906="",$O1906=""),"EKSİK",IF($O1906&lt;=0,"SIFIR/NEGATİF",IF(COUNTIFS($C$6:$C$5000,$C1906,$O$6:$O$5000,$O1906,$B$6:$B$5000,$B1906)&gt;1,"MÜKERRER","OK"))))</f>
        <v/>
      </c>
    </row>
    <row r="1907" ht="16.5" customHeight="1" s="80">
      <c r="A1907" s="113" t="n"/>
      <c r="B1907" s="113" t="n"/>
      <c r="C1907" s="113" t="n"/>
      <c r="D1907" s="113" t="n"/>
      <c r="E1907" s="113" t="n"/>
      <c r="F1907" s="113" t="n"/>
      <c r="G1907" s="113" t="n"/>
      <c r="H1907" s="113" t="n"/>
      <c r="I1907" s="113" t="n"/>
      <c r="J1907" s="113" t="n"/>
      <c r="K1907" s="113" t="n"/>
      <c r="L1907" s="113" t="n"/>
      <c r="M1907" s="113" t="n"/>
      <c r="N1907" s="113" t="n"/>
      <c r="O1907" s="113" t="n"/>
      <c r="P1907" s="113" t="n"/>
      <c r="Q1907" s="113" t="n"/>
      <c r="R1907" s="113" t="n"/>
      <c r="S1907" s="113" t="n"/>
      <c r="T1907" s="113" t="n"/>
      <c r="U1907" s="113" t="n"/>
      <c r="V1907" s="113" t="n"/>
      <c r="W1907" s="113" t="n"/>
      <c r="X1907" s="113" t="n"/>
      <c r="Y1907" s="113" t="n"/>
      <c r="Z1907" s="117">
        <f>IF($B1907="",0,IF($S1907="EVET",IF($D1907="GELİR",$O1907,-$O1907),0))</f>
        <v/>
      </c>
      <c r="AA1907" s="117">
        <f>IF($B1907="",0,IF(OR($W1907="EVET",$X1907="EVET",$Y1907="EVET"),0,IF($D1907="GELİR",IF($E1907="SATIŞ İADESİ/İSKONTO",-$O1907,$O1907),-$O1907)))</f>
        <v/>
      </c>
      <c r="AB1907" s="117">
        <f>IF($B1907="","",IF(OR($D1907="",$E1907="",$O1907=""),"EKSİK",IF($O1907&lt;=0,"SIFIR/NEGATİF",IF(COUNTIFS($C$6:$C$5000,$C1907,$O$6:$O$5000,$O1907,$B$6:$B$5000,$B1907)&gt;1,"MÜKERRER","OK"))))</f>
        <v/>
      </c>
    </row>
    <row r="1908" ht="16.5" customHeight="1" s="80">
      <c r="A1908" s="113" t="n"/>
      <c r="B1908" s="113" t="n"/>
      <c r="C1908" s="113" t="n"/>
      <c r="D1908" s="113" t="n"/>
      <c r="E1908" s="113" t="n"/>
      <c r="F1908" s="113" t="n"/>
      <c r="G1908" s="113" t="n"/>
      <c r="H1908" s="113" t="n"/>
      <c r="I1908" s="113" t="n"/>
      <c r="J1908" s="113" t="n"/>
      <c r="K1908" s="113" t="n"/>
      <c r="L1908" s="113" t="n"/>
      <c r="M1908" s="113" t="n"/>
      <c r="N1908" s="113" t="n"/>
      <c r="O1908" s="113" t="n"/>
      <c r="P1908" s="113" t="n"/>
      <c r="Q1908" s="113" t="n"/>
      <c r="R1908" s="113" t="n"/>
      <c r="S1908" s="113" t="n"/>
      <c r="T1908" s="113" t="n"/>
      <c r="U1908" s="113" t="n"/>
      <c r="V1908" s="113" t="n"/>
      <c r="W1908" s="113" t="n"/>
      <c r="X1908" s="113" t="n"/>
      <c r="Y1908" s="113" t="n"/>
      <c r="Z1908" s="117">
        <f>IF($B1908="",0,IF($S1908="EVET",IF($D1908="GELİR",$O1908,-$O1908),0))</f>
        <v/>
      </c>
      <c r="AA1908" s="117">
        <f>IF($B1908="",0,IF(OR($W1908="EVET",$X1908="EVET",$Y1908="EVET"),0,IF($D1908="GELİR",IF($E1908="SATIŞ İADESİ/İSKONTO",-$O1908,$O1908),-$O1908)))</f>
        <v/>
      </c>
      <c r="AB1908" s="117">
        <f>IF($B1908="","",IF(OR($D1908="",$E1908="",$O1908=""),"EKSİK",IF($O1908&lt;=0,"SIFIR/NEGATİF",IF(COUNTIFS($C$6:$C$5000,$C1908,$O$6:$O$5000,$O1908,$B$6:$B$5000,$B1908)&gt;1,"MÜKERRER","OK"))))</f>
        <v/>
      </c>
    </row>
    <row r="1909" ht="16.5" customHeight="1" s="80">
      <c r="A1909" s="113" t="n"/>
      <c r="B1909" s="113" t="n"/>
      <c r="C1909" s="113" t="n"/>
      <c r="D1909" s="113" t="n"/>
      <c r="E1909" s="113" t="n"/>
      <c r="F1909" s="113" t="n"/>
      <c r="G1909" s="113" t="n"/>
      <c r="H1909" s="113" t="n"/>
      <c r="I1909" s="113" t="n"/>
      <c r="J1909" s="113" t="n"/>
      <c r="K1909" s="113" t="n"/>
      <c r="L1909" s="113" t="n"/>
      <c r="M1909" s="113" t="n"/>
      <c r="N1909" s="113" t="n"/>
      <c r="O1909" s="113" t="n"/>
      <c r="P1909" s="113" t="n"/>
      <c r="Q1909" s="113" t="n"/>
      <c r="R1909" s="113" t="n"/>
      <c r="S1909" s="113" t="n"/>
      <c r="T1909" s="113" t="n"/>
      <c r="U1909" s="113" t="n"/>
      <c r="V1909" s="113" t="n"/>
      <c r="W1909" s="113" t="n"/>
      <c r="X1909" s="113" t="n"/>
      <c r="Y1909" s="113" t="n"/>
      <c r="Z1909" s="117">
        <f>IF($B1909="",0,IF($S1909="EVET",IF($D1909="GELİR",$O1909,-$O1909),0))</f>
        <v/>
      </c>
      <c r="AA1909" s="117">
        <f>IF($B1909="",0,IF(OR($W1909="EVET",$X1909="EVET",$Y1909="EVET"),0,IF($D1909="GELİR",IF($E1909="SATIŞ İADESİ/İSKONTO",-$O1909,$O1909),-$O1909)))</f>
        <v/>
      </c>
      <c r="AB1909" s="117">
        <f>IF($B1909="","",IF(OR($D1909="",$E1909="",$O1909=""),"EKSİK",IF($O1909&lt;=0,"SIFIR/NEGATİF",IF(COUNTIFS($C$6:$C$5000,$C1909,$O$6:$O$5000,$O1909,$B$6:$B$5000,$B1909)&gt;1,"MÜKERRER","OK"))))</f>
        <v/>
      </c>
    </row>
    <row r="1910" ht="16.5" customHeight="1" s="80">
      <c r="A1910" s="113" t="n"/>
      <c r="B1910" s="113" t="n"/>
      <c r="C1910" s="113" t="n"/>
      <c r="D1910" s="113" t="n"/>
      <c r="E1910" s="113" t="n"/>
      <c r="F1910" s="113" t="n"/>
      <c r="G1910" s="113" t="n"/>
      <c r="H1910" s="113" t="n"/>
      <c r="I1910" s="113" t="n"/>
      <c r="J1910" s="113" t="n"/>
      <c r="K1910" s="113" t="n"/>
      <c r="L1910" s="113" t="n"/>
      <c r="M1910" s="113" t="n"/>
      <c r="N1910" s="113" t="n"/>
      <c r="O1910" s="113" t="n"/>
      <c r="P1910" s="113" t="n"/>
      <c r="Q1910" s="113" t="n"/>
      <c r="R1910" s="113" t="n"/>
      <c r="S1910" s="113" t="n"/>
      <c r="T1910" s="113" t="n"/>
      <c r="U1910" s="113" t="n"/>
      <c r="V1910" s="113" t="n"/>
      <c r="W1910" s="113" t="n"/>
      <c r="X1910" s="113" t="n"/>
      <c r="Y1910" s="113" t="n"/>
      <c r="Z1910" s="117">
        <f>IF($B1910="",0,IF($S1910="EVET",IF($D1910="GELİR",$O1910,-$O1910),0))</f>
        <v/>
      </c>
      <c r="AA1910" s="117">
        <f>IF($B1910="",0,IF(OR($W1910="EVET",$X1910="EVET",$Y1910="EVET"),0,IF($D1910="GELİR",IF($E1910="SATIŞ İADESİ/İSKONTO",-$O1910,$O1910),-$O1910)))</f>
        <v/>
      </c>
      <c r="AB1910" s="117">
        <f>IF($B1910="","",IF(OR($D1910="",$E1910="",$O1910=""),"EKSİK",IF($O1910&lt;=0,"SIFIR/NEGATİF",IF(COUNTIFS($C$6:$C$5000,$C1910,$O$6:$O$5000,$O1910,$B$6:$B$5000,$B1910)&gt;1,"MÜKERRER","OK"))))</f>
        <v/>
      </c>
    </row>
    <row r="1911" ht="16.5" customHeight="1" s="80">
      <c r="A1911" s="113" t="n"/>
      <c r="B1911" s="113" t="n"/>
      <c r="C1911" s="113" t="n"/>
      <c r="D1911" s="113" t="n"/>
      <c r="E1911" s="113" t="n"/>
      <c r="F1911" s="113" t="n"/>
      <c r="G1911" s="113" t="n"/>
      <c r="H1911" s="113" t="n"/>
      <c r="I1911" s="113" t="n"/>
      <c r="J1911" s="113" t="n"/>
      <c r="K1911" s="113" t="n"/>
      <c r="L1911" s="113" t="n"/>
      <c r="M1911" s="113" t="n"/>
      <c r="N1911" s="113" t="n"/>
      <c r="O1911" s="113" t="n"/>
      <c r="P1911" s="113" t="n"/>
      <c r="Q1911" s="113" t="n"/>
      <c r="R1911" s="113" t="n"/>
      <c r="S1911" s="113" t="n"/>
      <c r="T1911" s="113" t="n"/>
      <c r="U1911" s="113" t="n"/>
      <c r="V1911" s="113" t="n"/>
      <c r="W1911" s="113" t="n"/>
      <c r="X1911" s="113" t="n"/>
      <c r="Y1911" s="113" t="n"/>
      <c r="Z1911" s="117">
        <f>IF($B1911="",0,IF($S1911="EVET",IF($D1911="GELİR",$O1911,-$O1911),0))</f>
        <v/>
      </c>
      <c r="AA1911" s="117">
        <f>IF($B1911="",0,IF(OR($W1911="EVET",$X1911="EVET",$Y1911="EVET"),0,IF($D1911="GELİR",IF($E1911="SATIŞ İADESİ/İSKONTO",-$O1911,$O1911),-$O1911)))</f>
        <v/>
      </c>
      <c r="AB1911" s="117">
        <f>IF($B1911="","",IF(OR($D1911="",$E1911="",$O1911=""),"EKSİK",IF($O1911&lt;=0,"SIFIR/NEGATİF",IF(COUNTIFS($C$6:$C$5000,$C1911,$O$6:$O$5000,$O1911,$B$6:$B$5000,$B1911)&gt;1,"MÜKERRER","OK"))))</f>
        <v/>
      </c>
    </row>
    <row r="1912" ht="16.5" customHeight="1" s="80">
      <c r="A1912" s="113" t="n"/>
      <c r="B1912" s="113" t="n"/>
      <c r="C1912" s="113" t="n"/>
      <c r="D1912" s="113" t="n"/>
      <c r="E1912" s="113" t="n"/>
      <c r="F1912" s="113" t="n"/>
      <c r="G1912" s="113" t="n"/>
      <c r="H1912" s="113" t="n"/>
      <c r="I1912" s="113" t="n"/>
      <c r="J1912" s="113" t="n"/>
      <c r="K1912" s="113" t="n"/>
      <c r="L1912" s="113" t="n"/>
      <c r="M1912" s="113" t="n"/>
      <c r="N1912" s="113" t="n"/>
      <c r="O1912" s="113" t="n"/>
      <c r="P1912" s="113" t="n"/>
      <c r="Q1912" s="113" t="n"/>
      <c r="R1912" s="113" t="n"/>
      <c r="S1912" s="113" t="n"/>
      <c r="T1912" s="113" t="n"/>
      <c r="U1912" s="113" t="n"/>
      <c r="V1912" s="113" t="n"/>
      <c r="W1912" s="113" t="n"/>
      <c r="X1912" s="113" t="n"/>
      <c r="Y1912" s="113" t="n"/>
      <c r="Z1912" s="117">
        <f>IF($B1912="",0,IF($S1912="EVET",IF($D1912="GELİR",$O1912,-$O1912),0))</f>
        <v/>
      </c>
      <c r="AA1912" s="117">
        <f>IF($B1912="",0,IF(OR($W1912="EVET",$X1912="EVET",$Y1912="EVET"),0,IF($D1912="GELİR",IF($E1912="SATIŞ İADESİ/İSKONTO",-$O1912,$O1912),-$O1912)))</f>
        <v/>
      </c>
      <c r="AB1912" s="117">
        <f>IF($B1912="","",IF(OR($D1912="",$E1912="",$O1912=""),"EKSİK",IF($O1912&lt;=0,"SIFIR/NEGATİF",IF(COUNTIFS($C$6:$C$5000,$C1912,$O$6:$O$5000,$O1912,$B$6:$B$5000,$B1912)&gt;1,"MÜKERRER","OK"))))</f>
        <v/>
      </c>
    </row>
    <row r="1913" ht="16.5" customHeight="1" s="80">
      <c r="A1913" s="113" t="n"/>
      <c r="B1913" s="113" t="n"/>
      <c r="C1913" s="113" t="n"/>
      <c r="D1913" s="113" t="n"/>
      <c r="E1913" s="113" t="n"/>
      <c r="F1913" s="113" t="n"/>
      <c r="G1913" s="113" t="n"/>
      <c r="H1913" s="113" t="n"/>
      <c r="I1913" s="113" t="n"/>
      <c r="J1913" s="113" t="n"/>
      <c r="K1913" s="113" t="n"/>
      <c r="L1913" s="113" t="n"/>
      <c r="M1913" s="113" t="n"/>
      <c r="N1913" s="113" t="n"/>
      <c r="O1913" s="113" t="n"/>
      <c r="P1913" s="113" t="n"/>
      <c r="Q1913" s="113" t="n"/>
      <c r="R1913" s="113" t="n"/>
      <c r="S1913" s="113" t="n"/>
      <c r="T1913" s="113" t="n"/>
      <c r="U1913" s="113" t="n"/>
      <c r="V1913" s="113" t="n"/>
      <c r="W1913" s="113" t="n"/>
      <c r="X1913" s="113" t="n"/>
      <c r="Y1913" s="113" t="n"/>
      <c r="Z1913" s="117">
        <f>IF($B1913="",0,IF($S1913="EVET",IF($D1913="GELİR",$O1913,-$O1913),0))</f>
        <v/>
      </c>
      <c r="AA1913" s="117">
        <f>IF($B1913="",0,IF(OR($W1913="EVET",$X1913="EVET",$Y1913="EVET"),0,IF($D1913="GELİR",IF($E1913="SATIŞ İADESİ/İSKONTO",-$O1913,$O1913),-$O1913)))</f>
        <v/>
      </c>
      <c r="AB1913" s="117">
        <f>IF($B1913="","",IF(OR($D1913="",$E1913="",$O1913=""),"EKSİK",IF($O1913&lt;=0,"SIFIR/NEGATİF",IF(COUNTIFS($C$6:$C$5000,$C1913,$O$6:$O$5000,$O1913,$B$6:$B$5000,$B1913)&gt;1,"MÜKERRER","OK"))))</f>
        <v/>
      </c>
    </row>
    <row r="1914" ht="16.5" customHeight="1" s="80">
      <c r="A1914" s="113" t="n"/>
      <c r="B1914" s="113" t="n"/>
      <c r="C1914" s="113" t="n"/>
      <c r="D1914" s="113" t="n"/>
      <c r="E1914" s="113" t="n"/>
      <c r="F1914" s="113" t="n"/>
      <c r="G1914" s="113" t="n"/>
      <c r="H1914" s="113" t="n"/>
      <c r="I1914" s="113" t="n"/>
      <c r="J1914" s="113" t="n"/>
      <c r="K1914" s="113" t="n"/>
      <c r="L1914" s="113" t="n"/>
      <c r="M1914" s="113" t="n"/>
      <c r="N1914" s="113" t="n"/>
      <c r="O1914" s="113" t="n"/>
      <c r="P1914" s="113" t="n"/>
      <c r="Q1914" s="113" t="n"/>
      <c r="R1914" s="113" t="n"/>
      <c r="S1914" s="113" t="n"/>
      <c r="T1914" s="113" t="n"/>
      <c r="U1914" s="113" t="n"/>
      <c r="V1914" s="113" t="n"/>
      <c r="W1914" s="113" t="n"/>
      <c r="X1914" s="113" t="n"/>
      <c r="Y1914" s="113" t="n"/>
      <c r="Z1914" s="117">
        <f>IF($B1914="",0,IF($S1914="EVET",IF($D1914="GELİR",$O1914,-$O1914),0))</f>
        <v/>
      </c>
      <c r="AA1914" s="117">
        <f>IF($B1914="",0,IF(OR($W1914="EVET",$X1914="EVET",$Y1914="EVET"),0,IF($D1914="GELİR",IF($E1914="SATIŞ İADESİ/İSKONTO",-$O1914,$O1914),-$O1914)))</f>
        <v/>
      </c>
      <c r="AB1914" s="117">
        <f>IF($B1914="","",IF(OR($D1914="",$E1914="",$O1914=""),"EKSİK",IF($O1914&lt;=0,"SIFIR/NEGATİF",IF(COUNTIFS($C$6:$C$5000,$C1914,$O$6:$O$5000,$O1914,$B$6:$B$5000,$B1914)&gt;1,"MÜKERRER","OK"))))</f>
        <v/>
      </c>
    </row>
    <row r="1915" ht="16.5" customHeight="1" s="80">
      <c r="A1915" s="113" t="n"/>
      <c r="B1915" s="113" t="n"/>
      <c r="C1915" s="113" t="n"/>
      <c r="D1915" s="113" t="n"/>
      <c r="E1915" s="113" t="n"/>
      <c r="F1915" s="113" t="n"/>
      <c r="G1915" s="113" t="n"/>
      <c r="H1915" s="113" t="n"/>
      <c r="I1915" s="113" t="n"/>
      <c r="J1915" s="113" t="n"/>
      <c r="K1915" s="113" t="n"/>
      <c r="L1915" s="113" t="n"/>
      <c r="M1915" s="113" t="n"/>
      <c r="N1915" s="113" t="n"/>
      <c r="O1915" s="113" t="n"/>
      <c r="P1915" s="113" t="n"/>
      <c r="Q1915" s="113" t="n"/>
      <c r="R1915" s="113" t="n"/>
      <c r="S1915" s="113" t="n"/>
      <c r="T1915" s="113" t="n"/>
      <c r="U1915" s="113" t="n"/>
      <c r="V1915" s="113" t="n"/>
      <c r="W1915" s="113" t="n"/>
      <c r="X1915" s="113" t="n"/>
      <c r="Y1915" s="113" t="n"/>
      <c r="Z1915" s="117">
        <f>IF($B1915="",0,IF($S1915="EVET",IF($D1915="GELİR",$O1915,-$O1915),0))</f>
        <v/>
      </c>
      <c r="AA1915" s="117">
        <f>IF($B1915="",0,IF(OR($W1915="EVET",$X1915="EVET",$Y1915="EVET"),0,IF($D1915="GELİR",IF($E1915="SATIŞ İADESİ/İSKONTO",-$O1915,$O1915),-$O1915)))</f>
        <v/>
      </c>
      <c r="AB1915" s="117">
        <f>IF($B1915="","",IF(OR($D1915="",$E1915="",$O1915=""),"EKSİK",IF($O1915&lt;=0,"SIFIR/NEGATİF",IF(COUNTIFS($C$6:$C$5000,$C1915,$O$6:$O$5000,$O1915,$B$6:$B$5000,$B1915)&gt;1,"MÜKERRER","OK"))))</f>
        <v/>
      </c>
    </row>
    <row r="1916" ht="16.5" customHeight="1" s="80">
      <c r="A1916" s="113" t="n"/>
      <c r="B1916" s="113" t="n"/>
      <c r="C1916" s="113" t="n"/>
      <c r="D1916" s="113" t="n"/>
      <c r="E1916" s="113" t="n"/>
      <c r="F1916" s="113" t="n"/>
      <c r="G1916" s="113" t="n"/>
      <c r="H1916" s="113" t="n"/>
      <c r="I1916" s="113" t="n"/>
      <c r="J1916" s="113" t="n"/>
      <c r="K1916" s="113" t="n"/>
      <c r="L1916" s="113" t="n"/>
      <c r="M1916" s="113" t="n"/>
      <c r="N1916" s="113" t="n"/>
      <c r="O1916" s="113" t="n"/>
      <c r="P1916" s="113" t="n"/>
      <c r="Q1916" s="113" t="n"/>
      <c r="R1916" s="113" t="n"/>
      <c r="S1916" s="113" t="n"/>
      <c r="T1916" s="113" t="n"/>
      <c r="U1916" s="113" t="n"/>
      <c r="V1916" s="113" t="n"/>
      <c r="W1916" s="113" t="n"/>
      <c r="X1916" s="113" t="n"/>
      <c r="Y1916" s="113" t="n"/>
      <c r="Z1916" s="117">
        <f>IF($B1916="",0,IF($S1916="EVET",IF($D1916="GELİR",$O1916,-$O1916),0))</f>
        <v/>
      </c>
      <c r="AA1916" s="117">
        <f>IF($B1916="",0,IF(OR($W1916="EVET",$X1916="EVET",$Y1916="EVET"),0,IF($D1916="GELİR",IF($E1916="SATIŞ İADESİ/İSKONTO",-$O1916,$O1916),-$O1916)))</f>
        <v/>
      </c>
      <c r="AB1916" s="117">
        <f>IF($B1916="","",IF(OR($D1916="",$E1916="",$O1916=""),"EKSİK",IF($O1916&lt;=0,"SIFIR/NEGATİF",IF(COUNTIFS($C$6:$C$5000,$C1916,$O$6:$O$5000,$O1916,$B$6:$B$5000,$B1916)&gt;1,"MÜKERRER","OK"))))</f>
        <v/>
      </c>
    </row>
    <row r="1917" ht="16.5" customHeight="1" s="80">
      <c r="A1917" s="113" t="n"/>
      <c r="B1917" s="113" t="n"/>
      <c r="C1917" s="113" t="n"/>
      <c r="D1917" s="113" t="n"/>
      <c r="E1917" s="113" t="n"/>
      <c r="F1917" s="113" t="n"/>
      <c r="G1917" s="113" t="n"/>
      <c r="H1917" s="113" t="n"/>
      <c r="I1917" s="113" t="n"/>
      <c r="J1917" s="113" t="n"/>
      <c r="K1917" s="113" t="n"/>
      <c r="L1917" s="113" t="n"/>
      <c r="M1917" s="113" t="n"/>
      <c r="N1917" s="113" t="n"/>
      <c r="O1917" s="113" t="n"/>
      <c r="P1917" s="113" t="n"/>
      <c r="Q1917" s="113" t="n"/>
      <c r="R1917" s="113" t="n"/>
      <c r="S1917" s="113" t="n"/>
      <c r="T1917" s="113" t="n"/>
      <c r="U1917" s="113" t="n"/>
      <c r="V1917" s="113" t="n"/>
      <c r="W1917" s="113" t="n"/>
      <c r="X1917" s="113" t="n"/>
      <c r="Y1917" s="113" t="n"/>
      <c r="Z1917" s="117">
        <f>IF($B1917="",0,IF($S1917="EVET",IF($D1917="GELİR",$O1917,-$O1917),0))</f>
        <v/>
      </c>
      <c r="AA1917" s="117">
        <f>IF($B1917="",0,IF(OR($W1917="EVET",$X1917="EVET",$Y1917="EVET"),0,IF($D1917="GELİR",IF($E1917="SATIŞ İADESİ/İSKONTO",-$O1917,$O1917),-$O1917)))</f>
        <v/>
      </c>
      <c r="AB1917" s="117">
        <f>IF($B1917="","",IF(OR($D1917="",$E1917="",$O1917=""),"EKSİK",IF($O1917&lt;=0,"SIFIR/NEGATİF",IF(COUNTIFS($C$6:$C$5000,$C1917,$O$6:$O$5000,$O1917,$B$6:$B$5000,$B1917)&gt;1,"MÜKERRER","OK"))))</f>
        <v/>
      </c>
    </row>
    <row r="1918" ht="16.5" customHeight="1" s="80">
      <c r="A1918" s="113" t="n"/>
      <c r="B1918" s="113" t="n"/>
      <c r="C1918" s="113" t="n"/>
      <c r="D1918" s="113" t="n"/>
      <c r="E1918" s="113" t="n"/>
      <c r="F1918" s="113" t="n"/>
      <c r="G1918" s="113" t="n"/>
      <c r="H1918" s="113" t="n"/>
      <c r="I1918" s="113" t="n"/>
      <c r="J1918" s="113" t="n"/>
      <c r="K1918" s="113" t="n"/>
      <c r="L1918" s="113" t="n"/>
      <c r="M1918" s="113" t="n"/>
      <c r="N1918" s="113" t="n"/>
      <c r="O1918" s="113" t="n"/>
      <c r="P1918" s="113" t="n"/>
      <c r="Q1918" s="113" t="n"/>
      <c r="R1918" s="113" t="n"/>
      <c r="S1918" s="113" t="n"/>
      <c r="T1918" s="113" t="n"/>
      <c r="U1918" s="113" t="n"/>
      <c r="V1918" s="113" t="n"/>
      <c r="W1918" s="113" t="n"/>
      <c r="X1918" s="113" t="n"/>
      <c r="Y1918" s="113" t="n"/>
      <c r="Z1918" s="117">
        <f>IF($B1918="",0,IF($S1918="EVET",IF($D1918="GELİR",$O1918,-$O1918),0))</f>
        <v/>
      </c>
      <c r="AA1918" s="117">
        <f>IF($B1918="",0,IF(OR($W1918="EVET",$X1918="EVET",$Y1918="EVET"),0,IF($D1918="GELİR",IF($E1918="SATIŞ İADESİ/İSKONTO",-$O1918,$O1918),-$O1918)))</f>
        <v/>
      </c>
      <c r="AB1918" s="117">
        <f>IF($B1918="","",IF(OR($D1918="",$E1918="",$O1918=""),"EKSİK",IF($O1918&lt;=0,"SIFIR/NEGATİF",IF(COUNTIFS($C$6:$C$5000,$C1918,$O$6:$O$5000,$O1918,$B$6:$B$5000,$B1918)&gt;1,"MÜKERRER","OK"))))</f>
        <v/>
      </c>
    </row>
    <row r="1919" ht="16.5" customHeight="1" s="80">
      <c r="A1919" s="113" t="n"/>
      <c r="B1919" s="113" t="n"/>
      <c r="C1919" s="113" t="n"/>
      <c r="D1919" s="113" t="n"/>
      <c r="E1919" s="113" t="n"/>
      <c r="F1919" s="113" t="n"/>
      <c r="G1919" s="113" t="n"/>
      <c r="H1919" s="113" t="n"/>
      <c r="I1919" s="113" t="n"/>
      <c r="J1919" s="113" t="n"/>
      <c r="K1919" s="113" t="n"/>
      <c r="L1919" s="113" t="n"/>
      <c r="M1919" s="113" t="n"/>
      <c r="N1919" s="113" t="n"/>
      <c r="O1919" s="113" t="n"/>
      <c r="P1919" s="113" t="n"/>
      <c r="Q1919" s="113" t="n"/>
      <c r="R1919" s="113" t="n"/>
      <c r="S1919" s="113" t="n"/>
      <c r="T1919" s="113" t="n"/>
      <c r="U1919" s="113" t="n"/>
      <c r="V1919" s="113" t="n"/>
      <c r="W1919" s="113" t="n"/>
      <c r="X1919" s="113" t="n"/>
      <c r="Y1919" s="113" t="n"/>
      <c r="Z1919" s="117">
        <f>IF($B1919="",0,IF($S1919="EVET",IF($D1919="GELİR",$O1919,-$O1919),0))</f>
        <v/>
      </c>
      <c r="AA1919" s="117">
        <f>IF($B1919="",0,IF(OR($W1919="EVET",$X1919="EVET",$Y1919="EVET"),0,IF($D1919="GELİR",IF($E1919="SATIŞ İADESİ/İSKONTO",-$O1919,$O1919),-$O1919)))</f>
        <v/>
      </c>
      <c r="AB1919" s="117">
        <f>IF($B1919="","",IF(OR($D1919="",$E1919="",$O1919=""),"EKSİK",IF($O1919&lt;=0,"SIFIR/NEGATİF",IF(COUNTIFS($C$6:$C$5000,$C1919,$O$6:$O$5000,$O1919,$B$6:$B$5000,$B1919)&gt;1,"MÜKERRER","OK"))))</f>
        <v/>
      </c>
    </row>
    <row r="1920" ht="16.5" customHeight="1" s="80">
      <c r="A1920" s="113" t="n"/>
      <c r="B1920" s="113" t="n"/>
      <c r="C1920" s="113" t="n"/>
      <c r="D1920" s="113" t="n"/>
      <c r="E1920" s="113" t="n"/>
      <c r="F1920" s="113" t="n"/>
      <c r="G1920" s="113" t="n"/>
      <c r="H1920" s="113" t="n"/>
      <c r="I1920" s="113" t="n"/>
      <c r="J1920" s="113" t="n"/>
      <c r="K1920" s="113" t="n"/>
      <c r="L1920" s="113" t="n"/>
      <c r="M1920" s="113" t="n"/>
      <c r="N1920" s="113" t="n"/>
      <c r="O1920" s="113" t="n"/>
      <c r="P1920" s="113" t="n"/>
      <c r="Q1920" s="113" t="n"/>
      <c r="R1920" s="113" t="n"/>
      <c r="S1920" s="113" t="n"/>
      <c r="T1920" s="113" t="n"/>
      <c r="U1920" s="113" t="n"/>
      <c r="V1920" s="113" t="n"/>
      <c r="W1920" s="113" t="n"/>
      <c r="X1920" s="113" t="n"/>
      <c r="Y1920" s="113" t="n"/>
      <c r="Z1920" s="117">
        <f>IF($B1920="",0,IF($S1920="EVET",IF($D1920="GELİR",$O1920,-$O1920),0))</f>
        <v/>
      </c>
      <c r="AA1920" s="117">
        <f>IF($B1920="",0,IF(OR($W1920="EVET",$X1920="EVET",$Y1920="EVET"),0,IF($D1920="GELİR",IF($E1920="SATIŞ İADESİ/İSKONTO",-$O1920,$O1920),-$O1920)))</f>
        <v/>
      </c>
      <c r="AB1920" s="117">
        <f>IF($B1920="","",IF(OR($D1920="",$E1920="",$O1920=""),"EKSİK",IF($O1920&lt;=0,"SIFIR/NEGATİF",IF(COUNTIFS($C$6:$C$5000,$C1920,$O$6:$O$5000,$O1920,$B$6:$B$5000,$B1920)&gt;1,"MÜKERRER","OK"))))</f>
        <v/>
      </c>
    </row>
    <row r="1921" ht="16.5" customHeight="1" s="80">
      <c r="A1921" s="113" t="n"/>
      <c r="B1921" s="113" t="n"/>
      <c r="C1921" s="113" t="n"/>
      <c r="D1921" s="113" t="n"/>
      <c r="E1921" s="113" t="n"/>
      <c r="F1921" s="113" t="n"/>
      <c r="G1921" s="113" t="n"/>
      <c r="H1921" s="113" t="n"/>
      <c r="I1921" s="113" t="n"/>
      <c r="J1921" s="113" t="n"/>
      <c r="K1921" s="113" t="n"/>
      <c r="L1921" s="113" t="n"/>
      <c r="M1921" s="113" t="n"/>
      <c r="N1921" s="113" t="n"/>
      <c r="O1921" s="113" t="n"/>
      <c r="P1921" s="113" t="n"/>
      <c r="Q1921" s="113" t="n"/>
      <c r="R1921" s="113" t="n"/>
      <c r="S1921" s="113" t="n"/>
      <c r="T1921" s="113" t="n"/>
      <c r="U1921" s="113" t="n"/>
      <c r="V1921" s="113" t="n"/>
      <c r="W1921" s="113" t="n"/>
      <c r="X1921" s="113" t="n"/>
      <c r="Y1921" s="113" t="n"/>
      <c r="Z1921" s="117">
        <f>IF($B1921="",0,IF($S1921="EVET",IF($D1921="GELİR",$O1921,-$O1921),0))</f>
        <v/>
      </c>
      <c r="AA1921" s="117">
        <f>IF($B1921="",0,IF(OR($W1921="EVET",$X1921="EVET",$Y1921="EVET"),0,IF($D1921="GELİR",IF($E1921="SATIŞ İADESİ/İSKONTO",-$O1921,$O1921),-$O1921)))</f>
        <v/>
      </c>
      <c r="AB1921" s="117">
        <f>IF($B1921="","",IF(OR($D1921="",$E1921="",$O1921=""),"EKSİK",IF($O1921&lt;=0,"SIFIR/NEGATİF",IF(COUNTIFS($C$6:$C$5000,$C1921,$O$6:$O$5000,$O1921,$B$6:$B$5000,$B1921)&gt;1,"MÜKERRER","OK"))))</f>
        <v/>
      </c>
    </row>
    <row r="1922" ht="16.5" customHeight="1" s="80">
      <c r="A1922" s="113" t="n"/>
      <c r="B1922" s="113" t="n"/>
      <c r="C1922" s="113" t="n"/>
      <c r="D1922" s="113" t="n"/>
      <c r="E1922" s="113" t="n"/>
      <c r="F1922" s="113" t="n"/>
      <c r="G1922" s="113" t="n"/>
      <c r="H1922" s="113" t="n"/>
      <c r="I1922" s="113" t="n"/>
      <c r="J1922" s="113" t="n"/>
      <c r="K1922" s="113" t="n"/>
      <c r="L1922" s="113" t="n"/>
      <c r="M1922" s="113" t="n"/>
      <c r="N1922" s="113" t="n"/>
      <c r="O1922" s="113" t="n"/>
      <c r="P1922" s="113" t="n"/>
      <c r="Q1922" s="113" t="n"/>
      <c r="R1922" s="113" t="n"/>
      <c r="S1922" s="113" t="n"/>
      <c r="T1922" s="113" t="n"/>
      <c r="U1922" s="113" t="n"/>
      <c r="V1922" s="113" t="n"/>
      <c r="W1922" s="113" t="n"/>
      <c r="X1922" s="113" t="n"/>
      <c r="Y1922" s="113" t="n"/>
      <c r="Z1922" s="117">
        <f>IF($B1922="",0,IF($S1922="EVET",IF($D1922="GELİR",$O1922,-$O1922),0))</f>
        <v/>
      </c>
      <c r="AA1922" s="117">
        <f>IF($B1922="",0,IF(OR($W1922="EVET",$X1922="EVET",$Y1922="EVET"),0,IF($D1922="GELİR",IF($E1922="SATIŞ İADESİ/İSKONTO",-$O1922,$O1922),-$O1922)))</f>
        <v/>
      </c>
      <c r="AB1922" s="117">
        <f>IF($B1922="","",IF(OR($D1922="",$E1922="",$O1922=""),"EKSİK",IF($O1922&lt;=0,"SIFIR/NEGATİF",IF(COUNTIFS($C$6:$C$5000,$C1922,$O$6:$O$5000,$O1922,$B$6:$B$5000,$B1922)&gt;1,"MÜKERRER","OK"))))</f>
        <v/>
      </c>
    </row>
    <row r="1923" ht="16.5" customHeight="1" s="80">
      <c r="A1923" s="113" t="n"/>
      <c r="B1923" s="113" t="n"/>
      <c r="C1923" s="113" t="n"/>
      <c r="D1923" s="113" t="n"/>
      <c r="E1923" s="113" t="n"/>
      <c r="F1923" s="113" t="n"/>
      <c r="G1923" s="113" t="n"/>
      <c r="H1923" s="113" t="n"/>
      <c r="I1923" s="113" t="n"/>
      <c r="J1923" s="113" t="n"/>
      <c r="K1923" s="113" t="n"/>
      <c r="L1923" s="113" t="n"/>
      <c r="M1923" s="113" t="n"/>
      <c r="N1923" s="113" t="n"/>
      <c r="O1923" s="113" t="n"/>
      <c r="P1923" s="113" t="n"/>
      <c r="Q1923" s="113" t="n"/>
      <c r="R1923" s="113" t="n"/>
      <c r="S1923" s="113" t="n"/>
      <c r="T1923" s="113" t="n"/>
      <c r="U1923" s="113" t="n"/>
      <c r="V1923" s="113" t="n"/>
      <c r="W1923" s="113" t="n"/>
      <c r="X1923" s="113" t="n"/>
      <c r="Y1923" s="113" t="n"/>
      <c r="Z1923" s="117">
        <f>IF($B1923="",0,IF($S1923="EVET",IF($D1923="GELİR",$O1923,-$O1923),0))</f>
        <v/>
      </c>
      <c r="AA1923" s="117">
        <f>IF($B1923="",0,IF(OR($W1923="EVET",$X1923="EVET",$Y1923="EVET"),0,IF($D1923="GELİR",IF($E1923="SATIŞ İADESİ/İSKONTO",-$O1923,$O1923),-$O1923)))</f>
        <v/>
      </c>
      <c r="AB1923" s="117">
        <f>IF($B1923="","",IF(OR($D1923="",$E1923="",$O1923=""),"EKSİK",IF($O1923&lt;=0,"SIFIR/NEGATİF",IF(COUNTIFS($C$6:$C$5000,$C1923,$O$6:$O$5000,$O1923,$B$6:$B$5000,$B1923)&gt;1,"MÜKERRER","OK"))))</f>
        <v/>
      </c>
    </row>
    <row r="1924" ht="16.5" customHeight="1" s="80">
      <c r="A1924" s="113" t="n"/>
      <c r="B1924" s="113" t="n"/>
      <c r="C1924" s="113" t="n"/>
      <c r="D1924" s="113" t="n"/>
      <c r="E1924" s="113" t="n"/>
      <c r="F1924" s="113" t="n"/>
      <c r="G1924" s="113" t="n"/>
      <c r="H1924" s="113" t="n"/>
      <c r="I1924" s="113" t="n"/>
      <c r="J1924" s="113" t="n"/>
      <c r="K1924" s="113" t="n"/>
      <c r="L1924" s="113" t="n"/>
      <c r="M1924" s="113" t="n"/>
      <c r="N1924" s="113" t="n"/>
      <c r="O1924" s="113" t="n"/>
      <c r="P1924" s="113" t="n"/>
      <c r="Q1924" s="113" t="n"/>
      <c r="R1924" s="113" t="n"/>
      <c r="S1924" s="113" t="n"/>
      <c r="T1924" s="113" t="n"/>
      <c r="U1924" s="113" t="n"/>
      <c r="V1924" s="113" t="n"/>
      <c r="W1924" s="113" t="n"/>
      <c r="X1924" s="113" t="n"/>
      <c r="Y1924" s="113" t="n"/>
      <c r="Z1924" s="117">
        <f>IF($B1924="",0,IF($S1924="EVET",IF($D1924="GELİR",$O1924,-$O1924),0))</f>
        <v/>
      </c>
      <c r="AA1924" s="117">
        <f>IF($B1924="",0,IF(OR($W1924="EVET",$X1924="EVET",$Y1924="EVET"),0,IF($D1924="GELİR",IF($E1924="SATIŞ İADESİ/İSKONTO",-$O1924,$O1924),-$O1924)))</f>
        <v/>
      </c>
      <c r="AB1924" s="117">
        <f>IF($B1924="","",IF(OR($D1924="",$E1924="",$O1924=""),"EKSİK",IF($O1924&lt;=0,"SIFIR/NEGATİF",IF(COUNTIFS($C$6:$C$5000,$C1924,$O$6:$O$5000,$O1924,$B$6:$B$5000,$B1924)&gt;1,"MÜKERRER","OK"))))</f>
        <v/>
      </c>
    </row>
    <row r="1925" ht="16.5" customHeight="1" s="80">
      <c r="A1925" s="113" t="n"/>
      <c r="B1925" s="113" t="n"/>
      <c r="C1925" s="113" t="n"/>
      <c r="D1925" s="113" t="n"/>
      <c r="E1925" s="113" t="n"/>
      <c r="F1925" s="113" t="n"/>
      <c r="G1925" s="113" t="n"/>
      <c r="H1925" s="113" t="n"/>
      <c r="I1925" s="113" t="n"/>
      <c r="J1925" s="113" t="n"/>
      <c r="K1925" s="113" t="n"/>
      <c r="L1925" s="113" t="n"/>
      <c r="M1925" s="113" t="n"/>
      <c r="N1925" s="113" t="n"/>
      <c r="O1925" s="113" t="n"/>
      <c r="P1925" s="113" t="n"/>
      <c r="Q1925" s="113" t="n"/>
      <c r="R1925" s="113" t="n"/>
      <c r="S1925" s="113" t="n"/>
      <c r="T1925" s="113" t="n"/>
      <c r="U1925" s="113" t="n"/>
      <c r="V1925" s="113" t="n"/>
      <c r="W1925" s="113" t="n"/>
      <c r="X1925" s="113" t="n"/>
      <c r="Y1925" s="113" t="n"/>
      <c r="Z1925" s="117">
        <f>IF($B1925="",0,IF($S1925="EVET",IF($D1925="GELİR",$O1925,-$O1925),0))</f>
        <v/>
      </c>
      <c r="AA1925" s="117">
        <f>IF($B1925="",0,IF(OR($W1925="EVET",$X1925="EVET",$Y1925="EVET"),0,IF($D1925="GELİR",IF($E1925="SATIŞ İADESİ/İSKONTO",-$O1925,$O1925),-$O1925)))</f>
        <v/>
      </c>
      <c r="AB1925" s="117">
        <f>IF($B1925="","",IF(OR($D1925="",$E1925="",$O1925=""),"EKSİK",IF($O1925&lt;=0,"SIFIR/NEGATİF",IF(COUNTIFS($C$6:$C$5000,$C1925,$O$6:$O$5000,$O1925,$B$6:$B$5000,$B1925)&gt;1,"MÜKERRER","OK"))))</f>
        <v/>
      </c>
    </row>
    <row r="1926" ht="16.5" customHeight="1" s="80">
      <c r="A1926" s="113" t="n"/>
      <c r="B1926" s="113" t="n"/>
      <c r="C1926" s="113" t="n"/>
      <c r="D1926" s="113" t="n"/>
      <c r="E1926" s="113" t="n"/>
      <c r="F1926" s="113" t="n"/>
      <c r="G1926" s="113" t="n"/>
      <c r="H1926" s="113" t="n"/>
      <c r="I1926" s="113" t="n"/>
      <c r="J1926" s="113" t="n"/>
      <c r="K1926" s="113" t="n"/>
      <c r="L1926" s="113" t="n"/>
      <c r="M1926" s="113" t="n"/>
      <c r="N1926" s="113" t="n"/>
      <c r="O1926" s="113" t="n"/>
      <c r="P1926" s="113" t="n"/>
      <c r="Q1926" s="113" t="n"/>
      <c r="R1926" s="113" t="n"/>
      <c r="S1926" s="113" t="n"/>
      <c r="T1926" s="113" t="n"/>
      <c r="U1926" s="113" t="n"/>
      <c r="V1926" s="113" t="n"/>
      <c r="W1926" s="113" t="n"/>
      <c r="X1926" s="113" t="n"/>
      <c r="Y1926" s="113" t="n"/>
      <c r="Z1926" s="117">
        <f>IF($B1926="",0,IF($S1926="EVET",IF($D1926="GELİR",$O1926,-$O1926),0))</f>
        <v/>
      </c>
      <c r="AA1926" s="117">
        <f>IF($B1926="",0,IF(OR($W1926="EVET",$X1926="EVET",$Y1926="EVET"),0,IF($D1926="GELİR",IF($E1926="SATIŞ İADESİ/İSKONTO",-$O1926,$O1926),-$O1926)))</f>
        <v/>
      </c>
      <c r="AB1926" s="117">
        <f>IF($B1926="","",IF(OR($D1926="",$E1926="",$O1926=""),"EKSİK",IF($O1926&lt;=0,"SIFIR/NEGATİF",IF(COUNTIFS($C$6:$C$5000,$C1926,$O$6:$O$5000,$O1926,$B$6:$B$5000,$B1926)&gt;1,"MÜKERRER","OK"))))</f>
        <v/>
      </c>
    </row>
    <row r="1927" ht="16.5" customHeight="1" s="80">
      <c r="A1927" s="113" t="n"/>
      <c r="B1927" s="113" t="n"/>
      <c r="C1927" s="113" t="n"/>
      <c r="D1927" s="113" t="n"/>
      <c r="E1927" s="113" t="n"/>
      <c r="F1927" s="113" t="n"/>
      <c r="G1927" s="113" t="n"/>
      <c r="H1927" s="113" t="n"/>
      <c r="I1927" s="113" t="n"/>
      <c r="J1927" s="113" t="n"/>
      <c r="K1927" s="113" t="n"/>
      <c r="L1927" s="113" t="n"/>
      <c r="M1927" s="113" t="n"/>
      <c r="N1927" s="113" t="n"/>
      <c r="O1927" s="113" t="n"/>
      <c r="P1927" s="113" t="n"/>
      <c r="Q1927" s="113" t="n"/>
      <c r="R1927" s="113" t="n"/>
      <c r="S1927" s="113" t="n"/>
      <c r="T1927" s="113" t="n"/>
      <c r="U1927" s="113" t="n"/>
      <c r="V1927" s="113" t="n"/>
      <c r="W1927" s="113" t="n"/>
      <c r="X1927" s="113" t="n"/>
      <c r="Y1927" s="113" t="n"/>
      <c r="Z1927" s="117">
        <f>IF($B1927="",0,IF($S1927="EVET",IF($D1927="GELİR",$O1927,-$O1927),0))</f>
        <v/>
      </c>
      <c r="AA1927" s="117">
        <f>IF($B1927="",0,IF(OR($W1927="EVET",$X1927="EVET",$Y1927="EVET"),0,IF($D1927="GELİR",IF($E1927="SATIŞ İADESİ/İSKONTO",-$O1927,$O1927),-$O1927)))</f>
        <v/>
      </c>
      <c r="AB1927" s="117">
        <f>IF($B1927="","",IF(OR($D1927="",$E1927="",$O1927=""),"EKSİK",IF($O1927&lt;=0,"SIFIR/NEGATİF",IF(COUNTIFS($C$6:$C$5000,$C1927,$O$6:$O$5000,$O1927,$B$6:$B$5000,$B1927)&gt;1,"MÜKERRER","OK"))))</f>
        <v/>
      </c>
    </row>
    <row r="1928" ht="16.5" customHeight="1" s="80">
      <c r="A1928" s="113" t="n"/>
      <c r="B1928" s="113" t="n"/>
      <c r="C1928" s="113" t="n"/>
      <c r="D1928" s="113" t="n"/>
      <c r="E1928" s="113" t="n"/>
      <c r="F1928" s="113" t="n"/>
      <c r="G1928" s="113" t="n"/>
      <c r="H1928" s="113" t="n"/>
      <c r="I1928" s="113" t="n"/>
      <c r="J1928" s="113" t="n"/>
      <c r="K1928" s="113" t="n"/>
      <c r="L1928" s="113" t="n"/>
      <c r="M1928" s="113" t="n"/>
      <c r="N1928" s="113" t="n"/>
      <c r="O1928" s="113" t="n"/>
      <c r="P1928" s="113" t="n"/>
      <c r="Q1928" s="113" t="n"/>
      <c r="R1928" s="113" t="n"/>
      <c r="S1928" s="113" t="n"/>
      <c r="T1928" s="113" t="n"/>
      <c r="U1928" s="113" t="n"/>
      <c r="V1928" s="113" t="n"/>
      <c r="W1928" s="113" t="n"/>
      <c r="X1928" s="113" t="n"/>
      <c r="Y1928" s="113" t="n"/>
      <c r="Z1928" s="117">
        <f>IF($B1928="",0,IF($S1928="EVET",IF($D1928="GELİR",$O1928,-$O1928),0))</f>
        <v/>
      </c>
      <c r="AA1928" s="117">
        <f>IF($B1928="",0,IF(OR($W1928="EVET",$X1928="EVET",$Y1928="EVET"),0,IF($D1928="GELİR",IF($E1928="SATIŞ İADESİ/İSKONTO",-$O1928,$O1928),-$O1928)))</f>
        <v/>
      </c>
      <c r="AB1928" s="117">
        <f>IF($B1928="","",IF(OR($D1928="",$E1928="",$O1928=""),"EKSİK",IF($O1928&lt;=0,"SIFIR/NEGATİF",IF(COUNTIFS($C$6:$C$5000,$C1928,$O$6:$O$5000,$O1928,$B$6:$B$5000,$B1928)&gt;1,"MÜKERRER","OK"))))</f>
        <v/>
      </c>
    </row>
    <row r="1929" ht="16.5" customHeight="1" s="80">
      <c r="A1929" s="113" t="n"/>
      <c r="B1929" s="113" t="n"/>
      <c r="C1929" s="113" t="n"/>
      <c r="D1929" s="113" t="n"/>
      <c r="E1929" s="113" t="n"/>
      <c r="F1929" s="113" t="n"/>
      <c r="G1929" s="113" t="n"/>
      <c r="H1929" s="113" t="n"/>
      <c r="I1929" s="113" t="n"/>
      <c r="J1929" s="113" t="n"/>
      <c r="K1929" s="113" t="n"/>
      <c r="L1929" s="113" t="n"/>
      <c r="M1929" s="113" t="n"/>
      <c r="N1929" s="113" t="n"/>
      <c r="O1929" s="113" t="n"/>
      <c r="P1929" s="113" t="n"/>
      <c r="Q1929" s="113" t="n"/>
      <c r="R1929" s="113" t="n"/>
      <c r="S1929" s="113" t="n"/>
      <c r="T1929" s="113" t="n"/>
      <c r="U1929" s="113" t="n"/>
      <c r="V1929" s="113" t="n"/>
      <c r="W1929" s="113" t="n"/>
      <c r="X1929" s="113" t="n"/>
      <c r="Y1929" s="113" t="n"/>
      <c r="Z1929" s="117">
        <f>IF($B1929="",0,IF($S1929="EVET",IF($D1929="GELİR",$O1929,-$O1929),0))</f>
        <v/>
      </c>
      <c r="AA1929" s="117">
        <f>IF($B1929="",0,IF(OR($W1929="EVET",$X1929="EVET",$Y1929="EVET"),0,IF($D1929="GELİR",IF($E1929="SATIŞ İADESİ/İSKONTO",-$O1929,$O1929),-$O1929)))</f>
        <v/>
      </c>
      <c r="AB1929" s="117">
        <f>IF($B1929="","",IF(OR($D1929="",$E1929="",$O1929=""),"EKSİK",IF($O1929&lt;=0,"SIFIR/NEGATİF",IF(COUNTIFS($C$6:$C$5000,$C1929,$O$6:$O$5000,$O1929,$B$6:$B$5000,$B1929)&gt;1,"MÜKERRER","OK"))))</f>
        <v/>
      </c>
    </row>
    <row r="1930" ht="16.5" customHeight="1" s="80">
      <c r="A1930" s="113" t="n"/>
      <c r="B1930" s="113" t="n"/>
      <c r="C1930" s="113" t="n"/>
      <c r="D1930" s="113" t="n"/>
      <c r="E1930" s="113" t="n"/>
      <c r="F1930" s="113" t="n"/>
      <c r="G1930" s="113" t="n"/>
      <c r="H1930" s="113" t="n"/>
      <c r="I1930" s="113" t="n"/>
      <c r="J1930" s="113" t="n"/>
      <c r="K1930" s="113" t="n"/>
      <c r="L1930" s="113" t="n"/>
      <c r="M1930" s="113" t="n"/>
      <c r="N1930" s="113" t="n"/>
      <c r="O1930" s="113" t="n"/>
      <c r="P1930" s="113" t="n"/>
      <c r="Q1930" s="113" t="n"/>
      <c r="R1930" s="113" t="n"/>
      <c r="S1930" s="113" t="n"/>
      <c r="T1930" s="113" t="n"/>
      <c r="U1930" s="113" t="n"/>
      <c r="V1930" s="113" t="n"/>
      <c r="W1930" s="113" t="n"/>
      <c r="X1930" s="113" t="n"/>
      <c r="Y1930" s="113" t="n"/>
      <c r="Z1930" s="117">
        <f>IF($B1930="",0,IF($S1930="EVET",IF($D1930="GELİR",$O1930,-$O1930),0))</f>
        <v/>
      </c>
      <c r="AA1930" s="117">
        <f>IF($B1930="",0,IF(OR($W1930="EVET",$X1930="EVET",$Y1930="EVET"),0,IF($D1930="GELİR",IF($E1930="SATIŞ İADESİ/İSKONTO",-$O1930,$O1930),-$O1930)))</f>
        <v/>
      </c>
      <c r="AB1930" s="117">
        <f>IF($B1930="","",IF(OR($D1930="",$E1930="",$O1930=""),"EKSİK",IF($O1930&lt;=0,"SIFIR/NEGATİF",IF(COUNTIFS($C$6:$C$5000,$C1930,$O$6:$O$5000,$O1930,$B$6:$B$5000,$B1930)&gt;1,"MÜKERRER","OK"))))</f>
        <v/>
      </c>
    </row>
    <row r="1931" ht="16.5" customHeight="1" s="80">
      <c r="A1931" s="113" t="n"/>
      <c r="B1931" s="113" t="n"/>
      <c r="C1931" s="113" t="n"/>
      <c r="D1931" s="113" t="n"/>
      <c r="E1931" s="113" t="n"/>
      <c r="F1931" s="113" t="n"/>
      <c r="G1931" s="113" t="n"/>
      <c r="H1931" s="113" t="n"/>
      <c r="I1931" s="113" t="n"/>
      <c r="J1931" s="113" t="n"/>
      <c r="K1931" s="113" t="n"/>
      <c r="L1931" s="113" t="n"/>
      <c r="M1931" s="113" t="n"/>
      <c r="N1931" s="113" t="n"/>
      <c r="O1931" s="113" t="n"/>
      <c r="P1931" s="113" t="n"/>
      <c r="Q1931" s="113" t="n"/>
      <c r="R1931" s="113" t="n"/>
      <c r="S1931" s="113" t="n"/>
      <c r="T1931" s="113" t="n"/>
      <c r="U1931" s="113" t="n"/>
      <c r="V1931" s="113" t="n"/>
      <c r="W1931" s="113" t="n"/>
      <c r="X1931" s="113" t="n"/>
      <c r="Y1931" s="113" t="n"/>
      <c r="Z1931" s="117">
        <f>IF($B1931="",0,IF($S1931="EVET",IF($D1931="GELİR",$O1931,-$O1931),0))</f>
        <v/>
      </c>
      <c r="AA1931" s="117">
        <f>IF($B1931="",0,IF(OR($W1931="EVET",$X1931="EVET",$Y1931="EVET"),0,IF($D1931="GELİR",IF($E1931="SATIŞ İADESİ/İSKONTO",-$O1931,$O1931),-$O1931)))</f>
        <v/>
      </c>
      <c r="AB1931" s="117">
        <f>IF($B1931="","",IF(OR($D1931="",$E1931="",$O1931=""),"EKSİK",IF($O1931&lt;=0,"SIFIR/NEGATİF",IF(COUNTIFS($C$6:$C$5000,$C1931,$O$6:$O$5000,$O1931,$B$6:$B$5000,$B1931)&gt;1,"MÜKERRER","OK"))))</f>
        <v/>
      </c>
    </row>
    <row r="1932" ht="16.5" customHeight="1" s="80">
      <c r="A1932" s="113" t="n"/>
      <c r="B1932" s="113" t="n"/>
      <c r="C1932" s="113" t="n"/>
      <c r="D1932" s="113" t="n"/>
      <c r="E1932" s="113" t="n"/>
      <c r="F1932" s="113" t="n"/>
      <c r="G1932" s="113" t="n"/>
      <c r="H1932" s="113" t="n"/>
      <c r="I1932" s="113" t="n"/>
      <c r="J1932" s="113" t="n"/>
      <c r="K1932" s="113" t="n"/>
      <c r="L1932" s="113" t="n"/>
      <c r="M1932" s="113" t="n"/>
      <c r="N1932" s="113" t="n"/>
      <c r="O1932" s="113" t="n"/>
      <c r="P1932" s="113" t="n"/>
      <c r="Q1932" s="113" t="n"/>
      <c r="R1932" s="113" t="n"/>
      <c r="S1932" s="113" t="n"/>
      <c r="T1932" s="113" t="n"/>
      <c r="U1932" s="113" t="n"/>
      <c r="V1932" s="113" t="n"/>
      <c r="W1932" s="113" t="n"/>
      <c r="X1932" s="113" t="n"/>
      <c r="Y1932" s="113" t="n"/>
      <c r="Z1932" s="117">
        <f>IF($B1932="",0,IF($S1932="EVET",IF($D1932="GELİR",$O1932,-$O1932),0))</f>
        <v/>
      </c>
      <c r="AA1932" s="117">
        <f>IF($B1932="",0,IF(OR($W1932="EVET",$X1932="EVET",$Y1932="EVET"),0,IF($D1932="GELİR",IF($E1932="SATIŞ İADESİ/İSKONTO",-$O1932,$O1932),-$O1932)))</f>
        <v/>
      </c>
      <c r="AB1932" s="117">
        <f>IF($B1932="","",IF(OR($D1932="",$E1932="",$O1932=""),"EKSİK",IF($O1932&lt;=0,"SIFIR/NEGATİF",IF(COUNTIFS($C$6:$C$5000,$C1932,$O$6:$O$5000,$O1932,$B$6:$B$5000,$B1932)&gt;1,"MÜKERRER","OK"))))</f>
        <v/>
      </c>
    </row>
    <row r="1933" ht="16.5" customHeight="1" s="80">
      <c r="A1933" s="113" t="n"/>
      <c r="B1933" s="113" t="n"/>
      <c r="C1933" s="113" t="n"/>
      <c r="D1933" s="113" t="n"/>
      <c r="E1933" s="113" t="n"/>
      <c r="F1933" s="113" t="n"/>
      <c r="G1933" s="113" t="n"/>
      <c r="H1933" s="113" t="n"/>
      <c r="I1933" s="113" t="n"/>
      <c r="J1933" s="113" t="n"/>
      <c r="K1933" s="113" t="n"/>
      <c r="L1933" s="113" t="n"/>
      <c r="M1933" s="113" t="n"/>
      <c r="N1933" s="113" t="n"/>
      <c r="O1933" s="113" t="n"/>
      <c r="P1933" s="113" t="n"/>
      <c r="Q1933" s="113" t="n"/>
      <c r="R1933" s="113" t="n"/>
      <c r="S1933" s="113" t="n"/>
      <c r="T1933" s="113" t="n"/>
      <c r="U1933" s="113" t="n"/>
      <c r="V1933" s="113" t="n"/>
      <c r="W1933" s="113" t="n"/>
      <c r="X1933" s="113" t="n"/>
      <c r="Y1933" s="113" t="n"/>
      <c r="Z1933" s="117">
        <f>IF($B1933="",0,IF($S1933="EVET",IF($D1933="GELİR",$O1933,-$O1933),0))</f>
        <v/>
      </c>
      <c r="AA1933" s="117">
        <f>IF($B1933="",0,IF(OR($W1933="EVET",$X1933="EVET",$Y1933="EVET"),0,IF($D1933="GELİR",IF($E1933="SATIŞ İADESİ/İSKONTO",-$O1933,$O1933),-$O1933)))</f>
        <v/>
      </c>
      <c r="AB1933" s="117">
        <f>IF($B1933="","",IF(OR($D1933="",$E1933="",$O1933=""),"EKSİK",IF($O1933&lt;=0,"SIFIR/NEGATİF",IF(COUNTIFS($C$6:$C$5000,$C1933,$O$6:$O$5000,$O1933,$B$6:$B$5000,$B1933)&gt;1,"MÜKERRER","OK"))))</f>
        <v/>
      </c>
    </row>
    <row r="1934" ht="16.5" customHeight="1" s="80">
      <c r="A1934" s="113" t="n"/>
      <c r="B1934" s="113" t="n"/>
      <c r="C1934" s="113" t="n"/>
      <c r="D1934" s="113" t="n"/>
      <c r="E1934" s="113" t="n"/>
      <c r="F1934" s="113" t="n"/>
      <c r="G1934" s="113" t="n"/>
      <c r="H1934" s="113" t="n"/>
      <c r="I1934" s="113" t="n"/>
      <c r="J1934" s="113" t="n"/>
      <c r="K1934" s="113" t="n"/>
      <c r="L1934" s="113" t="n"/>
      <c r="M1934" s="113" t="n"/>
      <c r="N1934" s="113" t="n"/>
      <c r="O1934" s="113" t="n"/>
      <c r="P1934" s="113" t="n"/>
      <c r="Q1934" s="113" t="n"/>
      <c r="R1934" s="113" t="n"/>
      <c r="S1934" s="113" t="n"/>
      <c r="T1934" s="113" t="n"/>
      <c r="U1934" s="113" t="n"/>
      <c r="V1934" s="113" t="n"/>
      <c r="W1934" s="113" t="n"/>
      <c r="X1934" s="113" t="n"/>
      <c r="Y1934" s="113" t="n"/>
      <c r="Z1934" s="117">
        <f>IF($B1934="",0,IF($S1934="EVET",IF($D1934="GELİR",$O1934,-$O1934),0))</f>
        <v/>
      </c>
      <c r="AA1934" s="117">
        <f>IF($B1934="",0,IF(OR($W1934="EVET",$X1934="EVET",$Y1934="EVET"),0,IF($D1934="GELİR",IF($E1934="SATIŞ İADESİ/İSKONTO",-$O1934,$O1934),-$O1934)))</f>
        <v/>
      </c>
      <c r="AB1934" s="117">
        <f>IF($B1934="","",IF(OR($D1934="",$E1934="",$O1934=""),"EKSİK",IF($O1934&lt;=0,"SIFIR/NEGATİF",IF(COUNTIFS($C$6:$C$5000,$C1934,$O$6:$O$5000,$O1934,$B$6:$B$5000,$B1934)&gt;1,"MÜKERRER","OK"))))</f>
        <v/>
      </c>
    </row>
    <row r="1935" ht="16.5" customHeight="1" s="80">
      <c r="A1935" s="113" t="n"/>
      <c r="B1935" s="113" t="n"/>
      <c r="C1935" s="113" t="n"/>
      <c r="D1935" s="113" t="n"/>
      <c r="E1935" s="113" t="n"/>
      <c r="F1935" s="113" t="n"/>
      <c r="G1935" s="113" t="n"/>
      <c r="H1935" s="113" t="n"/>
      <c r="I1935" s="113" t="n"/>
      <c r="J1935" s="113" t="n"/>
      <c r="K1935" s="113" t="n"/>
      <c r="L1935" s="113" t="n"/>
      <c r="M1935" s="113" t="n"/>
      <c r="N1935" s="113" t="n"/>
      <c r="O1935" s="113" t="n"/>
      <c r="P1935" s="113" t="n"/>
      <c r="Q1935" s="113" t="n"/>
      <c r="R1935" s="113" t="n"/>
      <c r="S1935" s="113" t="n"/>
      <c r="T1935" s="113" t="n"/>
      <c r="U1935" s="113" t="n"/>
      <c r="V1935" s="113" t="n"/>
      <c r="W1935" s="113" t="n"/>
      <c r="X1935" s="113" t="n"/>
      <c r="Y1935" s="113" t="n"/>
      <c r="Z1935" s="117">
        <f>IF($B1935="",0,IF($S1935="EVET",IF($D1935="GELİR",$O1935,-$O1935),0))</f>
        <v/>
      </c>
      <c r="AA1935" s="117">
        <f>IF($B1935="",0,IF(OR($W1935="EVET",$X1935="EVET",$Y1935="EVET"),0,IF($D1935="GELİR",IF($E1935="SATIŞ İADESİ/İSKONTO",-$O1935,$O1935),-$O1935)))</f>
        <v/>
      </c>
      <c r="AB1935" s="117">
        <f>IF($B1935="","",IF(OR($D1935="",$E1935="",$O1935=""),"EKSİK",IF($O1935&lt;=0,"SIFIR/NEGATİF",IF(COUNTIFS($C$6:$C$5000,$C1935,$O$6:$O$5000,$O1935,$B$6:$B$5000,$B1935)&gt;1,"MÜKERRER","OK"))))</f>
        <v/>
      </c>
    </row>
    <row r="1936" ht="16.5" customHeight="1" s="80">
      <c r="A1936" s="113" t="n"/>
      <c r="B1936" s="113" t="n"/>
      <c r="C1936" s="113" t="n"/>
      <c r="D1936" s="113" t="n"/>
      <c r="E1936" s="113" t="n"/>
      <c r="F1936" s="113" t="n"/>
      <c r="G1936" s="113" t="n"/>
      <c r="H1936" s="113" t="n"/>
      <c r="I1936" s="113" t="n"/>
      <c r="J1936" s="113" t="n"/>
      <c r="K1936" s="113" t="n"/>
      <c r="L1936" s="113" t="n"/>
      <c r="M1936" s="113" t="n"/>
      <c r="N1936" s="113" t="n"/>
      <c r="O1936" s="113" t="n"/>
      <c r="P1936" s="113" t="n"/>
      <c r="Q1936" s="113" t="n"/>
      <c r="R1936" s="113" t="n"/>
      <c r="S1936" s="113" t="n"/>
      <c r="T1936" s="113" t="n"/>
      <c r="U1936" s="113" t="n"/>
      <c r="V1936" s="113" t="n"/>
      <c r="W1936" s="113" t="n"/>
      <c r="X1936" s="113" t="n"/>
      <c r="Y1936" s="113" t="n"/>
      <c r="Z1936" s="117">
        <f>IF($B1936="",0,IF($S1936="EVET",IF($D1936="GELİR",$O1936,-$O1936),0))</f>
        <v/>
      </c>
      <c r="AA1936" s="117">
        <f>IF($B1936="",0,IF(OR($W1936="EVET",$X1936="EVET",$Y1936="EVET"),0,IF($D1936="GELİR",IF($E1936="SATIŞ İADESİ/İSKONTO",-$O1936,$O1936),-$O1936)))</f>
        <v/>
      </c>
      <c r="AB1936" s="117">
        <f>IF($B1936="","",IF(OR($D1936="",$E1936="",$O1936=""),"EKSİK",IF($O1936&lt;=0,"SIFIR/NEGATİF",IF(COUNTIFS($C$6:$C$5000,$C1936,$O$6:$O$5000,$O1936,$B$6:$B$5000,$B1936)&gt;1,"MÜKERRER","OK"))))</f>
        <v/>
      </c>
    </row>
    <row r="1937" ht="16.5" customHeight="1" s="80">
      <c r="A1937" s="113" t="n"/>
      <c r="B1937" s="113" t="n"/>
      <c r="C1937" s="113" t="n"/>
      <c r="D1937" s="113" t="n"/>
      <c r="E1937" s="113" t="n"/>
      <c r="F1937" s="113" t="n"/>
      <c r="G1937" s="113" t="n"/>
      <c r="H1937" s="113" t="n"/>
      <c r="I1937" s="113" t="n"/>
      <c r="J1937" s="113" t="n"/>
      <c r="K1937" s="113" t="n"/>
      <c r="L1937" s="113" t="n"/>
      <c r="M1937" s="113" t="n"/>
      <c r="N1937" s="113" t="n"/>
      <c r="O1937" s="113" t="n"/>
      <c r="P1937" s="113" t="n"/>
      <c r="Q1937" s="113" t="n"/>
      <c r="R1937" s="113" t="n"/>
      <c r="S1937" s="113" t="n"/>
      <c r="T1937" s="113" t="n"/>
      <c r="U1937" s="113" t="n"/>
      <c r="V1937" s="113" t="n"/>
      <c r="W1937" s="113" t="n"/>
      <c r="X1937" s="113" t="n"/>
      <c r="Y1937" s="113" t="n"/>
      <c r="Z1937" s="117">
        <f>IF($B1937="",0,IF($S1937="EVET",IF($D1937="GELİR",$O1937,-$O1937),0))</f>
        <v/>
      </c>
      <c r="AA1937" s="117">
        <f>IF($B1937="",0,IF(OR($W1937="EVET",$X1937="EVET",$Y1937="EVET"),0,IF($D1937="GELİR",IF($E1937="SATIŞ İADESİ/İSKONTO",-$O1937,$O1937),-$O1937)))</f>
        <v/>
      </c>
      <c r="AB1937" s="117">
        <f>IF($B1937="","",IF(OR($D1937="",$E1937="",$O1937=""),"EKSİK",IF($O1937&lt;=0,"SIFIR/NEGATİF",IF(COUNTIFS($C$6:$C$5000,$C1937,$O$6:$O$5000,$O1937,$B$6:$B$5000,$B1937)&gt;1,"MÜKERRER","OK"))))</f>
        <v/>
      </c>
    </row>
    <row r="1938" ht="16.5" customHeight="1" s="80">
      <c r="A1938" s="113" t="n"/>
      <c r="B1938" s="113" t="n"/>
      <c r="C1938" s="113" t="n"/>
      <c r="D1938" s="113" t="n"/>
      <c r="E1938" s="113" t="n"/>
      <c r="F1938" s="113" t="n"/>
      <c r="G1938" s="113" t="n"/>
      <c r="H1938" s="113" t="n"/>
      <c r="I1938" s="113" t="n"/>
      <c r="J1938" s="113" t="n"/>
      <c r="K1938" s="113" t="n"/>
      <c r="L1938" s="113" t="n"/>
      <c r="M1938" s="113" t="n"/>
      <c r="N1938" s="113" t="n"/>
      <c r="O1938" s="113" t="n"/>
      <c r="P1938" s="113" t="n"/>
      <c r="Q1938" s="113" t="n"/>
      <c r="R1938" s="113" t="n"/>
      <c r="S1938" s="113" t="n"/>
      <c r="T1938" s="113" t="n"/>
      <c r="U1938" s="113" t="n"/>
      <c r="V1938" s="113" t="n"/>
      <c r="W1938" s="113" t="n"/>
      <c r="X1938" s="113" t="n"/>
      <c r="Y1938" s="113" t="n"/>
      <c r="Z1938" s="117">
        <f>IF($B1938="",0,IF($S1938="EVET",IF($D1938="GELİR",$O1938,-$O1938),0))</f>
        <v/>
      </c>
      <c r="AA1938" s="117">
        <f>IF($B1938="",0,IF(OR($W1938="EVET",$X1938="EVET",$Y1938="EVET"),0,IF($D1938="GELİR",IF($E1938="SATIŞ İADESİ/İSKONTO",-$O1938,$O1938),-$O1938)))</f>
        <v/>
      </c>
      <c r="AB1938" s="117">
        <f>IF($B1938="","",IF(OR($D1938="",$E1938="",$O1938=""),"EKSİK",IF($O1938&lt;=0,"SIFIR/NEGATİF",IF(COUNTIFS($C$6:$C$5000,$C1938,$O$6:$O$5000,$O1938,$B$6:$B$5000,$B1938)&gt;1,"MÜKERRER","OK"))))</f>
        <v/>
      </c>
    </row>
    <row r="1939" ht="16.5" customHeight="1" s="80">
      <c r="A1939" s="113" t="n"/>
      <c r="B1939" s="113" t="n"/>
      <c r="C1939" s="113" t="n"/>
      <c r="D1939" s="113" t="n"/>
      <c r="E1939" s="113" t="n"/>
      <c r="F1939" s="113" t="n"/>
      <c r="G1939" s="113" t="n"/>
      <c r="H1939" s="113" t="n"/>
      <c r="I1939" s="113" t="n"/>
      <c r="J1939" s="113" t="n"/>
      <c r="K1939" s="113" t="n"/>
      <c r="L1939" s="113" t="n"/>
      <c r="M1939" s="113" t="n"/>
      <c r="N1939" s="113" t="n"/>
      <c r="O1939" s="113" t="n"/>
      <c r="P1939" s="113" t="n"/>
      <c r="Q1939" s="113" t="n"/>
      <c r="R1939" s="113" t="n"/>
      <c r="S1939" s="113" t="n"/>
      <c r="T1939" s="113" t="n"/>
      <c r="U1939" s="113" t="n"/>
      <c r="V1939" s="113" t="n"/>
      <c r="W1939" s="113" t="n"/>
      <c r="X1939" s="113" t="n"/>
      <c r="Y1939" s="113" t="n"/>
      <c r="Z1939" s="117">
        <f>IF($B1939="",0,IF($S1939="EVET",IF($D1939="GELİR",$O1939,-$O1939),0))</f>
        <v/>
      </c>
      <c r="AA1939" s="117">
        <f>IF($B1939="",0,IF(OR($W1939="EVET",$X1939="EVET",$Y1939="EVET"),0,IF($D1939="GELİR",IF($E1939="SATIŞ İADESİ/İSKONTO",-$O1939,$O1939),-$O1939)))</f>
        <v/>
      </c>
      <c r="AB1939" s="117">
        <f>IF($B1939="","",IF(OR($D1939="",$E1939="",$O1939=""),"EKSİK",IF($O1939&lt;=0,"SIFIR/NEGATİF",IF(COUNTIFS($C$6:$C$5000,$C1939,$O$6:$O$5000,$O1939,$B$6:$B$5000,$B1939)&gt;1,"MÜKERRER","OK"))))</f>
        <v/>
      </c>
    </row>
    <row r="1940" ht="16.5" customHeight="1" s="80">
      <c r="A1940" s="113" t="n"/>
      <c r="B1940" s="113" t="n"/>
      <c r="C1940" s="113" t="n"/>
      <c r="D1940" s="113" t="n"/>
      <c r="E1940" s="113" t="n"/>
      <c r="F1940" s="113" t="n"/>
      <c r="G1940" s="113" t="n"/>
      <c r="H1940" s="113" t="n"/>
      <c r="I1940" s="113" t="n"/>
      <c r="J1940" s="113" t="n"/>
      <c r="K1940" s="113" t="n"/>
      <c r="L1940" s="113" t="n"/>
      <c r="M1940" s="113" t="n"/>
      <c r="N1940" s="113" t="n"/>
      <c r="O1940" s="113" t="n"/>
      <c r="P1940" s="113" t="n"/>
      <c r="Q1940" s="113" t="n"/>
      <c r="R1940" s="113" t="n"/>
      <c r="S1940" s="113" t="n"/>
      <c r="T1940" s="113" t="n"/>
      <c r="U1940" s="113" t="n"/>
      <c r="V1940" s="113" t="n"/>
      <c r="W1940" s="113" t="n"/>
      <c r="X1940" s="113" t="n"/>
      <c r="Y1940" s="113" t="n"/>
      <c r="Z1940" s="117">
        <f>IF($B1940="",0,IF($S1940="EVET",IF($D1940="GELİR",$O1940,-$O1940),0))</f>
        <v/>
      </c>
      <c r="AA1940" s="117">
        <f>IF($B1940="",0,IF(OR($W1940="EVET",$X1940="EVET",$Y1940="EVET"),0,IF($D1940="GELİR",IF($E1940="SATIŞ İADESİ/İSKONTO",-$O1940,$O1940),-$O1940)))</f>
        <v/>
      </c>
      <c r="AB1940" s="117">
        <f>IF($B1940="","",IF(OR($D1940="",$E1940="",$O1940=""),"EKSİK",IF($O1940&lt;=0,"SIFIR/NEGATİF",IF(COUNTIFS($C$6:$C$5000,$C1940,$O$6:$O$5000,$O1940,$B$6:$B$5000,$B1940)&gt;1,"MÜKERRER","OK"))))</f>
        <v/>
      </c>
    </row>
    <row r="1941" ht="16.5" customHeight="1" s="80">
      <c r="A1941" s="113" t="n"/>
      <c r="B1941" s="113" t="n"/>
      <c r="C1941" s="113" t="n"/>
      <c r="D1941" s="113" t="n"/>
      <c r="E1941" s="113" t="n"/>
      <c r="F1941" s="113" t="n"/>
      <c r="G1941" s="113" t="n"/>
      <c r="H1941" s="113" t="n"/>
      <c r="I1941" s="113" t="n"/>
      <c r="J1941" s="113" t="n"/>
      <c r="K1941" s="113" t="n"/>
      <c r="L1941" s="113" t="n"/>
      <c r="M1941" s="113" t="n"/>
      <c r="N1941" s="113" t="n"/>
      <c r="O1941" s="113" t="n"/>
      <c r="P1941" s="113" t="n"/>
      <c r="Q1941" s="113" t="n"/>
      <c r="R1941" s="113" t="n"/>
      <c r="S1941" s="113" t="n"/>
      <c r="T1941" s="113" t="n"/>
      <c r="U1941" s="113" t="n"/>
      <c r="V1941" s="113" t="n"/>
      <c r="W1941" s="113" t="n"/>
      <c r="X1941" s="113" t="n"/>
      <c r="Y1941" s="113" t="n"/>
      <c r="Z1941" s="117">
        <f>IF($B1941="",0,IF($S1941="EVET",IF($D1941="GELİR",$O1941,-$O1941),0))</f>
        <v/>
      </c>
      <c r="AA1941" s="117">
        <f>IF($B1941="",0,IF(OR($W1941="EVET",$X1941="EVET",$Y1941="EVET"),0,IF($D1941="GELİR",IF($E1941="SATIŞ İADESİ/İSKONTO",-$O1941,$O1941),-$O1941)))</f>
        <v/>
      </c>
      <c r="AB1941" s="117">
        <f>IF($B1941="","",IF(OR($D1941="",$E1941="",$O1941=""),"EKSİK",IF($O1941&lt;=0,"SIFIR/NEGATİF",IF(COUNTIFS($C$6:$C$5000,$C1941,$O$6:$O$5000,$O1941,$B$6:$B$5000,$B1941)&gt;1,"MÜKERRER","OK"))))</f>
        <v/>
      </c>
    </row>
    <row r="1942" ht="16.5" customHeight="1" s="80">
      <c r="A1942" s="113" t="n"/>
      <c r="B1942" s="113" t="n"/>
      <c r="C1942" s="113" t="n"/>
      <c r="D1942" s="113" t="n"/>
      <c r="E1942" s="113" t="n"/>
      <c r="F1942" s="113" t="n"/>
      <c r="G1942" s="113" t="n"/>
      <c r="H1942" s="113" t="n"/>
      <c r="I1942" s="113" t="n"/>
      <c r="J1942" s="113" t="n"/>
      <c r="K1942" s="113" t="n"/>
      <c r="L1942" s="113" t="n"/>
      <c r="M1942" s="113" t="n"/>
      <c r="N1942" s="113" t="n"/>
      <c r="O1942" s="113" t="n"/>
      <c r="P1942" s="113" t="n"/>
      <c r="Q1942" s="113" t="n"/>
      <c r="R1942" s="113" t="n"/>
      <c r="S1942" s="113" t="n"/>
      <c r="T1942" s="113" t="n"/>
      <c r="U1942" s="113" t="n"/>
      <c r="V1942" s="113" t="n"/>
      <c r="W1942" s="113" t="n"/>
      <c r="X1942" s="113" t="n"/>
      <c r="Y1942" s="113" t="n"/>
      <c r="Z1942" s="117">
        <f>IF($B1942="",0,IF($S1942="EVET",IF($D1942="GELİR",$O1942,-$O1942),0))</f>
        <v/>
      </c>
      <c r="AA1942" s="117">
        <f>IF($B1942="",0,IF(OR($W1942="EVET",$X1942="EVET",$Y1942="EVET"),0,IF($D1942="GELİR",IF($E1942="SATIŞ İADESİ/İSKONTO",-$O1942,$O1942),-$O1942)))</f>
        <v/>
      </c>
      <c r="AB1942" s="117">
        <f>IF($B1942="","",IF(OR($D1942="",$E1942="",$O1942=""),"EKSİK",IF($O1942&lt;=0,"SIFIR/NEGATİF",IF(COUNTIFS($C$6:$C$5000,$C1942,$O$6:$O$5000,$O1942,$B$6:$B$5000,$B1942)&gt;1,"MÜKERRER","OK"))))</f>
        <v/>
      </c>
    </row>
    <row r="1943" ht="16.5" customHeight="1" s="80">
      <c r="A1943" s="113" t="n"/>
      <c r="B1943" s="113" t="n"/>
      <c r="C1943" s="113" t="n"/>
      <c r="D1943" s="113" t="n"/>
      <c r="E1943" s="113" t="n"/>
      <c r="F1943" s="113" t="n"/>
      <c r="G1943" s="113" t="n"/>
      <c r="H1943" s="113" t="n"/>
      <c r="I1943" s="113" t="n"/>
      <c r="J1943" s="113" t="n"/>
      <c r="K1943" s="113" t="n"/>
      <c r="L1943" s="113" t="n"/>
      <c r="M1943" s="113" t="n"/>
      <c r="N1943" s="113" t="n"/>
      <c r="O1943" s="113" t="n"/>
      <c r="P1943" s="113" t="n"/>
      <c r="Q1943" s="113" t="n"/>
      <c r="R1943" s="113" t="n"/>
      <c r="S1943" s="113" t="n"/>
      <c r="T1943" s="113" t="n"/>
      <c r="U1943" s="113" t="n"/>
      <c r="V1943" s="113" t="n"/>
      <c r="W1943" s="113" t="n"/>
      <c r="X1943" s="113" t="n"/>
      <c r="Y1943" s="113" t="n"/>
      <c r="Z1943" s="117">
        <f>IF($B1943="",0,IF($S1943="EVET",IF($D1943="GELİR",$O1943,-$O1943),0))</f>
        <v/>
      </c>
      <c r="AA1943" s="117">
        <f>IF($B1943="",0,IF(OR($W1943="EVET",$X1943="EVET",$Y1943="EVET"),0,IF($D1943="GELİR",IF($E1943="SATIŞ İADESİ/İSKONTO",-$O1943,$O1943),-$O1943)))</f>
        <v/>
      </c>
      <c r="AB1943" s="117">
        <f>IF($B1943="","",IF(OR($D1943="",$E1943="",$O1943=""),"EKSİK",IF($O1943&lt;=0,"SIFIR/NEGATİF",IF(COUNTIFS($C$6:$C$5000,$C1943,$O$6:$O$5000,$O1943,$B$6:$B$5000,$B1943)&gt;1,"MÜKERRER","OK"))))</f>
        <v/>
      </c>
    </row>
    <row r="1944" ht="16.5" customHeight="1" s="80">
      <c r="A1944" s="113" t="n"/>
      <c r="B1944" s="113" t="n"/>
      <c r="C1944" s="113" t="n"/>
      <c r="D1944" s="113" t="n"/>
      <c r="E1944" s="113" t="n"/>
      <c r="F1944" s="113" t="n"/>
      <c r="G1944" s="113" t="n"/>
      <c r="H1944" s="113" t="n"/>
      <c r="I1944" s="113" t="n"/>
      <c r="J1944" s="113" t="n"/>
      <c r="K1944" s="113" t="n"/>
      <c r="L1944" s="113" t="n"/>
      <c r="M1944" s="113" t="n"/>
      <c r="N1944" s="113" t="n"/>
      <c r="O1944" s="113" t="n"/>
      <c r="P1944" s="113" t="n"/>
      <c r="Q1944" s="113" t="n"/>
      <c r="R1944" s="113" t="n"/>
      <c r="S1944" s="113" t="n"/>
      <c r="T1944" s="113" t="n"/>
      <c r="U1944" s="113" t="n"/>
      <c r="V1944" s="113" t="n"/>
      <c r="W1944" s="113" t="n"/>
      <c r="X1944" s="113" t="n"/>
      <c r="Y1944" s="113" t="n"/>
      <c r="Z1944" s="117">
        <f>IF($B1944="",0,IF($S1944="EVET",IF($D1944="GELİR",$O1944,-$O1944),0))</f>
        <v/>
      </c>
      <c r="AA1944" s="117">
        <f>IF($B1944="",0,IF(OR($W1944="EVET",$X1944="EVET",$Y1944="EVET"),0,IF($D1944="GELİR",IF($E1944="SATIŞ İADESİ/İSKONTO",-$O1944,$O1944),-$O1944)))</f>
        <v/>
      </c>
      <c r="AB1944" s="117">
        <f>IF($B1944="","",IF(OR($D1944="",$E1944="",$O1944=""),"EKSİK",IF($O1944&lt;=0,"SIFIR/NEGATİF",IF(COUNTIFS($C$6:$C$5000,$C1944,$O$6:$O$5000,$O1944,$B$6:$B$5000,$B1944)&gt;1,"MÜKERRER","OK"))))</f>
        <v/>
      </c>
    </row>
    <row r="1945" ht="16.5" customHeight="1" s="80">
      <c r="A1945" s="113" t="n"/>
      <c r="B1945" s="113" t="n"/>
      <c r="C1945" s="113" t="n"/>
      <c r="D1945" s="113" t="n"/>
      <c r="E1945" s="113" t="n"/>
      <c r="F1945" s="113" t="n"/>
      <c r="G1945" s="113" t="n"/>
      <c r="H1945" s="113" t="n"/>
      <c r="I1945" s="113" t="n"/>
      <c r="J1945" s="113" t="n"/>
      <c r="K1945" s="113" t="n"/>
      <c r="L1945" s="113" t="n"/>
      <c r="M1945" s="113" t="n"/>
      <c r="N1945" s="113" t="n"/>
      <c r="O1945" s="113" t="n"/>
      <c r="P1945" s="113" t="n"/>
      <c r="Q1945" s="113" t="n"/>
      <c r="R1945" s="113" t="n"/>
      <c r="S1945" s="113" t="n"/>
      <c r="T1945" s="113" t="n"/>
      <c r="U1945" s="113" t="n"/>
      <c r="V1945" s="113" t="n"/>
      <c r="W1945" s="113" t="n"/>
      <c r="X1945" s="113" t="n"/>
      <c r="Y1945" s="113" t="n"/>
      <c r="Z1945" s="117">
        <f>IF($B1945="",0,IF($S1945="EVET",IF($D1945="GELİR",$O1945,-$O1945),0))</f>
        <v/>
      </c>
      <c r="AA1945" s="117">
        <f>IF($B1945="",0,IF(OR($W1945="EVET",$X1945="EVET",$Y1945="EVET"),0,IF($D1945="GELİR",IF($E1945="SATIŞ İADESİ/İSKONTO",-$O1945,$O1945),-$O1945)))</f>
        <v/>
      </c>
      <c r="AB1945" s="117">
        <f>IF($B1945="","",IF(OR($D1945="",$E1945="",$O1945=""),"EKSİK",IF($O1945&lt;=0,"SIFIR/NEGATİF",IF(COUNTIFS($C$6:$C$5000,$C1945,$O$6:$O$5000,$O1945,$B$6:$B$5000,$B1945)&gt;1,"MÜKERRER","OK"))))</f>
        <v/>
      </c>
    </row>
    <row r="1946" ht="16.5" customHeight="1" s="80">
      <c r="A1946" s="113" t="n"/>
      <c r="B1946" s="113" t="n"/>
      <c r="C1946" s="113" t="n"/>
      <c r="D1946" s="113" t="n"/>
      <c r="E1946" s="113" t="n"/>
      <c r="F1946" s="113" t="n"/>
      <c r="G1946" s="113" t="n"/>
      <c r="H1946" s="113" t="n"/>
      <c r="I1946" s="113" t="n"/>
      <c r="J1946" s="113" t="n"/>
      <c r="K1946" s="113" t="n"/>
      <c r="L1946" s="113" t="n"/>
      <c r="M1946" s="113" t="n"/>
      <c r="N1946" s="113" t="n"/>
      <c r="O1946" s="113" t="n"/>
      <c r="P1946" s="113" t="n"/>
      <c r="Q1946" s="113" t="n"/>
      <c r="R1946" s="113" t="n"/>
      <c r="S1946" s="113" t="n"/>
      <c r="T1946" s="113" t="n"/>
      <c r="U1946" s="113" t="n"/>
      <c r="V1946" s="113" t="n"/>
      <c r="W1946" s="113" t="n"/>
      <c r="X1946" s="113" t="n"/>
      <c r="Y1946" s="113" t="n"/>
      <c r="Z1946" s="117">
        <f>IF($B1946="",0,IF($S1946="EVET",IF($D1946="GELİR",$O1946,-$O1946),0))</f>
        <v/>
      </c>
      <c r="AA1946" s="117">
        <f>IF($B1946="",0,IF(OR($W1946="EVET",$X1946="EVET",$Y1946="EVET"),0,IF($D1946="GELİR",IF($E1946="SATIŞ İADESİ/İSKONTO",-$O1946,$O1946),-$O1946)))</f>
        <v/>
      </c>
      <c r="AB1946" s="117">
        <f>IF($B1946="","",IF(OR($D1946="",$E1946="",$O1946=""),"EKSİK",IF($O1946&lt;=0,"SIFIR/NEGATİF",IF(COUNTIFS($C$6:$C$5000,$C1946,$O$6:$O$5000,$O1946,$B$6:$B$5000,$B1946)&gt;1,"MÜKERRER","OK"))))</f>
        <v/>
      </c>
    </row>
    <row r="1947" ht="16.5" customHeight="1" s="80">
      <c r="A1947" s="113" t="n"/>
      <c r="B1947" s="113" t="n"/>
      <c r="C1947" s="113" t="n"/>
      <c r="D1947" s="113" t="n"/>
      <c r="E1947" s="113" t="n"/>
      <c r="F1947" s="113" t="n"/>
      <c r="G1947" s="113" t="n"/>
      <c r="H1947" s="113" t="n"/>
      <c r="I1947" s="113" t="n"/>
      <c r="J1947" s="113" t="n"/>
      <c r="K1947" s="113" t="n"/>
      <c r="L1947" s="113" t="n"/>
      <c r="M1947" s="113" t="n"/>
      <c r="N1947" s="113" t="n"/>
      <c r="O1947" s="113" t="n"/>
      <c r="P1947" s="113" t="n"/>
      <c r="Q1947" s="113" t="n"/>
      <c r="R1947" s="113" t="n"/>
      <c r="S1947" s="113" t="n"/>
      <c r="T1947" s="113" t="n"/>
      <c r="U1947" s="113" t="n"/>
      <c r="V1947" s="113" t="n"/>
      <c r="W1947" s="113" t="n"/>
      <c r="X1947" s="113" t="n"/>
      <c r="Y1947" s="113" t="n"/>
      <c r="Z1947" s="117">
        <f>IF($B1947="",0,IF($S1947="EVET",IF($D1947="GELİR",$O1947,-$O1947),0))</f>
        <v/>
      </c>
      <c r="AA1947" s="117">
        <f>IF($B1947="",0,IF(OR($W1947="EVET",$X1947="EVET",$Y1947="EVET"),0,IF($D1947="GELİR",IF($E1947="SATIŞ İADESİ/İSKONTO",-$O1947,$O1947),-$O1947)))</f>
        <v/>
      </c>
      <c r="AB1947" s="117">
        <f>IF($B1947="","",IF(OR($D1947="",$E1947="",$O1947=""),"EKSİK",IF($O1947&lt;=0,"SIFIR/NEGATİF",IF(COUNTIFS($C$6:$C$5000,$C1947,$O$6:$O$5000,$O1947,$B$6:$B$5000,$B1947)&gt;1,"MÜKERRER","OK"))))</f>
        <v/>
      </c>
    </row>
    <row r="1948" ht="16.5" customHeight="1" s="80">
      <c r="A1948" s="113" t="n"/>
      <c r="B1948" s="113" t="n"/>
      <c r="C1948" s="113" t="n"/>
      <c r="D1948" s="113" t="n"/>
      <c r="E1948" s="113" t="n"/>
      <c r="F1948" s="113" t="n"/>
      <c r="G1948" s="113" t="n"/>
      <c r="H1948" s="113" t="n"/>
      <c r="I1948" s="113" t="n"/>
      <c r="J1948" s="113" t="n"/>
      <c r="K1948" s="113" t="n"/>
      <c r="L1948" s="113" t="n"/>
      <c r="M1948" s="113" t="n"/>
      <c r="N1948" s="113" t="n"/>
      <c r="O1948" s="113" t="n"/>
      <c r="P1948" s="113" t="n"/>
      <c r="Q1948" s="113" t="n"/>
      <c r="R1948" s="113" t="n"/>
      <c r="S1948" s="113" t="n"/>
      <c r="T1948" s="113" t="n"/>
      <c r="U1948" s="113" t="n"/>
      <c r="V1948" s="113" t="n"/>
      <c r="W1948" s="113" t="n"/>
      <c r="X1948" s="113" t="n"/>
      <c r="Y1948" s="113" t="n"/>
      <c r="Z1948" s="117">
        <f>IF($B1948="",0,IF($S1948="EVET",IF($D1948="GELİR",$O1948,-$O1948),0))</f>
        <v/>
      </c>
      <c r="AA1948" s="117">
        <f>IF($B1948="",0,IF(OR($W1948="EVET",$X1948="EVET",$Y1948="EVET"),0,IF($D1948="GELİR",IF($E1948="SATIŞ İADESİ/İSKONTO",-$O1948,$O1948),-$O1948)))</f>
        <v/>
      </c>
      <c r="AB1948" s="117">
        <f>IF($B1948="","",IF(OR($D1948="",$E1948="",$O1948=""),"EKSİK",IF($O1948&lt;=0,"SIFIR/NEGATİF",IF(COUNTIFS($C$6:$C$5000,$C1948,$O$6:$O$5000,$O1948,$B$6:$B$5000,$B1948)&gt;1,"MÜKERRER","OK"))))</f>
        <v/>
      </c>
    </row>
    <row r="1949" ht="16.5" customHeight="1" s="80">
      <c r="A1949" s="113" t="n"/>
      <c r="B1949" s="113" t="n"/>
      <c r="C1949" s="113" t="n"/>
      <c r="D1949" s="113" t="n"/>
      <c r="E1949" s="113" t="n"/>
      <c r="F1949" s="113" t="n"/>
      <c r="G1949" s="113" t="n"/>
      <c r="H1949" s="113" t="n"/>
      <c r="I1949" s="113" t="n"/>
      <c r="J1949" s="113" t="n"/>
      <c r="K1949" s="113" t="n"/>
      <c r="L1949" s="113" t="n"/>
      <c r="M1949" s="113" t="n"/>
      <c r="N1949" s="113" t="n"/>
      <c r="O1949" s="113" t="n"/>
      <c r="P1949" s="113" t="n"/>
      <c r="Q1949" s="113" t="n"/>
      <c r="R1949" s="113" t="n"/>
      <c r="S1949" s="113" t="n"/>
      <c r="T1949" s="113" t="n"/>
      <c r="U1949" s="113" t="n"/>
      <c r="V1949" s="113" t="n"/>
      <c r="W1949" s="113" t="n"/>
      <c r="X1949" s="113" t="n"/>
      <c r="Y1949" s="113" t="n"/>
      <c r="Z1949" s="117">
        <f>IF($B1949="",0,IF($S1949="EVET",IF($D1949="GELİR",$O1949,-$O1949),0))</f>
        <v/>
      </c>
      <c r="AA1949" s="117">
        <f>IF($B1949="",0,IF(OR($W1949="EVET",$X1949="EVET",$Y1949="EVET"),0,IF($D1949="GELİR",IF($E1949="SATIŞ İADESİ/İSKONTO",-$O1949,$O1949),-$O1949)))</f>
        <v/>
      </c>
      <c r="AB1949" s="117">
        <f>IF($B1949="","",IF(OR($D1949="",$E1949="",$O1949=""),"EKSİK",IF($O1949&lt;=0,"SIFIR/NEGATİF",IF(COUNTIFS($C$6:$C$5000,$C1949,$O$6:$O$5000,$O1949,$B$6:$B$5000,$B1949)&gt;1,"MÜKERRER","OK"))))</f>
        <v/>
      </c>
    </row>
    <row r="1950" ht="16.5" customHeight="1" s="80">
      <c r="A1950" s="113" t="n"/>
      <c r="B1950" s="113" t="n"/>
      <c r="C1950" s="113" t="n"/>
      <c r="D1950" s="113" t="n"/>
      <c r="E1950" s="113" t="n"/>
      <c r="F1950" s="113" t="n"/>
      <c r="G1950" s="113" t="n"/>
      <c r="H1950" s="113" t="n"/>
      <c r="I1950" s="113" t="n"/>
      <c r="J1950" s="113" t="n"/>
      <c r="K1950" s="113" t="n"/>
      <c r="L1950" s="113" t="n"/>
      <c r="M1950" s="113" t="n"/>
      <c r="N1950" s="113" t="n"/>
      <c r="O1950" s="113" t="n"/>
      <c r="P1950" s="113" t="n"/>
      <c r="Q1950" s="113" t="n"/>
      <c r="R1950" s="113" t="n"/>
      <c r="S1950" s="113" t="n"/>
      <c r="T1950" s="113" t="n"/>
      <c r="U1950" s="113" t="n"/>
      <c r="V1950" s="113" t="n"/>
      <c r="W1950" s="113" t="n"/>
      <c r="X1950" s="113" t="n"/>
      <c r="Y1950" s="113" t="n"/>
      <c r="Z1950" s="117">
        <f>IF($B1950="",0,IF($S1950="EVET",IF($D1950="GELİR",$O1950,-$O1950),0))</f>
        <v/>
      </c>
      <c r="AA1950" s="117">
        <f>IF($B1950="",0,IF(OR($W1950="EVET",$X1950="EVET",$Y1950="EVET"),0,IF($D1950="GELİR",IF($E1950="SATIŞ İADESİ/İSKONTO",-$O1950,$O1950),-$O1950)))</f>
        <v/>
      </c>
      <c r="AB1950" s="117">
        <f>IF($B1950="","",IF(OR($D1950="",$E1950="",$O1950=""),"EKSİK",IF($O1950&lt;=0,"SIFIR/NEGATİF",IF(COUNTIFS($C$6:$C$5000,$C1950,$O$6:$O$5000,$O1950,$B$6:$B$5000,$B1950)&gt;1,"MÜKERRER","OK"))))</f>
        <v/>
      </c>
    </row>
    <row r="1951" ht="16.5" customHeight="1" s="80">
      <c r="A1951" s="113" t="n"/>
      <c r="B1951" s="113" t="n"/>
      <c r="C1951" s="113" t="n"/>
      <c r="D1951" s="113" t="n"/>
      <c r="E1951" s="113" t="n"/>
      <c r="F1951" s="113" t="n"/>
      <c r="G1951" s="113" t="n"/>
      <c r="H1951" s="113" t="n"/>
      <c r="I1951" s="113" t="n"/>
      <c r="J1951" s="113" t="n"/>
      <c r="K1951" s="113" t="n"/>
      <c r="L1951" s="113" t="n"/>
      <c r="M1951" s="113" t="n"/>
      <c r="N1951" s="113" t="n"/>
      <c r="O1951" s="113" t="n"/>
      <c r="P1951" s="113" t="n"/>
      <c r="Q1951" s="113" t="n"/>
      <c r="R1951" s="113" t="n"/>
      <c r="S1951" s="113" t="n"/>
      <c r="T1951" s="113" t="n"/>
      <c r="U1951" s="113" t="n"/>
      <c r="V1951" s="113" t="n"/>
      <c r="W1951" s="113" t="n"/>
      <c r="X1951" s="113" t="n"/>
      <c r="Y1951" s="113" t="n"/>
      <c r="Z1951" s="117">
        <f>IF($B1951="",0,IF($S1951="EVET",IF($D1951="GELİR",$O1951,-$O1951),0))</f>
        <v/>
      </c>
      <c r="AA1951" s="117">
        <f>IF($B1951="",0,IF(OR($W1951="EVET",$X1951="EVET",$Y1951="EVET"),0,IF($D1951="GELİR",IF($E1951="SATIŞ İADESİ/İSKONTO",-$O1951,$O1951),-$O1951)))</f>
        <v/>
      </c>
      <c r="AB1951" s="117">
        <f>IF($B1951="","",IF(OR($D1951="",$E1951="",$O1951=""),"EKSİK",IF($O1951&lt;=0,"SIFIR/NEGATİF",IF(COUNTIFS($C$6:$C$5000,$C1951,$O$6:$O$5000,$O1951,$B$6:$B$5000,$B1951)&gt;1,"MÜKERRER","OK"))))</f>
        <v/>
      </c>
    </row>
    <row r="1952" ht="16.5" customHeight="1" s="80">
      <c r="A1952" s="113" t="n"/>
      <c r="B1952" s="113" t="n"/>
      <c r="C1952" s="113" t="n"/>
      <c r="D1952" s="113" t="n"/>
      <c r="E1952" s="113" t="n"/>
      <c r="F1952" s="113" t="n"/>
      <c r="G1952" s="113" t="n"/>
      <c r="H1952" s="113" t="n"/>
      <c r="I1952" s="113" t="n"/>
      <c r="J1952" s="113" t="n"/>
      <c r="K1952" s="113" t="n"/>
      <c r="L1952" s="113" t="n"/>
      <c r="M1952" s="113" t="n"/>
      <c r="N1952" s="113" t="n"/>
      <c r="O1952" s="113" t="n"/>
      <c r="P1952" s="113" t="n"/>
      <c r="Q1952" s="113" t="n"/>
      <c r="R1952" s="113" t="n"/>
      <c r="S1952" s="113" t="n"/>
      <c r="T1952" s="113" t="n"/>
      <c r="U1952" s="113" t="n"/>
      <c r="V1952" s="113" t="n"/>
      <c r="W1952" s="113" t="n"/>
      <c r="X1952" s="113" t="n"/>
      <c r="Y1952" s="113" t="n"/>
      <c r="Z1952" s="117">
        <f>IF($B1952="",0,IF($S1952="EVET",IF($D1952="GELİR",$O1952,-$O1952),0))</f>
        <v/>
      </c>
      <c r="AA1952" s="117">
        <f>IF($B1952="",0,IF(OR($W1952="EVET",$X1952="EVET",$Y1952="EVET"),0,IF($D1952="GELİR",IF($E1952="SATIŞ İADESİ/İSKONTO",-$O1952,$O1952),-$O1952)))</f>
        <v/>
      </c>
      <c r="AB1952" s="117">
        <f>IF($B1952="","",IF(OR($D1952="",$E1952="",$O1952=""),"EKSİK",IF($O1952&lt;=0,"SIFIR/NEGATİF",IF(COUNTIFS($C$6:$C$5000,$C1952,$O$6:$O$5000,$O1952,$B$6:$B$5000,$B1952)&gt;1,"MÜKERRER","OK"))))</f>
        <v/>
      </c>
    </row>
    <row r="1953" ht="16.5" customHeight="1" s="80">
      <c r="A1953" s="113" t="n"/>
      <c r="B1953" s="113" t="n"/>
      <c r="C1953" s="113" t="n"/>
      <c r="D1953" s="113" t="n"/>
      <c r="E1953" s="113" t="n"/>
      <c r="F1953" s="113" t="n"/>
      <c r="G1953" s="113" t="n"/>
      <c r="H1953" s="113" t="n"/>
      <c r="I1953" s="113" t="n"/>
      <c r="J1953" s="113" t="n"/>
      <c r="K1953" s="113" t="n"/>
      <c r="L1953" s="113" t="n"/>
      <c r="M1953" s="113" t="n"/>
      <c r="N1953" s="113" t="n"/>
      <c r="O1953" s="113" t="n"/>
      <c r="P1953" s="113" t="n"/>
      <c r="Q1953" s="113" t="n"/>
      <c r="R1953" s="113" t="n"/>
      <c r="S1953" s="113" t="n"/>
      <c r="T1953" s="113" t="n"/>
      <c r="U1953" s="113" t="n"/>
      <c r="V1953" s="113" t="n"/>
      <c r="W1953" s="113" t="n"/>
      <c r="X1953" s="113" t="n"/>
      <c r="Y1953" s="113" t="n"/>
      <c r="Z1953" s="117">
        <f>IF($B1953="",0,IF($S1953="EVET",IF($D1953="GELİR",$O1953,-$O1953),0))</f>
        <v/>
      </c>
      <c r="AA1953" s="117">
        <f>IF($B1953="",0,IF(OR($W1953="EVET",$X1953="EVET",$Y1953="EVET"),0,IF($D1953="GELİR",IF($E1953="SATIŞ İADESİ/İSKONTO",-$O1953,$O1953),-$O1953)))</f>
        <v/>
      </c>
      <c r="AB1953" s="117">
        <f>IF($B1953="","",IF(OR($D1953="",$E1953="",$O1953=""),"EKSİK",IF($O1953&lt;=0,"SIFIR/NEGATİF",IF(COUNTIFS($C$6:$C$5000,$C1953,$O$6:$O$5000,$O1953,$B$6:$B$5000,$B1953)&gt;1,"MÜKERRER","OK"))))</f>
        <v/>
      </c>
    </row>
    <row r="1954" ht="16.5" customHeight="1" s="80">
      <c r="A1954" s="113" t="n"/>
      <c r="B1954" s="113" t="n"/>
      <c r="C1954" s="113" t="n"/>
      <c r="D1954" s="113" t="n"/>
      <c r="E1954" s="113" t="n"/>
      <c r="F1954" s="113" t="n"/>
      <c r="G1954" s="113" t="n"/>
      <c r="H1954" s="113" t="n"/>
      <c r="I1954" s="113" t="n"/>
      <c r="J1954" s="113" t="n"/>
      <c r="K1954" s="113" t="n"/>
      <c r="L1954" s="113" t="n"/>
      <c r="M1954" s="113" t="n"/>
      <c r="N1954" s="113" t="n"/>
      <c r="O1954" s="113" t="n"/>
      <c r="P1954" s="113" t="n"/>
      <c r="Q1954" s="113" t="n"/>
      <c r="R1954" s="113" t="n"/>
      <c r="S1954" s="113" t="n"/>
      <c r="T1954" s="113" t="n"/>
      <c r="U1954" s="113" t="n"/>
      <c r="V1954" s="113" t="n"/>
      <c r="W1954" s="113" t="n"/>
      <c r="X1954" s="113" t="n"/>
      <c r="Y1954" s="113" t="n"/>
      <c r="Z1954" s="117">
        <f>IF($B1954="",0,IF($S1954="EVET",IF($D1954="GELİR",$O1954,-$O1954),0))</f>
        <v/>
      </c>
      <c r="AA1954" s="117">
        <f>IF($B1954="",0,IF(OR($W1954="EVET",$X1954="EVET",$Y1954="EVET"),0,IF($D1954="GELİR",IF($E1954="SATIŞ İADESİ/İSKONTO",-$O1954,$O1954),-$O1954)))</f>
        <v/>
      </c>
      <c r="AB1954" s="117">
        <f>IF($B1954="","",IF(OR($D1954="",$E1954="",$O1954=""),"EKSİK",IF($O1954&lt;=0,"SIFIR/NEGATİF",IF(COUNTIFS($C$6:$C$5000,$C1954,$O$6:$O$5000,$O1954,$B$6:$B$5000,$B1954)&gt;1,"MÜKERRER","OK"))))</f>
        <v/>
      </c>
    </row>
    <row r="1955" ht="16.5" customHeight="1" s="80">
      <c r="A1955" s="113" t="n"/>
      <c r="B1955" s="113" t="n"/>
      <c r="C1955" s="113" t="n"/>
      <c r="D1955" s="113" t="n"/>
      <c r="E1955" s="113" t="n"/>
      <c r="F1955" s="113" t="n"/>
      <c r="G1955" s="113" t="n"/>
      <c r="H1955" s="113" t="n"/>
      <c r="I1955" s="113" t="n"/>
      <c r="J1955" s="113" t="n"/>
      <c r="K1955" s="113" t="n"/>
      <c r="L1955" s="113" t="n"/>
      <c r="M1955" s="113" t="n"/>
      <c r="N1955" s="113" t="n"/>
      <c r="O1955" s="113" t="n"/>
      <c r="P1955" s="113" t="n"/>
      <c r="Q1955" s="113" t="n"/>
      <c r="R1955" s="113" t="n"/>
      <c r="S1955" s="113" t="n"/>
      <c r="T1955" s="113" t="n"/>
      <c r="U1955" s="113" t="n"/>
      <c r="V1955" s="113" t="n"/>
      <c r="W1955" s="113" t="n"/>
      <c r="X1955" s="113" t="n"/>
      <c r="Y1955" s="113" t="n"/>
      <c r="Z1955" s="117">
        <f>IF($B1955="",0,IF($S1955="EVET",IF($D1955="GELİR",$O1955,-$O1955),0))</f>
        <v/>
      </c>
      <c r="AA1955" s="117">
        <f>IF($B1955="",0,IF(OR($W1955="EVET",$X1955="EVET",$Y1955="EVET"),0,IF($D1955="GELİR",IF($E1955="SATIŞ İADESİ/İSKONTO",-$O1955,$O1955),-$O1955)))</f>
        <v/>
      </c>
      <c r="AB1955" s="117">
        <f>IF($B1955="","",IF(OR($D1955="",$E1955="",$O1955=""),"EKSİK",IF($O1955&lt;=0,"SIFIR/NEGATİF",IF(COUNTIFS($C$6:$C$5000,$C1955,$O$6:$O$5000,$O1955,$B$6:$B$5000,$B1955)&gt;1,"MÜKERRER","OK"))))</f>
        <v/>
      </c>
    </row>
    <row r="1956" ht="16.5" customHeight="1" s="80">
      <c r="A1956" s="113" t="n"/>
      <c r="B1956" s="113" t="n"/>
      <c r="C1956" s="113" t="n"/>
      <c r="D1956" s="113" t="n"/>
      <c r="E1956" s="113" t="n"/>
      <c r="F1956" s="113" t="n"/>
      <c r="G1956" s="113" t="n"/>
      <c r="H1956" s="113" t="n"/>
      <c r="I1956" s="113" t="n"/>
      <c r="J1956" s="113" t="n"/>
      <c r="K1956" s="113" t="n"/>
      <c r="L1956" s="113" t="n"/>
      <c r="M1956" s="113" t="n"/>
      <c r="N1956" s="113" t="n"/>
      <c r="O1956" s="113" t="n"/>
      <c r="P1956" s="113" t="n"/>
      <c r="Q1956" s="113" t="n"/>
      <c r="R1956" s="113" t="n"/>
      <c r="S1956" s="113" t="n"/>
      <c r="T1956" s="113" t="n"/>
      <c r="U1956" s="113" t="n"/>
      <c r="V1956" s="113" t="n"/>
      <c r="W1956" s="113" t="n"/>
      <c r="X1956" s="113" t="n"/>
      <c r="Y1956" s="113" t="n"/>
      <c r="Z1956" s="117">
        <f>IF($B1956="",0,IF($S1956="EVET",IF($D1956="GELİR",$O1956,-$O1956),0))</f>
        <v/>
      </c>
      <c r="AA1956" s="117">
        <f>IF($B1956="",0,IF(OR($W1956="EVET",$X1956="EVET",$Y1956="EVET"),0,IF($D1956="GELİR",IF($E1956="SATIŞ İADESİ/İSKONTO",-$O1956,$O1956),-$O1956)))</f>
        <v/>
      </c>
      <c r="AB1956" s="117">
        <f>IF($B1956="","",IF(OR($D1956="",$E1956="",$O1956=""),"EKSİK",IF($O1956&lt;=0,"SIFIR/NEGATİF",IF(COUNTIFS($C$6:$C$5000,$C1956,$O$6:$O$5000,$O1956,$B$6:$B$5000,$B1956)&gt;1,"MÜKERRER","OK"))))</f>
        <v/>
      </c>
    </row>
    <row r="1957" ht="16.5" customHeight="1" s="80">
      <c r="A1957" s="113" t="n"/>
      <c r="B1957" s="113" t="n"/>
      <c r="C1957" s="113" t="n"/>
      <c r="D1957" s="113" t="n"/>
      <c r="E1957" s="113" t="n"/>
      <c r="F1957" s="113" t="n"/>
      <c r="G1957" s="113" t="n"/>
      <c r="H1957" s="113" t="n"/>
      <c r="I1957" s="113" t="n"/>
      <c r="J1957" s="113" t="n"/>
      <c r="K1957" s="113" t="n"/>
      <c r="L1957" s="113" t="n"/>
      <c r="M1957" s="113" t="n"/>
      <c r="N1957" s="113" t="n"/>
      <c r="O1957" s="113" t="n"/>
      <c r="P1957" s="113" t="n"/>
      <c r="Q1957" s="113" t="n"/>
      <c r="R1957" s="113" t="n"/>
      <c r="S1957" s="113" t="n"/>
      <c r="T1957" s="113" t="n"/>
      <c r="U1957" s="113" t="n"/>
      <c r="V1957" s="113" t="n"/>
      <c r="W1957" s="113" t="n"/>
      <c r="X1957" s="113" t="n"/>
      <c r="Y1957" s="113" t="n"/>
      <c r="Z1957" s="117">
        <f>IF($B1957="",0,IF($S1957="EVET",IF($D1957="GELİR",$O1957,-$O1957),0))</f>
        <v/>
      </c>
      <c r="AA1957" s="117">
        <f>IF($B1957="",0,IF(OR($W1957="EVET",$X1957="EVET",$Y1957="EVET"),0,IF($D1957="GELİR",IF($E1957="SATIŞ İADESİ/İSKONTO",-$O1957,$O1957),-$O1957)))</f>
        <v/>
      </c>
      <c r="AB1957" s="117">
        <f>IF($B1957="","",IF(OR($D1957="",$E1957="",$O1957=""),"EKSİK",IF($O1957&lt;=0,"SIFIR/NEGATİF",IF(COUNTIFS($C$6:$C$5000,$C1957,$O$6:$O$5000,$O1957,$B$6:$B$5000,$B1957)&gt;1,"MÜKERRER","OK"))))</f>
        <v/>
      </c>
    </row>
    <row r="1958" ht="16.5" customHeight="1" s="80">
      <c r="A1958" s="113" t="n"/>
      <c r="B1958" s="113" t="n"/>
      <c r="C1958" s="113" t="n"/>
      <c r="D1958" s="113" t="n"/>
      <c r="E1958" s="113" t="n"/>
      <c r="F1958" s="113" t="n"/>
      <c r="G1958" s="113" t="n"/>
      <c r="H1958" s="113" t="n"/>
      <c r="I1958" s="113" t="n"/>
      <c r="J1958" s="113" t="n"/>
      <c r="K1958" s="113" t="n"/>
      <c r="L1958" s="113" t="n"/>
      <c r="M1958" s="113" t="n"/>
      <c r="N1958" s="113" t="n"/>
      <c r="O1958" s="113" t="n"/>
      <c r="P1958" s="113" t="n"/>
      <c r="Q1958" s="113" t="n"/>
      <c r="R1958" s="113" t="n"/>
      <c r="S1958" s="113" t="n"/>
      <c r="T1958" s="113" t="n"/>
      <c r="U1958" s="113" t="n"/>
      <c r="V1958" s="113" t="n"/>
      <c r="W1958" s="113" t="n"/>
      <c r="X1958" s="113" t="n"/>
      <c r="Y1958" s="113" t="n"/>
      <c r="Z1958" s="117">
        <f>IF($B1958="",0,IF($S1958="EVET",IF($D1958="GELİR",$O1958,-$O1958),0))</f>
        <v/>
      </c>
      <c r="AA1958" s="117">
        <f>IF($B1958="",0,IF(OR($W1958="EVET",$X1958="EVET",$Y1958="EVET"),0,IF($D1958="GELİR",IF($E1958="SATIŞ İADESİ/İSKONTO",-$O1958,$O1958),-$O1958)))</f>
        <v/>
      </c>
      <c r="AB1958" s="117">
        <f>IF($B1958="","",IF(OR($D1958="",$E1958="",$O1958=""),"EKSİK",IF($O1958&lt;=0,"SIFIR/NEGATİF",IF(COUNTIFS($C$6:$C$5000,$C1958,$O$6:$O$5000,$O1958,$B$6:$B$5000,$B1958)&gt;1,"MÜKERRER","OK"))))</f>
        <v/>
      </c>
    </row>
    <row r="1959" ht="16.5" customHeight="1" s="80">
      <c r="A1959" s="113" t="n"/>
      <c r="B1959" s="113" t="n"/>
      <c r="C1959" s="113" t="n"/>
      <c r="D1959" s="113" t="n"/>
      <c r="E1959" s="113" t="n"/>
      <c r="F1959" s="113" t="n"/>
      <c r="G1959" s="113" t="n"/>
      <c r="H1959" s="113" t="n"/>
      <c r="I1959" s="113" t="n"/>
      <c r="J1959" s="113" t="n"/>
      <c r="K1959" s="113" t="n"/>
      <c r="L1959" s="113" t="n"/>
      <c r="M1959" s="113" t="n"/>
      <c r="N1959" s="113" t="n"/>
      <c r="O1959" s="113" t="n"/>
      <c r="P1959" s="113" t="n"/>
      <c r="Q1959" s="113" t="n"/>
      <c r="R1959" s="113" t="n"/>
      <c r="S1959" s="113" t="n"/>
      <c r="T1959" s="113" t="n"/>
      <c r="U1959" s="113" t="n"/>
      <c r="V1959" s="113" t="n"/>
      <c r="W1959" s="113" t="n"/>
      <c r="X1959" s="113" t="n"/>
      <c r="Y1959" s="113" t="n"/>
      <c r="Z1959" s="117">
        <f>IF($B1959="",0,IF($S1959="EVET",IF($D1959="GELİR",$O1959,-$O1959),0))</f>
        <v/>
      </c>
      <c r="AA1959" s="117">
        <f>IF($B1959="",0,IF(OR($W1959="EVET",$X1959="EVET",$Y1959="EVET"),0,IF($D1959="GELİR",IF($E1959="SATIŞ İADESİ/İSKONTO",-$O1959,$O1959),-$O1959)))</f>
        <v/>
      </c>
      <c r="AB1959" s="117">
        <f>IF($B1959="","",IF(OR($D1959="",$E1959="",$O1959=""),"EKSİK",IF($O1959&lt;=0,"SIFIR/NEGATİF",IF(COUNTIFS($C$6:$C$5000,$C1959,$O$6:$O$5000,$O1959,$B$6:$B$5000,$B1959)&gt;1,"MÜKERRER","OK"))))</f>
        <v/>
      </c>
    </row>
    <row r="1960" ht="16.5" customHeight="1" s="80">
      <c r="A1960" s="113" t="n"/>
      <c r="B1960" s="113" t="n"/>
      <c r="C1960" s="113" t="n"/>
      <c r="D1960" s="113" t="n"/>
      <c r="E1960" s="113" t="n"/>
      <c r="F1960" s="113" t="n"/>
      <c r="G1960" s="113" t="n"/>
      <c r="H1960" s="113" t="n"/>
      <c r="I1960" s="113" t="n"/>
      <c r="J1960" s="113" t="n"/>
      <c r="K1960" s="113" t="n"/>
      <c r="L1960" s="113" t="n"/>
      <c r="M1960" s="113" t="n"/>
      <c r="N1960" s="113" t="n"/>
      <c r="O1960" s="113" t="n"/>
      <c r="P1960" s="113" t="n"/>
      <c r="Q1960" s="113" t="n"/>
      <c r="R1960" s="113" t="n"/>
      <c r="S1960" s="113" t="n"/>
      <c r="T1960" s="113" t="n"/>
      <c r="U1960" s="113" t="n"/>
      <c r="V1960" s="113" t="n"/>
      <c r="W1960" s="113" t="n"/>
      <c r="X1960" s="113" t="n"/>
      <c r="Y1960" s="113" t="n"/>
      <c r="Z1960" s="117">
        <f>IF($B1960="",0,IF($S1960="EVET",IF($D1960="GELİR",$O1960,-$O1960),0))</f>
        <v/>
      </c>
      <c r="AA1960" s="117">
        <f>IF($B1960="",0,IF(OR($W1960="EVET",$X1960="EVET",$Y1960="EVET"),0,IF($D1960="GELİR",IF($E1960="SATIŞ İADESİ/İSKONTO",-$O1960,$O1960),-$O1960)))</f>
        <v/>
      </c>
      <c r="AB1960" s="117">
        <f>IF($B1960="","",IF(OR($D1960="",$E1960="",$O1960=""),"EKSİK",IF($O1960&lt;=0,"SIFIR/NEGATİF",IF(COUNTIFS($C$6:$C$5000,$C1960,$O$6:$O$5000,$O1960,$B$6:$B$5000,$B1960)&gt;1,"MÜKERRER","OK"))))</f>
        <v/>
      </c>
    </row>
    <row r="1961" ht="16.5" customHeight="1" s="80">
      <c r="A1961" s="113" t="n"/>
      <c r="B1961" s="113" t="n"/>
      <c r="C1961" s="113" t="n"/>
      <c r="D1961" s="113" t="n"/>
      <c r="E1961" s="113" t="n"/>
      <c r="F1961" s="113" t="n"/>
      <c r="G1961" s="113" t="n"/>
      <c r="H1961" s="113" t="n"/>
      <c r="I1961" s="113" t="n"/>
      <c r="J1961" s="113" t="n"/>
      <c r="K1961" s="113" t="n"/>
      <c r="L1961" s="113" t="n"/>
      <c r="M1961" s="113" t="n"/>
      <c r="N1961" s="113" t="n"/>
      <c r="O1961" s="113" t="n"/>
      <c r="P1961" s="113" t="n"/>
      <c r="Q1961" s="113" t="n"/>
      <c r="R1961" s="113" t="n"/>
      <c r="S1961" s="113" t="n"/>
      <c r="T1961" s="113" t="n"/>
      <c r="U1961" s="113" t="n"/>
      <c r="V1961" s="113" t="n"/>
      <c r="W1961" s="113" t="n"/>
      <c r="X1961" s="113" t="n"/>
      <c r="Y1961" s="113" t="n"/>
      <c r="Z1961" s="117">
        <f>IF($B1961="",0,IF($S1961="EVET",IF($D1961="GELİR",$O1961,-$O1961),0))</f>
        <v/>
      </c>
      <c r="AA1961" s="117">
        <f>IF($B1961="",0,IF(OR($W1961="EVET",$X1961="EVET",$Y1961="EVET"),0,IF($D1961="GELİR",IF($E1961="SATIŞ İADESİ/İSKONTO",-$O1961,$O1961),-$O1961)))</f>
        <v/>
      </c>
      <c r="AB1961" s="117">
        <f>IF($B1961="","",IF(OR($D1961="",$E1961="",$O1961=""),"EKSİK",IF($O1961&lt;=0,"SIFIR/NEGATİF",IF(COUNTIFS($C$6:$C$5000,$C1961,$O$6:$O$5000,$O1961,$B$6:$B$5000,$B1961)&gt;1,"MÜKERRER","OK"))))</f>
        <v/>
      </c>
    </row>
    <row r="1962" ht="16.5" customHeight="1" s="80">
      <c r="A1962" s="113" t="n"/>
      <c r="B1962" s="113" t="n"/>
      <c r="C1962" s="113" t="n"/>
      <c r="D1962" s="113" t="n"/>
      <c r="E1962" s="113" t="n"/>
      <c r="F1962" s="113" t="n"/>
      <c r="G1962" s="113" t="n"/>
      <c r="H1962" s="113" t="n"/>
      <c r="I1962" s="113" t="n"/>
      <c r="J1962" s="113" t="n"/>
      <c r="K1962" s="113" t="n"/>
      <c r="L1962" s="113" t="n"/>
      <c r="M1962" s="113" t="n"/>
      <c r="N1962" s="113" t="n"/>
      <c r="O1962" s="113" t="n"/>
      <c r="P1962" s="113" t="n"/>
      <c r="Q1962" s="113" t="n"/>
      <c r="R1962" s="113" t="n"/>
      <c r="S1962" s="113" t="n"/>
      <c r="T1962" s="113" t="n"/>
      <c r="U1962" s="113" t="n"/>
      <c r="V1962" s="113" t="n"/>
      <c r="W1962" s="113" t="n"/>
      <c r="X1962" s="113" t="n"/>
      <c r="Y1962" s="113" t="n"/>
      <c r="Z1962" s="117">
        <f>IF($B1962="",0,IF($S1962="EVET",IF($D1962="GELİR",$O1962,-$O1962),0))</f>
        <v/>
      </c>
      <c r="AA1962" s="117">
        <f>IF($B1962="",0,IF(OR($W1962="EVET",$X1962="EVET",$Y1962="EVET"),0,IF($D1962="GELİR",IF($E1962="SATIŞ İADESİ/İSKONTO",-$O1962,$O1962),-$O1962)))</f>
        <v/>
      </c>
      <c r="AB1962" s="117">
        <f>IF($B1962="","",IF(OR($D1962="",$E1962="",$O1962=""),"EKSİK",IF($O1962&lt;=0,"SIFIR/NEGATİF",IF(COUNTIFS($C$6:$C$5000,$C1962,$O$6:$O$5000,$O1962,$B$6:$B$5000,$B1962)&gt;1,"MÜKERRER","OK"))))</f>
        <v/>
      </c>
    </row>
    <row r="1963" ht="16.5" customHeight="1" s="80">
      <c r="A1963" s="113" t="n"/>
      <c r="B1963" s="113" t="n"/>
      <c r="C1963" s="113" t="n"/>
      <c r="D1963" s="113" t="n"/>
      <c r="E1963" s="113" t="n"/>
      <c r="F1963" s="113" t="n"/>
      <c r="G1963" s="113" t="n"/>
      <c r="H1963" s="113" t="n"/>
      <c r="I1963" s="113" t="n"/>
      <c r="J1963" s="113" t="n"/>
      <c r="K1963" s="113" t="n"/>
      <c r="L1963" s="113" t="n"/>
      <c r="M1963" s="113" t="n"/>
      <c r="N1963" s="113" t="n"/>
      <c r="O1963" s="113" t="n"/>
      <c r="P1963" s="113" t="n"/>
      <c r="Q1963" s="113" t="n"/>
      <c r="R1963" s="113" t="n"/>
      <c r="S1963" s="113" t="n"/>
      <c r="T1963" s="113" t="n"/>
      <c r="U1963" s="113" t="n"/>
      <c r="V1963" s="113" t="n"/>
      <c r="W1963" s="113" t="n"/>
      <c r="X1963" s="113" t="n"/>
      <c r="Y1963" s="113" t="n"/>
      <c r="Z1963" s="117">
        <f>IF($B1963="",0,IF($S1963="EVET",IF($D1963="GELİR",$O1963,-$O1963),0))</f>
        <v/>
      </c>
      <c r="AA1963" s="117">
        <f>IF($B1963="",0,IF(OR($W1963="EVET",$X1963="EVET",$Y1963="EVET"),0,IF($D1963="GELİR",IF($E1963="SATIŞ İADESİ/İSKONTO",-$O1963,$O1963),-$O1963)))</f>
        <v/>
      </c>
      <c r="AB1963" s="117">
        <f>IF($B1963="","",IF(OR($D1963="",$E1963="",$O1963=""),"EKSİK",IF($O1963&lt;=0,"SIFIR/NEGATİF",IF(COUNTIFS($C$6:$C$5000,$C1963,$O$6:$O$5000,$O1963,$B$6:$B$5000,$B1963)&gt;1,"MÜKERRER","OK"))))</f>
        <v/>
      </c>
    </row>
    <row r="1964" ht="16.5" customHeight="1" s="80">
      <c r="A1964" s="113" t="n"/>
      <c r="B1964" s="113" t="n"/>
      <c r="C1964" s="113" t="n"/>
      <c r="D1964" s="113" t="n"/>
      <c r="E1964" s="113" t="n"/>
      <c r="F1964" s="113" t="n"/>
      <c r="G1964" s="113" t="n"/>
      <c r="H1964" s="113" t="n"/>
      <c r="I1964" s="113" t="n"/>
      <c r="J1964" s="113" t="n"/>
      <c r="K1964" s="113" t="n"/>
      <c r="L1964" s="113" t="n"/>
      <c r="M1964" s="113" t="n"/>
      <c r="N1964" s="113" t="n"/>
      <c r="O1964" s="113" t="n"/>
      <c r="P1964" s="113" t="n"/>
      <c r="Q1964" s="113" t="n"/>
      <c r="R1964" s="113" t="n"/>
      <c r="S1964" s="113" t="n"/>
      <c r="T1964" s="113" t="n"/>
      <c r="U1964" s="113" t="n"/>
      <c r="V1964" s="113" t="n"/>
      <c r="W1964" s="113" t="n"/>
      <c r="X1964" s="113" t="n"/>
      <c r="Y1964" s="113" t="n"/>
      <c r="Z1964" s="117">
        <f>IF($B1964="",0,IF($S1964="EVET",IF($D1964="GELİR",$O1964,-$O1964),0))</f>
        <v/>
      </c>
      <c r="AA1964" s="117">
        <f>IF($B1964="",0,IF(OR($W1964="EVET",$X1964="EVET",$Y1964="EVET"),0,IF($D1964="GELİR",IF($E1964="SATIŞ İADESİ/İSKONTO",-$O1964,$O1964),-$O1964)))</f>
        <v/>
      </c>
      <c r="AB1964" s="117">
        <f>IF($B1964="","",IF(OR($D1964="",$E1964="",$O1964=""),"EKSİK",IF($O1964&lt;=0,"SIFIR/NEGATİF",IF(COUNTIFS($C$6:$C$5000,$C1964,$O$6:$O$5000,$O1964,$B$6:$B$5000,$B1964)&gt;1,"MÜKERRER","OK"))))</f>
        <v/>
      </c>
    </row>
    <row r="1965" ht="16.5" customHeight="1" s="80">
      <c r="A1965" s="113" t="n"/>
      <c r="B1965" s="113" t="n"/>
      <c r="C1965" s="113" t="n"/>
      <c r="D1965" s="113" t="n"/>
      <c r="E1965" s="113" t="n"/>
      <c r="F1965" s="113" t="n"/>
      <c r="G1965" s="113" t="n"/>
      <c r="H1965" s="113" t="n"/>
      <c r="I1965" s="113" t="n"/>
      <c r="J1965" s="113" t="n"/>
      <c r="K1965" s="113" t="n"/>
      <c r="L1965" s="113" t="n"/>
      <c r="M1965" s="113" t="n"/>
      <c r="N1965" s="113" t="n"/>
      <c r="O1965" s="113" t="n"/>
      <c r="P1965" s="113" t="n"/>
      <c r="Q1965" s="113" t="n"/>
      <c r="R1965" s="113" t="n"/>
      <c r="S1965" s="113" t="n"/>
      <c r="T1965" s="113" t="n"/>
      <c r="U1965" s="113" t="n"/>
      <c r="V1965" s="113" t="n"/>
      <c r="W1965" s="113" t="n"/>
      <c r="X1965" s="113" t="n"/>
      <c r="Y1965" s="113" t="n"/>
      <c r="Z1965" s="117">
        <f>IF($B1965="",0,IF($S1965="EVET",IF($D1965="GELİR",$O1965,-$O1965),0))</f>
        <v/>
      </c>
      <c r="AA1965" s="117">
        <f>IF($B1965="",0,IF(OR($W1965="EVET",$X1965="EVET",$Y1965="EVET"),0,IF($D1965="GELİR",IF($E1965="SATIŞ İADESİ/İSKONTO",-$O1965,$O1965),-$O1965)))</f>
        <v/>
      </c>
      <c r="AB1965" s="117">
        <f>IF($B1965="","",IF(OR($D1965="",$E1965="",$O1965=""),"EKSİK",IF($O1965&lt;=0,"SIFIR/NEGATİF",IF(COUNTIFS($C$6:$C$5000,$C1965,$O$6:$O$5000,$O1965,$B$6:$B$5000,$B1965)&gt;1,"MÜKERRER","OK"))))</f>
        <v/>
      </c>
    </row>
    <row r="1966" ht="16.5" customHeight="1" s="80">
      <c r="A1966" s="113" t="n"/>
      <c r="B1966" s="113" t="n"/>
      <c r="C1966" s="113" t="n"/>
      <c r="D1966" s="113" t="n"/>
      <c r="E1966" s="113" t="n"/>
      <c r="F1966" s="113" t="n"/>
      <c r="G1966" s="113" t="n"/>
      <c r="H1966" s="113" t="n"/>
      <c r="I1966" s="113" t="n"/>
      <c r="J1966" s="113" t="n"/>
      <c r="K1966" s="113" t="n"/>
      <c r="L1966" s="113" t="n"/>
      <c r="M1966" s="113" t="n"/>
      <c r="N1966" s="113" t="n"/>
      <c r="O1966" s="113" t="n"/>
      <c r="P1966" s="113" t="n"/>
      <c r="Q1966" s="113" t="n"/>
      <c r="R1966" s="113" t="n"/>
      <c r="S1966" s="113" t="n"/>
      <c r="T1966" s="113" t="n"/>
      <c r="U1966" s="113" t="n"/>
      <c r="V1966" s="113" t="n"/>
      <c r="W1966" s="113" t="n"/>
      <c r="X1966" s="113" t="n"/>
      <c r="Y1966" s="113" t="n"/>
      <c r="Z1966" s="117">
        <f>IF($B1966="",0,IF($S1966="EVET",IF($D1966="GELİR",$O1966,-$O1966),0))</f>
        <v/>
      </c>
      <c r="AA1966" s="117">
        <f>IF($B1966="",0,IF(OR($W1966="EVET",$X1966="EVET",$Y1966="EVET"),0,IF($D1966="GELİR",IF($E1966="SATIŞ İADESİ/İSKONTO",-$O1966,$O1966),-$O1966)))</f>
        <v/>
      </c>
      <c r="AB1966" s="117">
        <f>IF($B1966="","",IF(OR($D1966="",$E1966="",$O1966=""),"EKSİK",IF($O1966&lt;=0,"SIFIR/NEGATİF",IF(COUNTIFS($C$6:$C$5000,$C1966,$O$6:$O$5000,$O1966,$B$6:$B$5000,$B1966)&gt;1,"MÜKERRER","OK"))))</f>
        <v/>
      </c>
    </row>
    <row r="1967" ht="16.5" customHeight="1" s="80">
      <c r="A1967" s="113" t="n"/>
      <c r="B1967" s="113" t="n"/>
      <c r="C1967" s="113" t="n"/>
      <c r="D1967" s="113" t="n"/>
      <c r="E1967" s="113" t="n"/>
      <c r="F1967" s="113" t="n"/>
      <c r="G1967" s="113" t="n"/>
      <c r="H1967" s="113" t="n"/>
      <c r="I1967" s="113" t="n"/>
      <c r="J1967" s="113" t="n"/>
      <c r="K1967" s="113" t="n"/>
      <c r="L1967" s="113" t="n"/>
      <c r="M1967" s="113" t="n"/>
      <c r="N1967" s="113" t="n"/>
      <c r="O1967" s="113" t="n"/>
      <c r="P1967" s="113" t="n"/>
      <c r="Q1967" s="113" t="n"/>
      <c r="R1967" s="113" t="n"/>
      <c r="S1967" s="113" t="n"/>
      <c r="T1967" s="113" t="n"/>
      <c r="U1967" s="113" t="n"/>
      <c r="V1967" s="113" t="n"/>
      <c r="W1967" s="113" t="n"/>
      <c r="X1967" s="113" t="n"/>
      <c r="Y1967" s="113" t="n"/>
      <c r="Z1967" s="117">
        <f>IF($B1967="",0,IF($S1967="EVET",IF($D1967="GELİR",$O1967,-$O1967),0))</f>
        <v/>
      </c>
      <c r="AA1967" s="117">
        <f>IF($B1967="",0,IF(OR($W1967="EVET",$X1967="EVET",$Y1967="EVET"),0,IF($D1967="GELİR",IF($E1967="SATIŞ İADESİ/İSKONTO",-$O1967,$O1967),-$O1967)))</f>
        <v/>
      </c>
      <c r="AB1967" s="117">
        <f>IF($B1967="","",IF(OR($D1967="",$E1967="",$O1967=""),"EKSİK",IF($O1967&lt;=0,"SIFIR/NEGATİF",IF(COUNTIFS($C$6:$C$5000,$C1967,$O$6:$O$5000,$O1967,$B$6:$B$5000,$B1967)&gt;1,"MÜKERRER","OK"))))</f>
        <v/>
      </c>
    </row>
    <row r="1968" ht="16.5" customHeight="1" s="80">
      <c r="A1968" s="113" t="n"/>
      <c r="B1968" s="113" t="n"/>
      <c r="C1968" s="113" t="n"/>
      <c r="D1968" s="113" t="n"/>
      <c r="E1968" s="113" t="n"/>
      <c r="F1968" s="113" t="n"/>
      <c r="G1968" s="113" t="n"/>
      <c r="H1968" s="113" t="n"/>
      <c r="I1968" s="113" t="n"/>
      <c r="J1968" s="113" t="n"/>
      <c r="K1968" s="113" t="n"/>
      <c r="L1968" s="113" t="n"/>
      <c r="M1968" s="113" t="n"/>
      <c r="N1968" s="113" t="n"/>
      <c r="O1968" s="113" t="n"/>
      <c r="P1968" s="113" t="n"/>
      <c r="Q1968" s="113" t="n"/>
      <c r="R1968" s="113" t="n"/>
      <c r="S1968" s="113" t="n"/>
      <c r="T1968" s="113" t="n"/>
      <c r="U1968" s="113" t="n"/>
      <c r="V1968" s="113" t="n"/>
      <c r="W1968" s="113" t="n"/>
      <c r="X1968" s="113" t="n"/>
      <c r="Y1968" s="113" t="n"/>
      <c r="Z1968" s="117">
        <f>IF($B1968="",0,IF($S1968="EVET",IF($D1968="GELİR",$O1968,-$O1968),0))</f>
        <v/>
      </c>
      <c r="AA1968" s="117">
        <f>IF($B1968="",0,IF(OR($W1968="EVET",$X1968="EVET",$Y1968="EVET"),0,IF($D1968="GELİR",IF($E1968="SATIŞ İADESİ/İSKONTO",-$O1968,$O1968),-$O1968)))</f>
        <v/>
      </c>
      <c r="AB1968" s="117">
        <f>IF($B1968="","",IF(OR($D1968="",$E1968="",$O1968=""),"EKSİK",IF($O1968&lt;=0,"SIFIR/NEGATİF",IF(COUNTIFS($C$6:$C$5000,$C1968,$O$6:$O$5000,$O1968,$B$6:$B$5000,$B1968)&gt;1,"MÜKERRER","OK"))))</f>
        <v/>
      </c>
    </row>
    <row r="1969" ht="16.5" customHeight="1" s="80">
      <c r="A1969" s="113" t="n"/>
      <c r="B1969" s="113" t="n"/>
      <c r="C1969" s="113" t="n"/>
      <c r="D1969" s="113" t="n"/>
      <c r="E1969" s="113" t="n"/>
      <c r="F1969" s="113" t="n"/>
      <c r="G1969" s="113" t="n"/>
      <c r="H1969" s="113" t="n"/>
      <c r="I1969" s="113" t="n"/>
      <c r="J1969" s="113" t="n"/>
      <c r="K1969" s="113" t="n"/>
      <c r="L1969" s="113" t="n"/>
      <c r="M1969" s="113" t="n"/>
      <c r="N1969" s="113" t="n"/>
      <c r="O1969" s="113" t="n"/>
      <c r="P1969" s="113" t="n"/>
      <c r="Q1969" s="113" t="n"/>
      <c r="R1969" s="113" t="n"/>
      <c r="S1969" s="113" t="n"/>
      <c r="T1969" s="113" t="n"/>
      <c r="U1969" s="113" t="n"/>
      <c r="V1969" s="113" t="n"/>
      <c r="W1969" s="113" t="n"/>
      <c r="X1969" s="113" t="n"/>
      <c r="Y1969" s="113" t="n"/>
      <c r="Z1969" s="117">
        <f>IF($B1969="",0,IF($S1969="EVET",IF($D1969="GELİR",$O1969,-$O1969),0))</f>
        <v/>
      </c>
      <c r="AA1969" s="117">
        <f>IF($B1969="",0,IF(OR($W1969="EVET",$X1969="EVET",$Y1969="EVET"),0,IF($D1969="GELİR",IF($E1969="SATIŞ İADESİ/İSKONTO",-$O1969,$O1969),-$O1969)))</f>
        <v/>
      </c>
      <c r="AB1969" s="117">
        <f>IF($B1969="","",IF(OR($D1969="",$E1969="",$O1969=""),"EKSİK",IF($O1969&lt;=0,"SIFIR/NEGATİF",IF(COUNTIFS($C$6:$C$5000,$C1969,$O$6:$O$5000,$O1969,$B$6:$B$5000,$B1969)&gt;1,"MÜKERRER","OK"))))</f>
        <v/>
      </c>
    </row>
    <row r="1970" ht="16.5" customHeight="1" s="80">
      <c r="A1970" s="113" t="n"/>
      <c r="B1970" s="113" t="n"/>
      <c r="C1970" s="113" t="n"/>
      <c r="D1970" s="113" t="n"/>
      <c r="E1970" s="113" t="n"/>
      <c r="F1970" s="113" t="n"/>
      <c r="G1970" s="113" t="n"/>
      <c r="H1970" s="113" t="n"/>
      <c r="I1970" s="113" t="n"/>
      <c r="J1970" s="113" t="n"/>
      <c r="K1970" s="113" t="n"/>
      <c r="L1970" s="113" t="n"/>
      <c r="M1970" s="113" t="n"/>
      <c r="N1970" s="113" t="n"/>
      <c r="O1970" s="113" t="n"/>
      <c r="P1970" s="113" t="n"/>
      <c r="Q1970" s="113" t="n"/>
      <c r="R1970" s="113" t="n"/>
      <c r="S1970" s="113" t="n"/>
      <c r="T1970" s="113" t="n"/>
      <c r="U1970" s="113" t="n"/>
      <c r="V1970" s="113" t="n"/>
      <c r="W1970" s="113" t="n"/>
      <c r="X1970" s="113" t="n"/>
      <c r="Y1970" s="113" t="n"/>
      <c r="Z1970" s="117">
        <f>IF($B1970="",0,IF($S1970="EVET",IF($D1970="GELİR",$O1970,-$O1970),0))</f>
        <v/>
      </c>
      <c r="AA1970" s="117">
        <f>IF($B1970="",0,IF(OR($W1970="EVET",$X1970="EVET",$Y1970="EVET"),0,IF($D1970="GELİR",IF($E1970="SATIŞ İADESİ/İSKONTO",-$O1970,$O1970),-$O1970)))</f>
        <v/>
      </c>
      <c r="AB1970" s="117">
        <f>IF($B1970="","",IF(OR($D1970="",$E1970="",$O1970=""),"EKSİK",IF($O1970&lt;=0,"SIFIR/NEGATİF",IF(COUNTIFS($C$6:$C$5000,$C1970,$O$6:$O$5000,$O1970,$B$6:$B$5000,$B1970)&gt;1,"MÜKERRER","OK"))))</f>
        <v/>
      </c>
    </row>
    <row r="1971" ht="16.5" customHeight="1" s="80">
      <c r="A1971" s="113" t="n"/>
      <c r="B1971" s="113" t="n"/>
      <c r="C1971" s="113" t="n"/>
      <c r="D1971" s="113" t="n"/>
      <c r="E1971" s="113" t="n"/>
      <c r="F1971" s="113" t="n"/>
      <c r="G1971" s="113" t="n"/>
      <c r="H1971" s="113" t="n"/>
      <c r="I1971" s="113" t="n"/>
      <c r="J1971" s="113" t="n"/>
      <c r="K1971" s="113" t="n"/>
      <c r="L1971" s="113" t="n"/>
      <c r="M1971" s="113" t="n"/>
      <c r="N1971" s="113" t="n"/>
      <c r="O1971" s="113" t="n"/>
      <c r="P1971" s="113" t="n"/>
      <c r="Q1971" s="113" t="n"/>
      <c r="R1971" s="113" t="n"/>
      <c r="S1971" s="113" t="n"/>
      <c r="T1971" s="113" t="n"/>
      <c r="U1971" s="113" t="n"/>
      <c r="V1971" s="113" t="n"/>
      <c r="W1971" s="113" t="n"/>
      <c r="X1971" s="113" t="n"/>
      <c r="Y1971" s="113" t="n"/>
      <c r="Z1971" s="117">
        <f>IF($B1971="",0,IF($S1971="EVET",IF($D1971="GELİR",$O1971,-$O1971),0))</f>
        <v/>
      </c>
      <c r="AA1971" s="117">
        <f>IF($B1971="",0,IF(OR($W1971="EVET",$X1971="EVET",$Y1971="EVET"),0,IF($D1971="GELİR",IF($E1971="SATIŞ İADESİ/İSKONTO",-$O1971,$O1971),-$O1971)))</f>
        <v/>
      </c>
      <c r="AB1971" s="117">
        <f>IF($B1971="","",IF(OR($D1971="",$E1971="",$O1971=""),"EKSİK",IF($O1971&lt;=0,"SIFIR/NEGATİF",IF(COUNTIFS($C$6:$C$5000,$C1971,$O$6:$O$5000,$O1971,$B$6:$B$5000,$B1971)&gt;1,"MÜKERRER","OK"))))</f>
        <v/>
      </c>
    </row>
    <row r="1972" ht="16.5" customHeight="1" s="80">
      <c r="A1972" s="113" t="n"/>
      <c r="B1972" s="113" t="n"/>
      <c r="C1972" s="113" t="n"/>
      <c r="D1972" s="113" t="n"/>
      <c r="E1972" s="113" t="n"/>
      <c r="F1972" s="113" t="n"/>
      <c r="G1972" s="113" t="n"/>
      <c r="H1972" s="113" t="n"/>
      <c r="I1972" s="113" t="n"/>
      <c r="J1972" s="113" t="n"/>
      <c r="K1972" s="113" t="n"/>
      <c r="L1972" s="113" t="n"/>
      <c r="M1972" s="113" t="n"/>
      <c r="N1972" s="113" t="n"/>
      <c r="O1972" s="113" t="n"/>
      <c r="P1972" s="113" t="n"/>
      <c r="Q1972" s="113" t="n"/>
      <c r="R1972" s="113" t="n"/>
      <c r="S1972" s="113" t="n"/>
      <c r="T1972" s="113" t="n"/>
      <c r="U1972" s="113" t="n"/>
      <c r="V1972" s="113" t="n"/>
      <c r="W1972" s="113" t="n"/>
      <c r="X1972" s="113" t="n"/>
      <c r="Y1972" s="113" t="n"/>
      <c r="Z1972" s="117">
        <f>IF($B1972="",0,IF($S1972="EVET",IF($D1972="GELİR",$O1972,-$O1972),0))</f>
        <v/>
      </c>
      <c r="AA1972" s="117">
        <f>IF($B1972="",0,IF(OR($W1972="EVET",$X1972="EVET",$Y1972="EVET"),0,IF($D1972="GELİR",IF($E1972="SATIŞ İADESİ/İSKONTO",-$O1972,$O1972),-$O1972)))</f>
        <v/>
      </c>
      <c r="AB1972" s="117">
        <f>IF($B1972="","",IF(OR($D1972="",$E1972="",$O1972=""),"EKSİK",IF($O1972&lt;=0,"SIFIR/NEGATİF",IF(COUNTIFS($C$6:$C$5000,$C1972,$O$6:$O$5000,$O1972,$B$6:$B$5000,$B1972)&gt;1,"MÜKERRER","OK"))))</f>
        <v/>
      </c>
    </row>
    <row r="1973" ht="16.5" customHeight="1" s="80">
      <c r="A1973" s="113" t="n"/>
      <c r="B1973" s="113" t="n"/>
      <c r="C1973" s="113" t="n"/>
      <c r="D1973" s="113" t="n"/>
      <c r="E1973" s="113" t="n"/>
      <c r="F1973" s="113" t="n"/>
      <c r="G1973" s="113" t="n"/>
      <c r="H1973" s="113" t="n"/>
      <c r="I1973" s="113" t="n"/>
      <c r="J1973" s="113" t="n"/>
      <c r="K1973" s="113" t="n"/>
      <c r="L1973" s="113" t="n"/>
      <c r="M1973" s="113" t="n"/>
      <c r="N1973" s="113" t="n"/>
      <c r="O1973" s="113" t="n"/>
      <c r="P1973" s="113" t="n"/>
      <c r="Q1973" s="113" t="n"/>
      <c r="R1973" s="113" t="n"/>
      <c r="S1973" s="113" t="n"/>
      <c r="T1973" s="113" t="n"/>
      <c r="U1973" s="113" t="n"/>
      <c r="V1973" s="113" t="n"/>
      <c r="W1973" s="113" t="n"/>
      <c r="X1973" s="113" t="n"/>
      <c r="Y1973" s="113" t="n"/>
      <c r="Z1973" s="117">
        <f>IF($B1973="",0,IF($S1973="EVET",IF($D1973="GELİR",$O1973,-$O1973),0))</f>
        <v/>
      </c>
      <c r="AA1973" s="117">
        <f>IF($B1973="",0,IF(OR($W1973="EVET",$X1973="EVET",$Y1973="EVET"),0,IF($D1973="GELİR",IF($E1973="SATIŞ İADESİ/İSKONTO",-$O1973,$O1973),-$O1973)))</f>
        <v/>
      </c>
      <c r="AB1973" s="117">
        <f>IF($B1973="","",IF(OR($D1973="",$E1973="",$O1973=""),"EKSİK",IF($O1973&lt;=0,"SIFIR/NEGATİF",IF(COUNTIFS($C$6:$C$5000,$C1973,$O$6:$O$5000,$O1973,$B$6:$B$5000,$B1973)&gt;1,"MÜKERRER","OK"))))</f>
        <v/>
      </c>
    </row>
    <row r="1974" ht="16.5" customHeight="1" s="80">
      <c r="A1974" s="113" t="n"/>
      <c r="B1974" s="113" t="n"/>
      <c r="C1974" s="113" t="n"/>
      <c r="D1974" s="113" t="n"/>
      <c r="E1974" s="113" t="n"/>
      <c r="F1974" s="113" t="n"/>
      <c r="G1974" s="113" t="n"/>
      <c r="H1974" s="113" t="n"/>
      <c r="I1974" s="113" t="n"/>
      <c r="J1974" s="113" t="n"/>
      <c r="K1974" s="113" t="n"/>
      <c r="L1974" s="113" t="n"/>
      <c r="M1974" s="113" t="n"/>
      <c r="N1974" s="113" t="n"/>
      <c r="O1974" s="113" t="n"/>
      <c r="P1974" s="113" t="n"/>
      <c r="Q1974" s="113" t="n"/>
      <c r="R1974" s="113" t="n"/>
      <c r="S1974" s="113" t="n"/>
      <c r="T1974" s="113" t="n"/>
      <c r="U1974" s="113" t="n"/>
      <c r="V1974" s="113" t="n"/>
      <c r="W1974" s="113" t="n"/>
      <c r="X1974" s="113" t="n"/>
      <c r="Y1974" s="113" t="n"/>
      <c r="Z1974" s="117">
        <f>IF($B1974="",0,IF($S1974="EVET",IF($D1974="GELİR",$O1974,-$O1974),0))</f>
        <v/>
      </c>
      <c r="AA1974" s="117">
        <f>IF($B1974="",0,IF(OR($W1974="EVET",$X1974="EVET",$Y1974="EVET"),0,IF($D1974="GELİR",IF($E1974="SATIŞ İADESİ/İSKONTO",-$O1974,$O1974),-$O1974)))</f>
        <v/>
      </c>
      <c r="AB1974" s="117">
        <f>IF($B1974="","",IF(OR($D1974="",$E1974="",$O1974=""),"EKSİK",IF($O1974&lt;=0,"SIFIR/NEGATİF",IF(COUNTIFS($C$6:$C$5000,$C1974,$O$6:$O$5000,$O1974,$B$6:$B$5000,$B1974)&gt;1,"MÜKERRER","OK"))))</f>
        <v/>
      </c>
    </row>
    <row r="1975" ht="16.5" customHeight="1" s="80">
      <c r="A1975" s="113" t="n"/>
      <c r="B1975" s="113" t="n"/>
      <c r="C1975" s="113" t="n"/>
      <c r="D1975" s="113" t="n"/>
      <c r="E1975" s="113" t="n"/>
      <c r="F1975" s="113" t="n"/>
      <c r="G1975" s="113" t="n"/>
      <c r="H1975" s="113" t="n"/>
      <c r="I1975" s="113" t="n"/>
      <c r="J1975" s="113" t="n"/>
      <c r="K1975" s="113" t="n"/>
      <c r="L1975" s="113" t="n"/>
      <c r="M1975" s="113" t="n"/>
      <c r="N1975" s="113" t="n"/>
      <c r="O1975" s="113" t="n"/>
      <c r="P1975" s="113" t="n"/>
      <c r="Q1975" s="113" t="n"/>
      <c r="R1975" s="113" t="n"/>
      <c r="S1975" s="113" t="n"/>
      <c r="T1975" s="113" t="n"/>
      <c r="U1975" s="113" t="n"/>
      <c r="V1975" s="113" t="n"/>
      <c r="W1975" s="113" t="n"/>
      <c r="X1975" s="113" t="n"/>
      <c r="Y1975" s="113" t="n"/>
      <c r="Z1975" s="117">
        <f>IF($B1975="",0,IF($S1975="EVET",IF($D1975="GELİR",$O1975,-$O1975),0))</f>
        <v/>
      </c>
      <c r="AA1975" s="117">
        <f>IF($B1975="",0,IF(OR($W1975="EVET",$X1975="EVET",$Y1975="EVET"),0,IF($D1975="GELİR",IF($E1975="SATIŞ İADESİ/İSKONTO",-$O1975,$O1975),-$O1975)))</f>
        <v/>
      </c>
      <c r="AB1975" s="117">
        <f>IF($B1975="","",IF(OR($D1975="",$E1975="",$O1975=""),"EKSİK",IF($O1975&lt;=0,"SIFIR/NEGATİF",IF(COUNTIFS($C$6:$C$5000,$C1975,$O$6:$O$5000,$O1975,$B$6:$B$5000,$B1975)&gt;1,"MÜKERRER","OK"))))</f>
        <v/>
      </c>
    </row>
    <row r="1976" ht="16.5" customHeight="1" s="80">
      <c r="A1976" s="113" t="n"/>
      <c r="B1976" s="113" t="n"/>
      <c r="C1976" s="113" t="n"/>
      <c r="D1976" s="113" t="n"/>
      <c r="E1976" s="113" t="n"/>
      <c r="F1976" s="113" t="n"/>
      <c r="G1976" s="113" t="n"/>
      <c r="H1976" s="113" t="n"/>
      <c r="I1976" s="113" t="n"/>
      <c r="J1976" s="113" t="n"/>
      <c r="K1976" s="113" t="n"/>
      <c r="L1976" s="113" t="n"/>
      <c r="M1976" s="113" t="n"/>
      <c r="N1976" s="113" t="n"/>
      <c r="O1976" s="113" t="n"/>
      <c r="P1976" s="113" t="n"/>
      <c r="Q1976" s="113" t="n"/>
      <c r="R1976" s="113" t="n"/>
      <c r="S1976" s="113" t="n"/>
      <c r="T1976" s="113" t="n"/>
      <c r="U1976" s="113" t="n"/>
      <c r="V1976" s="113" t="n"/>
      <c r="W1976" s="113" t="n"/>
      <c r="X1976" s="113" t="n"/>
      <c r="Y1976" s="113" t="n"/>
      <c r="Z1976" s="117">
        <f>IF($B1976="",0,IF($S1976="EVET",IF($D1976="GELİR",$O1976,-$O1976),0))</f>
        <v/>
      </c>
      <c r="AA1976" s="117">
        <f>IF($B1976="",0,IF(OR($W1976="EVET",$X1976="EVET",$Y1976="EVET"),0,IF($D1976="GELİR",IF($E1976="SATIŞ İADESİ/İSKONTO",-$O1976,$O1976),-$O1976)))</f>
        <v/>
      </c>
      <c r="AB1976" s="117">
        <f>IF($B1976="","",IF(OR($D1976="",$E1976="",$O1976=""),"EKSİK",IF($O1976&lt;=0,"SIFIR/NEGATİF",IF(COUNTIFS($C$6:$C$5000,$C1976,$O$6:$O$5000,$O1976,$B$6:$B$5000,$B1976)&gt;1,"MÜKERRER","OK"))))</f>
        <v/>
      </c>
    </row>
    <row r="1977" ht="16.5" customHeight="1" s="80">
      <c r="A1977" s="113" t="n"/>
      <c r="B1977" s="113" t="n"/>
      <c r="C1977" s="113" t="n"/>
      <c r="D1977" s="113" t="n"/>
      <c r="E1977" s="113" t="n"/>
      <c r="F1977" s="113" t="n"/>
      <c r="G1977" s="113" t="n"/>
      <c r="H1977" s="113" t="n"/>
      <c r="I1977" s="113" t="n"/>
      <c r="J1977" s="113" t="n"/>
      <c r="K1977" s="113" t="n"/>
      <c r="L1977" s="113" t="n"/>
      <c r="M1977" s="113" t="n"/>
      <c r="N1977" s="113" t="n"/>
      <c r="O1977" s="113" t="n"/>
      <c r="P1977" s="113" t="n"/>
      <c r="Q1977" s="113" t="n"/>
      <c r="R1977" s="113" t="n"/>
      <c r="S1977" s="113" t="n"/>
      <c r="T1977" s="113" t="n"/>
      <c r="U1977" s="113" t="n"/>
      <c r="V1977" s="113" t="n"/>
      <c r="W1977" s="113" t="n"/>
      <c r="X1977" s="113" t="n"/>
      <c r="Y1977" s="113" t="n"/>
      <c r="Z1977" s="117">
        <f>IF($B1977="",0,IF($S1977="EVET",IF($D1977="GELİR",$O1977,-$O1977),0))</f>
        <v/>
      </c>
      <c r="AA1977" s="117">
        <f>IF($B1977="",0,IF(OR($W1977="EVET",$X1977="EVET",$Y1977="EVET"),0,IF($D1977="GELİR",IF($E1977="SATIŞ İADESİ/İSKONTO",-$O1977,$O1977),-$O1977)))</f>
        <v/>
      </c>
      <c r="AB1977" s="117">
        <f>IF($B1977="","",IF(OR($D1977="",$E1977="",$O1977=""),"EKSİK",IF($O1977&lt;=0,"SIFIR/NEGATİF",IF(COUNTIFS($C$6:$C$5000,$C1977,$O$6:$O$5000,$O1977,$B$6:$B$5000,$B1977)&gt;1,"MÜKERRER","OK"))))</f>
        <v/>
      </c>
    </row>
    <row r="1978" ht="16.5" customHeight="1" s="80">
      <c r="A1978" s="113" t="n"/>
      <c r="B1978" s="113" t="n"/>
      <c r="C1978" s="113" t="n"/>
      <c r="D1978" s="113" t="n"/>
      <c r="E1978" s="113" t="n"/>
      <c r="F1978" s="113" t="n"/>
      <c r="G1978" s="113" t="n"/>
      <c r="H1978" s="113" t="n"/>
      <c r="I1978" s="113" t="n"/>
      <c r="J1978" s="113" t="n"/>
      <c r="K1978" s="113" t="n"/>
      <c r="L1978" s="113" t="n"/>
      <c r="M1978" s="113" t="n"/>
      <c r="N1978" s="113" t="n"/>
      <c r="O1978" s="113" t="n"/>
      <c r="P1978" s="113" t="n"/>
      <c r="Q1978" s="113" t="n"/>
      <c r="R1978" s="113" t="n"/>
      <c r="S1978" s="113" t="n"/>
      <c r="T1978" s="113" t="n"/>
      <c r="U1978" s="113" t="n"/>
      <c r="V1978" s="113" t="n"/>
      <c r="W1978" s="113" t="n"/>
      <c r="X1978" s="113" t="n"/>
      <c r="Y1978" s="113" t="n"/>
      <c r="Z1978" s="117">
        <f>IF($B1978="",0,IF($S1978="EVET",IF($D1978="GELİR",$O1978,-$O1978),0))</f>
        <v/>
      </c>
      <c r="AA1978" s="117">
        <f>IF($B1978="",0,IF(OR($W1978="EVET",$X1978="EVET",$Y1978="EVET"),0,IF($D1978="GELİR",IF($E1978="SATIŞ İADESİ/İSKONTO",-$O1978,$O1978),-$O1978)))</f>
        <v/>
      </c>
      <c r="AB1978" s="117">
        <f>IF($B1978="","",IF(OR($D1978="",$E1978="",$O1978=""),"EKSİK",IF($O1978&lt;=0,"SIFIR/NEGATİF",IF(COUNTIFS($C$6:$C$5000,$C1978,$O$6:$O$5000,$O1978,$B$6:$B$5000,$B1978)&gt;1,"MÜKERRER","OK"))))</f>
        <v/>
      </c>
    </row>
    <row r="1979" ht="16.5" customHeight="1" s="80">
      <c r="A1979" s="113" t="n"/>
      <c r="B1979" s="113" t="n"/>
      <c r="C1979" s="113" t="n"/>
      <c r="D1979" s="113" t="n"/>
      <c r="E1979" s="113" t="n"/>
      <c r="F1979" s="113" t="n"/>
      <c r="G1979" s="113" t="n"/>
      <c r="H1979" s="113" t="n"/>
      <c r="I1979" s="113" t="n"/>
      <c r="J1979" s="113" t="n"/>
      <c r="K1979" s="113" t="n"/>
      <c r="L1979" s="113" t="n"/>
      <c r="M1979" s="113" t="n"/>
      <c r="N1979" s="113" t="n"/>
      <c r="O1979" s="113" t="n"/>
      <c r="P1979" s="113" t="n"/>
      <c r="Q1979" s="113" t="n"/>
      <c r="R1979" s="113" t="n"/>
      <c r="S1979" s="113" t="n"/>
      <c r="T1979" s="113" t="n"/>
      <c r="U1979" s="113" t="n"/>
      <c r="V1979" s="113" t="n"/>
      <c r="W1979" s="113" t="n"/>
      <c r="X1979" s="113" t="n"/>
      <c r="Y1979" s="113" t="n"/>
      <c r="Z1979" s="117">
        <f>IF($B1979="",0,IF($S1979="EVET",IF($D1979="GELİR",$O1979,-$O1979),0))</f>
        <v/>
      </c>
      <c r="AA1979" s="117">
        <f>IF($B1979="",0,IF(OR($W1979="EVET",$X1979="EVET",$Y1979="EVET"),0,IF($D1979="GELİR",IF($E1979="SATIŞ İADESİ/İSKONTO",-$O1979,$O1979),-$O1979)))</f>
        <v/>
      </c>
      <c r="AB1979" s="117">
        <f>IF($B1979="","",IF(OR($D1979="",$E1979="",$O1979=""),"EKSİK",IF($O1979&lt;=0,"SIFIR/NEGATİF",IF(COUNTIFS($C$6:$C$5000,$C1979,$O$6:$O$5000,$O1979,$B$6:$B$5000,$B1979)&gt;1,"MÜKERRER","OK"))))</f>
        <v/>
      </c>
    </row>
    <row r="1980" ht="16.5" customHeight="1" s="80">
      <c r="A1980" s="113" t="n"/>
      <c r="B1980" s="113" t="n"/>
      <c r="C1980" s="113" t="n"/>
      <c r="D1980" s="113" t="n"/>
      <c r="E1980" s="113" t="n"/>
      <c r="F1980" s="113" t="n"/>
      <c r="G1980" s="113" t="n"/>
      <c r="H1980" s="113" t="n"/>
      <c r="I1980" s="113" t="n"/>
      <c r="J1980" s="113" t="n"/>
      <c r="K1980" s="113" t="n"/>
      <c r="L1980" s="113" t="n"/>
      <c r="M1980" s="113" t="n"/>
      <c r="N1980" s="113" t="n"/>
      <c r="O1980" s="113" t="n"/>
      <c r="P1980" s="113" t="n"/>
      <c r="Q1980" s="113" t="n"/>
      <c r="R1980" s="113" t="n"/>
      <c r="S1980" s="113" t="n"/>
      <c r="T1980" s="113" t="n"/>
      <c r="U1980" s="113" t="n"/>
      <c r="V1980" s="113" t="n"/>
      <c r="W1980" s="113" t="n"/>
      <c r="X1980" s="113" t="n"/>
      <c r="Y1980" s="113" t="n"/>
      <c r="Z1980" s="117">
        <f>IF($B1980="",0,IF($S1980="EVET",IF($D1980="GELİR",$O1980,-$O1980),0))</f>
        <v/>
      </c>
      <c r="AA1980" s="117">
        <f>IF($B1980="",0,IF(OR($W1980="EVET",$X1980="EVET",$Y1980="EVET"),0,IF($D1980="GELİR",IF($E1980="SATIŞ İADESİ/İSKONTO",-$O1980,$O1980),-$O1980)))</f>
        <v/>
      </c>
      <c r="AB1980" s="117">
        <f>IF($B1980="","",IF(OR($D1980="",$E1980="",$O1980=""),"EKSİK",IF($O1980&lt;=0,"SIFIR/NEGATİF",IF(COUNTIFS($C$6:$C$5000,$C1980,$O$6:$O$5000,$O1980,$B$6:$B$5000,$B1980)&gt;1,"MÜKERRER","OK"))))</f>
        <v/>
      </c>
    </row>
    <row r="1981" ht="16.5" customHeight="1" s="80">
      <c r="A1981" s="113" t="n"/>
      <c r="B1981" s="113" t="n"/>
      <c r="C1981" s="113" t="n"/>
      <c r="D1981" s="113" t="n"/>
      <c r="E1981" s="113" t="n"/>
      <c r="F1981" s="113" t="n"/>
      <c r="G1981" s="113" t="n"/>
      <c r="H1981" s="113" t="n"/>
      <c r="I1981" s="113" t="n"/>
      <c r="J1981" s="113" t="n"/>
      <c r="K1981" s="113" t="n"/>
      <c r="L1981" s="113" t="n"/>
      <c r="M1981" s="113" t="n"/>
      <c r="N1981" s="113" t="n"/>
      <c r="O1981" s="113" t="n"/>
      <c r="P1981" s="113" t="n"/>
      <c r="Q1981" s="113" t="n"/>
      <c r="R1981" s="113" t="n"/>
      <c r="S1981" s="113" t="n"/>
      <c r="T1981" s="113" t="n"/>
      <c r="U1981" s="113" t="n"/>
      <c r="V1981" s="113" t="n"/>
      <c r="W1981" s="113" t="n"/>
      <c r="X1981" s="113" t="n"/>
      <c r="Y1981" s="113" t="n"/>
      <c r="Z1981" s="117">
        <f>IF($B1981="",0,IF($S1981="EVET",IF($D1981="GELİR",$O1981,-$O1981),0))</f>
        <v/>
      </c>
      <c r="AA1981" s="117">
        <f>IF($B1981="",0,IF(OR($W1981="EVET",$X1981="EVET",$Y1981="EVET"),0,IF($D1981="GELİR",IF($E1981="SATIŞ İADESİ/İSKONTO",-$O1981,$O1981),-$O1981)))</f>
        <v/>
      </c>
      <c r="AB1981" s="117">
        <f>IF($B1981="","",IF(OR($D1981="",$E1981="",$O1981=""),"EKSİK",IF($O1981&lt;=0,"SIFIR/NEGATİF",IF(COUNTIFS($C$6:$C$5000,$C1981,$O$6:$O$5000,$O1981,$B$6:$B$5000,$B1981)&gt;1,"MÜKERRER","OK"))))</f>
        <v/>
      </c>
    </row>
    <row r="1982" ht="16.5" customHeight="1" s="80">
      <c r="A1982" s="113" t="n"/>
      <c r="B1982" s="113" t="n"/>
      <c r="C1982" s="113" t="n"/>
      <c r="D1982" s="113" t="n"/>
      <c r="E1982" s="113" t="n"/>
      <c r="F1982" s="113" t="n"/>
      <c r="G1982" s="113" t="n"/>
      <c r="H1982" s="113" t="n"/>
      <c r="I1982" s="113" t="n"/>
      <c r="J1982" s="113" t="n"/>
      <c r="K1982" s="113" t="n"/>
      <c r="L1982" s="113" t="n"/>
      <c r="M1982" s="113" t="n"/>
      <c r="N1982" s="113" t="n"/>
      <c r="O1982" s="113" t="n"/>
      <c r="P1982" s="113" t="n"/>
      <c r="Q1982" s="113" t="n"/>
      <c r="R1982" s="113" t="n"/>
      <c r="S1982" s="113" t="n"/>
      <c r="T1982" s="113" t="n"/>
      <c r="U1982" s="113" t="n"/>
      <c r="V1982" s="113" t="n"/>
      <c r="W1982" s="113" t="n"/>
      <c r="X1982" s="113" t="n"/>
      <c r="Y1982" s="113" t="n"/>
      <c r="Z1982" s="117">
        <f>IF($B1982="",0,IF($S1982="EVET",IF($D1982="GELİR",$O1982,-$O1982),0))</f>
        <v/>
      </c>
      <c r="AA1982" s="117">
        <f>IF($B1982="",0,IF(OR($W1982="EVET",$X1982="EVET",$Y1982="EVET"),0,IF($D1982="GELİR",IF($E1982="SATIŞ İADESİ/İSKONTO",-$O1982,$O1982),-$O1982)))</f>
        <v/>
      </c>
      <c r="AB1982" s="117">
        <f>IF($B1982="","",IF(OR($D1982="",$E1982="",$O1982=""),"EKSİK",IF($O1982&lt;=0,"SIFIR/NEGATİF",IF(COUNTIFS($C$6:$C$5000,$C1982,$O$6:$O$5000,$O1982,$B$6:$B$5000,$B1982)&gt;1,"MÜKERRER","OK"))))</f>
        <v/>
      </c>
    </row>
    <row r="1983" ht="16.5" customHeight="1" s="80">
      <c r="A1983" s="113" t="n"/>
      <c r="B1983" s="113" t="n"/>
      <c r="C1983" s="113" t="n"/>
      <c r="D1983" s="113" t="n"/>
      <c r="E1983" s="113" t="n"/>
      <c r="F1983" s="113" t="n"/>
      <c r="G1983" s="113" t="n"/>
      <c r="H1983" s="113" t="n"/>
      <c r="I1983" s="113" t="n"/>
      <c r="J1983" s="113" t="n"/>
      <c r="K1983" s="113" t="n"/>
      <c r="L1983" s="113" t="n"/>
      <c r="M1983" s="113" t="n"/>
      <c r="N1983" s="113" t="n"/>
      <c r="O1983" s="113" t="n"/>
      <c r="P1983" s="113" t="n"/>
      <c r="Q1983" s="113" t="n"/>
      <c r="R1983" s="113" t="n"/>
      <c r="S1983" s="113" t="n"/>
      <c r="T1983" s="113" t="n"/>
      <c r="U1983" s="113" t="n"/>
      <c r="V1983" s="113" t="n"/>
      <c r="W1983" s="113" t="n"/>
      <c r="X1983" s="113" t="n"/>
      <c r="Y1983" s="113" t="n"/>
      <c r="Z1983" s="117">
        <f>IF($B1983="",0,IF($S1983="EVET",IF($D1983="GELİR",$O1983,-$O1983),0))</f>
        <v/>
      </c>
      <c r="AA1983" s="117">
        <f>IF($B1983="",0,IF(OR($W1983="EVET",$X1983="EVET",$Y1983="EVET"),0,IF($D1983="GELİR",IF($E1983="SATIŞ İADESİ/İSKONTO",-$O1983,$O1983),-$O1983)))</f>
        <v/>
      </c>
      <c r="AB1983" s="117">
        <f>IF($B1983="","",IF(OR($D1983="",$E1983="",$O1983=""),"EKSİK",IF($O1983&lt;=0,"SIFIR/NEGATİF",IF(COUNTIFS($C$6:$C$5000,$C1983,$O$6:$O$5000,$O1983,$B$6:$B$5000,$B1983)&gt;1,"MÜKERRER","OK"))))</f>
        <v/>
      </c>
    </row>
    <row r="1984" ht="16.5" customHeight="1" s="80">
      <c r="A1984" s="113" t="n"/>
      <c r="B1984" s="113" t="n"/>
      <c r="C1984" s="113" t="n"/>
      <c r="D1984" s="113" t="n"/>
      <c r="E1984" s="113" t="n"/>
      <c r="F1984" s="113" t="n"/>
      <c r="G1984" s="113" t="n"/>
      <c r="H1984" s="113" t="n"/>
      <c r="I1984" s="113" t="n"/>
      <c r="J1984" s="113" t="n"/>
      <c r="K1984" s="113" t="n"/>
      <c r="L1984" s="113" t="n"/>
      <c r="M1984" s="113" t="n"/>
      <c r="N1984" s="113" t="n"/>
      <c r="O1984" s="113" t="n"/>
      <c r="P1984" s="113" t="n"/>
      <c r="Q1984" s="113" t="n"/>
      <c r="R1984" s="113" t="n"/>
      <c r="S1984" s="113" t="n"/>
      <c r="T1984" s="113" t="n"/>
      <c r="U1984" s="113" t="n"/>
      <c r="V1984" s="113" t="n"/>
      <c r="W1984" s="113" t="n"/>
      <c r="X1984" s="113" t="n"/>
      <c r="Y1984" s="113" t="n"/>
      <c r="Z1984" s="117">
        <f>IF($B1984="",0,IF($S1984="EVET",IF($D1984="GELİR",$O1984,-$O1984),0))</f>
        <v/>
      </c>
      <c r="AA1984" s="117">
        <f>IF($B1984="",0,IF(OR($W1984="EVET",$X1984="EVET",$Y1984="EVET"),0,IF($D1984="GELİR",IF($E1984="SATIŞ İADESİ/İSKONTO",-$O1984,$O1984),-$O1984)))</f>
        <v/>
      </c>
      <c r="AB1984" s="117">
        <f>IF($B1984="","",IF(OR($D1984="",$E1984="",$O1984=""),"EKSİK",IF($O1984&lt;=0,"SIFIR/NEGATİF",IF(COUNTIFS($C$6:$C$5000,$C1984,$O$6:$O$5000,$O1984,$B$6:$B$5000,$B1984)&gt;1,"MÜKERRER","OK"))))</f>
        <v/>
      </c>
    </row>
    <row r="1985" ht="16.5" customHeight="1" s="80">
      <c r="A1985" s="113" t="n"/>
      <c r="B1985" s="113" t="n"/>
      <c r="C1985" s="113" t="n"/>
      <c r="D1985" s="113" t="n"/>
      <c r="E1985" s="113" t="n"/>
      <c r="F1985" s="113" t="n"/>
      <c r="G1985" s="113" t="n"/>
      <c r="H1985" s="113" t="n"/>
      <c r="I1985" s="113" t="n"/>
      <c r="J1985" s="113" t="n"/>
      <c r="K1985" s="113" t="n"/>
      <c r="L1985" s="113" t="n"/>
      <c r="M1985" s="113" t="n"/>
      <c r="N1985" s="113" t="n"/>
      <c r="O1985" s="113" t="n"/>
      <c r="P1985" s="113" t="n"/>
      <c r="Q1985" s="113" t="n"/>
      <c r="R1985" s="113" t="n"/>
      <c r="S1985" s="113" t="n"/>
      <c r="T1985" s="113" t="n"/>
      <c r="U1985" s="113" t="n"/>
      <c r="V1985" s="113" t="n"/>
      <c r="W1985" s="113" t="n"/>
      <c r="X1985" s="113" t="n"/>
      <c r="Y1985" s="113" t="n"/>
      <c r="Z1985" s="117">
        <f>IF($B1985="",0,IF($S1985="EVET",IF($D1985="GELİR",$O1985,-$O1985),0))</f>
        <v/>
      </c>
      <c r="AA1985" s="117">
        <f>IF($B1985="",0,IF(OR($W1985="EVET",$X1985="EVET",$Y1985="EVET"),0,IF($D1985="GELİR",IF($E1985="SATIŞ İADESİ/İSKONTO",-$O1985,$O1985),-$O1985)))</f>
        <v/>
      </c>
      <c r="AB1985" s="117">
        <f>IF($B1985="","",IF(OR($D1985="",$E1985="",$O1985=""),"EKSİK",IF($O1985&lt;=0,"SIFIR/NEGATİF",IF(COUNTIFS($C$6:$C$5000,$C1985,$O$6:$O$5000,$O1985,$B$6:$B$5000,$B1985)&gt;1,"MÜKERRER","OK"))))</f>
        <v/>
      </c>
    </row>
    <row r="1986" ht="16.5" customHeight="1" s="80">
      <c r="A1986" s="113" t="n"/>
      <c r="B1986" s="113" t="n"/>
      <c r="C1986" s="113" t="n"/>
      <c r="D1986" s="113" t="n"/>
      <c r="E1986" s="113" t="n"/>
      <c r="F1986" s="113" t="n"/>
      <c r="G1986" s="113" t="n"/>
      <c r="H1986" s="113" t="n"/>
      <c r="I1986" s="113" t="n"/>
      <c r="J1986" s="113" t="n"/>
      <c r="K1986" s="113" t="n"/>
      <c r="L1986" s="113" t="n"/>
      <c r="M1986" s="113" t="n"/>
      <c r="N1986" s="113" t="n"/>
      <c r="O1986" s="113" t="n"/>
      <c r="P1986" s="113" t="n"/>
      <c r="Q1986" s="113" t="n"/>
      <c r="R1986" s="113" t="n"/>
      <c r="S1986" s="113" t="n"/>
      <c r="T1986" s="113" t="n"/>
      <c r="U1986" s="113" t="n"/>
      <c r="V1986" s="113" t="n"/>
      <c r="W1986" s="113" t="n"/>
      <c r="X1986" s="113" t="n"/>
      <c r="Y1986" s="113" t="n"/>
      <c r="Z1986" s="117">
        <f>IF($B1986="",0,IF($S1986="EVET",IF($D1986="GELİR",$O1986,-$O1986),0))</f>
        <v/>
      </c>
      <c r="AA1986" s="117">
        <f>IF($B1986="",0,IF(OR($W1986="EVET",$X1986="EVET",$Y1986="EVET"),0,IF($D1986="GELİR",IF($E1986="SATIŞ İADESİ/İSKONTO",-$O1986,$O1986),-$O1986)))</f>
        <v/>
      </c>
      <c r="AB1986" s="117">
        <f>IF($B1986="","",IF(OR($D1986="",$E1986="",$O1986=""),"EKSİK",IF($O1986&lt;=0,"SIFIR/NEGATİF",IF(COUNTIFS($C$6:$C$5000,$C1986,$O$6:$O$5000,$O1986,$B$6:$B$5000,$B1986)&gt;1,"MÜKERRER","OK"))))</f>
        <v/>
      </c>
    </row>
    <row r="1987" ht="16.5" customHeight="1" s="80">
      <c r="A1987" s="113" t="n"/>
      <c r="B1987" s="113" t="n"/>
      <c r="C1987" s="113" t="n"/>
      <c r="D1987" s="113" t="n"/>
      <c r="E1987" s="113" t="n"/>
      <c r="F1987" s="113" t="n"/>
      <c r="G1987" s="113" t="n"/>
      <c r="H1987" s="113" t="n"/>
      <c r="I1987" s="113" t="n"/>
      <c r="J1987" s="113" t="n"/>
      <c r="K1987" s="113" t="n"/>
      <c r="L1987" s="113" t="n"/>
      <c r="M1987" s="113" t="n"/>
      <c r="N1987" s="113" t="n"/>
      <c r="O1987" s="113" t="n"/>
      <c r="P1987" s="113" t="n"/>
      <c r="Q1987" s="113" t="n"/>
      <c r="R1987" s="113" t="n"/>
      <c r="S1987" s="113" t="n"/>
      <c r="T1987" s="113" t="n"/>
      <c r="U1987" s="113" t="n"/>
      <c r="V1987" s="113" t="n"/>
      <c r="W1987" s="113" t="n"/>
      <c r="X1987" s="113" t="n"/>
      <c r="Y1987" s="113" t="n"/>
      <c r="Z1987" s="117">
        <f>IF($B1987="",0,IF($S1987="EVET",IF($D1987="GELİR",$O1987,-$O1987),0))</f>
        <v/>
      </c>
      <c r="AA1987" s="117">
        <f>IF($B1987="",0,IF(OR($W1987="EVET",$X1987="EVET",$Y1987="EVET"),0,IF($D1987="GELİR",IF($E1987="SATIŞ İADESİ/İSKONTO",-$O1987,$O1987),-$O1987)))</f>
        <v/>
      </c>
      <c r="AB1987" s="117">
        <f>IF($B1987="","",IF(OR($D1987="",$E1987="",$O1987=""),"EKSİK",IF($O1987&lt;=0,"SIFIR/NEGATİF",IF(COUNTIFS($C$6:$C$5000,$C1987,$O$6:$O$5000,$O1987,$B$6:$B$5000,$B1987)&gt;1,"MÜKERRER","OK"))))</f>
        <v/>
      </c>
    </row>
    <row r="1988" ht="16.5" customHeight="1" s="80">
      <c r="A1988" s="113" t="n"/>
      <c r="B1988" s="113" t="n"/>
      <c r="C1988" s="113" t="n"/>
      <c r="D1988" s="113" t="n"/>
      <c r="E1988" s="113" t="n"/>
      <c r="F1988" s="113" t="n"/>
      <c r="G1988" s="113" t="n"/>
      <c r="H1988" s="113" t="n"/>
      <c r="I1988" s="113" t="n"/>
      <c r="J1988" s="113" t="n"/>
      <c r="K1988" s="113" t="n"/>
      <c r="L1988" s="113" t="n"/>
      <c r="M1988" s="113" t="n"/>
      <c r="N1988" s="113" t="n"/>
      <c r="O1988" s="113" t="n"/>
      <c r="P1988" s="113" t="n"/>
      <c r="Q1988" s="113" t="n"/>
      <c r="R1988" s="113" t="n"/>
      <c r="S1988" s="113" t="n"/>
      <c r="T1988" s="113" t="n"/>
      <c r="U1988" s="113" t="n"/>
      <c r="V1988" s="113" t="n"/>
      <c r="W1988" s="113" t="n"/>
      <c r="X1988" s="113" t="n"/>
      <c r="Y1988" s="113" t="n"/>
      <c r="Z1988" s="117">
        <f>IF($B1988="",0,IF($S1988="EVET",IF($D1988="GELİR",$O1988,-$O1988),0))</f>
        <v/>
      </c>
      <c r="AA1988" s="117">
        <f>IF($B1988="",0,IF(OR($W1988="EVET",$X1988="EVET",$Y1988="EVET"),0,IF($D1988="GELİR",IF($E1988="SATIŞ İADESİ/İSKONTO",-$O1988,$O1988),-$O1988)))</f>
        <v/>
      </c>
      <c r="AB1988" s="117">
        <f>IF($B1988="","",IF(OR($D1988="",$E1988="",$O1988=""),"EKSİK",IF($O1988&lt;=0,"SIFIR/NEGATİF",IF(COUNTIFS($C$6:$C$5000,$C1988,$O$6:$O$5000,$O1988,$B$6:$B$5000,$B1988)&gt;1,"MÜKERRER","OK"))))</f>
        <v/>
      </c>
    </row>
    <row r="1989" ht="16.5" customHeight="1" s="80">
      <c r="A1989" s="113" t="n"/>
      <c r="B1989" s="113" t="n"/>
      <c r="C1989" s="113" t="n"/>
      <c r="D1989" s="113" t="n"/>
      <c r="E1989" s="113" t="n"/>
      <c r="F1989" s="113" t="n"/>
      <c r="G1989" s="113" t="n"/>
      <c r="H1989" s="113" t="n"/>
      <c r="I1989" s="113" t="n"/>
      <c r="J1989" s="113" t="n"/>
      <c r="K1989" s="113" t="n"/>
      <c r="L1989" s="113" t="n"/>
      <c r="M1989" s="113" t="n"/>
      <c r="N1989" s="113" t="n"/>
      <c r="O1989" s="113" t="n"/>
      <c r="P1989" s="113" t="n"/>
      <c r="Q1989" s="113" t="n"/>
      <c r="R1989" s="113" t="n"/>
      <c r="S1989" s="113" t="n"/>
      <c r="T1989" s="113" t="n"/>
      <c r="U1989" s="113" t="n"/>
      <c r="V1989" s="113" t="n"/>
      <c r="W1989" s="113" t="n"/>
      <c r="X1989" s="113" t="n"/>
      <c r="Y1989" s="113" t="n"/>
      <c r="Z1989" s="117">
        <f>IF($B1989="",0,IF($S1989="EVET",IF($D1989="GELİR",$O1989,-$O1989),0))</f>
        <v/>
      </c>
      <c r="AA1989" s="117">
        <f>IF($B1989="",0,IF(OR($W1989="EVET",$X1989="EVET",$Y1989="EVET"),0,IF($D1989="GELİR",IF($E1989="SATIŞ İADESİ/İSKONTO",-$O1989,$O1989),-$O1989)))</f>
        <v/>
      </c>
      <c r="AB1989" s="117">
        <f>IF($B1989="","",IF(OR($D1989="",$E1989="",$O1989=""),"EKSİK",IF($O1989&lt;=0,"SIFIR/NEGATİF",IF(COUNTIFS($C$6:$C$5000,$C1989,$O$6:$O$5000,$O1989,$B$6:$B$5000,$B1989)&gt;1,"MÜKERRER","OK"))))</f>
        <v/>
      </c>
    </row>
    <row r="1990" ht="16.5" customHeight="1" s="80">
      <c r="A1990" s="113" t="n"/>
      <c r="B1990" s="113" t="n"/>
      <c r="C1990" s="113" t="n"/>
      <c r="D1990" s="113" t="n"/>
      <c r="E1990" s="113" t="n"/>
      <c r="F1990" s="113" t="n"/>
      <c r="G1990" s="113" t="n"/>
      <c r="H1990" s="113" t="n"/>
      <c r="I1990" s="113" t="n"/>
      <c r="J1990" s="113" t="n"/>
      <c r="K1990" s="113" t="n"/>
      <c r="L1990" s="113" t="n"/>
      <c r="M1990" s="113" t="n"/>
      <c r="N1990" s="113" t="n"/>
      <c r="O1990" s="113" t="n"/>
      <c r="P1990" s="113" t="n"/>
      <c r="Q1990" s="113" t="n"/>
      <c r="R1990" s="113" t="n"/>
      <c r="S1990" s="113" t="n"/>
      <c r="T1990" s="113" t="n"/>
      <c r="U1990" s="113" t="n"/>
      <c r="V1990" s="113" t="n"/>
      <c r="W1990" s="113" t="n"/>
      <c r="X1990" s="113" t="n"/>
      <c r="Y1990" s="113" t="n"/>
      <c r="Z1990" s="117">
        <f>IF($B1990="",0,IF($S1990="EVET",IF($D1990="GELİR",$O1990,-$O1990),0))</f>
        <v/>
      </c>
      <c r="AA1990" s="117">
        <f>IF($B1990="",0,IF(OR($W1990="EVET",$X1990="EVET",$Y1990="EVET"),0,IF($D1990="GELİR",IF($E1990="SATIŞ İADESİ/İSKONTO",-$O1990,$O1990),-$O1990)))</f>
        <v/>
      </c>
      <c r="AB1990" s="117">
        <f>IF($B1990="","",IF(OR($D1990="",$E1990="",$O1990=""),"EKSİK",IF($O1990&lt;=0,"SIFIR/NEGATİF",IF(COUNTIFS($C$6:$C$5000,$C1990,$O$6:$O$5000,$O1990,$B$6:$B$5000,$B1990)&gt;1,"MÜKERRER","OK"))))</f>
        <v/>
      </c>
    </row>
    <row r="1991" ht="16.5" customHeight="1" s="80">
      <c r="A1991" s="113" t="n"/>
      <c r="B1991" s="113" t="n"/>
      <c r="C1991" s="113" t="n"/>
      <c r="D1991" s="113" t="n"/>
      <c r="E1991" s="113" t="n"/>
      <c r="F1991" s="113" t="n"/>
      <c r="G1991" s="113" t="n"/>
      <c r="H1991" s="113" t="n"/>
      <c r="I1991" s="113" t="n"/>
      <c r="J1991" s="113" t="n"/>
      <c r="K1991" s="113" t="n"/>
      <c r="L1991" s="113" t="n"/>
      <c r="M1991" s="113" t="n"/>
      <c r="N1991" s="113" t="n"/>
      <c r="O1991" s="113" t="n"/>
      <c r="P1991" s="113" t="n"/>
      <c r="Q1991" s="113" t="n"/>
      <c r="R1991" s="113" t="n"/>
      <c r="S1991" s="113" t="n"/>
      <c r="T1991" s="113" t="n"/>
      <c r="U1991" s="113" t="n"/>
      <c r="V1991" s="113" t="n"/>
      <c r="W1991" s="113" t="n"/>
      <c r="X1991" s="113" t="n"/>
      <c r="Y1991" s="113" t="n"/>
      <c r="Z1991" s="117">
        <f>IF($B1991="",0,IF($S1991="EVET",IF($D1991="GELİR",$O1991,-$O1991),0))</f>
        <v/>
      </c>
      <c r="AA1991" s="117">
        <f>IF($B1991="",0,IF(OR($W1991="EVET",$X1991="EVET",$Y1991="EVET"),0,IF($D1991="GELİR",IF($E1991="SATIŞ İADESİ/İSKONTO",-$O1991,$O1991),-$O1991)))</f>
        <v/>
      </c>
      <c r="AB1991" s="117">
        <f>IF($B1991="","",IF(OR($D1991="",$E1991="",$O1991=""),"EKSİK",IF($O1991&lt;=0,"SIFIR/NEGATİF",IF(COUNTIFS($C$6:$C$5000,$C1991,$O$6:$O$5000,$O1991,$B$6:$B$5000,$B1991)&gt;1,"MÜKERRER","OK"))))</f>
        <v/>
      </c>
    </row>
    <row r="1992" ht="16.5" customHeight="1" s="80">
      <c r="A1992" s="113" t="n"/>
      <c r="B1992" s="113" t="n"/>
      <c r="C1992" s="113" t="n"/>
      <c r="D1992" s="113" t="n"/>
      <c r="E1992" s="113" t="n"/>
      <c r="F1992" s="113" t="n"/>
      <c r="G1992" s="113" t="n"/>
      <c r="H1992" s="113" t="n"/>
      <c r="I1992" s="113" t="n"/>
      <c r="J1992" s="113" t="n"/>
      <c r="K1992" s="113" t="n"/>
      <c r="L1992" s="113" t="n"/>
      <c r="M1992" s="113" t="n"/>
      <c r="N1992" s="113" t="n"/>
      <c r="O1992" s="113" t="n"/>
      <c r="P1992" s="113" t="n"/>
      <c r="Q1992" s="113" t="n"/>
      <c r="R1992" s="113" t="n"/>
      <c r="S1992" s="113" t="n"/>
      <c r="T1992" s="113" t="n"/>
      <c r="U1992" s="113" t="n"/>
      <c r="V1992" s="113" t="n"/>
      <c r="W1992" s="113" t="n"/>
      <c r="X1992" s="113" t="n"/>
      <c r="Y1992" s="113" t="n"/>
      <c r="Z1992" s="117">
        <f>IF($B1992="",0,IF($S1992="EVET",IF($D1992="GELİR",$O1992,-$O1992),0))</f>
        <v/>
      </c>
      <c r="AA1992" s="117">
        <f>IF($B1992="",0,IF(OR($W1992="EVET",$X1992="EVET",$Y1992="EVET"),0,IF($D1992="GELİR",IF($E1992="SATIŞ İADESİ/İSKONTO",-$O1992,$O1992),-$O1992)))</f>
        <v/>
      </c>
      <c r="AB1992" s="117">
        <f>IF($B1992="","",IF(OR($D1992="",$E1992="",$O1992=""),"EKSİK",IF($O1992&lt;=0,"SIFIR/NEGATİF",IF(COUNTIFS($C$6:$C$5000,$C1992,$O$6:$O$5000,$O1992,$B$6:$B$5000,$B1992)&gt;1,"MÜKERRER","OK"))))</f>
        <v/>
      </c>
    </row>
    <row r="1993" ht="16.5" customHeight="1" s="80">
      <c r="A1993" s="113" t="n"/>
      <c r="B1993" s="113" t="n"/>
      <c r="C1993" s="113" t="n"/>
      <c r="D1993" s="113" t="n"/>
      <c r="E1993" s="113" t="n"/>
      <c r="F1993" s="113" t="n"/>
      <c r="G1993" s="113" t="n"/>
      <c r="H1993" s="113" t="n"/>
      <c r="I1993" s="113" t="n"/>
      <c r="J1993" s="113" t="n"/>
      <c r="K1993" s="113" t="n"/>
      <c r="L1993" s="113" t="n"/>
      <c r="M1993" s="113" t="n"/>
      <c r="N1993" s="113" t="n"/>
      <c r="O1993" s="113" t="n"/>
      <c r="P1993" s="113" t="n"/>
      <c r="Q1993" s="113" t="n"/>
      <c r="R1993" s="113" t="n"/>
      <c r="S1993" s="113" t="n"/>
      <c r="T1993" s="113" t="n"/>
      <c r="U1993" s="113" t="n"/>
      <c r="V1993" s="113" t="n"/>
      <c r="W1993" s="113" t="n"/>
      <c r="X1993" s="113" t="n"/>
      <c r="Y1993" s="113" t="n"/>
      <c r="Z1993" s="117">
        <f>IF($B1993="",0,IF($S1993="EVET",IF($D1993="GELİR",$O1993,-$O1993),0))</f>
        <v/>
      </c>
      <c r="AA1993" s="117">
        <f>IF($B1993="",0,IF(OR($W1993="EVET",$X1993="EVET",$Y1993="EVET"),0,IF($D1993="GELİR",IF($E1993="SATIŞ İADESİ/İSKONTO",-$O1993,$O1993),-$O1993)))</f>
        <v/>
      </c>
      <c r="AB1993" s="117">
        <f>IF($B1993="","",IF(OR($D1993="",$E1993="",$O1993=""),"EKSİK",IF($O1993&lt;=0,"SIFIR/NEGATİF",IF(COUNTIFS($C$6:$C$5000,$C1993,$O$6:$O$5000,$O1993,$B$6:$B$5000,$B1993)&gt;1,"MÜKERRER","OK"))))</f>
        <v/>
      </c>
    </row>
    <row r="1994" ht="16.5" customHeight="1" s="80">
      <c r="A1994" s="113" t="n"/>
      <c r="B1994" s="113" t="n"/>
      <c r="C1994" s="113" t="n"/>
      <c r="D1994" s="113" t="n"/>
      <c r="E1994" s="113" t="n"/>
      <c r="F1994" s="113" t="n"/>
      <c r="G1994" s="113" t="n"/>
      <c r="H1994" s="113" t="n"/>
      <c r="I1994" s="113" t="n"/>
      <c r="J1994" s="113" t="n"/>
      <c r="K1994" s="113" t="n"/>
      <c r="L1994" s="113" t="n"/>
      <c r="M1994" s="113" t="n"/>
      <c r="N1994" s="113" t="n"/>
      <c r="O1994" s="113" t="n"/>
      <c r="P1994" s="113" t="n"/>
      <c r="Q1994" s="113" t="n"/>
      <c r="R1994" s="113" t="n"/>
      <c r="S1994" s="113" t="n"/>
      <c r="T1994" s="113" t="n"/>
      <c r="U1994" s="113" t="n"/>
      <c r="V1994" s="113" t="n"/>
      <c r="W1994" s="113" t="n"/>
      <c r="X1994" s="113" t="n"/>
      <c r="Y1994" s="113" t="n"/>
      <c r="Z1994" s="117">
        <f>IF($B1994="",0,IF($S1994="EVET",IF($D1994="GELİR",$O1994,-$O1994),0))</f>
        <v/>
      </c>
      <c r="AA1994" s="117">
        <f>IF($B1994="",0,IF(OR($W1994="EVET",$X1994="EVET",$Y1994="EVET"),0,IF($D1994="GELİR",IF($E1994="SATIŞ İADESİ/İSKONTO",-$O1994,$O1994),-$O1994)))</f>
        <v/>
      </c>
      <c r="AB1994" s="117">
        <f>IF($B1994="","",IF(OR($D1994="",$E1994="",$O1994=""),"EKSİK",IF($O1994&lt;=0,"SIFIR/NEGATİF",IF(COUNTIFS($C$6:$C$5000,$C1994,$O$6:$O$5000,$O1994,$B$6:$B$5000,$B1994)&gt;1,"MÜKERRER","OK"))))</f>
        <v/>
      </c>
    </row>
    <row r="1995" ht="16.5" customHeight="1" s="80">
      <c r="A1995" s="113" t="n"/>
      <c r="B1995" s="113" t="n"/>
      <c r="C1995" s="113" t="n"/>
      <c r="D1995" s="113" t="n"/>
      <c r="E1995" s="113" t="n"/>
      <c r="F1995" s="113" t="n"/>
      <c r="G1995" s="113" t="n"/>
      <c r="H1995" s="113" t="n"/>
      <c r="I1995" s="113" t="n"/>
      <c r="J1995" s="113" t="n"/>
      <c r="K1995" s="113" t="n"/>
      <c r="L1995" s="113" t="n"/>
      <c r="M1995" s="113" t="n"/>
      <c r="N1995" s="113" t="n"/>
      <c r="O1995" s="113" t="n"/>
      <c r="P1995" s="113" t="n"/>
      <c r="Q1995" s="113" t="n"/>
      <c r="R1995" s="113" t="n"/>
      <c r="S1995" s="113" t="n"/>
      <c r="T1995" s="113" t="n"/>
      <c r="U1995" s="113" t="n"/>
      <c r="V1995" s="113" t="n"/>
      <c r="W1995" s="113" t="n"/>
      <c r="X1995" s="113" t="n"/>
      <c r="Y1995" s="113" t="n"/>
      <c r="Z1995" s="117">
        <f>IF($B1995="",0,IF($S1995="EVET",IF($D1995="GELİR",$O1995,-$O1995),0))</f>
        <v/>
      </c>
      <c r="AA1995" s="117">
        <f>IF($B1995="",0,IF(OR($W1995="EVET",$X1995="EVET",$Y1995="EVET"),0,IF($D1995="GELİR",IF($E1995="SATIŞ İADESİ/İSKONTO",-$O1995,$O1995),-$O1995)))</f>
        <v/>
      </c>
      <c r="AB1995" s="117">
        <f>IF($B1995="","",IF(OR($D1995="",$E1995="",$O1995=""),"EKSİK",IF($O1995&lt;=0,"SIFIR/NEGATİF",IF(COUNTIFS($C$6:$C$5000,$C1995,$O$6:$O$5000,$O1995,$B$6:$B$5000,$B1995)&gt;1,"MÜKERRER","OK"))))</f>
        <v/>
      </c>
    </row>
    <row r="1996" ht="16.5" customHeight="1" s="80">
      <c r="A1996" s="113" t="n"/>
      <c r="B1996" s="113" t="n"/>
      <c r="C1996" s="113" t="n"/>
      <c r="D1996" s="113" t="n"/>
      <c r="E1996" s="113" t="n"/>
      <c r="F1996" s="113" t="n"/>
      <c r="G1996" s="113" t="n"/>
      <c r="H1996" s="113" t="n"/>
      <c r="I1996" s="113" t="n"/>
      <c r="J1996" s="113" t="n"/>
      <c r="K1996" s="113" t="n"/>
      <c r="L1996" s="113" t="n"/>
      <c r="M1996" s="113" t="n"/>
      <c r="N1996" s="113" t="n"/>
      <c r="O1996" s="113" t="n"/>
      <c r="P1996" s="113" t="n"/>
      <c r="Q1996" s="113" t="n"/>
      <c r="R1996" s="113" t="n"/>
      <c r="S1996" s="113" t="n"/>
      <c r="T1996" s="113" t="n"/>
      <c r="U1996" s="113" t="n"/>
      <c r="V1996" s="113" t="n"/>
      <c r="W1996" s="113" t="n"/>
      <c r="X1996" s="113" t="n"/>
      <c r="Y1996" s="113" t="n"/>
      <c r="Z1996" s="117">
        <f>IF($B1996="",0,IF($S1996="EVET",IF($D1996="GELİR",$O1996,-$O1996),0))</f>
        <v/>
      </c>
      <c r="AA1996" s="117">
        <f>IF($B1996="",0,IF(OR($W1996="EVET",$X1996="EVET",$Y1996="EVET"),0,IF($D1996="GELİR",IF($E1996="SATIŞ İADESİ/İSKONTO",-$O1996,$O1996),-$O1996)))</f>
        <v/>
      </c>
      <c r="AB1996" s="117">
        <f>IF($B1996="","",IF(OR($D1996="",$E1996="",$O1996=""),"EKSİK",IF($O1996&lt;=0,"SIFIR/NEGATİF",IF(COUNTIFS($C$6:$C$5000,$C1996,$O$6:$O$5000,$O1996,$B$6:$B$5000,$B1996)&gt;1,"MÜKERRER","OK"))))</f>
        <v/>
      </c>
    </row>
    <row r="1997" ht="16.5" customHeight="1" s="80">
      <c r="A1997" s="113" t="n"/>
      <c r="B1997" s="113" t="n"/>
      <c r="C1997" s="113" t="n"/>
      <c r="D1997" s="113" t="n"/>
      <c r="E1997" s="113" t="n"/>
      <c r="F1997" s="113" t="n"/>
      <c r="G1997" s="113" t="n"/>
      <c r="H1997" s="113" t="n"/>
      <c r="I1997" s="113" t="n"/>
      <c r="J1997" s="113" t="n"/>
      <c r="K1997" s="113" t="n"/>
      <c r="L1997" s="113" t="n"/>
      <c r="M1997" s="113" t="n"/>
      <c r="N1997" s="113" t="n"/>
      <c r="O1997" s="113" t="n"/>
      <c r="P1997" s="113" t="n"/>
      <c r="Q1997" s="113" t="n"/>
      <c r="R1997" s="113" t="n"/>
      <c r="S1997" s="113" t="n"/>
      <c r="T1997" s="113" t="n"/>
      <c r="U1997" s="113" t="n"/>
      <c r="V1997" s="113" t="n"/>
      <c r="W1997" s="113" t="n"/>
      <c r="X1997" s="113" t="n"/>
      <c r="Y1997" s="113" t="n"/>
      <c r="Z1997" s="117">
        <f>IF($B1997="",0,IF($S1997="EVET",IF($D1997="GELİR",$O1997,-$O1997),0))</f>
        <v/>
      </c>
      <c r="AA1997" s="117">
        <f>IF($B1997="",0,IF(OR($W1997="EVET",$X1997="EVET",$Y1997="EVET"),0,IF($D1997="GELİR",IF($E1997="SATIŞ İADESİ/İSKONTO",-$O1997,$O1997),-$O1997)))</f>
        <v/>
      </c>
      <c r="AB1997" s="117">
        <f>IF($B1997="","",IF(OR($D1997="",$E1997="",$O1997=""),"EKSİK",IF($O1997&lt;=0,"SIFIR/NEGATİF",IF(COUNTIFS($C$6:$C$5000,$C1997,$O$6:$O$5000,$O1997,$B$6:$B$5000,$B1997)&gt;1,"MÜKERRER","OK"))))</f>
        <v/>
      </c>
    </row>
    <row r="1998" ht="16.5" customHeight="1" s="80">
      <c r="A1998" s="113" t="n"/>
      <c r="B1998" s="113" t="n"/>
      <c r="C1998" s="113" t="n"/>
      <c r="D1998" s="113" t="n"/>
      <c r="E1998" s="113" t="n"/>
      <c r="F1998" s="113" t="n"/>
      <c r="G1998" s="113" t="n"/>
      <c r="H1998" s="113" t="n"/>
      <c r="I1998" s="113" t="n"/>
      <c r="J1998" s="113" t="n"/>
      <c r="K1998" s="113" t="n"/>
      <c r="L1998" s="113" t="n"/>
      <c r="M1998" s="113" t="n"/>
      <c r="N1998" s="113" t="n"/>
      <c r="O1998" s="113" t="n"/>
      <c r="P1998" s="113" t="n"/>
      <c r="Q1998" s="113" t="n"/>
      <c r="R1998" s="113" t="n"/>
      <c r="S1998" s="113" t="n"/>
      <c r="T1998" s="113" t="n"/>
      <c r="U1998" s="113" t="n"/>
      <c r="V1998" s="113" t="n"/>
      <c r="W1998" s="113" t="n"/>
      <c r="X1998" s="113" t="n"/>
      <c r="Y1998" s="113" t="n"/>
      <c r="Z1998" s="117">
        <f>IF($B1998="",0,IF($S1998="EVET",IF($D1998="GELİR",$O1998,-$O1998),0))</f>
        <v/>
      </c>
      <c r="AA1998" s="117">
        <f>IF($B1998="",0,IF(OR($W1998="EVET",$X1998="EVET",$Y1998="EVET"),0,IF($D1998="GELİR",IF($E1998="SATIŞ İADESİ/İSKONTO",-$O1998,$O1998),-$O1998)))</f>
        <v/>
      </c>
      <c r="AB1998" s="117">
        <f>IF($B1998="","",IF(OR($D1998="",$E1998="",$O1998=""),"EKSİK",IF($O1998&lt;=0,"SIFIR/NEGATİF",IF(COUNTIFS($C$6:$C$5000,$C1998,$O$6:$O$5000,$O1998,$B$6:$B$5000,$B1998)&gt;1,"MÜKERRER","OK"))))</f>
        <v/>
      </c>
    </row>
    <row r="1999" ht="16.5" customHeight="1" s="80">
      <c r="A1999" s="113" t="n"/>
      <c r="B1999" s="113" t="n"/>
      <c r="C1999" s="113" t="n"/>
      <c r="D1999" s="113" t="n"/>
      <c r="E1999" s="113" t="n"/>
      <c r="F1999" s="113" t="n"/>
      <c r="G1999" s="113" t="n"/>
      <c r="H1999" s="113" t="n"/>
      <c r="I1999" s="113" t="n"/>
      <c r="J1999" s="113" t="n"/>
      <c r="K1999" s="113" t="n"/>
      <c r="L1999" s="113" t="n"/>
      <c r="M1999" s="113" t="n"/>
      <c r="N1999" s="113" t="n"/>
      <c r="O1999" s="113" t="n"/>
      <c r="P1999" s="113" t="n"/>
      <c r="Q1999" s="113" t="n"/>
      <c r="R1999" s="113" t="n"/>
      <c r="S1999" s="113" t="n"/>
      <c r="T1999" s="113" t="n"/>
      <c r="U1999" s="113" t="n"/>
      <c r="V1999" s="113" t="n"/>
      <c r="W1999" s="113" t="n"/>
      <c r="X1999" s="113" t="n"/>
      <c r="Y1999" s="113" t="n"/>
      <c r="Z1999" s="117">
        <f>IF($B1999="",0,IF($S1999="EVET",IF($D1999="GELİR",$O1999,-$O1999),0))</f>
        <v/>
      </c>
      <c r="AA1999" s="117">
        <f>IF($B1999="",0,IF(OR($W1999="EVET",$X1999="EVET",$Y1999="EVET"),0,IF($D1999="GELİR",IF($E1999="SATIŞ İADESİ/İSKONTO",-$O1999,$O1999),-$O1999)))</f>
        <v/>
      </c>
      <c r="AB1999" s="117">
        <f>IF($B1999="","",IF(OR($D1999="",$E1999="",$O1999=""),"EKSİK",IF($O1999&lt;=0,"SIFIR/NEGATİF",IF(COUNTIFS($C$6:$C$5000,$C1999,$O$6:$O$5000,$O1999,$B$6:$B$5000,$B1999)&gt;1,"MÜKERRER","OK"))))</f>
        <v/>
      </c>
    </row>
    <row r="2000" ht="16.5" customHeight="1" s="80">
      <c r="A2000" s="113" t="n"/>
      <c r="B2000" s="113" t="n"/>
      <c r="C2000" s="113" t="n"/>
      <c r="D2000" s="113" t="n"/>
      <c r="E2000" s="113" t="n"/>
      <c r="F2000" s="113" t="n"/>
      <c r="G2000" s="113" t="n"/>
      <c r="H2000" s="113" t="n"/>
      <c r="I2000" s="113" t="n"/>
      <c r="J2000" s="113" t="n"/>
      <c r="K2000" s="113" t="n"/>
      <c r="L2000" s="113" t="n"/>
      <c r="M2000" s="113" t="n"/>
      <c r="N2000" s="113" t="n"/>
      <c r="O2000" s="113" t="n"/>
      <c r="P2000" s="113" t="n"/>
      <c r="Q2000" s="113" t="n"/>
      <c r="R2000" s="113" t="n"/>
      <c r="S2000" s="113" t="n"/>
      <c r="T2000" s="113" t="n"/>
      <c r="U2000" s="113" t="n"/>
      <c r="V2000" s="113" t="n"/>
      <c r="W2000" s="113" t="n"/>
      <c r="X2000" s="113" t="n"/>
      <c r="Y2000" s="113" t="n"/>
      <c r="Z2000" s="117">
        <f>IF($B2000="",0,IF($S2000="EVET",IF($D2000="GELİR",$O2000,-$O2000),0))</f>
        <v/>
      </c>
      <c r="AA2000" s="117">
        <f>IF($B2000="",0,IF(OR($W2000="EVET",$X2000="EVET",$Y2000="EVET"),0,IF($D2000="GELİR",IF($E2000="SATIŞ İADESİ/İSKONTO",-$O2000,$O2000),-$O2000)))</f>
        <v/>
      </c>
      <c r="AB2000" s="117">
        <f>IF($B2000="","",IF(OR($D2000="",$E2000="",$O2000=""),"EKSİK",IF($O2000&lt;=0,"SIFIR/NEGATİF",IF(COUNTIFS($C$6:$C$5000,$C2000,$O$6:$O$5000,$O2000,$B$6:$B$5000,$B2000)&gt;1,"MÜKERRER","OK"))))</f>
        <v/>
      </c>
    </row>
    <row r="2001" ht="16.5" customHeight="1" s="80">
      <c r="A2001" s="113" t="n"/>
      <c r="B2001" s="113" t="n"/>
      <c r="C2001" s="113" t="n"/>
      <c r="D2001" s="113" t="n"/>
      <c r="E2001" s="113" t="n"/>
      <c r="F2001" s="113" t="n"/>
      <c r="G2001" s="113" t="n"/>
      <c r="H2001" s="113" t="n"/>
      <c r="I2001" s="113" t="n"/>
      <c r="J2001" s="113" t="n"/>
      <c r="K2001" s="113" t="n"/>
      <c r="L2001" s="113" t="n"/>
      <c r="M2001" s="113" t="n"/>
      <c r="N2001" s="113" t="n"/>
      <c r="O2001" s="113" t="n"/>
      <c r="P2001" s="113" t="n"/>
      <c r="Q2001" s="113" t="n"/>
      <c r="R2001" s="113" t="n"/>
      <c r="S2001" s="113" t="n"/>
      <c r="T2001" s="113" t="n"/>
      <c r="U2001" s="113" t="n"/>
      <c r="V2001" s="113" t="n"/>
      <c r="W2001" s="113" t="n"/>
      <c r="X2001" s="113" t="n"/>
      <c r="Y2001" s="113" t="n"/>
      <c r="Z2001" s="117">
        <f>IF($B2001="",0,IF($S2001="EVET",IF($D2001="GELİR",$O2001,-$O2001),0))</f>
        <v/>
      </c>
      <c r="AA2001" s="117">
        <f>IF($B2001="",0,IF(OR($W2001="EVET",$X2001="EVET",$Y2001="EVET"),0,IF($D2001="GELİR",IF($E2001="SATIŞ İADESİ/İSKONTO",-$O2001,$O2001),-$O2001)))</f>
        <v/>
      </c>
      <c r="AB2001" s="117">
        <f>IF($B2001="","",IF(OR($D2001="",$E2001="",$O2001=""),"EKSİK",IF($O2001&lt;=0,"SIFIR/NEGATİF",IF(COUNTIFS($C$6:$C$5000,$C2001,$O$6:$O$5000,$O2001,$B$6:$B$5000,$B2001)&gt;1,"MÜKERRER","OK"))))</f>
        <v/>
      </c>
    </row>
    <row r="2002" ht="16.5" customHeight="1" s="80">
      <c r="A2002" s="113" t="n"/>
      <c r="B2002" s="113" t="n"/>
      <c r="C2002" s="113" t="n"/>
      <c r="D2002" s="113" t="n"/>
      <c r="E2002" s="113" t="n"/>
      <c r="F2002" s="113" t="n"/>
      <c r="G2002" s="113" t="n"/>
      <c r="H2002" s="113" t="n"/>
      <c r="I2002" s="113" t="n"/>
      <c r="J2002" s="113" t="n"/>
      <c r="K2002" s="113" t="n"/>
      <c r="L2002" s="113" t="n"/>
      <c r="M2002" s="113" t="n"/>
      <c r="N2002" s="113" t="n"/>
      <c r="O2002" s="113" t="n"/>
      <c r="P2002" s="113" t="n"/>
      <c r="Q2002" s="113" t="n"/>
      <c r="R2002" s="113" t="n"/>
      <c r="S2002" s="113" t="n"/>
      <c r="T2002" s="113" t="n"/>
      <c r="U2002" s="113" t="n"/>
      <c r="V2002" s="113" t="n"/>
      <c r="W2002" s="113" t="n"/>
      <c r="X2002" s="113" t="n"/>
      <c r="Y2002" s="113" t="n"/>
      <c r="Z2002" s="117">
        <f>IF($B2002="",0,IF($S2002="EVET",IF($D2002="GELİR",$O2002,-$O2002),0))</f>
        <v/>
      </c>
      <c r="AA2002" s="117">
        <f>IF($B2002="",0,IF(OR($W2002="EVET",$X2002="EVET",$Y2002="EVET"),0,IF($D2002="GELİR",IF($E2002="SATIŞ İADESİ/İSKONTO",-$O2002,$O2002),-$O2002)))</f>
        <v/>
      </c>
      <c r="AB2002" s="117">
        <f>IF($B2002="","",IF(OR($D2002="",$E2002="",$O2002=""),"EKSİK",IF($O2002&lt;=0,"SIFIR/NEGATİF",IF(COUNTIFS($C$6:$C$5000,$C2002,$O$6:$O$5000,$O2002,$B$6:$B$5000,$B2002)&gt;1,"MÜKERRER","OK"))))</f>
        <v/>
      </c>
    </row>
    <row r="2003" ht="16.5" customHeight="1" s="80">
      <c r="A2003" s="113" t="n"/>
      <c r="B2003" s="113" t="n"/>
      <c r="C2003" s="113" t="n"/>
      <c r="D2003" s="113" t="n"/>
      <c r="E2003" s="113" t="n"/>
      <c r="F2003" s="113" t="n"/>
      <c r="G2003" s="113" t="n"/>
      <c r="H2003" s="113" t="n"/>
      <c r="I2003" s="113" t="n"/>
      <c r="J2003" s="113" t="n"/>
      <c r="K2003" s="113" t="n"/>
      <c r="L2003" s="113" t="n"/>
      <c r="M2003" s="113" t="n"/>
      <c r="N2003" s="113" t="n"/>
      <c r="O2003" s="113" t="n"/>
      <c r="P2003" s="113" t="n"/>
      <c r="Q2003" s="113" t="n"/>
      <c r="R2003" s="113" t="n"/>
      <c r="S2003" s="113" t="n"/>
      <c r="T2003" s="113" t="n"/>
      <c r="U2003" s="113" t="n"/>
      <c r="V2003" s="113" t="n"/>
      <c r="W2003" s="113" t="n"/>
      <c r="X2003" s="113" t="n"/>
      <c r="Y2003" s="113" t="n"/>
      <c r="Z2003" s="117">
        <f>IF($B2003="",0,IF($S2003="EVET",IF($D2003="GELİR",$O2003,-$O2003),0))</f>
        <v/>
      </c>
      <c r="AA2003" s="117">
        <f>IF($B2003="",0,IF(OR($W2003="EVET",$X2003="EVET",$Y2003="EVET"),0,IF($D2003="GELİR",IF($E2003="SATIŞ İADESİ/İSKONTO",-$O2003,$O2003),-$O2003)))</f>
        <v/>
      </c>
      <c r="AB2003" s="117">
        <f>IF($B2003="","",IF(OR($D2003="",$E2003="",$O2003=""),"EKSİK",IF($O2003&lt;=0,"SIFIR/NEGATİF",IF(COUNTIFS($C$6:$C$5000,$C2003,$O$6:$O$5000,$O2003,$B$6:$B$5000,$B2003)&gt;1,"MÜKERRER","OK"))))</f>
        <v/>
      </c>
    </row>
    <row r="2004" ht="16.5" customHeight="1" s="80">
      <c r="A2004" s="113" t="n"/>
      <c r="B2004" s="113" t="n"/>
      <c r="C2004" s="113" t="n"/>
      <c r="D2004" s="113" t="n"/>
      <c r="E2004" s="113" t="n"/>
      <c r="F2004" s="113" t="n"/>
      <c r="G2004" s="113" t="n"/>
      <c r="H2004" s="113" t="n"/>
      <c r="I2004" s="113" t="n"/>
      <c r="J2004" s="113" t="n"/>
      <c r="K2004" s="113" t="n"/>
      <c r="L2004" s="113" t="n"/>
      <c r="M2004" s="113" t="n"/>
      <c r="N2004" s="113" t="n"/>
      <c r="O2004" s="113" t="n"/>
      <c r="P2004" s="113" t="n"/>
      <c r="Q2004" s="113" t="n"/>
      <c r="R2004" s="113" t="n"/>
      <c r="S2004" s="113" t="n"/>
      <c r="T2004" s="113" t="n"/>
      <c r="U2004" s="113" t="n"/>
      <c r="V2004" s="113" t="n"/>
      <c r="W2004" s="113" t="n"/>
      <c r="X2004" s="113" t="n"/>
      <c r="Y2004" s="113" t="n"/>
      <c r="Z2004" s="117">
        <f>IF($B2004="",0,IF($S2004="EVET",IF($D2004="GELİR",$O2004,-$O2004),0))</f>
        <v/>
      </c>
      <c r="AA2004" s="117">
        <f>IF($B2004="",0,IF(OR($W2004="EVET",$X2004="EVET",$Y2004="EVET"),0,IF($D2004="GELİR",IF($E2004="SATIŞ İADESİ/İSKONTO",-$O2004,$O2004),-$O2004)))</f>
        <v/>
      </c>
      <c r="AB2004" s="117">
        <f>IF($B2004="","",IF(OR($D2004="",$E2004="",$O2004=""),"EKSİK",IF($O2004&lt;=0,"SIFIR/NEGATİF",IF(COUNTIFS($C$6:$C$5000,$C2004,$O$6:$O$5000,$O2004,$B$6:$B$5000,$B2004)&gt;1,"MÜKERRER","OK"))))</f>
        <v/>
      </c>
    </row>
    <row r="2005" ht="16.5" customHeight="1" s="80">
      <c r="A2005" s="113" t="n"/>
      <c r="B2005" s="113" t="n"/>
      <c r="C2005" s="113" t="n"/>
      <c r="D2005" s="113" t="n"/>
      <c r="E2005" s="113" t="n"/>
      <c r="F2005" s="113" t="n"/>
      <c r="G2005" s="113" t="n"/>
      <c r="H2005" s="113" t="n"/>
      <c r="I2005" s="113" t="n"/>
      <c r="J2005" s="113" t="n"/>
      <c r="K2005" s="113" t="n"/>
      <c r="L2005" s="113" t="n"/>
      <c r="M2005" s="113" t="n"/>
      <c r="N2005" s="113" t="n"/>
      <c r="O2005" s="113" t="n"/>
      <c r="P2005" s="113" t="n"/>
      <c r="Q2005" s="113" t="n"/>
      <c r="R2005" s="113" t="n"/>
      <c r="S2005" s="113" t="n"/>
      <c r="T2005" s="113" t="n"/>
      <c r="U2005" s="113" t="n"/>
      <c r="V2005" s="113" t="n"/>
      <c r="W2005" s="113" t="n"/>
      <c r="X2005" s="113" t="n"/>
      <c r="Y2005" s="113" t="n"/>
      <c r="Z2005" s="117">
        <f>IF($B2005="",0,IF($S2005="EVET",IF($D2005="GELİR",$O2005,-$O2005),0))</f>
        <v/>
      </c>
      <c r="AA2005" s="117">
        <f>IF($B2005="",0,IF(OR($W2005="EVET",$X2005="EVET",$Y2005="EVET"),0,IF($D2005="GELİR",IF($E2005="SATIŞ İADESİ/İSKONTO",-$O2005,$O2005),-$O2005)))</f>
        <v/>
      </c>
      <c r="AB2005" s="117">
        <f>IF($B2005="","",IF(OR($D2005="",$E2005="",$O2005=""),"EKSİK",IF($O2005&lt;=0,"SIFIR/NEGATİF",IF(COUNTIFS($C$6:$C$5000,$C2005,$O$6:$O$5000,$O2005,$B$6:$B$5000,$B2005)&gt;1,"MÜKERRER","OK"))))</f>
        <v/>
      </c>
    </row>
    <row r="2006" ht="16.5" customHeight="1" s="80">
      <c r="A2006" s="113" t="n"/>
      <c r="B2006" s="113" t="n"/>
      <c r="C2006" s="113" t="n"/>
      <c r="D2006" s="113" t="n"/>
      <c r="E2006" s="113" t="n"/>
      <c r="F2006" s="113" t="n"/>
      <c r="G2006" s="113" t="n"/>
      <c r="H2006" s="113" t="n"/>
      <c r="I2006" s="113" t="n"/>
      <c r="J2006" s="113" t="n"/>
      <c r="K2006" s="113" t="n"/>
      <c r="L2006" s="113" t="n"/>
      <c r="M2006" s="113" t="n"/>
      <c r="N2006" s="113" t="n"/>
      <c r="O2006" s="113" t="n"/>
      <c r="P2006" s="113" t="n"/>
      <c r="Q2006" s="113" t="n"/>
      <c r="R2006" s="113" t="n"/>
      <c r="S2006" s="113" t="n"/>
      <c r="T2006" s="113" t="n"/>
      <c r="U2006" s="113" t="n"/>
      <c r="V2006" s="113" t="n"/>
      <c r="W2006" s="113" t="n"/>
      <c r="X2006" s="113" t="n"/>
      <c r="Y2006" s="113" t="n"/>
      <c r="Z2006" s="117">
        <f>IF($B2006="",0,IF($S2006="EVET",IF($D2006="GELİR",$O2006,-$O2006),0))</f>
        <v/>
      </c>
      <c r="AA2006" s="117">
        <f>IF($B2006="",0,IF(OR($W2006="EVET",$X2006="EVET",$Y2006="EVET"),0,IF($D2006="GELİR",IF($E2006="SATIŞ İADESİ/İSKONTO",-$O2006,$O2006),-$O2006)))</f>
        <v/>
      </c>
      <c r="AB2006" s="117">
        <f>IF($B2006="","",IF(OR($D2006="",$E2006="",$O2006=""),"EKSİK",IF($O2006&lt;=0,"SIFIR/NEGATİF",IF(COUNTIFS($C$6:$C$5000,$C2006,$O$6:$O$5000,$O2006,$B$6:$B$5000,$B2006)&gt;1,"MÜKERRER","OK"))))</f>
        <v/>
      </c>
    </row>
    <row r="2007" ht="16.5" customHeight="1" s="80">
      <c r="A2007" s="113" t="n"/>
      <c r="B2007" s="113" t="n"/>
      <c r="C2007" s="113" t="n"/>
      <c r="D2007" s="113" t="n"/>
      <c r="E2007" s="113" t="n"/>
      <c r="F2007" s="113" t="n"/>
      <c r="G2007" s="113" t="n"/>
      <c r="H2007" s="113" t="n"/>
      <c r="I2007" s="113" t="n"/>
      <c r="J2007" s="113" t="n"/>
      <c r="K2007" s="113" t="n"/>
      <c r="L2007" s="113" t="n"/>
      <c r="M2007" s="113" t="n"/>
      <c r="N2007" s="113" t="n"/>
      <c r="O2007" s="113" t="n"/>
      <c r="P2007" s="113" t="n"/>
      <c r="Q2007" s="113" t="n"/>
      <c r="R2007" s="113" t="n"/>
      <c r="S2007" s="113" t="n"/>
      <c r="T2007" s="113" t="n"/>
      <c r="U2007" s="113" t="n"/>
      <c r="V2007" s="113" t="n"/>
      <c r="W2007" s="113" t="n"/>
      <c r="X2007" s="113" t="n"/>
      <c r="Y2007" s="113" t="n"/>
      <c r="Z2007" s="117">
        <f>IF($B2007="",0,IF($S2007="EVET",IF($D2007="GELİR",$O2007,-$O2007),0))</f>
        <v/>
      </c>
      <c r="AA2007" s="117">
        <f>IF($B2007="",0,IF(OR($W2007="EVET",$X2007="EVET",$Y2007="EVET"),0,IF($D2007="GELİR",IF($E2007="SATIŞ İADESİ/İSKONTO",-$O2007,$O2007),-$O2007)))</f>
        <v/>
      </c>
      <c r="AB2007" s="117">
        <f>IF($B2007="","",IF(OR($D2007="",$E2007="",$O2007=""),"EKSİK",IF($O2007&lt;=0,"SIFIR/NEGATİF",IF(COUNTIFS($C$6:$C$5000,$C2007,$O$6:$O$5000,$O2007,$B$6:$B$5000,$B2007)&gt;1,"MÜKERRER","OK"))))</f>
        <v/>
      </c>
    </row>
    <row r="2008" ht="16.5" customHeight="1" s="80">
      <c r="A2008" s="113" t="n"/>
      <c r="B2008" s="113" t="n"/>
      <c r="C2008" s="113" t="n"/>
      <c r="D2008" s="113" t="n"/>
      <c r="E2008" s="113" t="n"/>
      <c r="F2008" s="113" t="n"/>
      <c r="G2008" s="113" t="n"/>
      <c r="H2008" s="113" t="n"/>
      <c r="I2008" s="113" t="n"/>
      <c r="J2008" s="113" t="n"/>
      <c r="K2008" s="113" t="n"/>
      <c r="L2008" s="113" t="n"/>
      <c r="M2008" s="113" t="n"/>
      <c r="N2008" s="113" t="n"/>
      <c r="O2008" s="113" t="n"/>
      <c r="P2008" s="113" t="n"/>
      <c r="Q2008" s="113" t="n"/>
      <c r="R2008" s="113" t="n"/>
      <c r="S2008" s="113" t="n"/>
      <c r="T2008" s="113" t="n"/>
      <c r="U2008" s="113" t="n"/>
      <c r="V2008" s="113" t="n"/>
      <c r="W2008" s="113" t="n"/>
      <c r="X2008" s="113" t="n"/>
      <c r="Y2008" s="113" t="n"/>
      <c r="Z2008" s="117">
        <f>IF($B2008="",0,IF($S2008="EVET",IF($D2008="GELİR",$O2008,-$O2008),0))</f>
        <v/>
      </c>
      <c r="AA2008" s="117">
        <f>IF($B2008="",0,IF(OR($W2008="EVET",$X2008="EVET",$Y2008="EVET"),0,IF($D2008="GELİR",IF($E2008="SATIŞ İADESİ/İSKONTO",-$O2008,$O2008),-$O2008)))</f>
        <v/>
      </c>
      <c r="AB2008" s="117">
        <f>IF($B2008="","",IF(OR($D2008="",$E2008="",$O2008=""),"EKSİK",IF($O2008&lt;=0,"SIFIR/NEGATİF",IF(COUNTIFS($C$6:$C$5000,$C2008,$O$6:$O$5000,$O2008,$B$6:$B$5000,$B2008)&gt;1,"MÜKERRER","OK"))))</f>
        <v/>
      </c>
    </row>
    <row r="2009" ht="16.5" customHeight="1" s="80">
      <c r="A2009" s="113" t="n"/>
      <c r="B2009" s="113" t="n"/>
      <c r="C2009" s="113" t="n"/>
      <c r="D2009" s="113" t="n"/>
      <c r="E2009" s="113" t="n"/>
      <c r="F2009" s="113" t="n"/>
      <c r="G2009" s="113" t="n"/>
      <c r="H2009" s="113" t="n"/>
      <c r="I2009" s="113" t="n"/>
      <c r="J2009" s="113" t="n"/>
      <c r="K2009" s="113" t="n"/>
      <c r="L2009" s="113" t="n"/>
      <c r="M2009" s="113" t="n"/>
      <c r="N2009" s="113" t="n"/>
      <c r="O2009" s="113" t="n"/>
      <c r="P2009" s="113" t="n"/>
      <c r="Q2009" s="113" t="n"/>
      <c r="R2009" s="113" t="n"/>
      <c r="S2009" s="113" t="n"/>
      <c r="T2009" s="113" t="n"/>
      <c r="U2009" s="113" t="n"/>
      <c r="V2009" s="113" t="n"/>
      <c r="W2009" s="113" t="n"/>
      <c r="X2009" s="113" t="n"/>
      <c r="Y2009" s="113" t="n"/>
      <c r="Z2009" s="117">
        <f>IF($B2009="",0,IF($S2009="EVET",IF($D2009="GELİR",$O2009,-$O2009),0))</f>
        <v/>
      </c>
      <c r="AA2009" s="117">
        <f>IF($B2009="",0,IF(OR($W2009="EVET",$X2009="EVET",$Y2009="EVET"),0,IF($D2009="GELİR",IF($E2009="SATIŞ İADESİ/İSKONTO",-$O2009,$O2009),-$O2009)))</f>
        <v/>
      </c>
      <c r="AB2009" s="117">
        <f>IF($B2009="","",IF(OR($D2009="",$E2009="",$O2009=""),"EKSİK",IF($O2009&lt;=0,"SIFIR/NEGATİF",IF(COUNTIFS($C$6:$C$5000,$C2009,$O$6:$O$5000,$O2009,$B$6:$B$5000,$B2009)&gt;1,"MÜKERRER","OK"))))</f>
        <v/>
      </c>
    </row>
    <row r="2010" ht="16.5" customHeight="1" s="80">
      <c r="A2010" s="113" t="n"/>
      <c r="B2010" s="113" t="n"/>
      <c r="C2010" s="113" t="n"/>
      <c r="D2010" s="113" t="n"/>
      <c r="E2010" s="113" t="n"/>
      <c r="F2010" s="113" t="n"/>
      <c r="G2010" s="113" t="n"/>
      <c r="H2010" s="113" t="n"/>
      <c r="I2010" s="113" t="n"/>
      <c r="J2010" s="113" t="n"/>
      <c r="K2010" s="113" t="n"/>
      <c r="L2010" s="113" t="n"/>
      <c r="M2010" s="113" t="n"/>
      <c r="N2010" s="113" t="n"/>
      <c r="O2010" s="113" t="n"/>
      <c r="P2010" s="113" t="n"/>
      <c r="Q2010" s="113" t="n"/>
      <c r="R2010" s="113" t="n"/>
      <c r="S2010" s="113" t="n"/>
      <c r="T2010" s="113" t="n"/>
      <c r="U2010" s="113" t="n"/>
      <c r="V2010" s="113" t="n"/>
      <c r="W2010" s="113" t="n"/>
      <c r="X2010" s="113" t="n"/>
      <c r="Y2010" s="113" t="n"/>
      <c r="Z2010" s="117">
        <f>IF($B2010="",0,IF($S2010="EVET",IF($D2010="GELİR",$O2010,-$O2010),0))</f>
        <v/>
      </c>
      <c r="AA2010" s="117">
        <f>IF($B2010="",0,IF(OR($W2010="EVET",$X2010="EVET",$Y2010="EVET"),0,IF($D2010="GELİR",IF($E2010="SATIŞ İADESİ/İSKONTO",-$O2010,$O2010),-$O2010)))</f>
        <v/>
      </c>
      <c r="AB2010" s="117">
        <f>IF($B2010="","",IF(OR($D2010="",$E2010="",$O2010=""),"EKSİK",IF($O2010&lt;=0,"SIFIR/NEGATİF",IF(COUNTIFS($C$6:$C$5000,$C2010,$O$6:$O$5000,$O2010,$B$6:$B$5000,$B2010)&gt;1,"MÜKERRER","OK"))))</f>
        <v/>
      </c>
    </row>
    <row r="2011" ht="16.5" customHeight="1" s="80">
      <c r="A2011" s="113" t="n"/>
      <c r="B2011" s="113" t="n"/>
      <c r="C2011" s="113" t="n"/>
      <c r="D2011" s="113" t="n"/>
      <c r="E2011" s="113" t="n"/>
      <c r="F2011" s="113" t="n"/>
      <c r="G2011" s="113" t="n"/>
      <c r="H2011" s="113" t="n"/>
      <c r="I2011" s="113" t="n"/>
      <c r="J2011" s="113" t="n"/>
      <c r="K2011" s="113" t="n"/>
      <c r="L2011" s="113" t="n"/>
      <c r="M2011" s="113" t="n"/>
      <c r="N2011" s="113" t="n"/>
      <c r="O2011" s="113" t="n"/>
      <c r="P2011" s="113" t="n"/>
      <c r="Q2011" s="113" t="n"/>
      <c r="R2011" s="113" t="n"/>
      <c r="S2011" s="113" t="n"/>
      <c r="T2011" s="113" t="n"/>
      <c r="U2011" s="113" t="n"/>
      <c r="V2011" s="113" t="n"/>
      <c r="W2011" s="113" t="n"/>
      <c r="X2011" s="113" t="n"/>
      <c r="Y2011" s="113" t="n"/>
      <c r="Z2011" s="117">
        <f>IF($B2011="",0,IF($S2011="EVET",IF($D2011="GELİR",$O2011,-$O2011),0))</f>
        <v/>
      </c>
      <c r="AA2011" s="117">
        <f>IF($B2011="",0,IF(OR($W2011="EVET",$X2011="EVET",$Y2011="EVET"),0,IF($D2011="GELİR",IF($E2011="SATIŞ İADESİ/İSKONTO",-$O2011,$O2011),-$O2011)))</f>
        <v/>
      </c>
      <c r="AB2011" s="117">
        <f>IF($B2011="","",IF(OR($D2011="",$E2011="",$O2011=""),"EKSİK",IF($O2011&lt;=0,"SIFIR/NEGATİF",IF(COUNTIFS($C$6:$C$5000,$C2011,$O$6:$O$5000,$O2011,$B$6:$B$5000,$B2011)&gt;1,"MÜKERRER","OK"))))</f>
        <v/>
      </c>
    </row>
    <row r="2012" ht="16.5" customHeight="1" s="80">
      <c r="A2012" s="113" t="n"/>
      <c r="B2012" s="113" t="n"/>
      <c r="C2012" s="113" t="n"/>
      <c r="D2012" s="113" t="n"/>
      <c r="E2012" s="113" t="n"/>
      <c r="F2012" s="113" t="n"/>
      <c r="G2012" s="113" t="n"/>
      <c r="H2012" s="113" t="n"/>
      <c r="I2012" s="113" t="n"/>
      <c r="J2012" s="113" t="n"/>
      <c r="K2012" s="113" t="n"/>
      <c r="L2012" s="113" t="n"/>
      <c r="M2012" s="113" t="n"/>
      <c r="N2012" s="113" t="n"/>
      <c r="O2012" s="113" t="n"/>
      <c r="P2012" s="113" t="n"/>
      <c r="Q2012" s="113" t="n"/>
      <c r="R2012" s="113" t="n"/>
      <c r="S2012" s="113" t="n"/>
      <c r="T2012" s="113" t="n"/>
      <c r="U2012" s="113" t="n"/>
      <c r="V2012" s="113" t="n"/>
      <c r="W2012" s="113" t="n"/>
      <c r="X2012" s="113" t="n"/>
      <c r="Y2012" s="113" t="n"/>
      <c r="Z2012" s="117">
        <f>IF($B2012="",0,IF($S2012="EVET",IF($D2012="GELİR",$O2012,-$O2012),0))</f>
        <v/>
      </c>
      <c r="AA2012" s="117">
        <f>IF($B2012="",0,IF(OR($W2012="EVET",$X2012="EVET",$Y2012="EVET"),0,IF($D2012="GELİR",IF($E2012="SATIŞ İADESİ/İSKONTO",-$O2012,$O2012),-$O2012)))</f>
        <v/>
      </c>
      <c r="AB2012" s="117">
        <f>IF($B2012="","",IF(OR($D2012="",$E2012="",$O2012=""),"EKSİK",IF($O2012&lt;=0,"SIFIR/NEGATİF",IF(COUNTIFS($C$6:$C$5000,$C2012,$O$6:$O$5000,$O2012,$B$6:$B$5000,$B2012)&gt;1,"MÜKERRER","OK"))))</f>
        <v/>
      </c>
    </row>
    <row r="2013" ht="16.5" customHeight="1" s="80">
      <c r="A2013" s="113" t="n"/>
      <c r="B2013" s="113" t="n"/>
      <c r="C2013" s="113" t="n"/>
      <c r="D2013" s="113" t="n"/>
      <c r="E2013" s="113" t="n"/>
      <c r="F2013" s="113" t="n"/>
      <c r="G2013" s="113" t="n"/>
      <c r="H2013" s="113" t="n"/>
      <c r="I2013" s="113" t="n"/>
      <c r="J2013" s="113" t="n"/>
      <c r="K2013" s="113" t="n"/>
      <c r="L2013" s="113" t="n"/>
      <c r="M2013" s="113" t="n"/>
      <c r="N2013" s="113" t="n"/>
      <c r="O2013" s="113" t="n"/>
      <c r="P2013" s="113" t="n"/>
      <c r="Q2013" s="113" t="n"/>
      <c r="R2013" s="113" t="n"/>
      <c r="S2013" s="113" t="n"/>
      <c r="T2013" s="113" t="n"/>
      <c r="U2013" s="113" t="n"/>
      <c r="V2013" s="113" t="n"/>
      <c r="W2013" s="113" t="n"/>
      <c r="X2013" s="113" t="n"/>
      <c r="Y2013" s="113" t="n"/>
      <c r="Z2013" s="117">
        <f>IF($B2013="",0,IF($S2013="EVET",IF($D2013="GELİR",$O2013,-$O2013),0))</f>
        <v/>
      </c>
      <c r="AA2013" s="117">
        <f>IF($B2013="",0,IF(OR($W2013="EVET",$X2013="EVET",$Y2013="EVET"),0,IF($D2013="GELİR",IF($E2013="SATIŞ İADESİ/İSKONTO",-$O2013,$O2013),-$O2013)))</f>
        <v/>
      </c>
      <c r="AB2013" s="117">
        <f>IF($B2013="","",IF(OR($D2013="",$E2013="",$O2013=""),"EKSİK",IF($O2013&lt;=0,"SIFIR/NEGATİF",IF(COUNTIFS($C$6:$C$5000,$C2013,$O$6:$O$5000,$O2013,$B$6:$B$5000,$B2013)&gt;1,"MÜKERRER","OK"))))</f>
        <v/>
      </c>
    </row>
    <row r="2014" ht="16.5" customHeight="1" s="80">
      <c r="A2014" s="113" t="n"/>
      <c r="B2014" s="113" t="n"/>
      <c r="C2014" s="113" t="n"/>
      <c r="D2014" s="113" t="n"/>
      <c r="E2014" s="113" t="n"/>
      <c r="F2014" s="113" t="n"/>
      <c r="G2014" s="113" t="n"/>
      <c r="H2014" s="113" t="n"/>
      <c r="I2014" s="113" t="n"/>
      <c r="J2014" s="113" t="n"/>
      <c r="K2014" s="113" t="n"/>
      <c r="L2014" s="113" t="n"/>
      <c r="M2014" s="113" t="n"/>
      <c r="N2014" s="113" t="n"/>
      <c r="O2014" s="113" t="n"/>
      <c r="P2014" s="113" t="n"/>
      <c r="Q2014" s="113" t="n"/>
      <c r="R2014" s="113" t="n"/>
      <c r="S2014" s="113" t="n"/>
      <c r="T2014" s="113" t="n"/>
      <c r="U2014" s="113" t="n"/>
      <c r="V2014" s="113" t="n"/>
      <c r="W2014" s="113" t="n"/>
      <c r="X2014" s="113" t="n"/>
      <c r="Y2014" s="113" t="n"/>
      <c r="Z2014" s="117">
        <f>IF($B2014="",0,IF($S2014="EVET",IF($D2014="GELİR",$O2014,-$O2014),0))</f>
        <v/>
      </c>
      <c r="AA2014" s="117">
        <f>IF($B2014="",0,IF(OR($W2014="EVET",$X2014="EVET",$Y2014="EVET"),0,IF($D2014="GELİR",IF($E2014="SATIŞ İADESİ/İSKONTO",-$O2014,$O2014),-$O2014)))</f>
        <v/>
      </c>
      <c r="AB2014" s="117">
        <f>IF($B2014="","",IF(OR($D2014="",$E2014="",$O2014=""),"EKSİK",IF($O2014&lt;=0,"SIFIR/NEGATİF",IF(COUNTIFS($C$6:$C$5000,$C2014,$O$6:$O$5000,$O2014,$B$6:$B$5000,$B2014)&gt;1,"MÜKERRER","OK"))))</f>
        <v/>
      </c>
    </row>
    <row r="2015" ht="16.5" customHeight="1" s="80">
      <c r="A2015" s="113" t="n"/>
      <c r="B2015" s="113" t="n"/>
      <c r="C2015" s="113" t="n"/>
      <c r="D2015" s="113" t="n"/>
      <c r="E2015" s="113" t="n"/>
      <c r="F2015" s="113" t="n"/>
      <c r="G2015" s="113" t="n"/>
      <c r="H2015" s="113" t="n"/>
      <c r="I2015" s="113" t="n"/>
      <c r="J2015" s="113" t="n"/>
      <c r="K2015" s="113" t="n"/>
      <c r="L2015" s="113" t="n"/>
      <c r="M2015" s="113" t="n"/>
      <c r="N2015" s="113" t="n"/>
      <c r="O2015" s="113" t="n"/>
      <c r="P2015" s="113" t="n"/>
      <c r="Q2015" s="113" t="n"/>
      <c r="R2015" s="113" t="n"/>
      <c r="S2015" s="113" t="n"/>
      <c r="T2015" s="113" t="n"/>
      <c r="U2015" s="113" t="n"/>
      <c r="V2015" s="113" t="n"/>
      <c r="W2015" s="113" t="n"/>
      <c r="X2015" s="113" t="n"/>
      <c r="Y2015" s="113" t="n"/>
      <c r="Z2015" s="117">
        <f>IF($B2015="",0,IF($S2015="EVET",IF($D2015="GELİR",$O2015,-$O2015),0))</f>
        <v/>
      </c>
      <c r="AA2015" s="117">
        <f>IF($B2015="",0,IF(OR($W2015="EVET",$X2015="EVET",$Y2015="EVET"),0,IF($D2015="GELİR",IF($E2015="SATIŞ İADESİ/İSKONTO",-$O2015,$O2015),-$O2015)))</f>
        <v/>
      </c>
      <c r="AB2015" s="117">
        <f>IF($B2015="","",IF(OR($D2015="",$E2015="",$O2015=""),"EKSİK",IF($O2015&lt;=0,"SIFIR/NEGATİF",IF(COUNTIFS($C$6:$C$5000,$C2015,$O$6:$O$5000,$O2015,$B$6:$B$5000,$B2015)&gt;1,"MÜKERRER","OK"))))</f>
        <v/>
      </c>
    </row>
    <row r="2016" ht="16.5" customHeight="1" s="80">
      <c r="A2016" s="113" t="n"/>
      <c r="B2016" s="113" t="n"/>
      <c r="C2016" s="113" t="n"/>
      <c r="D2016" s="113" t="n"/>
      <c r="E2016" s="113" t="n"/>
      <c r="F2016" s="113" t="n"/>
      <c r="G2016" s="113" t="n"/>
      <c r="H2016" s="113" t="n"/>
      <c r="I2016" s="113" t="n"/>
      <c r="J2016" s="113" t="n"/>
      <c r="K2016" s="113" t="n"/>
      <c r="L2016" s="113" t="n"/>
      <c r="M2016" s="113" t="n"/>
      <c r="N2016" s="113" t="n"/>
      <c r="O2016" s="113" t="n"/>
      <c r="P2016" s="113" t="n"/>
      <c r="Q2016" s="113" t="n"/>
      <c r="R2016" s="113" t="n"/>
      <c r="S2016" s="113" t="n"/>
      <c r="T2016" s="113" t="n"/>
      <c r="U2016" s="113" t="n"/>
      <c r="V2016" s="113" t="n"/>
      <c r="W2016" s="113" t="n"/>
      <c r="X2016" s="113" t="n"/>
      <c r="Y2016" s="113" t="n"/>
      <c r="Z2016" s="117">
        <f>IF($B2016="",0,IF($S2016="EVET",IF($D2016="GELİR",$O2016,-$O2016),0))</f>
        <v/>
      </c>
      <c r="AA2016" s="117">
        <f>IF($B2016="",0,IF(OR($W2016="EVET",$X2016="EVET",$Y2016="EVET"),0,IF($D2016="GELİR",IF($E2016="SATIŞ İADESİ/İSKONTO",-$O2016,$O2016),-$O2016)))</f>
        <v/>
      </c>
      <c r="AB2016" s="117">
        <f>IF($B2016="","",IF(OR($D2016="",$E2016="",$O2016=""),"EKSİK",IF($O2016&lt;=0,"SIFIR/NEGATİF",IF(COUNTIFS($C$6:$C$5000,$C2016,$O$6:$O$5000,$O2016,$B$6:$B$5000,$B2016)&gt;1,"MÜKERRER","OK"))))</f>
        <v/>
      </c>
    </row>
    <row r="2017" ht="16.5" customHeight="1" s="80">
      <c r="A2017" s="113" t="n"/>
      <c r="B2017" s="113" t="n"/>
      <c r="C2017" s="113" t="n"/>
      <c r="D2017" s="113" t="n"/>
      <c r="E2017" s="113" t="n"/>
      <c r="F2017" s="113" t="n"/>
      <c r="G2017" s="113" t="n"/>
      <c r="H2017" s="113" t="n"/>
      <c r="I2017" s="113" t="n"/>
      <c r="J2017" s="113" t="n"/>
      <c r="K2017" s="113" t="n"/>
      <c r="L2017" s="113" t="n"/>
      <c r="M2017" s="113" t="n"/>
      <c r="N2017" s="113" t="n"/>
      <c r="O2017" s="113" t="n"/>
      <c r="P2017" s="113" t="n"/>
      <c r="Q2017" s="113" t="n"/>
      <c r="R2017" s="113" t="n"/>
      <c r="S2017" s="113" t="n"/>
      <c r="T2017" s="113" t="n"/>
      <c r="U2017" s="113" t="n"/>
      <c r="V2017" s="113" t="n"/>
      <c r="W2017" s="113" t="n"/>
      <c r="X2017" s="113" t="n"/>
      <c r="Y2017" s="113" t="n"/>
      <c r="Z2017" s="117">
        <f>IF($B2017="",0,IF($S2017="EVET",IF($D2017="GELİR",$O2017,-$O2017),0))</f>
        <v/>
      </c>
      <c r="AA2017" s="117">
        <f>IF($B2017="",0,IF(OR($W2017="EVET",$X2017="EVET",$Y2017="EVET"),0,IF($D2017="GELİR",IF($E2017="SATIŞ İADESİ/İSKONTO",-$O2017,$O2017),-$O2017)))</f>
        <v/>
      </c>
      <c r="AB2017" s="117">
        <f>IF($B2017="","",IF(OR($D2017="",$E2017="",$O2017=""),"EKSİK",IF($O2017&lt;=0,"SIFIR/NEGATİF",IF(COUNTIFS($C$6:$C$5000,$C2017,$O$6:$O$5000,$O2017,$B$6:$B$5000,$B2017)&gt;1,"MÜKERRER","OK"))))</f>
        <v/>
      </c>
    </row>
    <row r="2018" ht="16.5" customHeight="1" s="80">
      <c r="A2018" s="113" t="n"/>
      <c r="B2018" s="113" t="n"/>
      <c r="C2018" s="113" t="n"/>
      <c r="D2018" s="113" t="n"/>
      <c r="E2018" s="113" t="n"/>
      <c r="F2018" s="113" t="n"/>
      <c r="G2018" s="113" t="n"/>
      <c r="H2018" s="113" t="n"/>
      <c r="I2018" s="113" t="n"/>
      <c r="J2018" s="113" t="n"/>
      <c r="K2018" s="113" t="n"/>
      <c r="L2018" s="113" t="n"/>
      <c r="M2018" s="113" t="n"/>
      <c r="N2018" s="113" t="n"/>
      <c r="O2018" s="113" t="n"/>
      <c r="P2018" s="113" t="n"/>
      <c r="Q2018" s="113" t="n"/>
      <c r="R2018" s="113" t="n"/>
      <c r="S2018" s="113" t="n"/>
      <c r="T2018" s="113" t="n"/>
      <c r="U2018" s="113" t="n"/>
      <c r="V2018" s="113" t="n"/>
      <c r="W2018" s="113" t="n"/>
      <c r="X2018" s="113" t="n"/>
      <c r="Y2018" s="113" t="n"/>
      <c r="Z2018" s="117">
        <f>IF($B2018="",0,IF($S2018="EVET",IF($D2018="GELİR",$O2018,-$O2018),0))</f>
        <v/>
      </c>
      <c r="AA2018" s="117">
        <f>IF($B2018="",0,IF(OR($W2018="EVET",$X2018="EVET",$Y2018="EVET"),0,IF($D2018="GELİR",IF($E2018="SATIŞ İADESİ/İSKONTO",-$O2018,$O2018),-$O2018)))</f>
        <v/>
      </c>
      <c r="AB2018" s="117">
        <f>IF($B2018="","",IF(OR($D2018="",$E2018="",$O2018=""),"EKSİK",IF($O2018&lt;=0,"SIFIR/NEGATİF",IF(COUNTIFS($C$6:$C$5000,$C2018,$O$6:$O$5000,$O2018,$B$6:$B$5000,$B2018)&gt;1,"MÜKERRER","OK"))))</f>
        <v/>
      </c>
    </row>
    <row r="2019" ht="16.5" customHeight="1" s="80">
      <c r="A2019" s="113" t="n"/>
      <c r="B2019" s="113" t="n"/>
      <c r="C2019" s="113" t="n"/>
      <c r="D2019" s="113" t="n"/>
      <c r="E2019" s="113" t="n"/>
      <c r="F2019" s="113" t="n"/>
      <c r="G2019" s="113" t="n"/>
      <c r="H2019" s="113" t="n"/>
      <c r="I2019" s="113" t="n"/>
      <c r="J2019" s="113" t="n"/>
      <c r="K2019" s="113" t="n"/>
      <c r="L2019" s="113" t="n"/>
      <c r="M2019" s="113" t="n"/>
      <c r="N2019" s="113" t="n"/>
      <c r="O2019" s="113" t="n"/>
      <c r="P2019" s="113" t="n"/>
      <c r="Q2019" s="113" t="n"/>
      <c r="R2019" s="113" t="n"/>
      <c r="S2019" s="113" t="n"/>
      <c r="T2019" s="113" t="n"/>
      <c r="U2019" s="113" t="n"/>
      <c r="V2019" s="113" t="n"/>
      <c r="W2019" s="113" t="n"/>
      <c r="X2019" s="113" t="n"/>
      <c r="Y2019" s="113" t="n"/>
      <c r="Z2019" s="117">
        <f>IF($B2019="",0,IF($S2019="EVET",IF($D2019="GELİR",$O2019,-$O2019),0))</f>
        <v/>
      </c>
      <c r="AA2019" s="117">
        <f>IF($B2019="",0,IF(OR($W2019="EVET",$X2019="EVET",$Y2019="EVET"),0,IF($D2019="GELİR",IF($E2019="SATIŞ İADESİ/İSKONTO",-$O2019,$O2019),-$O2019)))</f>
        <v/>
      </c>
      <c r="AB2019" s="117">
        <f>IF($B2019="","",IF(OR($D2019="",$E2019="",$O2019=""),"EKSİK",IF($O2019&lt;=0,"SIFIR/NEGATİF",IF(COUNTIFS($C$6:$C$5000,$C2019,$O$6:$O$5000,$O2019,$B$6:$B$5000,$B2019)&gt;1,"MÜKERRER","OK"))))</f>
        <v/>
      </c>
    </row>
    <row r="2020" ht="16.5" customHeight="1" s="80">
      <c r="A2020" s="113" t="n"/>
      <c r="B2020" s="113" t="n"/>
      <c r="C2020" s="113" t="n"/>
      <c r="D2020" s="113" t="n"/>
      <c r="E2020" s="113" t="n"/>
      <c r="F2020" s="113" t="n"/>
      <c r="G2020" s="113" t="n"/>
      <c r="H2020" s="113" t="n"/>
      <c r="I2020" s="113" t="n"/>
      <c r="J2020" s="113" t="n"/>
      <c r="K2020" s="113" t="n"/>
      <c r="L2020" s="113" t="n"/>
      <c r="M2020" s="113" t="n"/>
      <c r="N2020" s="113" t="n"/>
      <c r="O2020" s="113" t="n"/>
      <c r="P2020" s="113" t="n"/>
      <c r="Q2020" s="113" t="n"/>
      <c r="R2020" s="113" t="n"/>
      <c r="S2020" s="113" t="n"/>
      <c r="T2020" s="113" t="n"/>
      <c r="U2020" s="113" t="n"/>
      <c r="V2020" s="113" t="n"/>
      <c r="W2020" s="113" t="n"/>
      <c r="X2020" s="113" t="n"/>
      <c r="Y2020" s="113" t="n"/>
      <c r="Z2020" s="117">
        <f>IF($B2020="",0,IF($S2020="EVET",IF($D2020="GELİR",$O2020,-$O2020),0))</f>
        <v/>
      </c>
      <c r="AA2020" s="117">
        <f>IF($B2020="",0,IF(OR($W2020="EVET",$X2020="EVET",$Y2020="EVET"),0,IF($D2020="GELİR",IF($E2020="SATIŞ İADESİ/İSKONTO",-$O2020,$O2020),-$O2020)))</f>
        <v/>
      </c>
      <c r="AB2020" s="117">
        <f>IF($B2020="","",IF(OR($D2020="",$E2020="",$O2020=""),"EKSİK",IF($O2020&lt;=0,"SIFIR/NEGATİF",IF(COUNTIFS($C$6:$C$5000,$C2020,$O$6:$O$5000,$O2020,$B$6:$B$5000,$B2020)&gt;1,"MÜKERRER","OK"))))</f>
        <v/>
      </c>
    </row>
    <row r="2021" ht="16.5" customHeight="1" s="80">
      <c r="A2021" s="113" t="n"/>
      <c r="B2021" s="113" t="n"/>
      <c r="C2021" s="113" t="n"/>
      <c r="D2021" s="113" t="n"/>
      <c r="E2021" s="113" t="n"/>
      <c r="F2021" s="113" t="n"/>
      <c r="G2021" s="113" t="n"/>
      <c r="H2021" s="113" t="n"/>
      <c r="I2021" s="113" t="n"/>
      <c r="J2021" s="113" t="n"/>
      <c r="K2021" s="113" t="n"/>
      <c r="L2021" s="113" t="n"/>
      <c r="M2021" s="113" t="n"/>
      <c r="N2021" s="113" t="n"/>
      <c r="O2021" s="113" t="n"/>
      <c r="P2021" s="113" t="n"/>
      <c r="Q2021" s="113" t="n"/>
      <c r="R2021" s="113" t="n"/>
      <c r="S2021" s="113" t="n"/>
      <c r="T2021" s="113" t="n"/>
      <c r="U2021" s="113" t="n"/>
      <c r="V2021" s="113" t="n"/>
      <c r="W2021" s="113" t="n"/>
      <c r="X2021" s="113" t="n"/>
      <c r="Y2021" s="113" t="n"/>
      <c r="Z2021" s="117">
        <f>IF($B2021="",0,IF($S2021="EVET",IF($D2021="GELİR",$O2021,-$O2021),0))</f>
        <v/>
      </c>
      <c r="AA2021" s="117">
        <f>IF($B2021="",0,IF(OR($W2021="EVET",$X2021="EVET",$Y2021="EVET"),0,IF($D2021="GELİR",IF($E2021="SATIŞ İADESİ/İSKONTO",-$O2021,$O2021),-$O2021)))</f>
        <v/>
      </c>
      <c r="AB2021" s="117">
        <f>IF($B2021="","",IF(OR($D2021="",$E2021="",$O2021=""),"EKSİK",IF($O2021&lt;=0,"SIFIR/NEGATİF",IF(COUNTIFS($C$6:$C$5000,$C2021,$O$6:$O$5000,$O2021,$B$6:$B$5000,$B2021)&gt;1,"MÜKERRER","OK"))))</f>
        <v/>
      </c>
    </row>
    <row r="2022" ht="16.5" customHeight="1" s="80">
      <c r="A2022" s="113" t="n"/>
      <c r="B2022" s="113" t="n"/>
      <c r="C2022" s="113" t="n"/>
      <c r="D2022" s="113" t="n"/>
      <c r="E2022" s="113" t="n"/>
      <c r="F2022" s="113" t="n"/>
      <c r="G2022" s="113" t="n"/>
      <c r="H2022" s="113" t="n"/>
      <c r="I2022" s="113" t="n"/>
      <c r="J2022" s="113" t="n"/>
      <c r="K2022" s="113" t="n"/>
      <c r="L2022" s="113" t="n"/>
      <c r="M2022" s="113" t="n"/>
      <c r="N2022" s="113" t="n"/>
      <c r="O2022" s="113" t="n"/>
      <c r="P2022" s="113" t="n"/>
      <c r="Q2022" s="113" t="n"/>
      <c r="R2022" s="113" t="n"/>
      <c r="S2022" s="113" t="n"/>
      <c r="T2022" s="113" t="n"/>
      <c r="U2022" s="113" t="n"/>
      <c r="V2022" s="113" t="n"/>
      <c r="W2022" s="113" t="n"/>
      <c r="X2022" s="113" t="n"/>
      <c r="Y2022" s="113" t="n"/>
      <c r="Z2022" s="117">
        <f>IF($B2022="",0,IF($S2022="EVET",IF($D2022="GELİR",$O2022,-$O2022),0))</f>
        <v/>
      </c>
      <c r="AA2022" s="117">
        <f>IF($B2022="",0,IF(OR($W2022="EVET",$X2022="EVET",$Y2022="EVET"),0,IF($D2022="GELİR",IF($E2022="SATIŞ İADESİ/İSKONTO",-$O2022,$O2022),-$O2022)))</f>
        <v/>
      </c>
      <c r="AB2022" s="117">
        <f>IF($B2022="","",IF(OR($D2022="",$E2022="",$O2022=""),"EKSİK",IF($O2022&lt;=0,"SIFIR/NEGATİF",IF(COUNTIFS($C$6:$C$5000,$C2022,$O$6:$O$5000,$O2022,$B$6:$B$5000,$B2022)&gt;1,"MÜKERRER","OK"))))</f>
        <v/>
      </c>
    </row>
    <row r="2023" ht="16.5" customHeight="1" s="80">
      <c r="A2023" s="113" t="n"/>
      <c r="B2023" s="113" t="n"/>
      <c r="C2023" s="113" t="n"/>
      <c r="D2023" s="113" t="n"/>
      <c r="E2023" s="113" t="n"/>
      <c r="F2023" s="113" t="n"/>
      <c r="G2023" s="113" t="n"/>
      <c r="H2023" s="113" t="n"/>
      <c r="I2023" s="113" t="n"/>
      <c r="J2023" s="113" t="n"/>
      <c r="K2023" s="113" t="n"/>
      <c r="L2023" s="113" t="n"/>
      <c r="M2023" s="113" t="n"/>
      <c r="N2023" s="113" t="n"/>
      <c r="O2023" s="113" t="n"/>
      <c r="P2023" s="113" t="n"/>
      <c r="Q2023" s="113" t="n"/>
      <c r="R2023" s="113" t="n"/>
      <c r="S2023" s="113" t="n"/>
      <c r="T2023" s="113" t="n"/>
      <c r="U2023" s="113" t="n"/>
      <c r="V2023" s="113" t="n"/>
      <c r="W2023" s="113" t="n"/>
      <c r="X2023" s="113" t="n"/>
      <c r="Y2023" s="113" t="n"/>
      <c r="Z2023" s="117">
        <f>IF($B2023="",0,IF($S2023="EVET",IF($D2023="GELİR",$O2023,-$O2023),0))</f>
        <v/>
      </c>
      <c r="AA2023" s="117">
        <f>IF($B2023="",0,IF(OR($W2023="EVET",$X2023="EVET",$Y2023="EVET"),0,IF($D2023="GELİR",IF($E2023="SATIŞ İADESİ/İSKONTO",-$O2023,$O2023),-$O2023)))</f>
        <v/>
      </c>
      <c r="AB2023" s="117">
        <f>IF($B2023="","",IF(OR($D2023="",$E2023="",$O2023=""),"EKSİK",IF($O2023&lt;=0,"SIFIR/NEGATİF",IF(COUNTIFS($C$6:$C$5000,$C2023,$O$6:$O$5000,$O2023,$B$6:$B$5000,$B2023)&gt;1,"MÜKERRER","OK"))))</f>
        <v/>
      </c>
    </row>
    <row r="2024" ht="16.5" customHeight="1" s="80">
      <c r="A2024" s="113" t="n"/>
      <c r="B2024" s="113" t="n"/>
      <c r="C2024" s="113" t="n"/>
      <c r="D2024" s="113" t="n"/>
      <c r="E2024" s="113" t="n"/>
      <c r="F2024" s="113" t="n"/>
      <c r="G2024" s="113" t="n"/>
      <c r="H2024" s="113" t="n"/>
      <c r="I2024" s="113" t="n"/>
      <c r="J2024" s="113" t="n"/>
      <c r="K2024" s="113" t="n"/>
      <c r="L2024" s="113" t="n"/>
      <c r="M2024" s="113" t="n"/>
      <c r="N2024" s="113" t="n"/>
      <c r="O2024" s="113" t="n"/>
      <c r="P2024" s="113" t="n"/>
      <c r="Q2024" s="113" t="n"/>
      <c r="R2024" s="113" t="n"/>
      <c r="S2024" s="113" t="n"/>
      <c r="T2024" s="113" t="n"/>
      <c r="U2024" s="113" t="n"/>
      <c r="V2024" s="113" t="n"/>
      <c r="W2024" s="113" t="n"/>
      <c r="X2024" s="113" t="n"/>
      <c r="Y2024" s="113" t="n"/>
      <c r="Z2024" s="117">
        <f>IF($B2024="",0,IF($S2024="EVET",IF($D2024="GELİR",$O2024,-$O2024),0))</f>
        <v/>
      </c>
      <c r="AA2024" s="117">
        <f>IF($B2024="",0,IF(OR($W2024="EVET",$X2024="EVET",$Y2024="EVET"),0,IF($D2024="GELİR",IF($E2024="SATIŞ İADESİ/İSKONTO",-$O2024,$O2024),-$O2024)))</f>
        <v/>
      </c>
      <c r="AB2024" s="117">
        <f>IF($B2024="","",IF(OR($D2024="",$E2024="",$O2024=""),"EKSİK",IF($O2024&lt;=0,"SIFIR/NEGATİF",IF(COUNTIFS($C$6:$C$5000,$C2024,$O$6:$O$5000,$O2024,$B$6:$B$5000,$B2024)&gt;1,"MÜKERRER","OK"))))</f>
        <v/>
      </c>
    </row>
    <row r="2025" ht="16.5" customHeight="1" s="80">
      <c r="A2025" s="113" t="n"/>
      <c r="B2025" s="113" t="n"/>
      <c r="C2025" s="113" t="n"/>
      <c r="D2025" s="113" t="n"/>
      <c r="E2025" s="113" t="n"/>
      <c r="F2025" s="113" t="n"/>
      <c r="G2025" s="113" t="n"/>
      <c r="H2025" s="113" t="n"/>
      <c r="I2025" s="113" t="n"/>
      <c r="J2025" s="113" t="n"/>
      <c r="K2025" s="113" t="n"/>
      <c r="L2025" s="113" t="n"/>
      <c r="M2025" s="113" t="n"/>
      <c r="N2025" s="113" t="n"/>
      <c r="O2025" s="113" t="n"/>
      <c r="P2025" s="113" t="n"/>
      <c r="Q2025" s="113" t="n"/>
      <c r="R2025" s="113" t="n"/>
      <c r="S2025" s="113" t="n"/>
      <c r="T2025" s="113" t="n"/>
      <c r="U2025" s="113" t="n"/>
      <c r="V2025" s="113" t="n"/>
      <c r="W2025" s="113" t="n"/>
      <c r="X2025" s="113" t="n"/>
      <c r="Y2025" s="113" t="n"/>
      <c r="Z2025" s="117">
        <f>IF($B2025="",0,IF($S2025="EVET",IF($D2025="GELİR",$O2025,-$O2025),0))</f>
        <v/>
      </c>
      <c r="AA2025" s="117">
        <f>IF($B2025="",0,IF(OR($W2025="EVET",$X2025="EVET",$Y2025="EVET"),0,IF($D2025="GELİR",IF($E2025="SATIŞ İADESİ/İSKONTO",-$O2025,$O2025),-$O2025)))</f>
        <v/>
      </c>
      <c r="AB2025" s="117">
        <f>IF($B2025="","",IF(OR($D2025="",$E2025="",$O2025=""),"EKSİK",IF($O2025&lt;=0,"SIFIR/NEGATİF",IF(COUNTIFS($C$6:$C$5000,$C2025,$O$6:$O$5000,$O2025,$B$6:$B$5000,$B2025)&gt;1,"MÜKERRER","OK"))))</f>
        <v/>
      </c>
    </row>
    <row r="2026" ht="16.5" customHeight="1" s="80">
      <c r="A2026" s="113" t="n"/>
      <c r="B2026" s="113" t="n"/>
      <c r="C2026" s="113" t="n"/>
      <c r="D2026" s="113" t="n"/>
      <c r="E2026" s="113" t="n"/>
      <c r="F2026" s="113" t="n"/>
      <c r="G2026" s="113" t="n"/>
      <c r="H2026" s="113" t="n"/>
      <c r="I2026" s="113" t="n"/>
      <c r="J2026" s="113" t="n"/>
      <c r="K2026" s="113" t="n"/>
      <c r="L2026" s="113" t="n"/>
      <c r="M2026" s="113" t="n"/>
      <c r="N2026" s="113" t="n"/>
      <c r="O2026" s="113" t="n"/>
      <c r="P2026" s="113" t="n"/>
      <c r="Q2026" s="113" t="n"/>
      <c r="R2026" s="113" t="n"/>
      <c r="S2026" s="113" t="n"/>
      <c r="T2026" s="113" t="n"/>
      <c r="U2026" s="113" t="n"/>
      <c r="V2026" s="113" t="n"/>
      <c r="W2026" s="113" t="n"/>
      <c r="X2026" s="113" t="n"/>
      <c r="Y2026" s="113" t="n"/>
      <c r="Z2026" s="117">
        <f>IF($B2026="",0,IF($S2026="EVET",IF($D2026="GELİR",$O2026,-$O2026),0))</f>
        <v/>
      </c>
      <c r="AA2026" s="117">
        <f>IF($B2026="",0,IF(OR($W2026="EVET",$X2026="EVET",$Y2026="EVET"),0,IF($D2026="GELİR",IF($E2026="SATIŞ İADESİ/İSKONTO",-$O2026,$O2026),-$O2026)))</f>
        <v/>
      </c>
      <c r="AB2026" s="117">
        <f>IF($B2026="","",IF(OR($D2026="",$E2026="",$O2026=""),"EKSİK",IF($O2026&lt;=0,"SIFIR/NEGATİF",IF(COUNTIFS($C$6:$C$5000,$C2026,$O$6:$O$5000,$O2026,$B$6:$B$5000,$B2026)&gt;1,"MÜKERRER","OK"))))</f>
        <v/>
      </c>
    </row>
    <row r="2027" ht="16.5" customHeight="1" s="80">
      <c r="A2027" s="113" t="n"/>
      <c r="B2027" s="113" t="n"/>
      <c r="C2027" s="113" t="n"/>
      <c r="D2027" s="113" t="n"/>
      <c r="E2027" s="113" t="n"/>
      <c r="F2027" s="113" t="n"/>
      <c r="G2027" s="113" t="n"/>
      <c r="H2027" s="113" t="n"/>
      <c r="I2027" s="113" t="n"/>
      <c r="J2027" s="113" t="n"/>
      <c r="K2027" s="113" t="n"/>
      <c r="L2027" s="113" t="n"/>
      <c r="M2027" s="113" t="n"/>
      <c r="N2027" s="113" t="n"/>
      <c r="O2027" s="113" t="n"/>
      <c r="P2027" s="113" t="n"/>
      <c r="Q2027" s="113" t="n"/>
      <c r="R2027" s="113" t="n"/>
      <c r="S2027" s="113" t="n"/>
      <c r="T2027" s="113" t="n"/>
      <c r="U2027" s="113" t="n"/>
      <c r="V2027" s="113" t="n"/>
      <c r="W2027" s="113" t="n"/>
      <c r="X2027" s="113" t="n"/>
      <c r="Y2027" s="113" t="n"/>
      <c r="Z2027" s="117">
        <f>IF($B2027="",0,IF($S2027="EVET",IF($D2027="GELİR",$O2027,-$O2027),0))</f>
        <v/>
      </c>
      <c r="AA2027" s="117">
        <f>IF($B2027="",0,IF(OR($W2027="EVET",$X2027="EVET",$Y2027="EVET"),0,IF($D2027="GELİR",IF($E2027="SATIŞ İADESİ/İSKONTO",-$O2027,$O2027),-$O2027)))</f>
        <v/>
      </c>
      <c r="AB2027" s="117">
        <f>IF($B2027="","",IF(OR($D2027="",$E2027="",$O2027=""),"EKSİK",IF($O2027&lt;=0,"SIFIR/NEGATİF",IF(COUNTIFS($C$6:$C$5000,$C2027,$O$6:$O$5000,$O2027,$B$6:$B$5000,$B2027)&gt;1,"MÜKERRER","OK"))))</f>
        <v/>
      </c>
    </row>
    <row r="2028" ht="16.5" customHeight="1" s="80">
      <c r="A2028" s="113" t="n"/>
      <c r="B2028" s="113" t="n"/>
      <c r="C2028" s="113" t="n"/>
      <c r="D2028" s="113" t="n"/>
      <c r="E2028" s="113" t="n"/>
      <c r="F2028" s="113" t="n"/>
      <c r="G2028" s="113" t="n"/>
      <c r="H2028" s="113" t="n"/>
      <c r="I2028" s="113" t="n"/>
      <c r="J2028" s="113" t="n"/>
      <c r="K2028" s="113" t="n"/>
      <c r="L2028" s="113" t="n"/>
      <c r="M2028" s="113" t="n"/>
      <c r="N2028" s="113" t="n"/>
      <c r="O2028" s="113" t="n"/>
      <c r="P2028" s="113" t="n"/>
      <c r="Q2028" s="113" t="n"/>
      <c r="R2028" s="113" t="n"/>
      <c r="S2028" s="113" t="n"/>
      <c r="T2028" s="113" t="n"/>
      <c r="U2028" s="113" t="n"/>
      <c r="V2028" s="113" t="n"/>
      <c r="W2028" s="113" t="n"/>
      <c r="X2028" s="113" t="n"/>
      <c r="Y2028" s="113" t="n"/>
      <c r="Z2028" s="117">
        <f>IF($B2028="",0,IF($S2028="EVET",IF($D2028="GELİR",$O2028,-$O2028),0))</f>
        <v/>
      </c>
      <c r="AA2028" s="117">
        <f>IF($B2028="",0,IF(OR($W2028="EVET",$X2028="EVET",$Y2028="EVET"),0,IF($D2028="GELİR",IF($E2028="SATIŞ İADESİ/İSKONTO",-$O2028,$O2028),-$O2028)))</f>
        <v/>
      </c>
      <c r="AB2028" s="117">
        <f>IF($B2028="","",IF(OR($D2028="",$E2028="",$O2028=""),"EKSİK",IF($O2028&lt;=0,"SIFIR/NEGATİF",IF(COUNTIFS($C$6:$C$5000,$C2028,$O$6:$O$5000,$O2028,$B$6:$B$5000,$B2028)&gt;1,"MÜKERRER","OK"))))</f>
        <v/>
      </c>
    </row>
    <row r="2029" ht="16.5" customHeight="1" s="80">
      <c r="A2029" s="113" t="n"/>
      <c r="B2029" s="113" t="n"/>
      <c r="C2029" s="113" t="n"/>
      <c r="D2029" s="113" t="n"/>
      <c r="E2029" s="113" t="n"/>
      <c r="F2029" s="113" t="n"/>
      <c r="G2029" s="113" t="n"/>
      <c r="H2029" s="113" t="n"/>
      <c r="I2029" s="113" t="n"/>
      <c r="J2029" s="113" t="n"/>
      <c r="K2029" s="113" t="n"/>
      <c r="L2029" s="113" t="n"/>
      <c r="M2029" s="113" t="n"/>
      <c r="N2029" s="113" t="n"/>
      <c r="O2029" s="113" t="n"/>
      <c r="P2029" s="113" t="n"/>
      <c r="Q2029" s="113" t="n"/>
      <c r="R2029" s="113" t="n"/>
      <c r="S2029" s="113" t="n"/>
      <c r="T2029" s="113" t="n"/>
      <c r="U2029" s="113" t="n"/>
      <c r="V2029" s="113" t="n"/>
      <c r="W2029" s="113" t="n"/>
      <c r="X2029" s="113" t="n"/>
      <c r="Y2029" s="113" t="n"/>
      <c r="Z2029" s="117">
        <f>IF($B2029="",0,IF($S2029="EVET",IF($D2029="GELİR",$O2029,-$O2029),0))</f>
        <v/>
      </c>
      <c r="AA2029" s="117">
        <f>IF($B2029="",0,IF(OR($W2029="EVET",$X2029="EVET",$Y2029="EVET"),0,IF($D2029="GELİR",IF($E2029="SATIŞ İADESİ/İSKONTO",-$O2029,$O2029),-$O2029)))</f>
        <v/>
      </c>
      <c r="AB2029" s="117">
        <f>IF($B2029="","",IF(OR($D2029="",$E2029="",$O2029=""),"EKSİK",IF($O2029&lt;=0,"SIFIR/NEGATİF",IF(COUNTIFS($C$6:$C$5000,$C2029,$O$6:$O$5000,$O2029,$B$6:$B$5000,$B2029)&gt;1,"MÜKERRER","OK"))))</f>
        <v/>
      </c>
    </row>
    <row r="2030" ht="16.5" customHeight="1" s="80">
      <c r="A2030" s="113" t="n"/>
      <c r="B2030" s="113" t="n"/>
      <c r="C2030" s="113" t="n"/>
      <c r="D2030" s="113" t="n"/>
      <c r="E2030" s="113" t="n"/>
      <c r="F2030" s="113" t="n"/>
      <c r="G2030" s="113" t="n"/>
      <c r="H2030" s="113" t="n"/>
      <c r="I2030" s="113" t="n"/>
      <c r="J2030" s="113" t="n"/>
      <c r="K2030" s="113" t="n"/>
      <c r="L2030" s="113" t="n"/>
      <c r="M2030" s="113" t="n"/>
      <c r="N2030" s="113" t="n"/>
      <c r="O2030" s="113" t="n"/>
      <c r="P2030" s="113" t="n"/>
      <c r="Q2030" s="113" t="n"/>
      <c r="R2030" s="113" t="n"/>
      <c r="S2030" s="113" t="n"/>
      <c r="T2030" s="113" t="n"/>
      <c r="U2030" s="113" t="n"/>
      <c r="V2030" s="113" t="n"/>
      <c r="W2030" s="113" t="n"/>
      <c r="X2030" s="113" t="n"/>
      <c r="Y2030" s="113" t="n"/>
      <c r="Z2030" s="117">
        <f>IF($B2030="",0,IF($S2030="EVET",IF($D2030="GELİR",$O2030,-$O2030),0))</f>
        <v/>
      </c>
      <c r="AA2030" s="117">
        <f>IF($B2030="",0,IF(OR($W2030="EVET",$X2030="EVET",$Y2030="EVET"),0,IF($D2030="GELİR",IF($E2030="SATIŞ İADESİ/İSKONTO",-$O2030,$O2030),-$O2030)))</f>
        <v/>
      </c>
      <c r="AB2030" s="117">
        <f>IF($B2030="","",IF(OR($D2030="",$E2030="",$O2030=""),"EKSİK",IF($O2030&lt;=0,"SIFIR/NEGATİF",IF(COUNTIFS($C$6:$C$5000,$C2030,$O$6:$O$5000,$O2030,$B$6:$B$5000,$B2030)&gt;1,"MÜKERRER","OK"))))</f>
        <v/>
      </c>
    </row>
    <row r="2031" ht="16.5" customHeight="1" s="80">
      <c r="A2031" s="113" t="n"/>
      <c r="B2031" s="113" t="n"/>
      <c r="C2031" s="113" t="n"/>
      <c r="D2031" s="113" t="n"/>
      <c r="E2031" s="113" t="n"/>
      <c r="F2031" s="113" t="n"/>
      <c r="G2031" s="113" t="n"/>
      <c r="H2031" s="113" t="n"/>
      <c r="I2031" s="113" t="n"/>
      <c r="J2031" s="113" t="n"/>
      <c r="K2031" s="113" t="n"/>
      <c r="L2031" s="113" t="n"/>
      <c r="M2031" s="113" t="n"/>
      <c r="N2031" s="113" t="n"/>
      <c r="O2031" s="113" t="n"/>
      <c r="P2031" s="113" t="n"/>
      <c r="Q2031" s="113" t="n"/>
      <c r="R2031" s="113" t="n"/>
      <c r="S2031" s="113" t="n"/>
      <c r="T2031" s="113" t="n"/>
      <c r="U2031" s="113" t="n"/>
      <c r="V2031" s="113" t="n"/>
      <c r="W2031" s="113" t="n"/>
      <c r="X2031" s="113" t="n"/>
      <c r="Y2031" s="113" t="n"/>
      <c r="Z2031" s="117">
        <f>IF($B2031="",0,IF($S2031="EVET",IF($D2031="GELİR",$O2031,-$O2031),0))</f>
        <v/>
      </c>
      <c r="AA2031" s="117">
        <f>IF($B2031="",0,IF(OR($W2031="EVET",$X2031="EVET",$Y2031="EVET"),0,IF($D2031="GELİR",IF($E2031="SATIŞ İADESİ/İSKONTO",-$O2031,$O2031),-$O2031)))</f>
        <v/>
      </c>
      <c r="AB2031" s="117">
        <f>IF($B2031="","",IF(OR($D2031="",$E2031="",$O2031=""),"EKSİK",IF($O2031&lt;=0,"SIFIR/NEGATİF",IF(COUNTIFS($C$6:$C$5000,$C2031,$O$6:$O$5000,$O2031,$B$6:$B$5000,$B2031)&gt;1,"MÜKERRER","OK"))))</f>
        <v/>
      </c>
    </row>
    <row r="2032" ht="16.5" customHeight="1" s="80">
      <c r="A2032" s="113" t="n"/>
      <c r="B2032" s="113" t="n"/>
      <c r="C2032" s="113" t="n"/>
      <c r="D2032" s="113" t="n"/>
      <c r="E2032" s="113" t="n"/>
      <c r="F2032" s="113" t="n"/>
      <c r="G2032" s="113" t="n"/>
      <c r="H2032" s="113" t="n"/>
      <c r="I2032" s="113" t="n"/>
      <c r="J2032" s="113" t="n"/>
      <c r="K2032" s="113" t="n"/>
      <c r="L2032" s="113" t="n"/>
      <c r="M2032" s="113" t="n"/>
      <c r="N2032" s="113" t="n"/>
      <c r="O2032" s="113" t="n"/>
      <c r="P2032" s="113" t="n"/>
      <c r="Q2032" s="113" t="n"/>
      <c r="R2032" s="113" t="n"/>
      <c r="S2032" s="113" t="n"/>
      <c r="T2032" s="113" t="n"/>
      <c r="U2032" s="113" t="n"/>
      <c r="V2032" s="113" t="n"/>
      <c r="W2032" s="113" t="n"/>
      <c r="X2032" s="113" t="n"/>
      <c r="Y2032" s="113" t="n"/>
      <c r="Z2032" s="117">
        <f>IF($B2032="",0,IF($S2032="EVET",IF($D2032="GELİR",$O2032,-$O2032),0))</f>
        <v/>
      </c>
      <c r="AA2032" s="117">
        <f>IF($B2032="",0,IF(OR($W2032="EVET",$X2032="EVET",$Y2032="EVET"),0,IF($D2032="GELİR",IF($E2032="SATIŞ İADESİ/İSKONTO",-$O2032,$O2032),-$O2032)))</f>
        <v/>
      </c>
      <c r="AB2032" s="117">
        <f>IF($B2032="","",IF(OR($D2032="",$E2032="",$O2032=""),"EKSİK",IF($O2032&lt;=0,"SIFIR/NEGATİF",IF(COUNTIFS($C$6:$C$5000,$C2032,$O$6:$O$5000,$O2032,$B$6:$B$5000,$B2032)&gt;1,"MÜKERRER","OK"))))</f>
        <v/>
      </c>
    </row>
    <row r="2033" ht="16.5" customHeight="1" s="80">
      <c r="A2033" s="113" t="n"/>
      <c r="B2033" s="113" t="n"/>
      <c r="C2033" s="113" t="n"/>
      <c r="D2033" s="113" t="n"/>
      <c r="E2033" s="113" t="n"/>
      <c r="F2033" s="113" t="n"/>
      <c r="G2033" s="113" t="n"/>
      <c r="H2033" s="113" t="n"/>
      <c r="I2033" s="113" t="n"/>
      <c r="J2033" s="113" t="n"/>
      <c r="K2033" s="113" t="n"/>
      <c r="L2033" s="113" t="n"/>
      <c r="M2033" s="113" t="n"/>
      <c r="N2033" s="113" t="n"/>
      <c r="O2033" s="113" t="n"/>
      <c r="P2033" s="113" t="n"/>
      <c r="Q2033" s="113" t="n"/>
      <c r="R2033" s="113" t="n"/>
      <c r="S2033" s="113" t="n"/>
      <c r="T2033" s="113" t="n"/>
      <c r="U2033" s="113" t="n"/>
      <c r="V2033" s="113" t="n"/>
      <c r="W2033" s="113" t="n"/>
      <c r="X2033" s="113" t="n"/>
      <c r="Y2033" s="113" t="n"/>
      <c r="Z2033" s="117">
        <f>IF($B2033="",0,IF($S2033="EVET",IF($D2033="GELİR",$O2033,-$O2033),0))</f>
        <v/>
      </c>
      <c r="AA2033" s="117">
        <f>IF($B2033="",0,IF(OR($W2033="EVET",$X2033="EVET",$Y2033="EVET"),0,IF($D2033="GELİR",IF($E2033="SATIŞ İADESİ/İSKONTO",-$O2033,$O2033),-$O2033)))</f>
        <v/>
      </c>
      <c r="AB2033" s="117">
        <f>IF($B2033="","",IF(OR($D2033="",$E2033="",$O2033=""),"EKSİK",IF($O2033&lt;=0,"SIFIR/NEGATİF",IF(COUNTIFS($C$6:$C$5000,$C2033,$O$6:$O$5000,$O2033,$B$6:$B$5000,$B2033)&gt;1,"MÜKERRER","OK"))))</f>
        <v/>
      </c>
    </row>
    <row r="2034" ht="16.5" customHeight="1" s="80">
      <c r="A2034" s="113" t="n"/>
      <c r="B2034" s="113" t="n"/>
      <c r="C2034" s="113" t="n"/>
      <c r="D2034" s="113" t="n"/>
      <c r="E2034" s="113" t="n"/>
      <c r="F2034" s="113" t="n"/>
      <c r="G2034" s="113" t="n"/>
      <c r="H2034" s="113" t="n"/>
      <c r="I2034" s="113" t="n"/>
      <c r="J2034" s="113" t="n"/>
      <c r="K2034" s="113" t="n"/>
      <c r="L2034" s="113" t="n"/>
      <c r="M2034" s="113" t="n"/>
      <c r="N2034" s="113" t="n"/>
      <c r="O2034" s="113" t="n"/>
      <c r="P2034" s="113" t="n"/>
      <c r="Q2034" s="113" t="n"/>
      <c r="R2034" s="113" t="n"/>
      <c r="S2034" s="113" t="n"/>
      <c r="T2034" s="113" t="n"/>
      <c r="U2034" s="113" t="n"/>
      <c r="V2034" s="113" t="n"/>
      <c r="W2034" s="113" t="n"/>
      <c r="X2034" s="113" t="n"/>
      <c r="Y2034" s="113" t="n"/>
      <c r="Z2034" s="117">
        <f>IF($B2034="",0,IF($S2034="EVET",IF($D2034="GELİR",$O2034,-$O2034),0))</f>
        <v/>
      </c>
      <c r="AA2034" s="117">
        <f>IF($B2034="",0,IF(OR($W2034="EVET",$X2034="EVET",$Y2034="EVET"),0,IF($D2034="GELİR",IF($E2034="SATIŞ İADESİ/İSKONTO",-$O2034,$O2034),-$O2034)))</f>
        <v/>
      </c>
      <c r="AB2034" s="117">
        <f>IF($B2034="","",IF(OR($D2034="",$E2034="",$O2034=""),"EKSİK",IF($O2034&lt;=0,"SIFIR/NEGATİF",IF(COUNTIFS($C$6:$C$5000,$C2034,$O$6:$O$5000,$O2034,$B$6:$B$5000,$B2034)&gt;1,"MÜKERRER","OK"))))</f>
        <v/>
      </c>
    </row>
    <row r="2035" ht="16.5" customHeight="1" s="80">
      <c r="A2035" s="113" t="n"/>
      <c r="B2035" s="113" t="n"/>
      <c r="C2035" s="113" t="n"/>
      <c r="D2035" s="113" t="n"/>
      <c r="E2035" s="113" t="n"/>
      <c r="F2035" s="113" t="n"/>
      <c r="G2035" s="113" t="n"/>
      <c r="H2035" s="113" t="n"/>
      <c r="I2035" s="113" t="n"/>
      <c r="J2035" s="113" t="n"/>
      <c r="K2035" s="113" t="n"/>
      <c r="L2035" s="113" t="n"/>
      <c r="M2035" s="113" t="n"/>
      <c r="N2035" s="113" t="n"/>
      <c r="O2035" s="113" t="n"/>
      <c r="P2035" s="113" t="n"/>
      <c r="Q2035" s="113" t="n"/>
      <c r="R2035" s="113" t="n"/>
      <c r="S2035" s="113" t="n"/>
      <c r="T2035" s="113" t="n"/>
      <c r="U2035" s="113" t="n"/>
      <c r="V2035" s="113" t="n"/>
      <c r="W2035" s="113" t="n"/>
      <c r="X2035" s="113" t="n"/>
      <c r="Y2035" s="113" t="n"/>
      <c r="Z2035" s="117">
        <f>IF($B2035="",0,IF($S2035="EVET",IF($D2035="GELİR",$O2035,-$O2035),0))</f>
        <v/>
      </c>
      <c r="AA2035" s="117">
        <f>IF($B2035="",0,IF(OR($W2035="EVET",$X2035="EVET",$Y2035="EVET"),0,IF($D2035="GELİR",IF($E2035="SATIŞ İADESİ/İSKONTO",-$O2035,$O2035),-$O2035)))</f>
        <v/>
      </c>
      <c r="AB2035" s="117">
        <f>IF($B2035="","",IF(OR($D2035="",$E2035="",$O2035=""),"EKSİK",IF($O2035&lt;=0,"SIFIR/NEGATİF",IF(COUNTIFS($C$6:$C$5000,$C2035,$O$6:$O$5000,$O2035,$B$6:$B$5000,$B2035)&gt;1,"MÜKERRER","OK"))))</f>
        <v/>
      </c>
    </row>
    <row r="2036" ht="16.5" customHeight="1" s="80">
      <c r="A2036" s="113" t="n"/>
      <c r="B2036" s="113" t="n"/>
      <c r="C2036" s="113" t="n"/>
      <c r="D2036" s="113" t="n"/>
      <c r="E2036" s="113" t="n"/>
      <c r="F2036" s="113" t="n"/>
      <c r="G2036" s="113" t="n"/>
      <c r="H2036" s="113" t="n"/>
      <c r="I2036" s="113" t="n"/>
      <c r="J2036" s="113" t="n"/>
      <c r="K2036" s="113" t="n"/>
      <c r="L2036" s="113" t="n"/>
      <c r="M2036" s="113" t="n"/>
      <c r="N2036" s="113" t="n"/>
      <c r="O2036" s="113" t="n"/>
      <c r="P2036" s="113" t="n"/>
      <c r="Q2036" s="113" t="n"/>
      <c r="R2036" s="113" t="n"/>
      <c r="S2036" s="113" t="n"/>
      <c r="T2036" s="113" t="n"/>
      <c r="U2036" s="113" t="n"/>
      <c r="V2036" s="113" t="n"/>
      <c r="W2036" s="113" t="n"/>
      <c r="X2036" s="113" t="n"/>
      <c r="Y2036" s="113" t="n"/>
      <c r="Z2036" s="117">
        <f>IF($B2036="",0,IF($S2036="EVET",IF($D2036="GELİR",$O2036,-$O2036),0))</f>
        <v/>
      </c>
      <c r="AA2036" s="117">
        <f>IF($B2036="",0,IF(OR($W2036="EVET",$X2036="EVET",$Y2036="EVET"),0,IF($D2036="GELİR",IF($E2036="SATIŞ İADESİ/İSKONTO",-$O2036,$O2036),-$O2036)))</f>
        <v/>
      </c>
      <c r="AB2036" s="117">
        <f>IF($B2036="","",IF(OR($D2036="",$E2036="",$O2036=""),"EKSİK",IF($O2036&lt;=0,"SIFIR/NEGATİF",IF(COUNTIFS($C$6:$C$5000,$C2036,$O$6:$O$5000,$O2036,$B$6:$B$5000,$B2036)&gt;1,"MÜKERRER","OK"))))</f>
        <v/>
      </c>
    </row>
    <row r="2037" ht="16.5" customHeight="1" s="80">
      <c r="A2037" s="113" t="n"/>
      <c r="B2037" s="113" t="n"/>
      <c r="C2037" s="113" t="n"/>
      <c r="D2037" s="113" t="n"/>
      <c r="E2037" s="113" t="n"/>
      <c r="F2037" s="113" t="n"/>
      <c r="G2037" s="113" t="n"/>
      <c r="H2037" s="113" t="n"/>
      <c r="I2037" s="113" t="n"/>
      <c r="J2037" s="113" t="n"/>
      <c r="K2037" s="113" t="n"/>
      <c r="L2037" s="113" t="n"/>
      <c r="M2037" s="113" t="n"/>
      <c r="N2037" s="113" t="n"/>
      <c r="O2037" s="113" t="n"/>
      <c r="P2037" s="113" t="n"/>
      <c r="Q2037" s="113" t="n"/>
      <c r="R2037" s="113" t="n"/>
      <c r="S2037" s="113" t="n"/>
      <c r="T2037" s="113" t="n"/>
      <c r="U2037" s="113" t="n"/>
      <c r="V2037" s="113" t="n"/>
      <c r="W2037" s="113" t="n"/>
      <c r="X2037" s="113" t="n"/>
      <c r="Y2037" s="113" t="n"/>
      <c r="Z2037" s="117">
        <f>IF($B2037="",0,IF($S2037="EVET",IF($D2037="GELİR",$O2037,-$O2037),0))</f>
        <v/>
      </c>
      <c r="AA2037" s="117">
        <f>IF($B2037="",0,IF(OR($W2037="EVET",$X2037="EVET",$Y2037="EVET"),0,IF($D2037="GELİR",IF($E2037="SATIŞ İADESİ/İSKONTO",-$O2037,$O2037),-$O2037)))</f>
        <v/>
      </c>
      <c r="AB2037" s="117">
        <f>IF($B2037="","",IF(OR($D2037="",$E2037="",$O2037=""),"EKSİK",IF($O2037&lt;=0,"SIFIR/NEGATİF",IF(COUNTIFS($C$6:$C$5000,$C2037,$O$6:$O$5000,$O2037,$B$6:$B$5000,$B2037)&gt;1,"MÜKERRER","OK"))))</f>
        <v/>
      </c>
    </row>
    <row r="2038" ht="16.5" customHeight="1" s="80">
      <c r="A2038" s="113" t="n"/>
      <c r="B2038" s="113" t="n"/>
      <c r="C2038" s="113" t="n"/>
      <c r="D2038" s="113" t="n"/>
      <c r="E2038" s="113" t="n"/>
      <c r="F2038" s="113" t="n"/>
      <c r="G2038" s="113" t="n"/>
      <c r="H2038" s="113" t="n"/>
      <c r="I2038" s="113" t="n"/>
      <c r="J2038" s="113" t="n"/>
      <c r="K2038" s="113" t="n"/>
      <c r="L2038" s="113" t="n"/>
      <c r="M2038" s="113" t="n"/>
      <c r="N2038" s="113" t="n"/>
      <c r="O2038" s="113" t="n"/>
      <c r="P2038" s="113" t="n"/>
      <c r="Q2038" s="113" t="n"/>
      <c r="R2038" s="113" t="n"/>
      <c r="S2038" s="113" t="n"/>
      <c r="T2038" s="113" t="n"/>
      <c r="U2038" s="113" t="n"/>
      <c r="V2038" s="113" t="n"/>
      <c r="W2038" s="113" t="n"/>
      <c r="X2038" s="113" t="n"/>
      <c r="Y2038" s="113" t="n"/>
      <c r="Z2038" s="117">
        <f>IF($B2038="",0,IF($S2038="EVET",IF($D2038="GELİR",$O2038,-$O2038),0))</f>
        <v/>
      </c>
      <c r="AA2038" s="117">
        <f>IF($B2038="",0,IF(OR($W2038="EVET",$X2038="EVET",$Y2038="EVET"),0,IF($D2038="GELİR",IF($E2038="SATIŞ İADESİ/İSKONTO",-$O2038,$O2038),-$O2038)))</f>
        <v/>
      </c>
      <c r="AB2038" s="117">
        <f>IF($B2038="","",IF(OR($D2038="",$E2038="",$O2038=""),"EKSİK",IF($O2038&lt;=0,"SIFIR/NEGATİF",IF(COUNTIFS($C$6:$C$5000,$C2038,$O$6:$O$5000,$O2038,$B$6:$B$5000,$B2038)&gt;1,"MÜKERRER","OK"))))</f>
        <v/>
      </c>
    </row>
    <row r="2039" ht="16.5" customHeight="1" s="80">
      <c r="A2039" s="113" t="n"/>
      <c r="B2039" s="113" t="n"/>
      <c r="C2039" s="113" t="n"/>
      <c r="D2039" s="113" t="n"/>
      <c r="E2039" s="113" t="n"/>
      <c r="F2039" s="113" t="n"/>
      <c r="G2039" s="113" t="n"/>
      <c r="H2039" s="113" t="n"/>
      <c r="I2039" s="113" t="n"/>
      <c r="J2039" s="113" t="n"/>
      <c r="K2039" s="113" t="n"/>
      <c r="L2039" s="113" t="n"/>
      <c r="M2039" s="113" t="n"/>
      <c r="N2039" s="113" t="n"/>
      <c r="O2039" s="113" t="n"/>
      <c r="P2039" s="113" t="n"/>
      <c r="Q2039" s="113" t="n"/>
      <c r="R2039" s="113" t="n"/>
      <c r="S2039" s="113" t="n"/>
      <c r="T2039" s="113" t="n"/>
      <c r="U2039" s="113" t="n"/>
      <c r="V2039" s="113" t="n"/>
      <c r="W2039" s="113" t="n"/>
      <c r="X2039" s="113" t="n"/>
      <c r="Y2039" s="113" t="n"/>
      <c r="Z2039" s="117">
        <f>IF($B2039="",0,IF($S2039="EVET",IF($D2039="GELİR",$O2039,-$O2039),0))</f>
        <v/>
      </c>
      <c r="AA2039" s="117">
        <f>IF($B2039="",0,IF(OR($W2039="EVET",$X2039="EVET",$Y2039="EVET"),0,IF($D2039="GELİR",IF($E2039="SATIŞ İADESİ/İSKONTO",-$O2039,$O2039),-$O2039)))</f>
        <v/>
      </c>
      <c r="AB2039" s="117">
        <f>IF($B2039="","",IF(OR($D2039="",$E2039="",$O2039=""),"EKSİK",IF($O2039&lt;=0,"SIFIR/NEGATİF",IF(COUNTIFS($C$6:$C$5000,$C2039,$O$6:$O$5000,$O2039,$B$6:$B$5000,$B2039)&gt;1,"MÜKERRER","OK"))))</f>
        <v/>
      </c>
    </row>
    <row r="2040" ht="16.5" customHeight="1" s="80">
      <c r="A2040" s="113" t="n"/>
      <c r="B2040" s="113" t="n"/>
      <c r="C2040" s="113" t="n"/>
      <c r="D2040" s="113" t="n"/>
      <c r="E2040" s="113" t="n"/>
      <c r="F2040" s="113" t="n"/>
      <c r="G2040" s="113" t="n"/>
      <c r="H2040" s="113" t="n"/>
      <c r="I2040" s="113" t="n"/>
      <c r="J2040" s="113" t="n"/>
      <c r="K2040" s="113" t="n"/>
      <c r="L2040" s="113" t="n"/>
      <c r="M2040" s="113" t="n"/>
      <c r="N2040" s="113" t="n"/>
      <c r="O2040" s="113" t="n"/>
      <c r="P2040" s="113" t="n"/>
      <c r="Q2040" s="113" t="n"/>
      <c r="R2040" s="113" t="n"/>
      <c r="S2040" s="113" t="n"/>
      <c r="T2040" s="113" t="n"/>
      <c r="U2040" s="113" t="n"/>
      <c r="V2040" s="113" t="n"/>
      <c r="W2040" s="113" t="n"/>
      <c r="X2040" s="113" t="n"/>
      <c r="Y2040" s="113" t="n"/>
      <c r="Z2040" s="117">
        <f>IF($B2040="",0,IF($S2040="EVET",IF($D2040="GELİR",$O2040,-$O2040),0))</f>
        <v/>
      </c>
      <c r="AA2040" s="117">
        <f>IF($B2040="",0,IF(OR($W2040="EVET",$X2040="EVET",$Y2040="EVET"),0,IF($D2040="GELİR",IF($E2040="SATIŞ İADESİ/İSKONTO",-$O2040,$O2040),-$O2040)))</f>
        <v/>
      </c>
      <c r="AB2040" s="117">
        <f>IF($B2040="","",IF(OR($D2040="",$E2040="",$O2040=""),"EKSİK",IF($O2040&lt;=0,"SIFIR/NEGATİF",IF(COUNTIFS($C$6:$C$5000,$C2040,$O$6:$O$5000,$O2040,$B$6:$B$5000,$B2040)&gt;1,"MÜKERRER","OK"))))</f>
        <v/>
      </c>
    </row>
    <row r="2041" ht="16.5" customHeight="1" s="80">
      <c r="A2041" s="113" t="n"/>
      <c r="B2041" s="113" t="n"/>
      <c r="C2041" s="113" t="n"/>
      <c r="D2041" s="113" t="n"/>
      <c r="E2041" s="113" t="n"/>
      <c r="F2041" s="113" t="n"/>
      <c r="G2041" s="113" t="n"/>
      <c r="H2041" s="113" t="n"/>
      <c r="I2041" s="113" t="n"/>
      <c r="J2041" s="113" t="n"/>
      <c r="K2041" s="113" t="n"/>
      <c r="L2041" s="113" t="n"/>
      <c r="M2041" s="113" t="n"/>
      <c r="N2041" s="113" t="n"/>
      <c r="O2041" s="113" t="n"/>
      <c r="P2041" s="113" t="n"/>
      <c r="Q2041" s="113" t="n"/>
      <c r="R2041" s="113" t="n"/>
      <c r="S2041" s="113" t="n"/>
      <c r="T2041" s="113" t="n"/>
      <c r="U2041" s="113" t="n"/>
      <c r="V2041" s="113" t="n"/>
      <c r="W2041" s="113" t="n"/>
      <c r="X2041" s="113" t="n"/>
      <c r="Y2041" s="113" t="n"/>
      <c r="Z2041" s="117">
        <f>IF($B2041="",0,IF($S2041="EVET",IF($D2041="GELİR",$O2041,-$O2041),0))</f>
        <v/>
      </c>
      <c r="AA2041" s="117">
        <f>IF($B2041="",0,IF(OR($W2041="EVET",$X2041="EVET",$Y2041="EVET"),0,IF($D2041="GELİR",IF($E2041="SATIŞ İADESİ/İSKONTO",-$O2041,$O2041),-$O2041)))</f>
        <v/>
      </c>
      <c r="AB2041" s="117">
        <f>IF($B2041="","",IF(OR($D2041="",$E2041="",$O2041=""),"EKSİK",IF($O2041&lt;=0,"SIFIR/NEGATİF",IF(COUNTIFS($C$6:$C$5000,$C2041,$O$6:$O$5000,$O2041,$B$6:$B$5000,$B2041)&gt;1,"MÜKERRER","OK"))))</f>
        <v/>
      </c>
    </row>
    <row r="2042" ht="16.5" customHeight="1" s="80">
      <c r="A2042" s="113" t="n"/>
      <c r="B2042" s="113" t="n"/>
      <c r="C2042" s="113" t="n"/>
      <c r="D2042" s="113" t="n"/>
      <c r="E2042" s="113" t="n"/>
      <c r="F2042" s="113" t="n"/>
      <c r="G2042" s="113" t="n"/>
      <c r="H2042" s="113" t="n"/>
      <c r="I2042" s="113" t="n"/>
      <c r="J2042" s="113" t="n"/>
      <c r="K2042" s="113" t="n"/>
      <c r="L2042" s="113" t="n"/>
      <c r="M2042" s="113" t="n"/>
      <c r="N2042" s="113" t="n"/>
      <c r="O2042" s="113" t="n"/>
      <c r="P2042" s="113" t="n"/>
      <c r="Q2042" s="113" t="n"/>
      <c r="R2042" s="113" t="n"/>
      <c r="S2042" s="113" t="n"/>
      <c r="T2042" s="113" t="n"/>
      <c r="U2042" s="113" t="n"/>
      <c r="V2042" s="113" t="n"/>
      <c r="W2042" s="113" t="n"/>
      <c r="X2042" s="113" t="n"/>
      <c r="Y2042" s="113" t="n"/>
      <c r="Z2042" s="117">
        <f>IF($B2042="",0,IF($S2042="EVET",IF($D2042="GELİR",$O2042,-$O2042),0))</f>
        <v/>
      </c>
      <c r="AA2042" s="117">
        <f>IF($B2042="",0,IF(OR($W2042="EVET",$X2042="EVET",$Y2042="EVET"),0,IF($D2042="GELİR",IF($E2042="SATIŞ İADESİ/İSKONTO",-$O2042,$O2042),-$O2042)))</f>
        <v/>
      </c>
      <c r="AB2042" s="117">
        <f>IF($B2042="","",IF(OR($D2042="",$E2042="",$O2042=""),"EKSİK",IF($O2042&lt;=0,"SIFIR/NEGATİF",IF(COUNTIFS($C$6:$C$5000,$C2042,$O$6:$O$5000,$O2042,$B$6:$B$5000,$B2042)&gt;1,"MÜKERRER","OK"))))</f>
        <v/>
      </c>
    </row>
    <row r="2043" ht="16.5" customHeight="1" s="80">
      <c r="A2043" s="113" t="n"/>
      <c r="B2043" s="113" t="n"/>
      <c r="C2043" s="113" t="n"/>
      <c r="D2043" s="113" t="n"/>
      <c r="E2043" s="113" t="n"/>
      <c r="F2043" s="113" t="n"/>
      <c r="G2043" s="113" t="n"/>
      <c r="H2043" s="113" t="n"/>
      <c r="I2043" s="113" t="n"/>
      <c r="J2043" s="113" t="n"/>
      <c r="K2043" s="113" t="n"/>
      <c r="L2043" s="113" t="n"/>
      <c r="M2043" s="113" t="n"/>
      <c r="N2043" s="113" t="n"/>
      <c r="O2043" s="113" t="n"/>
      <c r="P2043" s="113" t="n"/>
      <c r="Q2043" s="113" t="n"/>
      <c r="R2043" s="113" t="n"/>
      <c r="S2043" s="113" t="n"/>
      <c r="T2043" s="113" t="n"/>
      <c r="U2043" s="113" t="n"/>
      <c r="V2043" s="113" t="n"/>
      <c r="W2043" s="113" t="n"/>
      <c r="X2043" s="113" t="n"/>
      <c r="Y2043" s="113" t="n"/>
      <c r="Z2043" s="117">
        <f>IF($B2043="",0,IF($S2043="EVET",IF($D2043="GELİR",$O2043,-$O2043),0))</f>
        <v/>
      </c>
      <c r="AA2043" s="117">
        <f>IF($B2043="",0,IF(OR($W2043="EVET",$X2043="EVET",$Y2043="EVET"),0,IF($D2043="GELİR",IF($E2043="SATIŞ İADESİ/İSKONTO",-$O2043,$O2043),-$O2043)))</f>
        <v/>
      </c>
      <c r="AB2043" s="117">
        <f>IF($B2043="","",IF(OR($D2043="",$E2043="",$O2043=""),"EKSİK",IF($O2043&lt;=0,"SIFIR/NEGATİF",IF(COUNTIFS($C$6:$C$5000,$C2043,$O$6:$O$5000,$O2043,$B$6:$B$5000,$B2043)&gt;1,"MÜKERRER","OK"))))</f>
        <v/>
      </c>
    </row>
    <row r="2044" ht="16.5" customHeight="1" s="80">
      <c r="A2044" s="113" t="n"/>
      <c r="B2044" s="113" t="n"/>
      <c r="C2044" s="113" t="n"/>
      <c r="D2044" s="113" t="n"/>
      <c r="E2044" s="113" t="n"/>
      <c r="F2044" s="113" t="n"/>
      <c r="G2044" s="113" t="n"/>
      <c r="H2044" s="113" t="n"/>
      <c r="I2044" s="113" t="n"/>
      <c r="J2044" s="113" t="n"/>
      <c r="K2044" s="113" t="n"/>
      <c r="L2044" s="113" t="n"/>
      <c r="M2044" s="113" t="n"/>
      <c r="N2044" s="113" t="n"/>
      <c r="O2044" s="113" t="n"/>
      <c r="P2044" s="113" t="n"/>
      <c r="Q2044" s="113" t="n"/>
      <c r="R2044" s="113" t="n"/>
      <c r="S2044" s="113" t="n"/>
      <c r="T2044" s="113" t="n"/>
      <c r="U2044" s="113" t="n"/>
      <c r="V2044" s="113" t="n"/>
      <c r="W2044" s="113" t="n"/>
      <c r="X2044" s="113" t="n"/>
      <c r="Y2044" s="113" t="n"/>
      <c r="Z2044" s="117">
        <f>IF($B2044="",0,IF($S2044="EVET",IF($D2044="GELİR",$O2044,-$O2044),0))</f>
        <v/>
      </c>
      <c r="AA2044" s="117">
        <f>IF($B2044="",0,IF(OR($W2044="EVET",$X2044="EVET",$Y2044="EVET"),0,IF($D2044="GELİR",IF($E2044="SATIŞ İADESİ/İSKONTO",-$O2044,$O2044),-$O2044)))</f>
        <v/>
      </c>
      <c r="AB2044" s="117">
        <f>IF($B2044="","",IF(OR($D2044="",$E2044="",$O2044=""),"EKSİK",IF($O2044&lt;=0,"SIFIR/NEGATİF",IF(COUNTIFS($C$6:$C$5000,$C2044,$O$6:$O$5000,$O2044,$B$6:$B$5000,$B2044)&gt;1,"MÜKERRER","OK"))))</f>
        <v/>
      </c>
    </row>
    <row r="2045" ht="16.5" customHeight="1" s="80">
      <c r="A2045" s="113" t="n"/>
      <c r="B2045" s="113" t="n"/>
      <c r="C2045" s="113" t="n"/>
      <c r="D2045" s="113" t="n"/>
      <c r="E2045" s="113" t="n"/>
      <c r="F2045" s="113" t="n"/>
      <c r="G2045" s="113" t="n"/>
      <c r="H2045" s="113" t="n"/>
      <c r="I2045" s="113" t="n"/>
      <c r="J2045" s="113" t="n"/>
      <c r="K2045" s="113" t="n"/>
      <c r="L2045" s="113" t="n"/>
      <c r="M2045" s="113" t="n"/>
      <c r="N2045" s="113" t="n"/>
      <c r="O2045" s="113" t="n"/>
      <c r="P2045" s="113" t="n"/>
      <c r="Q2045" s="113" t="n"/>
      <c r="R2045" s="113" t="n"/>
      <c r="S2045" s="113" t="n"/>
      <c r="T2045" s="113" t="n"/>
      <c r="U2045" s="113" t="n"/>
      <c r="V2045" s="113" t="n"/>
      <c r="W2045" s="113" t="n"/>
      <c r="X2045" s="113" t="n"/>
      <c r="Y2045" s="113" t="n"/>
      <c r="Z2045" s="117">
        <f>IF($B2045="",0,IF($S2045="EVET",IF($D2045="GELİR",$O2045,-$O2045),0))</f>
        <v/>
      </c>
      <c r="AA2045" s="117">
        <f>IF($B2045="",0,IF(OR($W2045="EVET",$X2045="EVET",$Y2045="EVET"),0,IF($D2045="GELİR",IF($E2045="SATIŞ İADESİ/İSKONTO",-$O2045,$O2045),-$O2045)))</f>
        <v/>
      </c>
      <c r="AB2045" s="117">
        <f>IF($B2045="","",IF(OR($D2045="",$E2045="",$O2045=""),"EKSİK",IF($O2045&lt;=0,"SIFIR/NEGATİF",IF(COUNTIFS($C$6:$C$5000,$C2045,$O$6:$O$5000,$O2045,$B$6:$B$5000,$B2045)&gt;1,"MÜKERRER","OK"))))</f>
        <v/>
      </c>
    </row>
    <row r="2046" ht="16.5" customHeight="1" s="80">
      <c r="A2046" s="113" t="n"/>
      <c r="B2046" s="113" t="n"/>
      <c r="C2046" s="113" t="n"/>
      <c r="D2046" s="113" t="n"/>
      <c r="E2046" s="113" t="n"/>
      <c r="F2046" s="113" t="n"/>
      <c r="G2046" s="113" t="n"/>
      <c r="H2046" s="113" t="n"/>
      <c r="I2046" s="113" t="n"/>
      <c r="J2046" s="113" t="n"/>
      <c r="K2046" s="113" t="n"/>
      <c r="L2046" s="113" t="n"/>
      <c r="M2046" s="113" t="n"/>
      <c r="N2046" s="113" t="n"/>
      <c r="O2046" s="113" t="n"/>
      <c r="P2046" s="113" t="n"/>
      <c r="Q2046" s="113" t="n"/>
      <c r="R2046" s="113" t="n"/>
      <c r="S2046" s="113" t="n"/>
      <c r="T2046" s="113" t="n"/>
      <c r="U2046" s="113" t="n"/>
      <c r="V2046" s="113" t="n"/>
      <c r="W2046" s="113" t="n"/>
      <c r="X2046" s="113" t="n"/>
      <c r="Y2046" s="113" t="n"/>
      <c r="Z2046" s="117">
        <f>IF($B2046="",0,IF($S2046="EVET",IF($D2046="GELİR",$O2046,-$O2046),0))</f>
        <v/>
      </c>
      <c r="AA2046" s="117">
        <f>IF($B2046="",0,IF(OR($W2046="EVET",$X2046="EVET",$Y2046="EVET"),0,IF($D2046="GELİR",IF($E2046="SATIŞ İADESİ/İSKONTO",-$O2046,$O2046),-$O2046)))</f>
        <v/>
      </c>
      <c r="AB2046" s="117">
        <f>IF($B2046="","",IF(OR($D2046="",$E2046="",$O2046=""),"EKSİK",IF($O2046&lt;=0,"SIFIR/NEGATİF",IF(COUNTIFS($C$6:$C$5000,$C2046,$O$6:$O$5000,$O2046,$B$6:$B$5000,$B2046)&gt;1,"MÜKERRER","OK"))))</f>
        <v/>
      </c>
    </row>
    <row r="2047" ht="16.5" customHeight="1" s="80">
      <c r="A2047" s="113" t="n"/>
      <c r="B2047" s="113" t="n"/>
      <c r="C2047" s="113" t="n"/>
      <c r="D2047" s="113" t="n"/>
      <c r="E2047" s="113" t="n"/>
      <c r="F2047" s="113" t="n"/>
      <c r="G2047" s="113" t="n"/>
      <c r="H2047" s="113" t="n"/>
      <c r="I2047" s="113" t="n"/>
      <c r="J2047" s="113" t="n"/>
      <c r="K2047" s="113" t="n"/>
      <c r="L2047" s="113" t="n"/>
      <c r="M2047" s="113" t="n"/>
      <c r="N2047" s="113" t="n"/>
      <c r="O2047" s="113" t="n"/>
      <c r="P2047" s="113" t="n"/>
      <c r="Q2047" s="113" t="n"/>
      <c r="R2047" s="113" t="n"/>
      <c r="S2047" s="113" t="n"/>
      <c r="T2047" s="113" t="n"/>
      <c r="U2047" s="113" t="n"/>
      <c r="V2047" s="113" t="n"/>
      <c r="W2047" s="113" t="n"/>
      <c r="X2047" s="113" t="n"/>
      <c r="Y2047" s="113" t="n"/>
      <c r="Z2047" s="117">
        <f>IF($B2047="",0,IF($S2047="EVET",IF($D2047="GELİR",$O2047,-$O2047),0))</f>
        <v/>
      </c>
      <c r="AA2047" s="117">
        <f>IF($B2047="",0,IF(OR($W2047="EVET",$X2047="EVET",$Y2047="EVET"),0,IF($D2047="GELİR",IF($E2047="SATIŞ İADESİ/İSKONTO",-$O2047,$O2047),-$O2047)))</f>
        <v/>
      </c>
      <c r="AB2047" s="117">
        <f>IF($B2047="","",IF(OR($D2047="",$E2047="",$O2047=""),"EKSİK",IF($O2047&lt;=0,"SIFIR/NEGATİF",IF(COUNTIFS($C$6:$C$5000,$C2047,$O$6:$O$5000,$O2047,$B$6:$B$5000,$B2047)&gt;1,"MÜKERRER","OK"))))</f>
        <v/>
      </c>
    </row>
    <row r="2048" ht="16.5" customHeight="1" s="80">
      <c r="A2048" s="113" t="n"/>
      <c r="B2048" s="113" t="n"/>
      <c r="C2048" s="113" t="n"/>
      <c r="D2048" s="113" t="n"/>
      <c r="E2048" s="113" t="n"/>
      <c r="F2048" s="113" t="n"/>
      <c r="G2048" s="113" t="n"/>
      <c r="H2048" s="113" t="n"/>
      <c r="I2048" s="113" t="n"/>
      <c r="J2048" s="113" t="n"/>
      <c r="K2048" s="113" t="n"/>
      <c r="L2048" s="113" t="n"/>
      <c r="M2048" s="113" t="n"/>
      <c r="N2048" s="113" t="n"/>
      <c r="O2048" s="113" t="n"/>
      <c r="P2048" s="113" t="n"/>
      <c r="Q2048" s="113" t="n"/>
      <c r="R2048" s="113" t="n"/>
      <c r="S2048" s="113" t="n"/>
      <c r="T2048" s="113" t="n"/>
      <c r="U2048" s="113" t="n"/>
      <c r="V2048" s="113" t="n"/>
      <c r="W2048" s="113" t="n"/>
      <c r="X2048" s="113" t="n"/>
      <c r="Y2048" s="113" t="n"/>
      <c r="Z2048" s="117">
        <f>IF($B2048="",0,IF($S2048="EVET",IF($D2048="GELİR",$O2048,-$O2048),0))</f>
        <v/>
      </c>
      <c r="AA2048" s="117">
        <f>IF($B2048="",0,IF(OR($W2048="EVET",$X2048="EVET",$Y2048="EVET"),0,IF($D2048="GELİR",IF($E2048="SATIŞ İADESİ/İSKONTO",-$O2048,$O2048),-$O2048)))</f>
        <v/>
      </c>
      <c r="AB2048" s="117">
        <f>IF($B2048="","",IF(OR($D2048="",$E2048="",$O2048=""),"EKSİK",IF($O2048&lt;=0,"SIFIR/NEGATİF",IF(COUNTIFS($C$6:$C$5000,$C2048,$O$6:$O$5000,$O2048,$B$6:$B$5000,$B2048)&gt;1,"MÜKERRER","OK"))))</f>
        <v/>
      </c>
    </row>
    <row r="2049" ht="16.5" customHeight="1" s="80">
      <c r="A2049" s="113" t="n"/>
      <c r="B2049" s="113" t="n"/>
      <c r="C2049" s="113" t="n"/>
      <c r="D2049" s="113" t="n"/>
      <c r="E2049" s="113" t="n"/>
      <c r="F2049" s="113" t="n"/>
      <c r="G2049" s="113" t="n"/>
      <c r="H2049" s="113" t="n"/>
      <c r="I2049" s="113" t="n"/>
      <c r="J2049" s="113" t="n"/>
      <c r="K2049" s="113" t="n"/>
      <c r="L2049" s="113" t="n"/>
      <c r="M2049" s="113" t="n"/>
      <c r="N2049" s="113" t="n"/>
      <c r="O2049" s="113" t="n"/>
      <c r="P2049" s="113" t="n"/>
      <c r="Q2049" s="113" t="n"/>
      <c r="R2049" s="113" t="n"/>
      <c r="S2049" s="113" t="n"/>
      <c r="T2049" s="113" t="n"/>
      <c r="U2049" s="113" t="n"/>
      <c r="V2049" s="113" t="n"/>
      <c r="W2049" s="113" t="n"/>
      <c r="X2049" s="113" t="n"/>
      <c r="Y2049" s="113" t="n"/>
      <c r="Z2049" s="117">
        <f>IF($B2049="",0,IF($S2049="EVET",IF($D2049="GELİR",$O2049,-$O2049),0))</f>
        <v/>
      </c>
      <c r="AA2049" s="117">
        <f>IF($B2049="",0,IF(OR($W2049="EVET",$X2049="EVET",$Y2049="EVET"),0,IF($D2049="GELİR",IF($E2049="SATIŞ İADESİ/İSKONTO",-$O2049,$O2049),-$O2049)))</f>
        <v/>
      </c>
      <c r="AB2049" s="117">
        <f>IF($B2049="","",IF(OR($D2049="",$E2049="",$O2049=""),"EKSİK",IF($O2049&lt;=0,"SIFIR/NEGATİF",IF(COUNTIFS($C$6:$C$5000,$C2049,$O$6:$O$5000,$O2049,$B$6:$B$5000,$B2049)&gt;1,"MÜKERRER","OK"))))</f>
        <v/>
      </c>
    </row>
    <row r="2050" ht="16.5" customHeight="1" s="80">
      <c r="A2050" s="113" t="n"/>
      <c r="B2050" s="113" t="n"/>
      <c r="C2050" s="113" t="n"/>
      <c r="D2050" s="113" t="n"/>
      <c r="E2050" s="113" t="n"/>
      <c r="F2050" s="113" t="n"/>
      <c r="G2050" s="113" t="n"/>
      <c r="H2050" s="113" t="n"/>
      <c r="I2050" s="113" t="n"/>
      <c r="J2050" s="113" t="n"/>
      <c r="K2050" s="113" t="n"/>
      <c r="L2050" s="113" t="n"/>
      <c r="M2050" s="113" t="n"/>
      <c r="N2050" s="113" t="n"/>
      <c r="O2050" s="113" t="n"/>
      <c r="P2050" s="113" t="n"/>
      <c r="Q2050" s="113" t="n"/>
      <c r="R2050" s="113" t="n"/>
      <c r="S2050" s="113" t="n"/>
      <c r="T2050" s="113" t="n"/>
      <c r="U2050" s="113" t="n"/>
      <c r="V2050" s="113" t="n"/>
      <c r="W2050" s="113" t="n"/>
      <c r="X2050" s="113" t="n"/>
      <c r="Y2050" s="113" t="n"/>
      <c r="Z2050" s="117">
        <f>IF($B2050="",0,IF($S2050="EVET",IF($D2050="GELİR",$O2050,-$O2050),0))</f>
        <v/>
      </c>
      <c r="AA2050" s="117">
        <f>IF($B2050="",0,IF(OR($W2050="EVET",$X2050="EVET",$Y2050="EVET"),0,IF($D2050="GELİR",IF($E2050="SATIŞ İADESİ/İSKONTO",-$O2050,$O2050),-$O2050)))</f>
        <v/>
      </c>
      <c r="AB2050" s="117">
        <f>IF($B2050="","",IF(OR($D2050="",$E2050="",$O2050=""),"EKSİK",IF($O2050&lt;=0,"SIFIR/NEGATİF",IF(COUNTIFS($C$6:$C$5000,$C2050,$O$6:$O$5000,$O2050,$B$6:$B$5000,$B2050)&gt;1,"MÜKERRER","OK"))))</f>
        <v/>
      </c>
    </row>
    <row r="2051" ht="16.5" customHeight="1" s="80">
      <c r="A2051" s="113" t="n"/>
      <c r="B2051" s="113" t="n"/>
      <c r="C2051" s="113" t="n"/>
      <c r="D2051" s="113" t="n"/>
      <c r="E2051" s="113" t="n"/>
      <c r="F2051" s="113" t="n"/>
      <c r="G2051" s="113" t="n"/>
      <c r="H2051" s="113" t="n"/>
      <c r="I2051" s="113" t="n"/>
      <c r="J2051" s="113" t="n"/>
      <c r="K2051" s="113" t="n"/>
      <c r="L2051" s="113" t="n"/>
      <c r="M2051" s="113" t="n"/>
      <c r="N2051" s="113" t="n"/>
      <c r="O2051" s="113" t="n"/>
      <c r="P2051" s="113" t="n"/>
      <c r="Q2051" s="113" t="n"/>
      <c r="R2051" s="113" t="n"/>
      <c r="S2051" s="113" t="n"/>
      <c r="T2051" s="113" t="n"/>
      <c r="U2051" s="113" t="n"/>
      <c r="V2051" s="113" t="n"/>
      <c r="W2051" s="113" t="n"/>
      <c r="X2051" s="113" t="n"/>
      <c r="Y2051" s="113" t="n"/>
      <c r="Z2051" s="117">
        <f>IF($B2051="",0,IF($S2051="EVET",IF($D2051="GELİR",$O2051,-$O2051),0))</f>
        <v/>
      </c>
      <c r="AA2051" s="117">
        <f>IF($B2051="",0,IF(OR($W2051="EVET",$X2051="EVET",$Y2051="EVET"),0,IF($D2051="GELİR",IF($E2051="SATIŞ İADESİ/İSKONTO",-$O2051,$O2051),-$O2051)))</f>
        <v/>
      </c>
      <c r="AB2051" s="117">
        <f>IF($B2051="","",IF(OR($D2051="",$E2051="",$O2051=""),"EKSİK",IF($O2051&lt;=0,"SIFIR/NEGATİF",IF(COUNTIFS($C$6:$C$5000,$C2051,$O$6:$O$5000,$O2051,$B$6:$B$5000,$B2051)&gt;1,"MÜKERRER","OK"))))</f>
        <v/>
      </c>
    </row>
    <row r="2052" ht="16.5" customHeight="1" s="80">
      <c r="A2052" s="113" t="n"/>
      <c r="B2052" s="113" t="n"/>
      <c r="C2052" s="113" t="n"/>
      <c r="D2052" s="113" t="n"/>
      <c r="E2052" s="113" t="n"/>
      <c r="F2052" s="113" t="n"/>
      <c r="G2052" s="113" t="n"/>
      <c r="H2052" s="113" t="n"/>
      <c r="I2052" s="113" t="n"/>
      <c r="J2052" s="113" t="n"/>
      <c r="K2052" s="113" t="n"/>
      <c r="L2052" s="113" t="n"/>
      <c r="M2052" s="113" t="n"/>
      <c r="N2052" s="113" t="n"/>
      <c r="O2052" s="113" t="n"/>
      <c r="P2052" s="113" t="n"/>
      <c r="Q2052" s="113" t="n"/>
      <c r="R2052" s="113" t="n"/>
      <c r="S2052" s="113" t="n"/>
      <c r="T2052" s="113" t="n"/>
      <c r="U2052" s="113" t="n"/>
      <c r="V2052" s="113" t="n"/>
      <c r="W2052" s="113" t="n"/>
      <c r="X2052" s="113" t="n"/>
      <c r="Y2052" s="113" t="n"/>
      <c r="Z2052" s="117">
        <f>IF($B2052="",0,IF($S2052="EVET",IF($D2052="GELİR",$O2052,-$O2052),0))</f>
        <v/>
      </c>
      <c r="AA2052" s="117">
        <f>IF($B2052="",0,IF(OR($W2052="EVET",$X2052="EVET",$Y2052="EVET"),0,IF($D2052="GELİR",IF($E2052="SATIŞ İADESİ/İSKONTO",-$O2052,$O2052),-$O2052)))</f>
        <v/>
      </c>
      <c r="AB2052" s="117">
        <f>IF($B2052="","",IF(OR($D2052="",$E2052="",$O2052=""),"EKSİK",IF($O2052&lt;=0,"SIFIR/NEGATİF",IF(COUNTIFS($C$6:$C$5000,$C2052,$O$6:$O$5000,$O2052,$B$6:$B$5000,$B2052)&gt;1,"MÜKERRER","OK"))))</f>
        <v/>
      </c>
    </row>
    <row r="2053" ht="16.5" customHeight="1" s="80">
      <c r="A2053" s="113" t="n"/>
      <c r="B2053" s="113" t="n"/>
      <c r="C2053" s="113" t="n"/>
      <c r="D2053" s="113" t="n"/>
      <c r="E2053" s="113" t="n"/>
      <c r="F2053" s="113" t="n"/>
      <c r="G2053" s="113" t="n"/>
      <c r="H2053" s="113" t="n"/>
      <c r="I2053" s="113" t="n"/>
      <c r="J2053" s="113" t="n"/>
      <c r="K2053" s="113" t="n"/>
      <c r="L2053" s="113" t="n"/>
      <c r="M2053" s="113" t="n"/>
      <c r="N2053" s="113" t="n"/>
      <c r="O2053" s="113" t="n"/>
      <c r="P2053" s="113" t="n"/>
      <c r="Q2053" s="113" t="n"/>
      <c r="R2053" s="113" t="n"/>
      <c r="S2053" s="113" t="n"/>
      <c r="T2053" s="113" t="n"/>
      <c r="U2053" s="113" t="n"/>
      <c r="V2053" s="113" t="n"/>
      <c r="W2053" s="113" t="n"/>
      <c r="X2053" s="113" t="n"/>
      <c r="Y2053" s="113" t="n"/>
      <c r="Z2053" s="117">
        <f>IF($B2053="",0,IF($S2053="EVET",IF($D2053="GELİR",$O2053,-$O2053),0))</f>
        <v/>
      </c>
      <c r="AA2053" s="117">
        <f>IF($B2053="",0,IF(OR($W2053="EVET",$X2053="EVET",$Y2053="EVET"),0,IF($D2053="GELİR",IF($E2053="SATIŞ İADESİ/İSKONTO",-$O2053,$O2053),-$O2053)))</f>
        <v/>
      </c>
      <c r="AB2053" s="117">
        <f>IF($B2053="","",IF(OR($D2053="",$E2053="",$O2053=""),"EKSİK",IF($O2053&lt;=0,"SIFIR/NEGATİF",IF(COUNTIFS($C$6:$C$5000,$C2053,$O$6:$O$5000,$O2053,$B$6:$B$5000,$B2053)&gt;1,"MÜKERRER","OK"))))</f>
        <v/>
      </c>
    </row>
    <row r="2054" ht="16.5" customHeight="1" s="80">
      <c r="A2054" s="113" t="n"/>
      <c r="B2054" s="113" t="n"/>
      <c r="C2054" s="113" t="n"/>
      <c r="D2054" s="113" t="n"/>
      <c r="E2054" s="113" t="n"/>
      <c r="F2054" s="113" t="n"/>
      <c r="G2054" s="113" t="n"/>
      <c r="H2054" s="113" t="n"/>
      <c r="I2054" s="113" t="n"/>
      <c r="J2054" s="113" t="n"/>
      <c r="K2054" s="113" t="n"/>
      <c r="L2054" s="113" t="n"/>
      <c r="M2054" s="113" t="n"/>
      <c r="N2054" s="113" t="n"/>
      <c r="O2054" s="113" t="n"/>
      <c r="P2054" s="113" t="n"/>
      <c r="Q2054" s="113" t="n"/>
      <c r="R2054" s="113" t="n"/>
      <c r="S2054" s="113" t="n"/>
      <c r="T2054" s="113" t="n"/>
      <c r="U2054" s="113" t="n"/>
      <c r="V2054" s="113" t="n"/>
      <c r="W2054" s="113" t="n"/>
      <c r="X2054" s="113" t="n"/>
      <c r="Y2054" s="113" t="n"/>
      <c r="Z2054" s="117">
        <f>IF($B2054="",0,IF($S2054="EVET",IF($D2054="GELİR",$O2054,-$O2054),0))</f>
        <v/>
      </c>
      <c r="AA2054" s="117">
        <f>IF($B2054="",0,IF(OR($W2054="EVET",$X2054="EVET",$Y2054="EVET"),0,IF($D2054="GELİR",IF($E2054="SATIŞ İADESİ/İSKONTO",-$O2054,$O2054),-$O2054)))</f>
        <v/>
      </c>
      <c r="AB2054" s="117">
        <f>IF($B2054="","",IF(OR($D2054="",$E2054="",$O2054=""),"EKSİK",IF($O2054&lt;=0,"SIFIR/NEGATİF",IF(COUNTIFS($C$6:$C$5000,$C2054,$O$6:$O$5000,$O2054,$B$6:$B$5000,$B2054)&gt;1,"MÜKERRER","OK"))))</f>
        <v/>
      </c>
    </row>
    <row r="2055" ht="16.5" customHeight="1" s="80">
      <c r="A2055" s="113" t="n"/>
      <c r="B2055" s="113" t="n"/>
      <c r="C2055" s="113" t="n"/>
      <c r="D2055" s="113" t="n"/>
      <c r="E2055" s="113" t="n"/>
      <c r="F2055" s="113" t="n"/>
      <c r="G2055" s="113" t="n"/>
      <c r="H2055" s="113" t="n"/>
      <c r="I2055" s="113" t="n"/>
      <c r="J2055" s="113" t="n"/>
      <c r="K2055" s="113" t="n"/>
      <c r="L2055" s="113" t="n"/>
      <c r="M2055" s="113" t="n"/>
      <c r="N2055" s="113" t="n"/>
      <c r="O2055" s="113" t="n"/>
      <c r="P2055" s="113" t="n"/>
      <c r="Q2055" s="113" t="n"/>
      <c r="R2055" s="113" t="n"/>
      <c r="S2055" s="113" t="n"/>
      <c r="T2055" s="113" t="n"/>
      <c r="U2055" s="113" t="n"/>
      <c r="V2055" s="113" t="n"/>
      <c r="W2055" s="113" t="n"/>
      <c r="X2055" s="113" t="n"/>
      <c r="Y2055" s="113" t="n"/>
      <c r="Z2055" s="117">
        <f>IF($B2055="",0,IF($S2055="EVET",IF($D2055="GELİR",$O2055,-$O2055),0))</f>
        <v/>
      </c>
      <c r="AA2055" s="117">
        <f>IF($B2055="",0,IF(OR($W2055="EVET",$X2055="EVET",$Y2055="EVET"),0,IF($D2055="GELİR",IF($E2055="SATIŞ İADESİ/İSKONTO",-$O2055,$O2055),-$O2055)))</f>
        <v/>
      </c>
      <c r="AB2055" s="117">
        <f>IF($B2055="","",IF(OR($D2055="",$E2055="",$O2055=""),"EKSİK",IF($O2055&lt;=0,"SIFIR/NEGATİF",IF(COUNTIFS($C$6:$C$5000,$C2055,$O$6:$O$5000,$O2055,$B$6:$B$5000,$B2055)&gt;1,"MÜKERRER","OK"))))</f>
        <v/>
      </c>
    </row>
    <row r="2056" ht="16.5" customHeight="1" s="80">
      <c r="A2056" s="113" t="n"/>
      <c r="B2056" s="113" t="n"/>
      <c r="C2056" s="113" t="n"/>
      <c r="D2056" s="113" t="n"/>
      <c r="E2056" s="113" t="n"/>
      <c r="F2056" s="113" t="n"/>
      <c r="G2056" s="113" t="n"/>
      <c r="H2056" s="113" t="n"/>
      <c r="I2056" s="113" t="n"/>
      <c r="J2056" s="113" t="n"/>
      <c r="K2056" s="113" t="n"/>
      <c r="L2056" s="113" t="n"/>
      <c r="M2056" s="113" t="n"/>
      <c r="N2056" s="113" t="n"/>
      <c r="O2056" s="113" t="n"/>
      <c r="P2056" s="113" t="n"/>
      <c r="Q2056" s="113" t="n"/>
      <c r="R2056" s="113" t="n"/>
      <c r="S2056" s="113" t="n"/>
      <c r="T2056" s="113" t="n"/>
      <c r="U2056" s="113" t="n"/>
      <c r="V2056" s="113" t="n"/>
      <c r="W2056" s="113" t="n"/>
      <c r="X2056" s="113" t="n"/>
      <c r="Y2056" s="113" t="n"/>
      <c r="Z2056" s="117">
        <f>IF($B2056="",0,IF($S2056="EVET",IF($D2056="GELİR",$O2056,-$O2056),0))</f>
        <v/>
      </c>
      <c r="AA2056" s="117">
        <f>IF($B2056="",0,IF(OR($W2056="EVET",$X2056="EVET",$Y2056="EVET"),0,IF($D2056="GELİR",IF($E2056="SATIŞ İADESİ/İSKONTO",-$O2056,$O2056),-$O2056)))</f>
        <v/>
      </c>
      <c r="AB2056" s="117">
        <f>IF($B2056="","",IF(OR($D2056="",$E2056="",$O2056=""),"EKSİK",IF($O2056&lt;=0,"SIFIR/NEGATİF",IF(COUNTIFS($C$6:$C$5000,$C2056,$O$6:$O$5000,$O2056,$B$6:$B$5000,$B2056)&gt;1,"MÜKERRER","OK"))))</f>
        <v/>
      </c>
    </row>
    <row r="2057" ht="16.5" customHeight="1" s="80">
      <c r="A2057" s="113" t="n"/>
      <c r="B2057" s="113" t="n"/>
      <c r="C2057" s="113" t="n"/>
      <c r="D2057" s="113" t="n"/>
      <c r="E2057" s="113" t="n"/>
      <c r="F2057" s="113" t="n"/>
      <c r="G2057" s="113" t="n"/>
      <c r="H2057" s="113" t="n"/>
      <c r="I2057" s="113" t="n"/>
      <c r="J2057" s="113" t="n"/>
      <c r="K2057" s="113" t="n"/>
      <c r="L2057" s="113" t="n"/>
      <c r="M2057" s="113" t="n"/>
      <c r="N2057" s="113" t="n"/>
      <c r="O2057" s="113" t="n"/>
      <c r="P2057" s="113" t="n"/>
      <c r="Q2057" s="113" t="n"/>
      <c r="R2057" s="113" t="n"/>
      <c r="S2057" s="113" t="n"/>
      <c r="T2057" s="113" t="n"/>
      <c r="U2057" s="113" t="n"/>
      <c r="V2057" s="113" t="n"/>
      <c r="W2057" s="113" t="n"/>
      <c r="X2057" s="113" t="n"/>
      <c r="Y2057" s="113" t="n"/>
      <c r="Z2057" s="117">
        <f>IF($B2057="",0,IF($S2057="EVET",IF($D2057="GELİR",$O2057,-$O2057),0))</f>
        <v/>
      </c>
      <c r="AA2057" s="117">
        <f>IF($B2057="",0,IF(OR($W2057="EVET",$X2057="EVET",$Y2057="EVET"),0,IF($D2057="GELİR",IF($E2057="SATIŞ İADESİ/İSKONTO",-$O2057,$O2057),-$O2057)))</f>
        <v/>
      </c>
      <c r="AB2057" s="117">
        <f>IF($B2057="","",IF(OR($D2057="",$E2057="",$O2057=""),"EKSİK",IF($O2057&lt;=0,"SIFIR/NEGATİF",IF(COUNTIFS($C$6:$C$5000,$C2057,$O$6:$O$5000,$O2057,$B$6:$B$5000,$B2057)&gt;1,"MÜKERRER","OK"))))</f>
        <v/>
      </c>
    </row>
    <row r="2058" ht="16.5" customHeight="1" s="80">
      <c r="A2058" s="113" t="n"/>
      <c r="B2058" s="113" t="n"/>
      <c r="C2058" s="113" t="n"/>
      <c r="D2058" s="113" t="n"/>
      <c r="E2058" s="113" t="n"/>
      <c r="F2058" s="113" t="n"/>
      <c r="G2058" s="113" t="n"/>
      <c r="H2058" s="113" t="n"/>
      <c r="I2058" s="113" t="n"/>
      <c r="J2058" s="113" t="n"/>
      <c r="K2058" s="113" t="n"/>
      <c r="L2058" s="113" t="n"/>
      <c r="M2058" s="113" t="n"/>
      <c r="N2058" s="113" t="n"/>
      <c r="O2058" s="113" t="n"/>
      <c r="P2058" s="113" t="n"/>
      <c r="Q2058" s="113" t="n"/>
      <c r="R2058" s="113" t="n"/>
      <c r="S2058" s="113" t="n"/>
      <c r="T2058" s="113" t="n"/>
      <c r="U2058" s="113" t="n"/>
      <c r="V2058" s="113" t="n"/>
      <c r="W2058" s="113" t="n"/>
      <c r="X2058" s="113" t="n"/>
      <c r="Y2058" s="113" t="n"/>
      <c r="Z2058" s="117">
        <f>IF($B2058="",0,IF($S2058="EVET",IF($D2058="GELİR",$O2058,-$O2058),0))</f>
        <v/>
      </c>
      <c r="AA2058" s="117">
        <f>IF($B2058="",0,IF(OR($W2058="EVET",$X2058="EVET",$Y2058="EVET"),0,IF($D2058="GELİR",IF($E2058="SATIŞ İADESİ/İSKONTO",-$O2058,$O2058),-$O2058)))</f>
        <v/>
      </c>
      <c r="AB2058" s="117">
        <f>IF($B2058="","",IF(OR($D2058="",$E2058="",$O2058=""),"EKSİK",IF($O2058&lt;=0,"SIFIR/NEGATİF",IF(COUNTIFS($C$6:$C$5000,$C2058,$O$6:$O$5000,$O2058,$B$6:$B$5000,$B2058)&gt;1,"MÜKERRER","OK"))))</f>
        <v/>
      </c>
    </row>
    <row r="2059" ht="16.5" customHeight="1" s="80">
      <c r="A2059" s="113" t="n"/>
      <c r="B2059" s="113" t="n"/>
      <c r="C2059" s="113" t="n"/>
      <c r="D2059" s="113" t="n"/>
      <c r="E2059" s="113" t="n"/>
      <c r="F2059" s="113" t="n"/>
      <c r="G2059" s="113" t="n"/>
      <c r="H2059" s="113" t="n"/>
      <c r="I2059" s="113" t="n"/>
      <c r="J2059" s="113" t="n"/>
      <c r="K2059" s="113" t="n"/>
      <c r="L2059" s="113" t="n"/>
      <c r="M2059" s="113" t="n"/>
      <c r="N2059" s="113" t="n"/>
      <c r="O2059" s="113" t="n"/>
      <c r="P2059" s="113" t="n"/>
      <c r="Q2059" s="113" t="n"/>
      <c r="R2059" s="113" t="n"/>
      <c r="S2059" s="113" t="n"/>
      <c r="T2059" s="113" t="n"/>
      <c r="U2059" s="113" t="n"/>
      <c r="V2059" s="113" t="n"/>
      <c r="W2059" s="113" t="n"/>
      <c r="X2059" s="113" t="n"/>
      <c r="Y2059" s="113" t="n"/>
      <c r="Z2059" s="117">
        <f>IF($B2059="",0,IF($S2059="EVET",IF($D2059="GELİR",$O2059,-$O2059),0))</f>
        <v/>
      </c>
      <c r="AA2059" s="117">
        <f>IF($B2059="",0,IF(OR($W2059="EVET",$X2059="EVET",$Y2059="EVET"),0,IF($D2059="GELİR",IF($E2059="SATIŞ İADESİ/İSKONTO",-$O2059,$O2059),-$O2059)))</f>
        <v/>
      </c>
      <c r="AB2059" s="117">
        <f>IF($B2059="","",IF(OR($D2059="",$E2059="",$O2059=""),"EKSİK",IF($O2059&lt;=0,"SIFIR/NEGATİF",IF(COUNTIFS($C$6:$C$5000,$C2059,$O$6:$O$5000,$O2059,$B$6:$B$5000,$B2059)&gt;1,"MÜKERRER","OK"))))</f>
        <v/>
      </c>
    </row>
    <row r="2060" ht="16.5" customHeight="1" s="80">
      <c r="A2060" s="113" t="n"/>
      <c r="B2060" s="113" t="n"/>
      <c r="C2060" s="113" t="n"/>
      <c r="D2060" s="113" t="n"/>
      <c r="E2060" s="113" t="n"/>
      <c r="F2060" s="113" t="n"/>
      <c r="G2060" s="113" t="n"/>
      <c r="H2060" s="113" t="n"/>
      <c r="I2060" s="113" t="n"/>
      <c r="J2060" s="113" t="n"/>
      <c r="K2060" s="113" t="n"/>
      <c r="L2060" s="113" t="n"/>
      <c r="M2060" s="113" t="n"/>
      <c r="N2060" s="113" t="n"/>
      <c r="O2060" s="113" t="n"/>
      <c r="P2060" s="113" t="n"/>
      <c r="Q2060" s="113" t="n"/>
      <c r="R2060" s="113" t="n"/>
      <c r="S2060" s="113" t="n"/>
      <c r="T2060" s="113" t="n"/>
      <c r="U2060" s="113" t="n"/>
      <c r="V2060" s="113" t="n"/>
      <c r="W2060" s="113" t="n"/>
      <c r="X2060" s="113" t="n"/>
      <c r="Y2060" s="113" t="n"/>
      <c r="Z2060" s="117">
        <f>IF($B2060="",0,IF($S2060="EVET",IF($D2060="GELİR",$O2060,-$O2060),0))</f>
        <v/>
      </c>
      <c r="AA2060" s="117">
        <f>IF($B2060="",0,IF(OR($W2060="EVET",$X2060="EVET",$Y2060="EVET"),0,IF($D2060="GELİR",IF($E2060="SATIŞ İADESİ/İSKONTO",-$O2060,$O2060),-$O2060)))</f>
        <v/>
      </c>
      <c r="AB2060" s="117">
        <f>IF($B2060="","",IF(OR($D2060="",$E2060="",$O2060=""),"EKSİK",IF($O2060&lt;=0,"SIFIR/NEGATİF",IF(COUNTIFS($C$6:$C$5000,$C2060,$O$6:$O$5000,$O2060,$B$6:$B$5000,$B2060)&gt;1,"MÜKERRER","OK"))))</f>
        <v/>
      </c>
    </row>
    <row r="2061" ht="16.5" customHeight="1" s="80">
      <c r="A2061" s="113" t="n"/>
      <c r="B2061" s="113" t="n"/>
      <c r="C2061" s="113" t="n"/>
      <c r="D2061" s="113" t="n"/>
      <c r="E2061" s="113" t="n"/>
      <c r="F2061" s="113" t="n"/>
      <c r="G2061" s="113" t="n"/>
      <c r="H2061" s="113" t="n"/>
      <c r="I2061" s="113" t="n"/>
      <c r="J2061" s="113" t="n"/>
      <c r="K2061" s="113" t="n"/>
      <c r="L2061" s="113" t="n"/>
      <c r="M2061" s="113" t="n"/>
      <c r="N2061" s="113" t="n"/>
      <c r="O2061" s="113" t="n"/>
      <c r="P2061" s="113" t="n"/>
      <c r="Q2061" s="113" t="n"/>
      <c r="R2061" s="113" t="n"/>
      <c r="S2061" s="113" t="n"/>
      <c r="T2061" s="113" t="n"/>
      <c r="U2061" s="113" t="n"/>
      <c r="V2061" s="113" t="n"/>
      <c r="W2061" s="113" t="n"/>
      <c r="X2061" s="113" t="n"/>
      <c r="Y2061" s="113" t="n"/>
      <c r="Z2061" s="117">
        <f>IF($B2061="",0,IF($S2061="EVET",IF($D2061="GELİR",$O2061,-$O2061),0))</f>
        <v/>
      </c>
      <c r="AA2061" s="117">
        <f>IF($B2061="",0,IF(OR($W2061="EVET",$X2061="EVET",$Y2061="EVET"),0,IF($D2061="GELİR",IF($E2061="SATIŞ İADESİ/İSKONTO",-$O2061,$O2061),-$O2061)))</f>
        <v/>
      </c>
      <c r="AB2061" s="117">
        <f>IF($B2061="","",IF(OR($D2061="",$E2061="",$O2061=""),"EKSİK",IF($O2061&lt;=0,"SIFIR/NEGATİF",IF(COUNTIFS($C$6:$C$5000,$C2061,$O$6:$O$5000,$O2061,$B$6:$B$5000,$B2061)&gt;1,"MÜKERRER","OK"))))</f>
        <v/>
      </c>
    </row>
    <row r="2062" ht="16.5" customHeight="1" s="80">
      <c r="A2062" s="113" t="n"/>
      <c r="B2062" s="113" t="n"/>
      <c r="C2062" s="113" t="n"/>
      <c r="D2062" s="113" t="n"/>
      <c r="E2062" s="113" t="n"/>
      <c r="F2062" s="113" t="n"/>
      <c r="G2062" s="113" t="n"/>
      <c r="H2062" s="113" t="n"/>
      <c r="I2062" s="113" t="n"/>
      <c r="J2062" s="113" t="n"/>
      <c r="K2062" s="113" t="n"/>
      <c r="L2062" s="113" t="n"/>
      <c r="M2062" s="113" t="n"/>
      <c r="N2062" s="113" t="n"/>
      <c r="O2062" s="113" t="n"/>
      <c r="P2062" s="113" t="n"/>
      <c r="Q2062" s="113" t="n"/>
      <c r="R2062" s="113" t="n"/>
      <c r="S2062" s="113" t="n"/>
      <c r="T2062" s="113" t="n"/>
      <c r="U2062" s="113" t="n"/>
      <c r="V2062" s="113" t="n"/>
      <c r="W2062" s="113" t="n"/>
      <c r="X2062" s="113" t="n"/>
      <c r="Y2062" s="113" t="n"/>
      <c r="Z2062" s="117">
        <f>IF($B2062="",0,IF($S2062="EVET",IF($D2062="GELİR",$O2062,-$O2062),0))</f>
        <v/>
      </c>
      <c r="AA2062" s="117">
        <f>IF($B2062="",0,IF(OR($W2062="EVET",$X2062="EVET",$Y2062="EVET"),0,IF($D2062="GELİR",IF($E2062="SATIŞ İADESİ/İSKONTO",-$O2062,$O2062),-$O2062)))</f>
        <v/>
      </c>
      <c r="AB2062" s="117">
        <f>IF($B2062="","",IF(OR($D2062="",$E2062="",$O2062=""),"EKSİK",IF($O2062&lt;=0,"SIFIR/NEGATİF",IF(COUNTIFS($C$6:$C$5000,$C2062,$O$6:$O$5000,$O2062,$B$6:$B$5000,$B2062)&gt;1,"MÜKERRER","OK"))))</f>
        <v/>
      </c>
    </row>
    <row r="2063" ht="16.5" customHeight="1" s="80">
      <c r="A2063" s="113" t="n"/>
      <c r="B2063" s="113" t="n"/>
      <c r="C2063" s="113" t="n"/>
      <c r="D2063" s="113" t="n"/>
      <c r="E2063" s="113" t="n"/>
      <c r="F2063" s="113" t="n"/>
      <c r="G2063" s="113" t="n"/>
      <c r="H2063" s="113" t="n"/>
      <c r="I2063" s="113" t="n"/>
      <c r="J2063" s="113" t="n"/>
      <c r="K2063" s="113" t="n"/>
      <c r="L2063" s="113" t="n"/>
      <c r="M2063" s="113" t="n"/>
      <c r="N2063" s="113" t="n"/>
      <c r="O2063" s="113" t="n"/>
      <c r="P2063" s="113" t="n"/>
      <c r="Q2063" s="113" t="n"/>
      <c r="R2063" s="113" t="n"/>
      <c r="S2063" s="113" t="n"/>
      <c r="T2063" s="113" t="n"/>
      <c r="U2063" s="113" t="n"/>
      <c r="V2063" s="113" t="n"/>
      <c r="W2063" s="113" t="n"/>
      <c r="X2063" s="113" t="n"/>
      <c r="Y2063" s="113" t="n"/>
      <c r="Z2063" s="117">
        <f>IF($B2063="",0,IF($S2063="EVET",IF($D2063="GELİR",$O2063,-$O2063),0))</f>
        <v/>
      </c>
      <c r="AA2063" s="117">
        <f>IF($B2063="",0,IF(OR($W2063="EVET",$X2063="EVET",$Y2063="EVET"),0,IF($D2063="GELİR",IF($E2063="SATIŞ İADESİ/İSKONTO",-$O2063,$O2063),-$O2063)))</f>
        <v/>
      </c>
      <c r="AB2063" s="117">
        <f>IF($B2063="","",IF(OR($D2063="",$E2063="",$O2063=""),"EKSİK",IF($O2063&lt;=0,"SIFIR/NEGATİF",IF(COUNTIFS($C$6:$C$5000,$C2063,$O$6:$O$5000,$O2063,$B$6:$B$5000,$B2063)&gt;1,"MÜKERRER","OK"))))</f>
        <v/>
      </c>
    </row>
    <row r="2064" ht="16.5" customHeight="1" s="80">
      <c r="A2064" s="113" t="n"/>
      <c r="B2064" s="113" t="n"/>
      <c r="C2064" s="113" t="n"/>
      <c r="D2064" s="113" t="n"/>
      <c r="E2064" s="113" t="n"/>
      <c r="F2064" s="113" t="n"/>
      <c r="G2064" s="113" t="n"/>
      <c r="H2064" s="113" t="n"/>
      <c r="I2064" s="113" t="n"/>
      <c r="J2064" s="113" t="n"/>
      <c r="K2064" s="113" t="n"/>
      <c r="L2064" s="113" t="n"/>
      <c r="M2064" s="113" t="n"/>
      <c r="N2064" s="113" t="n"/>
      <c r="O2064" s="113" t="n"/>
      <c r="P2064" s="113" t="n"/>
      <c r="Q2064" s="113" t="n"/>
      <c r="R2064" s="113" t="n"/>
      <c r="S2064" s="113" t="n"/>
      <c r="T2064" s="113" t="n"/>
      <c r="U2064" s="113" t="n"/>
      <c r="V2064" s="113" t="n"/>
      <c r="W2064" s="113" t="n"/>
      <c r="X2064" s="113" t="n"/>
      <c r="Y2064" s="113" t="n"/>
      <c r="Z2064" s="117">
        <f>IF($B2064="",0,IF($S2064="EVET",IF($D2064="GELİR",$O2064,-$O2064),0))</f>
        <v/>
      </c>
      <c r="AA2064" s="117">
        <f>IF($B2064="",0,IF(OR($W2064="EVET",$X2064="EVET",$Y2064="EVET"),0,IF($D2064="GELİR",IF($E2064="SATIŞ İADESİ/İSKONTO",-$O2064,$O2064),-$O2064)))</f>
        <v/>
      </c>
      <c r="AB2064" s="117">
        <f>IF($B2064="","",IF(OR($D2064="",$E2064="",$O2064=""),"EKSİK",IF($O2064&lt;=0,"SIFIR/NEGATİF",IF(COUNTIFS($C$6:$C$5000,$C2064,$O$6:$O$5000,$O2064,$B$6:$B$5000,$B2064)&gt;1,"MÜKERRER","OK"))))</f>
        <v/>
      </c>
    </row>
    <row r="2065" ht="16.5" customHeight="1" s="80">
      <c r="A2065" s="113" t="n"/>
      <c r="B2065" s="113" t="n"/>
      <c r="C2065" s="113" t="n"/>
      <c r="D2065" s="113" t="n"/>
      <c r="E2065" s="113" t="n"/>
      <c r="F2065" s="113" t="n"/>
      <c r="G2065" s="113" t="n"/>
      <c r="H2065" s="113" t="n"/>
      <c r="I2065" s="113" t="n"/>
      <c r="J2065" s="113" t="n"/>
      <c r="K2065" s="113" t="n"/>
      <c r="L2065" s="113" t="n"/>
      <c r="M2065" s="113" t="n"/>
      <c r="N2065" s="113" t="n"/>
      <c r="O2065" s="113" t="n"/>
      <c r="P2065" s="113" t="n"/>
      <c r="Q2065" s="113" t="n"/>
      <c r="R2065" s="113" t="n"/>
      <c r="S2065" s="113" t="n"/>
      <c r="T2065" s="113" t="n"/>
      <c r="U2065" s="113" t="n"/>
      <c r="V2065" s="113" t="n"/>
      <c r="W2065" s="113" t="n"/>
      <c r="X2065" s="113" t="n"/>
      <c r="Y2065" s="113" t="n"/>
      <c r="Z2065" s="117">
        <f>IF($B2065="",0,IF($S2065="EVET",IF($D2065="GELİR",$O2065,-$O2065),0))</f>
        <v/>
      </c>
      <c r="AA2065" s="117">
        <f>IF($B2065="",0,IF(OR($W2065="EVET",$X2065="EVET",$Y2065="EVET"),0,IF($D2065="GELİR",IF($E2065="SATIŞ İADESİ/İSKONTO",-$O2065,$O2065),-$O2065)))</f>
        <v/>
      </c>
      <c r="AB2065" s="117">
        <f>IF($B2065="","",IF(OR($D2065="",$E2065="",$O2065=""),"EKSİK",IF($O2065&lt;=0,"SIFIR/NEGATİF",IF(COUNTIFS($C$6:$C$5000,$C2065,$O$6:$O$5000,$O2065,$B$6:$B$5000,$B2065)&gt;1,"MÜKERRER","OK"))))</f>
        <v/>
      </c>
    </row>
    <row r="2066" ht="16.5" customHeight="1" s="80">
      <c r="A2066" s="113" t="n"/>
      <c r="B2066" s="113" t="n"/>
      <c r="C2066" s="113" t="n"/>
      <c r="D2066" s="113" t="n"/>
      <c r="E2066" s="113" t="n"/>
      <c r="F2066" s="113" t="n"/>
      <c r="G2066" s="113" t="n"/>
      <c r="H2066" s="113" t="n"/>
      <c r="I2066" s="113" t="n"/>
      <c r="J2066" s="113" t="n"/>
      <c r="K2066" s="113" t="n"/>
      <c r="L2066" s="113" t="n"/>
      <c r="M2066" s="113" t="n"/>
      <c r="N2066" s="113" t="n"/>
      <c r="O2066" s="113" t="n"/>
      <c r="P2066" s="113" t="n"/>
      <c r="Q2066" s="113" t="n"/>
      <c r="R2066" s="113" t="n"/>
      <c r="S2066" s="113" t="n"/>
      <c r="T2066" s="113" t="n"/>
      <c r="U2066" s="113" t="n"/>
      <c r="V2066" s="113" t="n"/>
      <c r="W2066" s="113" t="n"/>
      <c r="X2066" s="113" t="n"/>
      <c r="Y2066" s="113" t="n"/>
      <c r="Z2066" s="117">
        <f>IF($B2066="",0,IF($S2066="EVET",IF($D2066="GELİR",$O2066,-$O2066),0))</f>
        <v/>
      </c>
      <c r="AA2066" s="117">
        <f>IF($B2066="",0,IF(OR($W2066="EVET",$X2066="EVET",$Y2066="EVET"),0,IF($D2066="GELİR",IF($E2066="SATIŞ İADESİ/İSKONTO",-$O2066,$O2066),-$O2066)))</f>
        <v/>
      </c>
      <c r="AB2066" s="117">
        <f>IF($B2066="","",IF(OR($D2066="",$E2066="",$O2066=""),"EKSİK",IF($O2066&lt;=0,"SIFIR/NEGATİF",IF(COUNTIFS($C$6:$C$5000,$C2066,$O$6:$O$5000,$O2066,$B$6:$B$5000,$B2066)&gt;1,"MÜKERRER","OK"))))</f>
        <v/>
      </c>
    </row>
    <row r="2067" ht="16.5" customHeight="1" s="80">
      <c r="A2067" s="113" t="n"/>
      <c r="B2067" s="113" t="n"/>
      <c r="C2067" s="113" t="n"/>
      <c r="D2067" s="113" t="n"/>
      <c r="E2067" s="113" t="n"/>
      <c r="F2067" s="113" t="n"/>
      <c r="G2067" s="113" t="n"/>
      <c r="H2067" s="113" t="n"/>
      <c r="I2067" s="113" t="n"/>
      <c r="J2067" s="113" t="n"/>
      <c r="K2067" s="113" t="n"/>
      <c r="L2067" s="113" t="n"/>
      <c r="M2067" s="113" t="n"/>
      <c r="N2067" s="113" t="n"/>
      <c r="O2067" s="113" t="n"/>
      <c r="P2067" s="113" t="n"/>
      <c r="Q2067" s="113" t="n"/>
      <c r="R2067" s="113" t="n"/>
      <c r="S2067" s="113" t="n"/>
      <c r="T2067" s="113" t="n"/>
      <c r="U2067" s="113" t="n"/>
      <c r="V2067" s="113" t="n"/>
      <c r="W2067" s="113" t="n"/>
      <c r="X2067" s="113" t="n"/>
      <c r="Y2067" s="113" t="n"/>
      <c r="Z2067" s="117">
        <f>IF($B2067="",0,IF($S2067="EVET",IF($D2067="GELİR",$O2067,-$O2067),0))</f>
        <v/>
      </c>
      <c r="AA2067" s="117">
        <f>IF($B2067="",0,IF(OR($W2067="EVET",$X2067="EVET",$Y2067="EVET"),0,IF($D2067="GELİR",IF($E2067="SATIŞ İADESİ/İSKONTO",-$O2067,$O2067),-$O2067)))</f>
        <v/>
      </c>
      <c r="AB2067" s="117">
        <f>IF($B2067="","",IF(OR($D2067="",$E2067="",$O2067=""),"EKSİK",IF($O2067&lt;=0,"SIFIR/NEGATİF",IF(COUNTIFS($C$6:$C$5000,$C2067,$O$6:$O$5000,$O2067,$B$6:$B$5000,$B2067)&gt;1,"MÜKERRER","OK"))))</f>
        <v/>
      </c>
    </row>
    <row r="2068" ht="16.5" customHeight="1" s="80">
      <c r="A2068" s="113" t="n"/>
      <c r="B2068" s="113" t="n"/>
      <c r="C2068" s="113" t="n"/>
      <c r="D2068" s="113" t="n"/>
      <c r="E2068" s="113" t="n"/>
      <c r="F2068" s="113" t="n"/>
      <c r="G2068" s="113" t="n"/>
      <c r="H2068" s="113" t="n"/>
      <c r="I2068" s="113" t="n"/>
      <c r="J2068" s="113" t="n"/>
      <c r="K2068" s="113" t="n"/>
      <c r="L2068" s="113" t="n"/>
      <c r="M2068" s="113" t="n"/>
      <c r="N2068" s="113" t="n"/>
      <c r="O2068" s="113" t="n"/>
      <c r="P2068" s="113" t="n"/>
      <c r="Q2068" s="113" t="n"/>
      <c r="R2068" s="113" t="n"/>
      <c r="S2068" s="113" t="n"/>
      <c r="T2068" s="113" t="n"/>
      <c r="U2068" s="113" t="n"/>
      <c r="V2068" s="113" t="n"/>
      <c r="W2068" s="113" t="n"/>
      <c r="X2068" s="113" t="n"/>
      <c r="Y2068" s="113" t="n"/>
      <c r="Z2068" s="117">
        <f>IF($B2068="",0,IF($S2068="EVET",IF($D2068="GELİR",$O2068,-$O2068),0))</f>
        <v/>
      </c>
      <c r="AA2068" s="117">
        <f>IF($B2068="",0,IF(OR($W2068="EVET",$X2068="EVET",$Y2068="EVET"),0,IF($D2068="GELİR",IF($E2068="SATIŞ İADESİ/İSKONTO",-$O2068,$O2068),-$O2068)))</f>
        <v/>
      </c>
      <c r="AB2068" s="117">
        <f>IF($B2068="","",IF(OR($D2068="",$E2068="",$O2068=""),"EKSİK",IF($O2068&lt;=0,"SIFIR/NEGATİF",IF(COUNTIFS($C$6:$C$5000,$C2068,$O$6:$O$5000,$O2068,$B$6:$B$5000,$B2068)&gt;1,"MÜKERRER","OK"))))</f>
        <v/>
      </c>
    </row>
    <row r="2069" ht="16.5" customHeight="1" s="80">
      <c r="A2069" s="113" t="n"/>
      <c r="B2069" s="113" t="n"/>
      <c r="C2069" s="113" t="n"/>
      <c r="D2069" s="113" t="n"/>
      <c r="E2069" s="113" t="n"/>
      <c r="F2069" s="113" t="n"/>
      <c r="G2069" s="113" t="n"/>
      <c r="H2069" s="113" t="n"/>
      <c r="I2069" s="113" t="n"/>
      <c r="J2069" s="113" t="n"/>
      <c r="K2069" s="113" t="n"/>
      <c r="L2069" s="113" t="n"/>
      <c r="M2069" s="113" t="n"/>
      <c r="N2069" s="113" t="n"/>
      <c r="O2069" s="113" t="n"/>
      <c r="P2069" s="113" t="n"/>
      <c r="Q2069" s="113" t="n"/>
      <c r="R2069" s="113" t="n"/>
      <c r="S2069" s="113" t="n"/>
      <c r="T2069" s="113" t="n"/>
      <c r="U2069" s="113" t="n"/>
      <c r="V2069" s="113" t="n"/>
      <c r="W2069" s="113" t="n"/>
      <c r="X2069" s="113" t="n"/>
      <c r="Y2069" s="113" t="n"/>
      <c r="Z2069" s="117">
        <f>IF($B2069="",0,IF($S2069="EVET",IF($D2069="GELİR",$O2069,-$O2069),0))</f>
        <v/>
      </c>
      <c r="AA2069" s="117">
        <f>IF($B2069="",0,IF(OR($W2069="EVET",$X2069="EVET",$Y2069="EVET"),0,IF($D2069="GELİR",IF($E2069="SATIŞ İADESİ/İSKONTO",-$O2069,$O2069),-$O2069)))</f>
        <v/>
      </c>
      <c r="AB2069" s="117">
        <f>IF($B2069="","",IF(OR($D2069="",$E2069="",$O2069=""),"EKSİK",IF($O2069&lt;=0,"SIFIR/NEGATİF",IF(COUNTIFS($C$6:$C$5000,$C2069,$O$6:$O$5000,$O2069,$B$6:$B$5000,$B2069)&gt;1,"MÜKERRER","OK"))))</f>
        <v/>
      </c>
    </row>
    <row r="2070" ht="16.5" customHeight="1" s="80">
      <c r="A2070" s="113" t="n"/>
      <c r="B2070" s="113" t="n"/>
      <c r="C2070" s="113" t="n"/>
      <c r="D2070" s="113" t="n"/>
      <c r="E2070" s="113" t="n"/>
      <c r="F2070" s="113" t="n"/>
      <c r="G2070" s="113" t="n"/>
      <c r="H2070" s="113" t="n"/>
      <c r="I2070" s="113" t="n"/>
      <c r="J2070" s="113" t="n"/>
      <c r="K2070" s="113" t="n"/>
      <c r="L2070" s="113" t="n"/>
      <c r="M2070" s="113" t="n"/>
      <c r="N2070" s="113" t="n"/>
      <c r="O2070" s="113" t="n"/>
      <c r="P2070" s="113" t="n"/>
      <c r="Q2070" s="113" t="n"/>
      <c r="R2070" s="113" t="n"/>
      <c r="S2070" s="113" t="n"/>
      <c r="T2070" s="113" t="n"/>
      <c r="U2070" s="113" t="n"/>
      <c r="V2070" s="113" t="n"/>
      <c r="W2070" s="113" t="n"/>
      <c r="X2070" s="113" t="n"/>
      <c r="Y2070" s="113" t="n"/>
      <c r="Z2070" s="117">
        <f>IF($B2070="",0,IF($S2070="EVET",IF($D2070="GELİR",$O2070,-$O2070),0))</f>
        <v/>
      </c>
      <c r="AA2070" s="117">
        <f>IF($B2070="",0,IF(OR($W2070="EVET",$X2070="EVET",$Y2070="EVET"),0,IF($D2070="GELİR",IF($E2070="SATIŞ İADESİ/İSKONTO",-$O2070,$O2070),-$O2070)))</f>
        <v/>
      </c>
      <c r="AB2070" s="117">
        <f>IF($B2070="","",IF(OR($D2070="",$E2070="",$O2070=""),"EKSİK",IF($O2070&lt;=0,"SIFIR/NEGATİF",IF(COUNTIFS($C$6:$C$5000,$C2070,$O$6:$O$5000,$O2070,$B$6:$B$5000,$B2070)&gt;1,"MÜKERRER","OK"))))</f>
        <v/>
      </c>
    </row>
    <row r="2071" ht="16.5" customHeight="1" s="80">
      <c r="A2071" s="113" t="n"/>
      <c r="B2071" s="113" t="n"/>
      <c r="C2071" s="113" t="n"/>
      <c r="D2071" s="113" t="n"/>
      <c r="E2071" s="113" t="n"/>
      <c r="F2071" s="113" t="n"/>
      <c r="G2071" s="113" t="n"/>
      <c r="H2071" s="113" t="n"/>
      <c r="I2071" s="113" t="n"/>
      <c r="J2071" s="113" t="n"/>
      <c r="K2071" s="113" t="n"/>
      <c r="L2071" s="113" t="n"/>
      <c r="M2071" s="113" t="n"/>
      <c r="N2071" s="113" t="n"/>
      <c r="O2071" s="113" t="n"/>
      <c r="P2071" s="113" t="n"/>
      <c r="Q2071" s="113" t="n"/>
      <c r="R2071" s="113" t="n"/>
      <c r="S2071" s="113" t="n"/>
      <c r="T2071" s="113" t="n"/>
      <c r="U2071" s="113" t="n"/>
      <c r="V2071" s="113" t="n"/>
      <c r="W2071" s="113" t="n"/>
      <c r="X2071" s="113" t="n"/>
      <c r="Y2071" s="113" t="n"/>
      <c r="Z2071" s="117">
        <f>IF($B2071="",0,IF($S2071="EVET",IF($D2071="GELİR",$O2071,-$O2071),0))</f>
        <v/>
      </c>
      <c r="AA2071" s="117">
        <f>IF($B2071="",0,IF(OR($W2071="EVET",$X2071="EVET",$Y2071="EVET"),0,IF($D2071="GELİR",IF($E2071="SATIŞ İADESİ/İSKONTO",-$O2071,$O2071),-$O2071)))</f>
        <v/>
      </c>
      <c r="AB2071" s="117">
        <f>IF($B2071="","",IF(OR($D2071="",$E2071="",$O2071=""),"EKSİK",IF($O2071&lt;=0,"SIFIR/NEGATİF",IF(COUNTIFS($C$6:$C$5000,$C2071,$O$6:$O$5000,$O2071,$B$6:$B$5000,$B2071)&gt;1,"MÜKERRER","OK"))))</f>
        <v/>
      </c>
    </row>
    <row r="2072" ht="16.5" customHeight="1" s="80">
      <c r="A2072" s="113" t="n"/>
      <c r="B2072" s="113" t="n"/>
      <c r="C2072" s="113" t="n"/>
      <c r="D2072" s="113" t="n"/>
      <c r="E2072" s="113" t="n"/>
      <c r="F2072" s="113" t="n"/>
      <c r="G2072" s="113" t="n"/>
      <c r="H2072" s="113" t="n"/>
      <c r="I2072" s="113" t="n"/>
      <c r="J2072" s="113" t="n"/>
      <c r="K2072" s="113" t="n"/>
      <c r="L2072" s="113" t="n"/>
      <c r="M2072" s="113" t="n"/>
      <c r="N2072" s="113" t="n"/>
      <c r="O2072" s="113" t="n"/>
      <c r="P2072" s="113" t="n"/>
      <c r="Q2072" s="113" t="n"/>
      <c r="R2072" s="113" t="n"/>
      <c r="S2072" s="113" t="n"/>
      <c r="T2072" s="113" t="n"/>
      <c r="U2072" s="113" t="n"/>
      <c r="V2072" s="113" t="n"/>
      <c r="W2072" s="113" t="n"/>
      <c r="X2072" s="113" t="n"/>
      <c r="Y2072" s="113" t="n"/>
      <c r="Z2072" s="117">
        <f>IF($B2072="",0,IF($S2072="EVET",IF($D2072="GELİR",$O2072,-$O2072),0))</f>
        <v/>
      </c>
      <c r="AA2072" s="117">
        <f>IF($B2072="",0,IF(OR($W2072="EVET",$X2072="EVET",$Y2072="EVET"),0,IF($D2072="GELİR",IF($E2072="SATIŞ İADESİ/İSKONTO",-$O2072,$O2072),-$O2072)))</f>
        <v/>
      </c>
      <c r="AB2072" s="117">
        <f>IF($B2072="","",IF(OR($D2072="",$E2072="",$O2072=""),"EKSİK",IF($O2072&lt;=0,"SIFIR/NEGATİF",IF(COUNTIFS($C$6:$C$5000,$C2072,$O$6:$O$5000,$O2072,$B$6:$B$5000,$B2072)&gt;1,"MÜKERRER","OK"))))</f>
        <v/>
      </c>
    </row>
    <row r="2073" ht="16.5" customHeight="1" s="80">
      <c r="A2073" s="113" t="n"/>
      <c r="B2073" s="113" t="n"/>
      <c r="C2073" s="113" t="n"/>
      <c r="D2073" s="113" t="n"/>
      <c r="E2073" s="113" t="n"/>
      <c r="F2073" s="113" t="n"/>
      <c r="G2073" s="113" t="n"/>
      <c r="H2073" s="113" t="n"/>
      <c r="I2073" s="113" t="n"/>
      <c r="J2073" s="113" t="n"/>
      <c r="K2073" s="113" t="n"/>
      <c r="L2073" s="113" t="n"/>
      <c r="M2073" s="113" t="n"/>
      <c r="N2073" s="113" t="n"/>
      <c r="O2073" s="113" t="n"/>
      <c r="P2073" s="113" t="n"/>
      <c r="Q2073" s="113" t="n"/>
      <c r="R2073" s="113" t="n"/>
      <c r="S2073" s="113" t="n"/>
      <c r="T2073" s="113" t="n"/>
      <c r="U2073" s="113" t="n"/>
      <c r="V2073" s="113" t="n"/>
      <c r="W2073" s="113" t="n"/>
      <c r="X2073" s="113" t="n"/>
      <c r="Y2073" s="113" t="n"/>
      <c r="Z2073" s="117">
        <f>IF($B2073="",0,IF($S2073="EVET",IF($D2073="GELİR",$O2073,-$O2073),0))</f>
        <v/>
      </c>
      <c r="AA2073" s="117">
        <f>IF($B2073="",0,IF(OR($W2073="EVET",$X2073="EVET",$Y2073="EVET"),0,IF($D2073="GELİR",IF($E2073="SATIŞ İADESİ/İSKONTO",-$O2073,$O2073),-$O2073)))</f>
        <v/>
      </c>
      <c r="AB2073" s="117">
        <f>IF($B2073="","",IF(OR($D2073="",$E2073="",$O2073=""),"EKSİK",IF($O2073&lt;=0,"SIFIR/NEGATİF",IF(COUNTIFS($C$6:$C$5000,$C2073,$O$6:$O$5000,$O2073,$B$6:$B$5000,$B2073)&gt;1,"MÜKERRER","OK"))))</f>
        <v/>
      </c>
    </row>
    <row r="2074" ht="16.5" customHeight="1" s="80">
      <c r="A2074" s="113" t="n"/>
      <c r="B2074" s="113" t="n"/>
      <c r="C2074" s="113" t="n"/>
      <c r="D2074" s="113" t="n"/>
      <c r="E2074" s="113" t="n"/>
      <c r="F2074" s="113" t="n"/>
      <c r="G2074" s="113" t="n"/>
      <c r="H2074" s="113" t="n"/>
      <c r="I2074" s="113" t="n"/>
      <c r="J2074" s="113" t="n"/>
      <c r="K2074" s="113" t="n"/>
      <c r="L2074" s="113" t="n"/>
      <c r="M2074" s="113" t="n"/>
      <c r="N2074" s="113" t="n"/>
      <c r="O2074" s="113" t="n"/>
      <c r="P2074" s="113" t="n"/>
      <c r="Q2074" s="113" t="n"/>
      <c r="R2074" s="113" t="n"/>
      <c r="S2074" s="113" t="n"/>
      <c r="T2074" s="113" t="n"/>
      <c r="U2074" s="113" t="n"/>
      <c r="V2074" s="113" t="n"/>
      <c r="W2074" s="113" t="n"/>
      <c r="X2074" s="113" t="n"/>
      <c r="Y2074" s="113" t="n"/>
      <c r="Z2074" s="117">
        <f>IF($B2074="",0,IF($S2074="EVET",IF($D2074="GELİR",$O2074,-$O2074),0))</f>
        <v/>
      </c>
      <c r="AA2074" s="117">
        <f>IF($B2074="",0,IF(OR($W2074="EVET",$X2074="EVET",$Y2074="EVET"),0,IF($D2074="GELİR",IF($E2074="SATIŞ İADESİ/İSKONTO",-$O2074,$O2074),-$O2074)))</f>
        <v/>
      </c>
      <c r="AB2074" s="117">
        <f>IF($B2074="","",IF(OR($D2074="",$E2074="",$O2074=""),"EKSİK",IF($O2074&lt;=0,"SIFIR/NEGATİF",IF(COUNTIFS($C$6:$C$5000,$C2074,$O$6:$O$5000,$O2074,$B$6:$B$5000,$B2074)&gt;1,"MÜKERRER","OK"))))</f>
        <v/>
      </c>
    </row>
    <row r="2075" ht="16.5" customHeight="1" s="80">
      <c r="A2075" s="113" t="n"/>
      <c r="B2075" s="113" t="n"/>
      <c r="C2075" s="113" t="n"/>
      <c r="D2075" s="113" t="n"/>
      <c r="E2075" s="113" t="n"/>
      <c r="F2075" s="113" t="n"/>
      <c r="G2075" s="113" t="n"/>
      <c r="H2075" s="113" t="n"/>
      <c r="I2075" s="113" t="n"/>
      <c r="J2075" s="113" t="n"/>
      <c r="K2075" s="113" t="n"/>
      <c r="L2075" s="113" t="n"/>
      <c r="M2075" s="113" t="n"/>
      <c r="N2075" s="113" t="n"/>
      <c r="O2075" s="113" t="n"/>
      <c r="P2075" s="113" t="n"/>
      <c r="Q2075" s="113" t="n"/>
      <c r="R2075" s="113" t="n"/>
      <c r="S2075" s="113" t="n"/>
      <c r="T2075" s="113" t="n"/>
      <c r="U2075" s="113" t="n"/>
      <c r="V2075" s="113" t="n"/>
      <c r="W2075" s="113" t="n"/>
      <c r="X2075" s="113" t="n"/>
      <c r="Y2075" s="113" t="n"/>
      <c r="Z2075" s="117">
        <f>IF($B2075="",0,IF($S2075="EVET",IF($D2075="GELİR",$O2075,-$O2075),0))</f>
        <v/>
      </c>
      <c r="AA2075" s="117">
        <f>IF($B2075="",0,IF(OR($W2075="EVET",$X2075="EVET",$Y2075="EVET"),0,IF($D2075="GELİR",IF($E2075="SATIŞ İADESİ/İSKONTO",-$O2075,$O2075),-$O2075)))</f>
        <v/>
      </c>
      <c r="AB2075" s="117">
        <f>IF($B2075="","",IF(OR($D2075="",$E2075="",$O2075=""),"EKSİK",IF($O2075&lt;=0,"SIFIR/NEGATİF",IF(COUNTIFS($C$6:$C$5000,$C2075,$O$6:$O$5000,$O2075,$B$6:$B$5000,$B2075)&gt;1,"MÜKERRER","OK"))))</f>
        <v/>
      </c>
    </row>
    <row r="2076" ht="16.5" customHeight="1" s="80">
      <c r="A2076" s="113" t="n"/>
      <c r="B2076" s="113" t="n"/>
      <c r="C2076" s="113" t="n"/>
      <c r="D2076" s="113" t="n"/>
      <c r="E2076" s="113" t="n"/>
      <c r="F2076" s="113" t="n"/>
      <c r="G2076" s="113" t="n"/>
      <c r="H2076" s="113" t="n"/>
      <c r="I2076" s="113" t="n"/>
      <c r="J2076" s="113" t="n"/>
      <c r="K2076" s="113" t="n"/>
      <c r="L2076" s="113" t="n"/>
      <c r="M2076" s="113" t="n"/>
      <c r="N2076" s="113" t="n"/>
      <c r="O2076" s="113" t="n"/>
      <c r="P2076" s="113" t="n"/>
      <c r="Q2076" s="113" t="n"/>
      <c r="R2076" s="113" t="n"/>
      <c r="S2076" s="113" t="n"/>
      <c r="T2076" s="113" t="n"/>
      <c r="U2076" s="113" t="n"/>
      <c r="V2076" s="113" t="n"/>
      <c r="W2076" s="113" t="n"/>
      <c r="X2076" s="113" t="n"/>
      <c r="Y2076" s="113" t="n"/>
      <c r="Z2076" s="117">
        <f>IF($B2076="",0,IF($S2076="EVET",IF($D2076="GELİR",$O2076,-$O2076),0))</f>
        <v/>
      </c>
      <c r="AA2076" s="117">
        <f>IF($B2076="",0,IF(OR($W2076="EVET",$X2076="EVET",$Y2076="EVET"),0,IF($D2076="GELİR",IF($E2076="SATIŞ İADESİ/İSKONTO",-$O2076,$O2076),-$O2076)))</f>
        <v/>
      </c>
      <c r="AB2076" s="117">
        <f>IF($B2076="","",IF(OR($D2076="",$E2076="",$O2076=""),"EKSİK",IF($O2076&lt;=0,"SIFIR/NEGATİF",IF(COUNTIFS($C$6:$C$5000,$C2076,$O$6:$O$5000,$O2076,$B$6:$B$5000,$B2076)&gt;1,"MÜKERRER","OK"))))</f>
        <v/>
      </c>
    </row>
    <row r="2077" ht="16.5" customHeight="1" s="80">
      <c r="A2077" s="113" t="n"/>
      <c r="B2077" s="113" t="n"/>
      <c r="C2077" s="113" t="n"/>
      <c r="D2077" s="113" t="n"/>
      <c r="E2077" s="113" t="n"/>
      <c r="F2077" s="113" t="n"/>
      <c r="G2077" s="113" t="n"/>
      <c r="H2077" s="113" t="n"/>
      <c r="I2077" s="113" t="n"/>
      <c r="J2077" s="113" t="n"/>
      <c r="K2077" s="113" t="n"/>
      <c r="L2077" s="113" t="n"/>
      <c r="M2077" s="113" t="n"/>
      <c r="N2077" s="113" t="n"/>
      <c r="O2077" s="113" t="n"/>
      <c r="P2077" s="113" t="n"/>
      <c r="Q2077" s="113" t="n"/>
      <c r="R2077" s="113" t="n"/>
      <c r="S2077" s="113" t="n"/>
      <c r="T2077" s="113" t="n"/>
      <c r="U2077" s="113" t="n"/>
      <c r="V2077" s="113" t="n"/>
      <c r="W2077" s="113" t="n"/>
      <c r="X2077" s="113" t="n"/>
      <c r="Y2077" s="113" t="n"/>
      <c r="Z2077" s="117">
        <f>IF($B2077="",0,IF($S2077="EVET",IF($D2077="GELİR",$O2077,-$O2077),0))</f>
        <v/>
      </c>
      <c r="AA2077" s="117">
        <f>IF($B2077="",0,IF(OR($W2077="EVET",$X2077="EVET",$Y2077="EVET"),0,IF($D2077="GELİR",IF($E2077="SATIŞ İADESİ/İSKONTO",-$O2077,$O2077),-$O2077)))</f>
        <v/>
      </c>
      <c r="AB2077" s="117">
        <f>IF($B2077="","",IF(OR($D2077="",$E2077="",$O2077=""),"EKSİK",IF($O2077&lt;=0,"SIFIR/NEGATİF",IF(COUNTIFS($C$6:$C$5000,$C2077,$O$6:$O$5000,$O2077,$B$6:$B$5000,$B2077)&gt;1,"MÜKERRER","OK"))))</f>
        <v/>
      </c>
    </row>
    <row r="2078" ht="16.5" customHeight="1" s="80">
      <c r="A2078" s="113" t="n"/>
      <c r="B2078" s="113" t="n"/>
      <c r="C2078" s="113" t="n"/>
      <c r="D2078" s="113" t="n"/>
      <c r="E2078" s="113" t="n"/>
      <c r="F2078" s="113" t="n"/>
      <c r="G2078" s="113" t="n"/>
      <c r="H2078" s="113" t="n"/>
      <c r="I2078" s="113" t="n"/>
      <c r="J2078" s="113" t="n"/>
      <c r="K2078" s="113" t="n"/>
      <c r="L2078" s="113" t="n"/>
      <c r="M2078" s="113" t="n"/>
      <c r="N2078" s="113" t="n"/>
      <c r="O2078" s="113" t="n"/>
      <c r="P2078" s="113" t="n"/>
      <c r="Q2078" s="113" t="n"/>
      <c r="R2078" s="113" t="n"/>
      <c r="S2078" s="113" t="n"/>
      <c r="T2078" s="113" t="n"/>
      <c r="U2078" s="113" t="n"/>
      <c r="V2078" s="113" t="n"/>
      <c r="W2078" s="113" t="n"/>
      <c r="X2078" s="113" t="n"/>
      <c r="Y2078" s="113" t="n"/>
      <c r="Z2078" s="117">
        <f>IF($B2078="",0,IF($S2078="EVET",IF($D2078="GELİR",$O2078,-$O2078),0))</f>
        <v/>
      </c>
      <c r="AA2078" s="117">
        <f>IF($B2078="",0,IF(OR($W2078="EVET",$X2078="EVET",$Y2078="EVET"),0,IF($D2078="GELİR",IF($E2078="SATIŞ İADESİ/İSKONTO",-$O2078,$O2078),-$O2078)))</f>
        <v/>
      </c>
      <c r="AB2078" s="117">
        <f>IF($B2078="","",IF(OR($D2078="",$E2078="",$O2078=""),"EKSİK",IF($O2078&lt;=0,"SIFIR/NEGATİF",IF(COUNTIFS($C$6:$C$5000,$C2078,$O$6:$O$5000,$O2078,$B$6:$B$5000,$B2078)&gt;1,"MÜKERRER","OK"))))</f>
        <v/>
      </c>
    </row>
    <row r="2079" ht="16.5" customHeight="1" s="80">
      <c r="A2079" s="113" t="n"/>
      <c r="B2079" s="113" t="n"/>
      <c r="C2079" s="113" t="n"/>
      <c r="D2079" s="113" t="n"/>
      <c r="E2079" s="113" t="n"/>
      <c r="F2079" s="113" t="n"/>
      <c r="G2079" s="113" t="n"/>
      <c r="H2079" s="113" t="n"/>
      <c r="I2079" s="113" t="n"/>
      <c r="J2079" s="113" t="n"/>
      <c r="K2079" s="113" t="n"/>
      <c r="L2079" s="113" t="n"/>
      <c r="M2079" s="113" t="n"/>
      <c r="N2079" s="113" t="n"/>
      <c r="O2079" s="113" t="n"/>
      <c r="P2079" s="113" t="n"/>
      <c r="Q2079" s="113" t="n"/>
      <c r="R2079" s="113" t="n"/>
      <c r="S2079" s="113" t="n"/>
      <c r="T2079" s="113" t="n"/>
      <c r="U2079" s="113" t="n"/>
      <c r="V2079" s="113" t="n"/>
      <c r="W2079" s="113" t="n"/>
      <c r="X2079" s="113" t="n"/>
      <c r="Y2079" s="113" t="n"/>
      <c r="Z2079" s="117">
        <f>IF($B2079="",0,IF($S2079="EVET",IF($D2079="GELİR",$O2079,-$O2079),0))</f>
        <v/>
      </c>
      <c r="AA2079" s="117">
        <f>IF($B2079="",0,IF(OR($W2079="EVET",$X2079="EVET",$Y2079="EVET"),0,IF($D2079="GELİR",IF($E2079="SATIŞ İADESİ/İSKONTO",-$O2079,$O2079),-$O2079)))</f>
        <v/>
      </c>
      <c r="AB2079" s="117">
        <f>IF($B2079="","",IF(OR($D2079="",$E2079="",$O2079=""),"EKSİK",IF($O2079&lt;=0,"SIFIR/NEGATİF",IF(COUNTIFS($C$6:$C$5000,$C2079,$O$6:$O$5000,$O2079,$B$6:$B$5000,$B2079)&gt;1,"MÜKERRER","OK"))))</f>
        <v/>
      </c>
    </row>
    <row r="2080" ht="16.5" customHeight="1" s="80">
      <c r="A2080" s="113" t="n"/>
      <c r="B2080" s="113" t="n"/>
      <c r="C2080" s="113" t="n"/>
      <c r="D2080" s="113" t="n"/>
      <c r="E2080" s="113" t="n"/>
      <c r="F2080" s="113" t="n"/>
      <c r="G2080" s="113" t="n"/>
      <c r="H2080" s="113" t="n"/>
      <c r="I2080" s="113" t="n"/>
      <c r="J2080" s="113" t="n"/>
      <c r="K2080" s="113" t="n"/>
      <c r="L2080" s="113" t="n"/>
      <c r="M2080" s="113" t="n"/>
      <c r="N2080" s="113" t="n"/>
      <c r="O2080" s="113" t="n"/>
      <c r="P2080" s="113" t="n"/>
      <c r="Q2080" s="113" t="n"/>
      <c r="R2080" s="113" t="n"/>
      <c r="S2080" s="113" t="n"/>
      <c r="T2080" s="113" t="n"/>
      <c r="U2080" s="113" t="n"/>
      <c r="V2080" s="113" t="n"/>
      <c r="W2080" s="113" t="n"/>
      <c r="X2080" s="113" t="n"/>
      <c r="Y2080" s="113" t="n"/>
      <c r="Z2080" s="117">
        <f>IF($B2080="",0,IF($S2080="EVET",IF($D2080="GELİR",$O2080,-$O2080),0))</f>
        <v/>
      </c>
      <c r="AA2080" s="117">
        <f>IF($B2080="",0,IF(OR($W2080="EVET",$X2080="EVET",$Y2080="EVET"),0,IF($D2080="GELİR",IF($E2080="SATIŞ İADESİ/İSKONTO",-$O2080,$O2080),-$O2080)))</f>
        <v/>
      </c>
      <c r="AB2080" s="117">
        <f>IF($B2080="","",IF(OR($D2080="",$E2080="",$O2080=""),"EKSİK",IF($O2080&lt;=0,"SIFIR/NEGATİF",IF(COUNTIFS($C$6:$C$5000,$C2080,$O$6:$O$5000,$O2080,$B$6:$B$5000,$B2080)&gt;1,"MÜKERRER","OK"))))</f>
        <v/>
      </c>
    </row>
    <row r="2081" ht="16.5" customHeight="1" s="80">
      <c r="A2081" s="113" t="n"/>
      <c r="B2081" s="113" t="n"/>
      <c r="C2081" s="113" t="n"/>
      <c r="D2081" s="113" t="n"/>
      <c r="E2081" s="113" t="n"/>
      <c r="F2081" s="113" t="n"/>
      <c r="G2081" s="113" t="n"/>
      <c r="H2081" s="113" t="n"/>
      <c r="I2081" s="113" t="n"/>
      <c r="J2081" s="113" t="n"/>
      <c r="K2081" s="113" t="n"/>
      <c r="L2081" s="113" t="n"/>
      <c r="M2081" s="113" t="n"/>
      <c r="N2081" s="113" t="n"/>
      <c r="O2081" s="113" t="n"/>
      <c r="P2081" s="113" t="n"/>
      <c r="Q2081" s="113" t="n"/>
      <c r="R2081" s="113" t="n"/>
      <c r="S2081" s="113" t="n"/>
      <c r="T2081" s="113" t="n"/>
      <c r="U2081" s="113" t="n"/>
      <c r="V2081" s="113" t="n"/>
      <c r="W2081" s="113" t="n"/>
      <c r="X2081" s="113" t="n"/>
      <c r="Y2081" s="113" t="n"/>
      <c r="Z2081" s="117">
        <f>IF($B2081="",0,IF($S2081="EVET",IF($D2081="GELİR",$O2081,-$O2081),0))</f>
        <v/>
      </c>
      <c r="AA2081" s="117">
        <f>IF($B2081="",0,IF(OR($W2081="EVET",$X2081="EVET",$Y2081="EVET"),0,IF($D2081="GELİR",IF($E2081="SATIŞ İADESİ/İSKONTO",-$O2081,$O2081),-$O2081)))</f>
        <v/>
      </c>
      <c r="AB2081" s="117">
        <f>IF($B2081="","",IF(OR($D2081="",$E2081="",$O2081=""),"EKSİK",IF($O2081&lt;=0,"SIFIR/NEGATİF",IF(COUNTIFS($C$6:$C$5000,$C2081,$O$6:$O$5000,$O2081,$B$6:$B$5000,$B2081)&gt;1,"MÜKERRER","OK"))))</f>
        <v/>
      </c>
    </row>
    <row r="2082" ht="16.5" customHeight="1" s="80">
      <c r="A2082" s="113" t="n"/>
      <c r="B2082" s="113" t="n"/>
      <c r="C2082" s="113" t="n"/>
      <c r="D2082" s="113" t="n"/>
      <c r="E2082" s="113" t="n"/>
      <c r="F2082" s="113" t="n"/>
      <c r="G2082" s="113" t="n"/>
      <c r="H2082" s="113" t="n"/>
      <c r="I2082" s="113" t="n"/>
      <c r="J2082" s="113" t="n"/>
      <c r="K2082" s="113" t="n"/>
      <c r="L2082" s="113" t="n"/>
      <c r="M2082" s="113" t="n"/>
      <c r="N2082" s="113" t="n"/>
      <c r="O2082" s="113" t="n"/>
      <c r="P2082" s="113" t="n"/>
      <c r="Q2082" s="113" t="n"/>
      <c r="R2082" s="113" t="n"/>
      <c r="S2082" s="113" t="n"/>
      <c r="T2082" s="113" t="n"/>
      <c r="U2082" s="113" t="n"/>
      <c r="V2082" s="113" t="n"/>
      <c r="W2082" s="113" t="n"/>
      <c r="X2082" s="113" t="n"/>
      <c r="Y2082" s="113" t="n"/>
      <c r="Z2082" s="117">
        <f>IF($B2082="",0,IF($S2082="EVET",IF($D2082="GELİR",$O2082,-$O2082),0))</f>
        <v/>
      </c>
      <c r="AA2082" s="117">
        <f>IF($B2082="",0,IF(OR($W2082="EVET",$X2082="EVET",$Y2082="EVET"),0,IF($D2082="GELİR",IF($E2082="SATIŞ İADESİ/İSKONTO",-$O2082,$O2082),-$O2082)))</f>
        <v/>
      </c>
      <c r="AB2082" s="117">
        <f>IF($B2082="","",IF(OR($D2082="",$E2082="",$O2082=""),"EKSİK",IF($O2082&lt;=0,"SIFIR/NEGATİF",IF(COUNTIFS($C$6:$C$5000,$C2082,$O$6:$O$5000,$O2082,$B$6:$B$5000,$B2082)&gt;1,"MÜKERRER","OK"))))</f>
        <v/>
      </c>
    </row>
    <row r="2083" ht="16.5" customHeight="1" s="80">
      <c r="A2083" s="113" t="n"/>
      <c r="B2083" s="113" t="n"/>
      <c r="C2083" s="113" t="n"/>
      <c r="D2083" s="113" t="n"/>
      <c r="E2083" s="113" t="n"/>
      <c r="F2083" s="113" t="n"/>
      <c r="G2083" s="113" t="n"/>
      <c r="H2083" s="113" t="n"/>
      <c r="I2083" s="113" t="n"/>
      <c r="J2083" s="113" t="n"/>
      <c r="K2083" s="113" t="n"/>
      <c r="L2083" s="113" t="n"/>
      <c r="M2083" s="113" t="n"/>
      <c r="N2083" s="113" t="n"/>
      <c r="O2083" s="113" t="n"/>
      <c r="P2083" s="113" t="n"/>
      <c r="Q2083" s="113" t="n"/>
      <c r="R2083" s="113" t="n"/>
      <c r="S2083" s="113" t="n"/>
      <c r="T2083" s="113" t="n"/>
      <c r="U2083" s="113" t="n"/>
      <c r="V2083" s="113" t="n"/>
      <c r="W2083" s="113" t="n"/>
      <c r="X2083" s="113" t="n"/>
      <c r="Y2083" s="113" t="n"/>
      <c r="Z2083" s="117">
        <f>IF($B2083="",0,IF($S2083="EVET",IF($D2083="GELİR",$O2083,-$O2083),0))</f>
        <v/>
      </c>
      <c r="AA2083" s="117">
        <f>IF($B2083="",0,IF(OR($W2083="EVET",$X2083="EVET",$Y2083="EVET"),0,IF($D2083="GELİR",IF($E2083="SATIŞ İADESİ/İSKONTO",-$O2083,$O2083),-$O2083)))</f>
        <v/>
      </c>
      <c r="AB2083" s="117">
        <f>IF($B2083="","",IF(OR($D2083="",$E2083="",$O2083=""),"EKSİK",IF($O2083&lt;=0,"SIFIR/NEGATİF",IF(COUNTIFS($C$6:$C$5000,$C2083,$O$6:$O$5000,$O2083,$B$6:$B$5000,$B2083)&gt;1,"MÜKERRER","OK"))))</f>
        <v/>
      </c>
    </row>
    <row r="2084" ht="16.5" customHeight="1" s="80">
      <c r="A2084" s="113" t="n"/>
      <c r="B2084" s="113" t="n"/>
      <c r="C2084" s="113" t="n"/>
      <c r="D2084" s="113" t="n"/>
      <c r="E2084" s="113" t="n"/>
      <c r="F2084" s="113" t="n"/>
      <c r="G2084" s="113" t="n"/>
      <c r="H2084" s="113" t="n"/>
      <c r="I2084" s="113" t="n"/>
      <c r="J2084" s="113" t="n"/>
      <c r="K2084" s="113" t="n"/>
      <c r="L2084" s="113" t="n"/>
      <c r="M2084" s="113" t="n"/>
      <c r="N2084" s="113" t="n"/>
      <c r="O2084" s="113" t="n"/>
      <c r="P2084" s="113" t="n"/>
      <c r="Q2084" s="113" t="n"/>
      <c r="R2084" s="113" t="n"/>
      <c r="S2084" s="113" t="n"/>
      <c r="T2084" s="113" t="n"/>
      <c r="U2084" s="113" t="n"/>
      <c r="V2084" s="113" t="n"/>
      <c r="W2084" s="113" t="n"/>
      <c r="X2084" s="113" t="n"/>
      <c r="Y2084" s="113" t="n"/>
      <c r="Z2084" s="117">
        <f>IF($B2084="",0,IF($S2084="EVET",IF($D2084="GELİR",$O2084,-$O2084),0))</f>
        <v/>
      </c>
      <c r="AA2084" s="117">
        <f>IF($B2084="",0,IF(OR($W2084="EVET",$X2084="EVET",$Y2084="EVET"),0,IF($D2084="GELİR",IF($E2084="SATIŞ İADESİ/İSKONTO",-$O2084,$O2084),-$O2084)))</f>
        <v/>
      </c>
      <c r="AB2084" s="117">
        <f>IF($B2084="","",IF(OR($D2084="",$E2084="",$O2084=""),"EKSİK",IF($O2084&lt;=0,"SIFIR/NEGATİF",IF(COUNTIFS($C$6:$C$5000,$C2084,$O$6:$O$5000,$O2084,$B$6:$B$5000,$B2084)&gt;1,"MÜKERRER","OK"))))</f>
        <v/>
      </c>
    </row>
    <row r="2085" ht="16.5" customHeight="1" s="80">
      <c r="A2085" s="113" t="n"/>
      <c r="B2085" s="113" t="n"/>
      <c r="C2085" s="113" t="n"/>
      <c r="D2085" s="113" t="n"/>
      <c r="E2085" s="113" t="n"/>
      <c r="F2085" s="113" t="n"/>
      <c r="G2085" s="113" t="n"/>
      <c r="H2085" s="113" t="n"/>
      <c r="I2085" s="113" t="n"/>
      <c r="J2085" s="113" t="n"/>
      <c r="K2085" s="113" t="n"/>
      <c r="L2085" s="113" t="n"/>
      <c r="M2085" s="113" t="n"/>
      <c r="N2085" s="113" t="n"/>
      <c r="O2085" s="113" t="n"/>
      <c r="P2085" s="113" t="n"/>
      <c r="Q2085" s="113" t="n"/>
      <c r="R2085" s="113" t="n"/>
      <c r="S2085" s="113" t="n"/>
      <c r="T2085" s="113" t="n"/>
      <c r="U2085" s="113" t="n"/>
      <c r="V2085" s="113" t="n"/>
      <c r="W2085" s="113" t="n"/>
      <c r="X2085" s="113" t="n"/>
      <c r="Y2085" s="113" t="n"/>
      <c r="Z2085" s="117">
        <f>IF($B2085="",0,IF($S2085="EVET",IF($D2085="GELİR",$O2085,-$O2085),0))</f>
        <v/>
      </c>
      <c r="AA2085" s="117">
        <f>IF($B2085="",0,IF(OR($W2085="EVET",$X2085="EVET",$Y2085="EVET"),0,IF($D2085="GELİR",IF($E2085="SATIŞ İADESİ/İSKONTO",-$O2085,$O2085),-$O2085)))</f>
        <v/>
      </c>
      <c r="AB2085" s="117">
        <f>IF($B2085="","",IF(OR($D2085="",$E2085="",$O2085=""),"EKSİK",IF($O2085&lt;=0,"SIFIR/NEGATİF",IF(COUNTIFS($C$6:$C$5000,$C2085,$O$6:$O$5000,$O2085,$B$6:$B$5000,$B2085)&gt;1,"MÜKERRER","OK"))))</f>
        <v/>
      </c>
    </row>
    <row r="2086" ht="16.5" customHeight="1" s="80">
      <c r="A2086" s="113" t="n"/>
      <c r="B2086" s="113" t="n"/>
      <c r="C2086" s="113" t="n"/>
      <c r="D2086" s="113" t="n"/>
      <c r="E2086" s="113" t="n"/>
      <c r="F2086" s="113" t="n"/>
      <c r="G2086" s="113" t="n"/>
      <c r="H2086" s="113" t="n"/>
      <c r="I2086" s="113" t="n"/>
      <c r="J2086" s="113" t="n"/>
      <c r="K2086" s="113" t="n"/>
      <c r="L2086" s="113" t="n"/>
      <c r="M2086" s="113" t="n"/>
      <c r="N2086" s="113" t="n"/>
      <c r="O2086" s="113" t="n"/>
      <c r="P2086" s="113" t="n"/>
      <c r="Q2086" s="113" t="n"/>
      <c r="R2086" s="113" t="n"/>
      <c r="S2086" s="113" t="n"/>
      <c r="T2086" s="113" t="n"/>
      <c r="U2086" s="113" t="n"/>
      <c r="V2086" s="113" t="n"/>
      <c r="W2086" s="113" t="n"/>
      <c r="X2086" s="113" t="n"/>
      <c r="Y2086" s="113" t="n"/>
      <c r="Z2086" s="117">
        <f>IF($B2086="",0,IF($S2086="EVET",IF($D2086="GELİR",$O2086,-$O2086),0))</f>
        <v/>
      </c>
      <c r="AA2086" s="117">
        <f>IF($B2086="",0,IF(OR($W2086="EVET",$X2086="EVET",$Y2086="EVET"),0,IF($D2086="GELİR",IF($E2086="SATIŞ İADESİ/İSKONTO",-$O2086,$O2086),-$O2086)))</f>
        <v/>
      </c>
      <c r="AB2086" s="117">
        <f>IF($B2086="","",IF(OR($D2086="",$E2086="",$O2086=""),"EKSİK",IF($O2086&lt;=0,"SIFIR/NEGATİF",IF(COUNTIFS($C$6:$C$5000,$C2086,$O$6:$O$5000,$O2086,$B$6:$B$5000,$B2086)&gt;1,"MÜKERRER","OK"))))</f>
        <v/>
      </c>
    </row>
    <row r="2087" ht="16.5" customHeight="1" s="80">
      <c r="A2087" s="113" t="n"/>
      <c r="B2087" s="113" t="n"/>
      <c r="C2087" s="113" t="n"/>
      <c r="D2087" s="113" t="n"/>
      <c r="E2087" s="113" t="n"/>
      <c r="F2087" s="113" t="n"/>
      <c r="G2087" s="113" t="n"/>
      <c r="H2087" s="113" t="n"/>
      <c r="I2087" s="113" t="n"/>
      <c r="J2087" s="113" t="n"/>
      <c r="K2087" s="113" t="n"/>
      <c r="L2087" s="113" t="n"/>
      <c r="M2087" s="113" t="n"/>
      <c r="N2087" s="113" t="n"/>
      <c r="O2087" s="113" t="n"/>
      <c r="P2087" s="113" t="n"/>
      <c r="Q2087" s="113" t="n"/>
      <c r="R2087" s="113" t="n"/>
      <c r="S2087" s="113" t="n"/>
      <c r="T2087" s="113" t="n"/>
      <c r="U2087" s="113" t="n"/>
      <c r="V2087" s="113" t="n"/>
      <c r="W2087" s="113" t="n"/>
      <c r="X2087" s="113" t="n"/>
      <c r="Y2087" s="113" t="n"/>
      <c r="Z2087" s="117">
        <f>IF($B2087="",0,IF($S2087="EVET",IF($D2087="GELİR",$O2087,-$O2087),0))</f>
        <v/>
      </c>
      <c r="AA2087" s="117">
        <f>IF($B2087="",0,IF(OR($W2087="EVET",$X2087="EVET",$Y2087="EVET"),0,IF($D2087="GELİR",IF($E2087="SATIŞ İADESİ/İSKONTO",-$O2087,$O2087),-$O2087)))</f>
        <v/>
      </c>
      <c r="AB2087" s="117">
        <f>IF($B2087="","",IF(OR($D2087="",$E2087="",$O2087=""),"EKSİK",IF($O2087&lt;=0,"SIFIR/NEGATİF",IF(COUNTIFS($C$6:$C$5000,$C2087,$O$6:$O$5000,$O2087,$B$6:$B$5000,$B2087)&gt;1,"MÜKERRER","OK"))))</f>
        <v/>
      </c>
    </row>
    <row r="2088" ht="16.5" customHeight="1" s="80">
      <c r="A2088" s="113" t="n"/>
      <c r="B2088" s="113" t="n"/>
      <c r="C2088" s="113" t="n"/>
      <c r="D2088" s="113" t="n"/>
      <c r="E2088" s="113" t="n"/>
      <c r="F2088" s="113" t="n"/>
      <c r="G2088" s="113" t="n"/>
      <c r="H2088" s="113" t="n"/>
      <c r="I2088" s="113" t="n"/>
      <c r="J2088" s="113" t="n"/>
      <c r="K2088" s="113" t="n"/>
      <c r="L2088" s="113" t="n"/>
      <c r="M2088" s="113" t="n"/>
      <c r="N2088" s="113" t="n"/>
      <c r="O2088" s="113" t="n"/>
      <c r="P2088" s="113" t="n"/>
      <c r="Q2088" s="113" t="n"/>
      <c r="R2088" s="113" t="n"/>
      <c r="S2088" s="113" t="n"/>
      <c r="T2088" s="113" t="n"/>
      <c r="U2088" s="113" t="n"/>
      <c r="V2088" s="113" t="n"/>
      <c r="W2088" s="113" t="n"/>
      <c r="X2088" s="113" t="n"/>
      <c r="Y2088" s="113" t="n"/>
      <c r="Z2088" s="117">
        <f>IF($B2088="",0,IF($S2088="EVET",IF($D2088="GELİR",$O2088,-$O2088),0))</f>
        <v/>
      </c>
      <c r="AA2088" s="117">
        <f>IF($B2088="",0,IF(OR($W2088="EVET",$X2088="EVET",$Y2088="EVET"),0,IF($D2088="GELİR",IF($E2088="SATIŞ İADESİ/İSKONTO",-$O2088,$O2088),-$O2088)))</f>
        <v/>
      </c>
      <c r="AB2088" s="117">
        <f>IF($B2088="","",IF(OR($D2088="",$E2088="",$O2088=""),"EKSİK",IF($O2088&lt;=0,"SIFIR/NEGATİF",IF(COUNTIFS($C$6:$C$5000,$C2088,$O$6:$O$5000,$O2088,$B$6:$B$5000,$B2088)&gt;1,"MÜKERRER","OK"))))</f>
        <v/>
      </c>
    </row>
    <row r="2089" ht="16.5" customHeight="1" s="80">
      <c r="A2089" s="113" t="n"/>
      <c r="B2089" s="113" t="n"/>
      <c r="C2089" s="113" t="n"/>
      <c r="D2089" s="113" t="n"/>
      <c r="E2089" s="113" t="n"/>
      <c r="F2089" s="113" t="n"/>
      <c r="G2089" s="113" t="n"/>
      <c r="H2089" s="113" t="n"/>
      <c r="I2089" s="113" t="n"/>
      <c r="J2089" s="113" t="n"/>
      <c r="K2089" s="113" t="n"/>
      <c r="L2089" s="113" t="n"/>
      <c r="M2089" s="113" t="n"/>
      <c r="N2089" s="113" t="n"/>
      <c r="O2089" s="113" t="n"/>
      <c r="P2089" s="113" t="n"/>
      <c r="Q2089" s="113" t="n"/>
      <c r="R2089" s="113" t="n"/>
      <c r="S2089" s="113" t="n"/>
      <c r="T2089" s="113" t="n"/>
      <c r="U2089" s="113" t="n"/>
      <c r="V2089" s="113" t="n"/>
      <c r="W2089" s="113" t="n"/>
      <c r="X2089" s="113" t="n"/>
      <c r="Y2089" s="113" t="n"/>
      <c r="Z2089" s="117">
        <f>IF($B2089="",0,IF($S2089="EVET",IF($D2089="GELİR",$O2089,-$O2089),0))</f>
        <v/>
      </c>
      <c r="AA2089" s="117">
        <f>IF($B2089="",0,IF(OR($W2089="EVET",$X2089="EVET",$Y2089="EVET"),0,IF($D2089="GELİR",IF($E2089="SATIŞ İADESİ/İSKONTO",-$O2089,$O2089),-$O2089)))</f>
        <v/>
      </c>
      <c r="AB2089" s="117">
        <f>IF($B2089="","",IF(OR($D2089="",$E2089="",$O2089=""),"EKSİK",IF($O2089&lt;=0,"SIFIR/NEGATİF",IF(COUNTIFS($C$6:$C$5000,$C2089,$O$6:$O$5000,$O2089,$B$6:$B$5000,$B2089)&gt;1,"MÜKERRER","OK"))))</f>
        <v/>
      </c>
    </row>
    <row r="2090" ht="16.5" customHeight="1" s="80">
      <c r="A2090" s="113" t="n"/>
      <c r="B2090" s="113" t="n"/>
      <c r="C2090" s="113" t="n"/>
      <c r="D2090" s="113" t="n"/>
      <c r="E2090" s="113" t="n"/>
      <c r="F2090" s="113" t="n"/>
      <c r="G2090" s="113" t="n"/>
      <c r="H2090" s="113" t="n"/>
      <c r="I2090" s="113" t="n"/>
      <c r="J2090" s="113" t="n"/>
      <c r="K2090" s="113" t="n"/>
      <c r="L2090" s="113" t="n"/>
      <c r="M2090" s="113" t="n"/>
      <c r="N2090" s="113" t="n"/>
      <c r="O2090" s="113" t="n"/>
      <c r="P2090" s="113" t="n"/>
      <c r="Q2090" s="113" t="n"/>
      <c r="R2090" s="113" t="n"/>
      <c r="S2090" s="113" t="n"/>
      <c r="T2090" s="113" t="n"/>
      <c r="U2090" s="113" t="n"/>
      <c r="V2090" s="113" t="n"/>
      <c r="W2090" s="113" t="n"/>
      <c r="X2090" s="113" t="n"/>
      <c r="Y2090" s="113" t="n"/>
      <c r="Z2090" s="117">
        <f>IF($B2090="",0,IF($S2090="EVET",IF($D2090="GELİR",$O2090,-$O2090),0))</f>
        <v/>
      </c>
      <c r="AA2090" s="117">
        <f>IF($B2090="",0,IF(OR($W2090="EVET",$X2090="EVET",$Y2090="EVET"),0,IF($D2090="GELİR",IF($E2090="SATIŞ İADESİ/İSKONTO",-$O2090,$O2090),-$O2090)))</f>
        <v/>
      </c>
      <c r="AB2090" s="117">
        <f>IF($B2090="","",IF(OR($D2090="",$E2090="",$O2090=""),"EKSİK",IF($O2090&lt;=0,"SIFIR/NEGATİF",IF(COUNTIFS($C$6:$C$5000,$C2090,$O$6:$O$5000,$O2090,$B$6:$B$5000,$B2090)&gt;1,"MÜKERRER","OK"))))</f>
        <v/>
      </c>
    </row>
    <row r="2091" ht="16.5" customHeight="1" s="80">
      <c r="A2091" s="113" t="n"/>
      <c r="B2091" s="113" t="n"/>
      <c r="C2091" s="113" t="n"/>
      <c r="D2091" s="113" t="n"/>
      <c r="E2091" s="113" t="n"/>
      <c r="F2091" s="113" t="n"/>
      <c r="G2091" s="113" t="n"/>
      <c r="H2091" s="113" t="n"/>
      <c r="I2091" s="113" t="n"/>
      <c r="J2091" s="113" t="n"/>
      <c r="K2091" s="113" t="n"/>
      <c r="L2091" s="113" t="n"/>
      <c r="M2091" s="113" t="n"/>
      <c r="N2091" s="113" t="n"/>
      <c r="O2091" s="113" t="n"/>
      <c r="P2091" s="113" t="n"/>
      <c r="Q2091" s="113" t="n"/>
      <c r="R2091" s="113" t="n"/>
      <c r="S2091" s="113" t="n"/>
      <c r="T2091" s="113" t="n"/>
      <c r="U2091" s="113" t="n"/>
      <c r="V2091" s="113" t="n"/>
      <c r="W2091" s="113" t="n"/>
      <c r="X2091" s="113" t="n"/>
      <c r="Y2091" s="113" t="n"/>
      <c r="Z2091" s="117">
        <f>IF($B2091="",0,IF($S2091="EVET",IF($D2091="GELİR",$O2091,-$O2091),0))</f>
        <v/>
      </c>
      <c r="AA2091" s="117">
        <f>IF($B2091="",0,IF(OR($W2091="EVET",$X2091="EVET",$Y2091="EVET"),0,IF($D2091="GELİR",IF($E2091="SATIŞ İADESİ/İSKONTO",-$O2091,$O2091),-$O2091)))</f>
        <v/>
      </c>
      <c r="AB2091" s="117">
        <f>IF($B2091="","",IF(OR($D2091="",$E2091="",$O2091=""),"EKSİK",IF($O2091&lt;=0,"SIFIR/NEGATİF",IF(COUNTIFS($C$6:$C$5000,$C2091,$O$6:$O$5000,$O2091,$B$6:$B$5000,$B2091)&gt;1,"MÜKERRER","OK"))))</f>
        <v/>
      </c>
    </row>
    <row r="2092" ht="16.5" customHeight="1" s="80">
      <c r="A2092" s="113" t="n"/>
      <c r="B2092" s="113" t="n"/>
      <c r="C2092" s="113" t="n"/>
      <c r="D2092" s="113" t="n"/>
      <c r="E2092" s="113" t="n"/>
      <c r="F2092" s="113" t="n"/>
      <c r="G2092" s="113" t="n"/>
      <c r="H2092" s="113" t="n"/>
      <c r="I2092" s="113" t="n"/>
      <c r="J2092" s="113" t="n"/>
      <c r="K2092" s="113" t="n"/>
      <c r="L2092" s="113" t="n"/>
      <c r="M2092" s="113" t="n"/>
      <c r="N2092" s="113" t="n"/>
      <c r="O2092" s="113" t="n"/>
      <c r="P2092" s="113" t="n"/>
      <c r="Q2092" s="113" t="n"/>
      <c r="R2092" s="113" t="n"/>
      <c r="S2092" s="113" t="n"/>
      <c r="T2092" s="113" t="n"/>
      <c r="U2092" s="113" t="n"/>
      <c r="V2092" s="113" t="n"/>
      <c r="W2092" s="113" t="n"/>
      <c r="X2092" s="113" t="n"/>
      <c r="Y2092" s="113" t="n"/>
      <c r="Z2092" s="117">
        <f>IF($B2092="",0,IF($S2092="EVET",IF($D2092="GELİR",$O2092,-$O2092),0))</f>
        <v/>
      </c>
      <c r="AA2092" s="117">
        <f>IF($B2092="",0,IF(OR($W2092="EVET",$X2092="EVET",$Y2092="EVET"),0,IF($D2092="GELİR",IF($E2092="SATIŞ İADESİ/İSKONTO",-$O2092,$O2092),-$O2092)))</f>
        <v/>
      </c>
      <c r="AB2092" s="117">
        <f>IF($B2092="","",IF(OR($D2092="",$E2092="",$O2092=""),"EKSİK",IF($O2092&lt;=0,"SIFIR/NEGATİF",IF(COUNTIFS($C$6:$C$5000,$C2092,$O$6:$O$5000,$O2092,$B$6:$B$5000,$B2092)&gt;1,"MÜKERRER","OK"))))</f>
        <v/>
      </c>
    </row>
    <row r="2093" ht="16.5" customHeight="1" s="80">
      <c r="A2093" s="113" t="n"/>
      <c r="B2093" s="113" t="n"/>
      <c r="C2093" s="113" t="n"/>
      <c r="D2093" s="113" t="n"/>
      <c r="E2093" s="113" t="n"/>
      <c r="F2093" s="113" t="n"/>
      <c r="G2093" s="113" t="n"/>
      <c r="H2093" s="113" t="n"/>
      <c r="I2093" s="113" t="n"/>
      <c r="J2093" s="113" t="n"/>
      <c r="K2093" s="113" t="n"/>
      <c r="L2093" s="113" t="n"/>
      <c r="M2093" s="113" t="n"/>
      <c r="N2093" s="113" t="n"/>
      <c r="O2093" s="113" t="n"/>
      <c r="P2093" s="113" t="n"/>
      <c r="Q2093" s="113" t="n"/>
      <c r="R2093" s="113" t="n"/>
      <c r="S2093" s="113" t="n"/>
      <c r="T2093" s="113" t="n"/>
      <c r="U2093" s="113" t="n"/>
      <c r="V2093" s="113" t="n"/>
      <c r="W2093" s="113" t="n"/>
      <c r="X2093" s="113" t="n"/>
      <c r="Y2093" s="113" t="n"/>
      <c r="Z2093" s="117">
        <f>IF($B2093="",0,IF($S2093="EVET",IF($D2093="GELİR",$O2093,-$O2093),0))</f>
        <v/>
      </c>
      <c r="AA2093" s="117">
        <f>IF($B2093="",0,IF(OR($W2093="EVET",$X2093="EVET",$Y2093="EVET"),0,IF($D2093="GELİR",IF($E2093="SATIŞ İADESİ/İSKONTO",-$O2093,$O2093),-$O2093)))</f>
        <v/>
      </c>
      <c r="AB2093" s="117">
        <f>IF($B2093="","",IF(OR($D2093="",$E2093="",$O2093=""),"EKSİK",IF($O2093&lt;=0,"SIFIR/NEGATİF",IF(COUNTIFS($C$6:$C$5000,$C2093,$O$6:$O$5000,$O2093,$B$6:$B$5000,$B2093)&gt;1,"MÜKERRER","OK"))))</f>
        <v/>
      </c>
    </row>
    <row r="2094" ht="16.5" customHeight="1" s="80">
      <c r="A2094" s="113" t="n"/>
      <c r="B2094" s="113" t="n"/>
      <c r="C2094" s="113" t="n"/>
      <c r="D2094" s="113" t="n"/>
      <c r="E2094" s="113" t="n"/>
      <c r="F2094" s="113" t="n"/>
      <c r="G2094" s="113" t="n"/>
      <c r="H2094" s="113" t="n"/>
      <c r="I2094" s="113" t="n"/>
      <c r="J2094" s="113" t="n"/>
      <c r="K2094" s="113" t="n"/>
      <c r="L2094" s="113" t="n"/>
      <c r="M2094" s="113" t="n"/>
      <c r="N2094" s="113" t="n"/>
      <c r="O2094" s="113" t="n"/>
      <c r="P2094" s="113" t="n"/>
      <c r="Q2094" s="113" t="n"/>
      <c r="R2094" s="113" t="n"/>
      <c r="S2094" s="113" t="n"/>
      <c r="T2094" s="113" t="n"/>
      <c r="U2094" s="113" t="n"/>
      <c r="V2094" s="113" t="n"/>
      <c r="W2094" s="113" t="n"/>
      <c r="X2094" s="113" t="n"/>
      <c r="Y2094" s="113" t="n"/>
      <c r="Z2094" s="117">
        <f>IF($B2094="",0,IF($S2094="EVET",IF($D2094="GELİR",$O2094,-$O2094),0))</f>
        <v/>
      </c>
      <c r="AA2094" s="117">
        <f>IF($B2094="",0,IF(OR($W2094="EVET",$X2094="EVET",$Y2094="EVET"),0,IF($D2094="GELİR",IF($E2094="SATIŞ İADESİ/İSKONTO",-$O2094,$O2094),-$O2094)))</f>
        <v/>
      </c>
      <c r="AB2094" s="117">
        <f>IF($B2094="","",IF(OR($D2094="",$E2094="",$O2094=""),"EKSİK",IF($O2094&lt;=0,"SIFIR/NEGATİF",IF(COUNTIFS($C$6:$C$5000,$C2094,$O$6:$O$5000,$O2094,$B$6:$B$5000,$B2094)&gt;1,"MÜKERRER","OK"))))</f>
        <v/>
      </c>
    </row>
    <row r="2095" ht="16.5" customHeight="1" s="80">
      <c r="A2095" s="113" t="n"/>
      <c r="B2095" s="113" t="n"/>
      <c r="C2095" s="113" t="n"/>
      <c r="D2095" s="113" t="n"/>
      <c r="E2095" s="113" t="n"/>
      <c r="F2095" s="113" t="n"/>
      <c r="G2095" s="113" t="n"/>
      <c r="H2095" s="113" t="n"/>
      <c r="I2095" s="113" t="n"/>
      <c r="J2095" s="113" t="n"/>
      <c r="K2095" s="113" t="n"/>
      <c r="L2095" s="113" t="n"/>
      <c r="M2095" s="113" t="n"/>
      <c r="N2095" s="113" t="n"/>
      <c r="O2095" s="113" t="n"/>
      <c r="P2095" s="113" t="n"/>
      <c r="Q2095" s="113" t="n"/>
      <c r="R2095" s="113" t="n"/>
      <c r="S2095" s="113" t="n"/>
      <c r="T2095" s="113" t="n"/>
      <c r="U2095" s="113" t="n"/>
      <c r="V2095" s="113" t="n"/>
      <c r="W2095" s="113" t="n"/>
      <c r="X2095" s="113" t="n"/>
      <c r="Y2095" s="113" t="n"/>
      <c r="Z2095" s="117">
        <f>IF($B2095="",0,IF($S2095="EVET",IF($D2095="GELİR",$O2095,-$O2095),0))</f>
        <v/>
      </c>
      <c r="AA2095" s="117">
        <f>IF($B2095="",0,IF(OR($W2095="EVET",$X2095="EVET",$Y2095="EVET"),0,IF($D2095="GELİR",IF($E2095="SATIŞ İADESİ/İSKONTO",-$O2095,$O2095),-$O2095)))</f>
        <v/>
      </c>
      <c r="AB2095" s="117">
        <f>IF($B2095="","",IF(OR($D2095="",$E2095="",$O2095=""),"EKSİK",IF($O2095&lt;=0,"SIFIR/NEGATİF",IF(COUNTIFS($C$6:$C$5000,$C2095,$O$6:$O$5000,$O2095,$B$6:$B$5000,$B2095)&gt;1,"MÜKERRER","OK"))))</f>
        <v/>
      </c>
    </row>
    <row r="2096" ht="16.5" customHeight="1" s="80">
      <c r="A2096" s="113" t="n"/>
      <c r="B2096" s="113" t="n"/>
      <c r="C2096" s="113" t="n"/>
      <c r="D2096" s="113" t="n"/>
      <c r="E2096" s="113" t="n"/>
      <c r="F2096" s="113" t="n"/>
      <c r="G2096" s="113" t="n"/>
      <c r="H2096" s="113" t="n"/>
      <c r="I2096" s="113" t="n"/>
      <c r="J2096" s="113" t="n"/>
      <c r="K2096" s="113" t="n"/>
      <c r="L2096" s="113" t="n"/>
      <c r="M2096" s="113" t="n"/>
      <c r="N2096" s="113" t="n"/>
      <c r="O2096" s="113" t="n"/>
      <c r="P2096" s="113" t="n"/>
      <c r="Q2096" s="113" t="n"/>
      <c r="R2096" s="113" t="n"/>
      <c r="S2096" s="113" t="n"/>
      <c r="T2096" s="113" t="n"/>
      <c r="U2096" s="113" t="n"/>
      <c r="V2096" s="113" t="n"/>
      <c r="W2096" s="113" t="n"/>
      <c r="X2096" s="113" t="n"/>
      <c r="Y2096" s="113" t="n"/>
      <c r="Z2096" s="117">
        <f>IF($B2096="",0,IF($S2096="EVET",IF($D2096="GELİR",$O2096,-$O2096),0))</f>
        <v/>
      </c>
      <c r="AA2096" s="117">
        <f>IF($B2096="",0,IF(OR($W2096="EVET",$X2096="EVET",$Y2096="EVET"),0,IF($D2096="GELİR",IF($E2096="SATIŞ İADESİ/İSKONTO",-$O2096,$O2096),-$O2096)))</f>
        <v/>
      </c>
      <c r="AB2096" s="117">
        <f>IF($B2096="","",IF(OR($D2096="",$E2096="",$O2096=""),"EKSİK",IF($O2096&lt;=0,"SIFIR/NEGATİF",IF(COUNTIFS($C$6:$C$5000,$C2096,$O$6:$O$5000,$O2096,$B$6:$B$5000,$B2096)&gt;1,"MÜKERRER","OK"))))</f>
        <v/>
      </c>
    </row>
    <row r="2097" ht="16.5" customHeight="1" s="80">
      <c r="A2097" s="113" t="n"/>
      <c r="B2097" s="113" t="n"/>
      <c r="C2097" s="113" t="n"/>
      <c r="D2097" s="113" t="n"/>
      <c r="E2097" s="113" t="n"/>
      <c r="F2097" s="113" t="n"/>
      <c r="G2097" s="113" t="n"/>
      <c r="H2097" s="113" t="n"/>
      <c r="I2097" s="113" t="n"/>
      <c r="J2097" s="113" t="n"/>
      <c r="K2097" s="113" t="n"/>
      <c r="L2097" s="113" t="n"/>
      <c r="M2097" s="113" t="n"/>
      <c r="N2097" s="113" t="n"/>
      <c r="O2097" s="113" t="n"/>
      <c r="P2097" s="113" t="n"/>
      <c r="Q2097" s="113" t="n"/>
      <c r="R2097" s="113" t="n"/>
      <c r="S2097" s="113" t="n"/>
      <c r="T2097" s="113" t="n"/>
      <c r="U2097" s="113" t="n"/>
      <c r="V2097" s="113" t="n"/>
      <c r="W2097" s="113" t="n"/>
      <c r="X2097" s="113" t="n"/>
      <c r="Y2097" s="113" t="n"/>
      <c r="Z2097" s="117">
        <f>IF($B2097="",0,IF($S2097="EVET",IF($D2097="GELİR",$O2097,-$O2097),0))</f>
        <v/>
      </c>
      <c r="AA2097" s="117">
        <f>IF($B2097="",0,IF(OR($W2097="EVET",$X2097="EVET",$Y2097="EVET"),0,IF($D2097="GELİR",IF($E2097="SATIŞ İADESİ/İSKONTO",-$O2097,$O2097),-$O2097)))</f>
        <v/>
      </c>
      <c r="AB2097" s="117">
        <f>IF($B2097="","",IF(OR($D2097="",$E2097="",$O2097=""),"EKSİK",IF($O2097&lt;=0,"SIFIR/NEGATİF",IF(COUNTIFS($C$6:$C$5000,$C2097,$O$6:$O$5000,$O2097,$B$6:$B$5000,$B2097)&gt;1,"MÜKERRER","OK"))))</f>
        <v/>
      </c>
    </row>
    <row r="2098" ht="16.5" customHeight="1" s="80">
      <c r="A2098" s="113" t="n"/>
      <c r="B2098" s="113" t="n"/>
      <c r="C2098" s="113" t="n"/>
      <c r="D2098" s="113" t="n"/>
      <c r="E2098" s="113" t="n"/>
      <c r="F2098" s="113" t="n"/>
      <c r="G2098" s="113" t="n"/>
      <c r="H2098" s="113" t="n"/>
      <c r="I2098" s="113" t="n"/>
      <c r="J2098" s="113" t="n"/>
      <c r="K2098" s="113" t="n"/>
      <c r="L2098" s="113" t="n"/>
      <c r="M2098" s="113" t="n"/>
      <c r="N2098" s="113" t="n"/>
      <c r="O2098" s="113" t="n"/>
      <c r="P2098" s="113" t="n"/>
      <c r="Q2098" s="113" t="n"/>
      <c r="R2098" s="113" t="n"/>
      <c r="S2098" s="113" t="n"/>
      <c r="T2098" s="113" t="n"/>
      <c r="U2098" s="113" t="n"/>
      <c r="V2098" s="113" t="n"/>
      <c r="W2098" s="113" t="n"/>
      <c r="X2098" s="113" t="n"/>
      <c r="Y2098" s="113" t="n"/>
      <c r="Z2098" s="117">
        <f>IF($B2098="",0,IF($S2098="EVET",IF($D2098="GELİR",$O2098,-$O2098),0))</f>
        <v/>
      </c>
      <c r="AA2098" s="117">
        <f>IF($B2098="",0,IF(OR($W2098="EVET",$X2098="EVET",$Y2098="EVET"),0,IF($D2098="GELİR",IF($E2098="SATIŞ İADESİ/İSKONTO",-$O2098,$O2098),-$O2098)))</f>
        <v/>
      </c>
      <c r="AB2098" s="117">
        <f>IF($B2098="","",IF(OR($D2098="",$E2098="",$O2098=""),"EKSİK",IF($O2098&lt;=0,"SIFIR/NEGATİF",IF(COUNTIFS($C$6:$C$5000,$C2098,$O$6:$O$5000,$O2098,$B$6:$B$5000,$B2098)&gt;1,"MÜKERRER","OK"))))</f>
        <v/>
      </c>
    </row>
    <row r="2099" ht="16.5" customHeight="1" s="80">
      <c r="A2099" s="113" t="n"/>
      <c r="B2099" s="113" t="n"/>
      <c r="C2099" s="113" t="n"/>
      <c r="D2099" s="113" t="n"/>
      <c r="E2099" s="113" t="n"/>
      <c r="F2099" s="113" t="n"/>
      <c r="G2099" s="113" t="n"/>
      <c r="H2099" s="113" t="n"/>
      <c r="I2099" s="113" t="n"/>
      <c r="J2099" s="113" t="n"/>
      <c r="K2099" s="113" t="n"/>
      <c r="L2099" s="113" t="n"/>
      <c r="M2099" s="113" t="n"/>
      <c r="N2099" s="113" t="n"/>
      <c r="O2099" s="113" t="n"/>
      <c r="P2099" s="113" t="n"/>
      <c r="Q2099" s="113" t="n"/>
      <c r="R2099" s="113" t="n"/>
      <c r="S2099" s="113" t="n"/>
      <c r="T2099" s="113" t="n"/>
      <c r="U2099" s="113" t="n"/>
      <c r="V2099" s="113" t="n"/>
      <c r="W2099" s="113" t="n"/>
      <c r="X2099" s="113" t="n"/>
      <c r="Y2099" s="113" t="n"/>
      <c r="Z2099" s="117">
        <f>IF($B2099="",0,IF($S2099="EVET",IF($D2099="GELİR",$O2099,-$O2099),0))</f>
        <v/>
      </c>
      <c r="AA2099" s="117">
        <f>IF($B2099="",0,IF(OR($W2099="EVET",$X2099="EVET",$Y2099="EVET"),0,IF($D2099="GELİR",IF($E2099="SATIŞ İADESİ/İSKONTO",-$O2099,$O2099),-$O2099)))</f>
        <v/>
      </c>
      <c r="AB2099" s="117">
        <f>IF($B2099="","",IF(OR($D2099="",$E2099="",$O2099=""),"EKSİK",IF($O2099&lt;=0,"SIFIR/NEGATİF",IF(COUNTIFS($C$6:$C$5000,$C2099,$O$6:$O$5000,$O2099,$B$6:$B$5000,$B2099)&gt;1,"MÜKERRER","OK"))))</f>
        <v/>
      </c>
    </row>
    <row r="2100" ht="16.5" customHeight="1" s="80">
      <c r="A2100" s="113" t="n"/>
      <c r="B2100" s="113" t="n"/>
      <c r="C2100" s="113" t="n"/>
      <c r="D2100" s="113" t="n"/>
      <c r="E2100" s="113" t="n"/>
      <c r="F2100" s="113" t="n"/>
      <c r="G2100" s="113" t="n"/>
      <c r="H2100" s="113" t="n"/>
      <c r="I2100" s="113" t="n"/>
      <c r="J2100" s="113" t="n"/>
      <c r="K2100" s="113" t="n"/>
      <c r="L2100" s="113" t="n"/>
      <c r="M2100" s="113" t="n"/>
      <c r="N2100" s="113" t="n"/>
      <c r="O2100" s="113" t="n"/>
      <c r="P2100" s="113" t="n"/>
      <c r="Q2100" s="113" t="n"/>
      <c r="R2100" s="113" t="n"/>
      <c r="S2100" s="113" t="n"/>
      <c r="T2100" s="113" t="n"/>
      <c r="U2100" s="113" t="n"/>
      <c r="V2100" s="113" t="n"/>
      <c r="W2100" s="113" t="n"/>
      <c r="X2100" s="113" t="n"/>
      <c r="Y2100" s="113" t="n"/>
      <c r="Z2100" s="117">
        <f>IF($B2100="",0,IF($S2100="EVET",IF($D2100="GELİR",$O2100,-$O2100),0))</f>
        <v/>
      </c>
      <c r="AA2100" s="117">
        <f>IF($B2100="",0,IF(OR($W2100="EVET",$X2100="EVET",$Y2100="EVET"),0,IF($D2100="GELİR",IF($E2100="SATIŞ İADESİ/İSKONTO",-$O2100,$O2100),-$O2100)))</f>
        <v/>
      </c>
      <c r="AB2100" s="117">
        <f>IF($B2100="","",IF(OR($D2100="",$E2100="",$O2100=""),"EKSİK",IF($O2100&lt;=0,"SIFIR/NEGATİF",IF(COUNTIFS($C$6:$C$5000,$C2100,$O$6:$O$5000,$O2100,$B$6:$B$5000,$B2100)&gt;1,"MÜKERRER","OK"))))</f>
        <v/>
      </c>
    </row>
    <row r="2101" ht="16.5" customHeight="1" s="80">
      <c r="A2101" s="113" t="n"/>
      <c r="B2101" s="113" t="n"/>
      <c r="C2101" s="113" t="n"/>
      <c r="D2101" s="113" t="n"/>
      <c r="E2101" s="113" t="n"/>
      <c r="F2101" s="113" t="n"/>
      <c r="G2101" s="113" t="n"/>
      <c r="H2101" s="113" t="n"/>
      <c r="I2101" s="113" t="n"/>
      <c r="J2101" s="113" t="n"/>
      <c r="K2101" s="113" t="n"/>
      <c r="L2101" s="113" t="n"/>
      <c r="M2101" s="113" t="n"/>
      <c r="N2101" s="113" t="n"/>
      <c r="O2101" s="113" t="n"/>
      <c r="P2101" s="113" t="n"/>
      <c r="Q2101" s="113" t="n"/>
      <c r="R2101" s="113" t="n"/>
      <c r="S2101" s="113" t="n"/>
      <c r="T2101" s="113" t="n"/>
      <c r="U2101" s="113" t="n"/>
      <c r="V2101" s="113" t="n"/>
      <c r="W2101" s="113" t="n"/>
      <c r="X2101" s="113" t="n"/>
      <c r="Y2101" s="113" t="n"/>
      <c r="Z2101" s="117">
        <f>IF($B2101="",0,IF($S2101="EVET",IF($D2101="GELİR",$O2101,-$O2101),0))</f>
        <v/>
      </c>
      <c r="AA2101" s="117">
        <f>IF($B2101="",0,IF(OR($W2101="EVET",$X2101="EVET",$Y2101="EVET"),0,IF($D2101="GELİR",IF($E2101="SATIŞ İADESİ/İSKONTO",-$O2101,$O2101),-$O2101)))</f>
        <v/>
      </c>
      <c r="AB2101" s="117">
        <f>IF($B2101="","",IF(OR($D2101="",$E2101="",$O2101=""),"EKSİK",IF($O2101&lt;=0,"SIFIR/NEGATİF",IF(COUNTIFS($C$6:$C$5000,$C2101,$O$6:$O$5000,$O2101,$B$6:$B$5000,$B2101)&gt;1,"MÜKERRER","OK"))))</f>
        <v/>
      </c>
    </row>
    <row r="2102" ht="16.5" customHeight="1" s="80">
      <c r="A2102" s="113" t="n"/>
      <c r="B2102" s="113" t="n"/>
      <c r="C2102" s="113" t="n"/>
      <c r="D2102" s="113" t="n"/>
      <c r="E2102" s="113" t="n"/>
      <c r="F2102" s="113" t="n"/>
      <c r="G2102" s="113" t="n"/>
      <c r="H2102" s="113" t="n"/>
      <c r="I2102" s="113" t="n"/>
      <c r="J2102" s="113" t="n"/>
      <c r="K2102" s="113" t="n"/>
      <c r="L2102" s="113" t="n"/>
      <c r="M2102" s="113" t="n"/>
      <c r="N2102" s="113" t="n"/>
      <c r="O2102" s="113" t="n"/>
      <c r="P2102" s="113" t="n"/>
      <c r="Q2102" s="113" t="n"/>
      <c r="R2102" s="113" t="n"/>
      <c r="S2102" s="113" t="n"/>
      <c r="T2102" s="113" t="n"/>
      <c r="U2102" s="113" t="n"/>
      <c r="V2102" s="113" t="n"/>
      <c r="W2102" s="113" t="n"/>
      <c r="X2102" s="113" t="n"/>
      <c r="Y2102" s="113" t="n"/>
      <c r="Z2102" s="117">
        <f>IF($B2102="",0,IF($S2102="EVET",IF($D2102="GELİR",$O2102,-$O2102),0))</f>
        <v/>
      </c>
      <c r="AA2102" s="117">
        <f>IF($B2102="",0,IF(OR($W2102="EVET",$X2102="EVET",$Y2102="EVET"),0,IF($D2102="GELİR",IF($E2102="SATIŞ İADESİ/İSKONTO",-$O2102,$O2102),-$O2102)))</f>
        <v/>
      </c>
      <c r="AB2102" s="117">
        <f>IF($B2102="","",IF(OR($D2102="",$E2102="",$O2102=""),"EKSİK",IF($O2102&lt;=0,"SIFIR/NEGATİF",IF(COUNTIFS($C$6:$C$5000,$C2102,$O$6:$O$5000,$O2102,$B$6:$B$5000,$B2102)&gt;1,"MÜKERRER","OK"))))</f>
        <v/>
      </c>
    </row>
    <row r="2103" ht="16.5" customHeight="1" s="80">
      <c r="A2103" s="113" t="n"/>
      <c r="B2103" s="113" t="n"/>
      <c r="C2103" s="113" t="n"/>
      <c r="D2103" s="113" t="n"/>
      <c r="E2103" s="113" t="n"/>
      <c r="F2103" s="113" t="n"/>
      <c r="G2103" s="113" t="n"/>
      <c r="H2103" s="113" t="n"/>
      <c r="I2103" s="113" t="n"/>
      <c r="J2103" s="113" t="n"/>
      <c r="K2103" s="113" t="n"/>
      <c r="L2103" s="113" t="n"/>
      <c r="M2103" s="113" t="n"/>
      <c r="N2103" s="113" t="n"/>
      <c r="O2103" s="113" t="n"/>
      <c r="P2103" s="113" t="n"/>
      <c r="Q2103" s="113" t="n"/>
      <c r="R2103" s="113" t="n"/>
      <c r="S2103" s="113" t="n"/>
      <c r="T2103" s="113" t="n"/>
      <c r="U2103" s="113" t="n"/>
      <c r="V2103" s="113" t="n"/>
      <c r="W2103" s="113" t="n"/>
      <c r="X2103" s="113" t="n"/>
      <c r="Y2103" s="113" t="n"/>
      <c r="Z2103" s="117">
        <f>IF($B2103="",0,IF($S2103="EVET",IF($D2103="GELİR",$O2103,-$O2103),0))</f>
        <v/>
      </c>
      <c r="AA2103" s="117">
        <f>IF($B2103="",0,IF(OR($W2103="EVET",$X2103="EVET",$Y2103="EVET"),0,IF($D2103="GELİR",IF($E2103="SATIŞ İADESİ/İSKONTO",-$O2103,$O2103),-$O2103)))</f>
        <v/>
      </c>
      <c r="AB2103" s="117">
        <f>IF($B2103="","",IF(OR($D2103="",$E2103="",$O2103=""),"EKSİK",IF($O2103&lt;=0,"SIFIR/NEGATİF",IF(COUNTIFS($C$6:$C$5000,$C2103,$O$6:$O$5000,$O2103,$B$6:$B$5000,$B2103)&gt;1,"MÜKERRER","OK"))))</f>
        <v/>
      </c>
    </row>
    <row r="2104" ht="16.5" customHeight="1" s="80">
      <c r="A2104" s="113" t="n"/>
      <c r="B2104" s="113" t="n"/>
      <c r="C2104" s="113" t="n"/>
      <c r="D2104" s="113" t="n"/>
      <c r="E2104" s="113" t="n"/>
      <c r="F2104" s="113" t="n"/>
      <c r="G2104" s="113" t="n"/>
      <c r="H2104" s="113" t="n"/>
      <c r="I2104" s="113" t="n"/>
      <c r="J2104" s="113" t="n"/>
      <c r="K2104" s="113" t="n"/>
      <c r="L2104" s="113" t="n"/>
      <c r="M2104" s="113" t="n"/>
      <c r="N2104" s="113" t="n"/>
      <c r="O2104" s="113" t="n"/>
      <c r="P2104" s="113" t="n"/>
      <c r="Q2104" s="113" t="n"/>
      <c r="R2104" s="113" t="n"/>
      <c r="S2104" s="113" t="n"/>
      <c r="T2104" s="113" t="n"/>
      <c r="U2104" s="113" t="n"/>
      <c r="V2104" s="113" t="n"/>
      <c r="W2104" s="113" t="n"/>
      <c r="X2104" s="113" t="n"/>
      <c r="Y2104" s="113" t="n"/>
      <c r="Z2104" s="117">
        <f>IF($B2104="",0,IF($S2104="EVET",IF($D2104="GELİR",$O2104,-$O2104),0))</f>
        <v/>
      </c>
      <c r="AA2104" s="117">
        <f>IF($B2104="",0,IF(OR($W2104="EVET",$X2104="EVET",$Y2104="EVET"),0,IF($D2104="GELİR",IF($E2104="SATIŞ İADESİ/İSKONTO",-$O2104,$O2104),-$O2104)))</f>
        <v/>
      </c>
      <c r="AB2104" s="117">
        <f>IF($B2104="","",IF(OR($D2104="",$E2104="",$O2104=""),"EKSİK",IF($O2104&lt;=0,"SIFIR/NEGATİF",IF(COUNTIFS($C$6:$C$5000,$C2104,$O$6:$O$5000,$O2104,$B$6:$B$5000,$B2104)&gt;1,"MÜKERRER","OK"))))</f>
        <v/>
      </c>
    </row>
    <row r="2105" ht="16.5" customHeight="1" s="80">
      <c r="A2105" s="113" t="n"/>
      <c r="B2105" s="113" t="n"/>
      <c r="C2105" s="113" t="n"/>
      <c r="D2105" s="113" t="n"/>
      <c r="E2105" s="113" t="n"/>
      <c r="F2105" s="113" t="n"/>
      <c r="G2105" s="113" t="n"/>
      <c r="H2105" s="113" t="n"/>
      <c r="I2105" s="113" t="n"/>
      <c r="J2105" s="113" t="n"/>
      <c r="K2105" s="113" t="n"/>
      <c r="L2105" s="113" t="n"/>
      <c r="M2105" s="113" t="n"/>
      <c r="N2105" s="113" t="n"/>
      <c r="O2105" s="113" t="n"/>
      <c r="P2105" s="113" t="n"/>
      <c r="Q2105" s="113" t="n"/>
      <c r="R2105" s="113" t="n"/>
      <c r="S2105" s="113" t="n"/>
      <c r="T2105" s="113" t="n"/>
      <c r="U2105" s="113" t="n"/>
      <c r="V2105" s="113" t="n"/>
      <c r="W2105" s="113" t="n"/>
      <c r="X2105" s="113" t="n"/>
      <c r="Y2105" s="113" t="n"/>
      <c r="Z2105" s="117">
        <f>IF($B2105="",0,IF($S2105="EVET",IF($D2105="GELİR",$O2105,-$O2105),0))</f>
        <v/>
      </c>
      <c r="AA2105" s="117">
        <f>IF($B2105="",0,IF(OR($W2105="EVET",$X2105="EVET",$Y2105="EVET"),0,IF($D2105="GELİR",IF($E2105="SATIŞ İADESİ/İSKONTO",-$O2105,$O2105),-$O2105)))</f>
        <v/>
      </c>
      <c r="AB2105" s="117">
        <f>IF($B2105="","",IF(OR($D2105="",$E2105="",$O2105=""),"EKSİK",IF($O2105&lt;=0,"SIFIR/NEGATİF",IF(COUNTIFS($C$6:$C$5000,$C2105,$O$6:$O$5000,$O2105,$B$6:$B$5000,$B2105)&gt;1,"MÜKERRER","OK"))))</f>
        <v/>
      </c>
    </row>
    <row r="2106" ht="16.5" customHeight="1" s="80">
      <c r="A2106" s="113" t="n"/>
      <c r="B2106" s="113" t="n"/>
      <c r="C2106" s="113" t="n"/>
      <c r="D2106" s="113" t="n"/>
      <c r="E2106" s="113" t="n"/>
      <c r="F2106" s="113" t="n"/>
      <c r="G2106" s="113" t="n"/>
      <c r="H2106" s="113" t="n"/>
      <c r="I2106" s="113" t="n"/>
      <c r="J2106" s="113" t="n"/>
      <c r="K2106" s="113" t="n"/>
      <c r="L2106" s="113" t="n"/>
      <c r="M2106" s="113" t="n"/>
      <c r="N2106" s="113" t="n"/>
      <c r="O2106" s="113" t="n"/>
      <c r="P2106" s="113" t="n"/>
      <c r="Q2106" s="113" t="n"/>
      <c r="R2106" s="113" t="n"/>
      <c r="S2106" s="113" t="n"/>
      <c r="T2106" s="113" t="n"/>
      <c r="U2106" s="113" t="n"/>
      <c r="V2106" s="113" t="n"/>
      <c r="W2106" s="113" t="n"/>
      <c r="X2106" s="113" t="n"/>
      <c r="Y2106" s="113" t="n"/>
      <c r="Z2106" s="117">
        <f>IF($B2106="",0,IF($S2106="EVET",IF($D2106="GELİR",$O2106,-$O2106),0))</f>
        <v/>
      </c>
      <c r="AA2106" s="117">
        <f>IF($B2106="",0,IF(OR($W2106="EVET",$X2106="EVET",$Y2106="EVET"),0,IF($D2106="GELİR",IF($E2106="SATIŞ İADESİ/İSKONTO",-$O2106,$O2106),-$O2106)))</f>
        <v/>
      </c>
      <c r="AB2106" s="117">
        <f>IF($B2106="","",IF(OR($D2106="",$E2106="",$O2106=""),"EKSİK",IF($O2106&lt;=0,"SIFIR/NEGATİF",IF(COUNTIFS($C$6:$C$5000,$C2106,$O$6:$O$5000,$O2106,$B$6:$B$5000,$B2106)&gt;1,"MÜKERRER","OK"))))</f>
        <v/>
      </c>
    </row>
    <row r="2107" ht="16.5" customHeight="1" s="80">
      <c r="A2107" s="113" t="n"/>
      <c r="B2107" s="113" t="n"/>
      <c r="C2107" s="113" t="n"/>
      <c r="D2107" s="113" t="n"/>
      <c r="E2107" s="113" t="n"/>
      <c r="F2107" s="113" t="n"/>
      <c r="G2107" s="113" t="n"/>
      <c r="H2107" s="113" t="n"/>
      <c r="I2107" s="113" t="n"/>
      <c r="J2107" s="113" t="n"/>
      <c r="K2107" s="113" t="n"/>
      <c r="L2107" s="113" t="n"/>
      <c r="M2107" s="113" t="n"/>
      <c r="N2107" s="113" t="n"/>
      <c r="O2107" s="113" t="n"/>
      <c r="P2107" s="113" t="n"/>
      <c r="Q2107" s="113" t="n"/>
      <c r="R2107" s="113" t="n"/>
      <c r="S2107" s="113" t="n"/>
      <c r="T2107" s="113" t="n"/>
      <c r="U2107" s="113" t="n"/>
      <c r="V2107" s="113" t="n"/>
      <c r="W2107" s="113" t="n"/>
      <c r="X2107" s="113" t="n"/>
      <c r="Y2107" s="113" t="n"/>
      <c r="Z2107" s="117">
        <f>IF($B2107="",0,IF($S2107="EVET",IF($D2107="GELİR",$O2107,-$O2107),0))</f>
        <v/>
      </c>
      <c r="AA2107" s="117">
        <f>IF($B2107="",0,IF(OR($W2107="EVET",$X2107="EVET",$Y2107="EVET"),0,IF($D2107="GELİR",IF($E2107="SATIŞ İADESİ/İSKONTO",-$O2107,$O2107),-$O2107)))</f>
        <v/>
      </c>
      <c r="AB2107" s="117">
        <f>IF($B2107="","",IF(OR($D2107="",$E2107="",$O2107=""),"EKSİK",IF($O2107&lt;=0,"SIFIR/NEGATİF",IF(COUNTIFS($C$6:$C$5000,$C2107,$O$6:$O$5000,$O2107,$B$6:$B$5000,$B2107)&gt;1,"MÜKERRER","OK"))))</f>
        <v/>
      </c>
    </row>
    <row r="2108" ht="16.5" customHeight="1" s="80">
      <c r="A2108" s="113" t="n"/>
      <c r="B2108" s="113" t="n"/>
      <c r="C2108" s="113" t="n"/>
      <c r="D2108" s="113" t="n"/>
      <c r="E2108" s="113" t="n"/>
      <c r="F2108" s="113" t="n"/>
      <c r="G2108" s="113" t="n"/>
      <c r="H2108" s="113" t="n"/>
      <c r="I2108" s="113" t="n"/>
      <c r="J2108" s="113" t="n"/>
      <c r="K2108" s="113" t="n"/>
      <c r="L2108" s="113" t="n"/>
      <c r="M2108" s="113" t="n"/>
      <c r="N2108" s="113" t="n"/>
      <c r="O2108" s="113" t="n"/>
      <c r="P2108" s="113" t="n"/>
      <c r="Q2108" s="113" t="n"/>
      <c r="R2108" s="113" t="n"/>
      <c r="S2108" s="113" t="n"/>
      <c r="T2108" s="113" t="n"/>
      <c r="U2108" s="113" t="n"/>
      <c r="V2108" s="113" t="n"/>
      <c r="W2108" s="113" t="n"/>
      <c r="X2108" s="113" t="n"/>
      <c r="Y2108" s="113" t="n"/>
      <c r="Z2108" s="117">
        <f>IF($B2108="",0,IF($S2108="EVET",IF($D2108="GELİR",$O2108,-$O2108),0))</f>
        <v/>
      </c>
      <c r="AA2108" s="117">
        <f>IF($B2108="",0,IF(OR($W2108="EVET",$X2108="EVET",$Y2108="EVET"),0,IF($D2108="GELİR",IF($E2108="SATIŞ İADESİ/İSKONTO",-$O2108,$O2108),-$O2108)))</f>
        <v/>
      </c>
      <c r="AB2108" s="117">
        <f>IF($B2108="","",IF(OR($D2108="",$E2108="",$O2108=""),"EKSİK",IF($O2108&lt;=0,"SIFIR/NEGATİF",IF(COUNTIFS($C$6:$C$5000,$C2108,$O$6:$O$5000,$O2108,$B$6:$B$5000,$B2108)&gt;1,"MÜKERRER","OK"))))</f>
        <v/>
      </c>
    </row>
    <row r="2109" ht="16.5" customHeight="1" s="80">
      <c r="A2109" s="113" t="n"/>
      <c r="B2109" s="113" t="n"/>
      <c r="C2109" s="113" t="n"/>
      <c r="D2109" s="113" t="n"/>
      <c r="E2109" s="113" t="n"/>
      <c r="F2109" s="113" t="n"/>
      <c r="G2109" s="113" t="n"/>
      <c r="H2109" s="113" t="n"/>
      <c r="I2109" s="113" t="n"/>
      <c r="J2109" s="113" t="n"/>
      <c r="K2109" s="113" t="n"/>
      <c r="L2109" s="113" t="n"/>
      <c r="M2109" s="113" t="n"/>
      <c r="N2109" s="113" t="n"/>
      <c r="O2109" s="113" t="n"/>
      <c r="P2109" s="113" t="n"/>
      <c r="Q2109" s="113" t="n"/>
      <c r="R2109" s="113" t="n"/>
      <c r="S2109" s="113" t="n"/>
      <c r="T2109" s="113" t="n"/>
      <c r="U2109" s="113" t="n"/>
      <c r="V2109" s="113" t="n"/>
      <c r="W2109" s="113" t="n"/>
      <c r="X2109" s="113" t="n"/>
      <c r="Y2109" s="113" t="n"/>
      <c r="Z2109" s="117">
        <f>IF($B2109="",0,IF($S2109="EVET",IF($D2109="GELİR",$O2109,-$O2109),0))</f>
        <v/>
      </c>
      <c r="AA2109" s="117">
        <f>IF($B2109="",0,IF(OR($W2109="EVET",$X2109="EVET",$Y2109="EVET"),0,IF($D2109="GELİR",IF($E2109="SATIŞ İADESİ/İSKONTO",-$O2109,$O2109),-$O2109)))</f>
        <v/>
      </c>
      <c r="AB2109" s="117">
        <f>IF($B2109="","",IF(OR($D2109="",$E2109="",$O2109=""),"EKSİK",IF($O2109&lt;=0,"SIFIR/NEGATİF",IF(COUNTIFS($C$6:$C$5000,$C2109,$O$6:$O$5000,$O2109,$B$6:$B$5000,$B2109)&gt;1,"MÜKERRER","OK"))))</f>
        <v/>
      </c>
    </row>
    <row r="2110" ht="16.5" customHeight="1" s="80">
      <c r="A2110" s="113" t="n"/>
      <c r="B2110" s="113" t="n"/>
      <c r="C2110" s="113" t="n"/>
      <c r="D2110" s="113" t="n"/>
      <c r="E2110" s="113" t="n"/>
      <c r="F2110" s="113" t="n"/>
      <c r="G2110" s="113" t="n"/>
      <c r="H2110" s="113" t="n"/>
      <c r="I2110" s="113" t="n"/>
      <c r="J2110" s="113" t="n"/>
      <c r="K2110" s="113" t="n"/>
      <c r="L2110" s="113" t="n"/>
      <c r="M2110" s="113" t="n"/>
      <c r="N2110" s="113" t="n"/>
      <c r="O2110" s="113" t="n"/>
      <c r="P2110" s="113" t="n"/>
      <c r="Q2110" s="113" t="n"/>
      <c r="R2110" s="113" t="n"/>
      <c r="S2110" s="113" t="n"/>
      <c r="T2110" s="113" t="n"/>
      <c r="U2110" s="113" t="n"/>
      <c r="V2110" s="113" t="n"/>
      <c r="W2110" s="113" t="n"/>
      <c r="X2110" s="113" t="n"/>
      <c r="Y2110" s="113" t="n"/>
      <c r="Z2110" s="117">
        <f>IF($B2110="",0,IF($S2110="EVET",IF($D2110="GELİR",$O2110,-$O2110),0))</f>
        <v/>
      </c>
      <c r="AA2110" s="117">
        <f>IF($B2110="",0,IF(OR($W2110="EVET",$X2110="EVET",$Y2110="EVET"),0,IF($D2110="GELİR",IF($E2110="SATIŞ İADESİ/İSKONTO",-$O2110,$O2110),-$O2110)))</f>
        <v/>
      </c>
      <c r="AB2110" s="117">
        <f>IF($B2110="","",IF(OR($D2110="",$E2110="",$O2110=""),"EKSİK",IF($O2110&lt;=0,"SIFIR/NEGATİF",IF(COUNTIFS($C$6:$C$5000,$C2110,$O$6:$O$5000,$O2110,$B$6:$B$5000,$B2110)&gt;1,"MÜKERRER","OK"))))</f>
        <v/>
      </c>
    </row>
    <row r="2111" ht="16.5" customHeight="1" s="80">
      <c r="A2111" s="113" t="n"/>
      <c r="B2111" s="113" t="n"/>
      <c r="C2111" s="113" t="n"/>
      <c r="D2111" s="113" t="n"/>
      <c r="E2111" s="113" t="n"/>
      <c r="F2111" s="113" t="n"/>
      <c r="G2111" s="113" t="n"/>
      <c r="H2111" s="113" t="n"/>
      <c r="I2111" s="113" t="n"/>
      <c r="J2111" s="113" t="n"/>
      <c r="K2111" s="113" t="n"/>
      <c r="L2111" s="113" t="n"/>
      <c r="M2111" s="113" t="n"/>
      <c r="N2111" s="113" t="n"/>
      <c r="O2111" s="113" t="n"/>
      <c r="P2111" s="113" t="n"/>
      <c r="Q2111" s="113" t="n"/>
      <c r="R2111" s="113" t="n"/>
      <c r="S2111" s="113" t="n"/>
      <c r="T2111" s="113" t="n"/>
      <c r="U2111" s="113" t="n"/>
      <c r="V2111" s="113" t="n"/>
      <c r="W2111" s="113" t="n"/>
      <c r="X2111" s="113" t="n"/>
      <c r="Y2111" s="113" t="n"/>
      <c r="Z2111" s="117">
        <f>IF($B2111="",0,IF($S2111="EVET",IF($D2111="GELİR",$O2111,-$O2111),0))</f>
        <v/>
      </c>
      <c r="AA2111" s="117">
        <f>IF($B2111="",0,IF(OR($W2111="EVET",$X2111="EVET",$Y2111="EVET"),0,IF($D2111="GELİR",IF($E2111="SATIŞ İADESİ/İSKONTO",-$O2111,$O2111),-$O2111)))</f>
        <v/>
      </c>
      <c r="AB2111" s="117">
        <f>IF($B2111="","",IF(OR($D2111="",$E2111="",$O2111=""),"EKSİK",IF($O2111&lt;=0,"SIFIR/NEGATİF",IF(COUNTIFS($C$6:$C$5000,$C2111,$O$6:$O$5000,$O2111,$B$6:$B$5000,$B2111)&gt;1,"MÜKERRER","OK"))))</f>
        <v/>
      </c>
    </row>
    <row r="2112" ht="16.5" customHeight="1" s="80">
      <c r="A2112" s="113" t="n"/>
      <c r="B2112" s="113" t="n"/>
      <c r="C2112" s="113" t="n"/>
      <c r="D2112" s="113" t="n"/>
      <c r="E2112" s="113" t="n"/>
      <c r="F2112" s="113" t="n"/>
      <c r="G2112" s="113" t="n"/>
      <c r="H2112" s="113" t="n"/>
      <c r="I2112" s="113" t="n"/>
      <c r="J2112" s="113" t="n"/>
      <c r="K2112" s="113" t="n"/>
      <c r="L2112" s="113" t="n"/>
      <c r="M2112" s="113" t="n"/>
      <c r="N2112" s="113" t="n"/>
      <c r="O2112" s="113" t="n"/>
      <c r="P2112" s="113" t="n"/>
      <c r="Q2112" s="113" t="n"/>
      <c r="R2112" s="113" t="n"/>
      <c r="S2112" s="113" t="n"/>
      <c r="T2112" s="113" t="n"/>
      <c r="U2112" s="113" t="n"/>
      <c r="V2112" s="113" t="n"/>
      <c r="W2112" s="113" t="n"/>
      <c r="X2112" s="113" t="n"/>
      <c r="Y2112" s="113" t="n"/>
      <c r="Z2112" s="117">
        <f>IF($B2112="",0,IF($S2112="EVET",IF($D2112="GELİR",$O2112,-$O2112),0))</f>
        <v/>
      </c>
      <c r="AA2112" s="117">
        <f>IF($B2112="",0,IF(OR($W2112="EVET",$X2112="EVET",$Y2112="EVET"),0,IF($D2112="GELİR",IF($E2112="SATIŞ İADESİ/İSKONTO",-$O2112,$O2112),-$O2112)))</f>
        <v/>
      </c>
      <c r="AB2112" s="117">
        <f>IF($B2112="","",IF(OR($D2112="",$E2112="",$O2112=""),"EKSİK",IF($O2112&lt;=0,"SIFIR/NEGATİF",IF(COUNTIFS($C$6:$C$5000,$C2112,$O$6:$O$5000,$O2112,$B$6:$B$5000,$B2112)&gt;1,"MÜKERRER","OK"))))</f>
        <v/>
      </c>
    </row>
    <row r="2113" ht="16.5" customHeight="1" s="80">
      <c r="A2113" s="113" t="n"/>
      <c r="B2113" s="113" t="n"/>
      <c r="C2113" s="113" t="n"/>
      <c r="D2113" s="113" t="n"/>
      <c r="E2113" s="113" t="n"/>
      <c r="F2113" s="113" t="n"/>
      <c r="G2113" s="113" t="n"/>
      <c r="H2113" s="113" t="n"/>
      <c r="I2113" s="113" t="n"/>
      <c r="J2113" s="113" t="n"/>
      <c r="K2113" s="113" t="n"/>
      <c r="L2113" s="113" t="n"/>
      <c r="M2113" s="113" t="n"/>
      <c r="N2113" s="113" t="n"/>
      <c r="O2113" s="113" t="n"/>
      <c r="P2113" s="113" t="n"/>
      <c r="Q2113" s="113" t="n"/>
      <c r="R2113" s="113" t="n"/>
      <c r="S2113" s="113" t="n"/>
      <c r="T2113" s="113" t="n"/>
      <c r="U2113" s="113" t="n"/>
      <c r="V2113" s="113" t="n"/>
      <c r="W2113" s="113" t="n"/>
      <c r="X2113" s="113" t="n"/>
      <c r="Y2113" s="113" t="n"/>
      <c r="Z2113" s="117">
        <f>IF($B2113="",0,IF($S2113="EVET",IF($D2113="GELİR",$O2113,-$O2113),0))</f>
        <v/>
      </c>
      <c r="AA2113" s="117">
        <f>IF($B2113="",0,IF(OR($W2113="EVET",$X2113="EVET",$Y2113="EVET"),0,IF($D2113="GELİR",IF($E2113="SATIŞ İADESİ/İSKONTO",-$O2113,$O2113),-$O2113)))</f>
        <v/>
      </c>
      <c r="AB2113" s="117">
        <f>IF($B2113="","",IF(OR($D2113="",$E2113="",$O2113=""),"EKSİK",IF($O2113&lt;=0,"SIFIR/NEGATİF",IF(COUNTIFS($C$6:$C$5000,$C2113,$O$6:$O$5000,$O2113,$B$6:$B$5000,$B2113)&gt;1,"MÜKERRER","OK"))))</f>
        <v/>
      </c>
    </row>
    <row r="2114" ht="16.5" customHeight="1" s="80">
      <c r="A2114" s="113" t="n"/>
      <c r="B2114" s="113" t="n"/>
      <c r="C2114" s="113" t="n"/>
      <c r="D2114" s="113" t="n"/>
      <c r="E2114" s="113" t="n"/>
      <c r="F2114" s="113" t="n"/>
      <c r="G2114" s="113" t="n"/>
      <c r="H2114" s="113" t="n"/>
      <c r="I2114" s="113" t="n"/>
      <c r="J2114" s="113" t="n"/>
      <c r="K2114" s="113" t="n"/>
      <c r="L2114" s="113" t="n"/>
      <c r="M2114" s="113" t="n"/>
      <c r="N2114" s="113" t="n"/>
      <c r="O2114" s="113" t="n"/>
      <c r="P2114" s="113" t="n"/>
      <c r="Q2114" s="113" t="n"/>
      <c r="R2114" s="113" t="n"/>
      <c r="S2114" s="113" t="n"/>
      <c r="T2114" s="113" t="n"/>
      <c r="U2114" s="113" t="n"/>
      <c r="V2114" s="113" t="n"/>
      <c r="W2114" s="113" t="n"/>
      <c r="X2114" s="113" t="n"/>
      <c r="Y2114" s="113" t="n"/>
      <c r="Z2114" s="117">
        <f>IF($B2114="",0,IF($S2114="EVET",IF($D2114="GELİR",$O2114,-$O2114),0))</f>
        <v/>
      </c>
      <c r="AA2114" s="117">
        <f>IF($B2114="",0,IF(OR($W2114="EVET",$X2114="EVET",$Y2114="EVET"),0,IF($D2114="GELİR",IF($E2114="SATIŞ İADESİ/İSKONTO",-$O2114,$O2114),-$O2114)))</f>
        <v/>
      </c>
      <c r="AB2114" s="117">
        <f>IF($B2114="","",IF(OR($D2114="",$E2114="",$O2114=""),"EKSİK",IF($O2114&lt;=0,"SIFIR/NEGATİF",IF(COUNTIFS($C$6:$C$5000,$C2114,$O$6:$O$5000,$O2114,$B$6:$B$5000,$B2114)&gt;1,"MÜKERRER","OK"))))</f>
        <v/>
      </c>
    </row>
    <row r="2115" ht="16.5" customHeight="1" s="80">
      <c r="A2115" s="113" t="n"/>
      <c r="B2115" s="113" t="n"/>
      <c r="C2115" s="113" t="n"/>
      <c r="D2115" s="113" t="n"/>
      <c r="E2115" s="113" t="n"/>
      <c r="F2115" s="113" t="n"/>
      <c r="G2115" s="113" t="n"/>
      <c r="H2115" s="113" t="n"/>
      <c r="I2115" s="113" t="n"/>
      <c r="J2115" s="113" t="n"/>
      <c r="K2115" s="113" t="n"/>
      <c r="L2115" s="113" t="n"/>
      <c r="M2115" s="113" t="n"/>
      <c r="N2115" s="113" t="n"/>
      <c r="O2115" s="113" t="n"/>
      <c r="P2115" s="113" t="n"/>
      <c r="Q2115" s="113" t="n"/>
      <c r="R2115" s="113" t="n"/>
      <c r="S2115" s="113" t="n"/>
      <c r="T2115" s="113" t="n"/>
      <c r="U2115" s="113" t="n"/>
      <c r="V2115" s="113" t="n"/>
      <c r="W2115" s="113" t="n"/>
      <c r="X2115" s="113" t="n"/>
      <c r="Y2115" s="113" t="n"/>
      <c r="Z2115" s="117">
        <f>IF($B2115="",0,IF($S2115="EVET",IF($D2115="GELİR",$O2115,-$O2115),0))</f>
        <v/>
      </c>
      <c r="AA2115" s="117">
        <f>IF($B2115="",0,IF(OR($W2115="EVET",$X2115="EVET",$Y2115="EVET"),0,IF($D2115="GELİR",IF($E2115="SATIŞ İADESİ/İSKONTO",-$O2115,$O2115),-$O2115)))</f>
        <v/>
      </c>
      <c r="AB2115" s="117">
        <f>IF($B2115="","",IF(OR($D2115="",$E2115="",$O2115=""),"EKSİK",IF($O2115&lt;=0,"SIFIR/NEGATİF",IF(COUNTIFS($C$6:$C$5000,$C2115,$O$6:$O$5000,$O2115,$B$6:$B$5000,$B2115)&gt;1,"MÜKERRER","OK"))))</f>
        <v/>
      </c>
    </row>
    <row r="2116" ht="16.5" customHeight="1" s="80">
      <c r="A2116" s="113" t="n"/>
      <c r="B2116" s="113" t="n"/>
      <c r="C2116" s="113" t="n"/>
      <c r="D2116" s="113" t="n"/>
      <c r="E2116" s="113" t="n"/>
      <c r="F2116" s="113" t="n"/>
      <c r="G2116" s="113" t="n"/>
      <c r="H2116" s="113" t="n"/>
      <c r="I2116" s="113" t="n"/>
      <c r="J2116" s="113" t="n"/>
      <c r="K2116" s="113" t="n"/>
      <c r="L2116" s="113" t="n"/>
      <c r="M2116" s="113" t="n"/>
      <c r="N2116" s="113" t="n"/>
      <c r="O2116" s="113" t="n"/>
      <c r="P2116" s="113" t="n"/>
      <c r="Q2116" s="113" t="n"/>
      <c r="R2116" s="113" t="n"/>
      <c r="S2116" s="113" t="n"/>
      <c r="T2116" s="113" t="n"/>
      <c r="U2116" s="113" t="n"/>
      <c r="V2116" s="113" t="n"/>
      <c r="W2116" s="113" t="n"/>
      <c r="X2116" s="113" t="n"/>
      <c r="Y2116" s="113" t="n"/>
      <c r="Z2116" s="117">
        <f>IF($B2116="",0,IF($S2116="EVET",IF($D2116="GELİR",$O2116,-$O2116),0))</f>
        <v/>
      </c>
      <c r="AA2116" s="117">
        <f>IF($B2116="",0,IF(OR($W2116="EVET",$X2116="EVET",$Y2116="EVET"),0,IF($D2116="GELİR",IF($E2116="SATIŞ İADESİ/İSKONTO",-$O2116,$O2116),-$O2116)))</f>
        <v/>
      </c>
      <c r="AB2116" s="117">
        <f>IF($B2116="","",IF(OR($D2116="",$E2116="",$O2116=""),"EKSİK",IF($O2116&lt;=0,"SIFIR/NEGATİF",IF(COUNTIFS($C$6:$C$5000,$C2116,$O$6:$O$5000,$O2116,$B$6:$B$5000,$B2116)&gt;1,"MÜKERRER","OK"))))</f>
        <v/>
      </c>
    </row>
    <row r="2117" ht="16.5" customHeight="1" s="80">
      <c r="A2117" s="113" t="n"/>
      <c r="B2117" s="113" t="n"/>
      <c r="C2117" s="113" t="n"/>
      <c r="D2117" s="113" t="n"/>
      <c r="E2117" s="113" t="n"/>
      <c r="F2117" s="113" t="n"/>
      <c r="G2117" s="113" t="n"/>
      <c r="H2117" s="113" t="n"/>
      <c r="I2117" s="113" t="n"/>
      <c r="J2117" s="113" t="n"/>
      <c r="K2117" s="113" t="n"/>
      <c r="L2117" s="113" t="n"/>
      <c r="M2117" s="113" t="n"/>
      <c r="N2117" s="113" t="n"/>
      <c r="O2117" s="113" t="n"/>
      <c r="P2117" s="113" t="n"/>
      <c r="Q2117" s="113" t="n"/>
      <c r="R2117" s="113" t="n"/>
      <c r="S2117" s="113" t="n"/>
      <c r="T2117" s="113" t="n"/>
      <c r="U2117" s="113" t="n"/>
      <c r="V2117" s="113" t="n"/>
      <c r="W2117" s="113" t="n"/>
      <c r="X2117" s="113" t="n"/>
      <c r="Y2117" s="113" t="n"/>
      <c r="Z2117" s="117">
        <f>IF($B2117="",0,IF($S2117="EVET",IF($D2117="GELİR",$O2117,-$O2117),0))</f>
        <v/>
      </c>
      <c r="AA2117" s="117">
        <f>IF($B2117="",0,IF(OR($W2117="EVET",$X2117="EVET",$Y2117="EVET"),0,IF($D2117="GELİR",IF($E2117="SATIŞ İADESİ/İSKONTO",-$O2117,$O2117),-$O2117)))</f>
        <v/>
      </c>
      <c r="AB2117" s="117">
        <f>IF($B2117="","",IF(OR($D2117="",$E2117="",$O2117=""),"EKSİK",IF($O2117&lt;=0,"SIFIR/NEGATİF",IF(COUNTIFS($C$6:$C$5000,$C2117,$O$6:$O$5000,$O2117,$B$6:$B$5000,$B2117)&gt;1,"MÜKERRER","OK"))))</f>
        <v/>
      </c>
    </row>
    <row r="2118" ht="16.5" customHeight="1" s="80">
      <c r="A2118" s="113" t="n"/>
      <c r="B2118" s="113" t="n"/>
      <c r="C2118" s="113" t="n"/>
      <c r="D2118" s="113" t="n"/>
      <c r="E2118" s="113" t="n"/>
      <c r="F2118" s="113" t="n"/>
      <c r="G2118" s="113" t="n"/>
      <c r="H2118" s="113" t="n"/>
      <c r="I2118" s="113" t="n"/>
      <c r="J2118" s="113" t="n"/>
      <c r="K2118" s="113" t="n"/>
      <c r="L2118" s="113" t="n"/>
      <c r="M2118" s="113" t="n"/>
      <c r="N2118" s="113" t="n"/>
      <c r="O2118" s="113" t="n"/>
      <c r="P2118" s="113" t="n"/>
      <c r="Q2118" s="113" t="n"/>
      <c r="R2118" s="113" t="n"/>
      <c r="S2118" s="113" t="n"/>
      <c r="T2118" s="113" t="n"/>
      <c r="U2118" s="113" t="n"/>
      <c r="V2118" s="113" t="n"/>
      <c r="W2118" s="113" t="n"/>
      <c r="X2118" s="113" t="n"/>
      <c r="Y2118" s="113" t="n"/>
      <c r="Z2118" s="117">
        <f>IF($B2118="",0,IF($S2118="EVET",IF($D2118="GELİR",$O2118,-$O2118),0))</f>
        <v/>
      </c>
      <c r="AA2118" s="117">
        <f>IF($B2118="",0,IF(OR($W2118="EVET",$X2118="EVET",$Y2118="EVET"),0,IF($D2118="GELİR",IF($E2118="SATIŞ İADESİ/İSKONTO",-$O2118,$O2118),-$O2118)))</f>
        <v/>
      </c>
      <c r="AB2118" s="117">
        <f>IF($B2118="","",IF(OR($D2118="",$E2118="",$O2118=""),"EKSİK",IF($O2118&lt;=0,"SIFIR/NEGATİF",IF(COUNTIFS($C$6:$C$5000,$C2118,$O$6:$O$5000,$O2118,$B$6:$B$5000,$B2118)&gt;1,"MÜKERRER","OK"))))</f>
        <v/>
      </c>
    </row>
    <row r="2119" ht="16.5" customHeight="1" s="80">
      <c r="A2119" s="113" t="n"/>
      <c r="B2119" s="113" t="n"/>
      <c r="C2119" s="113" t="n"/>
      <c r="D2119" s="113" t="n"/>
      <c r="E2119" s="113" t="n"/>
      <c r="F2119" s="113" t="n"/>
      <c r="G2119" s="113" t="n"/>
      <c r="H2119" s="113" t="n"/>
      <c r="I2119" s="113" t="n"/>
      <c r="J2119" s="113" t="n"/>
      <c r="K2119" s="113" t="n"/>
      <c r="L2119" s="113" t="n"/>
      <c r="M2119" s="113" t="n"/>
      <c r="N2119" s="113" t="n"/>
      <c r="O2119" s="113" t="n"/>
      <c r="P2119" s="113" t="n"/>
      <c r="Q2119" s="113" t="n"/>
      <c r="R2119" s="113" t="n"/>
      <c r="S2119" s="113" t="n"/>
      <c r="T2119" s="113" t="n"/>
      <c r="U2119" s="113" t="n"/>
      <c r="V2119" s="113" t="n"/>
      <c r="W2119" s="113" t="n"/>
      <c r="X2119" s="113" t="n"/>
      <c r="Y2119" s="113" t="n"/>
      <c r="Z2119" s="117">
        <f>IF($B2119="",0,IF($S2119="EVET",IF($D2119="GELİR",$O2119,-$O2119),0))</f>
        <v/>
      </c>
      <c r="AA2119" s="117">
        <f>IF($B2119="",0,IF(OR($W2119="EVET",$X2119="EVET",$Y2119="EVET"),0,IF($D2119="GELİR",IF($E2119="SATIŞ İADESİ/İSKONTO",-$O2119,$O2119),-$O2119)))</f>
        <v/>
      </c>
      <c r="AB2119" s="117">
        <f>IF($B2119="","",IF(OR($D2119="",$E2119="",$O2119=""),"EKSİK",IF($O2119&lt;=0,"SIFIR/NEGATİF",IF(COUNTIFS($C$6:$C$5000,$C2119,$O$6:$O$5000,$O2119,$B$6:$B$5000,$B2119)&gt;1,"MÜKERRER","OK"))))</f>
        <v/>
      </c>
    </row>
    <row r="2120" ht="16.5" customHeight="1" s="80">
      <c r="A2120" s="113" t="n"/>
      <c r="B2120" s="113" t="n"/>
      <c r="C2120" s="113" t="n"/>
      <c r="D2120" s="113" t="n"/>
      <c r="E2120" s="113" t="n"/>
      <c r="F2120" s="113" t="n"/>
      <c r="G2120" s="113" t="n"/>
      <c r="H2120" s="113" t="n"/>
      <c r="I2120" s="113" t="n"/>
      <c r="J2120" s="113" t="n"/>
      <c r="K2120" s="113" t="n"/>
      <c r="L2120" s="113" t="n"/>
      <c r="M2120" s="113" t="n"/>
      <c r="N2120" s="113" t="n"/>
      <c r="O2120" s="113" t="n"/>
      <c r="P2120" s="113" t="n"/>
      <c r="Q2120" s="113" t="n"/>
      <c r="R2120" s="113" t="n"/>
      <c r="S2120" s="113" t="n"/>
      <c r="T2120" s="113" t="n"/>
      <c r="U2120" s="113" t="n"/>
      <c r="V2120" s="113" t="n"/>
      <c r="W2120" s="113" t="n"/>
      <c r="X2120" s="113" t="n"/>
      <c r="Y2120" s="113" t="n"/>
      <c r="Z2120" s="117">
        <f>IF($B2120="",0,IF($S2120="EVET",IF($D2120="GELİR",$O2120,-$O2120),0))</f>
        <v/>
      </c>
      <c r="AA2120" s="117">
        <f>IF($B2120="",0,IF(OR($W2120="EVET",$X2120="EVET",$Y2120="EVET"),0,IF($D2120="GELİR",IF($E2120="SATIŞ İADESİ/İSKONTO",-$O2120,$O2120),-$O2120)))</f>
        <v/>
      </c>
      <c r="AB2120" s="117">
        <f>IF($B2120="","",IF(OR($D2120="",$E2120="",$O2120=""),"EKSİK",IF($O2120&lt;=0,"SIFIR/NEGATİF",IF(COUNTIFS($C$6:$C$5000,$C2120,$O$6:$O$5000,$O2120,$B$6:$B$5000,$B2120)&gt;1,"MÜKERRER","OK"))))</f>
        <v/>
      </c>
    </row>
    <row r="2121" ht="16.5" customHeight="1" s="80">
      <c r="A2121" s="113" t="n"/>
      <c r="B2121" s="113" t="n"/>
      <c r="C2121" s="113" t="n"/>
      <c r="D2121" s="113" t="n"/>
      <c r="E2121" s="113" t="n"/>
      <c r="F2121" s="113" t="n"/>
      <c r="G2121" s="113" t="n"/>
      <c r="H2121" s="113" t="n"/>
      <c r="I2121" s="113" t="n"/>
      <c r="J2121" s="113" t="n"/>
      <c r="K2121" s="113" t="n"/>
      <c r="L2121" s="113" t="n"/>
      <c r="M2121" s="113" t="n"/>
      <c r="N2121" s="113" t="n"/>
      <c r="O2121" s="113" t="n"/>
      <c r="P2121" s="113" t="n"/>
      <c r="Q2121" s="113" t="n"/>
      <c r="R2121" s="113" t="n"/>
      <c r="S2121" s="113" t="n"/>
      <c r="T2121" s="113" t="n"/>
      <c r="U2121" s="113" t="n"/>
      <c r="V2121" s="113" t="n"/>
      <c r="W2121" s="113" t="n"/>
      <c r="X2121" s="113" t="n"/>
      <c r="Y2121" s="113" t="n"/>
      <c r="Z2121" s="117">
        <f>IF($B2121="",0,IF($S2121="EVET",IF($D2121="GELİR",$O2121,-$O2121),0))</f>
        <v/>
      </c>
      <c r="AA2121" s="117">
        <f>IF($B2121="",0,IF(OR($W2121="EVET",$X2121="EVET",$Y2121="EVET"),0,IF($D2121="GELİR",IF($E2121="SATIŞ İADESİ/İSKONTO",-$O2121,$O2121),-$O2121)))</f>
        <v/>
      </c>
      <c r="AB2121" s="117">
        <f>IF($B2121="","",IF(OR($D2121="",$E2121="",$O2121=""),"EKSİK",IF($O2121&lt;=0,"SIFIR/NEGATİF",IF(COUNTIFS($C$6:$C$5000,$C2121,$O$6:$O$5000,$O2121,$B$6:$B$5000,$B2121)&gt;1,"MÜKERRER","OK"))))</f>
        <v/>
      </c>
    </row>
    <row r="2122" ht="16.5" customHeight="1" s="80">
      <c r="A2122" s="113" t="n"/>
      <c r="B2122" s="113" t="n"/>
      <c r="C2122" s="113" t="n"/>
      <c r="D2122" s="113" t="n"/>
      <c r="E2122" s="113" t="n"/>
      <c r="F2122" s="113" t="n"/>
      <c r="G2122" s="113" t="n"/>
      <c r="H2122" s="113" t="n"/>
      <c r="I2122" s="113" t="n"/>
      <c r="J2122" s="113" t="n"/>
      <c r="K2122" s="113" t="n"/>
      <c r="L2122" s="113" t="n"/>
      <c r="M2122" s="113" t="n"/>
      <c r="N2122" s="113" t="n"/>
      <c r="O2122" s="113" t="n"/>
      <c r="P2122" s="113" t="n"/>
      <c r="Q2122" s="113" t="n"/>
      <c r="R2122" s="113" t="n"/>
      <c r="S2122" s="113" t="n"/>
      <c r="T2122" s="113" t="n"/>
      <c r="U2122" s="113" t="n"/>
      <c r="V2122" s="113" t="n"/>
      <c r="W2122" s="113" t="n"/>
      <c r="X2122" s="113" t="n"/>
      <c r="Y2122" s="113" t="n"/>
      <c r="Z2122" s="117">
        <f>IF($B2122="",0,IF($S2122="EVET",IF($D2122="GELİR",$O2122,-$O2122),0))</f>
        <v/>
      </c>
      <c r="AA2122" s="117">
        <f>IF($B2122="",0,IF(OR($W2122="EVET",$X2122="EVET",$Y2122="EVET"),0,IF($D2122="GELİR",IF($E2122="SATIŞ İADESİ/İSKONTO",-$O2122,$O2122),-$O2122)))</f>
        <v/>
      </c>
      <c r="AB2122" s="117">
        <f>IF($B2122="","",IF(OR($D2122="",$E2122="",$O2122=""),"EKSİK",IF($O2122&lt;=0,"SIFIR/NEGATİF",IF(COUNTIFS($C$6:$C$5000,$C2122,$O$6:$O$5000,$O2122,$B$6:$B$5000,$B2122)&gt;1,"MÜKERRER","OK"))))</f>
        <v/>
      </c>
    </row>
    <row r="2123" ht="16.5" customHeight="1" s="80">
      <c r="A2123" s="113" t="n"/>
      <c r="B2123" s="113" t="n"/>
      <c r="C2123" s="113" t="n"/>
      <c r="D2123" s="113" t="n"/>
      <c r="E2123" s="113" t="n"/>
      <c r="F2123" s="113" t="n"/>
      <c r="G2123" s="113" t="n"/>
      <c r="H2123" s="113" t="n"/>
      <c r="I2123" s="113" t="n"/>
      <c r="J2123" s="113" t="n"/>
      <c r="K2123" s="113" t="n"/>
      <c r="L2123" s="113" t="n"/>
      <c r="M2123" s="113" t="n"/>
      <c r="N2123" s="113" t="n"/>
      <c r="O2123" s="113" t="n"/>
      <c r="P2123" s="113" t="n"/>
      <c r="Q2123" s="113" t="n"/>
      <c r="R2123" s="113" t="n"/>
      <c r="S2123" s="113" t="n"/>
      <c r="T2123" s="113" t="n"/>
      <c r="U2123" s="113" t="n"/>
      <c r="V2123" s="113" t="n"/>
      <c r="W2123" s="113" t="n"/>
      <c r="X2123" s="113" t="n"/>
      <c r="Y2123" s="113" t="n"/>
      <c r="Z2123" s="117">
        <f>IF($B2123="",0,IF($S2123="EVET",IF($D2123="GELİR",$O2123,-$O2123),0))</f>
        <v/>
      </c>
      <c r="AA2123" s="117">
        <f>IF($B2123="",0,IF(OR($W2123="EVET",$X2123="EVET",$Y2123="EVET"),0,IF($D2123="GELİR",IF($E2123="SATIŞ İADESİ/İSKONTO",-$O2123,$O2123),-$O2123)))</f>
        <v/>
      </c>
      <c r="AB2123" s="117">
        <f>IF($B2123="","",IF(OR($D2123="",$E2123="",$O2123=""),"EKSİK",IF($O2123&lt;=0,"SIFIR/NEGATİF",IF(COUNTIFS($C$6:$C$5000,$C2123,$O$6:$O$5000,$O2123,$B$6:$B$5000,$B2123)&gt;1,"MÜKERRER","OK"))))</f>
        <v/>
      </c>
    </row>
    <row r="2124" ht="16.5" customHeight="1" s="80">
      <c r="A2124" s="113" t="n"/>
      <c r="B2124" s="113" t="n"/>
      <c r="C2124" s="113" t="n"/>
      <c r="D2124" s="113" t="n"/>
      <c r="E2124" s="113" t="n"/>
      <c r="F2124" s="113" t="n"/>
      <c r="G2124" s="113" t="n"/>
      <c r="H2124" s="113" t="n"/>
      <c r="I2124" s="113" t="n"/>
      <c r="J2124" s="113" t="n"/>
      <c r="K2124" s="113" t="n"/>
      <c r="L2124" s="113" t="n"/>
      <c r="M2124" s="113" t="n"/>
      <c r="N2124" s="113" t="n"/>
      <c r="O2124" s="113" t="n"/>
      <c r="P2124" s="113" t="n"/>
      <c r="Q2124" s="113" t="n"/>
      <c r="R2124" s="113" t="n"/>
      <c r="S2124" s="113" t="n"/>
      <c r="T2124" s="113" t="n"/>
      <c r="U2124" s="113" t="n"/>
      <c r="V2124" s="113" t="n"/>
      <c r="W2124" s="113" t="n"/>
      <c r="X2124" s="113" t="n"/>
      <c r="Y2124" s="113" t="n"/>
      <c r="Z2124" s="117">
        <f>IF($B2124="",0,IF($S2124="EVET",IF($D2124="GELİR",$O2124,-$O2124),0))</f>
        <v/>
      </c>
      <c r="AA2124" s="117">
        <f>IF($B2124="",0,IF(OR($W2124="EVET",$X2124="EVET",$Y2124="EVET"),0,IF($D2124="GELİR",IF($E2124="SATIŞ İADESİ/İSKONTO",-$O2124,$O2124),-$O2124)))</f>
        <v/>
      </c>
      <c r="AB2124" s="117">
        <f>IF($B2124="","",IF(OR($D2124="",$E2124="",$O2124=""),"EKSİK",IF($O2124&lt;=0,"SIFIR/NEGATİF",IF(COUNTIFS($C$6:$C$5000,$C2124,$O$6:$O$5000,$O2124,$B$6:$B$5000,$B2124)&gt;1,"MÜKERRER","OK"))))</f>
        <v/>
      </c>
    </row>
    <row r="2125" ht="16.5" customHeight="1" s="80">
      <c r="A2125" s="113" t="n"/>
      <c r="B2125" s="113" t="n"/>
      <c r="C2125" s="113" t="n"/>
      <c r="D2125" s="113" t="n"/>
      <c r="E2125" s="113" t="n"/>
      <c r="F2125" s="113" t="n"/>
      <c r="G2125" s="113" t="n"/>
      <c r="H2125" s="113" t="n"/>
      <c r="I2125" s="113" t="n"/>
      <c r="J2125" s="113" t="n"/>
      <c r="K2125" s="113" t="n"/>
      <c r="L2125" s="113" t="n"/>
      <c r="M2125" s="113" t="n"/>
      <c r="N2125" s="113" t="n"/>
      <c r="O2125" s="113" t="n"/>
      <c r="P2125" s="113" t="n"/>
      <c r="Q2125" s="113" t="n"/>
      <c r="R2125" s="113" t="n"/>
      <c r="S2125" s="113" t="n"/>
      <c r="T2125" s="113" t="n"/>
      <c r="U2125" s="113" t="n"/>
      <c r="V2125" s="113" t="n"/>
      <c r="W2125" s="113" t="n"/>
      <c r="X2125" s="113" t="n"/>
      <c r="Y2125" s="113" t="n"/>
      <c r="Z2125" s="117">
        <f>IF($B2125="",0,IF($S2125="EVET",IF($D2125="GELİR",$O2125,-$O2125),0))</f>
        <v/>
      </c>
      <c r="AA2125" s="117">
        <f>IF($B2125="",0,IF(OR($W2125="EVET",$X2125="EVET",$Y2125="EVET"),0,IF($D2125="GELİR",IF($E2125="SATIŞ İADESİ/İSKONTO",-$O2125,$O2125),-$O2125)))</f>
        <v/>
      </c>
      <c r="AB2125" s="117">
        <f>IF($B2125="","",IF(OR($D2125="",$E2125="",$O2125=""),"EKSİK",IF($O2125&lt;=0,"SIFIR/NEGATİF",IF(COUNTIFS($C$6:$C$5000,$C2125,$O$6:$O$5000,$O2125,$B$6:$B$5000,$B2125)&gt;1,"MÜKERRER","OK"))))</f>
        <v/>
      </c>
    </row>
    <row r="2126" ht="16.5" customHeight="1" s="80">
      <c r="A2126" s="113" t="n"/>
      <c r="B2126" s="113" t="n"/>
      <c r="C2126" s="113" t="n"/>
      <c r="D2126" s="113" t="n"/>
      <c r="E2126" s="113" t="n"/>
      <c r="F2126" s="113" t="n"/>
      <c r="G2126" s="113" t="n"/>
      <c r="H2126" s="113" t="n"/>
      <c r="I2126" s="113" t="n"/>
      <c r="J2126" s="113" t="n"/>
      <c r="K2126" s="113" t="n"/>
      <c r="L2126" s="113" t="n"/>
      <c r="M2126" s="113" t="n"/>
      <c r="N2126" s="113" t="n"/>
      <c r="O2126" s="113" t="n"/>
      <c r="P2126" s="113" t="n"/>
      <c r="Q2126" s="113" t="n"/>
      <c r="R2126" s="113" t="n"/>
      <c r="S2126" s="113" t="n"/>
      <c r="T2126" s="113" t="n"/>
      <c r="U2126" s="113" t="n"/>
      <c r="V2126" s="113" t="n"/>
      <c r="W2126" s="113" t="n"/>
      <c r="X2126" s="113" t="n"/>
      <c r="Y2126" s="113" t="n"/>
      <c r="Z2126" s="117">
        <f>IF($B2126="",0,IF($S2126="EVET",IF($D2126="GELİR",$O2126,-$O2126),0))</f>
        <v/>
      </c>
      <c r="AA2126" s="117">
        <f>IF($B2126="",0,IF(OR($W2126="EVET",$X2126="EVET",$Y2126="EVET"),0,IF($D2126="GELİR",IF($E2126="SATIŞ İADESİ/İSKONTO",-$O2126,$O2126),-$O2126)))</f>
        <v/>
      </c>
      <c r="AB2126" s="117">
        <f>IF($B2126="","",IF(OR($D2126="",$E2126="",$O2126=""),"EKSİK",IF($O2126&lt;=0,"SIFIR/NEGATİF",IF(COUNTIFS($C$6:$C$5000,$C2126,$O$6:$O$5000,$O2126,$B$6:$B$5000,$B2126)&gt;1,"MÜKERRER","OK"))))</f>
        <v/>
      </c>
    </row>
    <row r="2127" ht="16.5" customHeight="1" s="80">
      <c r="A2127" s="113" t="n"/>
      <c r="B2127" s="113" t="n"/>
      <c r="C2127" s="113" t="n"/>
      <c r="D2127" s="113" t="n"/>
      <c r="E2127" s="113" t="n"/>
      <c r="F2127" s="113" t="n"/>
      <c r="G2127" s="113" t="n"/>
      <c r="H2127" s="113" t="n"/>
      <c r="I2127" s="113" t="n"/>
      <c r="J2127" s="113" t="n"/>
      <c r="K2127" s="113" t="n"/>
      <c r="L2127" s="113" t="n"/>
      <c r="M2127" s="113" t="n"/>
      <c r="N2127" s="113" t="n"/>
      <c r="O2127" s="113" t="n"/>
      <c r="P2127" s="113" t="n"/>
      <c r="Q2127" s="113" t="n"/>
      <c r="R2127" s="113" t="n"/>
      <c r="S2127" s="113" t="n"/>
      <c r="T2127" s="113" t="n"/>
      <c r="U2127" s="113" t="n"/>
      <c r="V2127" s="113" t="n"/>
      <c r="W2127" s="113" t="n"/>
      <c r="X2127" s="113" t="n"/>
      <c r="Y2127" s="113" t="n"/>
      <c r="Z2127" s="117">
        <f>IF($B2127="",0,IF($S2127="EVET",IF($D2127="GELİR",$O2127,-$O2127),0))</f>
        <v/>
      </c>
      <c r="AA2127" s="117">
        <f>IF($B2127="",0,IF(OR($W2127="EVET",$X2127="EVET",$Y2127="EVET"),0,IF($D2127="GELİR",IF($E2127="SATIŞ İADESİ/İSKONTO",-$O2127,$O2127),-$O2127)))</f>
        <v/>
      </c>
      <c r="AB2127" s="117">
        <f>IF($B2127="","",IF(OR($D2127="",$E2127="",$O2127=""),"EKSİK",IF($O2127&lt;=0,"SIFIR/NEGATİF",IF(COUNTIFS($C$6:$C$5000,$C2127,$O$6:$O$5000,$O2127,$B$6:$B$5000,$B2127)&gt;1,"MÜKERRER","OK"))))</f>
        <v/>
      </c>
    </row>
    <row r="2128" ht="16.5" customHeight="1" s="80">
      <c r="A2128" s="113" t="n"/>
      <c r="B2128" s="113" t="n"/>
      <c r="C2128" s="113" t="n"/>
      <c r="D2128" s="113" t="n"/>
      <c r="E2128" s="113" t="n"/>
      <c r="F2128" s="113" t="n"/>
      <c r="G2128" s="113" t="n"/>
      <c r="H2128" s="113" t="n"/>
      <c r="I2128" s="113" t="n"/>
      <c r="J2128" s="113" t="n"/>
      <c r="K2128" s="113" t="n"/>
      <c r="L2128" s="113" t="n"/>
      <c r="M2128" s="113" t="n"/>
      <c r="N2128" s="113" t="n"/>
      <c r="O2128" s="113" t="n"/>
      <c r="P2128" s="113" t="n"/>
      <c r="Q2128" s="113" t="n"/>
      <c r="R2128" s="113" t="n"/>
      <c r="S2128" s="113" t="n"/>
      <c r="T2128" s="113" t="n"/>
      <c r="U2128" s="113" t="n"/>
      <c r="V2128" s="113" t="n"/>
      <c r="W2128" s="113" t="n"/>
      <c r="X2128" s="113" t="n"/>
      <c r="Y2128" s="113" t="n"/>
      <c r="Z2128" s="117">
        <f>IF($B2128="",0,IF($S2128="EVET",IF($D2128="GELİR",$O2128,-$O2128),0))</f>
        <v/>
      </c>
      <c r="AA2128" s="117">
        <f>IF($B2128="",0,IF(OR($W2128="EVET",$X2128="EVET",$Y2128="EVET"),0,IF($D2128="GELİR",IF($E2128="SATIŞ İADESİ/İSKONTO",-$O2128,$O2128),-$O2128)))</f>
        <v/>
      </c>
      <c r="AB2128" s="117">
        <f>IF($B2128="","",IF(OR($D2128="",$E2128="",$O2128=""),"EKSİK",IF($O2128&lt;=0,"SIFIR/NEGATİF",IF(COUNTIFS($C$6:$C$5000,$C2128,$O$6:$O$5000,$O2128,$B$6:$B$5000,$B2128)&gt;1,"MÜKERRER","OK"))))</f>
        <v/>
      </c>
    </row>
    <row r="2129" ht="16.5" customHeight="1" s="80">
      <c r="A2129" s="113" t="n"/>
      <c r="B2129" s="113" t="n"/>
      <c r="C2129" s="113" t="n"/>
      <c r="D2129" s="113" t="n"/>
      <c r="E2129" s="113" t="n"/>
      <c r="F2129" s="113" t="n"/>
      <c r="G2129" s="113" t="n"/>
      <c r="H2129" s="113" t="n"/>
      <c r="I2129" s="113" t="n"/>
      <c r="J2129" s="113" t="n"/>
      <c r="K2129" s="113" t="n"/>
      <c r="L2129" s="113" t="n"/>
      <c r="M2129" s="113" t="n"/>
      <c r="N2129" s="113" t="n"/>
      <c r="O2129" s="113" t="n"/>
      <c r="P2129" s="113" t="n"/>
      <c r="Q2129" s="113" t="n"/>
      <c r="R2129" s="113" t="n"/>
      <c r="S2129" s="113" t="n"/>
      <c r="T2129" s="113" t="n"/>
      <c r="U2129" s="113" t="n"/>
      <c r="V2129" s="113" t="n"/>
      <c r="W2129" s="113" t="n"/>
      <c r="X2129" s="113" t="n"/>
      <c r="Y2129" s="113" t="n"/>
      <c r="Z2129" s="117">
        <f>IF($B2129="",0,IF($S2129="EVET",IF($D2129="GELİR",$O2129,-$O2129),0))</f>
        <v/>
      </c>
      <c r="AA2129" s="117">
        <f>IF($B2129="",0,IF(OR($W2129="EVET",$X2129="EVET",$Y2129="EVET"),0,IF($D2129="GELİR",IF($E2129="SATIŞ İADESİ/İSKONTO",-$O2129,$O2129),-$O2129)))</f>
        <v/>
      </c>
      <c r="AB2129" s="117">
        <f>IF($B2129="","",IF(OR($D2129="",$E2129="",$O2129=""),"EKSİK",IF($O2129&lt;=0,"SIFIR/NEGATİF",IF(COUNTIFS($C$6:$C$5000,$C2129,$O$6:$O$5000,$O2129,$B$6:$B$5000,$B2129)&gt;1,"MÜKERRER","OK"))))</f>
        <v/>
      </c>
    </row>
    <row r="2130" ht="16.5" customHeight="1" s="80">
      <c r="A2130" s="113" t="n"/>
      <c r="B2130" s="113" t="n"/>
      <c r="C2130" s="113" t="n"/>
      <c r="D2130" s="113" t="n"/>
      <c r="E2130" s="113" t="n"/>
      <c r="F2130" s="113" t="n"/>
      <c r="G2130" s="113" t="n"/>
      <c r="H2130" s="113" t="n"/>
      <c r="I2130" s="113" t="n"/>
      <c r="J2130" s="113" t="n"/>
      <c r="K2130" s="113" t="n"/>
      <c r="L2130" s="113" t="n"/>
      <c r="M2130" s="113" t="n"/>
      <c r="N2130" s="113" t="n"/>
      <c r="O2130" s="113" t="n"/>
      <c r="P2130" s="113" t="n"/>
      <c r="Q2130" s="113" t="n"/>
      <c r="R2130" s="113" t="n"/>
      <c r="S2130" s="113" t="n"/>
      <c r="T2130" s="113" t="n"/>
      <c r="U2130" s="113" t="n"/>
      <c r="V2130" s="113" t="n"/>
      <c r="W2130" s="113" t="n"/>
      <c r="X2130" s="113" t="n"/>
      <c r="Y2130" s="113" t="n"/>
      <c r="Z2130" s="117">
        <f>IF($B2130="",0,IF($S2130="EVET",IF($D2130="GELİR",$O2130,-$O2130),0))</f>
        <v/>
      </c>
      <c r="AA2130" s="117">
        <f>IF($B2130="",0,IF(OR($W2130="EVET",$X2130="EVET",$Y2130="EVET"),0,IF($D2130="GELİR",IF($E2130="SATIŞ İADESİ/İSKONTO",-$O2130,$O2130),-$O2130)))</f>
        <v/>
      </c>
      <c r="AB2130" s="117">
        <f>IF($B2130="","",IF(OR($D2130="",$E2130="",$O2130=""),"EKSİK",IF($O2130&lt;=0,"SIFIR/NEGATİF",IF(COUNTIFS($C$6:$C$5000,$C2130,$O$6:$O$5000,$O2130,$B$6:$B$5000,$B2130)&gt;1,"MÜKERRER","OK"))))</f>
        <v/>
      </c>
    </row>
    <row r="2131" ht="16.5" customHeight="1" s="80">
      <c r="A2131" s="113" t="n"/>
      <c r="B2131" s="113" t="n"/>
      <c r="C2131" s="113" t="n"/>
      <c r="D2131" s="113" t="n"/>
      <c r="E2131" s="113" t="n"/>
      <c r="F2131" s="113" t="n"/>
      <c r="G2131" s="113" t="n"/>
      <c r="H2131" s="113" t="n"/>
      <c r="I2131" s="113" t="n"/>
      <c r="J2131" s="113" t="n"/>
      <c r="K2131" s="113" t="n"/>
      <c r="L2131" s="113" t="n"/>
      <c r="M2131" s="113" t="n"/>
      <c r="N2131" s="113" t="n"/>
      <c r="O2131" s="113" t="n"/>
      <c r="P2131" s="113" t="n"/>
      <c r="Q2131" s="113" t="n"/>
      <c r="R2131" s="113" t="n"/>
      <c r="S2131" s="113" t="n"/>
      <c r="T2131" s="113" t="n"/>
      <c r="U2131" s="113" t="n"/>
      <c r="V2131" s="113" t="n"/>
      <c r="W2131" s="113" t="n"/>
      <c r="X2131" s="113" t="n"/>
      <c r="Y2131" s="113" t="n"/>
      <c r="Z2131" s="117">
        <f>IF($B2131="",0,IF($S2131="EVET",IF($D2131="GELİR",$O2131,-$O2131),0))</f>
        <v/>
      </c>
      <c r="AA2131" s="117">
        <f>IF($B2131="",0,IF(OR($W2131="EVET",$X2131="EVET",$Y2131="EVET"),0,IF($D2131="GELİR",IF($E2131="SATIŞ İADESİ/İSKONTO",-$O2131,$O2131),-$O2131)))</f>
        <v/>
      </c>
      <c r="AB2131" s="117">
        <f>IF($B2131="","",IF(OR($D2131="",$E2131="",$O2131=""),"EKSİK",IF($O2131&lt;=0,"SIFIR/NEGATİF",IF(COUNTIFS($C$6:$C$5000,$C2131,$O$6:$O$5000,$O2131,$B$6:$B$5000,$B2131)&gt;1,"MÜKERRER","OK"))))</f>
        <v/>
      </c>
    </row>
    <row r="2132" ht="16.5" customHeight="1" s="80">
      <c r="A2132" s="113" t="n"/>
      <c r="B2132" s="113" t="n"/>
      <c r="C2132" s="113" t="n"/>
      <c r="D2132" s="113" t="n"/>
      <c r="E2132" s="113" t="n"/>
      <c r="F2132" s="113" t="n"/>
      <c r="G2132" s="113" t="n"/>
      <c r="H2132" s="113" t="n"/>
      <c r="I2132" s="113" t="n"/>
      <c r="J2132" s="113" t="n"/>
      <c r="K2132" s="113" t="n"/>
      <c r="L2132" s="113" t="n"/>
      <c r="M2132" s="113" t="n"/>
      <c r="N2132" s="113" t="n"/>
      <c r="O2132" s="113" t="n"/>
      <c r="P2132" s="113" t="n"/>
      <c r="Q2132" s="113" t="n"/>
      <c r="R2132" s="113" t="n"/>
      <c r="S2132" s="113" t="n"/>
      <c r="T2132" s="113" t="n"/>
      <c r="U2132" s="113" t="n"/>
      <c r="V2132" s="113" t="n"/>
      <c r="W2132" s="113" t="n"/>
      <c r="X2132" s="113" t="n"/>
      <c r="Y2132" s="113" t="n"/>
      <c r="Z2132" s="117">
        <f>IF($B2132="",0,IF($S2132="EVET",IF($D2132="GELİR",$O2132,-$O2132),0))</f>
        <v/>
      </c>
      <c r="AA2132" s="117">
        <f>IF($B2132="",0,IF(OR($W2132="EVET",$X2132="EVET",$Y2132="EVET"),0,IF($D2132="GELİR",IF($E2132="SATIŞ İADESİ/İSKONTO",-$O2132,$O2132),-$O2132)))</f>
        <v/>
      </c>
      <c r="AB2132" s="117">
        <f>IF($B2132="","",IF(OR($D2132="",$E2132="",$O2132=""),"EKSİK",IF($O2132&lt;=0,"SIFIR/NEGATİF",IF(COUNTIFS($C$6:$C$5000,$C2132,$O$6:$O$5000,$O2132,$B$6:$B$5000,$B2132)&gt;1,"MÜKERRER","OK"))))</f>
        <v/>
      </c>
    </row>
    <row r="2133" ht="16.5" customHeight="1" s="80">
      <c r="A2133" s="113" t="n"/>
      <c r="B2133" s="113" t="n"/>
      <c r="C2133" s="113" t="n"/>
      <c r="D2133" s="113" t="n"/>
      <c r="E2133" s="113" t="n"/>
      <c r="F2133" s="113" t="n"/>
      <c r="G2133" s="113" t="n"/>
      <c r="H2133" s="113" t="n"/>
      <c r="I2133" s="113" t="n"/>
      <c r="J2133" s="113" t="n"/>
      <c r="K2133" s="113" t="n"/>
      <c r="L2133" s="113" t="n"/>
      <c r="M2133" s="113" t="n"/>
      <c r="N2133" s="113" t="n"/>
      <c r="O2133" s="113" t="n"/>
      <c r="P2133" s="113" t="n"/>
      <c r="Q2133" s="113" t="n"/>
      <c r="R2133" s="113" t="n"/>
      <c r="S2133" s="113" t="n"/>
      <c r="T2133" s="113" t="n"/>
      <c r="U2133" s="113" t="n"/>
      <c r="V2133" s="113" t="n"/>
      <c r="W2133" s="113" t="n"/>
      <c r="X2133" s="113" t="n"/>
      <c r="Y2133" s="113" t="n"/>
      <c r="Z2133" s="117">
        <f>IF($B2133="",0,IF($S2133="EVET",IF($D2133="GELİR",$O2133,-$O2133),0))</f>
        <v/>
      </c>
      <c r="AA2133" s="117">
        <f>IF($B2133="",0,IF(OR($W2133="EVET",$X2133="EVET",$Y2133="EVET"),0,IF($D2133="GELİR",IF($E2133="SATIŞ İADESİ/İSKONTO",-$O2133,$O2133),-$O2133)))</f>
        <v/>
      </c>
      <c r="AB2133" s="117">
        <f>IF($B2133="","",IF(OR($D2133="",$E2133="",$O2133=""),"EKSİK",IF($O2133&lt;=0,"SIFIR/NEGATİF",IF(COUNTIFS($C$6:$C$5000,$C2133,$O$6:$O$5000,$O2133,$B$6:$B$5000,$B2133)&gt;1,"MÜKERRER","OK"))))</f>
        <v/>
      </c>
    </row>
    <row r="2134" ht="16.5" customHeight="1" s="80">
      <c r="A2134" s="113" t="n"/>
      <c r="B2134" s="113" t="n"/>
      <c r="C2134" s="113" t="n"/>
      <c r="D2134" s="113" t="n"/>
      <c r="E2134" s="113" t="n"/>
      <c r="F2134" s="113" t="n"/>
      <c r="G2134" s="113" t="n"/>
      <c r="H2134" s="113" t="n"/>
      <c r="I2134" s="113" t="n"/>
      <c r="J2134" s="113" t="n"/>
      <c r="K2134" s="113" t="n"/>
      <c r="L2134" s="113" t="n"/>
      <c r="M2134" s="113" t="n"/>
      <c r="N2134" s="113" t="n"/>
      <c r="O2134" s="113" t="n"/>
      <c r="P2134" s="113" t="n"/>
      <c r="Q2134" s="113" t="n"/>
      <c r="R2134" s="113" t="n"/>
      <c r="S2134" s="113" t="n"/>
      <c r="T2134" s="113" t="n"/>
      <c r="U2134" s="113" t="n"/>
      <c r="V2134" s="113" t="n"/>
      <c r="W2134" s="113" t="n"/>
      <c r="X2134" s="113" t="n"/>
      <c r="Y2134" s="113" t="n"/>
      <c r="Z2134" s="117">
        <f>IF($B2134="",0,IF($S2134="EVET",IF($D2134="GELİR",$O2134,-$O2134),0))</f>
        <v/>
      </c>
      <c r="AA2134" s="117">
        <f>IF($B2134="",0,IF(OR($W2134="EVET",$X2134="EVET",$Y2134="EVET"),0,IF($D2134="GELİR",IF($E2134="SATIŞ İADESİ/İSKONTO",-$O2134,$O2134),-$O2134)))</f>
        <v/>
      </c>
      <c r="AB2134" s="117">
        <f>IF($B2134="","",IF(OR($D2134="",$E2134="",$O2134=""),"EKSİK",IF($O2134&lt;=0,"SIFIR/NEGATİF",IF(COUNTIFS($C$6:$C$5000,$C2134,$O$6:$O$5000,$O2134,$B$6:$B$5000,$B2134)&gt;1,"MÜKERRER","OK"))))</f>
        <v/>
      </c>
    </row>
    <row r="2135" ht="16.5" customHeight="1" s="80">
      <c r="A2135" s="113" t="n"/>
      <c r="B2135" s="113" t="n"/>
      <c r="C2135" s="113" t="n"/>
      <c r="D2135" s="113" t="n"/>
      <c r="E2135" s="113" t="n"/>
      <c r="F2135" s="113" t="n"/>
      <c r="G2135" s="113" t="n"/>
      <c r="H2135" s="113" t="n"/>
      <c r="I2135" s="113" t="n"/>
      <c r="J2135" s="113" t="n"/>
      <c r="K2135" s="113" t="n"/>
      <c r="L2135" s="113" t="n"/>
      <c r="M2135" s="113" t="n"/>
      <c r="N2135" s="113" t="n"/>
      <c r="O2135" s="113" t="n"/>
      <c r="P2135" s="113" t="n"/>
      <c r="Q2135" s="113" t="n"/>
      <c r="R2135" s="113" t="n"/>
      <c r="S2135" s="113" t="n"/>
      <c r="T2135" s="113" t="n"/>
      <c r="U2135" s="113" t="n"/>
      <c r="V2135" s="113" t="n"/>
      <c r="W2135" s="113" t="n"/>
      <c r="X2135" s="113" t="n"/>
      <c r="Y2135" s="113" t="n"/>
      <c r="Z2135" s="117">
        <f>IF($B2135="",0,IF($S2135="EVET",IF($D2135="GELİR",$O2135,-$O2135),0))</f>
        <v/>
      </c>
      <c r="AA2135" s="117">
        <f>IF($B2135="",0,IF(OR($W2135="EVET",$X2135="EVET",$Y2135="EVET"),0,IF($D2135="GELİR",IF($E2135="SATIŞ İADESİ/İSKONTO",-$O2135,$O2135),-$O2135)))</f>
        <v/>
      </c>
      <c r="AB2135" s="117">
        <f>IF($B2135="","",IF(OR($D2135="",$E2135="",$O2135=""),"EKSİK",IF($O2135&lt;=0,"SIFIR/NEGATİF",IF(COUNTIFS($C$6:$C$5000,$C2135,$O$6:$O$5000,$O2135,$B$6:$B$5000,$B2135)&gt;1,"MÜKERRER","OK"))))</f>
        <v/>
      </c>
    </row>
    <row r="2136" ht="16.5" customHeight="1" s="80">
      <c r="A2136" s="113" t="n"/>
      <c r="B2136" s="113" t="n"/>
      <c r="C2136" s="113" t="n"/>
      <c r="D2136" s="113" t="n"/>
      <c r="E2136" s="113" t="n"/>
      <c r="F2136" s="113" t="n"/>
      <c r="G2136" s="113" t="n"/>
      <c r="H2136" s="113" t="n"/>
      <c r="I2136" s="113" t="n"/>
      <c r="J2136" s="113" t="n"/>
      <c r="K2136" s="113" t="n"/>
      <c r="L2136" s="113" t="n"/>
      <c r="M2136" s="113" t="n"/>
      <c r="N2136" s="113" t="n"/>
      <c r="O2136" s="113" t="n"/>
      <c r="P2136" s="113" t="n"/>
      <c r="Q2136" s="113" t="n"/>
      <c r="R2136" s="113" t="n"/>
      <c r="S2136" s="113" t="n"/>
      <c r="T2136" s="113" t="n"/>
      <c r="U2136" s="113" t="n"/>
      <c r="V2136" s="113" t="n"/>
      <c r="W2136" s="113" t="n"/>
      <c r="X2136" s="113" t="n"/>
      <c r="Y2136" s="113" t="n"/>
      <c r="Z2136" s="117">
        <f>IF($B2136="",0,IF($S2136="EVET",IF($D2136="GELİR",$O2136,-$O2136),0))</f>
        <v/>
      </c>
      <c r="AA2136" s="117">
        <f>IF($B2136="",0,IF(OR($W2136="EVET",$X2136="EVET",$Y2136="EVET"),0,IF($D2136="GELİR",IF($E2136="SATIŞ İADESİ/İSKONTO",-$O2136,$O2136),-$O2136)))</f>
        <v/>
      </c>
      <c r="AB2136" s="117">
        <f>IF($B2136="","",IF(OR($D2136="",$E2136="",$O2136=""),"EKSİK",IF($O2136&lt;=0,"SIFIR/NEGATİF",IF(COUNTIFS($C$6:$C$5000,$C2136,$O$6:$O$5000,$O2136,$B$6:$B$5000,$B2136)&gt;1,"MÜKERRER","OK"))))</f>
        <v/>
      </c>
    </row>
    <row r="2137" ht="16.5" customHeight="1" s="80">
      <c r="A2137" s="113" t="n"/>
      <c r="B2137" s="113" t="n"/>
      <c r="C2137" s="113" t="n"/>
      <c r="D2137" s="113" t="n"/>
      <c r="E2137" s="113" t="n"/>
      <c r="F2137" s="113" t="n"/>
      <c r="G2137" s="113" t="n"/>
      <c r="H2137" s="113" t="n"/>
      <c r="I2137" s="113" t="n"/>
      <c r="J2137" s="113" t="n"/>
      <c r="K2137" s="113" t="n"/>
      <c r="L2137" s="113" t="n"/>
      <c r="M2137" s="113" t="n"/>
      <c r="N2137" s="113" t="n"/>
      <c r="O2137" s="113" t="n"/>
      <c r="P2137" s="113" t="n"/>
      <c r="Q2137" s="113" t="n"/>
      <c r="R2137" s="113" t="n"/>
      <c r="S2137" s="113" t="n"/>
      <c r="T2137" s="113" t="n"/>
      <c r="U2137" s="113" t="n"/>
      <c r="V2137" s="113" t="n"/>
      <c r="W2137" s="113" t="n"/>
      <c r="X2137" s="113" t="n"/>
      <c r="Y2137" s="113" t="n"/>
      <c r="Z2137" s="117">
        <f>IF($B2137="",0,IF($S2137="EVET",IF($D2137="GELİR",$O2137,-$O2137),0))</f>
        <v/>
      </c>
      <c r="AA2137" s="117">
        <f>IF($B2137="",0,IF(OR($W2137="EVET",$X2137="EVET",$Y2137="EVET"),0,IF($D2137="GELİR",IF($E2137="SATIŞ İADESİ/İSKONTO",-$O2137,$O2137),-$O2137)))</f>
        <v/>
      </c>
      <c r="AB2137" s="117">
        <f>IF($B2137="","",IF(OR($D2137="",$E2137="",$O2137=""),"EKSİK",IF($O2137&lt;=0,"SIFIR/NEGATİF",IF(COUNTIFS($C$6:$C$5000,$C2137,$O$6:$O$5000,$O2137,$B$6:$B$5000,$B2137)&gt;1,"MÜKERRER","OK"))))</f>
        <v/>
      </c>
    </row>
    <row r="2138" ht="16.5" customHeight="1" s="80">
      <c r="A2138" s="113" t="n"/>
      <c r="B2138" s="113" t="n"/>
      <c r="C2138" s="113" t="n"/>
      <c r="D2138" s="113" t="n"/>
      <c r="E2138" s="113" t="n"/>
      <c r="F2138" s="113" t="n"/>
      <c r="G2138" s="113" t="n"/>
      <c r="H2138" s="113" t="n"/>
      <c r="I2138" s="113" t="n"/>
      <c r="J2138" s="113" t="n"/>
      <c r="K2138" s="113" t="n"/>
      <c r="L2138" s="113" t="n"/>
      <c r="M2138" s="113" t="n"/>
      <c r="N2138" s="113" t="n"/>
      <c r="O2138" s="113" t="n"/>
      <c r="P2138" s="113" t="n"/>
      <c r="Q2138" s="113" t="n"/>
      <c r="R2138" s="113" t="n"/>
      <c r="S2138" s="113" t="n"/>
      <c r="T2138" s="113" t="n"/>
      <c r="U2138" s="113" t="n"/>
      <c r="V2138" s="113" t="n"/>
      <c r="W2138" s="113" t="n"/>
      <c r="X2138" s="113" t="n"/>
      <c r="Y2138" s="113" t="n"/>
      <c r="Z2138" s="117">
        <f>IF($B2138="",0,IF($S2138="EVET",IF($D2138="GELİR",$O2138,-$O2138),0))</f>
        <v/>
      </c>
      <c r="AA2138" s="117">
        <f>IF($B2138="",0,IF(OR($W2138="EVET",$X2138="EVET",$Y2138="EVET"),0,IF($D2138="GELİR",IF($E2138="SATIŞ İADESİ/İSKONTO",-$O2138,$O2138),-$O2138)))</f>
        <v/>
      </c>
      <c r="AB2138" s="117">
        <f>IF($B2138="","",IF(OR($D2138="",$E2138="",$O2138=""),"EKSİK",IF($O2138&lt;=0,"SIFIR/NEGATİF",IF(COUNTIFS($C$6:$C$5000,$C2138,$O$6:$O$5000,$O2138,$B$6:$B$5000,$B2138)&gt;1,"MÜKERRER","OK"))))</f>
        <v/>
      </c>
    </row>
    <row r="2139" ht="16.5" customHeight="1" s="80">
      <c r="A2139" s="113" t="n"/>
      <c r="B2139" s="113" t="n"/>
      <c r="C2139" s="113" t="n"/>
      <c r="D2139" s="113" t="n"/>
      <c r="E2139" s="113" t="n"/>
      <c r="F2139" s="113" t="n"/>
      <c r="G2139" s="113" t="n"/>
      <c r="H2139" s="113" t="n"/>
      <c r="I2139" s="113" t="n"/>
      <c r="J2139" s="113" t="n"/>
      <c r="K2139" s="113" t="n"/>
      <c r="L2139" s="113" t="n"/>
      <c r="M2139" s="113" t="n"/>
      <c r="N2139" s="113" t="n"/>
      <c r="O2139" s="113" t="n"/>
      <c r="P2139" s="113" t="n"/>
      <c r="Q2139" s="113" t="n"/>
      <c r="R2139" s="113" t="n"/>
      <c r="S2139" s="113" t="n"/>
      <c r="T2139" s="113" t="n"/>
      <c r="U2139" s="113" t="n"/>
      <c r="V2139" s="113" t="n"/>
      <c r="W2139" s="113" t="n"/>
      <c r="X2139" s="113" t="n"/>
      <c r="Y2139" s="113" t="n"/>
      <c r="Z2139" s="117">
        <f>IF($B2139="",0,IF($S2139="EVET",IF($D2139="GELİR",$O2139,-$O2139),0))</f>
        <v/>
      </c>
      <c r="AA2139" s="117">
        <f>IF($B2139="",0,IF(OR($W2139="EVET",$X2139="EVET",$Y2139="EVET"),0,IF($D2139="GELİR",IF($E2139="SATIŞ İADESİ/İSKONTO",-$O2139,$O2139),-$O2139)))</f>
        <v/>
      </c>
      <c r="AB2139" s="117">
        <f>IF($B2139="","",IF(OR($D2139="",$E2139="",$O2139=""),"EKSİK",IF($O2139&lt;=0,"SIFIR/NEGATİF",IF(COUNTIFS($C$6:$C$5000,$C2139,$O$6:$O$5000,$O2139,$B$6:$B$5000,$B2139)&gt;1,"MÜKERRER","OK"))))</f>
        <v/>
      </c>
    </row>
    <row r="2140" ht="16.5" customHeight="1" s="80">
      <c r="A2140" s="113" t="n"/>
      <c r="B2140" s="113" t="n"/>
      <c r="C2140" s="113" t="n"/>
      <c r="D2140" s="113" t="n"/>
      <c r="E2140" s="113" t="n"/>
      <c r="F2140" s="113" t="n"/>
      <c r="G2140" s="113" t="n"/>
      <c r="H2140" s="113" t="n"/>
      <c r="I2140" s="113" t="n"/>
      <c r="J2140" s="113" t="n"/>
      <c r="K2140" s="113" t="n"/>
      <c r="L2140" s="113" t="n"/>
      <c r="M2140" s="113" t="n"/>
      <c r="N2140" s="113" t="n"/>
      <c r="O2140" s="113" t="n"/>
      <c r="P2140" s="113" t="n"/>
      <c r="Q2140" s="113" t="n"/>
      <c r="R2140" s="113" t="n"/>
      <c r="S2140" s="113" t="n"/>
      <c r="T2140" s="113" t="n"/>
      <c r="U2140" s="113" t="n"/>
      <c r="V2140" s="113" t="n"/>
      <c r="W2140" s="113" t="n"/>
      <c r="X2140" s="113" t="n"/>
      <c r="Y2140" s="113" t="n"/>
      <c r="Z2140" s="117">
        <f>IF($B2140="",0,IF($S2140="EVET",IF($D2140="GELİR",$O2140,-$O2140),0))</f>
        <v/>
      </c>
      <c r="AA2140" s="117">
        <f>IF($B2140="",0,IF(OR($W2140="EVET",$X2140="EVET",$Y2140="EVET"),0,IF($D2140="GELİR",IF($E2140="SATIŞ İADESİ/İSKONTO",-$O2140,$O2140),-$O2140)))</f>
        <v/>
      </c>
      <c r="AB2140" s="117">
        <f>IF($B2140="","",IF(OR($D2140="",$E2140="",$O2140=""),"EKSİK",IF($O2140&lt;=0,"SIFIR/NEGATİF",IF(COUNTIFS($C$6:$C$5000,$C2140,$O$6:$O$5000,$O2140,$B$6:$B$5000,$B2140)&gt;1,"MÜKERRER","OK"))))</f>
        <v/>
      </c>
    </row>
    <row r="2141" ht="16.5" customHeight="1" s="80">
      <c r="A2141" s="113" t="n"/>
      <c r="B2141" s="113" t="n"/>
      <c r="C2141" s="113" t="n"/>
      <c r="D2141" s="113" t="n"/>
      <c r="E2141" s="113" t="n"/>
      <c r="F2141" s="113" t="n"/>
      <c r="G2141" s="113" t="n"/>
      <c r="H2141" s="113" t="n"/>
      <c r="I2141" s="113" t="n"/>
      <c r="J2141" s="113" t="n"/>
      <c r="K2141" s="113" t="n"/>
      <c r="L2141" s="113" t="n"/>
      <c r="M2141" s="113" t="n"/>
      <c r="N2141" s="113" t="n"/>
      <c r="O2141" s="113" t="n"/>
      <c r="P2141" s="113" t="n"/>
      <c r="Q2141" s="113" t="n"/>
      <c r="R2141" s="113" t="n"/>
      <c r="S2141" s="113" t="n"/>
      <c r="T2141" s="113" t="n"/>
      <c r="U2141" s="113" t="n"/>
      <c r="V2141" s="113" t="n"/>
      <c r="W2141" s="113" t="n"/>
      <c r="X2141" s="113" t="n"/>
      <c r="Y2141" s="113" t="n"/>
      <c r="Z2141" s="117">
        <f>IF($B2141="",0,IF($S2141="EVET",IF($D2141="GELİR",$O2141,-$O2141),0))</f>
        <v/>
      </c>
      <c r="AA2141" s="117">
        <f>IF($B2141="",0,IF(OR($W2141="EVET",$X2141="EVET",$Y2141="EVET"),0,IF($D2141="GELİR",IF($E2141="SATIŞ İADESİ/İSKONTO",-$O2141,$O2141),-$O2141)))</f>
        <v/>
      </c>
      <c r="AB2141" s="117">
        <f>IF($B2141="","",IF(OR($D2141="",$E2141="",$O2141=""),"EKSİK",IF($O2141&lt;=0,"SIFIR/NEGATİF",IF(COUNTIFS($C$6:$C$5000,$C2141,$O$6:$O$5000,$O2141,$B$6:$B$5000,$B2141)&gt;1,"MÜKERRER","OK"))))</f>
        <v/>
      </c>
    </row>
    <row r="2142" ht="16.5" customHeight="1" s="80">
      <c r="A2142" s="113" t="n"/>
      <c r="B2142" s="113" t="n"/>
      <c r="C2142" s="113" t="n"/>
      <c r="D2142" s="113" t="n"/>
      <c r="E2142" s="113" t="n"/>
      <c r="F2142" s="113" t="n"/>
      <c r="G2142" s="113" t="n"/>
      <c r="H2142" s="113" t="n"/>
      <c r="I2142" s="113" t="n"/>
      <c r="J2142" s="113" t="n"/>
      <c r="K2142" s="113" t="n"/>
      <c r="L2142" s="113" t="n"/>
      <c r="M2142" s="113" t="n"/>
      <c r="N2142" s="113" t="n"/>
      <c r="O2142" s="113" t="n"/>
      <c r="P2142" s="113" t="n"/>
      <c r="Q2142" s="113" t="n"/>
      <c r="R2142" s="113" t="n"/>
      <c r="S2142" s="113" t="n"/>
      <c r="T2142" s="113" t="n"/>
      <c r="U2142" s="113" t="n"/>
      <c r="V2142" s="113" t="n"/>
      <c r="W2142" s="113" t="n"/>
      <c r="X2142" s="113" t="n"/>
      <c r="Y2142" s="113" t="n"/>
      <c r="Z2142" s="117">
        <f>IF($B2142="",0,IF($S2142="EVET",IF($D2142="GELİR",$O2142,-$O2142),0))</f>
        <v/>
      </c>
      <c r="AA2142" s="117">
        <f>IF($B2142="",0,IF(OR($W2142="EVET",$X2142="EVET",$Y2142="EVET"),0,IF($D2142="GELİR",IF($E2142="SATIŞ İADESİ/İSKONTO",-$O2142,$O2142),-$O2142)))</f>
        <v/>
      </c>
      <c r="AB2142" s="117">
        <f>IF($B2142="","",IF(OR($D2142="",$E2142="",$O2142=""),"EKSİK",IF($O2142&lt;=0,"SIFIR/NEGATİF",IF(COUNTIFS($C$6:$C$5000,$C2142,$O$6:$O$5000,$O2142,$B$6:$B$5000,$B2142)&gt;1,"MÜKERRER","OK"))))</f>
        <v/>
      </c>
    </row>
    <row r="2143" ht="16.5" customHeight="1" s="80">
      <c r="A2143" s="113" t="n"/>
      <c r="B2143" s="113" t="n"/>
      <c r="C2143" s="113" t="n"/>
      <c r="D2143" s="113" t="n"/>
      <c r="E2143" s="113" t="n"/>
      <c r="F2143" s="113" t="n"/>
      <c r="G2143" s="113" t="n"/>
      <c r="H2143" s="113" t="n"/>
      <c r="I2143" s="113" t="n"/>
      <c r="J2143" s="113" t="n"/>
      <c r="K2143" s="113" t="n"/>
      <c r="L2143" s="113" t="n"/>
      <c r="M2143" s="113" t="n"/>
      <c r="N2143" s="113" t="n"/>
      <c r="O2143" s="113" t="n"/>
      <c r="P2143" s="113" t="n"/>
      <c r="Q2143" s="113" t="n"/>
      <c r="R2143" s="113" t="n"/>
      <c r="S2143" s="113" t="n"/>
      <c r="T2143" s="113" t="n"/>
      <c r="U2143" s="113" t="n"/>
      <c r="V2143" s="113" t="n"/>
      <c r="W2143" s="113" t="n"/>
      <c r="X2143" s="113" t="n"/>
      <c r="Y2143" s="113" t="n"/>
      <c r="Z2143" s="117">
        <f>IF($B2143="",0,IF($S2143="EVET",IF($D2143="GELİR",$O2143,-$O2143),0))</f>
        <v/>
      </c>
      <c r="AA2143" s="117">
        <f>IF($B2143="",0,IF(OR($W2143="EVET",$X2143="EVET",$Y2143="EVET"),0,IF($D2143="GELİR",IF($E2143="SATIŞ İADESİ/İSKONTO",-$O2143,$O2143),-$O2143)))</f>
        <v/>
      </c>
      <c r="AB2143" s="117">
        <f>IF($B2143="","",IF(OR($D2143="",$E2143="",$O2143=""),"EKSİK",IF($O2143&lt;=0,"SIFIR/NEGATİF",IF(COUNTIFS($C$6:$C$5000,$C2143,$O$6:$O$5000,$O2143,$B$6:$B$5000,$B2143)&gt;1,"MÜKERRER","OK"))))</f>
        <v/>
      </c>
    </row>
    <row r="2144" ht="16.5" customHeight="1" s="80">
      <c r="A2144" s="113" t="n"/>
      <c r="B2144" s="113" t="n"/>
      <c r="C2144" s="113" t="n"/>
      <c r="D2144" s="113" t="n"/>
      <c r="E2144" s="113" t="n"/>
      <c r="F2144" s="113" t="n"/>
      <c r="G2144" s="113" t="n"/>
      <c r="H2144" s="113" t="n"/>
      <c r="I2144" s="113" t="n"/>
      <c r="J2144" s="113" t="n"/>
      <c r="K2144" s="113" t="n"/>
      <c r="L2144" s="113" t="n"/>
      <c r="M2144" s="113" t="n"/>
      <c r="N2144" s="113" t="n"/>
      <c r="O2144" s="113" t="n"/>
      <c r="P2144" s="113" t="n"/>
      <c r="Q2144" s="113" t="n"/>
      <c r="R2144" s="113" t="n"/>
      <c r="S2144" s="113" t="n"/>
      <c r="T2144" s="113" t="n"/>
      <c r="U2144" s="113" t="n"/>
      <c r="V2144" s="113" t="n"/>
      <c r="W2144" s="113" t="n"/>
      <c r="X2144" s="113" t="n"/>
      <c r="Y2144" s="113" t="n"/>
      <c r="Z2144" s="117">
        <f>IF($B2144="",0,IF($S2144="EVET",IF($D2144="GELİR",$O2144,-$O2144),0))</f>
        <v/>
      </c>
      <c r="AA2144" s="117">
        <f>IF($B2144="",0,IF(OR($W2144="EVET",$X2144="EVET",$Y2144="EVET"),0,IF($D2144="GELİR",IF($E2144="SATIŞ İADESİ/İSKONTO",-$O2144,$O2144),-$O2144)))</f>
        <v/>
      </c>
      <c r="AB2144" s="117">
        <f>IF($B2144="","",IF(OR($D2144="",$E2144="",$O2144=""),"EKSİK",IF($O2144&lt;=0,"SIFIR/NEGATİF",IF(COUNTIFS($C$6:$C$5000,$C2144,$O$6:$O$5000,$O2144,$B$6:$B$5000,$B2144)&gt;1,"MÜKERRER","OK"))))</f>
        <v/>
      </c>
    </row>
    <row r="2145" ht="16.5" customHeight="1" s="80">
      <c r="A2145" s="113" t="n"/>
      <c r="B2145" s="113" t="n"/>
      <c r="C2145" s="113" t="n"/>
      <c r="D2145" s="113" t="n"/>
      <c r="E2145" s="113" t="n"/>
      <c r="F2145" s="113" t="n"/>
      <c r="G2145" s="113" t="n"/>
      <c r="H2145" s="113" t="n"/>
      <c r="I2145" s="113" t="n"/>
      <c r="J2145" s="113" t="n"/>
      <c r="K2145" s="113" t="n"/>
      <c r="L2145" s="113" t="n"/>
      <c r="M2145" s="113" t="n"/>
      <c r="N2145" s="113" t="n"/>
      <c r="O2145" s="113" t="n"/>
      <c r="P2145" s="113" t="n"/>
      <c r="Q2145" s="113" t="n"/>
      <c r="R2145" s="113" t="n"/>
      <c r="S2145" s="113" t="n"/>
      <c r="T2145" s="113" t="n"/>
      <c r="U2145" s="113" t="n"/>
      <c r="V2145" s="113" t="n"/>
      <c r="W2145" s="113" t="n"/>
      <c r="X2145" s="113" t="n"/>
      <c r="Y2145" s="113" t="n"/>
      <c r="Z2145" s="117">
        <f>IF($B2145="",0,IF($S2145="EVET",IF($D2145="GELİR",$O2145,-$O2145),0))</f>
        <v/>
      </c>
      <c r="AA2145" s="117">
        <f>IF($B2145="",0,IF(OR($W2145="EVET",$X2145="EVET",$Y2145="EVET"),0,IF($D2145="GELİR",IF($E2145="SATIŞ İADESİ/İSKONTO",-$O2145,$O2145),-$O2145)))</f>
        <v/>
      </c>
      <c r="AB2145" s="117">
        <f>IF($B2145="","",IF(OR($D2145="",$E2145="",$O2145=""),"EKSİK",IF($O2145&lt;=0,"SIFIR/NEGATİF",IF(COUNTIFS($C$6:$C$5000,$C2145,$O$6:$O$5000,$O2145,$B$6:$B$5000,$B2145)&gt;1,"MÜKERRER","OK"))))</f>
        <v/>
      </c>
    </row>
    <row r="2146" ht="16.5" customHeight="1" s="80">
      <c r="A2146" s="113" t="n"/>
      <c r="B2146" s="113" t="n"/>
      <c r="C2146" s="113" t="n"/>
      <c r="D2146" s="113" t="n"/>
      <c r="E2146" s="113" t="n"/>
      <c r="F2146" s="113" t="n"/>
      <c r="G2146" s="113" t="n"/>
      <c r="H2146" s="113" t="n"/>
      <c r="I2146" s="113" t="n"/>
      <c r="J2146" s="113" t="n"/>
      <c r="K2146" s="113" t="n"/>
      <c r="L2146" s="113" t="n"/>
      <c r="M2146" s="113" t="n"/>
      <c r="N2146" s="113" t="n"/>
      <c r="O2146" s="113" t="n"/>
      <c r="P2146" s="113" t="n"/>
      <c r="Q2146" s="113" t="n"/>
      <c r="R2146" s="113" t="n"/>
      <c r="S2146" s="113" t="n"/>
      <c r="T2146" s="113" t="n"/>
      <c r="U2146" s="113" t="n"/>
      <c r="V2146" s="113" t="n"/>
      <c r="W2146" s="113" t="n"/>
      <c r="X2146" s="113" t="n"/>
      <c r="Y2146" s="113" t="n"/>
      <c r="Z2146" s="117">
        <f>IF($B2146="",0,IF($S2146="EVET",IF($D2146="GELİR",$O2146,-$O2146),0))</f>
        <v/>
      </c>
      <c r="AA2146" s="117">
        <f>IF($B2146="",0,IF(OR($W2146="EVET",$X2146="EVET",$Y2146="EVET"),0,IF($D2146="GELİR",IF($E2146="SATIŞ İADESİ/İSKONTO",-$O2146,$O2146),-$O2146)))</f>
        <v/>
      </c>
      <c r="AB2146" s="117">
        <f>IF($B2146="","",IF(OR($D2146="",$E2146="",$O2146=""),"EKSİK",IF($O2146&lt;=0,"SIFIR/NEGATİF",IF(COUNTIFS($C$6:$C$5000,$C2146,$O$6:$O$5000,$O2146,$B$6:$B$5000,$B2146)&gt;1,"MÜKERRER","OK"))))</f>
        <v/>
      </c>
    </row>
    <row r="2147" ht="16.5" customHeight="1" s="80">
      <c r="A2147" s="113" t="n"/>
      <c r="B2147" s="113" t="n"/>
      <c r="C2147" s="113" t="n"/>
      <c r="D2147" s="113" t="n"/>
      <c r="E2147" s="113" t="n"/>
      <c r="F2147" s="113" t="n"/>
      <c r="G2147" s="113" t="n"/>
      <c r="H2147" s="113" t="n"/>
      <c r="I2147" s="113" t="n"/>
      <c r="J2147" s="113" t="n"/>
      <c r="K2147" s="113" t="n"/>
      <c r="L2147" s="113" t="n"/>
      <c r="M2147" s="113" t="n"/>
      <c r="N2147" s="113" t="n"/>
      <c r="O2147" s="113" t="n"/>
      <c r="P2147" s="113" t="n"/>
      <c r="Q2147" s="113" t="n"/>
      <c r="R2147" s="113" t="n"/>
      <c r="S2147" s="113" t="n"/>
      <c r="T2147" s="113" t="n"/>
      <c r="U2147" s="113" t="n"/>
      <c r="V2147" s="113" t="n"/>
      <c r="W2147" s="113" t="n"/>
      <c r="X2147" s="113" t="n"/>
      <c r="Y2147" s="113" t="n"/>
      <c r="Z2147" s="117">
        <f>IF($B2147="",0,IF($S2147="EVET",IF($D2147="GELİR",$O2147,-$O2147),0))</f>
        <v/>
      </c>
      <c r="AA2147" s="117">
        <f>IF($B2147="",0,IF(OR($W2147="EVET",$X2147="EVET",$Y2147="EVET"),0,IF($D2147="GELİR",IF($E2147="SATIŞ İADESİ/İSKONTO",-$O2147,$O2147),-$O2147)))</f>
        <v/>
      </c>
      <c r="AB2147" s="117">
        <f>IF($B2147="","",IF(OR($D2147="",$E2147="",$O2147=""),"EKSİK",IF($O2147&lt;=0,"SIFIR/NEGATİF",IF(COUNTIFS($C$6:$C$5000,$C2147,$O$6:$O$5000,$O2147,$B$6:$B$5000,$B2147)&gt;1,"MÜKERRER","OK"))))</f>
        <v/>
      </c>
    </row>
    <row r="2148" ht="16.5" customHeight="1" s="80">
      <c r="A2148" s="113" t="n"/>
      <c r="B2148" s="113" t="n"/>
      <c r="C2148" s="113" t="n"/>
      <c r="D2148" s="113" t="n"/>
      <c r="E2148" s="113" t="n"/>
      <c r="F2148" s="113" t="n"/>
      <c r="G2148" s="113" t="n"/>
      <c r="H2148" s="113" t="n"/>
      <c r="I2148" s="113" t="n"/>
      <c r="J2148" s="113" t="n"/>
      <c r="K2148" s="113" t="n"/>
      <c r="L2148" s="113" t="n"/>
      <c r="M2148" s="113" t="n"/>
      <c r="N2148" s="113" t="n"/>
      <c r="O2148" s="113" t="n"/>
      <c r="P2148" s="113" t="n"/>
      <c r="Q2148" s="113" t="n"/>
      <c r="R2148" s="113" t="n"/>
      <c r="S2148" s="113" t="n"/>
      <c r="T2148" s="113" t="n"/>
      <c r="U2148" s="113" t="n"/>
      <c r="V2148" s="113" t="n"/>
      <c r="W2148" s="113" t="n"/>
      <c r="X2148" s="113" t="n"/>
      <c r="Y2148" s="113" t="n"/>
      <c r="Z2148" s="117">
        <f>IF($B2148="",0,IF($S2148="EVET",IF($D2148="GELİR",$O2148,-$O2148),0))</f>
        <v/>
      </c>
      <c r="AA2148" s="117">
        <f>IF($B2148="",0,IF(OR($W2148="EVET",$X2148="EVET",$Y2148="EVET"),0,IF($D2148="GELİR",IF($E2148="SATIŞ İADESİ/İSKONTO",-$O2148,$O2148),-$O2148)))</f>
        <v/>
      </c>
      <c r="AB2148" s="117">
        <f>IF($B2148="","",IF(OR($D2148="",$E2148="",$O2148=""),"EKSİK",IF($O2148&lt;=0,"SIFIR/NEGATİF",IF(COUNTIFS($C$6:$C$5000,$C2148,$O$6:$O$5000,$O2148,$B$6:$B$5000,$B2148)&gt;1,"MÜKERRER","OK"))))</f>
        <v/>
      </c>
    </row>
    <row r="2149" ht="16.5" customHeight="1" s="80">
      <c r="A2149" s="113" t="n"/>
      <c r="B2149" s="113" t="n"/>
      <c r="C2149" s="113" t="n"/>
      <c r="D2149" s="113" t="n"/>
      <c r="E2149" s="113" t="n"/>
      <c r="F2149" s="113" t="n"/>
      <c r="G2149" s="113" t="n"/>
      <c r="H2149" s="113" t="n"/>
      <c r="I2149" s="113" t="n"/>
      <c r="J2149" s="113" t="n"/>
      <c r="K2149" s="113" t="n"/>
      <c r="L2149" s="113" t="n"/>
      <c r="M2149" s="113" t="n"/>
      <c r="N2149" s="113" t="n"/>
      <c r="O2149" s="113" t="n"/>
      <c r="P2149" s="113" t="n"/>
      <c r="Q2149" s="113" t="n"/>
      <c r="R2149" s="113" t="n"/>
      <c r="S2149" s="113" t="n"/>
      <c r="T2149" s="113" t="n"/>
      <c r="U2149" s="113" t="n"/>
      <c r="V2149" s="113" t="n"/>
      <c r="W2149" s="113" t="n"/>
      <c r="X2149" s="113" t="n"/>
      <c r="Y2149" s="113" t="n"/>
      <c r="Z2149" s="117">
        <f>IF($B2149="",0,IF($S2149="EVET",IF($D2149="GELİR",$O2149,-$O2149),0))</f>
        <v/>
      </c>
      <c r="AA2149" s="117">
        <f>IF($B2149="",0,IF(OR($W2149="EVET",$X2149="EVET",$Y2149="EVET"),0,IF($D2149="GELİR",IF($E2149="SATIŞ İADESİ/İSKONTO",-$O2149,$O2149),-$O2149)))</f>
        <v/>
      </c>
      <c r="AB2149" s="117">
        <f>IF($B2149="","",IF(OR($D2149="",$E2149="",$O2149=""),"EKSİK",IF($O2149&lt;=0,"SIFIR/NEGATİF",IF(COUNTIFS($C$6:$C$5000,$C2149,$O$6:$O$5000,$O2149,$B$6:$B$5000,$B2149)&gt;1,"MÜKERRER","OK"))))</f>
        <v/>
      </c>
    </row>
    <row r="2150" ht="16.5" customHeight="1" s="80">
      <c r="A2150" s="113" t="n"/>
      <c r="B2150" s="113" t="n"/>
      <c r="C2150" s="113" t="n"/>
      <c r="D2150" s="113" t="n"/>
      <c r="E2150" s="113" t="n"/>
      <c r="F2150" s="113" t="n"/>
      <c r="G2150" s="113" t="n"/>
      <c r="H2150" s="113" t="n"/>
      <c r="I2150" s="113" t="n"/>
      <c r="J2150" s="113" t="n"/>
      <c r="K2150" s="113" t="n"/>
      <c r="L2150" s="113" t="n"/>
      <c r="M2150" s="113" t="n"/>
      <c r="N2150" s="113" t="n"/>
      <c r="O2150" s="113" t="n"/>
      <c r="P2150" s="113" t="n"/>
      <c r="Q2150" s="113" t="n"/>
      <c r="R2150" s="113" t="n"/>
      <c r="S2150" s="113" t="n"/>
      <c r="T2150" s="113" t="n"/>
      <c r="U2150" s="113" t="n"/>
      <c r="V2150" s="113" t="n"/>
      <c r="W2150" s="113" t="n"/>
      <c r="X2150" s="113" t="n"/>
      <c r="Y2150" s="113" t="n"/>
      <c r="Z2150" s="117">
        <f>IF($B2150="",0,IF($S2150="EVET",IF($D2150="GELİR",$O2150,-$O2150),0))</f>
        <v/>
      </c>
      <c r="AA2150" s="117">
        <f>IF($B2150="",0,IF(OR($W2150="EVET",$X2150="EVET",$Y2150="EVET"),0,IF($D2150="GELİR",IF($E2150="SATIŞ İADESİ/İSKONTO",-$O2150,$O2150),-$O2150)))</f>
        <v/>
      </c>
      <c r="AB2150" s="117">
        <f>IF($B2150="","",IF(OR($D2150="",$E2150="",$O2150=""),"EKSİK",IF($O2150&lt;=0,"SIFIR/NEGATİF",IF(COUNTIFS($C$6:$C$5000,$C2150,$O$6:$O$5000,$O2150,$B$6:$B$5000,$B2150)&gt;1,"MÜKERRER","OK"))))</f>
        <v/>
      </c>
    </row>
    <row r="2151" ht="16.5" customHeight="1" s="80">
      <c r="A2151" s="113" t="n"/>
      <c r="B2151" s="113" t="n"/>
      <c r="C2151" s="113" t="n"/>
      <c r="D2151" s="113" t="n"/>
      <c r="E2151" s="113" t="n"/>
      <c r="F2151" s="113" t="n"/>
      <c r="G2151" s="113" t="n"/>
      <c r="H2151" s="113" t="n"/>
      <c r="I2151" s="113" t="n"/>
      <c r="J2151" s="113" t="n"/>
      <c r="K2151" s="113" t="n"/>
      <c r="L2151" s="113" t="n"/>
      <c r="M2151" s="113" t="n"/>
      <c r="N2151" s="113" t="n"/>
      <c r="O2151" s="113" t="n"/>
      <c r="P2151" s="113" t="n"/>
      <c r="Q2151" s="113" t="n"/>
      <c r="R2151" s="113" t="n"/>
      <c r="S2151" s="113" t="n"/>
      <c r="T2151" s="113" t="n"/>
      <c r="U2151" s="113" t="n"/>
      <c r="V2151" s="113" t="n"/>
      <c r="W2151" s="113" t="n"/>
      <c r="X2151" s="113" t="n"/>
      <c r="Y2151" s="113" t="n"/>
      <c r="Z2151" s="117">
        <f>IF($B2151="",0,IF($S2151="EVET",IF($D2151="GELİR",$O2151,-$O2151),0))</f>
        <v/>
      </c>
      <c r="AA2151" s="117">
        <f>IF($B2151="",0,IF(OR($W2151="EVET",$X2151="EVET",$Y2151="EVET"),0,IF($D2151="GELİR",IF($E2151="SATIŞ İADESİ/İSKONTO",-$O2151,$O2151),-$O2151)))</f>
        <v/>
      </c>
      <c r="AB2151" s="117">
        <f>IF($B2151="","",IF(OR($D2151="",$E2151="",$O2151=""),"EKSİK",IF($O2151&lt;=0,"SIFIR/NEGATİF",IF(COUNTIFS($C$6:$C$5000,$C2151,$O$6:$O$5000,$O2151,$B$6:$B$5000,$B2151)&gt;1,"MÜKERRER","OK"))))</f>
        <v/>
      </c>
    </row>
    <row r="2152" ht="16.5" customHeight="1" s="80">
      <c r="A2152" s="113" t="n"/>
      <c r="B2152" s="113" t="n"/>
      <c r="C2152" s="113" t="n"/>
      <c r="D2152" s="113" t="n"/>
      <c r="E2152" s="113" t="n"/>
      <c r="F2152" s="113" t="n"/>
      <c r="G2152" s="113" t="n"/>
      <c r="H2152" s="113" t="n"/>
      <c r="I2152" s="113" t="n"/>
      <c r="J2152" s="113" t="n"/>
      <c r="K2152" s="113" t="n"/>
      <c r="L2152" s="113" t="n"/>
      <c r="M2152" s="113" t="n"/>
      <c r="N2152" s="113" t="n"/>
      <c r="O2152" s="113" t="n"/>
      <c r="P2152" s="113" t="n"/>
      <c r="Q2152" s="113" t="n"/>
      <c r="R2152" s="113" t="n"/>
      <c r="S2152" s="113" t="n"/>
      <c r="T2152" s="113" t="n"/>
      <c r="U2152" s="113" t="n"/>
      <c r="V2152" s="113" t="n"/>
      <c r="W2152" s="113" t="n"/>
      <c r="X2152" s="113" t="n"/>
      <c r="Y2152" s="113" t="n"/>
      <c r="Z2152" s="117">
        <f>IF($B2152="",0,IF($S2152="EVET",IF($D2152="GELİR",$O2152,-$O2152),0))</f>
        <v/>
      </c>
      <c r="AA2152" s="117">
        <f>IF($B2152="",0,IF(OR($W2152="EVET",$X2152="EVET",$Y2152="EVET"),0,IF($D2152="GELİR",IF($E2152="SATIŞ İADESİ/İSKONTO",-$O2152,$O2152),-$O2152)))</f>
        <v/>
      </c>
      <c r="AB2152" s="117">
        <f>IF($B2152="","",IF(OR($D2152="",$E2152="",$O2152=""),"EKSİK",IF($O2152&lt;=0,"SIFIR/NEGATİF",IF(COUNTIFS($C$6:$C$5000,$C2152,$O$6:$O$5000,$O2152,$B$6:$B$5000,$B2152)&gt;1,"MÜKERRER","OK"))))</f>
        <v/>
      </c>
    </row>
    <row r="2153" ht="16.5" customHeight="1" s="80">
      <c r="A2153" s="113" t="n"/>
      <c r="B2153" s="113" t="n"/>
      <c r="C2153" s="113" t="n"/>
      <c r="D2153" s="113" t="n"/>
      <c r="E2153" s="113" t="n"/>
      <c r="F2153" s="113" t="n"/>
      <c r="G2153" s="113" t="n"/>
      <c r="H2153" s="113" t="n"/>
      <c r="I2153" s="113" t="n"/>
      <c r="J2153" s="113" t="n"/>
      <c r="K2153" s="113" t="n"/>
      <c r="L2153" s="113" t="n"/>
      <c r="M2153" s="113" t="n"/>
      <c r="N2153" s="113" t="n"/>
      <c r="O2153" s="113" t="n"/>
      <c r="P2153" s="113" t="n"/>
      <c r="Q2153" s="113" t="n"/>
      <c r="R2153" s="113" t="n"/>
      <c r="S2153" s="113" t="n"/>
      <c r="T2153" s="113" t="n"/>
      <c r="U2153" s="113" t="n"/>
      <c r="V2153" s="113" t="n"/>
      <c r="W2153" s="113" t="n"/>
      <c r="X2153" s="113" t="n"/>
      <c r="Y2153" s="113" t="n"/>
      <c r="Z2153" s="117">
        <f>IF($B2153="",0,IF($S2153="EVET",IF($D2153="GELİR",$O2153,-$O2153),0))</f>
        <v/>
      </c>
      <c r="AA2153" s="117">
        <f>IF($B2153="",0,IF(OR($W2153="EVET",$X2153="EVET",$Y2153="EVET"),0,IF($D2153="GELİR",IF($E2153="SATIŞ İADESİ/İSKONTO",-$O2153,$O2153),-$O2153)))</f>
        <v/>
      </c>
      <c r="AB2153" s="117">
        <f>IF($B2153="","",IF(OR($D2153="",$E2153="",$O2153=""),"EKSİK",IF($O2153&lt;=0,"SIFIR/NEGATİF",IF(COUNTIFS($C$6:$C$5000,$C2153,$O$6:$O$5000,$O2153,$B$6:$B$5000,$B2153)&gt;1,"MÜKERRER","OK"))))</f>
        <v/>
      </c>
    </row>
    <row r="2154" ht="16.5" customHeight="1" s="80">
      <c r="A2154" s="113" t="n"/>
      <c r="B2154" s="113" t="n"/>
      <c r="C2154" s="113" t="n"/>
      <c r="D2154" s="113" t="n"/>
      <c r="E2154" s="113" t="n"/>
      <c r="F2154" s="113" t="n"/>
      <c r="G2154" s="113" t="n"/>
      <c r="H2154" s="113" t="n"/>
      <c r="I2154" s="113" t="n"/>
      <c r="J2154" s="113" t="n"/>
      <c r="K2154" s="113" t="n"/>
      <c r="L2154" s="113" t="n"/>
      <c r="M2154" s="113" t="n"/>
      <c r="N2154" s="113" t="n"/>
      <c r="O2154" s="113" t="n"/>
      <c r="P2154" s="113" t="n"/>
      <c r="Q2154" s="113" t="n"/>
      <c r="R2154" s="113" t="n"/>
      <c r="S2154" s="113" t="n"/>
      <c r="T2154" s="113" t="n"/>
      <c r="U2154" s="113" t="n"/>
      <c r="V2154" s="113" t="n"/>
      <c r="W2154" s="113" t="n"/>
      <c r="X2154" s="113" t="n"/>
      <c r="Y2154" s="113" t="n"/>
      <c r="Z2154" s="117">
        <f>IF($B2154="",0,IF($S2154="EVET",IF($D2154="GELİR",$O2154,-$O2154),0))</f>
        <v/>
      </c>
      <c r="AA2154" s="117">
        <f>IF($B2154="",0,IF(OR($W2154="EVET",$X2154="EVET",$Y2154="EVET"),0,IF($D2154="GELİR",IF($E2154="SATIŞ İADESİ/İSKONTO",-$O2154,$O2154),-$O2154)))</f>
        <v/>
      </c>
      <c r="AB2154" s="117">
        <f>IF($B2154="","",IF(OR($D2154="",$E2154="",$O2154=""),"EKSİK",IF($O2154&lt;=0,"SIFIR/NEGATİF",IF(COUNTIFS($C$6:$C$5000,$C2154,$O$6:$O$5000,$O2154,$B$6:$B$5000,$B2154)&gt;1,"MÜKERRER","OK"))))</f>
        <v/>
      </c>
    </row>
    <row r="2155" ht="16.5" customHeight="1" s="80">
      <c r="A2155" s="113" t="n"/>
      <c r="B2155" s="113" t="n"/>
      <c r="C2155" s="113" t="n"/>
      <c r="D2155" s="113" t="n"/>
      <c r="E2155" s="113" t="n"/>
      <c r="F2155" s="113" t="n"/>
      <c r="G2155" s="113" t="n"/>
      <c r="H2155" s="113" t="n"/>
      <c r="I2155" s="113" t="n"/>
      <c r="J2155" s="113" t="n"/>
      <c r="K2155" s="113" t="n"/>
      <c r="L2155" s="113" t="n"/>
      <c r="M2155" s="113" t="n"/>
      <c r="N2155" s="113" t="n"/>
      <c r="O2155" s="113" t="n"/>
      <c r="P2155" s="113" t="n"/>
      <c r="Q2155" s="113" t="n"/>
      <c r="R2155" s="113" t="n"/>
      <c r="S2155" s="113" t="n"/>
      <c r="T2155" s="113" t="n"/>
      <c r="U2155" s="113" t="n"/>
      <c r="V2155" s="113" t="n"/>
      <c r="W2155" s="113" t="n"/>
      <c r="X2155" s="113" t="n"/>
      <c r="Y2155" s="113" t="n"/>
      <c r="Z2155" s="117">
        <f>IF($B2155="",0,IF($S2155="EVET",IF($D2155="GELİR",$O2155,-$O2155),0))</f>
        <v/>
      </c>
      <c r="AA2155" s="117">
        <f>IF($B2155="",0,IF(OR($W2155="EVET",$X2155="EVET",$Y2155="EVET"),0,IF($D2155="GELİR",IF($E2155="SATIŞ İADESİ/İSKONTO",-$O2155,$O2155),-$O2155)))</f>
        <v/>
      </c>
      <c r="AB2155" s="117">
        <f>IF($B2155="","",IF(OR($D2155="",$E2155="",$O2155=""),"EKSİK",IF($O2155&lt;=0,"SIFIR/NEGATİF",IF(COUNTIFS($C$6:$C$5000,$C2155,$O$6:$O$5000,$O2155,$B$6:$B$5000,$B2155)&gt;1,"MÜKERRER","OK"))))</f>
        <v/>
      </c>
    </row>
    <row r="2156" ht="16.5" customHeight="1" s="80">
      <c r="A2156" s="113" t="n"/>
      <c r="B2156" s="113" t="n"/>
      <c r="C2156" s="113" t="n"/>
      <c r="D2156" s="113" t="n"/>
      <c r="E2156" s="113" t="n"/>
      <c r="F2156" s="113" t="n"/>
      <c r="G2156" s="113" t="n"/>
      <c r="H2156" s="113" t="n"/>
      <c r="I2156" s="113" t="n"/>
      <c r="J2156" s="113" t="n"/>
      <c r="K2156" s="113" t="n"/>
      <c r="L2156" s="113" t="n"/>
      <c r="M2156" s="113" t="n"/>
      <c r="N2156" s="113" t="n"/>
      <c r="O2156" s="113" t="n"/>
      <c r="P2156" s="113" t="n"/>
      <c r="Q2156" s="113" t="n"/>
      <c r="R2156" s="113" t="n"/>
      <c r="S2156" s="113" t="n"/>
      <c r="T2156" s="113" t="n"/>
      <c r="U2156" s="113" t="n"/>
      <c r="V2156" s="113" t="n"/>
      <c r="W2156" s="113" t="n"/>
      <c r="X2156" s="113" t="n"/>
      <c r="Y2156" s="113" t="n"/>
      <c r="Z2156" s="117">
        <f>IF($B2156="",0,IF($S2156="EVET",IF($D2156="GELİR",$O2156,-$O2156),0))</f>
        <v/>
      </c>
      <c r="AA2156" s="117">
        <f>IF($B2156="",0,IF(OR($W2156="EVET",$X2156="EVET",$Y2156="EVET"),0,IF($D2156="GELİR",IF($E2156="SATIŞ İADESİ/İSKONTO",-$O2156,$O2156),-$O2156)))</f>
        <v/>
      </c>
      <c r="AB2156" s="117">
        <f>IF($B2156="","",IF(OR($D2156="",$E2156="",$O2156=""),"EKSİK",IF($O2156&lt;=0,"SIFIR/NEGATİF",IF(COUNTIFS($C$6:$C$5000,$C2156,$O$6:$O$5000,$O2156,$B$6:$B$5000,$B2156)&gt;1,"MÜKERRER","OK"))))</f>
        <v/>
      </c>
    </row>
    <row r="2157" ht="16.5" customHeight="1" s="80">
      <c r="A2157" s="113" t="n"/>
      <c r="B2157" s="113" t="n"/>
      <c r="C2157" s="113" t="n"/>
      <c r="D2157" s="113" t="n"/>
      <c r="E2157" s="113" t="n"/>
      <c r="F2157" s="113" t="n"/>
      <c r="G2157" s="113" t="n"/>
      <c r="H2157" s="113" t="n"/>
      <c r="I2157" s="113" t="n"/>
      <c r="J2157" s="113" t="n"/>
      <c r="K2157" s="113" t="n"/>
      <c r="L2157" s="113" t="n"/>
      <c r="M2157" s="113" t="n"/>
      <c r="N2157" s="113" t="n"/>
      <c r="O2157" s="113" t="n"/>
      <c r="P2157" s="113" t="n"/>
      <c r="Q2157" s="113" t="n"/>
      <c r="R2157" s="113" t="n"/>
      <c r="S2157" s="113" t="n"/>
      <c r="T2157" s="113" t="n"/>
      <c r="U2157" s="113" t="n"/>
      <c r="V2157" s="113" t="n"/>
      <c r="W2157" s="113" t="n"/>
      <c r="X2157" s="113" t="n"/>
      <c r="Y2157" s="113" t="n"/>
      <c r="Z2157" s="117">
        <f>IF($B2157="",0,IF($S2157="EVET",IF($D2157="GELİR",$O2157,-$O2157),0))</f>
        <v/>
      </c>
      <c r="AA2157" s="117">
        <f>IF($B2157="",0,IF(OR($W2157="EVET",$X2157="EVET",$Y2157="EVET"),0,IF($D2157="GELİR",IF($E2157="SATIŞ İADESİ/İSKONTO",-$O2157,$O2157),-$O2157)))</f>
        <v/>
      </c>
      <c r="AB2157" s="117">
        <f>IF($B2157="","",IF(OR($D2157="",$E2157="",$O2157=""),"EKSİK",IF($O2157&lt;=0,"SIFIR/NEGATİF",IF(COUNTIFS($C$6:$C$5000,$C2157,$O$6:$O$5000,$O2157,$B$6:$B$5000,$B2157)&gt;1,"MÜKERRER","OK"))))</f>
        <v/>
      </c>
    </row>
    <row r="2158" ht="16.5" customHeight="1" s="80">
      <c r="A2158" s="113" t="n"/>
      <c r="B2158" s="113" t="n"/>
      <c r="C2158" s="113" t="n"/>
      <c r="D2158" s="113" t="n"/>
      <c r="E2158" s="113" t="n"/>
      <c r="F2158" s="113" t="n"/>
      <c r="G2158" s="113" t="n"/>
      <c r="H2158" s="113" t="n"/>
      <c r="I2158" s="113" t="n"/>
      <c r="J2158" s="113" t="n"/>
      <c r="K2158" s="113" t="n"/>
      <c r="L2158" s="113" t="n"/>
      <c r="M2158" s="113" t="n"/>
      <c r="N2158" s="113" t="n"/>
      <c r="O2158" s="113" t="n"/>
      <c r="P2158" s="113" t="n"/>
      <c r="Q2158" s="113" t="n"/>
      <c r="R2158" s="113" t="n"/>
      <c r="S2158" s="113" t="n"/>
      <c r="T2158" s="113" t="n"/>
      <c r="U2158" s="113" t="n"/>
      <c r="V2158" s="113" t="n"/>
      <c r="W2158" s="113" t="n"/>
      <c r="X2158" s="113" t="n"/>
      <c r="Y2158" s="113" t="n"/>
      <c r="Z2158" s="117">
        <f>IF($B2158="",0,IF($S2158="EVET",IF($D2158="GELİR",$O2158,-$O2158),0))</f>
        <v/>
      </c>
      <c r="AA2158" s="117">
        <f>IF($B2158="",0,IF(OR($W2158="EVET",$X2158="EVET",$Y2158="EVET"),0,IF($D2158="GELİR",IF($E2158="SATIŞ İADESİ/İSKONTO",-$O2158,$O2158),-$O2158)))</f>
        <v/>
      </c>
      <c r="AB2158" s="117">
        <f>IF($B2158="","",IF(OR($D2158="",$E2158="",$O2158=""),"EKSİK",IF($O2158&lt;=0,"SIFIR/NEGATİF",IF(COUNTIFS($C$6:$C$5000,$C2158,$O$6:$O$5000,$O2158,$B$6:$B$5000,$B2158)&gt;1,"MÜKERRER","OK"))))</f>
        <v/>
      </c>
    </row>
    <row r="2159" ht="16.5" customHeight="1" s="80">
      <c r="A2159" s="113" t="n"/>
      <c r="B2159" s="113" t="n"/>
      <c r="C2159" s="113" t="n"/>
      <c r="D2159" s="113" t="n"/>
      <c r="E2159" s="113" t="n"/>
      <c r="F2159" s="113" t="n"/>
      <c r="G2159" s="113" t="n"/>
      <c r="H2159" s="113" t="n"/>
      <c r="I2159" s="113" t="n"/>
      <c r="J2159" s="113" t="n"/>
      <c r="K2159" s="113" t="n"/>
      <c r="L2159" s="113" t="n"/>
      <c r="M2159" s="113" t="n"/>
      <c r="N2159" s="113" t="n"/>
      <c r="O2159" s="113" t="n"/>
      <c r="P2159" s="113" t="n"/>
      <c r="Q2159" s="113" t="n"/>
      <c r="R2159" s="113" t="n"/>
      <c r="S2159" s="113" t="n"/>
      <c r="T2159" s="113" t="n"/>
      <c r="U2159" s="113" t="n"/>
      <c r="V2159" s="113" t="n"/>
      <c r="W2159" s="113" t="n"/>
      <c r="X2159" s="113" t="n"/>
      <c r="Y2159" s="113" t="n"/>
      <c r="Z2159" s="117">
        <f>IF($B2159="",0,IF($S2159="EVET",IF($D2159="GELİR",$O2159,-$O2159),0))</f>
        <v/>
      </c>
      <c r="AA2159" s="117">
        <f>IF($B2159="",0,IF(OR($W2159="EVET",$X2159="EVET",$Y2159="EVET"),0,IF($D2159="GELİR",IF($E2159="SATIŞ İADESİ/İSKONTO",-$O2159,$O2159),-$O2159)))</f>
        <v/>
      </c>
      <c r="AB2159" s="117">
        <f>IF($B2159="","",IF(OR($D2159="",$E2159="",$O2159=""),"EKSİK",IF($O2159&lt;=0,"SIFIR/NEGATİF",IF(COUNTIFS($C$6:$C$5000,$C2159,$O$6:$O$5000,$O2159,$B$6:$B$5000,$B2159)&gt;1,"MÜKERRER","OK"))))</f>
        <v/>
      </c>
    </row>
    <row r="2160" ht="16.5" customHeight="1" s="80">
      <c r="A2160" s="113" t="n"/>
      <c r="B2160" s="113" t="n"/>
      <c r="C2160" s="113" t="n"/>
      <c r="D2160" s="113" t="n"/>
      <c r="E2160" s="113" t="n"/>
      <c r="F2160" s="113" t="n"/>
      <c r="G2160" s="113" t="n"/>
      <c r="H2160" s="113" t="n"/>
      <c r="I2160" s="113" t="n"/>
      <c r="J2160" s="113" t="n"/>
      <c r="K2160" s="113" t="n"/>
      <c r="L2160" s="113" t="n"/>
      <c r="M2160" s="113" t="n"/>
      <c r="N2160" s="113" t="n"/>
      <c r="O2160" s="113" t="n"/>
      <c r="P2160" s="113" t="n"/>
      <c r="Q2160" s="113" t="n"/>
      <c r="R2160" s="113" t="n"/>
      <c r="S2160" s="113" t="n"/>
      <c r="T2160" s="113" t="n"/>
      <c r="U2160" s="113" t="n"/>
      <c r="V2160" s="113" t="n"/>
      <c r="W2160" s="113" t="n"/>
      <c r="X2160" s="113" t="n"/>
      <c r="Y2160" s="113" t="n"/>
      <c r="Z2160" s="117">
        <f>IF($B2160="",0,IF($S2160="EVET",IF($D2160="GELİR",$O2160,-$O2160),0))</f>
        <v/>
      </c>
      <c r="AA2160" s="117">
        <f>IF($B2160="",0,IF(OR($W2160="EVET",$X2160="EVET",$Y2160="EVET"),0,IF($D2160="GELİR",IF($E2160="SATIŞ İADESİ/İSKONTO",-$O2160,$O2160),-$O2160)))</f>
        <v/>
      </c>
      <c r="AB2160" s="117">
        <f>IF($B2160="","",IF(OR($D2160="",$E2160="",$O2160=""),"EKSİK",IF($O2160&lt;=0,"SIFIR/NEGATİF",IF(COUNTIFS($C$6:$C$5000,$C2160,$O$6:$O$5000,$O2160,$B$6:$B$5000,$B2160)&gt;1,"MÜKERRER","OK"))))</f>
        <v/>
      </c>
    </row>
    <row r="2161" ht="16.5" customHeight="1" s="80">
      <c r="A2161" s="113" t="n"/>
      <c r="B2161" s="113" t="n"/>
      <c r="C2161" s="113" t="n"/>
      <c r="D2161" s="113" t="n"/>
      <c r="E2161" s="113" t="n"/>
      <c r="F2161" s="113" t="n"/>
      <c r="G2161" s="113" t="n"/>
      <c r="H2161" s="113" t="n"/>
      <c r="I2161" s="113" t="n"/>
      <c r="J2161" s="113" t="n"/>
      <c r="K2161" s="113" t="n"/>
      <c r="L2161" s="113" t="n"/>
      <c r="M2161" s="113" t="n"/>
      <c r="N2161" s="113" t="n"/>
      <c r="O2161" s="113" t="n"/>
      <c r="P2161" s="113" t="n"/>
      <c r="Q2161" s="113" t="n"/>
      <c r="R2161" s="113" t="n"/>
      <c r="S2161" s="113" t="n"/>
      <c r="T2161" s="113" t="n"/>
      <c r="U2161" s="113" t="n"/>
      <c r="V2161" s="113" t="n"/>
      <c r="W2161" s="113" t="n"/>
      <c r="X2161" s="113" t="n"/>
      <c r="Y2161" s="113" t="n"/>
      <c r="Z2161" s="117">
        <f>IF($B2161="",0,IF($S2161="EVET",IF($D2161="GELİR",$O2161,-$O2161),0))</f>
        <v/>
      </c>
      <c r="AA2161" s="117">
        <f>IF($B2161="",0,IF(OR($W2161="EVET",$X2161="EVET",$Y2161="EVET"),0,IF($D2161="GELİR",IF($E2161="SATIŞ İADESİ/İSKONTO",-$O2161,$O2161),-$O2161)))</f>
        <v/>
      </c>
      <c r="AB2161" s="117">
        <f>IF($B2161="","",IF(OR($D2161="",$E2161="",$O2161=""),"EKSİK",IF($O2161&lt;=0,"SIFIR/NEGATİF",IF(COUNTIFS($C$6:$C$5000,$C2161,$O$6:$O$5000,$O2161,$B$6:$B$5000,$B2161)&gt;1,"MÜKERRER","OK"))))</f>
        <v/>
      </c>
    </row>
    <row r="2162" ht="16.5" customHeight="1" s="80">
      <c r="A2162" s="113" t="n"/>
      <c r="B2162" s="113" t="n"/>
      <c r="C2162" s="113" t="n"/>
      <c r="D2162" s="113" t="n"/>
      <c r="E2162" s="113" t="n"/>
      <c r="F2162" s="113" t="n"/>
      <c r="G2162" s="113" t="n"/>
      <c r="H2162" s="113" t="n"/>
      <c r="I2162" s="113" t="n"/>
      <c r="J2162" s="113" t="n"/>
      <c r="K2162" s="113" t="n"/>
      <c r="L2162" s="113" t="n"/>
      <c r="M2162" s="113" t="n"/>
      <c r="N2162" s="113" t="n"/>
      <c r="O2162" s="113" t="n"/>
      <c r="P2162" s="113" t="n"/>
      <c r="Q2162" s="113" t="n"/>
      <c r="R2162" s="113" t="n"/>
      <c r="S2162" s="113" t="n"/>
      <c r="T2162" s="113" t="n"/>
      <c r="U2162" s="113" t="n"/>
      <c r="V2162" s="113" t="n"/>
      <c r="W2162" s="113" t="n"/>
      <c r="X2162" s="113" t="n"/>
      <c r="Y2162" s="113" t="n"/>
      <c r="Z2162" s="117">
        <f>IF($B2162="",0,IF($S2162="EVET",IF($D2162="GELİR",$O2162,-$O2162),0))</f>
        <v/>
      </c>
      <c r="AA2162" s="117">
        <f>IF($B2162="",0,IF(OR($W2162="EVET",$X2162="EVET",$Y2162="EVET"),0,IF($D2162="GELİR",IF($E2162="SATIŞ İADESİ/İSKONTO",-$O2162,$O2162),-$O2162)))</f>
        <v/>
      </c>
      <c r="AB2162" s="117">
        <f>IF($B2162="","",IF(OR($D2162="",$E2162="",$O2162=""),"EKSİK",IF($O2162&lt;=0,"SIFIR/NEGATİF",IF(COUNTIFS($C$6:$C$5000,$C2162,$O$6:$O$5000,$O2162,$B$6:$B$5000,$B2162)&gt;1,"MÜKERRER","OK"))))</f>
        <v/>
      </c>
    </row>
    <row r="2163" ht="16.5" customHeight="1" s="80">
      <c r="A2163" s="113" t="n"/>
      <c r="B2163" s="113" t="n"/>
      <c r="C2163" s="113" t="n"/>
      <c r="D2163" s="113" t="n"/>
      <c r="E2163" s="113" t="n"/>
      <c r="F2163" s="113" t="n"/>
      <c r="G2163" s="113" t="n"/>
      <c r="H2163" s="113" t="n"/>
      <c r="I2163" s="113" t="n"/>
      <c r="J2163" s="113" t="n"/>
      <c r="K2163" s="113" t="n"/>
      <c r="L2163" s="113" t="n"/>
      <c r="M2163" s="113" t="n"/>
      <c r="N2163" s="113" t="n"/>
      <c r="O2163" s="113" t="n"/>
      <c r="P2163" s="113" t="n"/>
      <c r="Q2163" s="113" t="n"/>
      <c r="R2163" s="113" t="n"/>
      <c r="S2163" s="113" t="n"/>
      <c r="T2163" s="113" t="n"/>
      <c r="U2163" s="113" t="n"/>
      <c r="V2163" s="113" t="n"/>
      <c r="W2163" s="113" t="n"/>
      <c r="X2163" s="113" t="n"/>
      <c r="Y2163" s="113" t="n"/>
      <c r="Z2163" s="117">
        <f>IF($B2163="",0,IF($S2163="EVET",IF($D2163="GELİR",$O2163,-$O2163),0))</f>
        <v/>
      </c>
      <c r="AA2163" s="117">
        <f>IF($B2163="",0,IF(OR($W2163="EVET",$X2163="EVET",$Y2163="EVET"),0,IF($D2163="GELİR",IF($E2163="SATIŞ İADESİ/İSKONTO",-$O2163,$O2163),-$O2163)))</f>
        <v/>
      </c>
      <c r="AB2163" s="117">
        <f>IF($B2163="","",IF(OR($D2163="",$E2163="",$O2163=""),"EKSİK",IF($O2163&lt;=0,"SIFIR/NEGATİF",IF(COUNTIFS($C$6:$C$5000,$C2163,$O$6:$O$5000,$O2163,$B$6:$B$5000,$B2163)&gt;1,"MÜKERRER","OK"))))</f>
        <v/>
      </c>
    </row>
    <row r="2164" ht="16.5" customHeight="1" s="80">
      <c r="A2164" s="113" t="n"/>
      <c r="B2164" s="113" t="n"/>
      <c r="C2164" s="113" t="n"/>
      <c r="D2164" s="113" t="n"/>
      <c r="E2164" s="113" t="n"/>
      <c r="F2164" s="113" t="n"/>
      <c r="G2164" s="113" t="n"/>
      <c r="H2164" s="113" t="n"/>
      <c r="I2164" s="113" t="n"/>
      <c r="J2164" s="113" t="n"/>
      <c r="K2164" s="113" t="n"/>
      <c r="L2164" s="113" t="n"/>
      <c r="M2164" s="113" t="n"/>
      <c r="N2164" s="113" t="n"/>
      <c r="O2164" s="113" t="n"/>
      <c r="P2164" s="113" t="n"/>
      <c r="Q2164" s="113" t="n"/>
      <c r="R2164" s="113" t="n"/>
      <c r="S2164" s="113" t="n"/>
      <c r="T2164" s="113" t="n"/>
      <c r="U2164" s="113" t="n"/>
      <c r="V2164" s="113" t="n"/>
      <c r="W2164" s="113" t="n"/>
      <c r="X2164" s="113" t="n"/>
      <c r="Y2164" s="113" t="n"/>
      <c r="Z2164" s="117">
        <f>IF($B2164="",0,IF($S2164="EVET",IF($D2164="GELİR",$O2164,-$O2164),0))</f>
        <v/>
      </c>
      <c r="AA2164" s="117">
        <f>IF($B2164="",0,IF(OR($W2164="EVET",$X2164="EVET",$Y2164="EVET"),0,IF($D2164="GELİR",IF($E2164="SATIŞ İADESİ/İSKONTO",-$O2164,$O2164),-$O2164)))</f>
        <v/>
      </c>
      <c r="AB2164" s="117">
        <f>IF($B2164="","",IF(OR($D2164="",$E2164="",$O2164=""),"EKSİK",IF($O2164&lt;=0,"SIFIR/NEGATİF",IF(COUNTIFS($C$6:$C$5000,$C2164,$O$6:$O$5000,$O2164,$B$6:$B$5000,$B2164)&gt;1,"MÜKERRER","OK"))))</f>
        <v/>
      </c>
    </row>
    <row r="2165" ht="16.5" customHeight="1" s="80">
      <c r="A2165" s="113" t="n"/>
      <c r="B2165" s="113" t="n"/>
      <c r="C2165" s="113" t="n"/>
      <c r="D2165" s="113" t="n"/>
      <c r="E2165" s="113" t="n"/>
      <c r="F2165" s="113" t="n"/>
      <c r="G2165" s="113" t="n"/>
      <c r="H2165" s="113" t="n"/>
      <c r="I2165" s="113" t="n"/>
      <c r="J2165" s="113" t="n"/>
      <c r="K2165" s="113" t="n"/>
      <c r="L2165" s="113" t="n"/>
      <c r="M2165" s="113" t="n"/>
      <c r="N2165" s="113" t="n"/>
      <c r="O2165" s="113" t="n"/>
      <c r="P2165" s="113" t="n"/>
      <c r="Q2165" s="113" t="n"/>
      <c r="R2165" s="113" t="n"/>
      <c r="S2165" s="113" t="n"/>
      <c r="T2165" s="113" t="n"/>
      <c r="U2165" s="113" t="n"/>
      <c r="V2165" s="113" t="n"/>
      <c r="W2165" s="113" t="n"/>
      <c r="X2165" s="113" t="n"/>
      <c r="Y2165" s="113" t="n"/>
      <c r="Z2165" s="117">
        <f>IF($B2165="",0,IF($S2165="EVET",IF($D2165="GELİR",$O2165,-$O2165),0))</f>
        <v/>
      </c>
      <c r="AA2165" s="117">
        <f>IF($B2165="",0,IF(OR($W2165="EVET",$X2165="EVET",$Y2165="EVET"),0,IF($D2165="GELİR",IF($E2165="SATIŞ İADESİ/İSKONTO",-$O2165,$O2165),-$O2165)))</f>
        <v/>
      </c>
      <c r="AB2165" s="117">
        <f>IF($B2165="","",IF(OR($D2165="",$E2165="",$O2165=""),"EKSİK",IF($O2165&lt;=0,"SIFIR/NEGATİF",IF(COUNTIFS($C$6:$C$5000,$C2165,$O$6:$O$5000,$O2165,$B$6:$B$5000,$B2165)&gt;1,"MÜKERRER","OK"))))</f>
        <v/>
      </c>
    </row>
    <row r="2166" ht="16.5" customHeight="1" s="80">
      <c r="A2166" s="113" t="n"/>
      <c r="B2166" s="113" t="n"/>
      <c r="C2166" s="113" t="n"/>
      <c r="D2166" s="113" t="n"/>
      <c r="E2166" s="113" t="n"/>
      <c r="F2166" s="113" t="n"/>
      <c r="G2166" s="113" t="n"/>
      <c r="H2166" s="113" t="n"/>
      <c r="I2166" s="113" t="n"/>
      <c r="J2166" s="113" t="n"/>
      <c r="K2166" s="113" t="n"/>
      <c r="L2166" s="113" t="n"/>
      <c r="M2166" s="113" t="n"/>
      <c r="N2166" s="113" t="n"/>
      <c r="O2166" s="113" t="n"/>
      <c r="P2166" s="113" t="n"/>
      <c r="Q2166" s="113" t="n"/>
      <c r="R2166" s="113" t="n"/>
      <c r="S2166" s="113" t="n"/>
      <c r="T2166" s="113" t="n"/>
      <c r="U2166" s="113" t="n"/>
      <c r="V2166" s="113" t="n"/>
      <c r="W2166" s="113" t="n"/>
      <c r="X2166" s="113" t="n"/>
      <c r="Y2166" s="113" t="n"/>
      <c r="Z2166" s="117">
        <f>IF($B2166="",0,IF($S2166="EVET",IF($D2166="GELİR",$O2166,-$O2166),0))</f>
        <v/>
      </c>
      <c r="AA2166" s="117">
        <f>IF($B2166="",0,IF(OR($W2166="EVET",$X2166="EVET",$Y2166="EVET"),0,IF($D2166="GELİR",IF($E2166="SATIŞ İADESİ/İSKONTO",-$O2166,$O2166),-$O2166)))</f>
        <v/>
      </c>
      <c r="AB2166" s="117">
        <f>IF($B2166="","",IF(OR($D2166="",$E2166="",$O2166=""),"EKSİK",IF($O2166&lt;=0,"SIFIR/NEGATİF",IF(COUNTIFS($C$6:$C$5000,$C2166,$O$6:$O$5000,$O2166,$B$6:$B$5000,$B2166)&gt;1,"MÜKERRER","OK"))))</f>
        <v/>
      </c>
    </row>
    <row r="2167" ht="16.5" customHeight="1" s="80">
      <c r="A2167" s="113" t="n"/>
      <c r="B2167" s="113" t="n"/>
      <c r="C2167" s="113" t="n"/>
      <c r="D2167" s="113" t="n"/>
      <c r="E2167" s="113" t="n"/>
      <c r="F2167" s="113" t="n"/>
      <c r="G2167" s="113" t="n"/>
      <c r="H2167" s="113" t="n"/>
      <c r="I2167" s="113" t="n"/>
      <c r="J2167" s="113" t="n"/>
      <c r="K2167" s="113" t="n"/>
      <c r="L2167" s="113" t="n"/>
      <c r="M2167" s="113" t="n"/>
      <c r="N2167" s="113" t="n"/>
      <c r="O2167" s="113" t="n"/>
      <c r="P2167" s="113" t="n"/>
      <c r="Q2167" s="113" t="n"/>
      <c r="R2167" s="113" t="n"/>
      <c r="S2167" s="113" t="n"/>
      <c r="T2167" s="113" t="n"/>
      <c r="U2167" s="113" t="n"/>
      <c r="V2167" s="113" t="n"/>
      <c r="W2167" s="113" t="n"/>
      <c r="X2167" s="113" t="n"/>
      <c r="Y2167" s="113" t="n"/>
      <c r="Z2167" s="117">
        <f>IF($B2167="",0,IF($S2167="EVET",IF($D2167="GELİR",$O2167,-$O2167),0))</f>
        <v/>
      </c>
      <c r="AA2167" s="117">
        <f>IF($B2167="",0,IF(OR($W2167="EVET",$X2167="EVET",$Y2167="EVET"),0,IF($D2167="GELİR",IF($E2167="SATIŞ İADESİ/İSKONTO",-$O2167,$O2167),-$O2167)))</f>
        <v/>
      </c>
      <c r="AB2167" s="117">
        <f>IF($B2167="","",IF(OR($D2167="",$E2167="",$O2167=""),"EKSİK",IF($O2167&lt;=0,"SIFIR/NEGATİF",IF(COUNTIFS($C$6:$C$5000,$C2167,$O$6:$O$5000,$O2167,$B$6:$B$5000,$B2167)&gt;1,"MÜKERRER","OK"))))</f>
        <v/>
      </c>
    </row>
    <row r="2168" ht="16.5" customHeight="1" s="80">
      <c r="A2168" s="113" t="n"/>
      <c r="B2168" s="113" t="n"/>
      <c r="C2168" s="113" t="n"/>
      <c r="D2168" s="113" t="n"/>
      <c r="E2168" s="113" t="n"/>
      <c r="F2168" s="113" t="n"/>
      <c r="G2168" s="113" t="n"/>
      <c r="H2168" s="113" t="n"/>
      <c r="I2168" s="113" t="n"/>
      <c r="J2168" s="113" t="n"/>
      <c r="K2168" s="113" t="n"/>
      <c r="L2168" s="113" t="n"/>
      <c r="M2168" s="113" t="n"/>
      <c r="N2168" s="113" t="n"/>
      <c r="O2168" s="113" t="n"/>
      <c r="P2168" s="113" t="n"/>
      <c r="Q2168" s="113" t="n"/>
      <c r="R2168" s="113" t="n"/>
      <c r="S2168" s="113" t="n"/>
      <c r="T2168" s="113" t="n"/>
      <c r="U2168" s="113" t="n"/>
      <c r="V2168" s="113" t="n"/>
      <c r="W2168" s="113" t="n"/>
      <c r="X2168" s="113" t="n"/>
      <c r="Y2168" s="113" t="n"/>
      <c r="Z2168" s="117">
        <f>IF($B2168="",0,IF($S2168="EVET",IF($D2168="GELİR",$O2168,-$O2168),0))</f>
        <v/>
      </c>
      <c r="AA2168" s="117">
        <f>IF($B2168="",0,IF(OR($W2168="EVET",$X2168="EVET",$Y2168="EVET"),0,IF($D2168="GELİR",IF($E2168="SATIŞ İADESİ/İSKONTO",-$O2168,$O2168),-$O2168)))</f>
        <v/>
      </c>
      <c r="AB2168" s="117">
        <f>IF($B2168="","",IF(OR($D2168="",$E2168="",$O2168=""),"EKSİK",IF($O2168&lt;=0,"SIFIR/NEGATİF",IF(COUNTIFS($C$6:$C$5000,$C2168,$O$6:$O$5000,$O2168,$B$6:$B$5000,$B2168)&gt;1,"MÜKERRER","OK"))))</f>
        <v/>
      </c>
    </row>
    <row r="2169" ht="16.5" customHeight="1" s="80">
      <c r="A2169" s="113" t="n"/>
      <c r="B2169" s="113" t="n"/>
      <c r="C2169" s="113" t="n"/>
      <c r="D2169" s="113" t="n"/>
      <c r="E2169" s="113" t="n"/>
      <c r="F2169" s="113" t="n"/>
      <c r="G2169" s="113" t="n"/>
      <c r="H2169" s="113" t="n"/>
      <c r="I2169" s="113" t="n"/>
      <c r="J2169" s="113" t="n"/>
      <c r="K2169" s="113" t="n"/>
      <c r="L2169" s="113" t="n"/>
      <c r="M2169" s="113" t="n"/>
      <c r="N2169" s="113" t="n"/>
      <c r="O2169" s="113" t="n"/>
      <c r="P2169" s="113" t="n"/>
      <c r="Q2169" s="113" t="n"/>
      <c r="R2169" s="113" t="n"/>
      <c r="S2169" s="113" t="n"/>
      <c r="T2169" s="113" t="n"/>
      <c r="U2169" s="113" t="n"/>
      <c r="V2169" s="113" t="n"/>
      <c r="W2169" s="113" t="n"/>
      <c r="X2169" s="113" t="n"/>
      <c r="Y2169" s="113" t="n"/>
      <c r="Z2169" s="117">
        <f>IF($B2169="",0,IF($S2169="EVET",IF($D2169="GELİR",$O2169,-$O2169),0))</f>
        <v/>
      </c>
      <c r="AA2169" s="117">
        <f>IF($B2169="",0,IF(OR($W2169="EVET",$X2169="EVET",$Y2169="EVET"),0,IF($D2169="GELİR",IF($E2169="SATIŞ İADESİ/İSKONTO",-$O2169,$O2169),-$O2169)))</f>
        <v/>
      </c>
      <c r="AB2169" s="117">
        <f>IF($B2169="","",IF(OR($D2169="",$E2169="",$O2169=""),"EKSİK",IF($O2169&lt;=0,"SIFIR/NEGATİF",IF(COUNTIFS($C$6:$C$5000,$C2169,$O$6:$O$5000,$O2169,$B$6:$B$5000,$B2169)&gt;1,"MÜKERRER","OK"))))</f>
        <v/>
      </c>
    </row>
    <row r="2170" ht="16.5" customHeight="1" s="80">
      <c r="A2170" s="113" t="n"/>
      <c r="B2170" s="113" t="n"/>
      <c r="C2170" s="113" t="n"/>
      <c r="D2170" s="113" t="n"/>
      <c r="E2170" s="113" t="n"/>
      <c r="F2170" s="113" t="n"/>
      <c r="G2170" s="113" t="n"/>
      <c r="H2170" s="113" t="n"/>
      <c r="I2170" s="113" t="n"/>
      <c r="J2170" s="113" t="n"/>
      <c r="K2170" s="113" t="n"/>
      <c r="L2170" s="113" t="n"/>
      <c r="M2170" s="113" t="n"/>
      <c r="N2170" s="113" t="n"/>
      <c r="O2170" s="113" t="n"/>
      <c r="P2170" s="113" t="n"/>
      <c r="Q2170" s="113" t="n"/>
      <c r="R2170" s="113" t="n"/>
      <c r="S2170" s="113" t="n"/>
      <c r="T2170" s="113" t="n"/>
      <c r="U2170" s="113" t="n"/>
      <c r="V2170" s="113" t="n"/>
      <c r="W2170" s="113" t="n"/>
      <c r="X2170" s="113" t="n"/>
      <c r="Y2170" s="113" t="n"/>
      <c r="Z2170" s="117">
        <f>IF($B2170="",0,IF($S2170="EVET",IF($D2170="GELİR",$O2170,-$O2170),0))</f>
        <v/>
      </c>
      <c r="AA2170" s="117">
        <f>IF($B2170="",0,IF(OR($W2170="EVET",$X2170="EVET",$Y2170="EVET"),0,IF($D2170="GELİR",IF($E2170="SATIŞ İADESİ/İSKONTO",-$O2170,$O2170),-$O2170)))</f>
        <v/>
      </c>
      <c r="AB2170" s="117">
        <f>IF($B2170="","",IF(OR($D2170="",$E2170="",$O2170=""),"EKSİK",IF($O2170&lt;=0,"SIFIR/NEGATİF",IF(COUNTIFS($C$6:$C$5000,$C2170,$O$6:$O$5000,$O2170,$B$6:$B$5000,$B2170)&gt;1,"MÜKERRER","OK"))))</f>
        <v/>
      </c>
    </row>
    <row r="2171" ht="16.5" customHeight="1" s="80">
      <c r="A2171" s="113" t="n"/>
      <c r="B2171" s="113" t="n"/>
      <c r="C2171" s="113" t="n"/>
      <c r="D2171" s="113" t="n"/>
      <c r="E2171" s="113" t="n"/>
      <c r="F2171" s="113" t="n"/>
      <c r="G2171" s="113" t="n"/>
      <c r="H2171" s="113" t="n"/>
      <c r="I2171" s="113" t="n"/>
      <c r="J2171" s="113" t="n"/>
      <c r="K2171" s="113" t="n"/>
      <c r="L2171" s="113" t="n"/>
      <c r="M2171" s="113" t="n"/>
      <c r="N2171" s="113" t="n"/>
      <c r="O2171" s="113" t="n"/>
      <c r="P2171" s="113" t="n"/>
      <c r="Q2171" s="113" t="n"/>
      <c r="R2171" s="113" t="n"/>
      <c r="S2171" s="113" t="n"/>
      <c r="T2171" s="113" t="n"/>
      <c r="U2171" s="113" t="n"/>
      <c r="V2171" s="113" t="n"/>
      <c r="W2171" s="113" t="n"/>
      <c r="X2171" s="113" t="n"/>
      <c r="Y2171" s="113" t="n"/>
      <c r="Z2171" s="117">
        <f>IF($B2171="",0,IF($S2171="EVET",IF($D2171="GELİR",$O2171,-$O2171),0))</f>
        <v/>
      </c>
      <c r="AA2171" s="117">
        <f>IF($B2171="",0,IF(OR($W2171="EVET",$X2171="EVET",$Y2171="EVET"),0,IF($D2171="GELİR",IF($E2171="SATIŞ İADESİ/İSKONTO",-$O2171,$O2171),-$O2171)))</f>
        <v/>
      </c>
      <c r="AB2171" s="117">
        <f>IF($B2171="","",IF(OR($D2171="",$E2171="",$O2171=""),"EKSİK",IF($O2171&lt;=0,"SIFIR/NEGATİF",IF(COUNTIFS($C$6:$C$5000,$C2171,$O$6:$O$5000,$O2171,$B$6:$B$5000,$B2171)&gt;1,"MÜKERRER","OK"))))</f>
        <v/>
      </c>
    </row>
    <row r="2172" ht="16.5" customHeight="1" s="80">
      <c r="A2172" s="113" t="n"/>
      <c r="B2172" s="113" t="n"/>
      <c r="C2172" s="113" t="n"/>
      <c r="D2172" s="113" t="n"/>
      <c r="E2172" s="113" t="n"/>
      <c r="F2172" s="113" t="n"/>
      <c r="G2172" s="113" t="n"/>
      <c r="H2172" s="113" t="n"/>
      <c r="I2172" s="113" t="n"/>
      <c r="J2172" s="113" t="n"/>
      <c r="K2172" s="113" t="n"/>
      <c r="L2172" s="113" t="n"/>
      <c r="M2172" s="113" t="n"/>
      <c r="N2172" s="113" t="n"/>
      <c r="O2172" s="113" t="n"/>
      <c r="P2172" s="113" t="n"/>
      <c r="Q2172" s="113" t="n"/>
      <c r="R2172" s="113" t="n"/>
      <c r="S2172" s="113" t="n"/>
      <c r="T2172" s="113" t="n"/>
      <c r="U2172" s="113" t="n"/>
      <c r="V2172" s="113" t="n"/>
      <c r="W2172" s="113" t="n"/>
      <c r="X2172" s="113" t="n"/>
      <c r="Y2172" s="113" t="n"/>
      <c r="Z2172" s="117">
        <f>IF($B2172="",0,IF($S2172="EVET",IF($D2172="GELİR",$O2172,-$O2172),0))</f>
        <v/>
      </c>
      <c r="AA2172" s="117">
        <f>IF($B2172="",0,IF(OR($W2172="EVET",$X2172="EVET",$Y2172="EVET"),0,IF($D2172="GELİR",IF($E2172="SATIŞ İADESİ/İSKONTO",-$O2172,$O2172),-$O2172)))</f>
        <v/>
      </c>
      <c r="AB2172" s="117">
        <f>IF($B2172="","",IF(OR($D2172="",$E2172="",$O2172=""),"EKSİK",IF($O2172&lt;=0,"SIFIR/NEGATİF",IF(COUNTIFS($C$6:$C$5000,$C2172,$O$6:$O$5000,$O2172,$B$6:$B$5000,$B2172)&gt;1,"MÜKERRER","OK"))))</f>
        <v/>
      </c>
    </row>
    <row r="2173" ht="16.5" customHeight="1" s="80">
      <c r="A2173" s="113" t="n"/>
      <c r="B2173" s="113" t="n"/>
      <c r="C2173" s="113" t="n"/>
      <c r="D2173" s="113" t="n"/>
      <c r="E2173" s="113" t="n"/>
      <c r="F2173" s="113" t="n"/>
      <c r="G2173" s="113" t="n"/>
      <c r="H2173" s="113" t="n"/>
      <c r="I2173" s="113" t="n"/>
      <c r="J2173" s="113" t="n"/>
      <c r="K2173" s="113" t="n"/>
      <c r="L2173" s="113" t="n"/>
      <c r="M2173" s="113" t="n"/>
      <c r="N2173" s="113" t="n"/>
      <c r="O2173" s="113" t="n"/>
      <c r="P2173" s="113" t="n"/>
      <c r="Q2173" s="113" t="n"/>
      <c r="R2173" s="113" t="n"/>
      <c r="S2173" s="113" t="n"/>
      <c r="T2173" s="113" t="n"/>
      <c r="U2173" s="113" t="n"/>
      <c r="V2173" s="113" t="n"/>
      <c r="W2173" s="113" t="n"/>
      <c r="X2173" s="113" t="n"/>
      <c r="Y2173" s="113" t="n"/>
      <c r="Z2173" s="117">
        <f>IF($B2173="",0,IF($S2173="EVET",IF($D2173="GELİR",$O2173,-$O2173),0))</f>
        <v/>
      </c>
      <c r="AA2173" s="117">
        <f>IF($B2173="",0,IF(OR($W2173="EVET",$X2173="EVET",$Y2173="EVET"),0,IF($D2173="GELİR",IF($E2173="SATIŞ İADESİ/İSKONTO",-$O2173,$O2173),-$O2173)))</f>
        <v/>
      </c>
      <c r="AB2173" s="117">
        <f>IF($B2173="","",IF(OR($D2173="",$E2173="",$O2173=""),"EKSİK",IF($O2173&lt;=0,"SIFIR/NEGATİF",IF(COUNTIFS($C$6:$C$5000,$C2173,$O$6:$O$5000,$O2173,$B$6:$B$5000,$B2173)&gt;1,"MÜKERRER","OK"))))</f>
        <v/>
      </c>
    </row>
    <row r="2174" ht="16.5" customHeight="1" s="80">
      <c r="A2174" s="113" t="n"/>
      <c r="B2174" s="113" t="n"/>
      <c r="C2174" s="113" t="n"/>
      <c r="D2174" s="113" t="n"/>
      <c r="E2174" s="113" t="n"/>
      <c r="F2174" s="113" t="n"/>
      <c r="G2174" s="113" t="n"/>
      <c r="H2174" s="113" t="n"/>
      <c r="I2174" s="113" t="n"/>
      <c r="J2174" s="113" t="n"/>
      <c r="K2174" s="113" t="n"/>
      <c r="L2174" s="113" t="n"/>
      <c r="M2174" s="113" t="n"/>
      <c r="N2174" s="113" t="n"/>
      <c r="O2174" s="113" t="n"/>
      <c r="P2174" s="113" t="n"/>
      <c r="Q2174" s="113" t="n"/>
      <c r="R2174" s="113" t="n"/>
      <c r="S2174" s="113" t="n"/>
      <c r="T2174" s="113" t="n"/>
      <c r="U2174" s="113" t="n"/>
      <c r="V2174" s="113" t="n"/>
      <c r="W2174" s="113" t="n"/>
      <c r="X2174" s="113" t="n"/>
      <c r="Y2174" s="113" t="n"/>
      <c r="Z2174" s="117">
        <f>IF($B2174="",0,IF($S2174="EVET",IF($D2174="GELİR",$O2174,-$O2174),0))</f>
        <v/>
      </c>
      <c r="AA2174" s="117">
        <f>IF($B2174="",0,IF(OR($W2174="EVET",$X2174="EVET",$Y2174="EVET"),0,IF($D2174="GELİR",IF($E2174="SATIŞ İADESİ/İSKONTO",-$O2174,$O2174),-$O2174)))</f>
        <v/>
      </c>
      <c r="AB2174" s="117">
        <f>IF($B2174="","",IF(OR($D2174="",$E2174="",$O2174=""),"EKSİK",IF($O2174&lt;=0,"SIFIR/NEGATİF",IF(COUNTIFS($C$6:$C$5000,$C2174,$O$6:$O$5000,$O2174,$B$6:$B$5000,$B2174)&gt;1,"MÜKERRER","OK"))))</f>
        <v/>
      </c>
    </row>
    <row r="2175" ht="16.5" customHeight="1" s="80">
      <c r="A2175" s="113" t="n"/>
      <c r="B2175" s="113" t="n"/>
      <c r="C2175" s="113" t="n"/>
      <c r="D2175" s="113" t="n"/>
      <c r="E2175" s="113" t="n"/>
      <c r="F2175" s="113" t="n"/>
      <c r="G2175" s="113" t="n"/>
      <c r="H2175" s="113" t="n"/>
      <c r="I2175" s="113" t="n"/>
      <c r="J2175" s="113" t="n"/>
      <c r="K2175" s="113" t="n"/>
      <c r="L2175" s="113" t="n"/>
      <c r="M2175" s="113" t="n"/>
      <c r="N2175" s="113" t="n"/>
      <c r="O2175" s="113" t="n"/>
      <c r="P2175" s="113" t="n"/>
      <c r="Q2175" s="113" t="n"/>
      <c r="R2175" s="113" t="n"/>
      <c r="S2175" s="113" t="n"/>
      <c r="T2175" s="113" t="n"/>
      <c r="U2175" s="113" t="n"/>
      <c r="V2175" s="113" t="n"/>
      <c r="W2175" s="113" t="n"/>
      <c r="X2175" s="113" t="n"/>
      <c r="Y2175" s="113" t="n"/>
      <c r="Z2175" s="117">
        <f>IF($B2175="",0,IF($S2175="EVET",IF($D2175="GELİR",$O2175,-$O2175),0))</f>
        <v/>
      </c>
      <c r="AA2175" s="117">
        <f>IF($B2175="",0,IF(OR($W2175="EVET",$X2175="EVET",$Y2175="EVET"),0,IF($D2175="GELİR",IF($E2175="SATIŞ İADESİ/İSKONTO",-$O2175,$O2175),-$O2175)))</f>
        <v/>
      </c>
      <c r="AB2175" s="117">
        <f>IF($B2175="","",IF(OR($D2175="",$E2175="",$O2175=""),"EKSİK",IF($O2175&lt;=0,"SIFIR/NEGATİF",IF(COUNTIFS($C$6:$C$5000,$C2175,$O$6:$O$5000,$O2175,$B$6:$B$5000,$B2175)&gt;1,"MÜKERRER","OK"))))</f>
        <v/>
      </c>
    </row>
    <row r="2176" ht="16.5" customHeight="1" s="80">
      <c r="A2176" s="113" t="n"/>
      <c r="B2176" s="113" t="n"/>
      <c r="C2176" s="113" t="n"/>
      <c r="D2176" s="113" t="n"/>
      <c r="E2176" s="113" t="n"/>
      <c r="F2176" s="113" t="n"/>
      <c r="G2176" s="113" t="n"/>
      <c r="H2176" s="113" t="n"/>
      <c r="I2176" s="113" t="n"/>
      <c r="J2176" s="113" t="n"/>
      <c r="K2176" s="113" t="n"/>
      <c r="L2176" s="113" t="n"/>
      <c r="M2176" s="113" t="n"/>
      <c r="N2176" s="113" t="n"/>
      <c r="O2176" s="113" t="n"/>
      <c r="P2176" s="113" t="n"/>
      <c r="Q2176" s="113" t="n"/>
      <c r="R2176" s="113" t="n"/>
      <c r="S2176" s="113" t="n"/>
      <c r="T2176" s="113" t="n"/>
      <c r="U2176" s="113" t="n"/>
      <c r="V2176" s="113" t="n"/>
      <c r="W2176" s="113" t="n"/>
      <c r="X2176" s="113" t="n"/>
      <c r="Y2176" s="113" t="n"/>
      <c r="Z2176" s="117">
        <f>IF($B2176="",0,IF($S2176="EVET",IF($D2176="GELİR",$O2176,-$O2176),0))</f>
        <v/>
      </c>
      <c r="AA2176" s="117">
        <f>IF($B2176="",0,IF(OR($W2176="EVET",$X2176="EVET",$Y2176="EVET"),0,IF($D2176="GELİR",IF($E2176="SATIŞ İADESİ/İSKONTO",-$O2176,$O2176),-$O2176)))</f>
        <v/>
      </c>
      <c r="AB2176" s="117">
        <f>IF($B2176="","",IF(OR($D2176="",$E2176="",$O2176=""),"EKSİK",IF($O2176&lt;=0,"SIFIR/NEGATİF",IF(COUNTIFS($C$6:$C$5000,$C2176,$O$6:$O$5000,$O2176,$B$6:$B$5000,$B2176)&gt;1,"MÜKERRER","OK"))))</f>
        <v/>
      </c>
    </row>
    <row r="2177" ht="16.5" customHeight="1" s="80">
      <c r="A2177" s="113" t="n"/>
      <c r="B2177" s="113" t="n"/>
      <c r="C2177" s="113" t="n"/>
      <c r="D2177" s="113" t="n"/>
      <c r="E2177" s="113" t="n"/>
      <c r="F2177" s="113" t="n"/>
      <c r="G2177" s="113" t="n"/>
      <c r="H2177" s="113" t="n"/>
      <c r="I2177" s="113" t="n"/>
      <c r="J2177" s="113" t="n"/>
      <c r="K2177" s="113" t="n"/>
      <c r="L2177" s="113" t="n"/>
      <c r="M2177" s="113" t="n"/>
      <c r="N2177" s="113" t="n"/>
      <c r="O2177" s="113" t="n"/>
      <c r="P2177" s="113" t="n"/>
      <c r="Q2177" s="113" t="n"/>
      <c r="R2177" s="113" t="n"/>
      <c r="S2177" s="113" t="n"/>
      <c r="T2177" s="113" t="n"/>
      <c r="U2177" s="113" t="n"/>
      <c r="V2177" s="113" t="n"/>
      <c r="W2177" s="113" t="n"/>
      <c r="X2177" s="113" t="n"/>
      <c r="Y2177" s="113" t="n"/>
      <c r="Z2177" s="117">
        <f>IF($B2177="",0,IF($S2177="EVET",IF($D2177="GELİR",$O2177,-$O2177),0))</f>
        <v/>
      </c>
      <c r="AA2177" s="117">
        <f>IF($B2177="",0,IF(OR($W2177="EVET",$X2177="EVET",$Y2177="EVET"),0,IF($D2177="GELİR",IF($E2177="SATIŞ İADESİ/İSKONTO",-$O2177,$O2177),-$O2177)))</f>
        <v/>
      </c>
      <c r="AB2177" s="117">
        <f>IF($B2177="","",IF(OR($D2177="",$E2177="",$O2177=""),"EKSİK",IF($O2177&lt;=0,"SIFIR/NEGATİF",IF(COUNTIFS($C$6:$C$5000,$C2177,$O$6:$O$5000,$O2177,$B$6:$B$5000,$B2177)&gt;1,"MÜKERRER","OK"))))</f>
        <v/>
      </c>
    </row>
    <row r="2178" ht="16.5" customHeight="1" s="80">
      <c r="A2178" s="113" t="n"/>
      <c r="B2178" s="113" t="n"/>
      <c r="C2178" s="113" t="n"/>
      <c r="D2178" s="113" t="n"/>
      <c r="E2178" s="113" t="n"/>
      <c r="F2178" s="113" t="n"/>
      <c r="G2178" s="113" t="n"/>
      <c r="H2178" s="113" t="n"/>
      <c r="I2178" s="113" t="n"/>
      <c r="J2178" s="113" t="n"/>
      <c r="K2178" s="113" t="n"/>
      <c r="L2178" s="113" t="n"/>
      <c r="M2178" s="113" t="n"/>
      <c r="N2178" s="113" t="n"/>
      <c r="O2178" s="113" t="n"/>
      <c r="P2178" s="113" t="n"/>
      <c r="Q2178" s="113" t="n"/>
      <c r="R2178" s="113" t="n"/>
      <c r="S2178" s="113" t="n"/>
      <c r="T2178" s="113" t="n"/>
      <c r="U2178" s="113" t="n"/>
      <c r="V2178" s="113" t="n"/>
      <c r="W2178" s="113" t="n"/>
      <c r="X2178" s="113" t="n"/>
      <c r="Y2178" s="113" t="n"/>
      <c r="Z2178" s="117">
        <f>IF($B2178="",0,IF($S2178="EVET",IF($D2178="GELİR",$O2178,-$O2178),0))</f>
        <v/>
      </c>
      <c r="AA2178" s="117">
        <f>IF($B2178="",0,IF(OR($W2178="EVET",$X2178="EVET",$Y2178="EVET"),0,IF($D2178="GELİR",IF($E2178="SATIŞ İADESİ/İSKONTO",-$O2178,$O2178),-$O2178)))</f>
        <v/>
      </c>
      <c r="AB2178" s="117">
        <f>IF($B2178="","",IF(OR($D2178="",$E2178="",$O2178=""),"EKSİK",IF($O2178&lt;=0,"SIFIR/NEGATİF",IF(COUNTIFS($C$6:$C$5000,$C2178,$O$6:$O$5000,$O2178,$B$6:$B$5000,$B2178)&gt;1,"MÜKERRER","OK"))))</f>
        <v/>
      </c>
    </row>
    <row r="2179" ht="16.5" customHeight="1" s="80">
      <c r="A2179" s="113" t="n"/>
      <c r="B2179" s="113" t="n"/>
      <c r="C2179" s="113" t="n"/>
      <c r="D2179" s="113" t="n"/>
      <c r="E2179" s="113" t="n"/>
      <c r="F2179" s="113" t="n"/>
      <c r="G2179" s="113" t="n"/>
      <c r="H2179" s="113" t="n"/>
      <c r="I2179" s="113" t="n"/>
      <c r="J2179" s="113" t="n"/>
      <c r="K2179" s="113" t="n"/>
      <c r="L2179" s="113" t="n"/>
      <c r="M2179" s="113" t="n"/>
      <c r="N2179" s="113" t="n"/>
      <c r="O2179" s="113" t="n"/>
      <c r="P2179" s="113" t="n"/>
      <c r="Q2179" s="113" t="n"/>
      <c r="R2179" s="113" t="n"/>
      <c r="S2179" s="113" t="n"/>
      <c r="T2179" s="113" t="n"/>
      <c r="U2179" s="113" t="n"/>
      <c r="V2179" s="113" t="n"/>
      <c r="W2179" s="113" t="n"/>
      <c r="X2179" s="113" t="n"/>
      <c r="Y2179" s="113" t="n"/>
      <c r="Z2179" s="117">
        <f>IF($B2179="",0,IF($S2179="EVET",IF($D2179="GELİR",$O2179,-$O2179),0))</f>
        <v/>
      </c>
      <c r="AA2179" s="117">
        <f>IF($B2179="",0,IF(OR($W2179="EVET",$X2179="EVET",$Y2179="EVET"),0,IF($D2179="GELİR",IF($E2179="SATIŞ İADESİ/İSKONTO",-$O2179,$O2179),-$O2179)))</f>
        <v/>
      </c>
      <c r="AB2179" s="117">
        <f>IF($B2179="","",IF(OR($D2179="",$E2179="",$O2179=""),"EKSİK",IF($O2179&lt;=0,"SIFIR/NEGATİF",IF(COUNTIFS($C$6:$C$5000,$C2179,$O$6:$O$5000,$O2179,$B$6:$B$5000,$B2179)&gt;1,"MÜKERRER","OK"))))</f>
        <v/>
      </c>
    </row>
    <row r="2180" ht="16.5" customHeight="1" s="80">
      <c r="A2180" s="113" t="n"/>
      <c r="B2180" s="113" t="n"/>
      <c r="C2180" s="113" t="n"/>
      <c r="D2180" s="113" t="n"/>
      <c r="E2180" s="113" t="n"/>
      <c r="F2180" s="113" t="n"/>
      <c r="G2180" s="113" t="n"/>
      <c r="H2180" s="113" t="n"/>
      <c r="I2180" s="113" t="n"/>
      <c r="J2180" s="113" t="n"/>
      <c r="K2180" s="113" t="n"/>
      <c r="L2180" s="113" t="n"/>
      <c r="M2180" s="113" t="n"/>
      <c r="N2180" s="113" t="n"/>
      <c r="O2180" s="113" t="n"/>
      <c r="P2180" s="113" t="n"/>
      <c r="Q2180" s="113" t="n"/>
      <c r="R2180" s="113" t="n"/>
      <c r="S2180" s="113" t="n"/>
      <c r="T2180" s="113" t="n"/>
      <c r="U2180" s="113" t="n"/>
      <c r="V2180" s="113" t="n"/>
      <c r="W2180" s="113" t="n"/>
      <c r="X2180" s="113" t="n"/>
      <c r="Y2180" s="113" t="n"/>
      <c r="Z2180" s="117">
        <f>IF($B2180="",0,IF($S2180="EVET",IF($D2180="GELİR",$O2180,-$O2180),0))</f>
        <v/>
      </c>
      <c r="AA2180" s="117">
        <f>IF($B2180="",0,IF(OR($W2180="EVET",$X2180="EVET",$Y2180="EVET"),0,IF($D2180="GELİR",IF($E2180="SATIŞ İADESİ/İSKONTO",-$O2180,$O2180),-$O2180)))</f>
        <v/>
      </c>
      <c r="AB2180" s="117">
        <f>IF($B2180="","",IF(OR($D2180="",$E2180="",$O2180=""),"EKSİK",IF($O2180&lt;=0,"SIFIR/NEGATİF",IF(COUNTIFS($C$6:$C$5000,$C2180,$O$6:$O$5000,$O2180,$B$6:$B$5000,$B2180)&gt;1,"MÜKERRER","OK"))))</f>
        <v/>
      </c>
    </row>
    <row r="2181" ht="16.5" customHeight="1" s="80">
      <c r="A2181" s="113" t="n"/>
      <c r="B2181" s="113" t="n"/>
      <c r="C2181" s="113" t="n"/>
      <c r="D2181" s="113" t="n"/>
      <c r="E2181" s="113" t="n"/>
      <c r="F2181" s="113" t="n"/>
      <c r="G2181" s="113" t="n"/>
      <c r="H2181" s="113" t="n"/>
      <c r="I2181" s="113" t="n"/>
      <c r="J2181" s="113" t="n"/>
      <c r="K2181" s="113" t="n"/>
      <c r="L2181" s="113" t="n"/>
      <c r="M2181" s="113" t="n"/>
      <c r="N2181" s="113" t="n"/>
      <c r="O2181" s="113" t="n"/>
      <c r="P2181" s="113" t="n"/>
      <c r="Q2181" s="113" t="n"/>
      <c r="R2181" s="113" t="n"/>
      <c r="S2181" s="113" t="n"/>
      <c r="T2181" s="113" t="n"/>
      <c r="U2181" s="113" t="n"/>
      <c r="V2181" s="113" t="n"/>
      <c r="W2181" s="113" t="n"/>
      <c r="X2181" s="113" t="n"/>
      <c r="Y2181" s="113" t="n"/>
      <c r="Z2181" s="117">
        <f>IF($B2181="",0,IF($S2181="EVET",IF($D2181="GELİR",$O2181,-$O2181),0))</f>
        <v/>
      </c>
      <c r="AA2181" s="117">
        <f>IF($B2181="",0,IF(OR($W2181="EVET",$X2181="EVET",$Y2181="EVET"),0,IF($D2181="GELİR",IF($E2181="SATIŞ İADESİ/İSKONTO",-$O2181,$O2181),-$O2181)))</f>
        <v/>
      </c>
      <c r="AB2181" s="117">
        <f>IF($B2181="","",IF(OR($D2181="",$E2181="",$O2181=""),"EKSİK",IF($O2181&lt;=0,"SIFIR/NEGATİF",IF(COUNTIFS($C$6:$C$5000,$C2181,$O$6:$O$5000,$O2181,$B$6:$B$5000,$B2181)&gt;1,"MÜKERRER","OK"))))</f>
        <v/>
      </c>
    </row>
    <row r="2182" ht="16.5" customHeight="1" s="80">
      <c r="A2182" s="113" t="n"/>
      <c r="B2182" s="113" t="n"/>
      <c r="C2182" s="113" t="n"/>
      <c r="D2182" s="113" t="n"/>
      <c r="E2182" s="113" t="n"/>
      <c r="F2182" s="113" t="n"/>
      <c r="G2182" s="113" t="n"/>
      <c r="H2182" s="113" t="n"/>
      <c r="I2182" s="113" t="n"/>
      <c r="J2182" s="113" t="n"/>
      <c r="K2182" s="113" t="n"/>
      <c r="L2182" s="113" t="n"/>
      <c r="M2182" s="113" t="n"/>
      <c r="N2182" s="113" t="n"/>
      <c r="O2182" s="113" t="n"/>
      <c r="P2182" s="113" t="n"/>
      <c r="Q2182" s="113" t="n"/>
      <c r="R2182" s="113" t="n"/>
      <c r="S2182" s="113" t="n"/>
      <c r="T2182" s="113" t="n"/>
      <c r="U2182" s="113" t="n"/>
      <c r="V2182" s="113" t="n"/>
      <c r="W2182" s="113" t="n"/>
      <c r="X2182" s="113" t="n"/>
      <c r="Y2182" s="113" t="n"/>
      <c r="Z2182" s="117">
        <f>IF($B2182="",0,IF($S2182="EVET",IF($D2182="GELİR",$O2182,-$O2182),0))</f>
        <v/>
      </c>
      <c r="AA2182" s="117">
        <f>IF($B2182="",0,IF(OR($W2182="EVET",$X2182="EVET",$Y2182="EVET"),0,IF($D2182="GELİR",IF($E2182="SATIŞ İADESİ/İSKONTO",-$O2182,$O2182),-$O2182)))</f>
        <v/>
      </c>
      <c r="AB2182" s="117">
        <f>IF($B2182="","",IF(OR($D2182="",$E2182="",$O2182=""),"EKSİK",IF($O2182&lt;=0,"SIFIR/NEGATİF",IF(COUNTIFS($C$6:$C$5000,$C2182,$O$6:$O$5000,$O2182,$B$6:$B$5000,$B2182)&gt;1,"MÜKERRER","OK"))))</f>
        <v/>
      </c>
    </row>
    <row r="2183" ht="16.5" customHeight="1" s="80">
      <c r="A2183" s="113" t="n"/>
      <c r="B2183" s="113" t="n"/>
      <c r="C2183" s="113" t="n"/>
      <c r="D2183" s="113" t="n"/>
      <c r="E2183" s="113" t="n"/>
      <c r="F2183" s="113" t="n"/>
      <c r="G2183" s="113" t="n"/>
      <c r="H2183" s="113" t="n"/>
      <c r="I2183" s="113" t="n"/>
      <c r="J2183" s="113" t="n"/>
      <c r="K2183" s="113" t="n"/>
      <c r="L2183" s="113" t="n"/>
      <c r="M2183" s="113" t="n"/>
      <c r="N2183" s="113" t="n"/>
      <c r="O2183" s="113" t="n"/>
      <c r="P2183" s="113" t="n"/>
      <c r="Q2183" s="113" t="n"/>
      <c r="R2183" s="113" t="n"/>
      <c r="S2183" s="113" t="n"/>
      <c r="T2183" s="113" t="n"/>
      <c r="U2183" s="113" t="n"/>
      <c r="V2183" s="113" t="n"/>
      <c r="W2183" s="113" t="n"/>
      <c r="X2183" s="113" t="n"/>
      <c r="Y2183" s="113" t="n"/>
      <c r="Z2183" s="117">
        <f>IF($B2183="",0,IF($S2183="EVET",IF($D2183="GELİR",$O2183,-$O2183),0))</f>
        <v/>
      </c>
      <c r="AA2183" s="117">
        <f>IF($B2183="",0,IF(OR($W2183="EVET",$X2183="EVET",$Y2183="EVET"),0,IF($D2183="GELİR",IF($E2183="SATIŞ İADESİ/İSKONTO",-$O2183,$O2183),-$O2183)))</f>
        <v/>
      </c>
      <c r="AB2183" s="117">
        <f>IF($B2183="","",IF(OR($D2183="",$E2183="",$O2183=""),"EKSİK",IF($O2183&lt;=0,"SIFIR/NEGATİF",IF(COUNTIFS($C$6:$C$5000,$C2183,$O$6:$O$5000,$O2183,$B$6:$B$5000,$B2183)&gt;1,"MÜKERRER","OK"))))</f>
        <v/>
      </c>
    </row>
    <row r="2184" ht="16.5" customHeight="1" s="80">
      <c r="A2184" s="113" t="n"/>
      <c r="B2184" s="113" t="n"/>
      <c r="C2184" s="113" t="n"/>
      <c r="D2184" s="113" t="n"/>
      <c r="E2184" s="113" t="n"/>
      <c r="F2184" s="113" t="n"/>
      <c r="G2184" s="113" t="n"/>
      <c r="H2184" s="113" t="n"/>
      <c r="I2184" s="113" t="n"/>
      <c r="J2184" s="113" t="n"/>
      <c r="K2184" s="113" t="n"/>
      <c r="L2184" s="113" t="n"/>
      <c r="M2184" s="113" t="n"/>
      <c r="N2184" s="113" t="n"/>
      <c r="O2184" s="113" t="n"/>
      <c r="P2184" s="113" t="n"/>
      <c r="Q2184" s="113" t="n"/>
      <c r="R2184" s="113" t="n"/>
      <c r="S2184" s="113" t="n"/>
      <c r="T2184" s="113" t="n"/>
      <c r="U2184" s="113" t="n"/>
      <c r="V2184" s="113" t="n"/>
      <c r="W2184" s="113" t="n"/>
      <c r="X2184" s="113" t="n"/>
      <c r="Y2184" s="113" t="n"/>
      <c r="Z2184" s="117">
        <f>IF($B2184="",0,IF($S2184="EVET",IF($D2184="GELİR",$O2184,-$O2184),0))</f>
        <v/>
      </c>
      <c r="AA2184" s="117">
        <f>IF($B2184="",0,IF(OR($W2184="EVET",$X2184="EVET",$Y2184="EVET"),0,IF($D2184="GELİR",IF($E2184="SATIŞ İADESİ/İSKONTO",-$O2184,$O2184),-$O2184)))</f>
        <v/>
      </c>
      <c r="AB2184" s="117">
        <f>IF($B2184="","",IF(OR($D2184="",$E2184="",$O2184=""),"EKSİK",IF($O2184&lt;=0,"SIFIR/NEGATİF",IF(COUNTIFS($C$6:$C$5000,$C2184,$O$6:$O$5000,$O2184,$B$6:$B$5000,$B2184)&gt;1,"MÜKERRER","OK"))))</f>
        <v/>
      </c>
    </row>
    <row r="2185" ht="16.5" customHeight="1" s="80">
      <c r="A2185" s="113" t="n"/>
      <c r="B2185" s="113" t="n"/>
      <c r="C2185" s="113" t="n"/>
      <c r="D2185" s="113" t="n"/>
      <c r="E2185" s="113" t="n"/>
      <c r="F2185" s="113" t="n"/>
      <c r="G2185" s="113" t="n"/>
      <c r="H2185" s="113" t="n"/>
      <c r="I2185" s="113" t="n"/>
      <c r="J2185" s="113" t="n"/>
      <c r="K2185" s="113" t="n"/>
      <c r="L2185" s="113" t="n"/>
      <c r="M2185" s="113" t="n"/>
      <c r="N2185" s="113" t="n"/>
      <c r="O2185" s="113" t="n"/>
      <c r="P2185" s="113" t="n"/>
      <c r="Q2185" s="113" t="n"/>
      <c r="R2185" s="113" t="n"/>
      <c r="S2185" s="113" t="n"/>
      <c r="T2185" s="113" t="n"/>
      <c r="U2185" s="113" t="n"/>
      <c r="V2185" s="113" t="n"/>
      <c r="W2185" s="113" t="n"/>
      <c r="X2185" s="113" t="n"/>
      <c r="Y2185" s="113" t="n"/>
      <c r="Z2185" s="117">
        <f>IF($B2185="",0,IF($S2185="EVET",IF($D2185="GELİR",$O2185,-$O2185),0))</f>
        <v/>
      </c>
      <c r="AA2185" s="117">
        <f>IF($B2185="",0,IF(OR($W2185="EVET",$X2185="EVET",$Y2185="EVET"),0,IF($D2185="GELİR",IF($E2185="SATIŞ İADESİ/İSKONTO",-$O2185,$O2185),-$O2185)))</f>
        <v/>
      </c>
      <c r="AB2185" s="117">
        <f>IF($B2185="","",IF(OR($D2185="",$E2185="",$O2185=""),"EKSİK",IF($O2185&lt;=0,"SIFIR/NEGATİF",IF(COUNTIFS($C$6:$C$5000,$C2185,$O$6:$O$5000,$O2185,$B$6:$B$5000,$B2185)&gt;1,"MÜKERRER","OK"))))</f>
        <v/>
      </c>
    </row>
    <row r="2186" ht="16.5" customHeight="1" s="80">
      <c r="A2186" s="113" t="n"/>
      <c r="B2186" s="113" t="n"/>
      <c r="C2186" s="113" t="n"/>
      <c r="D2186" s="113" t="n"/>
      <c r="E2186" s="113" t="n"/>
      <c r="F2186" s="113" t="n"/>
      <c r="G2186" s="113" t="n"/>
      <c r="H2186" s="113" t="n"/>
      <c r="I2186" s="113" t="n"/>
      <c r="J2186" s="113" t="n"/>
      <c r="K2186" s="113" t="n"/>
      <c r="L2186" s="113" t="n"/>
      <c r="M2186" s="113" t="n"/>
      <c r="N2186" s="113" t="n"/>
      <c r="O2186" s="113" t="n"/>
      <c r="P2186" s="113" t="n"/>
      <c r="Q2186" s="113" t="n"/>
      <c r="R2186" s="113" t="n"/>
      <c r="S2186" s="113" t="n"/>
      <c r="T2186" s="113" t="n"/>
      <c r="U2186" s="113" t="n"/>
      <c r="V2186" s="113" t="n"/>
      <c r="W2186" s="113" t="n"/>
      <c r="X2186" s="113" t="n"/>
      <c r="Y2186" s="113" t="n"/>
      <c r="Z2186" s="117">
        <f>IF($B2186="",0,IF($S2186="EVET",IF($D2186="GELİR",$O2186,-$O2186),0))</f>
        <v/>
      </c>
      <c r="AA2186" s="117">
        <f>IF($B2186="",0,IF(OR($W2186="EVET",$X2186="EVET",$Y2186="EVET"),0,IF($D2186="GELİR",IF($E2186="SATIŞ İADESİ/İSKONTO",-$O2186,$O2186),-$O2186)))</f>
        <v/>
      </c>
      <c r="AB2186" s="117">
        <f>IF($B2186="","",IF(OR($D2186="",$E2186="",$O2186=""),"EKSİK",IF($O2186&lt;=0,"SIFIR/NEGATİF",IF(COUNTIFS($C$6:$C$5000,$C2186,$O$6:$O$5000,$O2186,$B$6:$B$5000,$B2186)&gt;1,"MÜKERRER","OK"))))</f>
        <v/>
      </c>
    </row>
    <row r="2187" ht="16.5" customHeight="1" s="80">
      <c r="A2187" s="113" t="n"/>
      <c r="B2187" s="113" t="n"/>
      <c r="C2187" s="113" t="n"/>
      <c r="D2187" s="113" t="n"/>
      <c r="E2187" s="113" t="n"/>
      <c r="F2187" s="113" t="n"/>
      <c r="G2187" s="113" t="n"/>
      <c r="H2187" s="113" t="n"/>
      <c r="I2187" s="113" t="n"/>
      <c r="J2187" s="113" t="n"/>
      <c r="K2187" s="113" t="n"/>
      <c r="L2187" s="113" t="n"/>
      <c r="M2187" s="113" t="n"/>
      <c r="N2187" s="113" t="n"/>
      <c r="O2187" s="113" t="n"/>
      <c r="P2187" s="113" t="n"/>
      <c r="Q2187" s="113" t="n"/>
      <c r="R2187" s="113" t="n"/>
      <c r="S2187" s="113" t="n"/>
      <c r="T2187" s="113" t="n"/>
      <c r="U2187" s="113" t="n"/>
      <c r="V2187" s="113" t="n"/>
      <c r="W2187" s="113" t="n"/>
      <c r="X2187" s="113" t="n"/>
      <c r="Y2187" s="113" t="n"/>
      <c r="Z2187" s="117">
        <f>IF($B2187="",0,IF($S2187="EVET",IF($D2187="GELİR",$O2187,-$O2187),0))</f>
        <v/>
      </c>
      <c r="AA2187" s="117">
        <f>IF($B2187="",0,IF(OR($W2187="EVET",$X2187="EVET",$Y2187="EVET"),0,IF($D2187="GELİR",IF($E2187="SATIŞ İADESİ/İSKONTO",-$O2187,$O2187),-$O2187)))</f>
        <v/>
      </c>
      <c r="AB2187" s="117">
        <f>IF($B2187="","",IF(OR($D2187="",$E2187="",$O2187=""),"EKSİK",IF($O2187&lt;=0,"SIFIR/NEGATİF",IF(COUNTIFS($C$6:$C$5000,$C2187,$O$6:$O$5000,$O2187,$B$6:$B$5000,$B2187)&gt;1,"MÜKERRER","OK"))))</f>
        <v/>
      </c>
    </row>
    <row r="2188" ht="16.5" customHeight="1" s="80">
      <c r="A2188" s="113" t="n"/>
      <c r="B2188" s="113" t="n"/>
      <c r="C2188" s="113" t="n"/>
      <c r="D2188" s="113" t="n"/>
      <c r="E2188" s="113" t="n"/>
      <c r="F2188" s="113" t="n"/>
      <c r="G2188" s="113" t="n"/>
      <c r="H2188" s="113" t="n"/>
      <c r="I2188" s="113" t="n"/>
      <c r="J2188" s="113" t="n"/>
      <c r="K2188" s="113" t="n"/>
      <c r="L2188" s="113" t="n"/>
      <c r="M2188" s="113" t="n"/>
      <c r="N2188" s="113" t="n"/>
      <c r="O2188" s="113" t="n"/>
      <c r="P2188" s="113" t="n"/>
      <c r="Q2188" s="113" t="n"/>
      <c r="R2188" s="113" t="n"/>
      <c r="S2188" s="113" t="n"/>
      <c r="T2188" s="113" t="n"/>
      <c r="U2188" s="113" t="n"/>
      <c r="V2188" s="113" t="n"/>
      <c r="W2188" s="113" t="n"/>
      <c r="X2188" s="113" t="n"/>
      <c r="Y2188" s="113" t="n"/>
      <c r="Z2188" s="117">
        <f>IF($B2188="",0,IF($S2188="EVET",IF($D2188="GELİR",$O2188,-$O2188),0))</f>
        <v/>
      </c>
      <c r="AA2188" s="117">
        <f>IF($B2188="",0,IF(OR($W2188="EVET",$X2188="EVET",$Y2188="EVET"),0,IF($D2188="GELİR",IF($E2188="SATIŞ İADESİ/İSKONTO",-$O2188,$O2188),-$O2188)))</f>
        <v/>
      </c>
      <c r="AB2188" s="117">
        <f>IF($B2188="","",IF(OR($D2188="",$E2188="",$O2188=""),"EKSİK",IF($O2188&lt;=0,"SIFIR/NEGATİF",IF(COUNTIFS($C$6:$C$5000,$C2188,$O$6:$O$5000,$O2188,$B$6:$B$5000,$B2188)&gt;1,"MÜKERRER","OK"))))</f>
        <v/>
      </c>
    </row>
    <row r="2189" ht="16.5" customHeight="1" s="80">
      <c r="A2189" s="113" t="n"/>
      <c r="B2189" s="113" t="n"/>
      <c r="C2189" s="113" t="n"/>
      <c r="D2189" s="113" t="n"/>
      <c r="E2189" s="113" t="n"/>
      <c r="F2189" s="113" t="n"/>
      <c r="G2189" s="113" t="n"/>
      <c r="H2189" s="113" t="n"/>
      <c r="I2189" s="113" t="n"/>
      <c r="J2189" s="113" t="n"/>
      <c r="K2189" s="113" t="n"/>
      <c r="L2189" s="113" t="n"/>
      <c r="M2189" s="113" t="n"/>
      <c r="N2189" s="113" t="n"/>
      <c r="O2189" s="113" t="n"/>
      <c r="P2189" s="113" t="n"/>
      <c r="Q2189" s="113" t="n"/>
      <c r="R2189" s="113" t="n"/>
      <c r="S2189" s="113" t="n"/>
      <c r="T2189" s="113" t="n"/>
      <c r="U2189" s="113" t="n"/>
      <c r="V2189" s="113" t="n"/>
      <c r="W2189" s="113" t="n"/>
      <c r="X2189" s="113" t="n"/>
      <c r="Y2189" s="113" t="n"/>
      <c r="Z2189" s="117">
        <f>IF($B2189="",0,IF($S2189="EVET",IF($D2189="GELİR",$O2189,-$O2189),0))</f>
        <v/>
      </c>
      <c r="AA2189" s="117">
        <f>IF($B2189="",0,IF(OR($W2189="EVET",$X2189="EVET",$Y2189="EVET"),0,IF($D2189="GELİR",IF($E2189="SATIŞ İADESİ/İSKONTO",-$O2189,$O2189),-$O2189)))</f>
        <v/>
      </c>
      <c r="AB2189" s="117">
        <f>IF($B2189="","",IF(OR($D2189="",$E2189="",$O2189=""),"EKSİK",IF($O2189&lt;=0,"SIFIR/NEGATİF",IF(COUNTIFS($C$6:$C$5000,$C2189,$O$6:$O$5000,$O2189,$B$6:$B$5000,$B2189)&gt;1,"MÜKERRER","OK"))))</f>
        <v/>
      </c>
    </row>
    <row r="2190" ht="16.5" customHeight="1" s="80">
      <c r="A2190" s="113" t="n"/>
      <c r="B2190" s="113" t="n"/>
      <c r="C2190" s="113" t="n"/>
      <c r="D2190" s="113" t="n"/>
      <c r="E2190" s="113" t="n"/>
      <c r="F2190" s="113" t="n"/>
      <c r="G2190" s="113" t="n"/>
      <c r="H2190" s="113" t="n"/>
      <c r="I2190" s="113" t="n"/>
      <c r="J2190" s="113" t="n"/>
      <c r="K2190" s="113" t="n"/>
      <c r="L2190" s="113" t="n"/>
      <c r="M2190" s="113" t="n"/>
      <c r="N2190" s="113" t="n"/>
      <c r="O2190" s="113" t="n"/>
      <c r="P2190" s="113" t="n"/>
      <c r="Q2190" s="113" t="n"/>
      <c r="R2190" s="113" t="n"/>
      <c r="S2190" s="113" t="n"/>
      <c r="T2190" s="113" t="n"/>
      <c r="U2190" s="113" t="n"/>
      <c r="V2190" s="113" t="n"/>
      <c r="W2190" s="113" t="n"/>
      <c r="X2190" s="113" t="n"/>
      <c r="Y2190" s="113" t="n"/>
      <c r="Z2190" s="117">
        <f>IF($B2190="",0,IF($S2190="EVET",IF($D2190="GELİR",$O2190,-$O2190),0))</f>
        <v/>
      </c>
      <c r="AA2190" s="117">
        <f>IF($B2190="",0,IF(OR($W2190="EVET",$X2190="EVET",$Y2190="EVET"),0,IF($D2190="GELİR",IF($E2190="SATIŞ İADESİ/İSKONTO",-$O2190,$O2190),-$O2190)))</f>
        <v/>
      </c>
      <c r="AB2190" s="117">
        <f>IF($B2190="","",IF(OR($D2190="",$E2190="",$O2190=""),"EKSİK",IF($O2190&lt;=0,"SIFIR/NEGATİF",IF(COUNTIFS($C$6:$C$5000,$C2190,$O$6:$O$5000,$O2190,$B$6:$B$5000,$B2190)&gt;1,"MÜKERRER","OK"))))</f>
        <v/>
      </c>
    </row>
    <row r="2191" ht="16.5" customHeight="1" s="80">
      <c r="A2191" s="113" t="n"/>
      <c r="B2191" s="113" t="n"/>
      <c r="C2191" s="113" t="n"/>
      <c r="D2191" s="113" t="n"/>
      <c r="E2191" s="113" t="n"/>
      <c r="F2191" s="113" t="n"/>
      <c r="G2191" s="113" t="n"/>
      <c r="H2191" s="113" t="n"/>
      <c r="I2191" s="113" t="n"/>
      <c r="J2191" s="113" t="n"/>
      <c r="K2191" s="113" t="n"/>
      <c r="L2191" s="113" t="n"/>
      <c r="M2191" s="113" t="n"/>
      <c r="N2191" s="113" t="n"/>
      <c r="O2191" s="113" t="n"/>
      <c r="P2191" s="113" t="n"/>
      <c r="Q2191" s="113" t="n"/>
      <c r="R2191" s="113" t="n"/>
      <c r="S2191" s="113" t="n"/>
      <c r="T2191" s="113" t="n"/>
      <c r="U2191" s="113" t="n"/>
      <c r="V2191" s="113" t="n"/>
      <c r="W2191" s="113" t="n"/>
      <c r="X2191" s="113" t="n"/>
      <c r="Y2191" s="113" t="n"/>
      <c r="Z2191" s="117">
        <f>IF($B2191="",0,IF($S2191="EVET",IF($D2191="GELİR",$O2191,-$O2191),0))</f>
        <v/>
      </c>
      <c r="AA2191" s="117">
        <f>IF($B2191="",0,IF(OR($W2191="EVET",$X2191="EVET",$Y2191="EVET"),0,IF($D2191="GELİR",IF($E2191="SATIŞ İADESİ/İSKONTO",-$O2191,$O2191),-$O2191)))</f>
        <v/>
      </c>
      <c r="AB2191" s="117">
        <f>IF($B2191="","",IF(OR($D2191="",$E2191="",$O2191=""),"EKSİK",IF($O2191&lt;=0,"SIFIR/NEGATİF",IF(COUNTIFS($C$6:$C$5000,$C2191,$O$6:$O$5000,$O2191,$B$6:$B$5000,$B2191)&gt;1,"MÜKERRER","OK"))))</f>
        <v/>
      </c>
    </row>
    <row r="2192" ht="16.5" customHeight="1" s="80">
      <c r="A2192" s="113" t="n"/>
      <c r="B2192" s="113" t="n"/>
      <c r="C2192" s="113" t="n"/>
      <c r="D2192" s="113" t="n"/>
      <c r="E2192" s="113" t="n"/>
      <c r="F2192" s="113" t="n"/>
      <c r="G2192" s="113" t="n"/>
      <c r="H2192" s="113" t="n"/>
      <c r="I2192" s="113" t="n"/>
      <c r="J2192" s="113" t="n"/>
      <c r="K2192" s="113" t="n"/>
      <c r="L2192" s="113" t="n"/>
      <c r="M2192" s="113" t="n"/>
      <c r="N2192" s="113" t="n"/>
      <c r="O2192" s="113" t="n"/>
      <c r="P2192" s="113" t="n"/>
      <c r="Q2192" s="113" t="n"/>
      <c r="R2192" s="113" t="n"/>
      <c r="S2192" s="113" t="n"/>
      <c r="T2192" s="113" t="n"/>
      <c r="U2192" s="113" t="n"/>
      <c r="V2192" s="113" t="n"/>
      <c r="W2192" s="113" t="n"/>
      <c r="X2192" s="113" t="n"/>
      <c r="Y2192" s="113" t="n"/>
      <c r="Z2192" s="117">
        <f>IF($B2192="",0,IF($S2192="EVET",IF($D2192="GELİR",$O2192,-$O2192),0))</f>
        <v/>
      </c>
      <c r="AA2192" s="117">
        <f>IF($B2192="",0,IF(OR($W2192="EVET",$X2192="EVET",$Y2192="EVET"),0,IF($D2192="GELİR",IF($E2192="SATIŞ İADESİ/İSKONTO",-$O2192,$O2192),-$O2192)))</f>
        <v/>
      </c>
      <c r="AB2192" s="117">
        <f>IF($B2192="","",IF(OR($D2192="",$E2192="",$O2192=""),"EKSİK",IF($O2192&lt;=0,"SIFIR/NEGATİF",IF(COUNTIFS($C$6:$C$5000,$C2192,$O$6:$O$5000,$O2192,$B$6:$B$5000,$B2192)&gt;1,"MÜKERRER","OK"))))</f>
        <v/>
      </c>
    </row>
    <row r="2193" ht="16.5" customHeight="1" s="80">
      <c r="A2193" s="113" t="n"/>
      <c r="B2193" s="113" t="n"/>
      <c r="C2193" s="113" t="n"/>
      <c r="D2193" s="113" t="n"/>
      <c r="E2193" s="113" t="n"/>
      <c r="F2193" s="113" t="n"/>
      <c r="G2193" s="113" t="n"/>
      <c r="H2193" s="113" t="n"/>
      <c r="I2193" s="113" t="n"/>
      <c r="J2193" s="113" t="n"/>
      <c r="K2193" s="113" t="n"/>
      <c r="L2193" s="113" t="n"/>
      <c r="M2193" s="113" t="n"/>
      <c r="N2193" s="113" t="n"/>
      <c r="O2193" s="113" t="n"/>
      <c r="P2193" s="113" t="n"/>
      <c r="Q2193" s="113" t="n"/>
      <c r="R2193" s="113" t="n"/>
      <c r="S2193" s="113" t="n"/>
      <c r="T2193" s="113" t="n"/>
      <c r="U2193" s="113" t="n"/>
      <c r="V2193" s="113" t="n"/>
      <c r="W2193" s="113" t="n"/>
      <c r="X2193" s="113" t="n"/>
      <c r="Y2193" s="113" t="n"/>
      <c r="Z2193" s="117">
        <f>IF($B2193="",0,IF($S2193="EVET",IF($D2193="GELİR",$O2193,-$O2193),0))</f>
        <v/>
      </c>
      <c r="AA2193" s="117">
        <f>IF($B2193="",0,IF(OR($W2193="EVET",$X2193="EVET",$Y2193="EVET"),0,IF($D2193="GELİR",IF($E2193="SATIŞ İADESİ/İSKONTO",-$O2193,$O2193),-$O2193)))</f>
        <v/>
      </c>
      <c r="AB2193" s="117">
        <f>IF($B2193="","",IF(OR($D2193="",$E2193="",$O2193=""),"EKSİK",IF($O2193&lt;=0,"SIFIR/NEGATİF",IF(COUNTIFS($C$6:$C$5000,$C2193,$O$6:$O$5000,$O2193,$B$6:$B$5000,$B2193)&gt;1,"MÜKERRER","OK"))))</f>
        <v/>
      </c>
    </row>
    <row r="2194" ht="16.5" customHeight="1" s="80">
      <c r="A2194" s="113" t="n"/>
      <c r="B2194" s="113" t="n"/>
      <c r="C2194" s="113" t="n"/>
      <c r="D2194" s="113" t="n"/>
      <c r="E2194" s="113" t="n"/>
      <c r="F2194" s="113" t="n"/>
      <c r="G2194" s="113" t="n"/>
      <c r="H2194" s="113" t="n"/>
      <c r="I2194" s="113" t="n"/>
      <c r="J2194" s="113" t="n"/>
      <c r="K2194" s="113" t="n"/>
      <c r="L2194" s="113" t="n"/>
      <c r="M2194" s="113" t="n"/>
      <c r="N2194" s="113" t="n"/>
      <c r="O2194" s="113" t="n"/>
      <c r="P2194" s="113" t="n"/>
      <c r="Q2194" s="113" t="n"/>
      <c r="R2194" s="113" t="n"/>
      <c r="S2194" s="113" t="n"/>
      <c r="T2194" s="113" t="n"/>
      <c r="U2194" s="113" t="n"/>
      <c r="V2194" s="113" t="n"/>
      <c r="W2194" s="113" t="n"/>
      <c r="X2194" s="113" t="n"/>
      <c r="Y2194" s="113" t="n"/>
      <c r="Z2194" s="117">
        <f>IF($B2194="",0,IF($S2194="EVET",IF($D2194="GELİR",$O2194,-$O2194),0))</f>
        <v/>
      </c>
      <c r="AA2194" s="117">
        <f>IF($B2194="",0,IF(OR($W2194="EVET",$X2194="EVET",$Y2194="EVET"),0,IF($D2194="GELİR",IF($E2194="SATIŞ İADESİ/İSKONTO",-$O2194,$O2194),-$O2194)))</f>
        <v/>
      </c>
      <c r="AB2194" s="117">
        <f>IF($B2194="","",IF(OR($D2194="",$E2194="",$O2194=""),"EKSİK",IF($O2194&lt;=0,"SIFIR/NEGATİF",IF(COUNTIFS($C$6:$C$5000,$C2194,$O$6:$O$5000,$O2194,$B$6:$B$5000,$B2194)&gt;1,"MÜKERRER","OK"))))</f>
        <v/>
      </c>
    </row>
    <row r="2195" ht="16.5" customHeight="1" s="80">
      <c r="A2195" s="113" t="n"/>
      <c r="B2195" s="113" t="n"/>
      <c r="C2195" s="113" t="n"/>
      <c r="D2195" s="113" t="n"/>
      <c r="E2195" s="113" t="n"/>
      <c r="F2195" s="113" t="n"/>
      <c r="G2195" s="113" t="n"/>
      <c r="H2195" s="113" t="n"/>
      <c r="I2195" s="113" t="n"/>
      <c r="J2195" s="113" t="n"/>
      <c r="K2195" s="113" t="n"/>
      <c r="L2195" s="113" t="n"/>
      <c r="M2195" s="113" t="n"/>
      <c r="N2195" s="113" t="n"/>
      <c r="O2195" s="113" t="n"/>
      <c r="P2195" s="113" t="n"/>
      <c r="Q2195" s="113" t="n"/>
      <c r="R2195" s="113" t="n"/>
      <c r="S2195" s="113" t="n"/>
      <c r="T2195" s="113" t="n"/>
      <c r="U2195" s="113" t="n"/>
      <c r="V2195" s="113" t="n"/>
      <c r="W2195" s="113" t="n"/>
      <c r="X2195" s="113" t="n"/>
      <c r="Y2195" s="113" t="n"/>
      <c r="Z2195" s="117">
        <f>IF($B2195="",0,IF($S2195="EVET",IF($D2195="GELİR",$O2195,-$O2195),0))</f>
        <v/>
      </c>
      <c r="AA2195" s="117">
        <f>IF($B2195="",0,IF(OR($W2195="EVET",$X2195="EVET",$Y2195="EVET"),0,IF($D2195="GELİR",IF($E2195="SATIŞ İADESİ/İSKONTO",-$O2195,$O2195),-$O2195)))</f>
        <v/>
      </c>
      <c r="AB2195" s="117">
        <f>IF($B2195="","",IF(OR($D2195="",$E2195="",$O2195=""),"EKSİK",IF($O2195&lt;=0,"SIFIR/NEGATİF",IF(COUNTIFS($C$6:$C$5000,$C2195,$O$6:$O$5000,$O2195,$B$6:$B$5000,$B2195)&gt;1,"MÜKERRER","OK"))))</f>
        <v/>
      </c>
    </row>
    <row r="2196" ht="16.5" customHeight="1" s="80">
      <c r="A2196" s="113" t="n"/>
      <c r="B2196" s="113" t="n"/>
      <c r="C2196" s="113" t="n"/>
      <c r="D2196" s="113" t="n"/>
      <c r="E2196" s="113" t="n"/>
      <c r="F2196" s="113" t="n"/>
      <c r="G2196" s="113" t="n"/>
      <c r="H2196" s="113" t="n"/>
      <c r="I2196" s="113" t="n"/>
      <c r="J2196" s="113" t="n"/>
      <c r="K2196" s="113" t="n"/>
      <c r="L2196" s="113" t="n"/>
      <c r="M2196" s="113" t="n"/>
      <c r="N2196" s="113" t="n"/>
      <c r="O2196" s="113" t="n"/>
      <c r="P2196" s="113" t="n"/>
      <c r="Q2196" s="113" t="n"/>
      <c r="R2196" s="113" t="n"/>
      <c r="S2196" s="113" t="n"/>
      <c r="T2196" s="113" t="n"/>
      <c r="U2196" s="113" t="n"/>
      <c r="V2196" s="113" t="n"/>
      <c r="W2196" s="113" t="n"/>
      <c r="X2196" s="113" t="n"/>
      <c r="Y2196" s="113" t="n"/>
      <c r="Z2196" s="117">
        <f>IF($B2196="",0,IF($S2196="EVET",IF($D2196="GELİR",$O2196,-$O2196),0))</f>
        <v/>
      </c>
      <c r="AA2196" s="117">
        <f>IF($B2196="",0,IF(OR($W2196="EVET",$X2196="EVET",$Y2196="EVET"),0,IF($D2196="GELİR",IF($E2196="SATIŞ İADESİ/İSKONTO",-$O2196,$O2196),-$O2196)))</f>
        <v/>
      </c>
      <c r="AB2196" s="117">
        <f>IF($B2196="","",IF(OR($D2196="",$E2196="",$O2196=""),"EKSİK",IF($O2196&lt;=0,"SIFIR/NEGATİF",IF(COUNTIFS($C$6:$C$5000,$C2196,$O$6:$O$5000,$O2196,$B$6:$B$5000,$B2196)&gt;1,"MÜKERRER","OK"))))</f>
        <v/>
      </c>
    </row>
    <row r="2197" ht="16.5" customHeight="1" s="80">
      <c r="A2197" s="113" t="n"/>
      <c r="B2197" s="113" t="n"/>
      <c r="C2197" s="113" t="n"/>
      <c r="D2197" s="113" t="n"/>
      <c r="E2197" s="113" t="n"/>
      <c r="F2197" s="113" t="n"/>
      <c r="G2197" s="113" t="n"/>
      <c r="H2197" s="113" t="n"/>
      <c r="I2197" s="113" t="n"/>
      <c r="J2197" s="113" t="n"/>
      <c r="K2197" s="113" t="n"/>
      <c r="L2197" s="113" t="n"/>
      <c r="M2197" s="113" t="n"/>
      <c r="N2197" s="113" t="n"/>
      <c r="O2197" s="113" t="n"/>
      <c r="P2197" s="113" t="n"/>
      <c r="Q2197" s="113" t="n"/>
      <c r="R2197" s="113" t="n"/>
      <c r="S2197" s="113" t="n"/>
      <c r="T2197" s="113" t="n"/>
      <c r="U2197" s="113" t="n"/>
      <c r="V2197" s="113" t="n"/>
      <c r="W2197" s="113" t="n"/>
      <c r="X2197" s="113" t="n"/>
      <c r="Y2197" s="113" t="n"/>
      <c r="Z2197" s="117">
        <f>IF($B2197="",0,IF($S2197="EVET",IF($D2197="GELİR",$O2197,-$O2197),0))</f>
        <v/>
      </c>
      <c r="AA2197" s="117">
        <f>IF($B2197="",0,IF(OR($W2197="EVET",$X2197="EVET",$Y2197="EVET"),0,IF($D2197="GELİR",IF($E2197="SATIŞ İADESİ/İSKONTO",-$O2197,$O2197),-$O2197)))</f>
        <v/>
      </c>
      <c r="AB2197" s="117">
        <f>IF($B2197="","",IF(OR($D2197="",$E2197="",$O2197=""),"EKSİK",IF($O2197&lt;=0,"SIFIR/NEGATİF",IF(COUNTIFS($C$6:$C$5000,$C2197,$O$6:$O$5000,$O2197,$B$6:$B$5000,$B2197)&gt;1,"MÜKERRER","OK"))))</f>
        <v/>
      </c>
    </row>
    <row r="2198" ht="16.5" customHeight="1" s="80">
      <c r="A2198" s="113" t="n"/>
      <c r="B2198" s="113" t="n"/>
      <c r="C2198" s="113" t="n"/>
      <c r="D2198" s="113" t="n"/>
      <c r="E2198" s="113" t="n"/>
      <c r="F2198" s="113" t="n"/>
      <c r="G2198" s="113" t="n"/>
      <c r="H2198" s="113" t="n"/>
      <c r="I2198" s="113" t="n"/>
      <c r="J2198" s="113" t="n"/>
      <c r="K2198" s="113" t="n"/>
      <c r="L2198" s="113" t="n"/>
      <c r="M2198" s="113" t="n"/>
      <c r="N2198" s="113" t="n"/>
      <c r="O2198" s="113" t="n"/>
      <c r="P2198" s="113" t="n"/>
      <c r="Q2198" s="113" t="n"/>
      <c r="R2198" s="113" t="n"/>
      <c r="S2198" s="113" t="n"/>
      <c r="T2198" s="113" t="n"/>
      <c r="U2198" s="113" t="n"/>
      <c r="V2198" s="113" t="n"/>
      <c r="W2198" s="113" t="n"/>
      <c r="X2198" s="113" t="n"/>
      <c r="Y2198" s="113" t="n"/>
      <c r="Z2198" s="117">
        <f>IF($B2198="",0,IF($S2198="EVET",IF($D2198="GELİR",$O2198,-$O2198),0))</f>
        <v/>
      </c>
      <c r="AA2198" s="117">
        <f>IF($B2198="",0,IF(OR($W2198="EVET",$X2198="EVET",$Y2198="EVET"),0,IF($D2198="GELİR",IF($E2198="SATIŞ İADESİ/İSKONTO",-$O2198,$O2198),-$O2198)))</f>
        <v/>
      </c>
      <c r="AB2198" s="117">
        <f>IF($B2198="","",IF(OR($D2198="",$E2198="",$O2198=""),"EKSİK",IF($O2198&lt;=0,"SIFIR/NEGATİF",IF(COUNTIFS($C$6:$C$5000,$C2198,$O$6:$O$5000,$O2198,$B$6:$B$5000,$B2198)&gt;1,"MÜKERRER","OK"))))</f>
        <v/>
      </c>
    </row>
    <row r="2199" ht="16.5" customHeight="1" s="80">
      <c r="A2199" s="113" t="n"/>
      <c r="B2199" s="113" t="n"/>
      <c r="C2199" s="113" t="n"/>
      <c r="D2199" s="113" t="n"/>
      <c r="E2199" s="113" t="n"/>
      <c r="F2199" s="113" t="n"/>
      <c r="G2199" s="113" t="n"/>
      <c r="H2199" s="113" t="n"/>
      <c r="I2199" s="113" t="n"/>
      <c r="J2199" s="113" t="n"/>
      <c r="K2199" s="113" t="n"/>
      <c r="L2199" s="113" t="n"/>
      <c r="M2199" s="113" t="n"/>
      <c r="N2199" s="113" t="n"/>
      <c r="O2199" s="113" t="n"/>
      <c r="P2199" s="113" t="n"/>
      <c r="Q2199" s="113" t="n"/>
      <c r="R2199" s="113" t="n"/>
      <c r="S2199" s="113" t="n"/>
      <c r="T2199" s="113" t="n"/>
      <c r="U2199" s="113" t="n"/>
      <c r="V2199" s="113" t="n"/>
      <c r="W2199" s="113" t="n"/>
      <c r="X2199" s="113" t="n"/>
      <c r="Y2199" s="113" t="n"/>
      <c r="Z2199" s="117">
        <f>IF($B2199="",0,IF($S2199="EVET",IF($D2199="GELİR",$O2199,-$O2199),0))</f>
        <v/>
      </c>
      <c r="AA2199" s="117">
        <f>IF($B2199="",0,IF(OR($W2199="EVET",$X2199="EVET",$Y2199="EVET"),0,IF($D2199="GELİR",IF($E2199="SATIŞ İADESİ/İSKONTO",-$O2199,$O2199),-$O2199)))</f>
        <v/>
      </c>
      <c r="AB2199" s="117">
        <f>IF($B2199="","",IF(OR($D2199="",$E2199="",$O2199=""),"EKSİK",IF($O2199&lt;=0,"SIFIR/NEGATİF",IF(COUNTIFS($C$6:$C$5000,$C2199,$O$6:$O$5000,$O2199,$B$6:$B$5000,$B2199)&gt;1,"MÜKERRER","OK"))))</f>
        <v/>
      </c>
    </row>
    <row r="2200" ht="16.5" customHeight="1" s="80">
      <c r="A2200" s="113" t="n"/>
      <c r="B2200" s="113" t="n"/>
      <c r="C2200" s="113" t="n"/>
      <c r="D2200" s="113" t="n"/>
      <c r="E2200" s="113" t="n"/>
      <c r="F2200" s="113" t="n"/>
      <c r="G2200" s="113" t="n"/>
      <c r="H2200" s="113" t="n"/>
      <c r="I2200" s="113" t="n"/>
      <c r="J2200" s="113" t="n"/>
      <c r="K2200" s="113" t="n"/>
      <c r="L2200" s="113" t="n"/>
      <c r="M2200" s="113" t="n"/>
      <c r="N2200" s="113" t="n"/>
      <c r="O2200" s="113" t="n"/>
      <c r="P2200" s="113" t="n"/>
      <c r="Q2200" s="113" t="n"/>
      <c r="R2200" s="113" t="n"/>
      <c r="S2200" s="113" t="n"/>
      <c r="T2200" s="113" t="n"/>
      <c r="U2200" s="113" t="n"/>
      <c r="V2200" s="113" t="n"/>
      <c r="W2200" s="113" t="n"/>
      <c r="X2200" s="113" t="n"/>
      <c r="Y2200" s="113" t="n"/>
      <c r="Z2200" s="117">
        <f>IF($B2200="",0,IF($S2200="EVET",IF($D2200="GELİR",$O2200,-$O2200),0))</f>
        <v/>
      </c>
      <c r="AA2200" s="117">
        <f>IF($B2200="",0,IF(OR($W2200="EVET",$X2200="EVET",$Y2200="EVET"),0,IF($D2200="GELİR",IF($E2200="SATIŞ İADESİ/İSKONTO",-$O2200,$O2200),-$O2200)))</f>
        <v/>
      </c>
      <c r="AB2200" s="117">
        <f>IF($B2200="","",IF(OR($D2200="",$E2200="",$O2200=""),"EKSİK",IF($O2200&lt;=0,"SIFIR/NEGATİF",IF(COUNTIFS($C$6:$C$5000,$C2200,$O$6:$O$5000,$O2200,$B$6:$B$5000,$B2200)&gt;1,"MÜKERRER","OK"))))</f>
        <v/>
      </c>
    </row>
    <row r="2201" ht="16.5" customHeight="1" s="80">
      <c r="A2201" s="113" t="n"/>
      <c r="B2201" s="113" t="n"/>
      <c r="C2201" s="113" t="n"/>
      <c r="D2201" s="113" t="n"/>
      <c r="E2201" s="113" t="n"/>
      <c r="F2201" s="113" t="n"/>
      <c r="G2201" s="113" t="n"/>
      <c r="H2201" s="113" t="n"/>
      <c r="I2201" s="113" t="n"/>
      <c r="J2201" s="113" t="n"/>
      <c r="K2201" s="113" t="n"/>
      <c r="L2201" s="113" t="n"/>
      <c r="M2201" s="113" t="n"/>
      <c r="N2201" s="113" t="n"/>
      <c r="O2201" s="113" t="n"/>
      <c r="P2201" s="113" t="n"/>
      <c r="Q2201" s="113" t="n"/>
      <c r="R2201" s="113" t="n"/>
      <c r="S2201" s="113" t="n"/>
      <c r="T2201" s="113" t="n"/>
      <c r="U2201" s="113" t="n"/>
      <c r="V2201" s="113" t="n"/>
      <c r="W2201" s="113" t="n"/>
      <c r="X2201" s="113" t="n"/>
      <c r="Y2201" s="113" t="n"/>
      <c r="Z2201" s="117">
        <f>IF($B2201="",0,IF($S2201="EVET",IF($D2201="GELİR",$O2201,-$O2201),0))</f>
        <v/>
      </c>
      <c r="AA2201" s="117">
        <f>IF($B2201="",0,IF(OR($W2201="EVET",$X2201="EVET",$Y2201="EVET"),0,IF($D2201="GELİR",IF($E2201="SATIŞ İADESİ/İSKONTO",-$O2201,$O2201),-$O2201)))</f>
        <v/>
      </c>
      <c r="AB2201" s="117">
        <f>IF($B2201="","",IF(OR($D2201="",$E2201="",$O2201=""),"EKSİK",IF($O2201&lt;=0,"SIFIR/NEGATİF",IF(COUNTIFS($C$6:$C$5000,$C2201,$O$6:$O$5000,$O2201,$B$6:$B$5000,$B2201)&gt;1,"MÜKERRER","OK"))))</f>
        <v/>
      </c>
    </row>
    <row r="2202" ht="16.5" customHeight="1" s="80">
      <c r="A2202" s="113" t="n"/>
      <c r="B2202" s="113" t="n"/>
      <c r="C2202" s="113" t="n"/>
      <c r="D2202" s="113" t="n"/>
      <c r="E2202" s="113" t="n"/>
      <c r="F2202" s="113" t="n"/>
      <c r="G2202" s="113" t="n"/>
      <c r="H2202" s="113" t="n"/>
      <c r="I2202" s="113" t="n"/>
      <c r="J2202" s="113" t="n"/>
      <c r="K2202" s="113" t="n"/>
      <c r="L2202" s="113" t="n"/>
      <c r="M2202" s="113" t="n"/>
      <c r="N2202" s="113" t="n"/>
      <c r="O2202" s="113" t="n"/>
      <c r="P2202" s="113" t="n"/>
      <c r="Q2202" s="113" t="n"/>
      <c r="R2202" s="113" t="n"/>
      <c r="S2202" s="113" t="n"/>
      <c r="T2202" s="113" t="n"/>
      <c r="U2202" s="113" t="n"/>
      <c r="V2202" s="113" t="n"/>
      <c r="W2202" s="113" t="n"/>
      <c r="X2202" s="113" t="n"/>
      <c r="Y2202" s="113" t="n"/>
      <c r="Z2202" s="117">
        <f>IF($B2202="",0,IF($S2202="EVET",IF($D2202="GELİR",$O2202,-$O2202),0))</f>
        <v/>
      </c>
      <c r="AA2202" s="117">
        <f>IF($B2202="",0,IF(OR($W2202="EVET",$X2202="EVET",$Y2202="EVET"),0,IF($D2202="GELİR",IF($E2202="SATIŞ İADESİ/İSKONTO",-$O2202,$O2202),-$O2202)))</f>
        <v/>
      </c>
      <c r="AB2202" s="117">
        <f>IF($B2202="","",IF(OR($D2202="",$E2202="",$O2202=""),"EKSİK",IF($O2202&lt;=0,"SIFIR/NEGATİF",IF(COUNTIFS($C$6:$C$5000,$C2202,$O$6:$O$5000,$O2202,$B$6:$B$5000,$B2202)&gt;1,"MÜKERRER","OK"))))</f>
        <v/>
      </c>
    </row>
    <row r="2203" ht="16.5" customHeight="1" s="80">
      <c r="A2203" s="113" t="n"/>
      <c r="B2203" s="113" t="n"/>
      <c r="C2203" s="113" t="n"/>
      <c r="D2203" s="113" t="n"/>
      <c r="E2203" s="113" t="n"/>
      <c r="F2203" s="113" t="n"/>
      <c r="G2203" s="113" t="n"/>
      <c r="H2203" s="113" t="n"/>
      <c r="I2203" s="113" t="n"/>
      <c r="J2203" s="113" t="n"/>
      <c r="K2203" s="113" t="n"/>
      <c r="L2203" s="113" t="n"/>
      <c r="M2203" s="113" t="n"/>
      <c r="N2203" s="113" t="n"/>
      <c r="O2203" s="113" t="n"/>
      <c r="P2203" s="113" t="n"/>
      <c r="Q2203" s="113" t="n"/>
      <c r="R2203" s="113" t="n"/>
      <c r="S2203" s="113" t="n"/>
      <c r="T2203" s="113" t="n"/>
      <c r="U2203" s="113" t="n"/>
      <c r="V2203" s="113" t="n"/>
      <c r="W2203" s="113" t="n"/>
      <c r="X2203" s="113" t="n"/>
      <c r="Y2203" s="113" t="n"/>
      <c r="Z2203" s="117">
        <f>IF($B2203="",0,IF($S2203="EVET",IF($D2203="GELİR",$O2203,-$O2203),0))</f>
        <v/>
      </c>
      <c r="AA2203" s="117">
        <f>IF($B2203="",0,IF(OR($W2203="EVET",$X2203="EVET",$Y2203="EVET"),0,IF($D2203="GELİR",IF($E2203="SATIŞ İADESİ/İSKONTO",-$O2203,$O2203),-$O2203)))</f>
        <v/>
      </c>
      <c r="AB2203" s="117">
        <f>IF($B2203="","",IF(OR($D2203="",$E2203="",$O2203=""),"EKSİK",IF($O2203&lt;=0,"SIFIR/NEGATİF",IF(COUNTIFS($C$6:$C$5000,$C2203,$O$6:$O$5000,$O2203,$B$6:$B$5000,$B2203)&gt;1,"MÜKERRER","OK"))))</f>
        <v/>
      </c>
    </row>
    <row r="2204" ht="16.5" customHeight="1" s="80">
      <c r="A2204" s="113" t="n"/>
      <c r="B2204" s="113" t="n"/>
      <c r="C2204" s="113" t="n"/>
      <c r="D2204" s="113" t="n"/>
      <c r="E2204" s="113" t="n"/>
      <c r="F2204" s="113" t="n"/>
      <c r="G2204" s="113" t="n"/>
      <c r="H2204" s="113" t="n"/>
      <c r="I2204" s="113" t="n"/>
      <c r="J2204" s="113" t="n"/>
      <c r="K2204" s="113" t="n"/>
      <c r="L2204" s="113" t="n"/>
      <c r="M2204" s="113" t="n"/>
      <c r="N2204" s="113" t="n"/>
      <c r="O2204" s="113" t="n"/>
      <c r="P2204" s="113" t="n"/>
      <c r="Q2204" s="113" t="n"/>
      <c r="R2204" s="113" t="n"/>
      <c r="S2204" s="113" t="n"/>
      <c r="T2204" s="113" t="n"/>
      <c r="U2204" s="113" t="n"/>
      <c r="V2204" s="113" t="n"/>
      <c r="W2204" s="113" t="n"/>
      <c r="X2204" s="113" t="n"/>
      <c r="Y2204" s="113" t="n"/>
      <c r="Z2204" s="117">
        <f>IF($B2204="",0,IF($S2204="EVET",IF($D2204="GELİR",$O2204,-$O2204),0))</f>
        <v/>
      </c>
      <c r="AA2204" s="117">
        <f>IF($B2204="",0,IF(OR($W2204="EVET",$X2204="EVET",$Y2204="EVET"),0,IF($D2204="GELİR",IF($E2204="SATIŞ İADESİ/İSKONTO",-$O2204,$O2204),-$O2204)))</f>
        <v/>
      </c>
      <c r="AB2204" s="117">
        <f>IF($B2204="","",IF(OR($D2204="",$E2204="",$O2204=""),"EKSİK",IF($O2204&lt;=0,"SIFIR/NEGATİF",IF(COUNTIFS($C$6:$C$5000,$C2204,$O$6:$O$5000,$O2204,$B$6:$B$5000,$B2204)&gt;1,"MÜKERRER","OK"))))</f>
        <v/>
      </c>
    </row>
    <row r="2205" ht="16.5" customHeight="1" s="80">
      <c r="A2205" s="113" t="n"/>
      <c r="B2205" s="113" t="n"/>
      <c r="C2205" s="113" t="n"/>
      <c r="D2205" s="113" t="n"/>
      <c r="E2205" s="113" t="n"/>
      <c r="F2205" s="113" t="n"/>
      <c r="G2205" s="113" t="n"/>
      <c r="H2205" s="113" t="n"/>
      <c r="I2205" s="113" t="n"/>
      <c r="J2205" s="113" t="n"/>
      <c r="K2205" s="113" t="n"/>
      <c r="L2205" s="113" t="n"/>
      <c r="M2205" s="113" t="n"/>
      <c r="N2205" s="113" t="n"/>
      <c r="O2205" s="113" t="n"/>
      <c r="P2205" s="113" t="n"/>
      <c r="Q2205" s="113" t="n"/>
      <c r="R2205" s="113" t="n"/>
      <c r="S2205" s="113" t="n"/>
      <c r="T2205" s="113" t="n"/>
      <c r="U2205" s="113" t="n"/>
      <c r="V2205" s="113" t="n"/>
      <c r="W2205" s="113" t="n"/>
      <c r="X2205" s="113" t="n"/>
      <c r="Y2205" s="113" t="n"/>
      <c r="Z2205" s="117">
        <f>IF($B2205="",0,IF($S2205="EVET",IF($D2205="GELİR",$O2205,-$O2205),0))</f>
        <v/>
      </c>
      <c r="AA2205" s="117">
        <f>IF($B2205="",0,IF(OR($W2205="EVET",$X2205="EVET",$Y2205="EVET"),0,IF($D2205="GELİR",IF($E2205="SATIŞ İADESİ/İSKONTO",-$O2205,$O2205),-$O2205)))</f>
        <v/>
      </c>
      <c r="AB2205" s="117">
        <f>IF($B2205="","",IF(OR($D2205="",$E2205="",$O2205=""),"EKSİK",IF($O2205&lt;=0,"SIFIR/NEGATİF",IF(COUNTIFS($C$6:$C$5000,$C2205,$O$6:$O$5000,$O2205,$B$6:$B$5000,$B2205)&gt;1,"MÜKERRER","OK"))))</f>
        <v/>
      </c>
    </row>
    <row r="2206" ht="16.5" customHeight="1" s="80">
      <c r="A2206" s="113" t="n"/>
      <c r="B2206" s="113" t="n"/>
      <c r="C2206" s="113" t="n"/>
      <c r="D2206" s="113" t="n"/>
      <c r="E2206" s="113" t="n"/>
      <c r="F2206" s="113" t="n"/>
      <c r="G2206" s="113" t="n"/>
      <c r="H2206" s="113" t="n"/>
      <c r="I2206" s="113" t="n"/>
      <c r="J2206" s="113" t="n"/>
      <c r="K2206" s="113" t="n"/>
      <c r="L2206" s="113" t="n"/>
      <c r="M2206" s="113" t="n"/>
      <c r="N2206" s="113" t="n"/>
      <c r="O2206" s="113" t="n"/>
      <c r="P2206" s="113" t="n"/>
      <c r="Q2206" s="113" t="n"/>
      <c r="R2206" s="113" t="n"/>
      <c r="S2206" s="113" t="n"/>
      <c r="T2206" s="113" t="n"/>
      <c r="U2206" s="113" t="n"/>
      <c r="V2206" s="113" t="n"/>
      <c r="W2206" s="113" t="n"/>
      <c r="X2206" s="113" t="n"/>
      <c r="Y2206" s="113" t="n"/>
      <c r="Z2206" s="117">
        <f>IF($B2206="",0,IF($S2206="EVET",IF($D2206="GELİR",$O2206,-$O2206),0))</f>
        <v/>
      </c>
      <c r="AA2206" s="117">
        <f>IF($B2206="",0,IF(OR($W2206="EVET",$X2206="EVET",$Y2206="EVET"),0,IF($D2206="GELİR",IF($E2206="SATIŞ İADESİ/İSKONTO",-$O2206,$O2206),-$O2206)))</f>
        <v/>
      </c>
      <c r="AB2206" s="117">
        <f>IF($B2206="","",IF(OR($D2206="",$E2206="",$O2206=""),"EKSİK",IF($O2206&lt;=0,"SIFIR/NEGATİF",IF(COUNTIFS($C$6:$C$5000,$C2206,$O$6:$O$5000,$O2206,$B$6:$B$5000,$B2206)&gt;1,"MÜKERRER","OK"))))</f>
        <v/>
      </c>
    </row>
    <row r="2207" ht="16.5" customHeight="1" s="80">
      <c r="A2207" s="113" t="n"/>
      <c r="B2207" s="113" t="n"/>
      <c r="C2207" s="113" t="n"/>
      <c r="D2207" s="113" t="n"/>
      <c r="E2207" s="113" t="n"/>
      <c r="F2207" s="113" t="n"/>
      <c r="G2207" s="113" t="n"/>
      <c r="H2207" s="113" t="n"/>
      <c r="I2207" s="113" t="n"/>
      <c r="J2207" s="113" t="n"/>
      <c r="K2207" s="113" t="n"/>
      <c r="L2207" s="113" t="n"/>
      <c r="M2207" s="113" t="n"/>
      <c r="N2207" s="113" t="n"/>
      <c r="O2207" s="113" t="n"/>
      <c r="P2207" s="113" t="n"/>
      <c r="Q2207" s="113" t="n"/>
      <c r="R2207" s="113" t="n"/>
      <c r="S2207" s="113" t="n"/>
      <c r="T2207" s="113" t="n"/>
      <c r="U2207" s="113" t="n"/>
      <c r="V2207" s="113" t="n"/>
      <c r="W2207" s="113" t="n"/>
      <c r="X2207" s="113" t="n"/>
      <c r="Y2207" s="113" t="n"/>
      <c r="Z2207" s="117">
        <f>IF($B2207="",0,IF($S2207="EVET",IF($D2207="GELİR",$O2207,-$O2207),0))</f>
        <v/>
      </c>
      <c r="AA2207" s="117">
        <f>IF($B2207="",0,IF(OR($W2207="EVET",$X2207="EVET",$Y2207="EVET"),0,IF($D2207="GELİR",IF($E2207="SATIŞ İADESİ/İSKONTO",-$O2207,$O2207),-$O2207)))</f>
        <v/>
      </c>
      <c r="AB2207" s="117">
        <f>IF($B2207="","",IF(OR($D2207="",$E2207="",$O2207=""),"EKSİK",IF($O2207&lt;=0,"SIFIR/NEGATİF",IF(COUNTIFS($C$6:$C$5000,$C2207,$O$6:$O$5000,$O2207,$B$6:$B$5000,$B2207)&gt;1,"MÜKERRER","OK"))))</f>
        <v/>
      </c>
    </row>
    <row r="2208" ht="16.5" customHeight="1" s="80">
      <c r="A2208" s="113" t="n"/>
      <c r="B2208" s="113" t="n"/>
      <c r="C2208" s="113" t="n"/>
      <c r="D2208" s="113" t="n"/>
      <c r="E2208" s="113" t="n"/>
      <c r="F2208" s="113" t="n"/>
      <c r="G2208" s="113" t="n"/>
      <c r="H2208" s="113" t="n"/>
      <c r="I2208" s="113" t="n"/>
      <c r="J2208" s="113" t="n"/>
      <c r="K2208" s="113" t="n"/>
      <c r="L2208" s="113" t="n"/>
      <c r="M2208" s="113" t="n"/>
      <c r="N2208" s="113" t="n"/>
      <c r="O2208" s="113" t="n"/>
      <c r="P2208" s="113" t="n"/>
      <c r="Q2208" s="113" t="n"/>
      <c r="R2208" s="113" t="n"/>
      <c r="S2208" s="113" t="n"/>
      <c r="T2208" s="113" t="n"/>
      <c r="U2208" s="113" t="n"/>
      <c r="V2208" s="113" t="n"/>
      <c r="W2208" s="113" t="n"/>
      <c r="X2208" s="113" t="n"/>
      <c r="Y2208" s="113" t="n"/>
      <c r="Z2208" s="117">
        <f>IF($B2208="",0,IF($S2208="EVET",IF($D2208="GELİR",$O2208,-$O2208),0))</f>
        <v/>
      </c>
      <c r="AA2208" s="117">
        <f>IF($B2208="",0,IF(OR($W2208="EVET",$X2208="EVET",$Y2208="EVET"),0,IF($D2208="GELİR",IF($E2208="SATIŞ İADESİ/İSKONTO",-$O2208,$O2208),-$O2208)))</f>
        <v/>
      </c>
      <c r="AB2208" s="117">
        <f>IF($B2208="","",IF(OR($D2208="",$E2208="",$O2208=""),"EKSİK",IF($O2208&lt;=0,"SIFIR/NEGATİF",IF(COUNTIFS($C$6:$C$5000,$C2208,$O$6:$O$5000,$O2208,$B$6:$B$5000,$B2208)&gt;1,"MÜKERRER","OK"))))</f>
        <v/>
      </c>
    </row>
    <row r="2209" ht="16.5" customHeight="1" s="80">
      <c r="A2209" s="113" t="n"/>
      <c r="B2209" s="113" t="n"/>
      <c r="C2209" s="113" t="n"/>
      <c r="D2209" s="113" t="n"/>
      <c r="E2209" s="113" t="n"/>
      <c r="F2209" s="113" t="n"/>
      <c r="G2209" s="113" t="n"/>
      <c r="H2209" s="113" t="n"/>
      <c r="I2209" s="113" t="n"/>
      <c r="J2209" s="113" t="n"/>
      <c r="K2209" s="113" t="n"/>
      <c r="L2209" s="113" t="n"/>
      <c r="M2209" s="113" t="n"/>
      <c r="N2209" s="113" t="n"/>
      <c r="O2209" s="113" t="n"/>
      <c r="P2209" s="113" t="n"/>
      <c r="Q2209" s="113" t="n"/>
      <c r="R2209" s="113" t="n"/>
      <c r="S2209" s="113" t="n"/>
      <c r="T2209" s="113" t="n"/>
      <c r="U2209" s="113" t="n"/>
      <c r="V2209" s="113" t="n"/>
      <c r="W2209" s="113" t="n"/>
      <c r="X2209" s="113" t="n"/>
      <c r="Y2209" s="113" t="n"/>
      <c r="Z2209" s="117">
        <f>IF($B2209="",0,IF($S2209="EVET",IF($D2209="GELİR",$O2209,-$O2209),0))</f>
        <v/>
      </c>
      <c r="AA2209" s="117">
        <f>IF($B2209="",0,IF(OR($W2209="EVET",$X2209="EVET",$Y2209="EVET"),0,IF($D2209="GELİR",IF($E2209="SATIŞ İADESİ/İSKONTO",-$O2209,$O2209),-$O2209)))</f>
        <v/>
      </c>
      <c r="AB2209" s="117">
        <f>IF($B2209="","",IF(OR($D2209="",$E2209="",$O2209=""),"EKSİK",IF($O2209&lt;=0,"SIFIR/NEGATİF",IF(COUNTIFS($C$6:$C$5000,$C2209,$O$6:$O$5000,$O2209,$B$6:$B$5000,$B2209)&gt;1,"MÜKERRER","OK"))))</f>
        <v/>
      </c>
    </row>
    <row r="2210" ht="16.5" customHeight="1" s="80">
      <c r="A2210" s="113" t="n"/>
      <c r="B2210" s="113" t="n"/>
      <c r="C2210" s="113" t="n"/>
      <c r="D2210" s="113" t="n"/>
      <c r="E2210" s="113" t="n"/>
      <c r="F2210" s="113" t="n"/>
      <c r="G2210" s="113" t="n"/>
      <c r="H2210" s="113" t="n"/>
      <c r="I2210" s="113" t="n"/>
      <c r="J2210" s="113" t="n"/>
      <c r="K2210" s="113" t="n"/>
      <c r="L2210" s="113" t="n"/>
      <c r="M2210" s="113" t="n"/>
      <c r="N2210" s="113" t="n"/>
      <c r="O2210" s="113" t="n"/>
      <c r="P2210" s="113" t="n"/>
      <c r="Q2210" s="113" t="n"/>
      <c r="R2210" s="113" t="n"/>
      <c r="S2210" s="113" t="n"/>
      <c r="T2210" s="113" t="n"/>
      <c r="U2210" s="113" t="n"/>
      <c r="V2210" s="113" t="n"/>
      <c r="W2210" s="113" t="n"/>
      <c r="X2210" s="113" t="n"/>
      <c r="Y2210" s="113" t="n"/>
      <c r="Z2210" s="117">
        <f>IF($B2210="",0,IF($S2210="EVET",IF($D2210="GELİR",$O2210,-$O2210),0))</f>
        <v/>
      </c>
      <c r="AA2210" s="117">
        <f>IF($B2210="",0,IF(OR($W2210="EVET",$X2210="EVET",$Y2210="EVET"),0,IF($D2210="GELİR",IF($E2210="SATIŞ İADESİ/İSKONTO",-$O2210,$O2210),-$O2210)))</f>
        <v/>
      </c>
      <c r="AB2210" s="117">
        <f>IF($B2210="","",IF(OR($D2210="",$E2210="",$O2210=""),"EKSİK",IF($O2210&lt;=0,"SIFIR/NEGATİF",IF(COUNTIFS($C$6:$C$5000,$C2210,$O$6:$O$5000,$O2210,$B$6:$B$5000,$B2210)&gt;1,"MÜKERRER","OK"))))</f>
        <v/>
      </c>
    </row>
    <row r="2211" ht="16.5" customHeight="1" s="80">
      <c r="A2211" s="113" t="n"/>
      <c r="B2211" s="113" t="n"/>
      <c r="C2211" s="113" t="n"/>
      <c r="D2211" s="113" t="n"/>
      <c r="E2211" s="113" t="n"/>
      <c r="F2211" s="113" t="n"/>
      <c r="G2211" s="113" t="n"/>
      <c r="H2211" s="113" t="n"/>
      <c r="I2211" s="113" t="n"/>
      <c r="J2211" s="113" t="n"/>
      <c r="K2211" s="113" t="n"/>
      <c r="L2211" s="113" t="n"/>
      <c r="M2211" s="113" t="n"/>
      <c r="N2211" s="113" t="n"/>
      <c r="O2211" s="113" t="n"/>
      <c r="P2211" s="113" t="n"/>
      <c r="Q2211" s="113" t="n"/>
      <c r="R2211" s="113" t="n"/>
      <c r="S2211" s="113" t="n"/>
      <c r="T2211" s="113" t="n"/>
      <c r="U2211" s="113" t="n"/>
      <c r="V2211" s="113" t="n"/>
      <c r="W2211" s="113" t="n"/>
      <c r="X2211" s="113" t="n"/>
      <c r="Y2211" s="113" t="n"/>
      <c r="Z2211" s="117">
        <f>IF($B2211="",0,IF($S2211="EVET",IF($D2211="GELİR",$O2211,-$O2211),0))</f>
        <v/>
      </c>
      <c r="AA2211" s="117">
        <f>IF($B2211="",0,IF(OR($W2211="EVET",$X2211="EVET",$Y2211="EVET"),0,IF($D2211="GELİR",IF($E2211="SATIŞ İADESİ/İSKONTO",-$O2211,$O2211),-$O2211)))</f>
        <v/>
      </c>
      <c r="AB2211" s="117">
        <f>IF($B2211="","",IF(OR($D2211="",$E2211="",$O2211=""),"EKSİK",IF($O2211&lt;=0,"SIFIR/NEGATİF",IF(COUNTIFS($C$6:$C$5000,$C2211,$O$6:$O$5000,$O2211,$B$6:$B$5000,$B2211)&gt;1,"MÜKERRER","OK"))))</f>
        <v/>
      </c>
    </row>
    <row r="2212" ht="16.5" customHeight="1" s="80">
      <c r="A2212" s="113" t="n"/>
      <c r="B2212" s="113" t="n"/>
      <c r="C2212" s="113" t="n"/>
      <c r="D2212" s="113" t="n"/>
      <c r="E2212" s="113" t="n"/>
      <c r="F2212" s="113" t="n"/>
      <c r="G2212" s="113" t="n"/>
      <c r="H2212" s="113" t="n"/>
      <c r="I2212" s="113" t="n"/>
      <c r="J2212" s="113" t="n"/>
      <c r="K2212" s="113" t="n"/>
      <c r="L2212" s="113" t="n"/>
      <c r="M2212" s="113" t="n"/>
      <c r="N2212" s="113" t="n"/>
      <c r="O2212" s="113" t="n"/>
      <c r="P2212" s="113" t="n"/>
      <c r="Q2212" s="113" t="n"/>
      <c r="R2212" s="113" t="n"/>
      <c r="S2212" s="113" t="n"/>
      <c r="T2212" s="113" t="n"/>
      <c r="U2212" s="113" t="n"/>
      <c r="V2212" s="113" t="n"/>
      <c r="W2212" s="113" t="n"/>
      <c r="X2212" s="113" t="n"/>
      <c r="Y2212" s="113" t="n"/>
      <c r="Z2212" s="117">
        <f>IF($B2212="",0,IF($S2212="EVET",IF($D2212="GELİR",$O2212,-$O2212),0))</f>
        <v/>
      </c>
      <c r="AA2212" s="117">
        <f>IF($B2212="",0,IF(OR($W2212="EVET",$X2212="EVET",$Y2212="EVET"),0,IF($D2212="GELİR",IF($E2212="SATIŞ İADESİ/İSKONTO",-$O2212,$O2212),-$O2212)))</f>
        <v/>
      </c>
      <c r="AB2212" s="117">
        <f>IF($B2212="","",IF(OR($D2212="",$E2212="",$O2212=""),"EKSİK",IF($O2212&lt;=0,"SIFIR/NEGATİF",IF(COUNTIFS($C$6:$C$5000,$C2212,$O$6:$O$5000,$O2212,$B$6:$B$5000,$B2212)&gt;1,"MÜKERRER","OK"))))</f>
        <v/>
      </c>
    </row>
    <row r="2213" ht="16.5" customHeight="1" s="80">
      <c r="A2213" s="113" t="n"/>
      <c r="B2213" s="113" t="n"/>
      <c r="C2213" s="113" t="n"/>
      <c r="D2213" s="113" t="n"/>
      <c r="E2213" s="113" t="n"/>
      <c r="F2213" s="113" t="n"/>
      <c r="G2213" s="113" t="n"/>
      <c r="H2213" s="113" t="n"/>
      <c r="I2213" s="113" t="n"/>
      <c r="J2213" s="113" t="n"/>
      <c r="K2213" s="113" t="n"/>
      <c r="L2213" s="113" t="n"/>
      <c r="M2213" s="113" t="n"/>
      <c r="N2213" s="113" t="n"/>
      <c r="O2213" s="113" t="n"/>
      <c r="P2213" s="113" t="n"/>
      <c r="Q2213" s="113" t="n"/>
      <c r="R2213" s="113" t="n"/>
      <c r="S2213" s="113" t="n"/>
      <c r="T2213" s="113" t="n"/>
      <c r="U2213" s="113" t="n"/>
      <c r="V2213" s="113" t="n"/>
      <c r="W2213" s="113" t="n"/>
      <c r="X2213" s="113" t="n"/>
      <c r="Y2213" s="113" t="n"/>
      <c r="Z2213" s="117">
        <f>IF($B2213="",0,IF($S2213="EVET",IF($D2213="GELİR",$O2213,-$O2213),0))</f>
        <v/>
      </c>
      <c r="AA2213" s="117">
        <f>IF($B2213="",0,IF(OR($W2213="EVET",$X2213="EVET",$Y2213="EVET"),0,IF($D2213="GELİR",IF($E2213="SATIŞ İADESİ/İSKONTO",-$O2213,$O2213),-$O2213)))</f>
        <v/>
      </c>
      <c r="AB2213" s="117">
        <f>IF($B2213="","",IF(OR($D2213="",$E2213="",$O2213=""),"EKSİK",IF($O2213&lt;=0,"SIFIR/NEGATİF",IF(COUNTIFS($C$6:$C$5000,$C2213,$O$6:$O$5000,$O2213,$B$6:$B$5000,$B2213)&gt;1,"MÜKERRER","OK"))))</f>
        <v/>
      </c>
    </row>
    <row r="2214" ht="16.5" customHeight="1" s="80">
      <c r="A2214" s="113" t="n"/>
      <c r="B2214" s="113" t="n"/>
      <c r="C2214" s="113" t="n"/>
      <c r="D2214" s="113" t="n"/>
      <c r="E2214" s="113" t="n"/>
      <c r="F2214" s="113" t="n"/>
      <c r="G2214" s="113" t="n"/>
      <c r="H2214" s="113" t="n"/>
      <c r="I2214" s="113" t="n"/>
      <c r="J2214" s="113" t="n"/>
      <c r="K2214" s="113" t="n"/>
      <c r="L2214" s="113" t="n"/>
      <c r="M2214" s="113" t="n"/>
      <c r="N2214" s="113" t="n"/>
      <c r="O2214" s="113" t="n"/>
      <c r="P2214" s="113" t="n"/>
      <c r="Q2214" s="113" t="n"/>
      <c r="R2214" s="113" t="n"/>
      <c r="S2214" s="113" t="n"/>
      <c r="T2214" s="113" t="n"/>
      <c r="U2214" s="113" t="n"/>
      <c r="V2214" s="113" t="n"/>
      <c r="W2214" s="113" t="n"/>
      <c r="X2214" s="113" t="n"/>
      <c r="Y2214" s="113" t="n"/>
      <c r="Z2214" s="117">
        <f>IF($B2214="",0,IF($S2214="EVET",IF($D2214="GELİR",$O2214,-$O2214),0))</f>
        <v/>
      </c>
      <c r="AA2214" s="117">
        <f>IF($B2214="",0,IF(OR($W2214="EVET",$X2214="EVET",$Y2214="EVET"),0,IF($D2214="GELİR",IF($E2214="SATIŞ İADESİ/İSKONTO",-$O2214,$O2214),-$O2214)))</f>
        <v/>
      </c>
      <c r="AB2214" s="117">
        <f>IF($B2214="","",IF(OR($D2214="",$E2214="",$O2214=""),"EKSİK",IF($O2214&lt;=0,"SIFIR/NEGATİF",IF(COUNTIFS($C$6:$C$5000,$C2214,$O$6:$O$5000,$O2214,$B$6:$B$5000,$B2214)&gt;1,"MÜKERRER","OK"))))</f>
        <v/>
      </c>
    </row>
    <row r="2215" ht="16.5" customHeight="1" s="80">
      <c r="A2215" s="113" t="n"/>
      <c r="B2215" s="113" t="n"/>
      <c r="C2215" s="113" t="n"/>
      <c r="D2215" s="113" t="n"/>
      <c r="E2215" s="113" t="n"/>
      <c r="F2215" s="113" t="n"/>
      <c r="G2215" s="113" t="n"/>
      <c r="H2215" s="113" t="n"/>
      <c r="I2215" s="113" t="n"/>
      <c r="J2215" s="113" t="n"/>
      <c r="K2215" s="113" t="n"/>
      <c r="L2215" s="113" t="n"/>
      <c r="M2215" s="113" t="n"/>
      <c r="N2215" s="113" t="n"/>
      <c r="O2215" s="113" t="n"/>
      <c r="P2215" s="113" t="n"/>
      <c r="Q2215" s="113" t="n"/>
      <c r="R2215" s="113" t="n"/>
      <c r="S2215" s="113" t="n"/>
      <c r="T2215" s="113" t="n"/>
      <c r="U2215" s="113" t="n"/>
      <c r="V2215" s="113" t="n"/>
      <c r="W2215" s="113" t="n"/>
      <c r="X2215" s="113" t="n"/>
      <c r="Y2215" s="113" t="n"/>
      <c r="Z2215" s="117">
        <f>IF($B2215="",0,IF($S2215="EVET",IF($D2215="GELİR",$O2215,-$O2215),0))</f>
        <v/>
      </c>
      <c r="AA2215" s="117">
        <f>IF($B2215="",0,IF(OR($W2215="EVET",$X2215="EVET",$Y2215="EVET"),0,IF($D2215="GELİR",IF($E2215="SATIŞ İADESİ/İSKONTO",-$O2215,$O2215),-$O2215)))</f>
        <v/>
      </c>
      <c r="AB2215" s="117">
        <f>IF($B2215="","",IF(OR($D2215="",$E2215="",$O2215=""),"EKSİK",IF($O2215&lt;=0,"SIFIR/NEGATİF",IF(COUNTIFS($C$6:$C$5000,$C2215,$O$6:$O$5000,$O2215,$B$6:$B$5000,$B2215)&gt;1,"MÜKERRER","OK"))))</f>
        <v/>
      </c>
    </row>
    <row r="2216" ht="16.5" customHeight="1" s="80">
      <c r="A2216" s="113" t="n"/>
      <c r="B2216" s="113" t="n"/>
      <c r="C2216" s="113" t="n"/>
      <c r="D2216" s="113" t="n"/>
      <c r="E2216" s="113" t="n"/>
      <c r="F2216" s="113" t="n"/>
      <c r="G2216" s="113" t="n"/>
      <c r="H2216" s="113" t="n"/>
      <c r="I2216" s="113" t="n"/>
      <c r="J2216" s="113" t="n"/>
      <c r="K2216" s="113" t="n"/>
      <c r="L2216" s="113" t="n"/>
      <c r="M2216" s="113" t="n"/>
      <c r="N2216" s="113" t="n"/>
      <c r="O2216" s="113" t="n"/>
      <c r="P2216" s="113" t="n"/>
      <c r="Q2216" s="113" t="n"/>
      <c r="R2216" s="113" t="n"/>
      <c r="S2216" s="113" t="n"/>
      <c r="T2216" s="113" t="n"/>
      <c r="U2216" s="113" t="n"/>
      <c r="V2216" s="113" t="n"/>
      <c r="W2216" s="113" t="n"/>
      <c r="X2216" s="113" t="n"/>
      <c r="Y2216" s="113" t="n"/>
      <c r="Z2216" s="117">
        <f>IF($B2216="",0,IF($S2216="EVET",IF($D2216="GELİR",$O2216,-$O2216),0))</f>
        <v/>
      </c>
      <c r="AA2216" s="117">
        <f>IF($B2216="",0,IF(OR($W2216="EVET",$X2216="EVET",$Y2216="EVET"),0,IF($D2216="GELİR",IF($E2216="SATIŞ İADESİ/İSKONTO",-$O2216,$O2216),-$O2216)))</f>
        <v/>
      </c>
      <c r="AB2216" s="117">
        <f>IF($B2216="","",IF(OR($D2216="",$E2216="",$O2216=""),"EKSİK",IF($O2216&lt;=0,"SIFIR/NEGATİF",IF(COUNTIFS($C$6:$C$5000,$C2216,$O$6:$O$5000,$O2216,$B$6:$B$5000,$B2216)&gt;1,"MÜKERRER","OK"))))</f>
        <v/>
      </c>
    </row>
    <row r="2217" ht="16.5" customHeight="1" s="80">
      <c r="A2217" s="113" t="n"/>
      <c r="B2217" s="113" t="n"/>
      <c r="C2217" s="113" t="n"/>
      <c r="D2217" s="113" t="n"/>
      <c r="E2217" s="113" t="n"/>
      <c r="F2217" s="113" t="n"/>
      <c r="G2217" s="113" t="n"/>
      <c r="H2217" s="113" t="n"/>
      <c r="I2217" s="113" t="n"/>
      <c r="J2217" s="113" t="n"/>
      <c r="K2217" s="113" t="n"/>
      <c r="L2217" s="113" t="n"/>
      <c r="M2217" s="113" t="n"/>
      <c r="N2217" s="113" t="n"/>
      <c r="O2217" s="113" t="n"/>
      <c r="P2217" s="113" t="n"/>
      <c r="Q2217" s="113" t="n"/>
      <c r="R2217" s="113" t="n"/>
      <c r="S2217" s="113" t="n"/>
      <c r="T2217" s="113" t="n"/>
      <c r="U2217" s="113" t="n"/>
      <c r="V2217" s="113" t="n"/>
      <c r="W2217" s="113" t="n"/>
      <c r="X2217" s="113" t="n"/>
      <c r="Y2217" s="113" t="n"/>
      <c r="Z2217" s="117">
        <f>IF($B2217="",0,IF($S2217="EVET",IF($D2217="GELİR",$O2217,-$O2217),0))</f>
        <v/>
      </c>
      <c r="AA2217" s="117">
        <f>IF($B2217="",0,IF(OR($W2217="EVET",$X2217="EVET",$Y2217="EVET"),0,IF($D2217="GELİR",IF($E2217="SATIŞ İADESİ/İSKONTO",-$O2217,$O2217),-$O2217)))</f>
        <v/>
      </c>
      <c r="AB2217" s="117">
        <f>IF($B2217="","",IF(OR($D2217="",$E2217="",$O2217=""),"EKSİK",IF($O2217&lt;=0,"SIFIR/NEGATİF",IF(COUNTIFS($C$6:$C$5000,$C2217,$O$6:$O$5000,$O2217,$B$6:$B$5000,$B2217)&gt;1,"MÜKERRER","OK"))))</f>
        <v/>
      </c>
    </row>
    <row r="2218" ht="16.5" customHeight="1" s="80">
      <c r="A2218" s="113" t="n"/>
      <c r="B2218" s="113" t="n"/>
      <c r="C2218" s="113" t="n"/>
      <c r="D2218" s="113" t="n"/>
      <c r="E2218" s="113" t="n"/>
      <c r="F2218" s="113" t="n"/>
      <c r="G2218" s="113" t="n"/>
      <c r="H2218" s="113" t="n"/>
      <c r="I2218" s="113" t="n"/>
      <c r="J2218" s="113" t="n"/>
      <c r="K2218" s="113" t="n"/>
      <c r="L2218" s="113" t="n"/>
      <c r="M2218" s="113" t="n"/>
      <c r="N2218" s="113" t="n"/>
      <c r="O2218" s="113" t="n"/>
      <c r="P2218" s="113" t="n"/>
      <c r="Q2218" s="113" t="n"/>
      <c r="R2218" s="113" t="n"/>
      <c r="S2218" s="113" t="n"/>
      <c r="T2218" s="113" t="n"/>
      <c r="U2218" s="113" t="n"/>
      <c r="V2218" s="113" t="n"/>
      <c r="W2218" s="113" t="n"/>
      <c r="X2218" s="113" t="n"/>
      <c r="Y2218" s="113" t="n"/>
      <c r="Z2218" s="117">
        <f>IF($B2218="",0,IF($S2218="EVET",IF($D2218="GELİR",$O2218,-$O2218),0))</f>
        <v/>
      </c>
      <c r="AA2218" s="117">
        <f>IF($B2218="",0,IF(OR($W2218="EVET",$X2218="EVET",$Y2218="EVET"),0,IF($D2218="GELİR",IF($E2218="SATIŞ İADESİ/İSKONTO",-$O2218,$O2218),-$O2218)))</f>
        <v/>
      </c>
      <c r="AB2218" s="117">
        <f>IF($B2218="","",IF(OR($D2218="",$E2218="",$O2218=""),"EKSİK",IF($O2218&lt;=0,"SIFIR/NEGATİF",IF(COUNTIFS($C$6:$C$5000,$C2218,$O$6:$O$5000,$O2218,$B$6:$B$5000,$B2218)&gt;1,"MÜKERRER","OK"))))</f>
        <v/>
      </c>
    </row>
    <row r="2219" ht="16.5" customHeight="1" s="80">
      <c r="A2219" s="113" t="n"/>
      <c r="B2219" s="113" t="n"/>
      <c r="C2219" s="113" t="n"/>
      <c r="D2219" s="113" t="n"/>
      <c r="E2219" s="113" t="n"/>
      <c r="F2219" s="113" t="n"/>
      <c r="G2219" s="113" t="n"/>
      <c r="H2219" s="113" t="n"/>
      <c r="I2219" s="113" t="n"/>
      <c r="J2219" s="113" t="n"/>
      <c r="K2219" s="113" t="n"/>
      <c r="L2219" s="113" t="n"/>
      <c r="M2219" s="113" t="n"/>
      <c r="N2219" s="113" t="n"/>
      <c r="O2219" s="113" t="n"/>
      <c r="P2219" s="113" t="n"/>
      <c r="Q2219" s="113" t="n"/>
      <c r="R2219" s="113" t="n"/>
      <c r="S2219" s="113" t="n"/>
      <c r="T2219" s="113" t="n"/>
      <c r="U2219" s="113" t="n"/>
      <c r="V2219" s="113" t="n"/>
      <c r="W2219" s="113" t="n"/>
      <c r="X2219" s="113" t="n"/>
      <c r="Y2219" s="113" t="n"/>
      <c r="Z2219" s="117">
        <f>IF($B2219="",0,IF($S2219="EVET",IF($D2219="GELİR",$O2219,-$O2219),0))</f>
        <v/>
      </c>
      <c r="AA2219" s="117">
        <f>IF($B2219="",0,IF(OR($W2219="EVET",$X2219="EVET",$Y2219="EVET"),0,IF($D2219="GELİR",IF($E2219="SATIŞ İADESİ/İSKONTO",-$O2219,$O2219),-$O2219)))</f>
        <v/>
      </c>
      <c r="AB2219" s="117">
        <f>IF($B2219="","",IF(OR($D2219="",$E2219="",$O2219=""),"EKSİK",IF($O2219&lt;=0,"SIFIR/NEGATİF",IF(COUNTIFS($C$6:$C$5000,$C2219,$O$6:$O$5000,$O2219,$B$6:$B$5000,$B2219)&gt;1,"MÜKERRER","OK"))))</f>
        <v/>
      </c>
    </row>
    <row r="2220" ht="16.5" customHeight="1" s="80">
      <c r="A2220" s="113" t="n"/>
      <c r="B2220" s="113" t="n"/>
      <c r="C2220" s="113" t="n"/>
      <c r="D2220" s="113" t="n"/>
      <c r="E2220" s="113" t="n"/>
      <c r="F2220" s="113" t="n"/>
      <c r="G2220" s="113" t="n"/>
      <c r="H2220" s="113" t="n"/>
      <c r="I2220" s="113" t="n"/>
      <c r="J2220" s="113" t="n"/>
      <c r="K2220" s="113" t="n"/>
      <c r="L2220" s="113" t="n"/>
      <c r="M2220" s="113" t="n"/>
      <c r="N2220" s="113" t="n"/>
      <c r="O2220" s="113" t="n"/>
      <c r="P2220" s="113" t="n"/>
      <c r="Q2220" s="113" t="n"/>
      <c r="R2220" s="113" t="n"/>
      <c r="S2220" s="113" t="n"/>
      <c r="T2220" s="113" t="n"/>
      <c r="U2220" s="113" t="n"/>
      <c r="V2220" s="113" t="n"/>
      <c r="W2220" s="113" t="n"/>
      <c r="X2220" s="113" t="n"/>
      <c r="Y2220" s="113" t="n"/>
      <c r="Z2220" s="117">
        <f>IF($B2220="",0,IF($S2220="EVET",IF($D2220="GELİR",$O2220,-$O2220),0))</f>
        <v/>
      </c>
      <c r="AA2220" s="117">
        <f>IF($B2220="",0,IF(OR($W2220="EVET",$X2220="EVET",$Y2220="EVET"),0,IF($D2220="GELİR",IF($E2220="SATIŞ İADESİ/İSKONTO",-$O2220,$O2220),-$O2220)))</f>
        <v/>
      </c>
      <c r="AB2220" s="117">
        <f>IF($B2220="","",IF(OR($D2220="",$E2220="",$O2220=""),"EKSİK",IF($O2220&lt;=0,"SIFIR/NEGATİF",IF(COUNTIFS($C$6:$C$5000,$C2220,$O$6:$O$5000,$O2220,$B$6:$B$5000,$B2220)&gt;1,"MÜKERRER","OK"))))</f>
        <v/>
      </c>
    </row>
    <row r="2221" ht="16.5" customHeight="1" s="80">
      <c r="A2221" s="113" t="n"/>
      <c r="B2221" s="113" t="n"/>
      <c r="C2221" s="113" t="n"/>
      <c r="D2221" s="113" t="n"/>
      <c r="E2221" s="113" t="n"/>
      <c r="F2221" s="113" t="n"/>
      <c r="G2221" s="113" t="n"/>
      <c r="H2221" s="113" t="n"/>
      <c r="I2221" s="113" t="n"/>
      <c r="J2221" s="113" t="n"/>
      <c r="K2221" s="113" t="n"/>
      <c r="L2221" s="113" t="n"/>
      <c r="M2221" s="113" t="n"/>
      <c r="N2221" s="113" t="n"/>
      <c r="O2221" s="113" t="n"/>
      <c r="P2221" s="113" t="n"/>
      <c r="Q2221" s="113" t="n"/>
      <c r="R2221" s="113" t="n"/>
      <c r="S2221" s="113" t="n"/>
      <c r="T2221" s="113" t="n"/>
      <c r="U2221" s="113" t="n"/>
      <c r="V2221" s="113" t="n"/>
      <c r="W2221" s="113" t="n"/>
      <c r="X2221" s="113" t="n"/>
      <c r="Y2221" s="113" t="n"/>
      <c r="Z2221" s="117">
        <f>IF($B2221="",0,IF($S2221="EVET",IF($D2221="GELİR",$O2221,-$O2221),0))</f>
        <v/>
      </c>
      <c r="AA2221" s="117">
        <f>IF($B2221="",0,IF(OR($W2221="EVET",$X2221="EVET",$Y2221="EVET"),0,IF($D2221="GELİR",IF($E2221="SATIŞ İADESİ/İSKONTO",-$O2221,$O2221),-$O2221)))</f>
        <v/>
      </c>
      <c r="AB2221" s="117">
        <f>IF($B2221="","",IF(OR($D2221="",$E2221="",$O2221=""),"EKSİK",IF($O2221&lt;=0,"SIFIR/NEGATİF",IF(COUNTIFS($C$6:$C$5000,$C2221,$O$6:$O$5000,$O2221,$B$6:$B$5000,$B2221)&gt;1,"MÜKERRER","OK"))))</f>
        <v/>
      </c>
    </row>
    <row r="2222" ht="16.5" customHeight="1" s="80">
      <c r="A2222" s="113" t="n"/>
      <c r="B2222" s="113" t="n"/>
      <c r="C2222" s="113" t="n"/>
      <c r="D2222" s="113" t="n"/>
      <c r="E2222" s="113" t="n"/>
      <c r="F2222" s="113" t="n"/>
      <c r="G2222" s="113" t="n"/>
      <c r="H2222" s="113" t="n"/>
      <c r="I2222" s="113" t="n"/>
      <c r="J2222" s="113" t="n"/>
      <c r="K2222" s="113" t="n"/>
      <c r="L2222" s="113" t="n"/>
      <c r="M2222" s="113" t="n"/>
      <c r="N2222" s="113" t="n"/>
      <c r="O2222" s="113" t="n"/>
      <c r="P2222" s="113" t="n"/>
      <c r="Q2222" s="113" t="n"/>
      <c r="R2222" s="113" t="n"/>
      <c r="S2222" s="113" t="n"/>
      <c r="T2222" s="113" t="n"/>
      <c r="U2222" s="113" t="n"/>
      <c r="V2222" s="113" t="n"/>
      <c r="W2222" s="113" t="n"/>
      <c r="X2222" s="113" t="n"/>
      <c r="Y2222" s="113" t="n"/>
      <c r="Z2222" s="117">
        <f>IF($B2222="",0,IF($S2222="EVET",IF($D2222="GELİR",$O2222,-$O2222),0))</f>
        <v/>
      </c>
      <c r="AA2222" s="117">
        <f>IF($B2222="",0,IF(OR($W2222="EVET",$X2222="EVET",$Y2222="EVET"),0,IF($D2222="GELİR",IF($E2222="SATIŞ İADESİ/İSKONTO",-$O2222,$O2222),-$O2222)))</f>
        <v/>
      </c>
      <c r="AB2222" s="117">
        <f>IF($B2222="","",IF(OR($D2222="",$E2222="",$O2222=""),"EKSİK",IF($O2222&lt;=0,"SIFIR/NEGATİF",IF(COUNTIFS($C$6:$C$5000,$C2222,$O$6:$O$5000,$O2222,$B$6:$B$5000,$B2222)&gt;1,"MÜKERRER","OK"))))</f>
        <v/>
      </c>
    </row>
    <row r="2223" ht="16.5" customHeight="1" s="80">
      <c r="A2223" s="113" t="n"/>
      <c r="B2223" s="113" t="n"/>
      <c r="C2223" s="113" t="n"/>
      <c r="D2223" s="113" t="n"/>
      <c r="E2223" s="113" t="n"/>
      <c r="F2223" s="113" t="n"/>
      <c r="G2223" s="113" t="n"/>
      <c r="H2223" s="113" t="n"/>
      <c r="I2223" s="113" t="n"/>
      <c r="J2223" s="113" t="n"/>
      <c r="K2223" s="113" t="n"/>
      <c r="L2223" s="113" t="n"/>
      <c r="M2223" s="113" t="n"/>
      <c r="N2223" s="113" t="n"/>
      <c r="O2223" s="113" t="n"/>
      <c r="P2223" s="113" t="n"/>
      <c r="Q2223" s="113" t="n"/>
      <c r="R2223" s="113" t="n"/>
      <c r="S2223" s="113" t="n"/>
      <c r="T2223" s="113" t="n"/>
      <c r="U2223" s="113" t="n"/>
      <c r="V2223" s="113" t="n"/>
      <c r="W2223" s="113" t="n"/>
      <c r="X2223" s="113" t="n"/>
      <c r="Y2223" s="113" t="n"/>
      <c r="Z2223" s="117">
        <f>IF($B2223="",0,IF($S2223="EVET",IF($D2223="GELİR",$O2223,-$O2223),0))</f>
        <v/>
      </c>
      <c r="AA2223" s="117">
        <f>IF($B2223="",0,IF(OR($W2223="EVET",$X2223="EVET",$Y2223="EVET"),0,IF($D2223="GELİR",IF($E2223="SATIŞ İADESİ/İSKONTO",-$O2223,$O2223),-$O2223)))</f>
        <v/>
      </c>
      <c r="AB2223" s="117">
        <f>IF($B2223="","",IF(OR($D2223="",$E2223="",$O2223=""),"EKSİK",IF($O2223&lt;=0,"SIFIR/NEGATİF",IF(COUNTIFS($C$6:$C$5000,$C2223,$O$6:$O$5000,$O2223,$B$6:$B$5000,$B2223)&gt;1,"MÜKERRER","OK"))))</f>
        <v/>
      </c>
    </row>
    <row r="2224" ht="16.5" customHeight="1" s="80">
      <c r="A2224" s="113" t="n"/>
      <c r="B2224" s="113" t="n"/>
      <c r="C2224" s="113" t="n"/>
      <c r="D2224" s="113" t="n"/>
      <c r="E2224" s="113" t="n"/>
      <c r="F2224" s="113" t="n"/>
      <c r="G2224" s="113" t="n"/>
      <c r="H2224" s="113" t="n"/>
      <c r="I2224" s="113" t="n"/>
      <c r="J2224" s="113" t="n"/>
      <c r="K2224" s="113" t="n"/>
      <c r="L2224" s="113" t="n"/>
      <c r="M2224" s="113" t="n"/>
      <c r="N2224" s="113" t="n"/>
      <c r="O2224" s="113" t="n"/>
      <c r="P2224" s="113" t="n"/>
      <c r="Q2224" s="113" t="n"/>
      <c r="R2224" s="113" t="n"/>
      <c r="S2224" s="113" t="n"/>
      <c r="T2224" s="113" t="n"/>
      <c r="U2224" s="113" t="n"/>
      <c r="V2224" s="113" t="n"/>
      <c r="W2224" s="113" t="n"/>
      <c r="X2224" s="113" t="n"/>
      <c r="Y2224" s="113" t="n"/>
      <c r="Z2224" s="117">
        <f>IF($B2224="",0,IF($S2224="EVET",IF($D2224="GELİR",$O2224,-$O2224),0))</f>
        <v/>
      </c>
      <c r="AA2224" s="117">
        <f>IF($B2224="",0,IF(OR($W2224="EVET",$X2224="EVET",$Y2224="EVET"),0,IF($D2224="GELİR",IF($E2224="SATIŞ İADESİ/İSKONTO",-$O2224,$O2224),-$O2224)))</f>
        <v/>
      </c>
      <c r="AB2224" s="117">
        <f>IF($B2224="","",IF(OR($D2224="",$E2224="",$O2224=""),"EKSİK",IF($O2224&lt;=0,"SIFIR/NEGATİF",IF(COUNTIFS($C$6:$C$5000,$C2224,$O$6:$O$5000,$O2224,$B$6:$B$5000,$B2224)&gt;1,"MÜKERRER","OK"))))</f>
        <v/>
      </c>
    </row>
    <row r="2225" ht="16.5" customHeight="1" s="80">
      <c r="A2225" s="113" t="n"/>
      <c r="B2225" s="113" t="n"/>
      <c r="C2225" s="113" t="n"/>
      <c r="D2225" s="113" t="n"/>
      <c r="E2225" s="113" t="n"/>
      <c r="F2225" s="113" t="n"/>
      <c r="G2225" s="113" t="n"/>
      <c r="H2225" s="113" t="n"/>
      <c r="I2225" s="113" t="n"/>
      <c r="J2225" s="113" t="n"/>
      <c r="K2225" s="113" t="n"/>
      <c r="L2225" s="113" t="n"/>
      <c r="M2225" s="113" t="n"/>
      <c r="N2225" s="113" t="n"/>
      <c r="O2225" s="113" t="n"/>
      <c r="P2225" s="113" t="n"/>
      <c r="Q2225" s="113" t="n"/>
      <c r="R2225" s="113" t="n"/>
      <c r="S2225" s="113" t="n"/>
      <c r="T2225" s="113" t="n"/>
      <c r="U2225" s="113" t="n"/>
      <c r="V2225" s="113" t="n"/>
      <c r="W2225" s="113" t="n"/>
      <c r="X2225" s="113" t="n"/>
      <c r="Y2225" s="113" t="n"/>
      <c r="Z2225" s="117">
        <f>IF($B2225="",0,IF($S2225="EVET",IF($D2225="GELİR",$O2225,-$O2225),0))</f>
        <v/>
      </c>
      <c r="AA2225" s="117">
        <f>IF($B2225="",0,IF(OR($W2225="EVET",$X2225="EVET",$Y2225="EVET"),0,IF($D2225="GELİR",IF($E2225="SATIŞ İADESİ/İSKONTO",-$O2225,$O2225),-$O2225)))</f>
        <v/>
      </c>
      <c r="AB2225" s="117">
        <f>IF($B2225="","",IF(OR($D2225="",$E2225="",$O2225=""),"EKSİK",IF($O2225&lt;=0,"SIFIR/NEGATİF",IF(COUNTIFS($C$6:$C$5000,$C2225,$O$6:$O$5000,$O2225,$B$6:$B$5000,$B2225)&gt;1,"MÜKERRER","OK"))))</f>
        <v/>
      </c>
    </row>
    <row r="2226" ht="16.5" customHeight="1" s="80">
      <c r="A2226" s="113" t="n"/>
      <c r="B2226" s="113" t="n"/>
      <c r="C2226" s="113" t="n"/>
      <c r="D2226" s="113" t="n"/>
      <c r="E2226" s="113" t="n"/>
      <c r="F2226" s="113" t="n"/>
      <c r="G2226" s="113" t="n"/>
      <c r="H2226" s="113" t="n"/>
      <c r="I2226" s="113" t="n"/>
      <c r="J2226" s="113" t="n"/>
      <c r="K2226" s="113" t="n"/>
      <c r="L2226" s="113" t="n"/>
      <c r="M2226" s="113" t="n"/>
      <c r="N2226" s="113" t="n"/>
      <c r="O2226" s="113" t="n"/>
      <c r="P2226" s="113" t="n"/>
      <c r="Q2226" s="113" t="n"/>
      <c r="R2226" s="113" t="n"/>
      <c r="S2226" s="113" t="n"/>
      <c r="T2226" s="113" t="n"/>
      <c r="U2226" s="113" t="n"/>
      <c r="V2226" s="113" t="n"/>
      <c r="W2226" s="113" t="n"/>
      <c r="X2226" s="113" t="n"/>
      <c r="Y2226" s="113" t="n"/>
      <c r="Z2226" s="117">
        <f>IF($B2226="",0,IF($S2226="EVET",IF($D2226="GELİR",$O2226,-$O2226),0))</f>
        <v/>
      </c>
      <c r="AA2226" s="117">
        <f>IF($B2226="",0,IF(OR($W2226="EVET",$X2226="EVET",$Y2226="EVET"),0,IF($D2226="GELİR",IF($E2226="SATIŞ İADESİ/İSKONTO",-$O2226,$O2226),-$O2226)))</f>
        <v/>
      </c>
      <c r="AB2226" s="117">
        <f>IF($B2226="","",IF(OR($D2226="",$E2226="",$O2226=""),"EKSİK",IF($O2226&lt;=0,"SIFIR/NEGATİF",IF(COUNTIFS($C$6:$C$5000,$C2226,$O$6:$O$5000,$O2226,$B$6:$B$5000,$B2226)&gt;1,"MÜKERRER","OK"))))</f>
        <v/>
      </c>
    </row>
    <row r="2227" ht="16.5" customHeight="1" s="80">
      <c r="A2227" s="113" t="n"/>
      <c r="B2227" s="113" t="n"/>
      <c r="C2227" s="113" t="n"/>
      <c r="D2227" s="113" t="n"/>
      <c r="E2227" s="113" t="n"/>
      <c r="F2227" s="113" t="n"/>
      <c r="G2227" s="113" t="n"/>
      <c r="H2227" s="113" t="n"/>
      <c r="I2227" s="113" t="n"/>
      <c r="J2227" s="113" t="n"/>
      <c r="K2227" s="113" t="n"/>
      <c r="L2227" s="113" t="n"/>
      <c r="M2227" s="113" t="n"/>
      <c r="N2227" s="113" t="n"/>
      <c r="O2227" s="113" t="n"/>
      <c r="P2227" s="113" t="n"/>
      <c r="Q2227" s="113" t="n"/>
      <c r="R2227" s="113" t="n"/>
      <c r="S2227" s="113" t="n"/>
      <c r="T2227" s="113" t="n"/>
      <c r="U2227" s="113" t="n"/>
      <c r="V2227" s="113" t="n"/>
      <c r="W2227" s="113" t="n"/>
      <c r="X2227" s="113" t="n"/>
      <c r="Y2227" s="113" t="n"/>
      <c r="Z2227" s="117">
        <f>IF($B2227="",0,IF($S2227="EVET",IF($D2227="GELİR",$O2227,-$O2227),0))</f>
        <v/>
      </c>
      <c r="AA2227" s="117">
        <f>IF($B2227="",0,IF(OR($W2227="EVET",$X2227="EVET",$Y2227="EVET"),0,IF($D2227="GELİR",IF($E2227="SATIŞ İADESİ/İSKONTO",-$O2227,$O2227),-$O2227)))</f>
        <v/>
      </c>
      <c r="AB2227" s="117">
        <f>IF($B2227="","",IF(OR($D2227="",$E2227="",$O2227=""),"EKSİK",IF($O2227&lt;=0,"SIFIR/NEGATİF",IF(COUNTIFS($C$6:$C$5000,$C2227,$O$6:$O$5000,$O2227,$B$6:$B$5000,$B2227)&gt;1,"MÜKERRER","OK"))))</f>
        <v/>
      </c>
    </row>
    <row r="2228" ht="16.5" customHeight="1" s="80">
      <c r="A2228" s="113" t="n"/>
      <c r="B2228" s="113" t="n"/>
      <c r="C2228" s="113" t="n"/>
      <c r="D2228" s="113" t="n"/>
      <c r="E2228" s="113" t="n"/>
      <c r="F2228" s="113" t="n"/>
      <c r="G2228" s="113" t="n"/>
      <c r="H2228" s="113" t="n"/>
      <c r="I2228" s="113" t="n"/>
      <c r="J2228" s="113" t="n"/>
      <c r="K2228" s="113" t="n"/>
      <c r="L2228" s="113" t="n"/>
      <c r="M2228" s="113" t="n"/>
      <c r="N2228" s="113" t="n"/>
      <c r="O2228" s="113" t="n"/>
      <c r="P2228" s="113" t="n"/>
      <c r="Q2228" s="113" t="n"/>
      <c r="R2228" s="113" t="n"/>
      <c r="S2228" s="113" t="n"/>
      <c r="T2228" s="113" t="n"/>
      <c r="U2228" s="113" t="n"/>
      <c r="V2228" s="113" t="n"/>
      <c r="W2228" s="113" t="n"/>
      <c r="X2228" s="113" t="n"/>
      <c r="Y2228" s="113" t="n"/>
      <c r="Z2228" s="117">
        <f>IF($B2228="",0,IF($S2228="EVET",IF($D2228="GELİR",$O2228,-$O2228),0))</f>
        <v/>
      </c>
      <c r="AA2228" s="117">
        <f>IF($B2228="",0,IF(OR($W2228="EVET",$X2228="EVET",$Y2228="EVET"),0,IF($D2228="GELİR",IF($E2228="SATIŞ İADESİ/İSKONTO",-$O2228,$O2228),-$O2228)))</f>
        <v/>
      </c>
      <c r="AB2228" s="117">
        <f>IF($B2228="","",IF(OR($D2228="",$E2228="",$O2228=""),"EKSİK",IF($O2228&lt;=0,"SIFIR/NEGATİF",IF(COUNTIFS($C$6:$C$5000,$C2228,$O$6:$O$5000,$O2228,$B$6:$B$5000,$B2228)&gt;1,"MÜKERRER","OK"))))</f>
        <v/>
      </c>
    </row>
    <row r="2229" ht="16.5" customHeight="1" s="80">
      <c r="A2229" s="113" t="n"/>
      <c r="B2229" s="113" t="n"/>
      <c r="C2229" s="113" t="n"/>
      <c r="D2229" s="113" t="n"/>
      <c r="E2229" s="113" t="n"/>
      <c r="F2229" s="113" t="n"/>
      <c r="G2229" s="113" t="n"/>
      <c r="H2229" s="113" t="n"/>
      <c r="I2229" s="113" t="n"/>
      <c r="J2229" s="113" t="n"/>
      <c r="K2229" s="113" t="n"/>
      <c r="L2229" s="113" t="n"/>
      <c r="M2229" s="113" t="n"/>
      <c r="N2229" s="113" t="n"/>
      <c r="O2229" s="113" t="n"/>
      <c r="P2229" s="113" t="n"/>
      <c r="Q2229" s="113" t="n"/>
      <c r="R2229" s="113" t="n"/>
      <c r="S2229" s="113" t="n"/>
      <c r="T2229" s="113" t="n"/>
      <c r="U2229" s="113" t="n"/>
      <c r="V2229" s="113" t="n"/>
      <c r="W2229" s="113" t="n"/>
      <c r="X2229" s="113" t="n"/>
      <c r="Y2229" s="113" t="n"/>
      <c r="Z2229" s="117">
        <f>IF($B2229="",0,IF($S2229="EVET",IF($D2229="GELİR",$O2229,-$O2229),0))</f>
        <v/>
      </c>
      <c r="AA2229" s="117">
        <f>IF($B2229="",0,IF(OR($W2229="EVET",$X2229="EVET",$Y2229="EVET"),0,IF($D2229="GELİR",IF($E2229="SATIŞ İADESİ/İSKONTO",-$O2229,$O2229),-$O2229)))</f>
        <v/>
      </c>
      <c r="AB2229" s="117">
        <f>IF($B2229="","",IF(OR($D2229="",$E2229="",$O2229=""),"EKSİK",IF($O2229&lt;=0,"SIFIR/NEGATİF",IF(COUNTIFS($C$6:$C$5000,$C2229,$O$6:$O$5000,$O2229,$B$6:$B$5000,$B2229)&gt;1,"MÜKERRER","OK"))))</f>
        <v/>
      </c>
    </row>
    <row r="2230" ht="16.5" customHeight="1" s="80">
      <c r="A2230" s="113" t="n"/>
      <c r="B2230" s="113" t="n"/>
      <c r="C2230" s="113" t="n"/>
      <c r="D2230" s="113" t="n"/>
      <c r="E2230" s="113" t="n"/>
      <c r="F2230" s="113" t="n"/>
      <c r="G2230" s="113" t="n"/>
      <c r="H2230" s="113" t="n"/>
      <c r="I2230" s="113" t="n"/>
      <c r="J2230" s="113" t="n"/>
      <c r="K2230" s="113" t="n"/>
      <c r="L2230" s="113" t="n"/>
      <c r="M2230" s="113" t="n"/>
      <c r="N2230" s="113" t="n"/>
      <c r="O2230" s="113" t="n"/>
      <c r="P2230" s="113" t="n"/>
      <c r="Q2230" s="113" t="n"/>
      <c r="R2230" s="113" t="n"/>
      <c r="S2230" s="113" t="n"/>
      <c r="T2230" s="113" t="n"/>
      <c r="U2230" s="113" t="n"/>
      <c r="V2230" s="113" t="n"/>
      <c r="W2230" s="113" t="n"/>
      <c r="X2230" s="113" t="n"/>
      <c r="Y2230" s="113" t="n"/>
      <c r="Z2230" s="117">
        <f>IF($B2230="",0,IF($S2230="EVET",IF($D2230="GELİR",$O2230,-$O2230),0))</f>
        <v/>
      </c>
      <c r="AA2230" s="117">
        <f>IF($B2230="",0,IF(OR($W2230="EVET",$X2230="EVET",$Y2230="EVET"),0,IF($D2230="GELİR",IF($E2230="SATIŞ İADESİ/İSKONTO",-$O2230,$O2230),-$O2230)))</f>
        <v/>
      </c>
      <c r="AB2230" s="117">
        <f>IF($B2230="","",IF(OR($D2230="",$E2230="",$O2230=""),"EKSİK",IF($O2230&lt;=0,"SIFIR/NEGATİF",IF(COUNTIFS($C$6:$C$5000,$C2230,$O$6:$O$5000,$O2230,$B$6:$B$5000,$B2230)&gt;1,"MÜKERRER","OK"))))</f>
        <v/>
      </c>
    </row>
    <row r="2231" ht="16.5" customHeight="1" s="80">
      <c r="A2231" s="113" t="n"/>
      <c r="B2231" s="113" t="n"/>
      <c r="C2231" s="113" t="n"/>
      <c r="D2231" s="113" t="n"/>
      <c r="E2231" s="113" t="n"/>
      <c r="F2231" s="113" t="n"/>
      <c r="G2231" s="113" t="n"/>
      <c r="H2231" s="113" t="n"/>
      <c r="I2231" s="113" t="n"/>
      <c r="J2231" s="113" t="n"/>
      <c r="K2231" s="113" t="n"/>
      <c r="L2231" s="113" t="n"/>
      <c r="M2231" s="113" t="n"/>
      <c r="N2231" s="113" t="n"/>
      <c r="O2231" s="113" t="n"/>
      <c r="P2231" s="113" t="n"/>
      <c r="Q2231" s="113" t="n"/>
      <c r="R2231" s="113" t="n"/>
      <c r="S2231" s="113" t="n"/>
      <c r="T2231" s="113" t="n"/>
      <c r="U2231" s="113" t="n"/>
      <c r="V2231" s="113" t="n"/>
      <c r="W2231" s="113" t="n"/>
      <c r="X2231" s="113" t="n"/>
      <c r="Y2231" s="113" t="n"/>
      <c r="Z2231" s="117">
        <f>IF($B2231="",0,IF($S2231="EVET",IF($D2231="GELİR",$O2231,-$O2231),0))</f>
        <v/>
      </c>
      <c r="AA2231" s="117">
        <f>IF($B2231="",0,IF(OR($W2231="EVET",$X2231="EVET",$Y2231="EVET"),0,IF($D2231="GELİR",IF($E2231="SATIŞ İADESİ/İSKONTO",-$O2231,$O2231),-$O2231)))</f>
        <v/>
      </c>
      <c r="AB2231" s="117">
        <f>IF($B2231="","",IF(OR($D2231="",$E2231="",$O2231=""),"EKSİK",IF($O2231&lt;=0,"SIFIR/NEGATİF",IF(COUNTIFS($C$6:$C$5000,$C2231,$O$6:$O$5000,$O2231,$B$6:$B$5000,$B2231)&gt;1,"MÜKERRER","OK"))))</f>
        <v/>
      </c>
    </row>
    <row r="2232" ht="16.5" customHeight="1" s="80">
      <c r="A2232" s="113" t="n"/>
      <c r="B2232" s="113" t="n"/>
      <c r="C2232" s="113" t="n"/>
      <c r="D2232" s="113" t="n"/>
      <c r="E2232" s="113" t="n"/>
      <c r="F2232" s="113" t="n"/>
      <c r="G2232" s="113" t="n"/>
      <c r="H2232" s="113" t="n"/>
      <c r="I2232" s="113" t="n"/>
      <c r="J2232" s="113" t="n"/>
      <c r="K2232" s="113" t="n"/>
      <c r="L2232" s="113" t="n"/>
      <c r="M2232" s="113" t="n"/>
      <c r="N2232" s="113" t="n"/>
      <c r="O2232" s="113" t="n"/>
      <c r="P2232" s="113" t="n"/>
      <c r="Q2232" s="113" t="n"/>
      <c r="R2232" s="113" t="n"/>
      <c r="S2232" s="113" t="n"/>
      <c r="T2232" s="113" t="n"/>
      <c r="U2232" s="113" t="n"/>
      <c r="V2232" s="113" t="n"/>
      <c r="W2232" s="113" t="n"/>
      <c r="X2232" s="113" t="n"/>
      <c r="Y2232" s="113" t="n"/>
      <c r="Z2232" s="117">
        <f>IF($B2232="",0,IF($S2232="EVET",IF($D2232="GELİR",$O2232,-$O2232),0))</f>
        <v/>
      </c>
      <c r="AA2232" s="117">
        <f>IF($B2232="",0,IF(OR($W2232="EVET",$X2232="EVET",$Y2232="EVET"),0,IF($D2232="GELİR",IF($E2232="SATIŞ İADESİ/İSKONTO",-$O2232,$O2232),-$O2232)))</f>
        <v/>
      </c>
      <c r="AB2232" s="117">
        <f>IF($B2232="","",IF(OR($D2232="",$E2232="",$O2232=""),"EKSİK",IF($O2232&lt;=0,"SIFIR/NEGATİF",IF(COUNTIFS($C$6:$C$5000,$C2232,$O$6:$O$5000,$O2232,$B$6:$B$5000,$B2232)&gt;1,"MÜKERRER","OK"))))</f>
        <v/>
      </c>
    </row>
    <row r="2233" ht="16.5" customHeight="1" s="80">
      <c r="A2233" s="113" t="n"/>
      <c r="B2233" s="113" t="n"/>
      <c r="C2233" s="113" t="n"/>
      <c r="D2233" s="113" t="n"/>
      <c r="E2233" s="113" t="n"/>
      <c r="F2233" s="113" t="n"/>
      <c r="G2233" s="113" t="n"/>
      <c r="H2233" s="113" t="n"/>
      <c r="I2233" s="113" t="n"/>
      <c r="J2233" s="113" t="n"/>
      <c r="K2233" s="113" t="n"/>
      <c r="L2233" s="113" t="n"/>
      <c r="M2233" s="113" t="n"/>
      <c r="N2233" s="113" t="n"/>
      <c r="O2233" s="113" t="n"/>
      <c r="P2233" s="113" t="n"/>
      <c r="Q2233" s="113" t="n"/>
      <c r="R2233" s="113" t="n"/>
      <c r="S2233" s="113" t="n"/>
      <c r="T2233" s="113" t="n"/>
      <c r="U2233" s="113" t="n"/>
      <c r="V2233" s="113" t="n"/>
      <c r="W2233" s="113" t="n"/>
      <c r="X2233" s="113" t="n"/>
      <c r="Y2233" s="113" t="n"/>
      <c r="Z2233" s="117">
        <f>IF($B2233="",0,IF($S2233="EVET",IF($D2233="GELİR",$O2233,-$O2233),0))</f>
        <v/>
      </c>
      <c r="AA2233" s="117">
        <f>IF($B2233="",0,IF(OR($W2233="EVET",$X2233="EVET",$Y2233="EVET"),0,IF($D2233="GELİR",IF($E2233="SATIŞ İADESİ/İSKONTO",-$O2233,$O2233),-$O2233)))</f>
        <v/>
      </c>
      <c r="AB2233" s="117">
        <f>IF($B2233="","",IF(OR($D2233="",$E2233="",$O2233=""),"EKSİK",IF($O2233&lt;=0,"SIFIR/NEGATİF",IF(COUNTIFS($C$6:$C$5000,$C2233,$O$6:$O$5000,$O2233,$B$6:$B$5000,$B2233)&gt;1,"MÜKERRER","OK"))))</f>
        <v/>
      </c>
    </row>
    <row r="2234" ht="16.5" customHeight="1" s="80">
      <c r="A2234" s="113" t="n"/>
      <c r="B2234" s="113" t="n"/>
      <c r="C2234" s="113" t="n"/>
      <c r="D2234" s="113" t="n"/>
      <c r="E2234" s="113" t="n"/>
      <c r="F2234" s="113" t="n"/>
      <c r="G2234" s="113" t="n"/>
      <c r="H2234" s="113" t="n"/>
      <c r="I2234" s="113" t="n"/>
      <c r="J2234" s="113" t="n"/>
      <c r="K2234" s="113" t="n"/>
      <c r="L2234" s="113" t="n"/>
      <c r="M2234" s="113" t="n"/>
      <c r="N2234" s="113" t="n"/>
      <c r="O2234" s="113" t="n"/>
      <c r="P2234" s="113" t="n"/>
      <c r="Q2234" s="113" t="n"/>
      <c r="R2234" s="113" t="n"/>
      <c r="S2234" s="113" t="n"/>
      <c r="T2234" s="113" t="n"/>
      <c r="U2234" s="113" t="n"/>
      <c r="V2234" s="113" t="n"/>
      <c r="W2234" s="113" t="n"/>
      <c r="X2234" s="113" t="n"/>
      <c r="Y2234" s="113" t="n"/>
      <c r="Z2234" s="117">
        <f>IF($B2234="",0,IF($S2234="EVET",IF($D2234="GELİR",$O2234,-$O2234),0))</f>
        <v/>
      </c>
      <c r="AA2234" s="117">
        <f>IF($B2234="",0,IF(OR($W2234="EVET",$X2234="EVET",$Y2234="EVET"),0,IF($D2234="GELİR",IF($E2234="SATIŞ İADESİ/İSKONTO",-$O2234,$O2234),-$O2234)))</f>
        <v/>
      </c>
      <c r="AB2234" s="117">
        <f>IF($B2234="","",IF(OR($D2234="",$E2234="",$O2234=""),"EKSİK",IF($O2234&lt;=0,"SIFIR/NEGATİF",IF(COUNTIFS($C$6:$C$5000,$C2234,$O$6:$O$5000,$O2234,$B$6:$B$5000,$B2234)&gt;1,"MÜKERRER","OK"))))</f>
        <v/>
      </c>
    </row>
    <row r="2235" ht="16.5" customHeight="1" s="80">
      <c r="A2235" s="113" t="n"/>
      <c r="B2235" s="113" t="n"/>
      <c r="C2235" s="113" t="n"/>
      <c r="D2235" s="113" t="n"/>
      <c r="E2235" s="113" t="n"/>
      <c r="F2235" s="113" t="n"/>
      <c r="G2235" s="113" t="n"/>
      <c r="H2235" s="113" t="n"/>
      <c r="I2235" s="113" t="n"/>
      <c r="J2235" s="113" t="n"/>
      <c r="K2235" s="113" t="n"/>
      <c r="L2235" s="113" t="n"/>
      <c r="M2235" s="113" t="n"/>
      <c r="N2235" s="113" t="n"/>
      <c r="O2235" s="113" t="n"/>
      <c r="P2235" s="113" t="n"/>
      <c r="Q2235" s="113" t="n"/>
      <c r="R2235" s="113" t="n"/>
      <c r="S2235" s="113" t="n"/>
      <c r="T2235" s="113" t="n"/>
      <c r="U2235" s="113" t="n"/>
      <c r="V2235" s="113" t="n"/>
      <c r="W2235" s="113" t="n"/>
      <c r="X2235" s="113" t="n"/>
      <c r="Y2235" s="113" t="n"/>
      <c r="Z2235" s="117">
        <f>IF($B2235="",0,IF($S2235="EVET",IF($D2235="GELİR",$O2235,-$O2235),0))</f>
        <v/>
      </c>
      <c r="AA2235" s="117">
        <f>IF($B2235="",0,IF(OR($W2235="EVET",$X2235="EVET",$Y2235="EVET"),0,IF($D2235="GELİR",IF($E2235="SATIŞ İADESİ/İSKONTO",-$O2235,$O2235),-$O2235)))</f>
        <v/>
      </c>
      <c r="AB2235" s="117">
        <f>IF($B2235="","",IF(OR($D2235="",$E2235="",$O2235=""),"EKSİK",IF($O2235&lt;=0,"SIFIR/NEGATİF",IF(COUNTIFS($C$6:$C$5000,$C2235,$O$6:$O$5000,$O2235,$B$6:$B$5000,$B2235)&gt;1,"MÜKERRER","OK"))))</f>
        <v/>
      </c>
    </row>
    <row r="2236" ht="16.5" customHeight="1" s="80">
      <c r="A2236" s="113" t="n"/>
      <c r="B2236" s="113" t="n"/>
      <c r="C2236" s="113" t="n"/>
      <c r="D2236" s="113" t="n"/>
      <c r="E2236" s="113" t="n"/>
      <c r="F2236" s="113" t="n"/>
      <c r="G2236" s="113" t="n"/>
      <c r="H2236" s="113" t="n"/>
      <c r="I2236" s="113" t="n"/>
      <c r="J2236" s="113" t="n"/>
      <c r="K2236" s="113" t="n"/>
      <c r="L2236" s="113" t="n"/>
      <c r="M2236" s="113" t="n"/>
      <c r="N2236" s="113" t="n"/>
      <c r="O2236" s="113" t="n"/>
      <c r="P2236" s="113" t="n"/>
      <c r="Q2236" s="113" t="n"/>
      <c r="R2236" s="113" t="n"/>
      <c r="S2236" s="113" t="n"/>
      <c r="T2236" s="113" t="n"/>
      <c r="U2236" s="113" t="n"/>
      <c r="V2236" s="113" t="n"/>
      <c r="W2236" s="113" t="n"/>
      <c r="X2236" s="113" t="n"/>
      <c r="Y2236" s="113" t="n"/>
      <c r="Z2236" s="117">
        <f>IF($B2236="",0,IF($S2236="EVET",IF($D2236="GELİR",$O2236,-$O2236),0))</f>
        <v/>
      </c>
      <c r="AA2236" s="117">
        <f>IF($B2236="",0,IF(OR($W2236="EVET",$X2236="EVET",$Y2236="EVET"),0,IF($D2236="GELİR",IF($E2236="SATIŞ İADESİ/İSKONTO",-$O2236,$O2236),-$O2236)))</f>
        <v/>
      </c>
      <c r="AB2236" s="117">
        <f>IF($B2236="","",IF(OR($D2236="",$E2236="",$O2236=""),"EKSİK",IF($O2236&lt;=0,"SIFIR/NEGATİF",IF(COUNTIFS($C$6:$C$5000,$C2236,$O$6:$O$5000,$O2236,$B$6:$B$5000,$B2236)&gt;1,"MÜKERRER","OK"))))</f>
        <v/>
      </c>
    </row>
    <row r="2237" ht="16.5" customHeight="1" s="80">
      <c r="A2237" s="113" t="n"/>
      <c r="B2237" s="113" t="n"/>
      <c r="C2237" s="113" t="n"/>
      <c r="D2237" s="113" t="n"/>
      <c r="E2237" s="113" t="n"/>
      <c r="F2237" s="113" t="n"/>
      <c r="G2237" s="113" t="n"/>
      <c r="H2237" s="113" t="n"/>
      <c r="I2237" s="113" t="n"/>
      <c r="J2237" s="113" t="n"/>
      <c r="K2237" s="113" t="n"/>
      <c r="L2237" s="113" t="n"/>
      <c r="M2237" s="113" t="n"/>
      <c r="N2237" s="113" t="n"/>
      <c r="O2237" s="113" t="n"/>
      <c r="P2237" s="113" t="n"/>
      <c r="Q2237" s="113" t="n"/>
      <c r="R2237" s="113" t="n"/>
      <c r="S2237" s="113" t="n"/>
      <c r="T2237" s="113" t="n"/>
      <c r="U2237" s="113" t="n"/>
      <c r="V2237" s="113" t="n"/>
      <c r="W2237" s="113" t="n"/>
      <c r="X2237" s="113" t="n"/>
      <c r="Y2237" s="113" t="n"/>
      <c r="Z2237" s="117">
        <f>IF($B2237="",0,IF($S2237="EVET",IF($D2237="GELİR",$O2237,-$O2237),0))</f>
        <v/>
      </c>
      <c r="AA2237" s="117">
        <f>IF($B2237="",0,IF(OR($W2237="EVET",$X2237="EVET",$Y2237="EVET"),0,IF($D2237="GELİR",IF($E2237="SATIŞ İADESİ/İSKONTO",-$O2237,$O2237),-$O2237)))</f>
        <v/>
      </c>
      <c r="AB2237" s="117">
        <f>IF($B2237="","",IF(OR($D2237="",$E2237="",$O2237=""),"EKSİK",IF($O2237&lt;=0,"SIFIR/NEGATİF",IF(COUNTIFS($C$6:$C$5000,$C2237,$O$6:$O$5000,$O2237,$B$6:$B$5000,$B2237)&gt;1,"MÜKERRER","OK"))))</f>
        <v/>
      </c>
    </row>
    <row r="2238" ht="16.5" customHeight="1" s="80">
      <c r="A2238" s="113" t="n"/>
      <c r="B2238" s="113" t="n"/>
      <c r="C2238" s="113" t="n"/>
      <c r="D2238" s="113" t="n"/>
      <c r="E2238" s="113" t="n"/>
      <c r="F2238" s="113" t="n"/>
      <c r="G2238" s="113" t="n"/>
      <c r="H2238" s="113" t="n"/>
      <c r="I2238" s="113" t="n"/>
      <c r="J2238" s="113" t="n"/>
      <c r="K2238" s="113" t="n"/>
      <c r="L2238" s="113" t="n"/>
      <c r="M2238" s="113" t="n"/>
      <c r="N2238" s="113" t="n"/>
      <c r="O2238" s="113" t="n"/>
      <c r="P2238" s="113" t="n"/>
      <c r="Q2238" s="113" t="n"/>
      <c r="R2238" s="113" t="n"/>
      <c r="S2238" s="113" t="n"/>
      <c r="T2238" s="113" t="n"/>
      <c r="U2238" s="113" t="n"/>
      <c r="V2238" s="113" t="n"/>
      <c r="W2238" s="113" t="n"/>
      <c r="X2238" s="113" t="n"/>
      <c r="Y2238" s="113" t="n"/>
      <c r="Z2238" s="117">
        <f>IF($B2238="",0,IF($S2238="EVET",IF($D2238="GELİR",$O2238,-$O2238),0))</f>
        <v/>
      </c>
      <c r="AA2238" s="117">
        <f>IF($B2238="",0,IF(OR($W2238="EVET",$X2238="EVET",$Y2238="EVET"),0,IF($D2238="GELİR",IF($E2238="SATIŞ İADESİ/İSKONTO",-$O2238,$O2238),-$O2238)))</f>
        <v/>
      </c>
      <c r="AB2238" s="117">
        <f>IF($B2238="","",IF(OR($D2238="",$E2238="",$O2238=""),"EKSİK",IF($O2238&lt;=0,"SIFIR/NEGATİF",IF(COUNTIFS($C$6:$C$5000,$C2238,$O$6:$O$5000,$O2238,$B$6:$B$5000,$B2238)&gt;1,"MÜKERRER","OK"))))</f>
        <v/>
      </c>
    </row>
    <row r="2239" ht="16.5" customHeight="1" s="80">
      <c r="A2239" s="113" t="n"/>
      <c r="B2239" s="113" t="n"/>
      <c r="C2239" s="113" t="n"/>
      <c r="D2239" s="113" t="n"/>
      <c r="E2239" s="113" t="n"/>
      <c r="F2239" s="113" t="n"/>
      <c r="G2239" s="113" t="n"/>
      <c r="H2239" s="113" t="n"/>
      <c r="I2239" s="113" t="n"/>
      <c r="J2239" s="113" t="n"/>
      <c r="K2239" s="113" t="n"/>
      <c r="L2239" s="113" t="n"/>
      <c r="M2239" s="113" t="n"/>
      <c r="N2239" s="113" t="n"/>
      <c r="O2239" s="113" t="n"/>
      <c r="P2239" s="113" t="n"/>
      <c r="Q2239" s="113" t="n"/>
      <c r="R2239" s="113" t="n"/>
      <c r="S2239" s="113" t="n"/>
      <c r="T2239" s="113" t="n"/>
      <c r="U2239" s="113" t="n"/>
      <c r="V2239" s="113" t="n"/>
      <c r="W2239" s="113" t="n"/>
      <c r="X2239" s="113" t="n"/>
      <c r="Y2239" s="113" t="n"/>
      <c r="Z2239" s="117">
        <f>IF($B2239="",0,IF($S2239="EVET",IF($D2239="GELİR",$O2239,-$O2239),0))</f>
        <v/>
      </c>
      <c r="AA2239" s="117">
        <f>IF($B2239="",0,IF(OR($W2239="EVET",$X2239="EVET",$Y2239="EVET"),0,IF($D2239="GELİR",IF($E2239="SATIŞ İADESİ/İSKONTO",-$O2239,$O2239),-$O2239)))</f>
        <v/>
      </c>
      <c r="AB2239" s="117">
        <f>IF($B2239="","",IF(OR($D2239="",$E2239="",$O2239=""),"EKSİK",IF($O2239&lt;=0,"SIFIR/NEGATİF",IF(COUNTIFS($C$6:$C$5000,$C2239,$O$6:$O$5000,$O2239,$B$6:$B$5000,$B2239)&gt;1,"MÜKERRER","OK"))))</f>
        <v/>
      </c>
    </row>
    <row r="2240" ht="16.5" customHeight="1" s="80">
      <c r="A2240" s="113" t="n"/>
      <c r="B2240" s="113" t="n"/>
      <c r="C2240" s="113" t="n"/>
      <c r="D2240" s="113" t="n"/>
      <c r="E2240" s="113" t="n"/>
      <c r="F2240" s="113" t="n"/>
      <c r="G2240" s="113" t="n"/>
      <c r="H2240" s="113" t="n"/>
      <c r="I2240" s="113" t="n"/>
      <c r="J2240" s="113" t="n"/>
      <c r="K2240" s="113" t="n"/>
      <c r="L2240" s="113" t="n"/>
      <c r="M2240" s="113" t="n"/>
      <c r="N2240" s="113" t="n"/>
      <c r="O2240" s="113" t="n"/>
      <c r="P2240" s="113" t="n"/>
      <c r="Q2240" s="113" t="n"/>
      <c r="R2240" s="113" t="n"/>
      <c r="S2240" s="113" t="n"/>
      <c r="T2240" s="113" t="n"/>
      <c r="U2240" s="113" t="n"/>
      <c r="V2240" s="113" t="n"/>
      <c r="W2240" s="113" t="n"/>
      <c r="X2240" s="113" t="n"/>
      <c r="Y2240" s="113" t="n"/>
      <c r="Z2240" s="117">
        <f>IF($B2240="",0,IF($S2240="EVET",IF($D2240="GELİR",$O2240,-$O2240),0))</f>
        <v/>
      </c>
      <c r="AA2240" s="117">
        <f>IF($B2240="",0,IF(OR($W2240="EVET",$X2240="EVET",$Y2240="EVET"),0,IF($D2240="GELİR",IF($E2240="SATIŞ İADESİ/İSKONTO",-$O2240,$O2240),-$O2240)))</f>
        <v/>
      </c>
      <c r="AB2240" s="117">
        <f>IF($B2240="","",IF(OR($D2240="",$E2240="",$O2240=""),"EKSİK",IF($O2240&lt;=0,"SIFIR/NEGATİF",IF(COUNTIFS($C$6:$C$5000,$C2240,$O$6:$O$5000,$O2240,$B$6:$B$5000,$B2240)&gt;1,"MÜKERRER","OK"))))</f>
        <v/>
      </c>
    </row>
    <row r="2241" ht="16.5" customHeight="1" s="80">
      <c r="A2241" s="113" t="n"/>
      <c r="B2241" s="113" t="n"/>
      <c r="C2241" s="113" t="n"/>
      <c r="D2241" s="113" t="n"/>
      <c r="E2241" s="113" t="n"/>
      <c r="F2241" s="113" t="n"/>
      <c r="G2241" s="113" t="n"/>
      <c r="H2241" s="113" t="n"/>
      <c r="I2241" s="113" t="n"/>
      <c r="J2241" s="113" t="n"/>
      <c r="K2241" s="113" t="n"/>
      <c r="L2241" s="113" t="n"/>
      <c r="M2241" s="113" t="n"/>
      <c r="N2241" s="113" t="n"/>
      <c r="O2241" s="113" t="n"/>
      <c r="P2241" s="113" t="n"/>
      <c r="Q2241" s="113" t="n"/>
      <c r="R2241" s="113" t="n"/>
      <c r="S2241" s="113" t="n"/>
      <c r="T2241" s="113" t="n"/>
      <c r="U2241" s="113" t="n"/>
      <c r="V2241" s="113" t="n"/>
      <c r="W2241" s="113" t="n"/>
      <c r="X2241" s="113" t="n"/>
      <c r="Y2241" s="113" t="n"/>
      <c r="Z2241" s="117">
        <f>IF($B2241="",0,IF($S2241="EVET",IF($D2241="GELİR",$O2241,-$O2241),0))</f>
        <v/>
      </c>
      <c r="AA2241" s="117">
        <f>IF($B2241="",0,IF(OR($W2241="EVET",$X2241="EVET",$Y2241="EVET"),0,IF($D2241="GELİR",IF($E2241="SATIŞ İADESİ/İSKONTO",-$O2241,$O2241),-$O2241)))</f>
        <v/>
      </c>
      <c r="AB2241" s="117">
        <f>IF($B2241="","",IF(OR($D2241="",$E2241="",$O2241=""),"EKSİK",IF($O2241&lt;=0,"SIFIR/NEGATİF",IF(COUNTIFS($C$6:$C$5000,$C2241,$O$6:$O$5000,$O2241,$B$6:$B$5000,$B2241)&gt;1,"MÜKERRER","OK"))))</f>
        <v/>
      </c>
    </row>
    <row r="2242" ht="16.5" customHeight="1" s="80">
      <c r="A2242" s="113" t="n"/>
      <c r="B2242" s="113" t="n"/>
      <c r="C2242" s="113" t="n"/>
      <c r="D2242" s="113" t="n"/>
      <c r="E2242" s="113" t="n"/>
      <c r="F2242" s="113" t="n"/>
      <c r="G2242" s="113" t="n"/>
      <c r="H2242" s="113" t="n"/>
      <c r="I2242" s="113" t="n"/>
      <c r="J2242" s="113" t="n"/>
      <c r="K2242" s="113" t="n"/>
      <c r="L2242" s="113" t="n"/>
      <c r="M2242" s="113" t="n"/>
      <c r="N2242" s="113" t="n"/>
      <c r="O2242" s="113" t="n"/>
      <c r="P2242" s="113" t="n"/>
      <c r="Q2242" s="113" t="n"/>
      <c r="R2242" s="113" t="n"/>
      <c r="S2242" s="113" t="n"/>
      <c r="T2242" s="113" t="n"/>
      <c r="U2242" s="113" t="n"/>
      <c r="V2242" s="113" t="n"/>
      <c r="W2242" s="113" t="n"/>
      <c r="X2242" s="113" t="n"/>
      <c r="Y2242" s="113" t="n"/>
      <c r="Z2242" s="117">
        <f>IF($B2242="",0,IF($S2242="EVET",IF($D2242="GELİR",$O2242,-$O2242),0))</f>
        <v/>
      </c>
      <c r="AA2242" s="117">
        <f>IF($B2242="",0,IF(OR($W2242="EVET",$X2242="EVET",$Y2242="EVET"),0,IF($D2242="GELİR",IF($E2242="SATIŞ İADESİ/İSKONTO",-$O2242,$O2242),-$O2242)))</f>
        <v/>
      </c>
      <c r="AB2242" s="117">
        <f>IF($B2242="","",IF(OR($D2242="",$E2242="",$O2242=""),"EKSİK",IF($O2242&lt;=0,"SIFIR/NEGATİF",IF(COUNTIFS($C$6:$C$5000,$C2242,$O$6:$O$5000,$O2242,$B$6:$B$5000,$B2242)&gt;1,"MÜKERRER","OK"))))</f>
        <v/>
      </c>
    </row>
    <row r="2243" ht="16.5" customHeight="1" s="80">
      <c r="A2243" s="113" t="n"/>
      <c r="B2243" s="113" t="n"/>
      <c r="C2243" s="113" t="n"/>
      <c r="D2243" s="113" t="n"/>
      <c r="E2243" s="113" t="n"/>
      <c r="F2243" s="113" t="n"/>
      <c r="G2243" s="113" t="n"/>
      <c r="H2243" s="113" t="n"/>
      <c r="I2243" s="113" t="n"/>
      <c r="J2243" s="113" t="n"/>
      <c r="K2243" s="113" t="n"/>
      <c r="L2243" s="113" t="n"/>
      <c r="M2243" s="113" t="n"/>
      <c r="N2243" s="113" t="n"/>
      <c r="O2243" s="113" t="n"/>
      <c r="P2243" s="113" t="n"/>
      <c r="Q2243" s="113" t="n"/>
      <c r="R2243" s="113" t="n"/>
      <c r="S2243" s="113" t="n"/>
      <c r="T2243" s="113" t="n"/>
      <c r="U2243" s="113" t="n"/>
      <c r="V2243" s="113" t="n"/>
      <c r="W2243" s="113" t="n"/>
      <c r="X2243" s="113" t="n"/>
      <c r="Y2243" s="113" t="n"/>
      <c r="Z2243" s="117">
        <f>IF($B2243="",0,IF($S2243="EVET",IF($D2243="GELİR",$O2243,-$O2243),0))</f>
        <v/>
      </c>
      <c r="AA2243" s="117">
        <f>IF($B2243="",0,IF(OR($W2243="EVET",$X2243="EVET",$Y2243="EVET"),0,IF($D2243="GELİR",IF($E2243="SATIŞ İADESİ/İSKONTO",-$O2243,$O2243),-$O2243)))</f>
        <v/>
      </c>
      <c r="AB2243" s="117">
        <f>IF($B2243="","",IF(OR($D2243="",$E2243="",$O2243=""),"EKSİK",IF($O2243&lt;=0,"SIFIR/NEGATİF",IF(COUNTIFS($C$6:$C$5000,$C2243,$O$6:$O$5000,$O2243,$B$6:$B$5000,$B2243)&gt;1,"MÜKERRER","OK"))))</f>
        <v/>
      </c>
    </row>
    <row r="2244" ht="16.5" customHeight="1" s="80">
      <c r="A2244" s="113" t="n"/>
      <c r="B2244" s="113" t="n"/>
      <c r="C2244" s="113" t="n"/>
      <c r="D2244" s="113" t="n"/>
      <c r="E2244" s="113" t="n"/>
      <c r="F2244" s="113" t="n"/>
      <c r="G2244" s="113" t="n"/>
      <c r="H2244" s="113" t="n"/>
      <c r="I2244" s="113" t="n"/>
      <c r="J2244" s="113" t="n"/>
      <c r="K2244" s="113" t="n"/>
      <c r="L2244" s="113" t="n"/>
      <c r="M2244" s="113" t="n"/>
      <c r="N2244" s="113" t="n"/>
      <c r="O2244" s="113" t="n"/>
      <c r="P2244" s="113" t="n"/>
      <c r="Q2244" s="113" t="n"/>
      <c r="R2244" s="113" t="n"/>
      <c r="S2244" s="113" t="n"/>
      <c r="T2244" s="113" t="n"/>
      <c r="U2244" s="113" t="n"/>
      <c r="V2244" s="113" t="n"/>
      <c r="W2244" s="113" t="n"/>
      <c r="X2244" s="113" t="n"/>
      <c r="Y2244" s="113" t="n"/>
      <c r="Z2244" s="117">
        <f>IF($B2244="",0,IF($S2244="EVET",IF($D2244="GELİR",$O2244,-$O2244),0))</f>
        <v/>
      </c>
      <c r="AA2244" s="117">
        <f>IF($B2244="",0,IF(OR($W2244="EVET",$X2244="EVET",$Y2244="EVET"),0,IF($D2244="GELİR",IF($E2244="SATIŞ İADESİ/İSKONTO",-$O2244,$O2244),-$O2244)))</f>
        <v/>
      </c>
      <c r="AB2244" s="117">
        <f>IF($B2244="","",IF(OR($D2244="",$E2244="",$O2244=""),"EKSİK",IF($O2244&lt;=0,"SIFIR/NEGATİF",IF(COUNTIFS($C$6:$C$5000,$C2244,$O$6:$O$5000,$O2244,$B$6:$B$5000,$B2244)&gt;1,"MÜKERRER","OK"))))</f>
        <v/>
      </c>
    </row>
    <row r="2245" ht="16.5" customHeight="1" s="80">
      <c r="A2245" s="113" t="n"/>
      <c r="B2245" s="113" t="n"/>
      <c r="C2245" s="113" t="n"/>
      <c r="D2245" s="113" t="n"/>
      <c r="E2245" s="113" t="n"/>
      <c r="F2245" s="113" t="n"/>
      <c r="G2245" s="113" t="n"/>
      <c r="H2245" s="113" t="n"/>
      <c r="I2245" s="113" t="n"/>
      <c r="J2245" s="113" t="n"/>
      <c r="K2245" s="113" t="n"/>
      <c r="L2245" s="113" t="n"/>
      <c r="M2245" s="113" t="n"/>
      <c r="N2245" s="113" t="n"/>
      <c r="O2245" s="113" t="n"/>
      <c r="P2245" s="113" t="n"/>
      <c r="Q2245" s="113" t="n"/>
      <c r="R2245" s="113" t="n"/>
      <c r="S2245" s="113" t="n"/>
      <c r="T2245" s="113" t="n"/>
      <c r="U2245" s="113" t="n"/>
      <c r="V2245" s="113" t="n"/>
      <c r="W2245" s="113" t="n"/>
      <c r="X2245" s="113" t="n"/>
      <c r="Y2245" s="113" t="n"/>
      <c r="Z2245" s="117">
        <f>IF($B2245="",0,IF($S2245="EVET",IF($D2245="GELİR",$O2245,-$O2245),0))</f>
        <v/>
      </c>
      <c r="AA2245" s="117">
        <f>IF($B2245="",0,IF(OR($W2245="EVET",$X2245="EVET",$Y2245="EVET"),0,IF($D2245="GELİR",IF($E2245="SATIŞ İADESİ/İSKONTO",-$O2245,$O2245),-$O2245)))</f>
        <v/>
      </c>
      <c r="AB2245" s="117">
        <f>IF($B2245="","",IF(OR($D2245="",$E2245="",$O2245=""),"EKSİK",IF($O2245&lt;=0,"SIFIR/NEGATİF",IF(COUNTIFS($C$6:$C$5000,$C2245,$O$6:$O$5000,$O2245,$B$6:$B$5000,$B2245)&gt;1,"MÜKERRER","OK"))))</f>
        <v/>
      </c>
    </row>
    <row r="2246" ht="16.5" customHeight="1" s="80">
      <c r="A2246" s="113" t="n"/>
      <c r="B2246" s="113" t="n"/>
      <c r="C2246" s="113" t="n"/>
      <c r="D2246" s="113" t="n"/>
      <c r="E2246" s="113" t="n"/>
      <c r="F2246" s="113" t="n"/>
      <c r="G2246" s="113" t="n"/>
      <c r="H2246" s="113" t="n"/>
      <c r="I2246" s="113" t="n"/>
      <c r="J2246" s="113" t="n"/>
      <c r="K2246" s="113" t="n"/>
      <c r="L2246" s="113" t="n"/>
      <c r="M2246" s="113" t="n"/>
      <c r="N2246" s="113" t="n"/>
      <c r="O2246" s="113" t="n"/>
      <c r="P2246" s="113" t="n"/>
      <c r="Q2246" s="113" t="n"/>
      <c r="R2246" s="113" t="n"/>
      <c r="S2246" s="113" t="n"/>
      <c r="T2246" s="113" t="n"/>
      <c r="U2246" s="113" t="n"/>
      <c r="V2246" s="113" t="n"/>
      <c r="W2246" s="113" t="n"/>
      <c r="X2246" s="113" t="n"/>
      <c r="Y2246" s="113" t="n"/>
      <c r="Z2246" s="117">
        <f>IF($B2246="",0,IF($S2246="EVET",IF($D2246="GELİR",$O2246,-$O2246),0))</f>
        <v/>
      </c>
      <c r="AA2246" s="117">
        <f>IF($B2246="",0,IF(OR($W2246="EVET",$X2246="EVET",$Y2246="EVET"),0,IF($D2246="GELİR",IF($E2246="SATIŞ İADESİ/İSKONTO",-$O2246,$O2246),-$O2246)))</f>
        <v/>
      </c>
      <c r="AB2246" s="117">
        <f>IF($B2246="","",IF(OR($D2246="",$E2246="",$O2246=""),"EKSİK",IF($O2246&lt;=0,"SIFIR/NEGATİF",IF(COUNTIFS($C$6:$C$5000,$C2246,$O$6:$O$5000,$O2246,$B$6:$B$5000,$B2246)&gt;1,"MÜKERRER","OK"))))</f>
        <v/>
      </c>
    </row>
    <row r="2247" ht="16.5" customHeight="1" s="80">
      <c r="A2247" s="113" t="n"/>
      <c r="B2247" s="113" t="n"/>
      <c r="C2247" s="113" t="n"/>
      <c r="D2247" s="113" t="n"/>
      <c r="E2247" s="113" t="n"/>
      <c r="F2247" s="113" t="n"/>
      <c r="G2247" s="113" t="n"/>
      <c r="H2247" s="113" t="n"/>
      <c r="I2247" s="113" t="n"/>
      <c r="J2247" s="113" t="n"/>
      <c r="K2247" s="113" t="n"/>
      <c r="L2247" s="113" t="n"/>
      <c r="M2247" s="113" t="n"/>
      <c r="N2247" s="113" t="n"/>
      <c r="O2247" s="113" t="n"/>
      <c r="P2247" s="113" t="n"/>
      <c r="Q2247" s="113" t="n"/>
      <c r="R2247" s="113" t="n"/>
      <c r="S2247" s="113" t="n"/>
      <c r="T2247" s="113" t="n"/>
      <c r="U2247" s="113" t="n"/>
      <c r="V2247" s="113" t="n"/>
      <c r="W2247" s="113" t="n"/>
      <c r="X2247" s="113" t="n"/>
      <c r="Y2247" s="113" t="n"/>
      <c r="Z2247" s="117">
        <f>IF($B2247="",0,IF($S2247="EVET",IF($D2247="GELİR",$O2247,-$O2247),0))</f>
        <v/>
      </c>
      <c r="AA2247" s="117">
        <f>IF($B2247="",0,IF(OR($W2247="EVET",$X2247="EVET",$Y2247="EVET"),0,IF($D2247="GELİR",IF($E2247="SATIŞ İADESİ/İSKONTO",-$O2247,$O2247),-$O2247)))</f>
        <v/>
      </c>
      <c r="AB2247" s="117">
        <f>IF($B2247="","",IF(OR($D2247="",$E2247="",$O2247=""),"EKSİK",IF($O2247&lt;=0,"SIFIR/NEGATİF",IF(COUNTIFS($C$6:$C$5000,$C2247,$O$6:$O$5000,$O2247,$B$6:$B$5000,$B2247)&gt;1,"MÜKERRER","OK"))))</f>
        <v/>
      </c>
    </row>
    <row r="2248" ht="16.5" customHeight="1" s="80">
      <c r="A2248" s="113" t="n"/>
      <c r="B2248" s="113" t="n"/>
      <c r="C2248" s="113" t="n"/>
      <c r="D2248" s="113" t="n"/>
      <c r="E2248" s="113" t="n"/>
      <c r="F2248" s="113" t="n"/>
      <c r="G2248" s="113" t="n"/>
      <c r="H2248" s="113" t="n"/>
      <c r="I2248" s="113" t="n"/>
      <c r="J2248" s="113" t="n"/>
      <c r="K2248" s="113" t="n"/>
      <c r="L2248" s="113" t="n"/>
      <c r="M2248" s="113" t="n"/>
      <c r="N2248" s="113" t="n"/>
      <c r="O2248" s="113" t="n"/>
      <c r="P2248" s="113" t="n"/>
      <c r="Q2248" s="113" t="n"/>
      <c r="R2248" s="113" t="n"/>
      <c r="S2248" s="113" t="n"/>
      <c r="T2248" s="113" t="n"/>
      <c r="U2248" s="113" t="n"/>
      <c r="V2248" s="113" t="n"/>
      <c r="W2248" s="113" t="n"/>
      <c r="X2248" s="113" t="n"/>
      <c r="Y2248" s="113" t="n"/>
      <c r="Z2248" s="117">
        <f>IF($B2248="",0,IF($S2248="EVET",IF($D2248="GELİR",$O2248,-$O2248),0))</f>
        <v/>
      </c>
      <c r="AA2248" s="117">
        <f>IF($B2248="",0,IF(OR($W2248="EVET",$X2248="EVET",$Y2248="EVET"),0,IF($D2248="GELİR",IF($E2248="SATIŞ İADESİ/İSKONTO",-$O2248,$O2248),-$O2248)))</f>
        <v/>
      </c>
      <c r="AB2248" s="117">
        <f>IF($B2248="","",IF(OR($D2248="",$E2248="",$O2248=""),"EKSİK",IF($O2248&lt;=0,"SIFIR/NEGATİF",IF(COUNTIFS($C$6:$C$5000,$C2248,$O$6:$O$5000,$O2248,$B$6:$B$5000,$B2248)&gt;1,"MÜKERRER","OK"))))</f>
        <v/>
      </c>
    </row>
    <row r="2249" ht="16.5" customHeight="1" s="80">
      <c r="A2249" s="113" t="n"/>
      <c r="B2249" s="113" t="n"/>
      <c r="C2249" s="113" t="n"/>
      <c r="D2249" s="113" t="n"/>
      <c r="E2249" s="113" t="n"/>
      <c r="F2249" s="113" t="n"/>
      <c r="G2249" s="113" t="n"/>
      <c r="H2249" s="113" t="n"/>
      <c r="I2249" s="113" t="n"/>
      <c r="J2249" s="113" t="n"/>
      <c r="K2249" s="113" t="n"/>
      <c r="L2249" s="113" t="n"/>
      <c r="M2249" s="113" t="n"/>
      <c r="N2249" s="113" t="n"/>
      <c r="O2249" s="113" t="n"/>
      <c r="P2249" s="113" t="n"/>
      <c r="Q2249" s="113" t="n"/>
      <c r="R2249" s="113" t="n"/>
      <c r="S2249" s="113" t="n"/>
      <c r="T2249" s="113" t="n"/>
      <c r="U2249" s="113" t="n"/>
      <c r="V2249" s="113" t="n"/>
      <c r="W2249" s="113" t="n"/>
      <c r="X2249" s="113" t="n"/>
      <c r="Y2249" s="113" t="n"/>
      <c r="Z2249" s="117">
        <f>IF($B2249="",0,IF($S2249="EVET",IF($D2249="GELİR",$O2249,-$O2249),0))</f>
        <v/>
      </c>
      <c r="AA2249" s="117">
        <f>IF($B2249="",0,IF(OR($W2249="EVET",$X2249="EVET",$Y2249="EVET"),0,IF($D2249="GELİR",IF($E2249="SATIŞ İADESİ/İSKONTO",-$O2249,$O2249),-$O2249)))</f>
        <v/>
      </c>
      <c r="AB2249" s="117">
        <f>IF($B2249="","",IF(OR($D2249="",$E2249="",$O2249=""),"EKSİK",IF($O2249&lt;=0,"SIFIR/NEGATİF",IF(COUNTIFS($C$6:$C$5000,$C2249,$O$6:$O$5000,$O2249,$B$6:$B$5000,$B2249)&gt;1,"MÜKERRER","OK"))))</f>
        <v/>
      </c>
    </row>
    <row r="2250" ht="16.5" customHeight="1" s="80">
      <c r="A2250" s="113" t="n"/>
      <c r="B2250" s="113" t="n"/>
      <c r="C2250" s="113" t="n"/>
      <c r="D2250" s="113" t="n"/>
      <c r="E2250" s="113" t="n"/>
      <c r="F2250" s="113" t="n"/>
      <c r="G2250" s="113" t="n"/>
      <c r="H2250" s="113" t="n"/>
      <c r="I2250" s="113" t="n"/>
      <c r="J2250" s="113" t="n"/>
      <c r="K2250" s="113" t="n"/>
      <c r="L2250" s="113" t="n"/>
      <c r="M2250" s="113" t="n"/>
      <c r="N2250" s="113" t="n"/>
      <c r="O2250" s="113" t="n"/>
      <c r="P2250" s="113" t="n"/>
      <c r="Q2250" s="113" t="n"/>
      <c r="R2250" s="113" t="n"/>
      <c r="S2250" s="113" t="n"/>
      <c r="T2250" s="113" t="n"/>
      <c r="U2250" s="113" t="n"/>
      <c r="V2250" s="113" t="n"/>
      <c r="W2250" s="113" t="n"/>
      <c r="X2250" s="113" t="n"/>
      <c r="Y2250" s="113" t="n"/>
      <c r="Z2250" s="117">
        <f>IF($B2250="",0,IF($S2250="EVET",IF($D2250="GELİR",$O2250,-$O2250),0))</f>
        <v/>
      </c>
      <c r="AA2250" s="117">
        <f>IF($B2250="",0,IF(OR($W2250="EVET",$X2250="EVET",$Y2250="EVET"),0,IF($D2250="GELİR",IF($E2250="SATIŞ İADESİ/İSKONTO",-$O2250,$O2250),-$O2250)))</f>
        <v/>
      </c>
      <c r="AB2250" s="117">
        <f>IF($B2250="","",IF(OR($D2250="",$E2250="",$O2250=""),"EKSİK",IF($O2250&lt;=0,"SIFIR/NEGATİF",IF(COUNTIFS($C$6:$C$5000,$C2250,$O$6:$O$5000,$O2250,$B$6:$B$5000,$B2250)&gt;1,"MÜKERRER","OK"))))</f>
        <v/>
      </c>
    </row>
    <row r="2251" ht="16.5" customHeight="1" s="80">
      <c r="A2251" s="113" t="n"/>
      <c r="B2251" s="113" t="n"/>
      <c r="C2251" s="113" t="n"/>
      <c r="D2251" s="113" t="n"/>
      <c r="E2251" s="113" t="n"/>
      <c r="F2251" s="113" t="n"/>
      <c r="G2251" s="113" t="n"/>
      <c r="H2251" s="113" t="n"/>
      <c r="I2251" s="113" t="n"/>
      <c r="J2251" s="113" t="n"/>
      <c r="K2251" s="113" t="n"/>
      <c r="L2251" s="113" t="n"/>
      <c r="M2251" s="113" t="n"/>
      <c r="N2251" s="113" t="n"/>
      <c r="O2251" s="113" t="n"/>
      <c r="P2251" s="113" t="n"/>
      <c r="Q2251" s="113" t="n"/>
      <c r="R2251" s="113" t="n"/>
      <c r="S2251" s="113" t="n"/>
      <c r="T2251" s="113" t="n"/>
      <c r="U2251" s="113" t="n"/>
      <c r="V2251" s="113" t="n"/>
      <c r="W2251" s="113" t="n"/>
      <c r="X2251" s="113" t="n"/>
      <c r="Y2251" s="113" t="n"/>
      <c r="Z2251" s="117">
        <f>IF($B2251="",0,IF($S2251="EVET",IF($D2251="GELİR",$O2251,-$O2251),0))</f>
        <v/>
      </c>
      <c r="AA2251" s="117">
        <f>IF($B2251="",0,IF(OR($W2251="EVET",$X2251="EVET",$Y2251="EVET"),0,IF($D2251="GELİR",IF($E2251="SATIŞ İADESİ/İSKONTO",-$O2251,$O2251),-$O2251)))</f>
        <v/>
      </c>
      <c r="AB2251" s="117">
        <f>IF($B2251="","",IF(OR($D2251="",$E2251="",$O2251=""),"EKSİK",IF($O2251&lt;=0,"SIFIR/NEGATİF",IF(COUNTIFS($C$6:$C$5000,$C2251,$O$6:$O$5000,$O2251,$B$6:$B$5000,$B2251)&gt;1,"MÜKERRER","OK"))))</f>
        <v/>
      </c>
    </row>
    <row r="2252" ht="16.5" customHeight="1" s="80">
      <c r="A2252" s="113" t="n"/>
      <c r="B2252" s="113" t="n"/>
      <c r="C2252" s="113" t="n"/>
      <c r="D2252" s="113" t="n"/>
      <c r="E2252" s="113" t="n"/>
      <c r="F2252" s="113" t="n"/>
      <c r="G2252" s="113" t="n"/>
      <c r="H2252" s="113" t="n"/>
      <c r="I2252" s="113" t="n"/>
      <c r="J2252" s="113" t="n"/>
      <c r="K2252" s="113" t="n"/>
      <c r="L2252" s="113" t="n"/>
      <c r="M2252" s="113" t="n"/>
      <c r="N2252" s="113" t="n"/>
      <c r="O2252" s="113" t="n"/>
      <c r="P2252" s="113" t="n"/>
      <c r="Q2252" s="113" t="n"/>
      <c r="R2252" s="113" t="n"/>
      <c r="S2252" s="113" t="n"/>
      <c r="T2252" s="113" t="n"/>
      <c r="U2252" s="113" t="n"/>
      <c r="V2252" s="113" t="n"/>
      <c r="W2252" s="113" t="n"/>
      <c r="X2252" s="113" t="n"/>
      <c r="Y2252" s="113" t="n"/>
      <c r="Z2252" s="117">
        <f>IF($B2252="",0,IF($S2252="EVET",IF($D2252="GELİR",$O2252,-$O2252),0))</f>
        <v/>
      </c>
      <c r="AA2252" s="117">
        <f>IF($B2252="",0,IF(OR($W2252="EVET",$X2252="EVET",$Y2252="EVET"),0,IF($D2252="GELİR",IF($E2252="SATIŞ İADESİ/İSKONTO",-$O2252,$O2252),-$O2252)))</f>
        <v/>
      </c>
      <c r="AB2252" s="117">
        <f>IF($B2252="","",IF(OR($D2252="",$E2252="",$O2252=""),"EKSİK",IF($O2252&lt;=0,"SIFIR/NEGATİF",IF(COUNTIFS($C$6:$C$5000,$C2252,$O$6:$O$5000,$O2252,$B$6:$B$5000,$B2252)&gt;1,"MÜKERRER","OK"))))</f>
        <v/>
      </c>
    </row>
    <row r="2253" ht="16.5" customHeight="1" s="80">
      <c r="A2253" s="113" t="n"/>
      <c r="B2253" s="113" t="n"/>
      <c r="C2253" s="113" t="n"/>
      <c r="D2253" s="113" t="n"/>
      <c r="E2253" s="113" t="n"/>
      <c r="F2253" s="113" t="n"/>
      <c r="G2253" s="113" t="n"/>
      <c r="H2253" s="113" t="n"/>
      <c r="I2253" s="113" t="n"/>
      <c r="J2253" s="113" t="n"/>
      <c r="K2253" s="113" t="n"/>
      <c r="L2253" s="113" t="n"/>
      <c r="M2253" s="113" t="n"/>
      <c r="N2253" s="113" t="n"/>
      <c r="O2253" s="113" t="n"/>
      <c r="P2253" s="113" t="n"/>
      <c r="Q2253" s="113" t="n"/>
      <c r="R2253" s="113" t="n"/>
      <c r="S2253" s="113" t="n"/>
      <c r="T2253" s="113" t="n"/>
      <c r="U2253" s="113" t="n"/>
      <c r="V2253" s="113" t="n"/>
      <c r="W2253" s="113" t="n"/>
      <c r="X2253" s="113" t="n"/>
      <c r="Y2253" s="113" t="n"/>
      <c r="Z2253" s="117">
        <f>IF($B2253="",0,IF($S2253="EVET",IF($D2253="GELİR",$O2253,-$O2253),0))</f>
        <v/>
      </c>
      <c r="AA2253" s="117">
        <f>IF($B2253="",0,IF(OR($W2253="EVET",$X2253="EVET",$Y2253="EVET"),0,IF($D2253="GELİR",IF($E2253="SATIŞ İADESİ/İSKONTO",-$O2253,$O2253),-$O2253)))</f>
        <v/>
      </c>
      <c r="AB2253" s="117">
        <f>IF($B2253="","",IF(OR($D2253="",$E2253="",$O2253=""),"EKSİK",IF($O2253&lt;=0,"SIFIR/NEGATİF",IF(COUNTIFS($C$6:$C$5000,$C2253,$O$6:$O$5000,$O2253,$B$6:$B$5000,$B2253)&gt;1,"MÜKERRER","OK"))))</f>
        <v/>
      </c>
    </row>
    <row r="2254" ht="16.5" customHeight="1" s="80">
      <c r="A2254" s="113" t="n"/>
      <c r="B2254" s="113" t="n"/>
      <c r="C2254" s="113" t="n"/>
      <c r="D2254" s="113" t="n"/>
      <c r="E2254" s="113" t="n"/>
      <c r="F2254" s="113" t="n"/>
      <c r="G2254" s="113" t="n"/>
      <c r="H2254" s="113" t="n"/>
      <c r="I2254" s="113" t="n"/>
      <c r="J2254" s="113" t="n"/>
      <c r="K2254" s="113" t="n"/>
      <c r="L2254" s="113" t="n"/>
      <c r="M2254" s="113" t="n"/>
      <c r="N2254" s="113" t="n"/>
      <c r="O2254" s="113" t="n"/>
      <c r="P2254" s="113" t="n"/>
      <c r="Q2254" s="113" t="n"/>
      <c r="R2254" s="113" t="n"/>
      <c r="S2254" s="113" t="n"/>
      <c r="T2254" s="113" t="n"/>
      <c r="U2254" s="113" t="n"/>
      <c r="V2254" s="113" t="n"/>
      <c r="W2254" s="113" t="n"/>
      <c r="X2254" s="113" t="n"/>
      <c r="Y2254" s="113" t="n"/>
      <c r="Z2254" s="117">
        <f>IF($B2254="",0,IF($S2254="EVET",IF($D2254="GELİR",$O2254,-$O2254),0))</f>
        <v/>
      </c>
      <c r="AA2254" s="117">
        <f>IF($B2254="",0,IF(OR($W2254="EVET",$X2254="EVET",$Y2254="EVET"),0,IF($D2254="GELİR",IF($E2254="SATIŞ İADESİ/İSKONTO",-$O2254,$O2254),-$O2254)))</f>
        <v/>
      </c>
      <c r="AB2254" s="117">
        <f>IF($B2254="","",IF(OR($D2254="",$E2254="",$O2254=""),"EKSİK",IF($O2254&lt;=0,"SIFIR/NEGATİF",IF(COUNTIFS($C$6:$C$5000,$C2254,$O$6:$O$5000,$O2254,$B$6:$B$5000,$B2254)&gt;1,"MÜKERRER","OK"))))</f>
        <v/>
      </c>
    </row>
    <row r="2255" ht="16.5" customHeight="1" s="80">
      <c r="A2255" s="113" t="n"/>
      <c r="B2255" s="113" t="n"/>
      <c r="C2255" s="113" t="n"/>
      <c r="D2255" s="113" t="n"/>
      <c r="E2255" s="113" t="n"/>
      <c r="F2255" s="113" t="n"/>
      <c r="G2255" s="113" t="n"/>
      <c r="H2255" s="113" t="n"/>
      <c r="I2255" s="113" t="n"/>
      <c r="J2255" s="113" t="n"/>
      <c r="K2255" s="113" t="n"/>
      <c r="L2255" s="113" t="n"/>
      <c r="M2255" s="113" t="n"/>
      <c r="N2255" s="113" t="n"/>
      <c r="O2255" s="113" t="n"/>
      <c r="P2255" s="113" t="n"/>
      <c r="Q2255" s="113" t="n"/>
      <c r="R2255" s="113" t="n"/>
      <c r="S2255" s="113" t="n"/>
      <c r="T2255" s="113" t="n"/>
      <c r="U2255" s="113" t="n"/>
      <c r="V2255" s="113" t="n"/>
      <c r="W2255" s="113" t="n"/>
      <c r="X2255" s="113" t="n"/>
      <c r="Y2255" s="113" t="n"/>
      <c r="Z2255" s="117">
        <f>IF($B2255="",0,IF($S2255="EVET",IF($D2255="GELİR",$O2255,-$O2255),0))</f>
        <v/>
      </c>
      <c r="AA2255" s="117">
        <f>IF($B2255="",0,IF(OR($W2255="EVET",$X2255="EVET",$Y2255="EVET"),0,IF($D2255="GELİR",IF($E2255="SATIŞ İADESİ/İSKONTO",-$O2255,$O2255),-$O2255)))</f>
        <v/>
      </c>
      <c r="AB2255" s="117">
        <f>IF($B2255="","",IF(OR($D2255="",$E2255="",$O2255=""),"EKSİK",IF($O2255&lt;=0,"SIFIR/NEGATİF",IF(COUNTIFS($C$6:$C$5000,$C2255,$O$6:$O$5000,$O2255,$B$6:$B$5000,$B2255)&gt;1,"MÜKERRER","OK"))))</f>
        <v/>
      </c>
    </row>
    <row r="2256" ht="16.5" customHeight="1" s="80">
      <c r="A2256" s="113" t="n"/>
      <c r="B2256" s="113" t="n"/>
      <c r="C2256" s="113" t="n"/>
      <c r="D2256" s="113" t="n"/>
      <c r="E2256" s="113" t="n"/>
      <c r="F2256" s="113" t="n"/>
      <c r="G2256" s="113" t="n"/>
      <c r="H2256" s="113" t="n"/>
      <c r="I2256" s="113" t="n"/>
      <c r="J2256" s="113" t="n"/>
      <c r="K2256" s="113" t="n"/>
      <c r="L2256" s="113" t="n"/>
      <c r="M2256" s="113" t="n"/>
      <c r="N2256" s="113" t="n"/>
      <c r="O2256" s="113" t="n"/>
      <c r="P2256" s="113" t="n"/>
      <c r="Q2256" s="113" t="n"/>
      <c r="R2256" s="113" t="n"/>
      <c r="S2256" s="113" t="n"/>
      <c r="T2256" s="113" t="n"/>
      <c r="U2256" s="113" t="n"/>
      <c r="V2256" s="113" t="n"/>
      <c r="W2256" s="113" t="n"/>
      <c r="X2256" s="113" t="n"/>
      <c r="Y2256" s="113" t="n"/>
      <c r="Z2256" s="117">
        <f>IF($B2256="",0,IF($S2256="EVET",IF($D2256="GELİR",$O2256,-$O2256),0))</f>
        <v/>
      </c>
      <c r="AA2256" s="117">
        <f>IF($B2256="",0,IF(OR($W2256="EVET",$X2256="EVET",$Y2256="EVET"),0,IF($D2256="GELİR",IF($E2256="SATIŞ İADESİ/İSKONTO",-$O2256,$O2256),-$O2256)))</f>
        <v/>
      </c>
      <c r="AB2256" s="117">
        <f>IF($B2256="","",IF(OR($D2256="",$E2256="",$O2256=""),"EKSİK",IF($O2256&lt;=0,"SIFIR/NEGATİF",IF(COUNTIFS($C$6:$C$5000,$C2256,$O$6:$O$5000,$O2256,$B$6:$B$5000,$B2256)&gt;1,"MÜKERRER","OK"))))</f>
        <v/>
      </c>
    </row>
    <row r="2257" ht="16.5" customHeight="1" s="80">
      <c r="A2257" s="113" t="n"/>
      <c r="B2257" s="113" t="n"/>
      <c r="C2257" s="113" t="n"/>
      <c r="D2257" s="113" t="n"/>
      <c r="E2257" s="113" t="n"/>
      <c r="F2257" s="113" t="n"/>
      <c r="G2257" s="113" t="n"/>
      <c r="H2257" s="113" t="n"/>
      <c r="I2257" s="113" t="n"/>
      <c r="J2257" s="113" t="n"/>
      <c r="K2257" s="113" t="n"/>
      <c r="L2257" s="113" t="n"/>
      <c r="M2257" s="113" t="n"/>
      <c r="N2257" s="113" t="n"/>
      <c r="O2257" s="113" t="n"/>
      <c r="P2257" s="113" t="n"/>
      <c r="Q2257" s="113" t="n"/>
      <c r="R2257" s="113" t="n"/>
      <c r="S2257" s="113" t="n"/>
      <c r="T2257" s="113" t="n"/>
      <c r="U2257" s="113" t="n"/>
      <c r="V2257" s="113" t="n"/>
      <c r="W2257" s="113" t="n"/>
      <c r="X2257" s="113" t="n"/>
      <c r="Y2257" s="113" t="n"/>
      <c r="Z2257" s="117">
        <f>IF($B2257="",0,IF($S2257="EVET",IF($D2257="GELİR",$O2257,-$O2257),0))</f>
        <v/>
      </c>
      <c r="AA2257" s="117">
        <f>IF($B2257="",0,IF(OR($W2257="EVET",$X2257="EVET",$Y2257="EVET"),0,IF($D2257="GELİR",IF($E2257="SATIŞ İADESİ/İSKONTO",-$O2257,$O2257),-$O2257)))</f>
        <v/>
      </c>
      <c r="AB2257" s="117">
        <f>IF($B2257="","",IF(OR($D2257="",$E2257="",$O2257=""),"EKSİK",IF($O2257&lt;=0,"SIFIR/NEGATİF",IF(COUNTIFS($C$6:$C$5000,$C2257,$O$6:$O$5000,$O2257,$B$6:$B$5000,$B2257)&gt;1,"MÜKERRER","OK"))))</f>
        <v/>
      </c>
    </row>
    <row r="2258" ht="16.5" customHeight="1" s="80">
      <c r="A2258" s="113" t="n"/>
      <c r="B2258" s="113" t="n"/>
      <c r="C2258" s="113" t="n"/>
      <c r="D2258" s="113" t="n"/>
      <c r="E2258" s="113" t="n"/>
      <c r="F2258" s="113" t="n"/>
      <c r="G2258" s="113" t="n"/>
      <c r="H2258" s="113" t="n"/>
      <c r="I2258" s="113" t="n"/>
      <c r="J2258" s="113" t="n"/>
      <c r="K2258" s="113" t="n"/>
      <c r="L2258" s="113" t="n"/>
      <c r="M2258" s="113" t="n"/>
      <c r="N2258" s="113" t="n"/>
      <c r="O2258" s="113" t="n"/>
      <c r="P2258" s="113" t="n"/>
      <c r="Q2258" s="113" t="n"/>
      <c r="R2258" s="113" t="n"/>
      <c r="S2258" s="113" t="n"/>
      <c r="T2258" s="113" t="n"/>
      <c r="U2258" s="113" t="n"/>
      <c r="V2258" s="113" t="n"/>
      <c r="W2258" s="113" t="n"/>
      <c r="X2258" s="113" t="n"/>
      <c r="Y2258" s="113" t="n"/>
      <c r="Z2258" s="117">
        <f>IF($B2258="",0,IF($S2258="EVET",IF($D2258="GELİR",$O2258,-$O2258),0))</f>
        <v/>
      </c>
      <c r="AA2258" s="117">
        <f>IF($B2258="",0,IF(OR($W2258="EVET",$X2258="EVET",$Y2258="EVET"),0,IF($D2258="GELİR",IF($E2258="SATIŞ İADESİ/İSKONTO",-$O2258,$O2258),-$O2258)))</f>
        <v/>
      </c>
      <c r="AB2258" s="117">
        <f>IF($B2258="","",IF(OR($D2258="",$E2258="",$O2258=""),"EKSİK",IF($O2258&lt;=0,"SIFIR/NEGATİF",IF(COUNTIFS($C$6:$C$5000,$C2258,$O$6:$O$5000,$O2258,$B$6:$B$5000,$B2258)&gt;1,"MÜKERRER","OK"))))</f>
        <v/>
      </c>
    </row>
    <row r="2259" ht="16.5" customHeight="1" s="80">
      <c r="A2259" s="113" t="n"/>
      <c r="B2259" s="113" t="n"/>
      <c r="C2259" s="113" t="n"/>
      <c r="D2259" s="113" t="n"/>
      <c r="E2259" s="113" t="n"/>
      <c r="F2259" s="113" t="n"/>
      <c r="G2259" s="113" t="n"/>
      <c r="H2259" s="113" t="n"/>
      <c r="I2259" s="113" t="n"/>
      <c r="J2259" s="113" t="n"/>
      <c r="K2259" s="113" t="n"/>
      <c r="L2259" s="113" t="n"/>
      <c r="M2259" s="113" t="n"/>
      <c r="N2259" s="113" t="n"/>
      <c r="O2259" s="113" t="n"/>
      <c r="P2259" s="113" t="n"/>
      <c r="Q2259" s="113" t="n"/>
      <c r="R2259" s="113" t="n"/>
      <c r="S2259" s="113" t="n"/>
      <c r="T2259" s="113" t="n"/>
      <c r="U2259" s="113" t="n"/>
      <c r="V2259" s="113" t="n"/>
      <c r="W2259" s="113" t="n"/>
      <c r="X2259" s="113" t="n"/>
      <c r="Y2259" s="113" t="n"/>
      <c r="Z2259" s="117">
        <f>IF($B2259="",0,IF($S2259="EVET",IF($D2259="GELİR",$O2259,-$O2259),0))</f>
        <v/>
      </c>
      <c r="AA2259" s="117">
        <f>IF($B2259="",0,IF(OR($W2259="EVET",$X2259="EVET",$Y2259="EVET"),0,IF($D2259="GELİR",IF($E2259="SATIŞ İADESİ/İSKONTO",-$O2259,$O2259),-$O2259)))</f>
        <v/>
      </c>
      <c r="AB2259" s="117">
        <f>IF($B2259="","",IF(OR($D2259="",$E2259="",$O2259=""),"EKSİK",IF($O2259&lt;=0,"SIFIR/NEGATİF",IF(COUNTIFS($C$6:$C$5000,$C2259,$O$6:$O$5000,$O2259,$B$6:$B$5000,$B2259)&gt;1,"MÜKERRER","OK"))))</f>
        <v/>
      </c>
    </row>
    <row r="2260" ht="16.5" customHeight="1" s="80">
      <c r="A2260" s="113" t="n"/>
      <c r="B2260" s="113" t="n"/>
      <c r="C2260" s="113" t="n"/>
      <c r="D2260" s="113" t="n"/>
      <c r="E2260" s="113" t="n"/>
      <c r="F2260" s="113" t="n"/>
      <c r="G2260" s="113" t="n"/>
      <c r="H2260" s="113" t="n"/>
      <c r="I2260" s="113" t="n"/>
      <c r="J2260" s="113" t="n"/>
      <c r="K2260" s="113" t="n"/>
      <c r="L2260" s="113" t="n"/>
      <c r="M2260" s="113" t="n"/>
      <c r="N2260" s="113" t="n"/>
      <c r="O2260" s="113" t="n"/>
      <c r="P2260" s="113" t="n"/>
      <c r="Q2260" s="113" t="n"/>
      <c r="R2260" s="113" t="n"/>
      <c r="S2260" s="113" t="n"/>
      <c r="T2260" s="113" t="n"/>
      <c r="U2260" s="113" t="n"/>
      <c r="V2260" s="113" t="n"/>
      <c r="W2260" s="113" t="n"/>
      <c r="X2260" s="113" t="n"/>
      <c r="Y2260" s="113" t="n"/>
      <c r="Z2260" s="117">
        <f>IF($B2260="",0,IF($S2260="EVET",IF($D2260="GELİR",$O2260,-$O2260),0))</f>
        <v/>
      </c>
      <c r="AA2260" s="117">
        <f>IF($B2260="",0,IF(OR($W2260="EVET",$X2260="EVET",$Y2260="EVET"),0,IF($D2260="GELİR",IF($E2260="SATIŞ İADESİ/İSKONTO",-$O2260,$O2260),-$O2260)))</f>
        <v/>
      </c>
      <c r="AB2260" s="117">
        <f>IF($B2260="","",IF(OR($D2260="",$E2260="",$O2260=""),"EKSİK",IF($O2260&lt;=0,"SIFIR/NEGATİF",IF(COUNTIFS($C$6:$C$5000,$C2260,$O$6:$O$5000,$O2260,$B$6:$B$5000,$B2260)&gt;1,"MÜKERRER","OK"))))</f>
        <v/>
      </c>
    </row>
    <row r="2261" ht="16.5" customHeight="1" s="80">
      <c r="A2261" s="113" t="n"/>
      <c r="B2261" s="113" t="n"/>
      <c r="C2261" s="113" t="n"/>
      <c r="D2261" s="113" t="n"/>
      <c r="E2261" s="113" t="n"/>
      <c r="F2261" s="113" t="n"/>
      <c r="G2261" s="113" t="n"/>
      <c r="H2261" s="113" t="n"/>
      <c r="I2261" s="113" t="n"/>
      <c r="J2261" s="113" t="n"/>
      <c r="K2261" s="113" t="n"/>
      <c r="L2261" s="113" t="n"/>
      <c r="M2261" s="113" t="n"/>
      <c r="N2261" s="113" t="n"/>
      <c r="O2261" s="113" t="n"/>
      <c r="P2261" s="113" t="n"/>
      <c r="Q2261" s="113" t="n"/>
      <c r="R2261" s="113" t="n"/>
      <c r="S2261" s="113" t="n"/>
      <c r="T2261" s="113" t="n"/>
      <c r="U2261" s="113" t="n"/>
      <c r="V2261" s="113" t="n"/>
      <c r="W2261" s="113" t="n"/>
      <c r="X2261" s="113" t="n"/>
      <c r="Y2261" s="113" t="n"/>
      <c r="Z2261" s="117">
        <f>IF($B2261="",0,IF($S2261="EVET",IF($D2261="GELİR",$O2261,-$O2261),0))</f>
        <v/>
      </c>
      <c r="AA2261" s="117">
        <f>IF($B2261="",0,IF(OR($W2261="EVET",$X2261="EVET",$Y2261="EVET"),0,IF($D2261="GELİR",IF($E2261="SATIŞ İADESİ/İSKONTO",-$O2261,$O2261),-$O2261)))</f>
        <v/>
      </c>
      <c r="AB2261" s="117">
        <f>IF($B2261="","",IF(OR($D2261="",$E2261="",$O2261=""),"EKSİK",IF($O2261&lt;=0,"SIFIR/NEGATİF",IF(COUNTIFS($C$6:$C$5000,$C2261,$O$6:$O$5000,$O2261,$B$6:$B$5000,$B2261)&gt;1,"MÜKERRER","OK"))))</f>
        <v/>
      </c>
    </row>
    <row r="2262" ht="16.5" customHeight="1" s="80">
      <c r="A2262" s="113" t="n"/>
      <c r="B2262" s="113" t="n"/>
      <c r="C2262" s="113" t="n"/>
      <c r="D2262" s="113" t="n"/>
      <c r="E2262" s="113" t="n"/>
      <c r="F2262" s="113" t="n"/>
      <c r="G2262" s="113" t="n"/>
      <c r="H2262" s="113" t="n"/>
      <c r="I2262" s="113" t="n"/>
      <c r="J2262" s="113" t="n"/>
      <c r="K2262" s="113" t="n"/>
      <c r="L2262" s="113" t="n"/>
      <c r="M2262" s="113" t="n"/>
      <c r="N2262" s="113" t="n"/>
      <c r="O2262" s="113" t="n"/>
      <c r="P2262" s="113" t="n"/>
      <c r="Q2262" s="113" t="n"/>
      <c r="R2262" s="113" t="n"/>
      <c r="S2262" s="113" t="n"/>
      <c r="T2262" s="113" t="n"/>
      <c r="U2262" s="113" t="n"/>
      <c r="V2262" s="113" t="n"/>
      <c r="W2262" s="113" t="n"/>
      <c r="X2262" s="113" t="n"/>
      <c r="Y2262" s="113" t="n"/>
      <c r="Z2262" s="117">
        <f>IF($B2262="",0,IF($S2262="EVET",IF($D2262="GELİR",$O2262,-$O2262),0))</f>
        <v/>
      </c>
      <c r="AA2262" s="117">
        <f>IF($B2262="",0,IF(OR($W2262="EVET",$X2262="EVET",$Y2262="EVET"),0,IF($D2262="GELİR",IF($E2262="SATIŞ İADESİ/İSKONTO",-$O2262,$O2262),-$O2262)))</f>
        <v/>
      </c>
      <c r="AB2262" s="117">
        <f>IF($B2262="","",IF(OR($D2262="",$E2262="",$O2262=""),"EKSİK",IF($O2262&lt;=0,"SIFIR/NEGATİF",IF(COUNTIFS($C$6:$C$5000,$C2262,$O$6:$O$5000,$O2262,$B$6:$B$5000,$B2262)&gt;1,"MÜKERRER","OK"))))</f>
        <v/>
      </c>
    </row>
    <row r="2263" ht="16.5" customHeight="1" s="80">
      <c r="A2263" s="113" t="n"/>
      <c r="B2263" s="113" t="n"/>
      <c r="C2263" s="113" t="n"/>
      <c r="D2263" s="113" t="n"/>
      <c r="E2263" s="113" t="n"/>
      <c r="F2263" s="113" t="n"/>
      <c r="G2263" s="113" t="n"/>
      <c r="H2263" s="113" t="n"/>
      <c r="I2263" s="113" t="n"/>
      <c r="J2263" s="113" t="n"/>
      <c r="K2263" s="113" t="n"/>
      <c r="L2263" s="113" t="n"/>
      <c r="M2263" s="113" t="n"/>
      <c r="N2263" s="113" t="n"/>
      <c r="O2263" s="113" t="n"/>
      <c r="P2263" s="113" t="n"/>
      <c r="Q2263" s="113" t="n"/>
      <c r="R2263" s="113" t="n"/>
      <c r="S2263" s="113" t="n"/>
      <c r="T2263" s="113" t="n"/>
      <c r="U2263" s="113" t="n"/>
      <c r="V2263" s="113" t="n"/>
      <c r="W2263" s="113" t="n"/>
      <c r="X2263" s="113" t="n"/>
      <c r="Y2263" s="113" t="n"/>
      <c r="Z2263" s="117">
        <f>IF($B2263="",0,IF($S2263="EVET",IF($D2263="GELİR",$O2263,-$O2263),0))</f>
        <v/>
      </c>
      <c r="AA2263" s="117">
        <f>IF($B2263="",0,IF(OR($W2263="EVET",$X2263="EVET",$Y2263="EVET"),0,IF($D2263="GELİR",IF($E2263="SATIŞ İADESİ/İSKONTO",-$O2263,$O2263),-$O2263)))</f>
        <v/>
      </c>
      <c r="AB2263" s="117">
        <f>IF($B2263="","",IF(OR($D2263="",$E2263="",$O2263=""),"EKSİK",IF($O2263&lt;=0,"SIFIR/NEGATİF",IF(COUNTIFS($C$6:$C$5000,$C2263,$O$6:$O$5000,$O2263,$B$6:$B$5000,$B2263)&gt;1,"MÜKERRER","OK"))))</f>
        <v/>
      </c>
    </row>
    <row r="2264" ht="16.5" customHeight="1" s="80">
      <c r="A2264" s="113" t="n"/>
      <c r="B2264" s="113" t="n"/>
      <c r="C2264" s="113" t="n"/>
      <c r="D2264" s="113" t="n"/>
      <c r="E2264" s="113" t="n"/>
      <c r="F2264" s="113" t="n"/>
      <c r="G2264" s="113" t="n"/>
      <c r="H2264" s="113" t="n"/>
      <c r="I2264" s="113" t="n"/>
      <c r="J2264" s="113" t="n"/>
      <c r="K2264" s="113" t="n"/>
      <c r="L2264" s="113" t="n"/>
      <c r="M2264" s="113" t="n"/>
      <c r="N2264" s="113" t="n"/>
      <c r="O2264" s="113" t="n"/>
      <c r="P2264" s="113" t="n"/>
      <c r="Q2264" s="113" t="n"/>
      <c r="R2264" s="113" t="n"/>
      <c r="S2264" s="113" t="n"/>
      <c r="T2264" s="113" t="n"/>
      <c r="U2264" s="113" t="n"/>
      <c r="V2264" s="113" t="n"/>
      <c r="W2264" s="113" t="n"/>
      <c r="X2264" s="113" t="n"/>
      <c r="Y2264" s="113" t="n"/>
      <c r="Z2264" s="117">
        <f>IF($B2264="",0,IF($S2264="EVET",IF($D2264="GELİR",$O2264,-$O2264),0))</f>
        <v/>
      </c>
      <c r="AA2264" s="117">
        <f>IF($B2264="",0,IF(OR($W2264="EVET",$X2264="EVET",$Y2264="EVET"),0,IF($D2264="GELİR",IF($E2264="SATIŞ İADESİ/İSKONTO",-$O2264,$O2264),-$O2264)))</f>
        <v/>
      </c>
      <c r="AB2264" s="117">
        <f>IF($B2264="","",IF(OR($D2264="",$E2264="",$O2264=""),"EKSİK",IF($O2264&lt;=0,"SIFIR/NEGATİF",IF(COUNTIFS($C$6:$C$5000,$C2264,$O$6:$O$5000,$O2264,$B$6:$B$5000,$B2264)&gt;1,"MÜKERRER","OK"))))</f>
        <v/>
      </c>
    </row>
    <row r="2265" ht="16.5" customHeight="1" s="80">
      <c r="A2265" s="113" t="n"/>
      <c r="B2265" s="113" t="n"/>
      <c r="C2265" s="113" t="n"/>
      <c r="D2265" s="113" t="n"/>
      <c r="E2265" s="113" t="n"/>
      <c r="F2265" s="113" t="n"/>
      <c r="G2265" s="113" t="n"/>
      <c r="H2265" s="113" t="n"/>
      <c r="I2265" s="113" t="n"/>
      <c r="J2265" s="113" t="n"/>
      <c r="K2265" s="113" t="n"/>
      <c r="L2265" s="113" t="n"/>
      <c r="M2265" s="113" t="n"/>
      <c r="N2265" s="113" t="n"/>
      <c r="O2265" s="113" t="n"/>
      <c r="P2265" s="113" t="n"/>
      <c r="Q2265" s="113" t="n"/>
      <c r="R2265" s="113" t="n"/>
      <c r="S2265" s="113" t="n"/>
      <c r="T2265" s="113" t="n"/>
      <c r="U2265" s="113" t="n"/>
      <c r="V2265" s="113" t="n"/>
      <c r="W2265" s="113" t="n"/>
      <c r="X2265" s="113" t="n"/>
      <c r="Y2265" s="113" t="n"/>
      <c r="Z2265" s="117">
        <f>IF($B2265="",0,IF($S2265="EVET",IF($D2265="GELİR",$O2265,-$O2265),0))</f>
        <v/>
      </c>
      <c r="AA2265" s="117">
        <f>IF($B2265="",0,IF(OR($W2265="EVET",$X2265="EVET",$Y2265="EVET"),0,IF($D2265="GELİR",IF($E2265="SATIŞ İADESİ/İSKONTO",-$O2265,$O2265),-$O2265)))</f>
        <v/>
      </c>
      <c r="AB2265" s="117">
        <f>IF($B2265="","",IF(OR($D2265="",$E2265="",$O2265=""),"EKSİK",IF($O2265&lt;=0,"SIFIR/NEGATİF",IF(COUNTIFS($C$6:$C$5000,$C2265,$O$6:$O$5000,$O2265,$B$6:$B$5000,$B2265)&gt;1,"MÜKERRER","OK"))))</f>
        <v/>
      </c>
    </row>
    <row r="2266" ht="16.5" customHeight="1" s="80">
      <c r="A2266" s="113" t="n"/>
      <c r="B2266" s="113" t="n"/>
      <c r="C2266" s="113" t="n"/>
      <c r="D2266" s="113" t="n"/>
      <c r="E2266" s="113" t="n"/>
      <c r="F2266" s="113" t="n"/>
      <c r="G2266" s="113" t="n"/>
      <c r="H2266" s="113" t="n"/>
      <c r="I2266" s="113" t="n"/>
      <c r="J2266" s="113" t="n"/>
      <c r="K2266" s="113" t="n"/>
      <c r="L2266" s="113" t="n"/>
      <c r="M2266" s="113" t="n"/>
      <c r="N2266" s="113" t="n"/>
      <c r="O2266" s="113" t="n"/>
      <c r="P2266" s="113" t="n"/>
      <c r="Q2266" s="113" t="n"/>
      <c r="R2266" s="113" t="n"/>
      <c r="S2266" s="113" t="n"/>
      <c r="T2266" s="113" t="n"/>
      <c r="U2266" s="113" t="n"/>
      <c r="V2266" s="113" t="n"/>
      <c r="W2266" s="113" t="n"/>
      <c r="X2266" s="113" t="n"/>
      <c r="Y2266" s="113" t="n"/>
      <c r="Z2266" s="117">
        <f>IF($B2266="",0,IF($S2266="EVET",IF($D2266="GELİR",$O2266,-$O2266),0))</f>
        <v/>
      </c>
      <c r="AA2266" s="117">
        <f>IF($B2266="",0,IF(OR($W2266="EVET",$X2266="EVET",$Y2266="EVET"),0,IF($D2266="GELİR",IF($E2266="SATIŞ İADESİ/İSKONTO",-$O2266,$O2266),-$O2266)))</f>
        <v/>
      </c>
      <c r="AB2266" s="117">
        <f>IF($B2266="","",IF(OR($D2266="",$E2266="",$O2266=""),"EKSİK",IF($O2266&lt;=0,"SIFIR/NEGATİF",IF(COUNTIFS($C$6:$C$5000,$C2266,$O$6:$O$5000,$O2266,$B$6:$B$5000,$B2266)&gt;1,"MÜKERRER","OK"))))</f>
        <v/>
      </c>
    </row>
    <row r="2267" ht="16.5" customHeight="1" s="80">
      <c r="A2267" s="113" t="n"/>
      <c r="B2267" s="113" t="n"/>
      <c r="C2267" s="113" t="n"/>
      <c r="D2267" s="113" t="n"/>
      <c r="E2267" s="113" t="n"/>
      <c r="F2267" s="113" t="n"/>
      <c r="G2267" s="113" t="n"/>
      <c r="H2267" s="113" t="n"/>
      <c r="I2267" s="113" t="n"/>
      <c r="J2267" s="113" t="n"/>
      <c r="K2267" s="113" t="n"/>
      <c r="L2267" s="113" t="n"/>
      <c r="M2267" s="113" t="n"/>
      <c r="N2267" s="113" t="n"/>
      <c r="O2267" s="113" t="n"/>
      <c r="P2267" s="113" t="n"/>
      <c r="Q2267" s="113" t="n"/>
      <c r="R2267" s="113" t="n"/>
      <c r="S2267" s="113" t="n"/>
      <c r="T2267" s="113" t="n"/>
      <c r="U2267" s="113" t="n"/>
      <c r="V2267" s="113" t="n"/>
      <c r="W2267" s="113" t="n"/>
      <c r="X2267" s="113" t="n"/>
      <c r="Y2267" s="113" t="n"/>
      <c r="Z2267" s="117">
        <f>IF($B2267="",0,IF($S2267="EVET",IF($D2267="GELİR",$O2267,-$O2267),0))</f>
        <v/>
      </c>
      <c r="AA2267" s="117">
        <f>IF($B2267="",0,IF(OR($W2267="EVET",$X2267="EVET",$Y2267="EVET"),0,IF($D2267="GELİR",IF($E2267="SATIŞ İADESİ/İSKONTO",-$O2267,$O2267),-$O2267)))</f>
        <v/>
      </c>
      <c r="AB2267" s="117">
        <f>IF($B2267="","",IF(OR($D2267="",$E2267="",$O2267=""),"EKSİK",IF($O2267&lt;=0,"SIFIR/NEGATİF",IF(COUNTIFS($C$6:$C$5000,$C2267,$O$6:$O$5000,$O2267,$B$6:$B$5000,$B2267)&gt;1,"MÜKERRER","OK"))))</f>
        <v/>
      </c>
    </row>
    <row r="2268" ht="16.5" customHeight="1" s="80">
      <c r="A2268" s="113" t="n"/>
      <c r="B2268" s="113" t="n"/>
      <c r="C2268" s="113" t="n"/>
      <c r="D2268" s="113" t="n"/>
      <c r="E2268" s="113" t="n"/>
      <c r="F2268" s="113" t="n"/>
      <c r="G2268" s="113" t="n"/>
      <c r="H2268" s="113" t="n"/>
      <c r="I2268" s="113" t="n"/>
      <c r="J2268" s="113" t="n"/>
      <c r="K2268" s="113" t="n"/>
      <c r="L2268" s="113" t="n"/>
      <c r="M2268" s="113" t="n"/>
      <c r="N2268" s="113" t="n"/>
      <c r="O2268" s="113" t="n"/>
      <c r="P2268" s="113" t="n"/>
      <c r="Q2268" s="113" t="n"/>
      <c r="R2268" s="113" t="n"/>
      <c r="S2268" s="113" t="n"/>
      <c r="T2268" s="113" t="n"/>
      <c r="U2268" s="113" t="n"/>
      <c r="V2268" s="113" t="n"/>
      <c r="W2268" s="113" t="n"/>
      <c r="X2268" s="113" t="n"/>
      <c r="Y2268" s="113" t="n"/>
      <c r="Z2268" s="117">
        <f>IF($B2268="",0,IF($S2268="EVET",IF($D2268="GELİR",$O2268,-$O2268),0))</f>
        <v/>
      </c>
      <c r="AA2268" s="117">
        <f>IF($B2268="",0,IF(OR($W2268="EVET",$X2268="EVET",$Y2268="EVET"),0,IF($D2268="GELİR",IF($E2268="SATIŞ İADESİ/İSKONTO",-$O2268,$O2268),-$O2268)))</f>
        <v/>
      </c>
      <c r="AB2268" s="117">
        <f>IF($B2268="","",IF(OR($D2268="",$E2268="",$O2268=""),"EKSİK",IF($O2268&lt;=0,"SIFIR/NEGATİF",IF(COUNTIFS($C$6:$C$5000,$C2268,$O$6:$O$5000,$O2268,$B$6:$B$5000,$B2268)&gt;1,"MÜKERRER","OK"))))</f>
        <v/>
      </c>
    </row>
    <row r="2269" ht="16.5" customHeight="1" s="80">
      <c r="A2269" s="113" t="n"/>
      <c r="B2269" s="113" t="n"/>
      <c r="C2269" s="113" t="n"/>
      <c r="D2269" s="113" t="n"/>
      <c r="E2269" s="113" t="n"/>
      <c r="F2269" s="113" t="n"/>
      <c r="G2269" s="113" t="n"/>
      <c r="H2269" s="113" t="n"/>
      <c r="I2269" s="113" t="n"/>
      <c r="J2269" s="113" t="n"/>
      <c r="K2269" s="113" t="n"/>
      <c r="L2269" s="113" t="n"/>
      <c r="M2269" s="113" t="n"/>
      <c r="N2269" s="113" t="n"/>
      <c r="O2269" s="113" t="n"/>
      <c r="P2269" s="113" t="n"/>
      <c r="Q2269" s="113" t="n"/>
      <c r="R2269" s="113" t="n"/>
      <c r="S2269" s="113" t="n"/>
      <c r="T2269" s="113" t="n"/>
      <c r="U2269" s="113" t="n"/>
      <c r="V2269" s="113" t="n"/>
      <c r="W2269" s="113" t="n"/>
      <c r="X2269" s="113" t="n"/>
      <c r="Y2269" s="113" t="n"/>
      <c r="Z2269" s="117">
        <f>IF($B2269="",0,IF($S2269="EVET",IF($D2269="GELİR",$O2269,-$O2269),0))</f>
        <v/>
      </c>
      <c r="AA2269" s="117">
        <f>IF($B2269="",0,IF(OR($W2269="EVET",$X2269="EVET",$Y2269="EVET"),0,IF($D2269="GELİR",IF($E2269="SATIŞ İADESİ/İSKONTO",-$O2269,$O2269),-$O2269)))</f>
        <v/>
      </c>
      <c r="AB2269" s="117">
        <f>IF($B2269="","",IF(OR($D2269="",$E2269="",$O2269=""),"EKSİK",IF($O2269&lt;=0,"SIFIR/NEGATİF",IF(COUNTIFS($C$6:$C$5000,$C2269,$O$6:$O$5000,$O2269,$B$6:$B$5000,$B2269)&gt;1,"MÜKERRER","OK"))))</f>
        <v/>
      </c>
    </row>
    <row r="2270" ht="16.5" customHeight="1" s="80">
      <c r="A2270" s="113" t="n"/>
      <c r="B2270" s="113" t="n"/>
      <c r="C2270" s="113" t="n"/>
      <c r="D2270" s="113" t="n"/>
      <c r="E2270" s="113" t="n"/>
      <c r="F2270" s="113" t="n"/>
      <c r="G2270" s="113" t="n"/>
      <c r="H2270" s="113" t="n"/>
      <c r="I2270" s="113" t="n"/>
      <c r="J2270" s="113" t="n"/>
      <c r="K2270" s="113" t="n"/>
      <c r="L2270" s="113" t="n"/>
      <c r="M2270" s="113" t="n"/>
      <c r="N2270" s="113" t="n"/>
      <c r="O2270" s="113" t="n"/>
      <c r="P2270" s="113" t="n"/>
      <c r="Q2270" s="113" t="n"/>
      <c r="R2270" s="113" t="n"/>
      <c r="S2270" s="113" t="n"/>
      <c r="T2270" s="113" t="n"/>
      <c r="U2270" s="113" t="n"/>
      <c r="V2270" s="113" t="n"/>
      <c r="W2270" s="113" t="n"/>
      <c r="X2270" s="113" t="n"/>
      <c r="Y2270" s="113" t="n"/>
      <c r="Z2270" s="117">
        <f>IF($B2270="",0,IF($S2270="EVET",IF($D2270="GELİR",$O2270,-$O2270),0))</f>
        <v/>
      </c>
      <c r="AA2270" s="117">
        <f>IF($B2270="",0,IF(OR($W2270="EVET",$X2270="EVET",$Y2270="EVET"),0,IF($D2270="GELİR",IF($E2270="SATIŞ İADESİ/İSKONTO",-$O2270,$O2270),-$O2270)))</f>
        <v/>
      </c>
      <c r="AB2270" s="117">
        <f>IF($B2270="","",IF(OR($D2270="",$E2270="",$O2270=""),"EKSİK",IF($O2270&lt;=0,"SIFIR/NEGATİF",IF(COUNTIFS($C$6:$C$5000,$C2270,$O$6:$O$5000,$O2270,$B$6:$B$5000,$B2270)&gt;1,"MÜKERRER","OK"))))</f>
        <v/>
      </c>
    </row>
    <row r="2271" ht="16.5" customHeight="1" s="80">
      <c r="A2271" s="113" t="n"/>
      <c r="B2271" s="113" t="n"/>
      <c r="C2271" s="113" t="n"/>
      <c r="D2271" s="113" t="n"/>
      <c r="E2271" s="113" t="n"/>
      <c r="F2271" s="113" t="n"/>
      <c r="G2271" s="113" t="n"/>
      <c r="H2271" s="113" t="n"/>
      <c r="I2271" s="113" t="n"/>
      <c r="J2271" s="113" t="n"/>
      <c r="K2271" s="113" t="n"/>
      <c r="L2271" s="113" t="n"/>
      <c r="M2271" s="113" t="n"/>
      <c r="N2271" s="113" t="n"/>
      <c r="O2271" s="113" t="n"/>
      <c r="P2271" s="113" t="n"/>
      <c r="Q2271" s="113" t="n"/>
      <c r="R2271" s="113" t="n"/>
      <c r="S2271" s="113" t="n"/>
      <c r="T2271" s="113" t="n"/>
      <c r="U2271" s="113" t="n"/>
      <c r="V2271" s="113" t="n"/>
      <c r="W2271" s="113" t="n"/>
      <c r="X2271" s="113" t="n"/>
      <c r="Y2271" s="113" t="n"/>
      <c r="Z2271" s="117">
        <f>IF($B2271="",0,IF($S2271="EVET",IF($D2271="GELİR",$O2271,-$O2271),0))</f>
        <v/>
      </c>
      <c r="AA2271" s="117">
        <f>IF($B2271="",0,IF(OR($W2271="EVET",$X2271="EVET",$Y2271="EVET"),0,IF($D2271="GELİR",IF($E2271="SATIŞ İADESİ/İSKONTO",-$O2271,$O2271),-$O2271)))</f>
        <v/>
      </c>
      <c r="AB2271" s="117">
        <f>IF($B2271="","",IF(OR($D2271="",$E2271="",$O2271=""),"EKSİK",IF($O2271&lt;=0,"SIFIR/NEGATİF",IF(COUNTIFS($C$6:$C$5000,$C2271,$O$6:$O$5000,$O2271,$B$6:$B$5000,$B2271)&gt;1,"MÜKERRER","OK"))))</f>
        <v/>
      </c>
    </row>
    <row r="2272" ht="16.5" customHeight="1" s="80">
      <c r="A2272" s="113" t="n"/>
      <c r="B2272" s="113" t="n"/>
      <c r="C2272" s="113" t="n"/>
      <c r="D2272" s="113" t="n"/>
      <c r="E2272" s="113" t="n"/>
      <c r="F2272" s="113" t="n"/>
      <c r="G2272" s="113" t="n"/>
      <c r="H2272" s="113" t="n"/>
      <c r="I2272" s="113" t="n"/>
      <c r="J2272" s="113" t="n"/>
      <c r="K2272" s="113" t="n"/>
      <c r="L2272" s="113" t="n"/>
      <c r="M2272" s="113" t="n"/>
      <c r="N2272" s="113" t="n"/>
      <c r="O2272" s="113" t="n"/>
      <c r="P2272" s="113" t="n"/>
      <c r="Q2272" s="113" t="n"/>
      <c r="R2272" s="113" t="n"/>
      <c r="S2272" s="113" t="n"/>
      <c r="T2272" s="113" t="n"/>
      <c r="U2272" s="113" t="n"/>
      <c r="V2272" s="113" t="n"/>
      <c r="W2272" s="113" t="n"/>
      <c r="X2272" s="113" t="n"/>
      <c r="Y2272" s="113" t="n"/>
      <c r="Z2272" s="117">
        <f>IF($B2272="",0,IF($S2272="EVET",IF($D2272="GELİR",$O2272,-$O2272),0))</f>
        <v/>
      </c>
      <c r="AA2272" s="117">
        <f>IF($B2272="",0,IF(OR($W2272="EVET",$X2272="EVET",$Y2272="EVET"),0,IF($D2272="GELİR",IF($E2272="SATIŞ İADESİ/İSKONTO",-$O2272,$O2272),-$O2272)))</f>
        <v/>
      </c>
      <c r="AB2272" s="117">
        <f>IF($B2272="","",IF(OR($D2272="",$E2272="",$O2272=""),"EKSİK",IF($O2272&lt;=0,"SIFIR/NEGATİF",IF(COUNTIFS($C$6:$C$5000,$C2272,$O$6:$O$5000,$O2272,$B$6:$B$5000,$B2272)&gt;1,"MÜKERRER","OK"))))</f>
        <v/>
      </c>
    </row>
    <row r="2273" ht="16.5" customHeight="1" s="80">
      <c r="A2273" s="113" t="n"/>
      <c r="B2273" s="113" t="n"/>
      <c r="C2273" s="113" t="n"/>
      <c r="D2273" s="113" t="n"/>
      <c r="E2273" s="113" t="n"/>
      <c r="F2273" s="113" t="n"/>
      <c r="G2273" s="113" t="n"/>
      <c r="H2273" s="113" t="n"/>
      <c r="I2273" s="113" t="n"/>
      <c r="J2273" s="113" t="n"/>
      <c r="K2273" s="113" t="n"/>
      <c r="L2273" s="113" t="n"/>
      <c r="M2273" s="113" t="n"/>
      <c r="N2273" s="113" t="n"/>
      <c r="O2273" s="113" t="n"/>
      <c r="P2273" s="113" t="n"/>
      <c r="Q2273" s="113" t="n"/>
      <c r="R2273" s="113" t="n"/>
      <c r="S2273" s="113" t="n"/>
      <c r="T2273" s="113" t="n"/>
      <c r="U2273" s="113" t="n"/>
      <c r="V2273" s="113" t="n"/>
      <c r="W2273" s="113" t="n"/>
      <c r="X2273" s="113" t="n"/>
      <c r="Y2273" s="113" t="n"/>
      <c r="Z2273" s="117">
        <f>IF($B2273="",0,IF($S2273="EVET",IF($D2273="GELİR",$O2273,-$O2273),0))</f>
        <v/>
      </c>
      <c r="AA2273" s="117">
        <f>IF($B2273="",0,IF(OR($W2273="EVET",$X2273="EVET",$Y2273="EVET"),0,IF($D2273="GELİR",IF($E2273="SATIŞ İADESİ/İSKONTO",-$O2273,$O2273),-$O2273)))</f>
        <v/>
      </c>
      <c r="AB2273" s="117">
        <f>IF($B2273="","",IF(OR($D2273="",$E2273="",$O2273=""),"EKSİK",IF($O2273&lt;=0,"SIFIR/NEGATİF",IF(COUNTIFS($C$6:$C$5000,$C2273,$O$6:$O$5000,$O2273,$B$6:$B$5000,$B2273)&gt;1,"MÜKERRER","OK"))))</f>
        <v/>
      </c>
    </row>
    <row r="2274" ht="16.5" customHeight="1" s="80">
      <c r="A2274" s="113" t="n"/>
      <c r="B2274" s="113" t="n"/>
      <c r="C2274" s="113" t="n"/>
      <c r="D2274" s="113" t="n"/>
      <c r="E2274" s="113" t="n"/>
      <c r="F2274" s="113" t="n"/>
      <c r="G2274" s="113" t="n"/>
      <c r="H2274" s="113" t="n"/>
      <c r="I2274" s="113" t="n"/>
      <c r="J2274" s="113" t="n"/>
      <c r="K2274" s="113" t="n"/>
      <c r="L2274" s="113" t="n"/>
      <c r="M2274" s="113" t="n"/>
      <c r="N2274" s="113" t="n"/>
      <c r="O2274" s="113" t="n"/>
      <c r="P2274" s="113" t="n"/>
      <c r="Q2274" s="113" t="n"/>
      <c r="R2274" s="113" t="n"/>
      <c r="S2274" s="113" t="n"/>
      <c r="T2274" s="113" t="n"/>
      <c r="U2274" s="113" t="n"/>
      <c r="V2274" s="113" t="n"/>
      <c r="W2274" s="113" t="n"/>
      <c r="X2274" s="113" t="n"/>
      <c r="Y2274" s="113" t="n"/>
      <c r="Z2274" s="117">
        <f>IF($B2274="",0,IF($S2274="EVET",IF($D2274="GELİR",$O2274,-$O2274),0))</f>
        <v/>
      </c>
      <c r="AA2274" s="117">
        <f>IF($B2274="",0,IF(OR($W2274="EVET",$X2274="EVET",$Y2274="EVET"),0,IF($D2274="GELİR",IF($E2274="SATIŞ İADESİ/İSKONTO",-$O2274,$O2274),-$O2274)))</f>
        <v/>
      </c>
      <c r="AB2274" s="117">
        <f>IF($B2274="","",IF(OR($D2274="",$E2274="",$O2274=""),"EKSİK",IF($O2274&lt;=0,"SIFIR/NEGATİF",IF(COUNTIFS($C$6:$C$5000,$C2274,$O$6:$O$5000,$O2274,$B$6:$B$5000,$B2274)&gt;1,"MÜKERRER","OK"))))</f>
        <v/>
      </c>
    </row>
    <row r="2275" ht="16.5" customHeight="1" s="80">
      <c r="A2275" s="113" t="n"/>
      <c r="B2275" s="113" t="n"/>
      <c r="C2275" s="113" t="n"/>
      <c r="D2275" s="113" t="n"/>
      <c r="E2275" s="113" t="n"/>
      <c r="F2275" s="113" t="n"/>
      <c r="G2275" s="113" t="n"/>
      <c r="H2275" s="113" t="n"/>
      <c r="I2275" s="113" t="n"/>
      <c r="J2275" s="113" t="n"/>
      <c r="K2275" s="113" t="n"/>
      <c r="L2275" s="113" t="n"/>
      <c r="M2275" s="113" t="n"/>
      <c r="N2275" s="113" t="n"/>
      <c r="O2275" s="113" t="n"/>
      <c r="P2275" s="113" t="n"/>
      <c r="Q2275" s="113" t="n"/>
      <c r="R2275" s="113" t="n"/>
      <c r="S2275" s="113" t="n"/>
      <c r="T2275" s="113" t="n"/>
      <c r="U2275" s="113" t="n"/>
      <c r="V2275" s="113" t="n"/>
      <c r="W2275" s="113" t="n"/>
      <c r="X2275" s="113" t="n"/>
      <c r="Y2275" s="113" t="n"/>
      <c r="Z2275" s="117">
        <f>IF($B2275="",0,IF($S2275="EVET",IF($D2275="GELİR",$O2275,-$O2275),0))</f>
        <v/>
      </c>
      <c r="AA2275" s="117">
        <f>IF($B2275="",0,IF(OR($W2275="EVET",$X2275="EVET",$Y2275="EVET"),0,IF($D2275="GELİR",IF($E2275="SATIŞ İADESİ/İSKONTO",-$O2275,$O2275),-$O2275)))</f>
        <v/>
      </c>
      <c r="AB2275" s="117">
        <f>IF($B2275="","",IF(OR($D2275="",$E2275="",$O2275=""),"EKSİK",IF($O2275&lt;=0,"SIFIR/NEGATİF",IF(COUNTIFS($C$6:$C$5000,$C2275,$O$6:$O$5000,$O2275,$B$6:$B$5000,$B2275)&gt;1,"MÜKERRER","OK"))))</f>
        <v/>
      </c>
    </row>
    <row r="2276" ht="16.5" customHeight="1" s="80">
      <c r="A2276" s="113" t="n"/>
      <c r="B2276" s="113" t="n"/>
      <c r="C2276" s="113" t="n"/>
      <c r="D2276" s="113" t="n"/>
      <c r="E2276" s="113" t="n"/>
      <c r="F2276" s="113" t="n"/>
      <c r="G2276" s="113" t="n"/>
      <c r="H2276" s="113" t="n"/>
      <c r="I2276" s="113" t="n"/>
      <c r="J2276" s="113" t="n"/>
      <c r="K2276" s="113" t="n"/>
      <c r="L2276" s="113" t="n"/>
      <c r="M2276" s="113" t="n"/>
      <c r="N2276" s="113" t="n"/>
      <c r="O2276" s="113" t="n"/>
      <c r="P2276" s="113" t="n"/>
      <c r="Q2276" s="113" t="n"/>
      <c r="R2276" s="113" t="n"/>
      <c r="S2276" s="113" t="n"/>
      <c r="T2276" s="113" t="n"/>
      <c r="U2276" s="113" t="n"/>
      <c r="V2276" s="113" t="n"/>
      <c r="W2276" s="113" t="n"/>
      <c r="X2276" s="113" t="n"/>
      <c r="Y2276" s="113" t="n"/>
      <c r="Z2276" s="117">
        <f>IF($B2276="",0,IF($S2276="EVET",IF($D2276="GELİR",$O2276,-$O2276),0))</f>
        <v/>
      </c>
      <c r="AA2276" s="117">
        <f>IF($B2276="",0,IF(OR($W2276="EVET",$X2276="EVET",$Y2276="EVET"),0,IF($D2276="GELİR",IF($E2276="SATIŞ İADESİ/İSKONTO",-$O2276,$O2276),-$O2276)))</f>
        <v/>
      </c>
      <c r="AB2276" s="117">
        <f>IF($B2276="","",IF(OR($D2276="",$E2276="",$O2276=""),"EKSİK",IF($O2276&lt;=0,"SIFIR/NEGATİF",IF(COUNTIFS($C$6:$C$5000,$C2276,$O$6:$O$5000,$O2276,$B$6:$B$5000,$B2276)&gt;1,"MÜKERRER","OK"))))</f>
        <v/>
      </c>
    </row>
    <row r="2277" ht="16.5" customHeight="1" s="80">
      <c r="A2277" s="113" t="n"/>
      <c r="B2277" s="113" t="n"/>
      <c r="C2277" s="113" t="n"/>
      <c r="D2277" s="113" t="n"/>
      <c r="E2277" s="113" t="n"/>
      <c r="F2277" s="113" t="n"/>
      <c r="G2277" s="113" t="n"/>
      <c r="H2277" s="113" t="n"/>
      <c r="I2277" s="113" t="n"/>
      <c r="J2277" s="113" t="n"/>
      <c r="K2277" s="113" t="n"/>
      <c r="L2277" s="113" t="n"/>
      <c r="M2277" s="113" t="n"/>
      <c r="N2277" s="113" t="n"/>
      <c r="O2277" s="113" t="n"/>
      <c r="P2277" s="113" t="n"/>
      <c r="Q2277" s="113" t="n"/>
      <c r="R2277" s="113" t="n"/>
      <c r="S2277" s="113" t="n"/>
      <c r="T2277" s="113" t="n"/>
      <c r="U2277" s="113" t="n"/>
      <c r="V2277" s="113" t="n"/>
      <c r="W2277" s="113" t="n"/>
      <c r="X2277" s="113" t="n"/>
      <c r="Y2277" s="113" t="n"/>
      <c r="Z2277" s="117">
        <f>IF($B2277="",0,IF($S2277="EVET",IF($D2277="GELİR",$O2277,-$O2277),0))</f>
        <v/>
      </c>
      <c r="AA2277" s="117">
        <f>IF($B2277="",0,IF(OR($W2277="EVET",$X2277="EVET",$Y2277="EVET"),0,IF($D2277="GELİR",IF($E2277="SATIŞ İADESİ/İSKONTO",-$O2277,$O2277),-$O2277)))</f>
        <v/>
      </c>
      <c r="AB2277" s="117">
        <f>IF($B2277="","",IF(OR($D2277="",$E2277="",$O2277=""),"EKSİK",IF($O2277&lt;=0,"SIFIR/NEGATİF",IF(COUNTIFS($C$6:$C$5000,$C2277,$O$6:$O$5000,$O2277,$B$6:$B$5000,$B2277)&gt;1,"MÜKERRER","OK"))))</f>
        <v/>
      </c>
    </row>
    <row r="2278" ht="16.5" customHeight="1" s="80">
      <c r="A2278" s="113" t="n"/>
      <c r="B2278" s="113" t="n"/>
      <c r="C2278" s="113" t="n"/>
      <c r="D2278" s="113" t="n"/>
      <c r="E2278" s="113" t="n"/>
      <c r="F2278" s="113" t="n"/>
      <c r="G2278" s="113" t="n"/>
      <c r="H2278" s="113" t="n"/>
      <c r="I2278" s="113" t="n"/>
      <c r="J2278" s="113" t="n"/>
      <c r="K2278" s="113" t="n"/>
      <c r="L2278" s="113" t="n"/>
      <c r="M2278" s="113" t="n"/>
      <c r="N2278" s="113" t="n"/>
      <c r="O2278" s="113" t="n"/>
      <c r="P2278" s="113" t="n"/>
      <c r="Q2278" s="113" t="n"/>
      <c r="R2278" s="113" t="n"/>
      <c r="S2278" s="113" t="n"/>
      <c r="T2278" s="113" t="n"/>
      <c r="U2278" s="113" t="n"/>
      <c r="V2278" s="113" t="n"/>
      <c r="W2278" s="113" t="n"/>
      <c r="X2278" s="113" t="n"/>
      <c r="Y2278" s="113" t="n"/>
      <c r="Z2278" s="117">
        <f>IF($B2278="",0,IF($S2278="EVET",IF($D2278="GELİR",$O2278,-$O2278),0))</f>
        <v/>
      </c>
      <c r="AA2278" s="117">
        <f>IF($B2278="",0,IF(OR($W2278="EVET",$X2278="EVET",$Y2278="EVET"),0,IF($D2278="GELİR",IF($E2278="SATIŞ İADESİ/İSKONTO",-$O2278,$O2278),-$O2278)))</f>
        <v/>
      </c>
      <c r="AB2278" s="117">
        <f>IF($B2278="","",IF(OR($D2278="",$E2278="",$O2278=""),"EKSİK",IF($O2278&lt;=0,"SIFIR/NEGATİF",IF(COUNTIFS($C$6:$C$5000,$C2278,$O$6:$O$5000,$O2278,$B$6:$B$5000,$B2278)&gt;1,"MÜKERRER","OK"))))</f>
        <v/>
      </c>
    </row>
    <row r="2279" ht="16.5" customHeight="1" s="80">
      <c r="A2279" s="113" t="n"/>
      <c r="B2279" s="113" t="n"/>
      <c r="C2279" s="113" t="n"/>
      <c r="D2279" s="113" t="n"/>
      <c r="E2279" s="113" t="n"/>
      <c r="F2279" s="113" t="n"/>
      <c r="G2279" s="113" t="n"/>
      <c r="H2279" s="113" t="n"/>
      <c r="I2279" s="113" t="n"/>
      <c r="J2279" s="113" t="n"/>
      <c r="K2279" s="113" t="n"/>
      <c r="L2279" s="113" t="n"/>
      <c r="M2279" s="113" t="n"/>
      <c r="N2279" s="113" t="n"/>
      <c r="O2279" s="113" t="n"/>
      <c r="P2279" s="113" t="n"/>
      <c r="Q2279" s="113" t="n"/>
      <c r="R2279" s="113" t="n"/>
      <c r="S2279" s="113" t="n"/>
      <c r="T2279" s="113" t="n"/>
      <c r="U2279" s="113" t="n"/>
      <c r="V2279" s="113" t="n"/>
      <c r="W2279" s="113" t="n"/>
      <c r="X2279" s="113" t="n"/>
      <c r="Y2279" s="113" t="n"/>
      <c r="Z2279" s="117">
        <f>IF($B2279="",0,IF($S2279="EVET",IF($D2279="GELİR",$O2279,-$O2279),0))</f>
        <v/>
      </c>
      <c r="AA2279" s="117">
        <f>IF($B2279="",0,IF(OR($W2279="EVET",$X2279="EVET",$Y2279="EVET"),0,IF($D2279="GELİR",IF($E2279="SATIŞ İADESİ/İSKONTO",-$O2279,$O2279),-$O2279)))</f>
        <v/>
      </c>
      <c r="AB2279" s="117">
        <f>IF($B2279="","",IF(OR($D2279="",$E2279="",$O2279=""),"EKSİK",IF($O2279&lt;=0,"SIFIR/NEGATİF",IF(COUNTIFS($C$6:$C$5000,$C2279,$O$6:$O$5000,$O2279,$B$6:$B$5000,$B2279)&gt;1,"MÜKERRER","OK"))))</f>
        <v/>
      </c>
    </row>
    <row r="2280" ht="16.5" customHeight="1" s="80">
      <c r="A2280" s="113" t="n"/>
      <c r="B2280" s="113" t="n"/>
      <c r="C2280" s="113" t="n"/>
      <c r="D2280" s="113" t="n"/>
      <c r="E2280" s="113" t="n"/>
      <c r="F2280" s="113" t="n"/>
      <c r="G2280" s="113" t="n"/>
      <c r="H2280" s="113" t="n"/>
      <c r="I2280" s="113" t="n"/>
      <c r="J2280" s="113" t="n"/>
      <c r="K2280" s="113" t="n"/>
      <c r="L2280" s="113" t="n"/>
      <c r="M2280" s="113" t="n"/>
      <c r="N2280" s="113" t="n"/>
      <c r="O2280" s="113" t="n"/>
      <c r="P2280" s="113" t="n"/>
      <c r="Q2280" s="113" t="n"/>
      <c r="R2280" s="113" t="n"/>
      <c r="S2280" s="113" t="n"/>
      <c r="T2280" s="113" t="n"/>
      <c r="U2280" s="113" t="n"/>
      <c r="V2280" s="113" t="n"/>
      <c r="W2280" s="113" t="n"/>
      <c r="X2280" s="113" t="n"/>
      <c r="Y2280" s="113" t="n"/>
      <c r="Z2280" s="117">
        <f>IF($B2280="",0,IF($S2280="EVET",IF($D2280="GELİR",$O2280,-$O2280),0))</f>
        <v/>
      </c>
      <c r="AA2280" s="117">
        <f>IF($B2280="",0,IF(OR($W2280="EVET",$X2280="EVET",$Y2280="EVET"),0,IF($D2280="GELİR",IF($E2280="SATIŞ İADESİ/İSKONTO",-$O2280,$O2280),-$O2280)))</f>
        <v/>
      </c>
      <c r="AB2280" s="117">
        <f>IF($B2280="","",IF(OR($D2280="",$E2280="",$O2280=""),"EKSİK",IF($O2280&lt;=0,"SIFIR/NEGATİF",IF(COUNTIFS($C$6:$C$5000,$C2280,$O$6:$O$5000,$O2280,$B$6:$B$5000,$B2280)&gt;1,"MÜKERRER","OK"))))</f>
        <v/>
      </c>
    </row>
    <row r="2281" ht="16.5" customHeight="1" s="80">
      <c r="A2281" s="113" t="n"/>
      <c r="B2281" s="113" t="n"/>
      <c r="C2281" s="113" t="n"/>
      <c r="D2281" s="113" t="n"/>
      <c r="E2281" s="113" t="n"/>
      <c r="F2281" s="113" t="n"/>
      <c r="G2281" s="113" t="n"/>
      <c r="H2281" s="113" t="n"/>
      <c r="I2281" s="113" t="n"/>
      <c r="J2281" s="113" t="n"/>
      <c r="K2281" s="113" t="n"/>
      <c r="L2281" s="113" t="n"/>
      <c r="M2281" s="113" t="n"/>
      <c r="N2281" s="113" t="n"/>
      <c r="O2281" s="113" t="n"/>
      <c r="P2281" s="113" t="n"/>
      <c r="Q2281" s="113" t="n"/>
      <c r="R2281" s="113" t="n"/>
      <c r="S2281" s="113" t="n"/>
      <c r="T2281" s="113" t="n"/>
      <c r="U2281" s="113" t="n"/>
      <c r="V2281" s="113" t="n"/>
      <c r="W2281" s="113" t="n"/>
      <c r="X2281" s="113" t="n"/>
      <c r="Y2281" s="113" t="n"/>
      <c r="Z2281" s="117">
        <f>IF($B2281="",0,IF($S2281="EVET",IF($D2281="GELİR",$O2281,-$O2281),0))</f>
        <v/>
      </c>
      <c r="AA2281" s="117">
        <f>IF($B2281="",0,IF(OR($W2281="EVET",$X2281="EVET",$Y2281="EVET"),0,IF($D2281="GELİR",IF($E2281="SATIŞ İADESİ/İSKONTO",-$O2281,$O2281),-$O2281)))</f>
        <v/>
      </c>
      <c r="AB2281" s="117">
        <f>IF($B2281="","",IF(OR($D2281="",$E2281="",$O2281=""),"EKSİK",IF($O2281&lt;=0,"SIFIR/NEGATİF",IF(COUNTIFS($C$6:$C$5000,$C2281,$O$6:$O$5000,$O2281,$B$6:$B$5000,$B2281)&gt;1,"MÜKERRER","OK"))))</f>
        <v/>
      </c>
    </row>
    <row r="2282" ht="16.5" customHeight="1" s="80">
      <c r="A2282" s="113" t="n"/>
      <c r="B2282" s="113" t="n"/>
      <c r="C2282" s="113" t="n"/>
      <c r="D2282" s="113" t="n"/>
      <c r="E2282" s="113" t="n"/>
      <c r="F2282" s="113" t="n"/>
      <c r="G2282" s="113" t="n"/>
      <c r="H2282" s="113" t="n"/>
      <c r="I2282" s="113" t="n"/>
      <c r="J2282" s="113" t="n"/>
      <c r="K2282" s="113" t="n"/>
      <c r="L2282" s="113" t="n"/>
      <c r="M2282" s="113" t="n"/>
      <c r="N2282" s="113" t="n"/>
      <c r="O2282" s="113" t="n"/>
      <c r="P2282" s="113" t="n"/>
      <c r="Q2282" s="113" t="n"/>
      <c r="R2282" s="113" t="n"/>
      <c r="S2282" s="113" t="n"/>
      <c r="T2282" s="113" t="n"/>
      <c r="U2282" s="113" t="n"/>
      <c r="V2282" s="113" t="n"/>
      <c r="W2282" s="113" t="n"/>
      <c r="X2282" s="113" t="n"/>
      <c r="Y2282" s="113" t="n"/>
      <c r="Z2282" s="117">
        <f>IF($B2282="",0,IF($S2282="EVET",IF($D2282="GELİR",$O2282,-$O2282),0))</f>
        <v/>
      </c>
      <c r="AA2282" s="117">
        <f>IF($B2282="",0,IF(OR($W2282="EVET",$X2282="EVET",$Y2282="EVET"),0,IF($D2282="GELİR",IF($E2282="SATIŞ İADESİ/İSKONTO",-$O2282,$O2282),-$O2282)))</f>
        <v/>
      </c>
      <c r="AB2282" s="117">
        <f>IF($B2282="","",IF(OR($D2282="",$E2282="",$O2282=""),"EKSİK",IF($O2282&lt;=0,"SIFIR/NEGATİF",IF(COUNTIFS($C$6:$C$5000,$C2282,$O$6:$O$5000,$O2282,$B$6:$B$5000,$B2282)&gt;1,"MÜKERRER","OK"))))</f>
        <v/>
      </c>
    </row>
    <row r="2283" ht="16.5" customHeight="1" s="80">
      <c r="A2283" s="113" t="n"/>
      <c r="B2283" s="113" t="n"/>
      <c r="C2283" s="113" t="n"/>
      <c r="D2283" s="113" t="n"/>
      <c r="E2283" s="113" t="n"/>
      <c r="F2283" s="113" t="n"/>
      <c r="G2283" s="113" t="n"/>
      <c r="H2283" s="113" t="n"/>
      <c r="I2283" s="113" t="n"/>
      <c r="J2283" s="113" t="n"/>
      <c r="K2283" s="113" t="n"/>
      <c r="L2283" s="113" t="n"/>
      <c r="M2283" s="113" t="n"/>
      <c r="N2283" s="113" t="n"/>
      <c r="O2283" s="113" t="n"/>
      <c r="P2283" s="113" t="n"/>
      <c r="Q2283" s="113" t="n"/>
      <c r="R2283" s="113" t="n"/>
      <c r="S2283" s="113" t="n"/>
      <c r="T2283" s="113" t="n"/>
      <c r="U2283" s="113" t="n"/>
      <c r="V2283" s="113" t="n"/>
      <c r="W2283" s="113" t="n"/>
      <c r="X2283" s="113" t="n"/>
      <c r="Y2283" s="113" t="n"/>
      <c r="Z2283" s="117">
        <f>IF($B2283="",0,IF($S2283="EVET",IF($D2283="GELİR",$O2283,-$O2283),0))</f>
        <v/>
      </c>
      <c r="AA2283" s="117">
        <f>IF($B2283="",0,IF(OR($W2283="EVET",$X2283="EVET",$Y2283="EVET"),0,IF($D2283="GELİR",IF($E2283="SATIŞ İADESİ/İSKONTO",-$O2283,$O2283),-$O2283)))</f>
        <v/>
      </c>
      <c r="AB2283" s="117">
        <f>IF($B2283="","",IF(OR($D2283="",$E2283="",$O2283=""),"EKSİK",IF($O2283&lt;=0,"SIFIR/NEGATİF",IF(COUNTIFS($C$6:$C$5000,$C2283,$O$6:$O$5000,$O2283,$B$6:$B$5000,$B2283)&gt;1,"MÜKERRER","OK"))))</f>
        <v/>
      </c>
    </row>
    <row r="2284" ht="16.5" customHeight="1" s="80">
      <c r="A2284" s="113" t="n"/>
      <c r="B2284" s="113" t="n"/>
      <c r="C2284" s="113" t="n"/>
      <c r="D2284" s="113" t="n"/>
      <c r="E2284" s="113" t="n"/>
      <c r="F2284" s="113" t="n"/>
      <c r="G2284" s="113" t="n"/>
      <c r="H2284" s="113" t="n"/>
      <c r="I2284" s="113" t="n"/>
      <c r="J2284" s="113" t="n"/>
      <c r="K2284" s="113" t="n"/>
      <c r="L2284" s="113" t="n"/>
      <c r="M2284" s="113" t="n"/>
      <c r="N2284" s="113" t="n"/>
      <c r="O2284" s="113" t="n"/>
      <c r="P2284" s="113" t="n"/>
      <c r="Q2284" s="113" t="n"/>
      <c r="R2284" s="113" t="n"/>
      <c r="S2284" s="113" t="n"/>
      <c r="T2284" s="113" t="n"/>
      <c r="U2284" s="113" t="n"/>
      <c r="V2284" s="113" t="n"/>
      <c r="W2284" s="113" t="n"/>
      <c r="X2284" s="113" t="n"/>
      <c r="Y2284" s="113" t="n"/>
      <c r="Z2284" s="117">
        <f>IF($B2284="",0,IF($S2284="EVET",IF($D2284="GELİR",$O2284,-$O2284),0))</f>
        <v/>
      </c>
      <c r="AA2284" s="117">
        <f>IF($B2284="",0,IF(OR($W2284="EVET",$X2284="EVET",$Y2284="EVET"),0,IF($D2284="GELİR",IF($E2284="SATIŞ İADESİ/İSKONTO",-$O2284,$O2284),-$O2284)))</f>
        <v/>
      </c>
      <c r="AB2284" s="117">
        <f>IF($B2284="","",IF(OR($D2284="",$E2284="",$O2284=""),"EKSİK",IF($O2284&lt;=0,"SIFIR/NEGATİF",IF(COUNTIFS($C$6:$C$5000,$C2284,$O$6:$O$5000,$O2284,$B$6:$B$5000,$B2284)&gt;1,"MÜKERRER","OK"))))</f>
        <v/>
      </c>
    </row>
    <row r="2285" ht="16.5" customHeight="1" s="80">
      <c r="A2285" s="113" t="n"/>
      <c r="B2285" s="113" t="n"/>
      <c r="C2285" s="113" t="n"/>
      <c r="D2285" s="113" t="n"/>
      <c r="E2285" s="113" t="n"/>
      <c r="F2285" s="113" t="n"/>
      <c r="G2285" s="113" t="n"/>
      <c r="H2285" s="113" t="n"/>
      <c r="I2285" s="113" t="n"/>
      <c r="J2285" s="113" t="n"/>
      <c r="K2285" s="113" t="n"/>
      <c r="L2285" s="113" t="n"/>
      <c r="M2285" s="113" t="n"/>
      <c r="N2285" s="113" t="n"/>
      <c r="O2285" s="113" t="n"/>
      <c r="P2285" s="113" t="n"/>
      <c r="Q2285" s="113" t="n"/>
      <c r="R2285" s="113" t="n"/>
      <c r="S2285" s="113" t="n"/>
      <c r="T2285" s="113" t="n"/>
      <c r="U2285" s="113" t="n"/>
      <c r="V2285" s="113" t="n"/>
      <c r="W2285" s="113" t="n"/>
      <c r="X2285" s="113" t="n"/>
      <c r="Y2285" s="113" t="n"/>
      <c r="Z2285" s="117">
        <f>IF($B2285="",0,IF($S2285="EVET",IF($D2285="GELİR",$O2285,-$O2285),0))</f>
        <v/>
      </c>
      <c r="AA2285" s="117">
        <f>IF($B2285="",0,IF(OR($W2285="EVET",$X2285="EVET",$Y2285="EVET"),0,IF($D2285="GELİR",IF($E2285="SATIŞ İADESİ/İSKONTO",-$O2285,$O2285),-$O2285)))</f>
        <v/>
      </c>
      <c r="AB2285" s="117">
        <f>IF($B2285="","",IF(OR($D2285="",$E2285="",$O2285=""),"EKSİK",IF($O2285&lt;=0,"SIFIR/NEGATİF",IF(COUNTIFS($C$6:$C$5000,$C2285,$O$6:$O$5000,$O2285,$B$6:$B$5000,$B2285)&gt;1,"MÜKERRER","OK"))))</f>
        <v/>
      </c>
    </row>
    <row r="2286" ht="16.5" customHeight="1" s="80">
      <c r="A2286" s="113" t="n"/>
      <c r="B2286" s="113" t="n"/>
      <c r="C2286" s="113" t="n"/>
      <c r="D2286" s="113" t="n"/>
      <c r="E2286" s="113" t="n"/>
      <c r="F2286" s="113" t="n"/>
      <c r="G2286" s="113" t="n"/>
      <c r="H2286" s="113" t="n"/>
      <c r="I2286" s="113" t="n"/>
      <c r="J2286" s="113" t="n"/>
      <c r="K2286" s="113" t="n"/>
      <c r="L2286" s="113" t="n"/>
      <c r="M2286" s="113" t="n"/>
      <c r="N2286" s="113" t="n"/>
      <c r="O2286" s="113" t="n"/>
      <c r="P2286" s="113" t="n"/>
      <c r="Q2286" s="113" t="n"/>
      <c r="R2286" s="113" t="n"/>
      <c r="S2286" s="113" t="n"/>
      <c r="T2286" s="113" t="n"/>
      <c r="U2286" s="113" t="n"/>
      <c r="V2286" s="113" t="n"/>
      <c r="W2286" s="113" t="n"/>
      <c r="X2286" s="113" t="n"/>
      <c r="Y2286" s="113" t="n"/>
      <c r="Z2286" s="117">
        <f>IF($B2286="",0,IF($S2286="EVET",IF($D2286="GELİR",$O2286,-$O2286),0))</f>
        <v/>
      </c>
      <c r="AA2286" s="117">
        <f>IF($B2286="",0,IF(OR($W2286="EVET",$X2286="EVET",$Y2286="EVET"),0,IF($D2286="GELİR",IF($E2286="SATIŞ İADESİ/İSKONTO",-$O2286,$O2286),-$O2286)))</f>
        <v/>
      </c>
      <c r="AB2286" s="117">
        <f>IF($B2286="","",IF(OR($D2286="",$E2286="",$O2286=""),"EKSİK",IF($O2286&lt;=0,"SIFIR/NEGATİF",IF(COUNTIFS($C$6:$C$5000,$C2286,$O$6:$O$5000,$O2286,$B$6:$B$5000,$B2286)&gt;1,"MÜKERRER","OK"))))</f>
        <v/>
      </c>
    </row>
    <row r="2287" ht="16.5" customHeight="1" s="80">
      <c r="A2287" s="113" t="n"/>
      <c r="B2287" s="113" t="n"/>
      <c r="C2287" s="113" t="n"/>
      <c r="D2287" s="113" t="n"/>
      <c r="E2287" s="113" t="n"/>
      <c r="F2287" s="113" t="n"/>
      <c r="G2287" s="113" t="n"/>
      <c r="H2287" s="113" t="n"/>
      <c r="I2287" s="113" t="n"/>
      <c r="J2287" s="113" t="n"/>
      <c r="K2287" s="113" t="n"/>
      <c r="L2287" s="113" t="n"/>
      <c r="M2287" s="113" t="n"/>
      <c r="N2287" s="113" t="n"/>
      <c r="O2287" s="113" t="n"/>
      <c r="P2287" s="113" t="n"/>
      <c r="Q2287" s="113" t="n"/>
      <c r="R2287" s="113" t="n"/>
      <c r="S2287" s="113" t="n"/>
      <c r="T2287" s="113" t="n"/>
      <c r="U2287" s="113" t="n"/>
      <c r="V2287" s="113" t="n"/>
      <c r="W2287" s="113" t="n"/>
      <c r="X2287" s="113" t="n"/>
      <c r="Y2287" s="113" t="n"/>
      <c r="Z2287" s="117">
        <f>IF($B2287="",0,IF($S2287="EVET",IF($D2287="GELİR",$O2287,-$O2287),0))</f>
        <v/>
      </c>
      <c r="AA2287" s="117">
        <f>IF($B2287="",0,IF(OR($W2287="EVET",$X2287="EVET",$Y2287="EVET"),0,IF($D2287="GELİR",IF($E2287="SATIŞ İADESİ/İSKONTO",-$O2287,$O2287),-$O2287)))</f>
        <v/>
      </c>
      <c r="AB2287" s="117">
        <f>IF($B2287="","",IF(OR($D2287="",$E2287="",$O2287=""),"EKSİK",IF($O2287&lt;=0,"SIFIR/NEGATİF",IF(COUNTIFS($C$6:$C$5000,$C2287,$O$6:$O$5000,$O2287,$B$6:$B$5000,$B2287)&gt;1,"MÜKERRER","OK"))))</f>
        <v/>
      </c>
    </row>
    <row r="2288" ht="16.5" customHeight="1" s="80">
      <c r="A2288" s="113" t="n"/>
      <c r="B2288" s="113" t="n"/>
      <c r="C2288" s="113" t="n"/>
      <c r="D2288" s="113" t="n"/>
      <c r="E2288" s="113" t="n"/>
      <c r="F2288" s="113" t="n"/>
      <c r="G2288" s="113" t="n"/>
      <c r="H2288" s="113" t="n"/>
      <c r="I2288" s="113" t="n"/>
      <c r="J2288" s="113" t="n"/>
      <c r="K2288" s="113" t="n"/>
      <c r="L2288" s="113" t="n"/>
      <c r="M2288" s="113" t="n"/>
      <c r="N2288" s="113" t="n"/>
      <c r="O2288" s="113" t="n"/>
      <c r="P2288" s="113" t="n"/>
      <c r="Q2288" s="113" t="n"/>
      <c r="R2288" s="113" t="n"/>
      <c r="S2288" s="113" t="n"/>
      <c r="T2288" s="113" t="n"/>
      <c r="U2288" s="113" t="n"/>
      <c r="V2288" s="113" t="n"/>
      <c r="W2288" s="113" t="n"/>
      <c r="X2288" s="113" t="n"/>
      <c r="Y2288" s="113" t="n"/>
      <c r="Z2288" s="117">
        <f>IF($B2288="",0,IF($S2288="EVET",IF($D2288="GELİR",$O2288,-$O2288),0))</f>
        <v/>
      </c>
      <c r="AA2288" s="117">
        <f>IF($B2288="",0,IF(OR($W2288="EVET",$X2288="EVET",$Y2288="EVET"),0,IF($D2288="GELİR",IF($E2288="SATIŞ İADESİ/İSKONTO",-$O2288,$O2288),-$O2288)))</f>
        <v/>
      </c>
      <c r="AB2288" s="117">
        <f>IF($B2288="","",IF(OR($D2288="",$E2288="",$O2288=""),"EKSİK",IF($O2288&lt;=0,"SIFIR/NEGATİF",IF(COUNTIFS($C$6:$C$5000,$C2288,$O$6:$O$5000,$O2288,$B$6:$B$5000,$B2288)&gt;1,"MÜKERRER","OK"))))</f>
        <v/>
      </c>
    </row>
    <row r="2289" ht="16.5" customHeight="1" s="80">
      <c r="A2289" s="113" t="n"/>
      <c r="B2289" s="113" t="n"/>
      <c r="C2289" s="113" t="n"/>
      <c r="D2289" s="113" t="n"/>
      <c r="E2289" s="113" t="n"/>
      <c r="F2289" s="113" t="n"/>
      <c r="G2289" s="113" t="n"/>
      <c r="H2289" s="113" t="n"/>
      <c r="I2289" s="113" t="n"/>
      <c r="J2289" s="113" t="n"/>
      <c r="K2289" s="113" t="n"/>
      <c r="L2289" s="113" t="n"/>
      <c r="M2289" s="113" t="n"/>
      <c r="N2289" s="113" t="n"/>
      <c r="O2289" s="113" t="n"/>
      <c r="P2289" s="113" t="n"/>
      <c r="Q2289" s="113" t="n"/>
      <c r="R2289" s="113" t="n"/>
      <c r="S2289" s="113" t="n"/>
      <c r="T2289" s="113" t="n"/>
      <c r="U2289" s="113" t="n"/>
      <c r="V2289" s="113" t="n"/>
      <c r="W2289" s="113" t="n"/>
      <c r="X2289" s="113" t="n"/>
      <c r="Y2289" s="113" t="n"/>
      <c r="Z2289" s="117">
        <f>IF($B2289="",0,IF($S2289="EVET",IF($D2289="GELİR",$O2289,-$O2289),0))</f>
        <v/>
      </c>
      <c r="AA2289" s="117">
        <f>IF($B2289="",0,IF(OR($W2289="EVET",$X2289="EVET",$Y2289="EVET"),0,IF($D2289="GELİR",IF($E2289="SATIŞ İADESİ/İSKONTO",-$O2289,$O2289),-$O2289)))</f>
        <v/>
      </c>
      <c r="AB2289" s="117">
        <f>IF($B2289="","",IF(OR($D2289="",$E2289="",$O2289=""),"EKSİK",IF($O2289&lt;=0,"SIFIR/NEGATİF",IF(COUNTIFS($C$6:$C$5000,$C2289,$O$6:$O$5000,$O2289,$B$6:$B$5000,$B2289)&gt;1,"MÜKERRER","OK"))))</f>
        <v/>
      </c>
    </row>
    <row r="2290" ht="16.5" customHeight="1" s="80">
      <c r="A2290" s="113" t="n"/>
      <c r="B2290" s="113" t="n"/>
      <c r="C2290" s="113" t="n"/>
      <c r="D2290" s="113" t="n"/>
      <c r="E2290" s="113" t="n"/>
      <c r="F2290" s="113" t="n"/>
      <c r="G2290" s="113" t="n"/>
      <c r="H2290" s="113" t="n"/>
      <c r="I2290" s="113" t="n"/>
      <c r="J2290" s="113" t="n"/>
      <c r="K2290" s="113" t="n"/>
      <c r="L2290" s="113" t="n"/>
      <c r="M2290" s="113" t="n"/>
      <c r="N2290" s="113" t="n"/>
      <c r="O2290" s="113" t="n"/>
      <c r="P2290" s="113" t="n"/>
      <c r="Q2290" s="113" t="n"/>
      <c r="R2290" s="113" t="n"/>
      <c r="S2290" s="113" t="n"/>
      <c r="T2290" s="113" t="n"/>
      <c r="U2290" s="113" t="n"/>
      <c r="V2290" s="113" t="n"/>
      <c r="W2290" s="113" t="n"/>
      <c r="X2290" s="113" t="n"/>
      <c r="Y2290" s="113" t="n"/>
      <c r="Z2290" s="117">
        <f>IF($B2290="",0,IF($S2290="EVET",IF($D2290="GELİR",$O2290,-$O2290),0))</f>
        <v/>
      </c>
      <c r="AA2290" s="117">
        <f>IF($B2290="",0,IF(OR($W2290="EVET",$X2290="EVET",$Y2290="EVET"),0,IF($D2290="GELİR",IF($E2290="SATIŞ İADESİ/İSKONTO",-$O2290,$O2290),-$O2290)))</f>
        <v/>
      </c>
      <c r="AB2290" s="117">
        <f>IF($B2290="","",IF(OR($D2290="",$E2290="",$O2290=""),"EKSİK",IF($O2290&lt;=0,"SIFIR/NEGATİF",IF(COUNTIFS($C$6:$C$5000,$C2290,$O$6:$O$5000,$O2290,$B$6:$B$5000,$B2290)&gt;1,"MÜKERRER","OK"))))</f>
        <v/>
      </c>
    </row>
    <row r="2291" ht="16.5" customHeight="1" s="80">
      <c r="A2291" s="113" t="n"/>
      <c r="B2291" s="113" t="n"/>
      <c r="C2291" s="113" t="n"/>
      <c r="D2291" s="113" t="n"/>
      <c r="E2291" s="113" t="n"/>
      <c r="F2291" s="113" t="n"/>
      <c r="G2291" s="113" t="n"/>
      <c r="H2291" s="113" t="n"/>
      <c r="I2291" s="113" t="n"/>
      <c r="J2291" s="113" t="n"/>
      <c r="K2291" s="113" t="n"/>
      <c r="L2291" s="113" t="n"/>
      <c r="M2291" s="113" t="n"/>
      <c r="N2291" s="113" t="n"/>
      <c r="O2291" s="113" t="n"/>
      <c r="P2291" s="113" t="n"/>
      <c r="Q2291" s="113" t="n"/>
      <c r="R2291" s="113" t="n"/>
      <c r="S2291" s="113" t="n"/>
      <c r="T2291" s="113" t="n"/>
      <c r="U2291" s="113" t="n"/>
      <c r="V2291" s="113" t="n"/>
      <c r="W2291" s="113" t="n"/>
      <c r="X2291" s="113" t="n"/>
      <c r="Y2291" s="113" t="n"/>
      <c r="Z2291" s="117">
        <f>IF($B2291="",0,IF($S2291="EVET",IF($D2291="GELİR",$O2291,-$O2291),0))</f>
        <v/>
      </c>
      <c r="AA2291" s="117">
        <f>IF($B2291="",0,IF(OR($W2291="EVET",$X2291="EVET",$Y2291="EVET"),0,IF($D2291="GELİR",IF($E2291="SATIŞ İADESİ/İSKONTO",-$O2291,$O2291),-$O2291)))</f>
        <v/>
      </c>
      <c r="AB2291" s="117">
        <f>IF($B2291="","",IF(OR($D2291="",$E2291="",$O2291=""),"EKSİK",IF($O2291&lt;=0,"SIFIR/NEGATİF",IF(COUNTIFS($C$6:$C$5000,$C2291,$O$6:$O$5000,$O2291,$B$6:$B$5000,$B2291)&gt;1,"MÜKERRER","OK"))))</f>
        <v/>
      </c>
    </row>
    <row r="2292" ht="16.5" customHeight="1" s="80">
      <c r="A2292" s="113" t="n"/>
      <c r="B2292" s="113" t="n"/>
      <c r="C2292" s="113" t="n"/>
      <c r="D2292" s="113" t="n"/>
      <c r="E2292" s="113" t="n"/>
      <c r="F2292" s="113" t="n"/>
      <c r="G2292" s="113" t="n"/>
      <c r="H2292" s="113" t="n"/>
      <c r="I2292" s="113" t="n"/>
      <c r="J2292" s="113" t="n"/>
      <c r="K2292" s="113" t="n"/>
      <c r="L2292" s="113" t="n"/>
      <c r="M2292" s="113" t="n"/>
      <c r="N2292" s="113" t="n"/>
      <c r="O2292" s="113" t="n"/>
      <c r="P2292" s="113" t="n"/>
      <c r="Q2292" s="113" t="n"/>
      <c r="R2292" s="113" t="n"/>
      <c r="S2292" s="113" t="n"/>
      <c r="T2292" s="113" t="n"/>
      <c r="U2292" s="113" t="n"/>
      <c r="V2292" s="113" t="n"/>
      <c r="W2292" s="113" t="n"/>
      <c r="X2292" s="113" t="n"/>
      <c r="Y2292" s="113" t="n"/>
      <c r="Z2292" s="117">
        <f>IF($B2292="",0,IF($S2292="EVET",IF($D2292="GELİR",$O2292,-$O2292),0))</f>
        <v/>
      </c>
      <c r="AA2292" s="117">
        <f>IF($B2292="",0,IF(OR($W2292="EVET",$X2292="EVET",$Y2292="EVET"),0,IF($D2292="GELİR",IF($E2292="SATIŞ İADESİ/İSKONTO",-$O2292,$O2292),-$O2292)))</f>
        <v/>
      </c>
      <c r="AB2292" s="117">
        <f>IF($B2292="","",IF(OR($D2292="",$E2292="",$O2292=""),"EKSİK",IF($O2292&lt;=0,"SIFIR/NEGATİF",IF(COUNTIFS($C$6:$C$5000,$C2292,$O$6:$O$5000,$O2292,$B$6:$B$5000,$B2292)&gt;1,"MÜKERRER","OK"))))</f>
        <v/>
      </c>
    </row>
    <row r="2293" ht="16.5" customHeight="1" s="80">
      <c r="A2293" s="113" t="n"/>
      <c r="B2293" s="113" t="n"/>
      <c r="C2293" s="113" t="n"/>
      <c r="D2293" s="113" t="n"/>
      <c r="E2293" s="113" t="n"/>
      <c r="F2293" s="113" t="n"/>
      <c r="G2293" s="113" t="n"/>
      <c r="H2293" s="113" t="n"/>
      <c r="I2293" s="113" t="n"/>
      <c r="J2293" s="113" t="n"/>
      <c r="K2293" s="113" t="n"/>
      <c r="L2293" s="113" t="n"/>
      <c r="M2293" s="113" t="n"/>
      <c r="N2293" s="113" t="n"/>
      <c r="O2293" s="113" t="n"/>
      <c r="P2293" s="113" t="n"/>
      <c r="Q2293" s="113" t="n"/>
      <c r="R2293" s="113" t="n"/>
      <c r="S2293" s="113" t="n"/>
      <c r="T2293" s="113" t="n"/>
      <c r="U2293" s="113" t="n"/>
      <c r="V2293" s="113" t="n"/>
      <c r="W2293" s="113" t="n"/>
      <c r="X2293" s="113" t="n"/>
      <c r="Y2293" s="113" t="n"/>
      <c r="Z2293" s="117">
        <f>IF($B2293="",0,IF($S2293="EVET",IF($D2293="GELİR",$O2293,-$O2293),0))</f>
        <v/>
      </c>
      <c r="AA2293" s="117">
        <f>IF($B2293="",0,IF(OR($W2293="EVET",$X2293="EVET",$Y2293="EVET"),0,IF($D2293="GELİR",IF($E2293="SATIŞ İADESİ/İSKONTO",-$O2293,$O2293),-$O2293)))</f>
        <v/>
      </c>
      <c r="AB2293" s="117">
        <f>IF($B2293="","",IF(OR($D2293="",$E2293="",$O2293=""),"EKSİK",IF($O2293&lt;=0,"SIFIR/NEGATİF",IF(COUNTIFS($C$6:$C$5000,$C2293,$O$6:$O$5000,$O2293,$B$6:$B$5000,$B2293)&gt;1,"MÜKERRER","OK"))))</f>
        <v/>
      </c>
    </row>
    <row r="2294" ht="16.5" customHeight="1" s="80">
      <c r="A2294" s="113" t="n"/>
      <c r="B2294" s="113" t="n"/>
      <c r="C2294" s="113" t="n"/>
      <c r="D2294" s="113" t="n"/>
      <c r="E2294" s="113" t="n"/>
      <c r="F2294" s="113" t="n"/>
      <c r="G2294" s="113" t="n"/>
      <c r="H2294" s="113" t="n"/>
      <c r="I2294" s="113" t="n"/>
      <c r="J2294" s="113" t="n"/>
      <c r="K2294" s="113" t="n"/>
      <c r="L2294" s="113" t="n"/>
      <c r="M2294" s="113" t="n"/>
      <c r="N2294" s="113" t="n"/>
      <c r="O2294" s="113" t="n"/>
      <c r="P2294" s="113" t="n"/>
      <c r="Q2294" s="113" t="n"/>
      <c r="R2294" s="113" t="n"/>
      <c r="S2294" s="113" t="n"/>
      <c r="T2294" s="113" t="n"/>
      <c r="U2294" s="113" t="n"/>
      <c r="V2294" s="113" t="n"/>
      <c r="W2294" s="113" t="n"/>
      <c r="X2294" s="113" t="n"/>
      <c r="Y2294" s="113" t="n"/>
      <c r="Z2294" s="117">
        <f>IF($B2294="",0,IF($S2294="EVET",IF($D2294="GELİR",$O2294,-$O2294),0))</f>
        <v/>
      </c>
      <c r="AA2294" s="117">
        <f>IF($B2294="",0,IF(OR($W2294="EVET",$X2294="EVET",$Y2294="EVET"),0,IF($D2294="GELİR",IF($E2294="SATIŞ İADESİ/İSKONTO",-$O2294,$O2294),-$O2294)))</f>
        <v/>
      </c>
      <c r="AB2294" s="117">
        <f>IF($B2294="","",IF(OR($D2294="",$E2294="",$O2294=""),"EKSİK",IF($O2294&lt;=0,"SIFIR/NEGATİF",IF(COUNTIFS($C$6:$C$5000,$C2294,$O$6:$O$5000,$O2294,$B$6:$B$5000,$B2294)&gt;1,"MÜKERRER","OK"))))</f>
        <v/>
      </c>
    </row>
    <row r="2295" ht="16.5" customHeight="1" s="80">
      <c r="A2295" s="113" t="n"/>
      <c r="B2295" s="113" t="n"/>
      <c r="C2295" s="113" t="n"/>
      <c r="D2295" s="113" t="n"/>
      <c r="E2295" s="113" t="n"/>
      <c r="F2295" s="113" t="n"/>
      <c r="G2295" s="113" t="n"/>
      <c r="H2295" s="113" t="n"/>
      <c r="I2295" s="113" t="n"/>
      <c r="J2295" s="113" t="n"/>
      <c r="K2295" s="113" t="n"/>
      <c r="L2295" s="113" t="n"/>
      <c r="M2295" s="113" t="n"/>
      <c r="N2295" s="113" t="n"/>
      <c r="O2295" s="113" t="n"/>
      <c r="P2295" s="113" t="n"/>
      <c r="Q2295" s="113" t="n"/>
      <c r="R2295" s="113" t="n"/>
      <c r="S2295" s="113" t="n"/>
      <c r="T2295" s="113" t="n"/>
      <c r="U2295" s="113" t="n"/>
      <c r="V2295" s="113" t="n"/>
      <c r="W2295" s="113" t="n"/>
      <c r="X2295" s="113" t="n"/>
      <c r="Y2295" s="113" t="n"/>
      <c r="Z2295" s="117">
        <f>IF($B2295="",0,IF($S2295="EVET",IF($D2295="GELİR",$O2295,-$O2295),0))</f>
        <v/>
      </c>
      <c r="AA2295" s="117">
        <f>IF($B2295="",0,IF(OR($W2295="EVET",$X2295="EVET",$Y2295="EVET"),0,IF($D2295="GELİR",IF($E2295="SATIŞ İADESİ/İSKONTO",-$O2295,$O2295),-$O2295)))</f>
        <v/>
      </c>
      <c r="AB2295" s="117">
        <f>IF($B2295="","",IF(OR($D2295="",$E2295="",$O2295=""),"EKSİK",IF($O2295&lt;=0,"SIFIR/NEGATİF",IF(COUNTIFS($C$6:$C$5000,$C2295,$O$6:$O$5000,$O2295,$B$6:$B$5000,$B2295)&gt;1,"MÜKERRER","OK"))))</f>
        <v/>
      </c>
    </row>
    <row r="2296" ht="16.5" customHeight="1" s="80">
      <c r="A2296" s="113" t="n"/>
      <c r="B2296" s="113" t="n"/>
      <c r="C2296" s="113" t="n"/>
      <c r="D2296" s="113" t="n"/>
      <c r="E2296" s="113" t="n"/>
      <c r="F2296" s="113" t="n"/>
      <c r="G2296" s="113" t="n"/>
      <c r="H2296" s="113" t="n"/>
      <c r="I2296" s="113" t="n"/>
      <c r="J2296" s="113" t="n"/>
      <c r="K2296" s="113" t="n"/>
      <c r="L2296" s="113" t="n"/>
      <c r="M2296" s="113" t="n"/>
      <c r="N2296" s="113" t="n"/>
      <c r="O2296" s="113" t="n"/>
      <c r="P2296" s="113" t="n"/>
      <c r="Q2296" s="113" t="n"/>
      <c r="R2296" s="113" t="n"/>
      <c r="S2296" s="113" t="n"/>
      <c r="T2296" s="113" t="n"/>
      <c r="U2296" s="113" t="n"/>
      <c r="V2296" s="113" t="n"/>
      <c r="W2296" s="113" t="n"/>
      <c r="X2296" s="113" t="n"/>
      <c r="Y2296" s="113" t="n"/>
      <c r="Z2296" s="117">
        <f>IF($B2296="",0,IF($S2296="EVET",IF($D2296="GELİR",$O2296,-$O2296),0))</f>
        <v/>
      </c>
      <c r="AA2296" s="117">
        <f>IF($B2296="",0,IF(OR($W2296="EVET",$X2296="EVET",$Y2296="EVET"),0,IF($D2296="GELİR",IF($E2296="SATIŞ İADESİ/İSKONTO",-$O2296,$O2296),-$O2296)))</f>
        <v/>
      </c>
      <c r="AB2296" s="117">
        <f>IF($B2296="","",IF(OR($D2296="",$E2296="",$O2296=""),"EKSİK",IF($O2296&lt;=0,"SIFIR/NEGATİF",IF(COUNTIFS($C$6:$C$5000,$C2296,$O$6:$O$5000,$O2296,$B$6:$B$5000,$B2296)&gt;1,"MÜKERRER","OK"))))</f>
        <v/>
      </c>
    </row>
    <row r="2297" ht="16.5" customHeight="1" s="80">
      <c r="A2297" s="113" t="n"/>
      <c r="B2297" s="113" t="n"/>
      <c r="C2297" s="113" t="n"/>
      <c r="D2297" s="113" t="n"/>
      <c r="E2297" s="113" t="n"/>
      <c r="F2297" s="113" t="n"/>
      <c r="G2297" s="113" t="n"/>
      <c r="H2297" s="113" t="n"/>
      <c r="I2297" s="113" t="n"/>
      <c r="J2297" s="113" t="n"/>
      <c r="K2297" s="113" t="n"/>
      <c r="L2297" s="113" t="n"/>
      <c r="M2297" s="113" t="n"/>
      <c r="N2297" s="113" t="n"/>
      <c r="O2297" s="113" t="n"/>
      <c r="P2297" s="113" t="n"/>
      <c r="Q2297" s="113" t="n"/>
      <c r="R2297" s="113" t="n"/>
      <c r="S2297" s="113" t="n"/>
      <c r="T2297" s="113" t="n"/>
      <c r="U2297" s="113" t="n"/>
      <c r="V2297" s="113" t="n"/>
      <c r="W2297" s="113" t="n"/>
      <c r="X2297" s="113" t="n"/>
      <c r="Y2297" s="113" t="n"/>
      <c r="Z2297" s="117">
        <f>IF($B2297="",0,IF($S2297="EVET",IF($D2297="GELİR",$O2297,-$O2297),0))</f>
        <v/>
      </c>
      <c r="AA2297" s="117">
        <f>IF($B2297="",0,IF(OR($W2297="EVET",$X2297="EVET",$Y2297="EVET"),0,IF($D2297="GELİR",IF($E2297="SATIŞ İADESİ/İSKONTO",-$O2297,$O2297),-$O2297)))</f>
        <v/>
      </c>
      <c r="AB2297" s="117">
        <f>IF($B2297="","",IF(OR($D2297="",$E2297="",$O2297=""),"EKSİK",IF($O2297&lt;=0,"SIFIR/NEGATİF",IF(COUNTIFS($C$6:$C$5000,$C2297,$O$6:$O$5000,$O2297,$B$6:$B$5000,$B2297)&gt;1,"MÜKERRER","OK"))))</f>
        <v/>
      </c>
    </row>
    <row r="2298" ht="16.5" customHeight="1" s="80">
      <c r="A2298" s="113" t="n"/>
      <c r="B2298" s="113" t="n"/>
      <c r="C2298" s="113" t="n"/>
      <c r="D2298" s="113" t="n"/>
      <c r="E2298" s="113" t="n"/>
      <c r="F2298" s="113" t="n"/>
      <c r="G2298" s="113" t="n"/>
      <c r="H2298" s="113" t="n"/>
      <c r="I2298" s="113" t="n"/>
      <c r="J2298" s="113" t="n"/>
      <c r="K2298" s="113" t="n"/>
      <c r="L2298" s="113" t="n"/>
      <c r="M2298" s="113" t="n"/>
      <c r="N2298" s="113" t="n"/>
      <c r="O2298" s="113" t="n"/>
      <c r="P2298" s="113" t="n"/>
      <c r="Q2298" s="113" t="n"/>
      <c r="R2298" s="113" t="n"/>
      <c r="S2298" s="113" t="n"/>
      <c r="T2298" s="113" t="n"/>
      <c r="U2298" s="113" t="n"/>
      <c r="V2298" s="113" t="n"/>
      <c r="W2298" s="113" t="n"/>
      <c r="X2298" s="113" t="n"/>
      <c r="Y2298" s="113" t="n"/>
      <c r="Z2298" s="117">
        <f>IF($B2298="",0,IF($S2298="EVET",IF($D2298="GELİR",$O2298,-$O2298),0))</f>
        <v/>
      </c>
      <c r="AA2298" s="117">
        <f>IF($B2298="",0,IF(OR($W2298="EVET",$X2298="EVET",$Y2298="EVET"),0,IF($D2298="GELİR",IF($E2298="SATIŞ İADESİ/İSKONTO",-$O2298,$O2298),-$O2298)))</f>
        <v/>
      </c>
      <c r="AB2298" s="117">
        <f>IF($B2298="","",IF(OR($D2298="",$E2298="",$O2298=""),"EKSİK",IF($O2298&lt;=0,"SIFIR/NEGATİF",IF(COUNTIFS($C$6:$C$5000,$C2298,$O$6:$O$5000,$O2298,$B$6:$B$5000,$B2298)&gt;1,"MÜKERRER","OK"))))</f>
        <v/>
      </c>
    </row>
    <row r="2299" ht="16.5" customHeight="1" s="80">
      <c r="A2299" s="113" t="n"/>
      <c r="B2299" s="113" t="n"/>
      <c r="C2299" s="113" t="n"/>
      <c r="D2299" s="113" t="n"/>
      <c r="E2299" s="113" t="n"/>
      <c r="F2299" s="113" t="n"/>
      <c r="G2299" s="113" t="n"/>
      <c r="H2299" s="113" t="n"/>
      <c r="I2299" s="113" t="n"/>
      <c r="J2299" s="113" t="n"/>
      <c r="K2299" s="113" t="n"/>
      <c r="L2299" s="113" t="n"/>
      <c r="M2299" s="113" t="n"/>
      <c r="N2299" s="113" t="n"/>
      <c r="O2299" s="113" t="n"/>
      <c r="P2299" s="113" t="n"/>
      <c r="Q2299" s="113" t="n"/>
      <c r="R2299" s="113" t="n"/>
      <c r="S2299" s="113" t="n"/>
      <c r="T2299" s="113" t="n"/>
      <c r="U2299" s="113" t="n"/>
      <c r="V2299" s="113" t="n"/>
      <c r="W2299" s="113" t="n"/>
      <c r="X2299" s="113" t="n"/>
      <c r="Y2299" s="113" t="n"/>
      <c r="Z2299" s="117">
        <f>IF($B2299="",0,IF($S2299="EVET",IF($D2299="GELİR",$O2299,-$O2299),0))</f>
        <v/>
      </c>
      <c r="AA2299" s="117">
        <f>IF($B2299="",0,IF(OR($W2299="EVET",$X2299="EVET",$Y2299="EVET"),0,IF($D2299="GELİR",IF($E2299="SATIŞ İADESİ/İSKONTO",-$O2299,$O2299),-$O2299)))</f>
        <v/>
      </c>
      <c r="AB2299" s="117">
        <f>IF($B2299="","",IF(OR($D2299="",$E2299="",$O2299=""),"EKSİK",IF($O2299&lt;=0,"SIFIR/NEGATİF",IF(COUNTIFS($C$6:$C$5000,$C2299,$O$6:$O$5000,$O2299,$B$6:$B$5000,$B2299)&gt;1,"MÜKERRER","OK"))))</f>
        <v/>
      </c>
    </row>
    <row r="2300" ht="16.5" customHeight="1" s="80">
      <c r="A2300" s="113" t="n"/>
      <c r="B2300" s="113" t="n"/>
      <c r="C2300" s="113" t="n"/>
      <c r="D2300" s="113" t="n"/>
      <c r="E2300" s="113" t="n"/>
      <c r="F2300" s="113" t="n"/>
      <c r="G2300" s="113" t="n"/>
      <c r="H2300" s="113" t="n"/>
      <c r="I2300" s="113" t="n"/>
      <c r="J2300" s="113" t="n"/>
      <c r="K2300" s="113" t="n"/>
      <c r="L2300" s="113" t="n"/>
      <c r="M2300" s="113" t="n"/>
      <c r="N2300" s="113" t="n"/>
      <c r="O2300" s="113" t="n"/>
      <c r="P2300" s="113" t="n"/>
      <c r="Q2300" s="113" t="n"/>
      <c r="R2300" s="113" t="n"/>
      <c r="S2300" s="113" t="n"/>
      <c r="T2300" s="113" t="n"/>
      <c r="U2300" s="113" t="n"/>
      <c r="V2300" s="113" t="n"/>
      <c r="W2300" s="113" t="n"/>
      <c r="X2300" s="113" t="n"/>
      <c r="Y2300" s="113" t="n"/>
      <c r="Z2300" s="117">
        <f>IF($B2300="",0,IF($S2300="EVET",IF($D2300="GELİR",$O2300,-$O2300),0))</f>
        <v/>
      </c>
      <c r="AA2300" s="117">
        <f>IF($B2300="",0,IF(OR($W2300="EVET",$X2300="EVET",$Y2300="EVET"),0,IF($D2300="GELİR",IF($E2300="SATIŞ İADESİ/İSKONTO",-$O2300,$O2300),-$O2300)))</f>
        <v/>
      </c>
      <c r="AB2300" s="117">
        <f>IF($B2300="","",IF(OR($D2300="",$E2300="",$O2300=""),"EKSİK",IF($O2300&lt;=0,"SIFIR/NEGATİF",IF(COUNTIFS($C$6:$C$5000,$C2300,$O$6:$O$5000,$O2300,$B$6:$B$5000,$B2300)&gt;1,"MÜKERRER","OK"))))</f>
        <v/>
      </c>
    </row>
    <row r="2301" ht="16.5" customHeight="1" s="80">
      <c r="A2301" s="113" t="n"/>
      <c r="B2301" s="113" t="n"/>
      <c r="C2301" s="113" t="n"/>
      <c r="D2301" s="113" t="n"/>
      <c r="E2301" s="113" t="n"/>
      <c r="F2301" s="113" t="n"/>
      <c r="G2301" s="113" t="n"/>
      <c r="H2301" s="113" t="n"/>
      <c r="I2301" s="113" t="n"/>
      <c r="J2301" s="113" t="n"/>
      <c r="K2301" s="113" t="n"/>
      <c r="L2301" s="113" t="n"/>
      <c r="M2301" s="113" t="n"/>
      <c r="N2301" s="113" t="n"/>
      <c r="O2301" s="113" t="n"/>
      <c r="P2301" s="113" t="n"/>
      <c r="Q2301" s="113" t="n"/>
      <c r="R2301" s="113" t="n"/>
      <c r="S2301" s="113" t="n"/>
      <c r="T2301" s="113" t="n"/>
      <c r="U2301" s="113" t="n"/>
      <c r="V2301" s="113" t="n"/>
      <c r="W2301" s="113" t="n"/>
      <c r="X2301" s="113" t="n"/>
      <c r="Y2301" s="113" t="n"/>
      <c r="Z2301" s="117">
        <f>IF($B2301="",0,IF($S2301="EVET",IF($D2301="GELİR",$O2301,-$O2301),0))</f>
        <v/>
      </c>
      <c r="AA2301" s="117">
        <f>IF($B2301="",0,IF(OR($W2301="EVET",$X2301="EVET",$Y2301="EVET"),0,IF($D2301="GELİR",IF($E2301="SATIŞ İADESİ/İSKONTO",-$O2301,$O2301),-$O2301)))</f>
        <v/>
      </c>
      <c r="AB2301" s="117">
        <f>IF($B2301="","",IF(OR($D2301="",$E2301="",$O2301=""),"EKSİK",IF($O2301&lt;=0,"SIFIR/NEGATİF",IF(COUNTIFS($C$6:$C$5000,$C2301,$O$6:$O$5000,$O2301,$B$6:$B$5000,$B2301)&gt;1,"MÜKERRER","OK"))))</f>
        <v/>
      </c>
    </row>
    <row r="2302" ht="16.5" customHeight="1" s="80">
      <c r="A2302" s="113" t="n"/>
      <c r="B2302" s="113" t="n"/>
      <c r="C2302" s="113" t="n"/>
      <c r="D2302" s="113" t="n"/>
      <c r="E2302" s="113" t="n"/>
      <c r="F2302" s="113" t="n"/>
      <c r="G2302" s="113" t="n"/>
      <c r="H2302" s="113" t="n"/>
      <c r="I2302" s="113" t="n"/>
      <c r="J2302" s="113" t="n"/>
      <c r="K2302" s="113" t="n"/>
      <c r="L2302" s="113" t="n"/>
      <c r="M2302" s="113" t="n"/>
      <c r="N2302" s="113" t="n"/>
      <c r="O2302" s="113" t="n"/>
      <c r="P2302" s="113" t="n"/>
      <c r="Q2302" s="113" t="n"/>
      <c r="R2302" s="113" t="n"/>
      <c r="S2302" s="113" t="n"/>
      <c r="T2302" s="113" t="n"/>
      <c r="U2302" s="113" t="n"/>
      <c r="V2302" s="113" t="n"/>
      <c r="W2302" s="113" t="n"/>
      <c r="X2302" s="113" t="n"/>
      <c r="Y2302" s="113" t="n"/>
      <c r="Z2302" s="117">
        <f>IF($B2302="",0,IF($S2302="EVET",IF($D2302="GELİR",$O2302,-$O2302),0))</f>
        <v/>
      </c>
      <c r="AA2302" s="117">
        <f>IF($B2302="",0,IF(OR($W2302="EVET",$X2302="EVET",$Y2302="EVET"),0,IF($D2302="GELİR",IF($E2302="SATIŞ İADESİ/İSKONTO",-$O2302,$O2302),-$O2302)))</f>
        <v/>
      </c>
      <c r="AB2302" s="117">
        <f>IF($B2302="","",IF(OR($D2302="",$E2302="",$O2302=""),"EKSİK",IF($O2302&lt;=0,"SIFIR/NEGATİF",IF(COUNTIFS($C$6:$C$5000,$C2302,$O$6:$O$5000,$O2302,$B$6:$B$5000,$B2302)&gt;1,"MÜKERRER","OK"))))</f>
        <v/>
      </c>
    </row>
    <row r="2303" ht="16.5" customHeight="1" s="80">
      <c r="A2303" s="113" t="n"/>
      <c r="B2303" s="113" t="n"/>
      <c r="C2303" s="113" t="n"/>
      <c r="D2303" s="113" t="n"/>
      <c r="E2303" s="113" t="n"/>
      <c r="F2303" s="113" t="n"/>
      <c r="G2303" s="113" t="n"/>
      <c r="H2303" s="113" t="n"/>
      <c r="I2303" s="113" t="n"/>
      <c r="J2303" s="113" t="n"/>
      <c r="K2303" s="113" t="n"/>
      <c r="L2303" s="113" t="n"/>
      <c r="M2303" s="113" t="n"/>
      <c r="N2303" s="113" t="n"/>
      <c r="O2303" s="113" t="n"/>
      <c r="P2303" s="113" t="n"/>
      <c r="Q2303" s="113" t="n"/>
      <c r="R2303" s="113" t="n"/>
      <c r="S2303" s="113" t="n"/>
      <c r="T2303" s="113" t="n"/>
      <c r="U2303" s="113" t="n"/>
      <c r="V2303" s="113" t="n"/>
      <c r="W2303" s="113" t="n"/>
      <c r="X2303" s="113" t="n"/>
      <c r="Y2303" s="113" t="n"/>
      <c r="Z2303" s="117">
        <f>IF($B2303="",0,IF($S2303="EVET",IF($D2303="GELİR",$O2303,-$O2303),0))</f>
        <v/>
      </c>
      <c r="AA2303" s="117">
        <f>IF($B2303="",0,IF(OR($W2303="EVET",$X2303="EVET",$Y2303="EVET"),0,IF($D2303="GELİR",IF($E2303="SATIŞ İADESİ/İSKONTO",-$O2303,$O2303),-$O2303)))</f>
        <v/>
      </c>
      <c r="AB2303" s="117">
        <f>IF($B2303="","",IF(OR($D2303="",$E2303="",$O2303=""),"EKSİK",IF($O2303&lt;=0,"SIFIR/NEGATİF",IF(COUNTIFS($C$6:$C$5000,$C2303,$O$6:$O$5000,$O2303,$B$6:$B$5000,$B2303)&gt;1,"MÜKERRER","OK"))))</f>
        <v/>
      </c>
    </row>
    <row r="2304" ht="16.5" customHeight="1" s="80">
      <c r="A2304" s="113" t="n"/>
      <c r="B2304" s="113" t="n"/>
      <c r="C2304" s="113" t="n"/>
      <c r="D2304" s="113" t="n"/>
      <c r="E2304" s="113" t="n"/>
      <c r="F2304" s="113" t="n"/>
      <c r="G2304" s="113" t="n"/>
      <c r="H2304" s="113" t="n"/>
      <c r="I2304" s="113" t="n"/>
      <c r="J2304" s="113" t="n"/>
      <c r="K2304" s="113" t="n"/>
      <c r="L2304" s="113" t="n"/>
      <c r="M2304" s="113" t="n"/>
      <c r="N2304" s="113" t="n"/>
      <c r="O2304" s="113" t="n"/>
      <c r="P2304" s="113" t="n"/>
      <c r="Q2304" s="113" t="n"/>
      <c r="R2304" s="113" t="n"/>
      <c r="S2304" s="113" t="n"/>
      <c r="T2304" s="113" t="n"/>
      <c r="U2304" s="113" t="n"/>
      <c r="V2304" s="113" t="n"/>
      <c r="W2304" s="113" t="n"/>
      <c r="X2304" s="113" t="n"/>
      <c r="Y2304" s="113" t="n"/>
      <c r="Z2304" s="117">
        <f>IF($B2304="",0,IF($S2304="EVET",IF($D2304="GELİR",$O2304,-$O2304),0))</f>
        <v/>
      </c>
      <c r="AA2304" s="117">
        <f>IF($B2304="",0,IF(OR($W2304="EVET",$X2304="EVET",$Y2304="EVET"),0,IF($D2304="GELİR",IF($E2304="SATIŞ İADESİ/İSKONTO",-$O2304,$O2304),-$O2304)))</f>
        <v/>
      </c>
      <c r="AB2304" s="117">
        <f>IF($B2304="","",IF(OR($D2304="",$E2304="",$O2304=""),"EKSİK",IF($O2304&lt;=0,"SIFIR/NEGATİF",IF(COUNTIFS($C$6:$C$5000,$C2304,$O$6:$O$5000,$O2304,$B$6:$B$5000,$B2304)&gt;1,"MÜKERRER","OK"))))</f>
        <v/>
      </c>
    </row>
    <row r="2305" ht="16.5" customHeight="1" s="80">
      <c r="A2305" s="113" t="n"/>
      <c r="B2305" s="113" t="n"/>
      <c r="C2305" s="113" t="n"/>
      <c r="D2305" s="113" t="n"/>
      <c r="E2305" s="113" t="n"/>
      <c r="F2305" s="113" t="n"/>
      <c r="G2305" s="113" t="n"/>
      <c r="H2305" s="113" t="n"/>
      <c r="I2305" s="113" t="n"/>
      <c r="J2305" s="113" t="n"/>
      <c r="K2305" s="113" t="n"/>
      <c r="L2305" s="113" t="n"/>
      <c r="M2305" s="113" t="n"/>
      <c r="N2305" s="113" t="n"/>
      <c r="O2305" s="113" t="n"/>
      <c r="P2305" s="113" t="n"/>
      <c r="Q2305" s="113" t="n"/>
      <c r="R2305" s="113" t="n"/>
      <c r="S2305" s="113" t="n"/>
      <c r="T2305" s="113" t="n"/>
      <c r="U2305" s="113" t="n"/>
      <c r="V2305" s="113" t="n"/>
      <c r="W2305" s="113" t="n"/>
      <c r="X2305" s="113" t="n"/>
      <c r="Y2305" s="113" t="n"/>
      <c r="Z2305" s="117">
        <f>IF($B2305="",0,IF($S2305="EVET",IF($D2305="GELİR",$O2305,-$O2305),0))</f>
        <v/>
      </c>
      <c r="AA2305" s="117">
        <f>IF($B2305="",0,IF(OR($W2305="EVET",$X2305="EVET",$Y2305="EVET"),0,IF($D2305="GELİR",IF($E2305="SATIŞ İADESİ/İSKONTO",-$O2305,$O2305),-$O2305)))</f>
        <v/>
      </c>
      <c r="AB2305" s="117">
        <f>IF($B2305="","",IF(OR($D2305="",$E2305="",$O2305=""),"EKSİK",IF($O2305&lt;=0,"SIFIR/NEGATİF",IF(COUNTIFS($C$6:$C$5000,$C2305,$O$6:$O$5000,$O2305,$B$6:$B$5000,$B2305)&gt;1,"MÜKERRER","OK"))))</f>
        <v/>
      </c>
    </row>
    <row r="2306" ht="16.5" customHeight="1" s="80">
      <c r="A2306" s="113" t="n"/>
      <c r="B2306" s="113" t="n"/>
      <c r="C2306" s="113" t="n"/>
      <c r="D2306" s="113" t="n"/>
      <c r="E2306" s="113" t="n"/>
      <c r="F2306" s="113" t="n"/>
      <c r="G2306" s="113" t="n"/>
      <c r="H2306" s="113" t="n"/>
      <c r="I2306" s="113" t="n"/>
      <c r="J2306" s="113" t="n"/>
      <c r="K2306" s="113" t="n"/>
      <c r="L2306" s="113" t="n"/>
      <c r="M2306" s="113" t="n"/>
      <c r="N2306" s="113" t="n"/>
      <c r="O2306" s="113" t="n"/>
      <c r="P2306" s="113" t="n"/>
      <c r="Q2306" s="113" t="n"/>
      <c r="R2306" s="113" t="n"/>
      <c r="S2306" s="113" t="n"/>
      <c r="T2306" s="113" t="n"/>
      <c r="U2306" s="113" t="n"/>
      <c r="V2306" s="113" t="n"/>
      <c r="W2306" s="113" t="n"/>
      <c r="X2306" s="113" t="n"/>
      <c r="Y2306" s="113" t="n"/>
      <c r="Z2306" s="117">
        <f>IF($B2306="",0,IF($S2306="EVET",IF($D2306="GELİR",$O2306,-$O2306),0))</f>
        <v/>
      </c>
      <c r="AA2306" s="117">
        <f>IF($B2306="",0,IF(OR($W2306="EVET",$X2306="EVET",$Y2306="EVET"),0,IF($D2306="GELİR",IF($E2306="SATIŞ İADESİ/İSKONTO",-$O2306,$O2306),-$O2306)))</f>
        <v/>
      </c>
      <c r="AB2306" s="117">
        <f>IF($B2306="","",IF(OR($D2306="",$E2306="",$O2306=""),"EKSİK",IF($O2306&lt;=0,"SIFIR/NEGATİF",IF(COUNTIFS($C$6:$C$5000,$C2306,$O$6:$O$5000,$O2306,$B$6:$B$5000,$B2306)&gt;1,"MÜKERRER","OK"))))</f>
        <v/>
      </c>
    </row>
    <row r="2307" ht="16.5" customHeight="1" s="80">
      <c r="A2307" s="113" t="n"/>
      <c r="B2307" s="113" t="n"/>
      <c r="C2307" s="113" t="n"/>
      <c r="D2307" s="113" t="n"/>
      <c r="E2307" s="113" t="n"/>
      <c r="F2307" s="113" t="n"/>
      <c r="G2307" s="113" t="n"/>
      <c r="H2307" s="113" t="n"/>
      <c r="I2307" s="113" t="n"/>
      <c r="J2307" s="113" t="n"/>
      <c r="K2307" s="113" t="n"/>
      <c r="L2307" s="113" t="n"/>
      <c r="M2307" s="113" t="n"/>
      <c r="N2307" s="113" t="n"/>
      <c r="O2307" s="113" t="n"/>
      <c r="P2307" s="113" t="n"/>
      <c r="Q2307" s="113" t="n"/>
      <c r="R2307" s="113" t="n"/>
      <c r="S2307" s="113" t="n"/>
      <c r="T2307" s="113" t="n"/>
      <c r="U2307" s="113" t="n"/>
      <c r="V2307" s="113" t="n"/>
      <c r="W2307" s="113" t="n"/>
      <c r="X2307" s="113" t="n"/>
      <c r="Y2307" s="113" t="n"/>
      <c r="Z2307" s="117">
        <f>IF($B2307="",0,IF($S2307="EVET",IF($D2307="GELİR",$O2307,-$O2307),0))</f>
        <v/>
      </c>
      <c r="AA2307" s="117">
        <f>IF($B2307="",0,IF(OR($W2307="EVET",$X2307="EVET",$Y2307="EVET"),0,IF($D2307="GELİR",IF($E2307="SATIŞ İADESİ/İSKONTO",-$O2307,$O2307),-$O2307)))</f>
        <v/>
      </c>
      <c r="AB2307" s="117">
        <f>IF($B2307="","",IF(OR($D2307="",$E2307="",$O2307=""),"EKSİK",IF($O2307&lt;=0,"SIFIR/NEGATİF",IF(COUNTIFS($C$6:$C$5000,$C2307,$O$6:$O$5000,$O2307,$B$6:$B$5000,$B2307)&gt;1,"MÜKERRER","OK"))))</f>
        <v/>
      </c>
    </row>
    <row r="2308" ht="16.5" customHeight="1" s="80">
      <c r="A2308" s="113" t="n"/>
      <c r="B2308" s="113" t="n"/>
      <c r="C2308" s="113" t="n"/>
      <c r="D2308" s="113" t="n"/>
      <c r="E2308" s="113" t="n"/>
      <c r="F2308" s="113" t="n"/>
      <c r="G2308" s="113" t="n"/>
      <c r="H2308" s="113" t="n"/>
      <c r="I2308" s="113" t="n"/>
      <c r="J2308" s="113" t="n"/>
      <c r="K2308" s="113" t="n"/>
      <c r="L2308" s="113" t="n"/>
      <c r="M2308" s="113" t="n"/>
      <c r="N2308" s="113" t="n"/>
      <c r="O2308" s="113" t="n"/>
      <c r="P2308" s="113" t="n"/>
      <c r="Q2308" s="113" t="n"/>
      <c r="R2308" s="113" t="n"/>
      <c r="S2308" s="113" t="n"/>
      <c r="T2308" s="113" t="n"/>
      <c r="U2308" s="113" t="n"/>
      <c r="V2308" s="113" t="n"/>
      <c r="W2308" s="113" t="n"/>
      <c r="X2308" s="113" t="n"/>
      <c r="Y2308" s="113" t="n"/>
      <c r="Z2308" s="117">
        <f>IF($B2308="",0,IF($S2308="EVET",IF($D2308="GELİR",$O2308,-$O2308),0))</f>
        <v/>
      </c>
      <c r="AA2308" s="117">
        <f>IF($B2308="",0,IF(OR($W2308="EVET",$X2308="EVET",$Y2308="EVET"),0,IF($D2308="GELİR",IF($E2308="SATIŞ İADESİ/İSKONTO",-$O2308,$O2308),-$O2308)))</f>
        <v/>
      </c>
      <c r="AB2308" s="117">
        <f>IF($B2308="","",IF(OR($D2308="",$E2308="",$O2308=""),"EKSİK",IF($O2308&lt;=0,"SIFIR/NEGATİF",IF(COUNTIFS($C$6:$C$5000,$C2308,$O$6:$O$5000,$O2308,$B$6:$B$5000,$B2308)&gt;1,"MÜKERRER","OK"))))</f>
        <v/>
      </c>
    </row>
    <row r="2309" ht="16.5" customHeight="1" s="80">
      <c r="A2309" s="113" t="n"/>
      <c r="B2309" s="113" t="n"/>
      <c r="C2309" s="113" t="n"/>
      <c r="D2309" s="113" t="n"/>
      <c r="E2309" s="113" t="n"/>
      <c r="F2309" s="113" t="n"/>
      <c r="G2309" s="113" t="n"/>
      <c r="H2309" s="113" t="n"/>
      <c r="I2309" s="113" t="n"/>
      <c r="J2309" s="113" t="n"/>
      <c r="K2309" s="113" t="n"/>
      <c r="L2309" s="113" t="n"/>
      <c r="M2309" s="113" t="n"/>
      <c r="N2309" s="113" t="n"/>
      <c r="O2309" s="113" t="n"/>
      <c r="P2309" s="113" t="n"/>
      <c r="Q2309" s="113" t="n"/>
      <c r="R2309" s="113" t="n"/>
      <c r="S2309" s="113" t="n"/>
      <c r="T2309" s="113" t="n"/>
      <c r="U2309" s="113" t="n"/>
      <c r="V2309" s="113" t="n"/>
      <c r="W2309" s="113" t="n"/>
      <c r="X2309" s="113" t="n"/>
      <c r="Y2309" s="113" t="n"/>
      <c r="Z2309" s="117">
        <f>IF($B2309="",0,IF($S2309="EVET",IF($D2309="GELİR",$O2309,-$O2309),0))</f>
        <v/>
      </c>
      <c r="AA2309" s="117">
        <f>IF($B2309="",0,IF(OR($W2309="EVET",$X2309="EVET",$Y2309="EVET"),0,IF($D2309="GELİR",IF($E2309="SATIŞ İADESİ/İSKONTO",-$O2309,$O2309),-$O2309)))</f>
        <v/>
      </c>
      <c r="AB2309" s="117">
        <f>IF($B2309="","",IF(OR($D2309="",$E2309="",$O2309=""),"EKSİK",IF($O2309&lt;=0,"SIFIR/NEGATİF",IF(COUNTIFS($C$6:$C$5000,$C2309,$O$6:$O$5000,$O2309,$B$6:$B$5000,$B2309)&gt;1,"MÜKERRER","OK"))))</f>
        <v/>
      </c>
    </row>
    <row r="2310" ht="16.5" customHeight="1" s="80">
      <c r="A2310" s="113" t="n"/>
      <c r="B2310" s="113" t="n"/>
      <c r="C2310" s="113" t="n"/>
      <c r="D2310" s="113" t="n"/>
      <c r="E2310" s="113" t="n"/>
      <c r="F2310" s="113" t="n"/>
      <c r="G2310" s="113" t="n"/>
      <c r="H2310" s="113" t="n"/>
      <c r="I2310" s="113" t="n"/>
      <c r="J2310" s="113" t="n"/>
      <c r="K2310" s="113" t="n"/>
      <c r="L2310" s="113" t="n"/>
      <c r="M2310" s="113" t="n"/>
      <c r="N2310" s="113" t="n"/>
      <c r="O2310" s="113" t="n"/>
      <c r="P2310" s="113" t="n"/>
      <c r="Q2310" s="113" t="n"/>
      <c r="R2310" s="113" t="n"/>
      <c r="S2310" s="113" t="n"/>
      <c r="T2310" s="113" t="n"/>
      <c r="U2310" s="113" t="n"/>
      <c r="V2310" s="113" t="n"/>
      <c r="W2310" s="113" t="n"/>
      <c r="X2310" s="113" t="n"/>
      <c r="Y2310" s="113" t="n"/>
      <c r="Z2310" s="117">
        <f>IF($B2310="",0,IF($S2310="EVET",IF($D2310="GELİR",$O2310,-$O2310),0))</f>
        <v/>
      </c>
      <c r="AA2310" s="117">
        <f>IF($B2310="",0,IF(OR($W2310="EVET",$X2310="EVET",$Y2310="EVET"),0,IF($D2310="GELİR",IF($E2310="SATIŞ İADESİ/İSKONTO",-$O2310,$O2310),-$O2310)))</f>
        <v/>
      </c>
      <c r="AB2310" s="117">
        <f>IF($B2310="","",IF(OR($D2310="",$E2310="",$O2310=""),"EKSİK",IF($O2310&lt;=0,"SIFIR/NEGATİF",IF(COUNTIFS($C$6:$C$5000,$C2310,$O$6:$O$5000,$O2310,$B$6:$B$5000,$B2310)&gt;1,"MÜKERRER","OK"))))</f>
        <v/>
      </c>
    </row>
    <row r="2311" ht="16.5" customHeight="1" s="80">
      <c r="A2311" s="113" t="n"/>
      <c r="B2311" s="113" t="n"/>
      <c r="C2311" s="113" t="n"/>
      <c r="D2311" s="113" t="n"/>
      <c r="E2311" s="113" t="n"/>
      <c r="F2311" s="113" t="n"/>
      <c r="G2311" s="113" t="n"/>
      <c r="H2311" s="113" t="n"/>
      <c r="I2311" s="113" t="n"/>
      <c r="J2311" s="113" t="n"/>
      <c r="K2311" s="113" t="n"/>
      <c r="L2311" s="113" t="n"/>
      <c r="M2311" s="113" t="n"/>
      <c r="N2311" s="113" t="n"/>
      <c r="O2311" s="113" t="n"/>
      <c r="P2311" s="113" t="n"/>
      <c r="Q2311" s="113" t="n"/>
      <c r="R2311" s="113" t="n"/>
      <c r="S2311" s="113" t="n"/>
      <c r="T2311" s="113" t="n"/>
      <c r="U2311" s="113" t="n"/>
      <c r="V2311" s="113" t="n"/>
      <c r="W2311" s="113" t="n"/>
      <c r="X2311" s="113" t="n"/>
      <c r="Y2311" s="113" t="n"/>
      <c r="Z2311" s="117">
        <f>IF($B2311="",0,IF($S2311="EVET",IF($D2311="GELİR",$O2311,-$O2311),0))</f>
        <v/>
      </c>
      <c r="AA2311" s="117">
        <f>IF($B2311="",0,IF(OR($W2311="EVET",$X2311="EVET",$Y2311="EVET"),0,IF($D2311="GELİR",IF($E2311="SATIŞ İADESİ/İSKONTO",-$O2311,$O2311),-$O2311)))</f>
        <v/>
      </c>
      <c r="AB2311" s="117">
        <f>IF($B2311="","",IF(OR($D2311="",$E2311="",$O2311=""),"EKSİK",IF($O2311&lt;=0,"SIFIR/NEGATİF",IF(COUNTIFS($C$6:$C$5000,$C2311,$O$6:$O$5000,$O2311,$B$6:$B$5000,$B2311)&gt;1,"MÜKERRER","OK"))))</f>
        <v/>
      </c>
    </row>
    <row r="2312" ht="16.5" customHeight="1" s="80">
      <c r="A2312" s="113" t="n"/>
      <c r="B2312" s="113" t="n"/>
      <c r="C2312" s="113" t="n"/>
      <c r="D2312" s="113" t="n"/>
      <c r="E2312" s="113" t="n"/>
      <c r="F2312" s="113" t="n"/>
      <c r="G2312" s="113" t="n"/>
      <c r="H2312" s="113" t="n"/>
      <c r="I2312" s="113" t="n"/>
      <c r="J2312" s="113" t="n"/>
      <c r="K2312" s="113" t="n"/>
      <c r="L2312" s="113" t="n"/>
      <c r="M2312" s="113" t="n"/>
      <c r="N2312" s="113" t="n"/>
      <c r="O2312" s="113" t="n"/>
      <c r="P2312" s="113" t="n"/>
      <c r="Q2312" s="113" t="n"/>
      <c r="R2312" s="113" t="n"/>
      <c r="S2312" s="113" t="n"/>
      <c r="T2312" s="113" t="n"/>
      <c r="U2312" s="113" t="n"/>
      <c r="V2312" s="113" t="n"/>
      <c r="W2312" s="113" t="n"/>
      <c r="X2312" s="113" t="n"/>
      <c r="Y2312" s="113" t="n"/>
      <c r="Z2312" s="117">
        <f>IF($B2312="",0,IF($S2312="EVET",IF($D2312="GELİR",$O2312,-$O2312),0))</f>
        <v/>
      </c>
      <c r="AA2312" s="117">
        <f>IF($B2312="",0,IF(OR($W2312="EVET",$X2312="EVET",$Y2312="EVET"),0,IF($D2312="GELİR",IF($E2312="SATIŞ İADESİ/İSKONTO",-$O2312,$O2312),-$O2312)))</f>
        <v/>
      </c>
      <c r="AB2312" s="117">
        <f>IF($B2312="","",IF(OR($D2312="",$E2312="",$O2312=""),"EKSİK",IF($O2312&lt;=0,"SIFIR/NEGATİF",IF(COUNTIFS($C$6:$C$5000,$C2312,$O$6:$O$5000,$O2312,$B$6:$B$5000,$B2312)&gt;1,"MÜKERRER","OK"))))</f>
        <v/>
      </c>
    </row>
    <row r="2313" ht="16.5" customHeight="1" s="80">
      <c r="A2313" s="113" t="n"/>
      <c r="B2313" s="113" t="n"/>
      <c r="C2313" s="113" t="n"/>
      <c r="D2313" s="113" t="n"/>
      <c r="E2313" s="113" t="n"/>
      <c r="F2313" s="113" t="n"/>
      <c r="G2313" s="113" t="n"/>
      <c r="H2313" s="113" t="n"/>
      <c r="I2313" s="113" t="n"/>
      <c r="J2313" s="113" t="n"/>
      <c r="K2313" s="113" t="n"/>
      <c r="L2313" s="113" t="n"/>
      <c r="M2313" s="113" t="n"/>
      <c r="N2313" s="113" t="n"/>
      <c r="O2313" s="113" t="n"/>
      <c r="P2313" s="113" t="n"/>
      <c r="Q2313" s="113" t="n"/>
      <c r="R2313" s="113" t="n"/>
      <c r="S2313" s="113" t="n"/>
      <c r="T2313" s="113" t="n"/>
      <c r="U2313" s="113" t="n"/>
      <c r="V2313" s="113" t="n"/>
      <c r="W2313" s="113" t="n"/>
      <c r="X2313" s="113" t="n"/>
      <c r="Y2313" s="113" t="n"/>
      <c r="Z2313" s="117">
        <f>IF($B2313="",0,IF($S2313="EVET",IF($D2313="GELİR",$O2313,-$O2313),0))</f>
        <v/>
      </c>
      <c r="AA2313" s="117">
        <f>IF($B2313="",0,IF(OR($W2313="EVET",$X2313="EVET",$Y2313="EVET"),0,IF($D2313="GELİR",IF($E2313="SATIŞ İADESİ/İSKONTO",-$O2313,$O2313),-$O2313)))</f>
        <v/>
      </c>
      <c r="AB2313" s="117">
        <f>IF($B2313="","",IF(OR($D2313="",$E2313="",$O2313=""),"EKSİK",IF($O2313&lt;=0,"SIFIR/NEGATİF",IF(COUNTIFS($C$6:$C$5000,$C2313,$O$6:$O$5000,$O2313,$B$6:$B$5000,$B2313)&gt;1,"MÜKERRER","OK"))))</f>
        <v/>
      </c>
    </row>
    <row r="2314" ht="16.5" customHeight="1" s="80">
      <c r="A2314" s="113" t="n"/>
      <c r="B2314" s="113" t="n"/>
      <c r="C2314" s="113" t="n"/>
      <c r="D2314" s="113" t="n"/>
      <c r="E2314" s="113" t="n"/>
      <c r="F2314" s="113" t="n"/>
      <c r="G2314" s="113" t="n"/>
      <c r="H2314" s="113" t="n"/>
      <c r="I2314" s="113" t="n"/>
      <c r="J2314" s="113" t="n"/>
      <c r="K2314" s="113" t="n"/>
      <c r="L2314" s="113" t="n"/>
      <c r="M2314" s="113" t="n"/>
      <c r="N2314" s="113" t="n"/>
      <c r="O2314" s="113" t="n"/>
      <c r="P2314" s="113" t="n"/>
      <c r="Q2314" s="113" t="n"/>
      <c r="R2314" s="113" t="n"/>
      <c r="S2314" s="113" t="n"/>
      <c r="T2314" s="113" t="n"/>
      <c r="U2314" s="113" t="n"/>
      <c r="V2314" s="113" t="n"/>
      <c r="W2314" s="113" t="n"/>
      <c r="X2314" s="113" t="n"/>
      <c r="Y2314" s="113" t="n"/>
      <c r="Z2314" s="117">
        <f>IF($B2314="",0,IF($S2314="EVET",IF($D2314="GELİR",$O2314,-$O2314),0))</f>
        <v/>
      </c>
      <c r="AA2314" s="117">
        <f>IF($B2314="",0,IF(OR($W2314="EVET",$X2314="EVET",$Y2314="EVET"),0,IF($D2314="GELİR",IF($E2314="SATIŞ İADESİ/İSKONTO",-$O2314,$O2314),-$O2314)))</f>
        <v/>
      </c>
      <c r="AB2314" s="117">
        <f>IF($B2314="","",IF(OR($D2314="",$E2314="",$O2314=""),"EKSİK",IF($O2314&lt;=0,"SIFIR/NEGATİF",IF(COUNTIFS($C$6:$C$5000,$C2314,$O$6:$O$5000,$O2314,$B$6:$B$5000,$B2314)&gt;1,"MÜKERRER","OK"))))</f>
        <v/>
      </c>
    </row>
    <row r="2315" ht="16.5" customHeight="1" s="80">
      <c r="A2315" s="113" t="n"/>
      <c r="B2315" s="113" t="n"/>
      <c r="C2315" s="113" t="n"/>
      <c r="D2315" s="113" t="n"/>
      <c r="E2315" s="113" t="n"/>
      <c r="F2315" s="113" t="n"/>
      <c r="G2315" s="113" t="n"/>
      <c r="H2315" s="113" t="n"/>
      <c r="I2315" s="113" t="n"/>
      <c r="J2315" s="113" t="n"/>
      <c r="K2315" s="113" t="n"/>
      <c r="L2315" s="113" t="n"/>
      <c r="M2315" s="113" t="n"/>
      <c r="N2315" s="113" t="n"/>
      <c r="O2315" s="113" t="n"/>
      <c r="P2315" s="113" t="n"/>
      <c r="Q2315" s="113" t="n"/>
      <c r="R2315" s="113" t="n"/>
      <c r="S2315" s="113" t="n"/>
      <c r="T2315" s="113" t="n"/>
      <c r="U2315" s="113" t="n"/>
      <c r="V2315" s="113" t="n"/>
      <c r="W2315" s="113" t="n"/>
      <c r="X2315" s="113" t="n"/>
      <c r="Y2315" s="113" t="n"/>
      <c r="Z2315" s="117">
        <f>IF($B2315="",0,IF($S2315="EVET",IF($D2315="GELİR",$O2315,-$O2315),0))</f>
        <v/>
      </c>
      <c r="AA2315" s="117">
        <f>IF($B2315="",0,IF(OR($W2315="EVET",$X2315="EVET",$Y2315="EVET"),0,IF($D2315="GELİR",IF($E2315="SATIŞ İADESİ/İSKONTO",-$O2315,$O2315),-$O2315)))</f>
        <v/>
      </c>
      <c r="AB2315" s="117">
        <f>IF($B2315="","",IF(OR($D2315="",$E2315="",$O2315=""),"EKSİK",IF($O2315&lt;=0,"SIFIR/NEGATİF",IF(COUNTIFS($C$6:$C$5000,$C2315,$O$6:$O$5000,$O2315,$B$6:$B$5000,$B2315)&gt;1,"MÜKERRER","OK"))))</f>
        <v/>
      </c>
    </row>
    <row r="2316" ht="16.5" customHeight="1" s="80">
      <c r="A2316" s="113" t="n"/>
      <c r="B2316" s="113" t="n"/>
      <c r="C2316" s="113" t="n"/>
      <c r="D2316" s="113" t="n"/>
      <c r="E2316" s="113" t="n"/>
      <c r="F2316" s="113" t="n"/>
      <c r="G2316" s="113" t="n"/>
      <c r="H2316" s="113" t="n"/>
      <c r="I2316" s="113" t="n"/>
      <c r="J2316" s="113" t="n"/>
      <c r="K2316" s="113" t="n"/>
      <c r="L2316" s="113" t="n"/>
      <c r="M2316" s="113" t="n"/>
      <c r="N2316" s="113" t="n"/>
      <c r="O2316" s="113" t="n"/>
      <c r="P2316" s="113" t="n"/>
      <c r="Q2316" s="113" t="n"/>
      <c r="R2316" s="113" t="n"/>
      <c r="S2316" s="113" t="n"/>
      <c r="T2316" s="113" t="n"/>
      <c r="U2316" s="113" t="n"/>
      <c r="V2316" s="113" t="n"/>
      <c r="W2316" s="113" t="n"/>
      <c r="X2316" s="113" t="n"/>
      <c r="Y2316" s="113" t="n"/>
      <c r="Z2316" s="117">
        <f>IF($B2316="",0,IF($S2316="EVET",IF($D2316="GELİR",$O2316,-$O2316),0))</f>
        <v/>
      </c>
      <c r="AA2316" s="117">
        <f>IF($B2316="",0,IF(OR($W2316="EVET",$X2316="EVET",$Y2316="EVET"),0,IF($D2316="GELİR",IF($E2316="SATIŞ İADESİ/İSKONTO",-$O2316,$O2316),-$O2316)))</f>
        <v/>
      </c>
      <c r="AB2316" s="117">
        <f>IF($B2316="","",IF(OR($D2316="",$E2316="",$O2316=""),"EKSİK",IF($O2316&lt;=0,"SIFIR/NEGATİF",IF(COUNTIFS($C$6:$C$5000,$C2316,$O$6:$O$5000,$O2316,$B$6:$B$5000,$B2316)&gt;1,"MÜKERRER","OK"))))</f>
        <v/>
      </c>
    </row>
    <row r="2317" ht="16.5" customHeight="1" s="80">
      <c r="A2317" s="113" t="n"/>
      <c r="B2317" s="113" t="n"/>
      <c r="C2317" s="113" t="n"/>
      <c r="D2317" s="113" t="n"/>
      <c r="E2317" s="113" t="n"/>
      <c r="F2317" s="113" t="n"/>
      <c r="G2317" s="113" t="n"/>
      <c r="H2317" s="113" t="n"/>
      <c r="I2317" s="113" t="n"/>
      <c r="J2317" s="113" t="n"/>
      <c r="K2317" s="113" t="n"/>
      <c r="L2317" s="113" t="n"/>
      <c r="M2317" s="113" t="n"/>
      <c r="N2317" s="113" t="n"/>
      <c r="O2317" s="113" t="n"/>
      <c r="P2317" s="113" t="n"/>
      <c r="Q2317" s="113" t="n"/>
      <c r="R2317" s="113" t="n"/>
      <c r="S2317" s="113" t="n"/>
      <c r="T2317" s="113" t="n"/>
      <c r="U2317" s="113" t="n"/>
      <c r="V2317" s="113" t="n"/>
      <c r="W2317" s="113" t="n"/>
      <c r="X2317" s="113" t="n"/>
      <c r="Y2317" s="113" t="n"/>
      <c r="Z2317" s="117">
        <f>IF($B2317="",0,IF($S2317="EVET",IF($D2317="GELİR",$O2317,-$O2317),0))</f>
        <v/>
      </c>
      <c r="AA2317" s="117">
        <f>IF($B2317="",0,IF(OR($W2317="EVET",$X2317="EVET",$Y2317="EVET"),0,IF($D2317="GELİR",IF($E2317="SATIŞ İADESİ/İSKONTO",-$O2317,$O2317),-$O2317)))</f>
        <v/>
      </c>
      <c r="AB2317" s="117">
        <f>IF($B2317="","",IF(OR($D2317="",$E2317="",$O2317=""),"EKSİK",IF($O2317&lt;=0,"SIFIR/NEGATİF",IF(COUNTIFS($C$6:$C$5000,$C2317,$O$6:$O$5000,$O2317,$B$6:$B$5000,$B2317)&gt;1,"MÜKERRER","OK"))))</f>
        <v/>
      </c>
    </row>
    <row r="2318" ht="16.5" customHeight="1" s="80">
      <c r="A2318" s="113" t="n"/>
      <c r="B2318" s="113" t="n"/>
      <c r="C2318" s="113" t="n"/>
      <c r="D2318" s="113" t="n"/>
      <c r="E2318" s="113" t="n"/>
      <c r="F2318" s="113" t="n"/>
      <c r="G2318" s="113" t="n"/>
      <c r="H2318" s="113" t="n"/>
      <c r="I2318" s="113" t="n"/>
      <c r="J2318" s="113" t="n"/>
      <c r="K2318" s="113" t="n"/>
      <c r="L2318" s="113" t="n"/>
      <c r="M2318" s="113" t="n"/>
      <c r="N2318" s="113" t="n"/>
      <c r="O2318" s="113" t="n"/>
      <c r="P2318" s="113" t="n"/>
      <c r="Q2318" s="113" t="n"/>
      <c r="R2318" s="113" t="n"/>
      <c r="S2318" s="113" t="n"/>
      <c r="T2318" s="113" t="n"/>
      <c r="U2318" s="113" t="n"/>
      <c r="V2318" s="113" t="n"/>
      <c r="W2318" s="113" t="n"/>
      <c r="X2318" s="113" t="n"/>
      <c r="Y2318" s="113" t="n"/>
      <c r="Z2318" s="117">
        <f>IF($B2318="",0,IF($S2318="EVET",IF($D2318="GELİR",$O2318,-$O2318),0))</f>
        <v/>
      </c>
      <c r="AA2318" s="117">
        <f>IF($B2318="",0,IF(OR($W2318="EVET",$X2318="EVET",$Y2318="EVET"),0,IF($D2318="GELİR",IF($E2318="SATIŞ İADESİ/İSKONTO",-$O2318,$O2318),-$O2318)))</f>
        <v/>
      </c>
      <c r="AB2318" s="117">
        <f>IF($B2318="","",IF(OR($D2318="",$E2318="",$O2318=""),"EKSİK",IF($O2318&lt;=0,"SIFIR/NEGATİF",IF(COUNTIFS($C$6:$C$5000,$C2318,$O$6:$O$5000,$O2318,$B$6:$B$5000,$B2318)&gt;1,"MÜKERRER","OK"))))</f>
        <v/>
      </c>
    </row>
    <row r="2319" ht="16.5" customHeight="1" s="80">
      <c r="A2319" s="113" t="n"/>
      <c r="B2319" s="113" t="n"/>
      <c r="C2319" s="113" t="n"/>
      <c r="D2319" s="113" t="n"/>
      <c r="E2319" s="113" t="n"/>
      <c r="F2319" s="113" t="n"/>
      <c r="G2319" s="113" t="n"/>
      <c r="H2319" s="113" t="n"/>
      <c r="I2319" s="113" t="n"/>
      <c r="J2319" s="113" t="n"/>
      <c r="K2319" s="113" t="n"/>
      <c r="L2319" s="113" t="n"/>
      <c r="M2319" s="113" t="n"/>
      <c r="N2319" s="113" t="n"/>
      <c r="O2319" s="113" t="n"/>
      <c r="P2319" s="113" t="n"/>
      <c r="Q2319" s="113" t="n"/>
      <c r="R2319" s="113" t="n"/>
      <c r="S2319" s="113" t="n"/>
      <c r="T2319" s="113" t="n"/>
      <c r="U2319" s="113" t="n"/>
      <c r="V2319" s="113" t="n"/>
      <c r="W2319" s="113" t="n"/>
      <c r="X2319" s="113" t="n"/>
      <c r="Y2319" s="113" t="n"/>
      <c r="Z2319" s="117">
        <f>IF($B2319="",0,IF($S2319="EVET",IF($D2319="GELİR",$O2319,-$O2319),0))</f>
        <v/>
      </c>
      <c r="AA2319" s="117">
        <f>IF($B2319="",0,IF(OR($W2319="EVET",$X2319="EVET",$Y2319="EVET"),0,IF($D2319="GELİR",IF($E2319="SATIŞ İADESİ/İSKONTO",-$O2319,$O2319),-$O2319)))</f>
        <v/>
      </c>
      <c r="AB2319" s="117">
        <f>IF($B2319="","",IF(OR($D2319="",$E2319="",$O2319=""),"EKSİK",IF($O2319&lt;=0,"SIFIR/NEGATİF",IF(COUNTIFS($C$6:$C$5000,$C2319,$O$6:$O$5000,$O2319,$B$6:$B$5000,$B2319)&gt;1,"MÜKERRER","OK"))))</f>
        <v/>
      </c>
    </row>
    <row r="2320" ht="16.5" customHeight="1" s="80">
      <c r="A2320" s="113" t="n"/>
      <c r="B2320" s="113" t="n"/>
      <c r="C2320" s="113" t="n"/>
      <c r="D2320" s="113" t="n"/>
      <c r="E2320" s="113" t="n"/>
      <c r="F2320" s="113" t="n"/>
      <c r="G2320" s="113" t="n"/>
      <c r="H2320" s="113" t="n"/>
      <c r="I2320" s="113" t="n"/>
      <c r="J2320" s="113" t="n"/>
      <c r="K2320" s="113" t="n"/>
      <c r="L2320" s="113" t="n"/>
      <c r="M2320" s="113" t="n"/>
      <c r="N2320" s="113" t="n"/>
      <c r="O2320" s="113" t="n"/>
      <c r="P2320" s="113" t="n"/>
      <c r="Q2320" s="113" t="n"/>
      <c r="R2320" s="113" t="n"/>
      <c r="S2320" s="113" t="n"/>
      <c r="T2320" s="113" t="n"/>
      <c r="U2320" s="113" t="n"/>
      <c r="V2320" s="113" t="n"/>
      <c r="W2320" s="113" t="n"/>
      <c r="X2320" s="113" t="n"/>
      <c r="Y2320" s="113" t="n"/>
      <c r="Z2320" s="117">
        <f>IF($B2320="",0,IF($S2320="EVET",IF($D2320="GELİR",$O2320,-$O2320),0))</f>
        <v/>
      </c>
      <c r="AA2320" s="117">
        <f>IF($B2320="",0,IF(OR($W2320="EVET",$X2320="EVET",$Y2320="EVET"),0,IF($D2320="GELİR",IF($E2320="SATIŞ İADESİ/İSKONTO",-$O2320,$O2320),-$O2320)))</f>
        <v/>
      </c>
      <c r="AB2320" s="117">
        <f>IF($B2320="","",IF(OR($D2320="",$E2320="",$O2320=""),"EKSİK",IF($O2320&lt;=0,"SIFIR/NEGATİF",IF(COUNTIFS($C$6:$C$5000,$C2320,$O$6:$O$5000,$O2320,$B$6:$B$5000,$B2320)&gt;1,"MÜKERRER","OK"))))</f>
        <v/>
      </c>
    </row>
    <row r="2321" ht="16.5" customHeight="1" s="80">
      <c r="A2321" s="113" t="n"/>
      <c r="B2321" s="113" t="n"/>
      <c r="C2321" s="113" t="n"/>
      <c r="D2321" s="113" t="n"/>
      <c r="E2321" s="113" t="n"/>
      <c r="F2321" s="113" t="n"/>
      <c r="G2321" s="113" t="n"/>
      <c r="H2321" s="113" t="n"/>
      <c r="I2321" s="113" t="n"/>
      <c r="J2321" s="113" t="n"/>
      <c r="K2321" s="113" t="n"/>
      <c r="L2321" s="113" t="n"/>
      <c r="M2321" s="113" t="n"/>
      <c r="N2321" s="113" t="n"/>
      <c r="O2321" s="113" t="n"/>
      <c r="P2321" s="113" t="n"/>
      <c r="Q2321" s="113" t="n"/>
      <c r="R2321" s="113" t="n"/>
      <c r="S2321" s="113" t="n"/>
      <c r="T2321" s="113" t="n"/>
      <c r="U2321" s="113" t="n"/>
      <c r="V2321" s="113" t="n"/>
      <c r="W2321" s="113" t="n"/>
      <c r="X2321" s="113" t="n"/>
      <c r="Y2321" s="113" t="n"/>
      <c r="Z2321" s="117">
        <f>IF($B2321="",0,IF($S2321="EVET",IF($D2321="GELİR",$O2321,-$O2321),0))</f>
        <v/>
      </c>
      <c r="AA2321" s="117">
        <f>IF($B2321="",0,IF(OR($W2321="EVET",$X2321="EVET",$Y2321="EVET"),0,IF($D2321="GELİR",IF($E2321="SATIŞ İADESİ/İSKONTO",-$O2321,$O2321),-$O2321)))</f>
        <v/>
      </c>
      <c r="AB2321" s="117">
        <f>IF($B2321="","",IF(OR($D2321="",$E2321="",$O2321=""),"EKSİK",IF($O2321&lt;=0,"SIFIR/NEGATİF",IF(COUNTIFS($C$6:$C$5000,$C2321,$O$6:$O$5000,$O2321,$B$6:$B$5000,$B2321)&gt;1,"MÜKERRER","OK"))))</f>
        <v/>
      </c>
    </row>
    <row r="2322" ht="16.5" customHeight="1" s="80">
      <c r="A2322" s="113" t="n"/>
      <c r="B2322" s="113" t="n"/>
      <c r="C2322" s="113" t="n"/>
      <c r="D2322" s="113" t="n"/>
      <c r="E2322" s="113" t="n"/>
      <c r="F2322" s="113" t="n"/>
      <c r="G2322" s="113" t="n"/>
      <c r="H2322" s="113" t="n"/>
      <c r="I2322" s="113" t="n"/>
      <c r="J2322" s="113" t="n"/>
      <c r="K2322" s="113" t="n"/>
      <c r="L2322" s="113" t="n"/>
      <c r="M2322" s="113" t="n"/>
      <c r="N2322" s="113" t="n"/>
      <c r="O2322" s="113" t="n"/>
      <c r="P2322" s="113" t="n"/>
      <c r="Q2322" s="113" t="n"/>
      <c r="R2322" s="113" t="n"/>
      <c r="S2322" s="113" t="n"/>
      <c r="T2322" s="113" t="n"/>
      <c r="U2322" s="113" t="n"/>
      <c r="V2322" s="113" t="n"/>
      <c r="W2322" s="113" t="n"/>
      <c r="X2322" s="113" t="n"/>
      <c r="Y2322" s="113" t="n"/>
      <c r="Z2322" s="117">
        <f>IF($B2322="",0,IF($S2322="EVET",IF($D2322="GELİR",$O2322,-$O2322),0))</f>
        <v/>
      </c>
      <c r="AA2322" s="117">
        <f>IF($B2322="",0,IF(OR($W2322="EVET",$X2322="EVET",$Y2322="EVET"),0,IF($D2322="GELİR",IF($E2322="SATIŞ İADESİ/İSKONTO",-$O2322,$O2322),-$O2322)))</f>
        <v/>
      </c>
      <c r="AB2322" s="117">
        <f>IF($B2322="","",IF(OR($D2322="",$E2322="",$O2322=""),"EKSİK",IF($O2322&lt;=0,"SIFIR/NEGATİF",IF(COUNTIFS($C$6:$C$5000,$C2322,$O$6:$O$5000,$O2322,$B$6:$B$5000,$B2322)&gt;1,"MÜKERRER","OK"))))</f>
        <v/>
      </c>
    </row>
    <row r="2323" ht="16.5" customHeight="1" s="80">
      <c r="A2323" s="113" t="n"/>
      <c r="B2323" s="113" t="n"/>
      <c r="C2323" s="113" t="n"/>
      <c r="D2323" s="113" t="n"/>
      <c r="E2323" s="113" t="n"/>
      <c r="F2323" s="113" t="n"/>
      <c r="G2323" s="113" t="n"/>
      <c r="H2323" s="113" t="n"/>
      <c r="I2323" s="113" t="n"/>
      <c r="J2323" s="113" t="n"/>
      <c r="K2323" s="113" t="n"/>
      <c r="L2323" s="113" t="n"/>
      <c r="M2323" s="113" t="n"/>
      <c r="N2323" s="113" t="n"/>
      <c r="O2323" s="113" t="n"/>
      <c r="P2323" s="113" t="n"/>
      <c r="Q2323" s="113" t="n"/>
      <c r="R2323" s="113" t="n"/>
      <c r="S2323" s="113" t="n"/>
      <c r="T2323" s="113" t="n"/>
      <c r="U2323" s="113" t="n"/>
      <c r="V2323" s="113" t="n"/>
      <c r="W2323" s="113" t="n"/>
      <c r="X2323" s="113" t="n"/>
      <c r="Y2323" s="113" t="n"/>
      <c r="Z2323" s="117">
        <f>IF($B2323="",0,IF($S2323="EVET",IF($D2323="GELİR",$O2323,-$O2323),0))</f>
        <v/>
      </c>
      <c r="AA2323" s="117">
        <f>IF($B2323="",0,IF(OR($W2323="EVET",$X2323="EVET",$Y2323="EVET"),0,IF($D2323="GELİR",IF($E2323="SATIŞ İADESİ/İSKONTO",-$O2323,$O2323),-$O2323)))</f>
        <v/>
      </c>
      <c r="AB2323" s="117">
        <f>IF($B2323="","",IF(OR($D2323="",$E2323="",$O2323=""),"EKSİK",IF($O2323&lt;=0,"SIFIR/NEGATİF",IF(COUNTIFS($C$6:$C$5000,$C2323,$O$6:$O$5000,$O2323,$B$6:$B$5000,$B2323)&gt;1,"MÜKERRER","OK"))))</f>
        <v/>
      </c>
    </row>
    <row r="2324" ht="16.5" customHeight="1" s="80">
      <c r="A2324" s="113" t="n"/>
      <c r="B2324" s="113" t="n"/>
      <c r="C2324" s="113" t="n"/>
      <c r="D2324" s="113" t="n"/>
      <c r="E2324" s="113" t="n"/>
      <c r="F2324" s="113" t="n"/>
      <c r="G2324" s="113" t="n"/>
      <c r="H2324" s="113" t="n"/>
      <c r="I2324" s="113" t="n"/>
      <c r="J2324" s="113" t="n"/>
      <c r="K2324" s="113" t="n"/>
      <c r="L2324" s="113" t="n"/>
      <c r="M2324" s="113" t="n"/>
      <c r="N2324" s="113" t="n"/>
      <c r="O2324" s="113" t="n"/>
      <c r="P2324" s="113" t="n"/>
      <c r="Q2324" s="113" t="n"/>
      <c r="R2324" s="113" t="n"/>
      <c r="S2324" s="113" t="n"/>
      <c r="T2324" s="113" t="n"/>
      <c r="U2324" s="113" t="n"/>
      <c r="V2324" s="113" t="n"/>
      <c r="W2324" s="113" t="n"/>
      <c r="X2324" s="113" t="n"/>
      <c r="Y2324" s="113" t="n"/>
      <c r="Z2324" s="117">
        <f>IF($B2324="",0,IF($S2324="EVET",IF($D2324="GELİR",$O2324,-$O2324),0))</f>
        <v/>
      </c>
      <c r="AA2324" s="117">
        <f>IF($B2324="",0,IF(OR($W2324="EVET",$X2324="EVET",$Y2324="EVET"),0,IF($D2324="GELİR",IF($E2324="SATIŞ İADESİ/İSKONTO",-$O2324,$O2324),-$O2324)))</f>
        <v/>
      </c>
      <c r="AB2324" s="117">
        <f>IF($B2324="","",IF(OR($D2324="",$E2324="",$O2324=""),"EKSİK",IF($O2324&lt;=0,"SIFIR/NEGATİF",IF(COUNTIFS($C$6:$C$5000,$C2324,$O$6:$O$5000,$O2324,$B$6:$B$5000,$B2324)&gt;1,"MÜKERRER","OK"))))</f>
        <v/>
      </c>
    </row>
    <row r="2325" ht="16.5" customHeight="1" s="80">
      <c r="A2325" s="113" t="n"/>
      <c r="B2325" s="113" t="n"/>
      <c r="C2325" s="113" t="n"/>
      <c r="D2325" s="113" t="n"/>
      <c r="E2325" s="113" t="n"/>
      <c r="F2325" s="113" t="n"/>
      <c r="G2325" s="113" t="n"/>
      <c r="H2325" s="113" t="n"/>
      <c r="I2325" s="113" t="n"/>
      <c r="J2325" s="113" t="n"/>
      <c r="K2325" s="113" t="n"/>
      <c r="L2325" s="113" t="n"/>
      <c r="M2325" s="113" t="n"/>
      <c r="N2325" s="113" t="n"/>
      <c r="O2325" s="113" t="n"/>
      <c r="P2325" s="113" t="n"/>
      <c r="Q2325" s="113" t="n"/>
      <c r="R2325" s="113" t="n"/>
      <c r="S2325" s="113" t="n"/>
      <c r="T2325" s="113" t="n"/>
      <c r="U2325" s="113" t="n"/>
      <c r="V2325" s="113" t="n"/>
      <c r="W2325" s="113" t="n"/>
      <c r="X2325" s="113" t="n"/>
      <c r="Y2325" s="113" t="n"/>
      <c r="Z2325" s="117">
        <f>IF($B2325="",0,IF($S2325="EVET",IF($D2325="GELİR",$O2325,-$O2325),0))</f>
        <v/>
      </c>
      <c r="AA2325" s="117">
        <f>IF($B2325="",0,IF(OR($W2325="EVET",$X2325="EVET",$Y2325="EVET"),0,IF($D2325="GELİR",IF($E2325="SATIŞ İADESİ/İSKONTO",-$O2325,$O2325),-$O2325)))</f>
        <v/>
      </c>
      <c r="AB2325" s="117">
        <f>IF($B2325="","",IF(OR($D2325="",$E2325="",$O2325=""),"EKSİK",IF($O2325&lt;=0,"SIFIR/NEGATİF",IF(COUNTIFS($C$6:$C$5000,$C2325,$O$6:$O$5000,$O2325,$B$6:$B$5000,$B2325)&gt;1,"MÜKERRER","OK"))))</f>
        <v/>
      </c>
    </row>
    <row r="2326" ht="16.5" customHeight="1" s="80">
      <c r="A2326" s="113" t="n"/>
      <c r="B2326" s="113" t="n"/>
      <c r="C2326" s="113" t="n"/>
      <c r="D2326" s="113" t="n"/>
      <c r="E2326" s="113" t="n"/>
      <c r="F2326" s="113" t="n"/>
      <c r="G2326" s="113" t="n"/>
      <c r="H2326" s="113" t="n"/>
      <c r="I2326" s="113" t="n"/>
      <c r="J2326" s="113" t="n"/>
      <c r="K2326" s="113" t="n"/>
      <c r="L2326" s="113" t="n"/>
      <c r="M2326" s="113" t="n"/>
      <c r="N2326" s="113" t="n"/>
      <c r="O2326" s="113" t="n"/>
      <c r="P2326" s="113" t="n"/>
      <c r="Q2326" s="113" t="n"/>
      <c r="R2326" s="113" t="n"/>
      <c r="S2326" s="113" t="n"/>
      <c r="T2326" s="113" t="n"/>
      <c r="U2326" s="113" t="n"/>
      <c r="V2326" s="113" t="n"/>
      <c r="W2326" s="113" t="n"/>
      <c r="X2326" s="113" t="n"/>
      <c r="Y2326" s="113" t="n"/>
      <c r="Z2326" s="117">
        <f>IF($B2326="",0,IF($S2326="EVET",IF($D2326="GELİR",$O2326,-$O2326),0))</f>
        <v/>
      </c>
      <c r="AA2326" s="117">
        <f>IF($B2326="",0,IF(OR($W2326="EVET",$X2326="EVET",$Y2326="EVET"),0,IF($D2326="GELİR",IF($E2326="SATIŞ İADESİ/İSKONTO",-$O2326,$O2326),-$O2326)))</f>
        <v/>
      </c>
      <c r="AB2326" s="117">
        <f>IF($B2326="","",IF(OR($D2326="",$E2326="",$O2326=""),"EKSİK",IF($O2326&lt;=0,"SIFIR/NEGATİF",IF(COUNTIFS($C$6:$C$5000,$C2326,$O$6:$O$5000,$O2326,$B$6:$B$5000,$B2326)&gt;1,"MÜKERRER","OK"))))</f>
        <v/>
      </c>
    </row>
    <row r="2327" ht="16.5" customHeight="1" s="80">
      <c r="A2327" s="113" t="n"/>
      <c r="B2327" s="113" t="n"/>
      <c r="C2327" s="113" t="n"/>
      <c r="D2327" s="113" t="n"/>
      <c r="E2327" s="113" t="n"/>
      <c r="F2327" s="113" t="n"/>
      <c r="G2327" s="113" t="n"/>
      <c r="H2327" s="113" t="n"/>
      <c r="I2327" s="113" t="n"/>
      <c r="J2327" s="113" t="n"/>
      <c r="K2327" s="113" t="n"/>
      <c r="L2327" s="113" t="n"/>
      <c r="M2327" s="113" t="n"/>
      <c r="N2327" s="113" t="n"/>
      <c r="O2327" s="113" t="n"/>
      <c r="P2327" s="113" t="n"/>
      <c r="Q2327" s="113" t="n"/>
      <c r="R2327" s="113" t="n"/>
      <c r="S2327" s="113" t="n"/>
      <c r="T2327" s="113" t="n"/>
      <c r="U2327" s="113" t="n"/>
      <c r="V2327" s="113" t="n"/>
      <c r="W2327" s="113" t="n"/>
      <c r="X2327" s="113" t="n"/>
      <c r="Y2327" s="113" t="n"/>
      <c r="Z2327" s="117">
        <f>IF($B2327="",0,IF($S2327="EVET",IF($D2327="GELİR",$O2327,-$O2327),0))</f>
        <v/>
      </c>
      <c r="AA2327" s="117">
        <f>IF($B2327="",0,IF(OR($W2327="EVET",$X2327="EVET",$Y2327="EVET"),0,IF($D2327="GELİR",IF($E2327="SATIŞ İADESİ/İSKONTO",-$O2327,$O2327),-$O2327)))</f>
        <v/>
      </c>
      <c r="AB2327" s="117">
        <f>IF($B2327="","",IF(OR($D2327="",$E2327="",$O2327=""),"EKSİK",IF($O2327&lt;=0,"SIFIR/NEGATİF",IF(COUNTIFS($C$6:$C$5000,$C2327,$O$6:$O$5000,$O2327,$B$6:$B$5000,$B2327)&gt;1,"MÜKERRER","OK"))))</f>
        <v/>
      </c>
    </row>
    <row r="2328" ht="16.5" customHeight="1" s="80">
      <c r="A2328" s="113" t="n"/>
      <c r="B2328" s="113" t="n"/>
      <c r="C2328" s="113" t="n"/>
      <c r="D2328" s="113" t="n"/>
      <c r="E2328" s="113" t="n"/>
      <c r="F2328" s="113" t="n"/>
      <c r="G2328" s="113" t="n"/>
      <c r="H2328" s="113" t="n"/>
      <c r="I2328" s="113" t="n"/>
      <c r="J2328" s="113" t="n"/>
      <c r="K2328" s="113" t="n"/>
      <c r="L2328" s="113" t="n"/>
      <c r="M2328" s="113" t="n"/>
      <c r="N2328" s="113" t="n"/>
      <c r="O2328" s="113" t="n"/>
      <c r="P2328" s="113" t="n"/>
      <c r="Q2328" s="113" t="n"/>
      <c r="R2328" s="113" t="n"/>
      <c r="S2328" s="113" t="n"/>
      <c r="T2328" s="113" t="n"/>
      <c r="U2328" s="113" t="n"/>
      <c r="V2328" s="113" t="n"/>
      <c r="W2328" s="113" t="n"/>
      <c r="X2328" s="113" t="n"/>
      <c r="Y2328" s="113" t="n"/>
      <c r="Z2328" s="117">
        <f>IF($B2328="",0,IF($S2328="EVET",IF($D2328="GELİR",$O2328,-$O2328),0))</f>
        <v/>
      </c>
      <c r="AA2328" s="117">
        <f>IF($B2328="",0,IF(OR($W2328="EVET",$X2328="EVET",$Y2328="EVET"),0,IF($D2328="GELİR",IF($E2328="SATIŞ İADESİ/İSKONTO",-$O2328,$O2328),-$O2328)))</f>
        <v/>
      </c>
      <c r="AB2328" s="117">
        <f>IF($B2328="","",IF(OR($D2328="",$E2328="",$O2328=""),"EKSİK",IF($O2328&lt;=0,"SIFIR/NEGATİF",IF(COUNTIFS($C$6:$C$5000,$C2328,$O$6:$O$5000,$O2328,$B$6:$B$5000,$B2328)&gt;1,"MÜKERRER","OK"))))</f>
        <v/>
      </c>
    </row>
    <row r="2329" ht="16.5" customHeight="1" s="80">
      <c r="A2329" s="113" t="n"/>
      <c r="B2329" s="113" t="n"/>
      <c r="C2329" s="113" t="n"/>
      <c r="D2329" s="113" t="n"/>
      <c r="E2329" s="113" t="n"/>
      <c r="F2329" s="113" t="n"/>
      <c r="G2329" s="113" t="n"/>
      <c r="H2329" s="113" t="n"/>
      <c r="I2329" s="113" t="n"/>
      <c r="J2329" s="113" t="n"/>
      <c r="K2329" s="113" t="n"/>
      <c r="L2329" s="113" t="n"/>
      <c r="M2329" s="113" t="n"/>
      <c r="N2329" s="113" t="n"/>
      <c r="O2329" s="113" t="n"/>
      <c r="P2329" s="113" t="n"/>
      <c r="Q2329" s="113" t="n"/>
      <c r="R2329" s="113" t="n"/>
      <c r="S2329" s="113" t="n"/>
      <c r="T2329" s="113" t="n"/>
      <c r="U2329" s="113" t="n"/>
      <c r="V2329" s="113" t="n"/>
      <c r="W2329" s="113" t="n"/>
      <c r="X2329" s="113" t="n"/>
      <c r="Y2329" s="113" t="n"/>
      <c r="Z2329" s="117">
        <f>IF($B2329="",0,IF($S2329="EVET",IF($D2329="GELİR",$O2329,-$O2329),0))</f>
        <v/>
      </c>
      <c r="AA2329" s="117">
        <f>IF($B2329="",0,IF(OR($W2329="EVET",$X2329="EVET",$Y2329="EVET"),0,IF($D2329="GELİR",IF($E2329="SATIŞ İADESİ/İSKONTO",-$O2329,$O2329),-$O2329)))</f>
        <v/>
      </c>
      <c r="AB2329" s="117">
        <f>IF($B2329="","",IF(OR($D2329="",$E2329="",$O2329=""),"EKSİK",IF($O2329&lt;=0,"SIFIR/NEGATİF",IF(COUNTIFS($C$6:$C$5000,$C2329,$O$6:$O$5000,$O2329,$B$6:$B$5000,$B2329)&gt;1,"MÜKERRER","OK"))))</f>
        <v/>
      </c>
    </row>
    <row r="2330" ht="16.5" customHeight="1" s="80">
      <c r="A2330" s="113" t="n"/>
      <c r="B2330" s="113" t="n"/>
      <c r="C2330" s="113" t="n"/>
      <c r="D2330" s="113" t="n"/>
      <c r="E2330" s="113" t="n"/>
      <c r="F2330" s="113" t="n"/>
      <c r="G2330" s="113" t="n"/>
      <c r="H2330" s="113" t="n"/>
      <c r="I2330" s="113" t="n"/>
      <c r="J2330" s="113" t="n"/>
      <c r="K2330" s="113" t="n"/>
      <c r="L2330" s="113" t="n"/>
      <c r="M2330" s="113" t="n"/>
      <c r="N2330" s="113" t="n"/>
      <c r="O2330" s="113" t="n"/>
      <c r="P2330" s="113" t="n"/>
      <c r="Q2330" s="113" t="n"/>
      <c r="R2330" s="113" t="n"/>
      <c r="S2330" s="113" t="n"/>
      <c r="T2330" s="113" t="n"/>
      <c r="U2330" s="113" t="n"/>
      <c r="V2330" s="113" t="n"/>
      <c r="W2330" s="113" t="n"/>
      <c r="X2330" s="113" t="n"/>
      <c r="Y2330" s="113" t="n"/>
      <c r="Z2330" s="117">
        <f>IF($B2330="",0,IF($S2330="EVET",IF($D2330="GELİR",$O2330,-$O2330),0))</f>
        <v/>
      </c>
      <c r="AA2330" s="117">
        <f>IF($B2330="",0,IF(OR($W2330="EVET",$X2330="EVET",$Y2330="EVET"),0,IF($D2330="GELİR",IF($E2330="SATIŞ İADESİ/İSKONTO",-$O2330,$O2330),-$O2330)))</f>
        <v/>
      </c>
      <c r="AB2330" s="117">
        <f>IF($B2330="","",IF(OR($D2330="",$E2330="",$O2330=""),"EKSİK",IF($O2330&lt;=0,"SIFIR/NEGATİF",IF(COUNTIFS($C$6:$C$5000,$C2330,$O$6:$O$5000,$O2330,$B$6:$B$5000,$B2330)&gt;1,"MÜKERRER","OK"))))</f>
        <v/>
      </c>
    </row>
    <row r="2331" ht="16.5" customHeight="1" s="80">
      <c r="A2331" s="113" t="n"/>
      <c r="B2331" s="113" t="n"/>
      <c r="C2331" s="113" t="n"/>
      <c r="D2331" s="113" t="n"/>
      <c r="E2331" s="113" t="n"/>
      <c r="F2331" s="113" t="n"/>
      <c r="G2331" s="113" t="n"/>
      <c r="H2331" s="113" t="n"/>
      <c r="I2331" s="113" t="n"/>
      <c r="J2331" s="113" t="n"/>
      <c r="K2331" s="113" t="n"/>
      <c r="L2331" s="113" t="n"/>
      <c r="M2331" s="113" t="n"/>
      <c r="N2331" s="113" t="n"/>
      <c r="O2331" s="113" t="n"/>
      <c r="P2331" s="113" t="n"/>
      <c r="Q2331" s="113" t="n"/>
      <c r="R2331" s="113" t="n"/>
      <c r="S2331" s="113" t="n"/>
      <c r="T2331" s="113" t="n"/>
      <c r="U2331" s="113" t="n"/>
      <c r="V2331" s="113" t="n"/>
      <c r="W2331" s="113" t="n"/>
      <c r="X2331" s="113" t="n"/>
      <c r="Y2331" s="113" t="n"/>
      <c r="Z2331" s="117">
        <f>IF($B2331="",0,IF($S2331="EVET",IF($D2331="GELİR",$O2331,-$O2331),0))</f>
        <v/>
      </c>
      <c r="AA2331" s="117">
        <f>IF($B2331="",0,IF(OR($W2331="EVET",$X2331="EVET",$Y2331="EVET"),0,IF($D2331="GELİR",IF($E2331="SATIŞ İADESİ/İSKONTO",-$O2331,$O2331),-$O2331)))</f>
        <v/>
      </c>
      <c r="AB2331" s="117">
        <f>IF($B2331="","",IF(OR($D2331="",$E2331="",$O2331=""),"EKSİK",IF($O2331&lt;=0,"SIFIR/NEGATİF",IF(COUNTIFS($C$6:$C$5000,$C2331,$O$6:$O$5000,$O2331,$B$6:$B$5000,$B2331)&gt;1,"MÜKERRER","OK"))))</f>
        <v/>
      </c>
    </row>
    <row r="2332" ht="16.5" customHeight="1" s="80">
      <c r="A2332" s="113" t="n"/>
      <c r="B2332" s="113" t="n"/>
      <c r="C2332" s="113" t="n"/>
      <c r="D2332" s="113" t="n"/>
      <c r="E2332" s="113" t="n"/>
      <c r="F2332" s="113" t="n"/>
      <c r="G2332" s="113" t="n"/>
      <c r="H2332" s="113" t="n"/>
      <c r="I2332" s="113" t="n"/>
      <c r="J2332" s="113" t="n"/>
      <c r="K2332" s="113" t="n"/>
      <c r="L2332" s="113" t="n"/>
      <c r="M2332" s="113" t="n"/>
      <c r="N2332" s="113" t="n"/>
      <c r="O2332" s="113" t="n"/>
      <c r="P2332" s="113" t="n"/>
      <c r="Q2332" s="113" t="n"/>
      <c r="R2332" s="113" t="n"/>
      <c r="S2332" s="113" t="n"/>
      <c r="T2332" s="113" t="n"/>
      <c r="U2332" s="113" t="n"/>
      <c r="V2332" s="113" t="n"/>
      <c r="W2332" s="113" t="n"/>
      <c r="X2332" s="113" t="n"/>
      <c r="Y2332" s="113" t="n"/>
      <c r="Z2332" s="117">
        <f>IF($B2332="",0,IF($S2332="EVET",IF($D2332="GELİR",$O2332,-$O2332),0))</f>
        <v/>
      </c>
      <c r="AA2332" s="117">
        <f>IF($B2332="",0,IF(OR($W2332="EVET",$X2332="EVET",$Y2332="EVET"),0,IF($D2332="GELİR",IF($E2332="SATIŞ İADESİ/İSKONTO",-$O2332,$O2332),-$O2332)))</f>
        <v/>
      </c>
      <c r="AB2332" s="117">
        <f>IF($B2332="","",IF(OR($D2332="",$E2332="",$O2332=""),"EKSİK",IF($O2332&lt;=0,"SIFIR/NEGATİF",IF(COUNTIFS($C$6:$C$5000,$C2332,$O$6:$O$5000,$O2332,$B$6:$B$5000,$B2332)&gt;1,"MÜKERRER","OK"))))</f>
        <v/>
      </c>
    </row>
    <row r="2333" ht="16.5" customHeight="1" s="80">
      <c r="A2333" s="113" t="n"/>
      <c r="B2333" s="113" t="n"/>
      <c r="C2333" s="113" t="n"/>
      <c r="D2333" s="113" t="n"/>
      <c r="E2333" s="113" t="n"/>
      <c r="F2333" s="113" t="n"/>
      <c r="G2333" s="113" t="n"/>
      <c r="H2333" s="113" t="n"/>
      <c r="I2333" s="113" t="n"/>
      <c r="J2333" s="113" t="n"/>
      <c r="K2333" s="113" t="n"/>
      <c r="L2333" s="113" t="n"/>
      <c r="M2333" s="113" t="n"/>
      <c r="N2333" s="113" t="n"/>
      <c r="O2333" s="113" t="n"/>
      <c r="P2333" s="113" t="n"/>
      <c r="Q2333" s="113" t="n"/>
      <c r="R2333" s="113" t="n"/>
      <c r="S2333" s="113" t="n"/>
      <c r="T2333" s="113" t="n"/>
      <c r="U2333" s="113" t="n"/>
      <c r="V2333" s="113" t="n"/>
      <c r="W2333" s="113" t="n"/>
      <c r="X2333" s="113" t="n"/>
      <c r="Y2333" s="113" t="n"/>
      <c r="Z2333" s="117">
        <f>IF($B2333="",0,IF($S2333="EVET",IF($D2333="GELİR",$O2333,-$O2333),0))</f>
        <v/>
      </c>
      <c r="AA2333" s="117">
        <f>IF($B2333="",0,IF(OR($W2333="EVET",$X2333="EVET",$Y2333="EVET"),0,IF($D2333="GELİR",IF($E2333="SATIŞ İADESİ/İSKONTO",-$O2333,$O2333),-$O2333)))</f>
        <v/>
      </c>
      <c r="AB2333" s="117">
        <f>IF($B2333="","",IF(OR($D2333="",$E2333="",$O2333=""),"EKSİK",IF($O2333&lt;=0,"SIFIR/NEGATİF",IF(COUNTIFS($C$6:$C$5000,$C2333,$O$6:$O$5000,$O2333,$B$6:$B$5000,$B2333)&gt;1,"MÜKERRER","OK"))))</f>
        <v/>
      </c>
    </row>
    <row r="2334" ht="16.5" customHeight="1" s="80">
      <c r="A2334" s="113" t="n"/>
      <c r="B2334" s="113" t="n"/>
      <c r="C2334" s="113" t="n"/>
      <c r="D2334" s="113" t="n"/>
      <c r="E2334" s="113" t="n"/>
      <c r="F2334" s="113" t="n"/>
      <c r="G2334" s="113" t="n"/>
      <c r="H2334" s="113" t="n"/>
      <c r="I2334" s="113" t="n"/>
      <c r="J2334" s="113" t="n"/>
      <c r="K2334" s="113" t="n"/>
      <c r="L2334" s="113" t="n"/>
      <c r="M2334" s="113" t="n"/>
      <c r="N2334" s="113" t="n"/>
      <c r="O2334" s="113" t="n"/>
      <c r="P2334" s="113" t="n"/>
      <c r="Q2334" s="113" t="n"/>
      <c r="R2334" s="113" t="n"/>
      <c r="S2334" s="113" t="n"/>
      <c r="T2334" s="113" t="n"/>
      <c r="U2334" s="113" t="n"/>
      <c r="V2334" s="113" t="n"/>
      <c r="W2334" s="113" t="n"/>
      <c r="X2334" s="113" t="n"/>
      <c r="Y2334" s="113" t="n"/>
      <c r="Z2334" s="117">
        <f>IF($B2334="",0,IF($S2334="EVET",IF($D2334="GELİR",$O2334,-$O2334),0))</f>
        <v/>
      </c>
      <c r="AA2334" s="117">
        <f>IF($B2334="",0,IF(OR($W2334="EVET",$X2334="EVET",$Y2334="EVET"),0,IF($D2334="GELİR",IF($E2334="SATIŞ İADESİ/İSKONTO",-$O2334,$O2334),-$O2334)))</f>
        <v/>
      </c>
      <c r="AB2334" s="117">
        <f>IF($B2334="","",IF(OR($D2334="",$E2334="",$O2334=""),"EKSİK",IF($O2334&lt;=0,"SIFIR/NEGATİF",IF(COUNTIFS($C$6:$C$5000,$C2334,$O$6:$O$5000,$O2334,$B$6:$B$5000,$B2334)&gt;1,"MÜKERRER","OK"))))</f>
        <v/>
      </c>
    </row>
    <row r="2335" ht="16.5" customHeight="1" s="80">
      <c r="A2335" s="113" t="n"/>
      <c r="B2335" s="113" t="n"/>
      <c r="C2335" s="113" t="n"/>
      <c r="D2335" s="113" t="n"/>
      <c r="E2335" s="113" t="n"/>
      <c r="F2335" s="113" t="n"/>
      <c r="G2335" s="113" t="n"/>
      <c r="H2335" s="113" t="n"/>
      <c r="I2335" s="113" t="n"/>
      <c r="J2335" s="113" t="n"/>
      <c r="K2335" s="113" t="n"/>
      <c r="L2335" s="113" t="n"/>
      <c r="M2335" s="113" t="n"/>
      <c r="N2335" s="113" t="n"/>
      <c r="O2335" s="113" t="n"/>
      <c r="P2335" s="113" t="n"/>
      <c r="Q2335" s="113" t="n"/>
      <c r="R2335" s="113" t="n"/>
      <c r="S2335" s="113" t="n"/>
      <c r="T2335" s="113" t="n"/>
      <c r="U2335" s="113" t="n"/>
      <c r="V2335" s="113" t="n"/>
      <c r="W2335" s="113" t="n"/>
      <c r="X2335" s="113" t="n"/>
      <c r="Y2335" s="113" t="n"/>
      <c r="Z2335" s="117">
        <f>IF($B2335="",0,IF($S2335="EVET",IF($D2335="GELİR",$O2335,-$O2335),0))</f>
        <v/>
      </c>
      <c r="AA2335" s="117">
        <f>IF($B2335="",0,IF(OR($W2335="EVET",$X2335="EVET",$Y2335="EVET"),0,IF($D2335="GELİR",IF($E2335="SATIŞ İADESİ/İSKONTO",-$O2335,$O2335),-$O2335)))</f>
        <v/>
      </c>
      <c r="AB2335" s="117">
        <f>IF($B2335="","",IF(OR($D2335="",$E2335="",$O2335=""),"EKSİK",IF($O2335&lt;=0,"SIFIR/NEGATİF",IF(COUNTIFS($C$6:$C$5000,$C2335,$O$6:$O$5000,$O2335,$B$6:$B$5000,$B2335)&gt;1,"MÜKERRER","OK"))))</f>
        <v/>
      </c>
    </row>
    <row r="2336" ht="16.5" customHeight="1" s="80">
      <c r="A2336" s="113" t="n"/>
      <c r="B2336" s="113" t="n"/>
      <c r="C2336" s="113" t="n"/>
      <c r="D2336" s="113" t="n"/>
      <c r="E2336" s="113" t="n"/>
      <c r="F2336" s="113" t="n"/>
      <c r="G2336" s="113" t="n"/>
      <c r="H2336" s="113" t="n"/>
      <c r="I2336" s="113" t="n"/>
      <c r="J2336" s="113" t="n"/>
      <c r="K2336" s="113" t="n"/>
      <c r="L2336" s="113" t="n"/>
      <c r="M2336" s="113" t="n"/>
      <c r="N2336" s="113" t="n"/>
      <c r="O2336" s="113" t="n"/>
      <c r="P2336" s="113" t="n"/>
      <c r="Q2336" s="113" t="n"/>
      <c r="R2336" s="113" t="n"/>
      <c r="S2336" s="113" t="n"/>
      <c r="T2336" s="113" t="n"/>
      <c r="U2336" s="113" t="n"/>
      <c r="V2336" s="113" t="n"/>
      <c r="W2336" s="113" t="n"/>
      <c r="X2336" s="113" t="n"/>
      <c r="Y2336" s="113" t="n"/>
      <c r="Z2336" s="117">
        <f>IF($B2336="",0,IF($S2336="EVET",IF($D2336="GELİR",$O2336,-$O2336),0))</f>
        <v/>
      </c>
      <c r="AA2336" s="117">
        <f>IF($B2336="",0,IF(OR($W2336="EVET",$X2336="EVET",$Y2336="EVET"),0,IF($D2336="GELİR",IF($E2336="SATIŞ İADESİ/İSKONTO",-$O2336,$O2336),-$O2336)))</f>
        <v/>
      </c>
      <c r="AB2336" s="117">
        <f>IF($B2336="","",IF(OR($D2336="",$E2336="",$O2336=""),"EKSİK",IF($O2336&lt;=0,"SIFIR/NEGATİF",IF(COUNTIFS($C$6:$C$5000,$C2336,$O$6:$O$5000,$O2336,$B$6:$B$5000,$B2336)&gt;1,"MÜKERRER","OK"))))</f>
        <v/>
      </c>
    </row>
    <row r="2337" ht="16.5" customHeight="1" s="80">
      <c r="A2337" s="113" t="n"/>
      <c r="B2337" s="113" t="n"/>
      <c r="C2337" s="113" t="n"/>
      <c r="D2337" s="113" t="n"/>
      <c r="E2337" s="113" t="n"/>
      <c r="F2337" s="113" t="n"/>
      <c r="G2337" s="113" t="n"/>
      <c r="H2337" s="113" t="n"/>
      <c r="I2337" s="113" t="n"/>
      <c r="J2337" s="113" t="n"/>
      <c r="K2337" s="113" t="n"/>
      <c r="L2337" s="113" t="n"/>
      <c r="M2337" s="113" t="n"/>
      <c r="N2337" s="113" t="n"/>
      <c r="O2337" s="113" t="n"/>
      <c r="P2337" s="113" t="n"/>
      <c r="Q2337" s="113" t="n"/>
      <c r="R2337" s="113" t="n"/>
      <c r="S2337" s="113" t="n"/>
      <c r="T2337" s="113" t="n"/>
      <c r="U2337" s="113" t="n"/>
      <c r="V2337" s="113" t="n"/>
      <c r="W2337" s="113" t="n"/>
      <c r="X2337" s="113" t="n"/>
      <c r="Y2337" s="113" t="n"/>
      <c r="Z2337" s="117">
        <f>IF($B2337="",0,IF($S2337="EVET",IF($D2337="GELİR",$O2337,-$O2337),0))</f>
        <v/>
      </c>
      <c r="AA2337" s="117">
        <f>IF($B2337="",0,IF(OR($W2337="EVET",$X2337="EVET",$Y2337="EVET"),0,IF($D2337="GELİR",IF($E2337="SATIŞ İADESİ/İSKONTO",-$O2337,$O2337),-$O2337)))</f>
        <v/>
      </c>
      <c r="AB2337" s="117">
        <f>IF($B2337="","",IF(OR($D2337="",$E2337="",$O2337=""),"EKSİK",IF($O2337&lt;=0,"SIFIR/NEGATİF",IF(COUNTIFS($C$6:$C$5000,$C2337,$O$6:$O$5000,$O2337,$B$6:$B$5000,$B2337)&gt;1,"MÜKERRER","OK"))))</f>
        <v/>
      </c>
    </row>
    <row r="2338" ht="16.5" customHeight="1" s="80">
      <c r="A2338" s="113" t="n"/>
      <c r="B2338" s="113" t="n"/>
      <c r="C2338" s="113" t="n"/>
      <c r="D2338" s="113" t="n"/>
      <c r="E2338" s="113" t="n"/>
      <c r="F2338" s="113" t="n"/>
      <c r="G2338" s="113" t="n"/>
      <c r="H2338" s="113" t="n"/>
      <c r="I2338" s="113" t="n"/>
      <c r="J2338" s="113" t="n"/>
      <c r="K2338" s="113" t="n"/>
      <c r="L2338" s="113" t="n"/>
      <c r="M2338" s="113" t="n"/>
      <c r="N2338" s="113" t="n"/>
      <c r="O2338" s="113" t="n"/>
      <c r="P2338" s="113" t="n"/>
      <c r="Q2338" s="113" t="n"/>
      <c r="R2338" s="113" t="n"/>
      <c r="S2338" s="113" t="n"/>
      <c r="T2338" s="113" t="n"/>
      <c r="U2338" s="113" t="n"/>
      <c r="V2338" s="113" t="n"/>
      <c r="W2338" s="113" t="n"/>
      <c r="X2338" s="113" t="n"/>
      <c r="Y2338" s="113" t="n"/>
      <c r="Z2338" s="117">
        <f>IF($B2338="",0,IF($S2338="EVET",IF($D2338="GELİR",$O2338,-$O2338),0))</f>
        <v/>
      </c>
      <c r="AA2338" s="117">
        <f>IF($B2338="",0,IF(OR($W2338="EVET",$X2338="EVET",$Y2338="EVET"),0,IF($D2338="GELİR",IF($E2338="SATIŞ İADESİ/İSKONTO",-$O2338,$O2338),-$O2338)))</f>
        <v/>
      </c>
      <c r="AB2338" s="117">
        <f>IF($B2338="","",IF(OR($D2338="",$E2338="",$O2338=""),"EKSİK",IF($O2338&lt;=0,"SIFIR/NEGATİF",IF(COUNTIFS($C$6:$C$5000,$C2338,$O$6:$O$5000,$O2338,$B$6:$B$5000,$B2338)&gt;1,"MÜKERRER","OK"))))</f>
        <v/>
      </c>
    </row>
    <row r="2339" ht="16.5" customHeight="1" s="80">
      <c r="A2339" s="113" t="n"/>
      <c r="B2339" s="113" t="n"/>
      <c r="C2339" s="113" t="n"/>
      <c r="D2339" s="113" t="n"/>
      <c r="E2339" s="113" t="n"/>
      <c r="F2339" s="113" t="n"/>
      <c r="G2339" s="113" t="n"/>
      <c r="H2339" s="113" t="n"/>
      <c r="I2339" s="113" t="n"/>
      <c r="J2339" s="113" t="n"/>
      <c r="K2339" s="113" t="n"/>
      <c r="L2339" s="113" t="n"/>
      <c r="M2339" s="113" t="n"/>
      <c r="N2339" s="113" t="n"/>
      <c r="O2339" s="113" t="n"/>
      <c r="P2339" s="113" t="n"/>
      <c r="Q2339" s="113" t="n"/>
      <c r="R2339" s="113" t="n"/>
      <c r="S2339" s="113" t="n"/>
      <c r="T2339" s="113" t="n"/>
      <c r="U2339" s="113" t="n"/>
      <c r="V2339" s="113" t="n"/>
      <c r="W2339" s="113" t="n"/>
      <c r="X2339" s="113" t="n"/>
      <c r="Y2339" s="113" t="n"/>
      <c r="Z2339" s="117">
        <f>IF($B2339="",0,IF($S2339="EVET",IF($D2339="GELİR",$O2339,-$O2339),0))</f>
        <v/>
      </c>
      <c r="AA2339" s="117">
        <f>IF($B2339="",0,IF(OR($W2339="EVET",$X2339="EVET",$Y2339="EVET"),0,IF($D2339="GELİR",IF($E2339="SATIŞ İADESİ/İSKONTO",-$O2339,$O2339),-$O2339)))</f>
        <v/>
      </c>
      <c r="AB2339" s="117">
        <f>IF($B2339="","",IF(OR($D2339="",$E2339="",$O2339=""),"EKSİK",IF($O2339&lt;=0,"SIFIR/NEGATİF",IF(COUNTIFS($C$6:$C$5000,$C2339,$O$6:$O$5000,$O2339,$B$6:$B$5000,$B2339)&gt;1,"MÜKERRER","OK"))))</f>
        <v/>
      </c>
    </row>
    <row r="2340" ht="16.5" customHeight="1" s="80">
      <c r="A2340" s="113" t="n"/>
      <c r="B2340" s="113" t="n"/>
      <c r="C2340" s="113" t="n"/>
      <c r="D2340" s="113" t="n"/>
      <c r="E2340" s="113" t="n"/>
      <c r="F2340" s="113" t="n"/>
      <c r="G2340" s="113" t="n"/>
      <c r="H2340" s="113" t="n"/>
      <c r="I2340" s="113" t="n"/>
      <c r="J2340" s="113" t="n"/>
      <c r="K2340" s="113" t="n"/>
      <c r="L2340" s="113" t="n"/>
      <c r="M2340" s="113" t="n"/>
      <c r="N2340" s="113" t="n"/>
      <c r="O2340" s="113" t="n"/>
      <c r="P2340" s="113" t="n"/>
      <c r="Q2340" s="113" t="n"/>
      <c r="R2340" s="113" t="n"/>
      <c r="S2340" s="113" t="n"/>
      <c r="T2340" s="113" t="n"/>
      <c r="U2340" s="113" t="n"/>
      <c r="V2340" s="113" t="n"/>
      <c r="W2340" s="113" t="n"/>
      <c r="X2340" s="113" t="n"/>
      <c r="Y2340" s="113" t="n"/>
      <c r="Z2340" s="117">
        <f>IF($B2340="",0,IF($S2340="EVET",IF($D2340="GELİR",$O2340,-$O2340),0))</f>
        <v/>
      </c>
      <c r="AA2340" s="117">
        <f>IF($B2340="",0,IF(OR($W2340="EVET",$X2340="EVET",$Y2340="EVET"),0,IF($D2340="GELİR",IF($E2340="SATIŞ İADESİ/İSKONTO",-$O2340,$O2340),-$O2340)))</f>
        <v/>
      </c>
      <c r="AB2340" s="117">
        <f>IF($B2340="","",IF(OR($D2340="",$E2340="",$O2340=""),"EKSİK",IF($O2340&lt;=0,"SIFIR/NEGATİF",IF(COUNTIFS($C$6:$C$5000,$C2340,$O$6:$O$5000,$O2340,$B$6:$B$5000,$B2340)&gt;1,"MÜKERRER","OK"))))</f>
        <v/>
      </c>
    </row>
    <row r="2341" ht="16.5" customHeight="1" s="80">
      <c r="A2341" s="113" t="n"/>
      <c r="B2341" s="113" t="n"/>
      <c r="C2341" s="113" t="n"/>
      <c r="D2341" s="113" t="n"/>
      <c r="E2341" s="113" t="n"/>
      <c r="F2341" s="113" t="n"/>
      <c r="G2341" s="113" t="n"/>
      <c r="H2341" s="113" t="n"/>
      <c r="I2341" s="113" t="n"/>
      <c r="J2341" s="113" t="n"/>
      <c r="K2341" s="113" t="n"/>
      <c r="L2341" s="113" t="n"/>
      <c r="M2341" s="113" t="n"/>
      <c r="N2341" s="113" t="n"/>
      <c r="O2341" s="113" t="n"/>
      <c r="P2341" s="113" t="n"/>
      <c r="Q2341" s="113" t="n"/>
      <c r="R2341" s="113" t="n"/>
      <c r="S2341" s="113" t="n"/>
      <c r="T2341" s="113" t="n"/>
      <c r="U2341" s="113" t="n"/>
      <c r="V2341" s="113" t="n"/>
      <c r="W2341" s="113" t="n"/>
      <c r="X2341" s="113" t="n"/>
      <c r="Y2341" s="113" t="n"/>
      <c r="Z2341" s="117">
        <f>IF($B2341="",0,IF($S2341="EVET",IF($D2341="GELİR",$O2341,-$O2341),0))</f>
        <v/>
      </c>
      <c r="AA2341" s="117">
        <f>IF($B2341="",0,IF(OR($W2341="EVET",$X2341="EVET",$Y2341="EVET"),0,IF($D2341="GELİR",IF($E2341="SATIŞ İADESİ/İSKONTO",-$O2341,$O2341),-$O2341)))</f>
        <v/>
      </c>
      <c r="AB2341" s="117">
        <f>IF($B2341="","",IF(OR($D2341="",$E2341="",$O2341=""),"EKSİK",IF($O2341&lt;=0,"SIFIR/NEGATİF",IF(COUNTIFS($C$6:$C$5000,$C2341,$O$6:$O$5000,$O2341,$B$6:$B$5000,$B2341)&gt;1,"MÜKERRER","OK"))))</f>
        <v/>
      </c>
    </row>
    <row r="2342" ht="16.5" customHeight="1" s="80">
      <c r="A2342" s="113" t="n"/>
      <c r="B2342" s="113" t="n"/>
      <c r="C2342" s="113" t="n"/>
      <c r="D2342" s="113" t="n"/>
      <c r="E2342" s="113" t="n"/>
      <c r="F2342" s="113" t="n"/>
      <c r="G2342" s="113" t="n"/>
      <c r="H2342" s="113" t="n"/>
      <c r="I2342" s="113" t="n"/>
      <c r="J2342" s="113" t="n"/>
      <c r="K2342" s="113" t="n"/>
      <c r="L2342" s="113" t="n"/>
      <c r="M2342" s="113" t="n"/>
      <c r="N2342" s="113" t="n"/>
      <c r="O2342" s="113" t="n"/>
      <c r="P2342" s="113" t="n"/>
      <c r="Q2342" s="113" t="n"/>
      <c r="R2342" s="113" t="n"/>
      <c r="S2342" s="113" t="n"/>
      <c r="T2342" s="113" t="n"/>
      <c r="U2342" s="113" t="n"/>
      <c r="V2342" s="113" t="n"/>
      <c r="W2342" s="113" t="n"/>
      <c r="X2342" s="113" t="n"/>
      <c r="Y2342" s="113" t="n"/>
      <c r="Z2342" s="117">
        <f>IF($B2342="",0,IF($S2342="EVET",IF($D2342="GELİR",$O2342,-$O2342),0))</f>
        <v/>
      </c>
      <c r="AA2342" s="117">
        <f>IF($B2342="",0,IF(OR($W2342="EVET",$X2342="EVET",$Y2342="EVET"),0,IF($D2342="GELİR",IF($E2342="SATIŞ İADESİ/İSKONTO",-$O2342,$O2342),-$O2342)))</f>
        <v/>
      </c>
      <c r="AB2342" s="117">
        <f>IF($B2342="","",IF(OR($D2342="",$E2342="",$O2342=""),"EKSİK",IF($O2342&lt;=0,"SIFIR/NEGATİF",IF(COUNTIFS($C$6:$C$5000,$C2342,$O$6:$O$5000,$O2342,$B$6:$B$5000,$B2342)&gt;1,"MÜKERRER","OK"))))</f>
        <v/>
      </c>
    </row>
    <row r="2343" ht="16.5" customHeight="1" s="80">
      <c r="A2343" s="113" t="n"/>
      <c r="B2343" s="113" t="n"/>
      <c r="C2343" s="113" t="n"/>
      <c r="D2343" s="113" t="n"/>
      <c r="E2343" s="113" t="n"/>
      <c r="F2343" s="113" t="n"/>
      <c r="G2343" s="113" t="n"/>
      <c r="H2343" s="113" t="n"/>
      <c r="I2343" s="113" t="n"/>
      <c r="J2343" s="113" t="n"/>
      <c r="K2343" s="113" t="n"/>
      <c r="L2343" s="113" t="n"/>
      <c r="M2343" s="113" t="n"/>
      <c r="N2343" s="113" t="n"/>
      <c r="O2343" s="113" t="n"/>
      <c r="P2343" s="113" t="n"/>
      <c r="Q2343" s="113" t="n"/>
      <c r="R2343" s="113" t="n"/>
      <c r="S2343" s="113" t="n"/>
      <c r="T2343" s="113" t="n"/>
      <c r="U2343" s="113" t="n"/>
      <c r="V2343" s="113" t="n"/>
      <c r="W2343" s="113" t="n"/>
      <c r="X2343" s="113" t="n"/>
      <c r="Y2343" s="113" t="n"/>
      <c r="Z2343" s="117">
        <f>IF($B2343="",0,IF($S2343="EVET",IF($D2343="GELİR",$O2343,-$O2343),0))</f>
        <v/>
      </c>
      <c r="AA2343" s="117">
        <f>IF($B2343="",0,IF(OR($W2343="EVET",$X2343="EVET",$Y2343="EVET"),0,IF($D2343="GELİR",IF($E2343="SATIŞ İADESİ/İSKONTO",-$O2343,$O2343),-$O2343)))</f>
        <v/>
      </c>
      <c r="AB2343" s="117">
        <f>IF($B2343="","",IF(OR($D2343="",$E2343="",$O2343=""),"EKSİK",IF($O2343&lt;=0,"SIFIR/NEGATİF",IF(COUNTIFS($C$6:$C$5000,$C2343,$O$6:$O$5000,$O2343,$B$6:$B$5000,$B2343)&gt;1,"MÜKERRER","OK"))))</f>
        <v/>
      </c>
    </row>
    <row r="2344" ht="16.5" customHeight="1" s="80">
      <c r="A2344" s="113" t="n"/>
      <c r="B2344" s="113" t="n"/>
      <c r="C2344" s="113" t="n"/>
      <c r="D2344" s="113" t="n"/>
      <c r="E2344" s="113" t="n"/>
      <c r="F2344" s="113" t="n"/>
      <c r="G2344" s="113" t="n"/>
      <c r="H2344" s="113" t="n"/>
      <c r="I2344" s="113" t="n"/>
      <c r="J2344" s="113" t="n"/>
      <c r="K2344" s="113" t="n"/>
      <c r="L2344" s="113" t="n"/>
      <c r="M2344" s="113" t="n"/>
      <c r="N2344" s="113" t="n"/>
      <c r="O2344" s="113" t="n"/>
      <c r="P2344" s="113" t="n"/>
      <c r="Q2344" s="113" t="n"/>
      <c r="R2344" s="113" t="n"/>
      <c r="S2344" s="113" t="n"/>
      <c r="T2344" s="113" t="n"/>
      <c r="U2344" s="113" t="n"/>
      <c r="V2344" s="113" t="n"/>
      <c r="W2344" s="113" t="n"/>
      <c r="X2344" s="113" t="n"/>
      <c r="Y2344" s="113" t="n"/>
      <c r="Z2344" s="117">
        <f>IF($B2344="",0,IF($S2344="EVET",IF($D2344="GELİR",$O2344,-$O2344),0))</f>
        <v/>
      </c>
      <c r="AA2344" s="117">
        <f>IF($B2344="",0,IF(OR($W2344="EVET",$X2344="EVET",$Y2344="EVET"),0,IF($D2344="GELİR",IF($E2344="SATIŞ İADESİ/İSKONTO",-$O2344,$O2344),-$O2344)))</f>
        <v/>
      </c>
      <c r="AB2344" s="117">
        <f>IF($B2344="","",IF(OR($D2344="",$E2344="",$O2344=""),"EKSİK",IF($O2344&lt;=0,"SIFIR/NEGATİF",IF(COUNTIFS($C$6:$C$5000,$C2344,$O$6:$O$5000,$O2344,$B$6:$B$5000,$B2344)&gt;1,"MÜKERRER","OK"))))</f>
        <v/>
      </c>
    </row>
    <row r="2345" ht="16.5" customHeight="1" s="80">
      <c r="A2345" s="113" t="n"/>
      <c r="B2345" s="113" t="n"/>
      <c r="C2345" s="113" t="n"/>
      <c r="D2345" s="113" t="n"/>
      <c r="E2345" s="113" t="n"/>
      <c r="F2345" s="113" t="n"/>
      <c r="G2345" s="113" t="n"/>
      <c r="H2345" s="113" t="n"/>
      <c r="I2345" s="113" t="n"/>
      <c r="J2345" s="113" t="n"/>
      <c r="K2345" s="113" t="n"/>
      <c r="L2345" s="113" t="n"/>
      <c r="M2345" s="113" t="n"/>
      <c r="N2345" s="113" t="n"/>
      <c r="O2345" s="113" t="n"/>
      <c r="P2345" s="113" t="n"/>
      <c r="Q2345" s="113" t="n"/>
      <c r="R2345" s="113" t="n"/>
      <c r="S2345" s="113" t="n"/>
      <c r="T2345" s="113" t="n"/>
      <c r="U2345" s="113" t="n"/>
      <c r="V2345" s="113" t="n"/>
      <c r="W2345" s="113" t="n"/>
      <c r="X2345" s="113" t="n"/>
      <c r="Y2345" s="113" t="n"/>
      <c r="Z2345" s="117">
        <f>IF($B2345="",0,IF($S2345="EVET",IF($D2345="GELİR",$O2345,-$O2345),0))</f>
        <v/>
      </c>
      <c r="AA2345" s="117">
        <f>IF($B2345="",0,IF(OR($W2345="EVET",$X2345="EVET",$Y2345="EVET"),0,IF($D2345="GELİR",IF($E2345="SATIŞ İADESİ/İSKONTO",-$O2345,$O2345),-$O2345)))</f>
        <v/>
      </c>
      <c r="AB2345" s="117">
        <f>IF($B2345="","",IF(OR($D2345="",$E2345="",$O2345=""),"EKSİK",IF($O2345&lt;=0,"SIFIR/NEGATİF",IF(COUNTIFS($C$6:$C$5000,$C2345,$O$6:$O$5000,$O2345,$B$6:$B$5000,$B2345)&gt;1,"MÜKERRER","OK"))))</f>
        <v/>
      </c>
    </row>
    <row r="2346" ht="16.5" customHeight="1" s="80">
      <c r="A2346" s="113" t="n"/>
      <c r="B2346" s="113" t="n"/>
      <c r="C2346" s="113" t="n"/>
      <c r="D2346" s="113" t="n"/>
      <c r="E2346" s="113" t="n"/>
      <c r="F2346" s="113" t="n"/>
      <c r="G2346" s="113" t="n"/>
      <c r="H2346" s="113" t="n"/>
      <c r="I2346" s="113" t="n"/>
      <c r="J2346" s="113" t="n"/>
      <c r="K2346" s="113" t="n"/>
      <c r="L2346" s="113" t="n"/>
      <c r="M2346" s="113" t="n"/>
      <c r="N2346" s="113" t="n"/>
      <c r="O2346" s="113" t="n"/>
      <c r="P2346" s="113" t="n"/>
      <c r="Q2346" s="113" t="n"/>
      <c r="R2346" s="113" t="n"/>
      <c r="S2346" s="113" t="n"/>
      <c r="T2346" s="113" t="n"/>
      <c r="U2346" s="113" t="n"/>
      <c r="V2346" s="113" t="n"/>
      <c r="W2346" s="113" t="n"/>
      <c r="X2346" s="113" t="n"/>
      <c r="Y2346" s="113" t="n"/>
      <c r="Z2346" s="117">
        <f>IF($B2346="",0,IF($S2346="EVET",IF($D2346="GELİR",$O2346,-$O2346),0))</f>
        <v/>
      </c>
      <c r="AA2346" s="117">
        <f>IF($B2346="",0,IF(OR($W2346="EVET",$X2346="EVET",$Y2346="EVET"),0,IF($D2346="GELİR",IF($E2346="SATIŞ İADESİ/İSKONTO",-$O2346,$O2346),-$O2346)))</f>
        <v/>
      </c>
      <c r="AB2346" s="117">
        <f>IF($B2346="","",IF(OR($D2346="",$E2346="",$O2346=""),"EKSİK",IF($O2346&lt;=0,"SIFIR/NEGATİF",IF(COUNTIFS($C$6:$C$5000,$C2346,$O$6:$O$5000,$O2346,$B$6:$B$5000,$B2346)&gt;1,"MÜKERRER","OK"))))</f>
        <v/>
      </c>
    </row>
    <row r="2347" ht="16.5" customHeight="1" s="80">
      <c r="A2347" s="113" t="n"/>
      <c r="B2347" s="113" t="n"/>
      <c r="C2347" s="113" t="n"/>
      <c r="D2347" s="113" t="n"/>
      <c r="E2347" s="113" t="n"/>
      <c r="F2347" s="113" t="n"/>
      <c r="G2347" s="113" t="n"/>
      <c r="H2347" s="113" t="n"/>
      <c r="I2347" s="113" t="n"/>
      <c r="J2347" s="113" t="n"/>
      <c r="K2347" s="113" t="n"/>
      <c r="L2347" s="113" t="n"/>
      <c r="M2347" s="113" t="n"/>
      <c r="N2347" s="113" t="n"/>
      <c r="O2347" s="113" t="n"/>
      <c r="P2347" s="113" t="n"/>
      <c r="Q2347" s="113" t="n"/>
      <c r="R2347" s="113" t="n"/>
      <c r="S2347" s="113" t="n"/>
      <c r="T2347" s="113" t="n"/>
      <c r="U2347" s="113" t="n"/>
      <c r="V2347" s="113" t="n"/>
      <c r="W2347" s="113" t="n"/>
      <c r="X2347" s="113" t="n"/>
      <c r="Y2347" s="113" t="n"/>
      <c r="Z2347" s="117">
        <f>IF($B2347="",0,IF($S2347="EVET",IF($D2347="GELİR",$O2347,-$O2347),0))</f>
        <v/>
      </c>
      <c r="AA2347" s="117">
        <f>IF($B2347="",0,IF(OR($W2347="EVET",$X2347="EVET",$Y2347="EVET"),0,IF($D2347="GELİR",IF($E2347="SATIŞ İADESİ/İSKONTO",-$O2347,$O2347),-$O2347)))</f>
        <v/>
      </c>
      <c r="AB2347" s="117">
        <f>IF($B2347="","",IF(OR($D2347="",$E2347="",$O2347=""),"EKSİK",IF($O2347&lt;=0,"SIFIR/NEGATİF",IF(COUNTIFS($C$6:$C$5000,$C2347,$O$6:$O$5000,$O2347,$B$6:$B$5000,$B2347)&gt;1,"MÜKERRER","OK"))))</f>
        <v/>
      </c>
    </row>
    <row r="2348" ht="16.5" customHeight="1" s="80">
      <c r="A2348" s="113" t="n"/>
      <c r="B2348" s="113" t="n"/>
      <c r="C2348" s="113" t="n"/>
      <c r="D2348" s="113" t="n"/>
      <c r="E2348" s="113" t="n"/>
      <c r="F2348" s="113" t="n"/>
      <c r="G2348" s="113" t="n"/>
      <c r="H2348" s="113" t="n"/>
      <c r="I2348" s="113" t="n"/>
      <c r="J2348" s="113" t="n"/>
      <c r="K2348" s="113" t="n"/>
      <c r="L2348" s="113" t="n"/>
      <c r="M2348" s="113" t="n"/>
      <c r="N2348" s="113" t="n"/>
      <c r="O2348" s="113" t="n"/>
      <c r="P2348" s="113" t="n"/>
      <c r="Q2348" s="113" t="n"/>
      <c r="R2348" s="113" t="n"/>
      <c r="S2348" s="113" t="n"/>
      <c r="T2348" s="113" t="n"/>
      <c r="U2348" s="113" t="n"/>
      <c r="V2348" s="113" t="n"/>
      <c r="W2348" s="113" t="n"/>
      <c r="X2348" s="113" t="n"/>
      <c r="Y2348" s="113" t="n"/>
      <c r="Z2348" s="117">
        <f>IF($B2348="",0,IF($S2348="EVET",IF($D2348="GELİR",$O2348,-$O2348),0))</f>
        <v/>
      </c>
      <c r="AA2348" s="117">
        <f>IF($B2348="",0,IF(OR($W2348="EVET",$X2348="EVET",$Y2348="EVET"),0,IF($D2348="GELİR",IF($E2348="SATIŞ İADESİ/İSKONTO",-$O2348,$O2348),-$O2348)))</f>
        <v/>
      </c>
      <c r="AB2348" s="117">
        <f>IF($B2348="","",IF(OR($D2348="",$E2348="",$O2348=""),"EKSİK",IF($O2348&lt;=0,"SIFIR/NEGATİF",IF(COUNTIFS($C$6:$C$5000,$C2348,$O$6:$O$5000,$O2348,$B$6:$B$5000,$B2348)&gt;1,"MÜKERRER","OK"))))</f>
        <v/>
      </c>
    </row>
    <row r="2349" ht="16.5" customHeight="1" s="80">
      <c r="A2349" s="113" t="n"/>
      <c r="B2349" s="113" t="n"/>
      <c r="C2349" s="113" t="n"/>
      <c r="D2349" s="113" t="n"/>
      <c r="E2349" s="113" t="n"/>
      <c r="F2349" s="113" t="n"/>
      <c r="G2349" s="113" t="n"/>
      <c r="H2349" s="113" t="n"/>
      <c r="I2349" s="113" t="n"/>
      <c r="J2349" s="113" t="n"/>
      <c r="K2349" s="113" t="n"/>
      <c r="L2349" s="113" t="n"/>
      <c r="M2349" s="113" t="n"/>
      <c r="N2349" s="113" t="n"/>
      <c r="O2349" s="113" t="n"/>
      <c r="P2349" s="113" t="n"/>
      <c r="Q2349" s="113" t="n"/>
      <c r="R2349" s="113" t="n"/>
      <c r="S2349" s="113" t="n"/>
      <c r="T2349" s="113" t="n"/>
      <c r="U2349" s="113" t="n"/>
      <c r="V2349" s="113" t="n"/>
      <c r="W2349" s="113" t="n"/>
      <c r="X2349" s="113" t="n"/>
      <c r="Y2349" s="113" t="n"/>
      <c r="Z2349" s="117">
        <f>IF($B2349="",0,IF($S2349="EVET",IF($D2349="GELİR",$O2349,-$O2349),0))</f>
        <v/>
      </c>
      <c r="AA2349" s="117">
        <f>IF($B2349="",0,IF(OR($W2349="EVET",$X2349="EVET",$Y2349="EVET"),0,IF($D2349="GELİR",IF($E2349="SATIŞ İADESİ/İSKONTO",-$O2349,$O2349),-$O2349)))</f>
        <v/>
      </c>
      <c r="AB2349" s="117">
        <f>IF($B2349="","",IF(OR($D2349="",$E2349="",$O2349=""),"EKSİK",IF($O2349&lt;=0,"SIFIR/NEGATİF",IF(COUNTIFS($C$6:$C$5000,$C2349,$O$6:$O$5000,$O2349,$B$6:$B$5000,$B2349)&gt;1,"MÜKERRER","OK"))))</f>
        <v/>
      </c>
    </row>
    <row r="2350" ht="16.5" customHeight="1" s="80">
      <c r="A2350" s="113" t="n"/>
      <c r="B2350" s="113" t="n"/>
      <c r="C2350" s="113" t="n"/>
      <c r="D2350" s="113" t="n"/>
      <c r="E2350" s="113" t="n"/>
      <c r="F2350" s="113" t="n"/>
      <c r="G2350" s="113" t="n"/>
      <c r="H2350" s="113" t="n"/>
      <c r="I2350" s="113" t="n"/>
      <c r="J2350" s="113" t="n"/>
      <c r="K2350" s="113" t="n"/>
      <c r="L2350" s="113" t="n"/>
      <c r="M2350" s="113" t="n"/>
      <c r="N2350" s="113" t="n"/>
      <c r="O2350" s="113" t="n"/>
      <c r="P2350" s="113" t="n"/>
      <c r="Q2350" s="113" t="n"/>
      <c r="R2350" s="113" t="n"/>
      <c r="S2350" s="113" t="n"/>
      <c r="T2350" s="113" t="n"/>
      <c r="U2350" s="113" t="n"/>
      <c r="V2350" s="113" t="n"/>
      <c r="W2350" s="113" t="n"/>
      <c r="X2350" s="113" t="n"/>
      <c r="Y2350" s="113" t="n"/>
      <c r="Z2350" s="117">
        <f>IF($B2350="",0,IF($S2350="EVET",IF($D2350="GELİR",$O2350,-$O2350),0))</f>
        <v/>
      </c>
      <c r="AA2350" s="117">
        <f>IF($B2350="",0,IF(OR($W2350="EVET",$X2350="EVET",$Y2350="EVET"),0,IF($D2350="GELİR",IF($E2350="SATIŞ İADESİ/İSKONTO",-$O2350,$O2350),-$O2350)))</f>
        <v/>
      </c>
      <c r="AB2350" s="117">
        <f>IF($B2350="","",IF(OR($D2350="",$E2350="",$O2350=""),"EKSİK",IF($O2350&lt;=0,"SIFIR/NEGATİF",IF(COUNTIFS($C$6:$C$5000,$C2350,$O$6:$O$5000,$O2350,$B$6:$B$5000,$B2350)&gt;1,"MÜKERRER","OK"))))</f>
        <v/>
      </c>
    </row>
    <row r="2351" ht="16.5" customHeight="1" s="80">
      <c r="A2351" s="113" t="n"/>
      <c r="B2351" s="113" t="n"/>
      <c r="C2351" s="113" t="n"/>
      <c r="D2351" s="113" t="n"/>
      <c r="E2351" s="113" t="n"/>
      <c r="F2351" s="113" t="n"/>
      <c r="G2351" s="113" t="n"/>
      <c r="H2351" s="113" t="n"/>
      <c r="I2351" s="113" t="n"/>
      <c r="J2351" s="113" t="n"/>
      <c r="K2351" s="113" t="n"/>
      <c r="L2351" s="113" t="n"/>
      <c r="M2351" s="113" t="n"/>
      <c r="N2351" s="113" t="n"/>
      <c r="O2351" s="113" t="n"/>
      <c r="P2351" s="113" t="n"/>
      <c r="Q2351" s="113" t="n"/>
      <c r="R2351" s="113" t="n"/>
      <c r="S2351" s="113" t="n"/>
      <c r="T2351" s="113" t="n"/>
      <c r="U2351" s="113" t="n"/>
      <c r="V2351" s="113" t="n"/>
      <c r="W2351" s="113" t="n"/>
      <c r="X2351" s="113" t="n"/>
      <c r="Y2351" s="113" t="n"/>
      <c r="Z2351" s="117">
        <f>IF($B2351="",0,IF($S2351="EVET",IF($D2351="GELİR",$O2351,-$O2351),0))</f>
        <v/>
      </c>
      <c r="AA2351" s="117">
        <f>IF($B2351="",0,IF(OR($W2351="EVET",$X2351="EVET",$Y2351="EVET"),0,IF($D2351="GELİR",IF($E2351="SATIŞ İADESİ/İSKONTO",-$O2351,$O2351),-$O2351)))</f>
        <v/>
      </c>
      <c r="AB2351" s="117">
        <f>IF($B2351="","",IF(OR($D2351="",$E2351="",$O2351=""),"EKSİK",IF($O2351&lt;=0,"SIFIR/NEGATİF",IF(COUNTIFS($C$6:$C$5000,$C2351,$O$6:$O$5000,$O2351,$B$6:$B$5000,$B2351)&gt;1,"MÜKERRER","OK"))))</f>
        <v/>
      </c>
    </row>
    <row r="2352" ht="16.5" customHeight="1" s="80">
      <c r="A2352" s="113" t="n"/>
      <c r="B2352" s="113" t="n"/>
      <c r="C2352" s="113" t="n"/>
      <c r="D2352" s="113" t="n"/>
      <c r="E2352" s="113" t="n"/>
      <c r="F2352" s="113" t="n"/>
      <c r="G2352" s="113" t="n"/>
      <c r="H2352" s="113" t="n"/>
      <c r="I2352" s="113" t="n"/>
      <c r="J2352" s="113" t="n"/>
      <c r="K2352" s="113" t="n"/>
      <c r="L2352" s="113" t="n"/>
      <c r="M2352" s="113" t="n"/>
      <c r="N2352" s="113" t="n"/>
      <c r="O2352" s="113" t="n"/>
      <c r="P2352" s="113" t="n"/>
      <c r="Q2352" s="113" t="n"/>
      <c r="R2352" s="113" t="n"/>
      <c r="S2352" s="113" t="n"/>
      <c r="T2352" s="113" t="n"/>
      <c r="U2352" s="113" t="n"/>
      <c r="V2352" s="113" t="n"/>
      <c r="W2352" s="113" t="n"/>
      <c r="X2352" s="113" t="n"/>
      <c r="Y2352" s="113" t="n"/>
      <c r="Z2352" s="117">
        <f>IF($B2352="",0,IF($S2352="EVET",IF($D2352="GELİR",$O2352,-$O2352),0))</f>
        <v/>
      </c>
      <c r="AA2352" s="117">
        <f>IF($B2352="",0,IF(OR($W2352="EVET",$X2352="EVET",$Y2352="EVET"),0,IF($D2352="GELİR",IF($E2352="SATIŞ İADESİ/İSKONTO",-$O2352,$O2352),-$O2352)))</f>
        <v/>
      </c>
      <c r="AB2352" s="117">
        <f>IF($B2352="","",IF(OR($D2352="",$E2352="",$O2352=""),"EKSİK",IF($O2352&lt;=0,"SIFIR/NEGATİF",IF(COUNTIFS($C$6:$C$5000,$C2352,$O$6:$O$5000,$O2352,$B$6:$B$5000,$B2352)&gt;1,"MÜKERRER","OK"))))</f>
        <v/>
      </c>
    </row>
    <row r="2353" ht="16.5" customHeight="1" s="80">
      <c r="A2353" s="113" t="n"/>
      <c r="B2353" s="113" t="n"/>
      <c r="C2353" s="113" t="n"/>
      <c r="D2353" s="113" t="n"/>
      <c r="E2353" s="113" t="n"/>
      <c r="F2353" s="113" t="n"/>
      <c r="G2353" s="113" t="n"/>
      <c r="H2353" s="113" t="n"/>
      <c r="I2353" s="113" t="n"/>
      <c r="J2353" s="113" t="n"/>
      <c r="K2353" s="113" t="n"/>
      <c r="L2353" s="113" t="n"/>
      <c r="M2353" s="113" t="n"/>
      <c r="N2353" s="113" t="n"/>
      <c r="O2353" s="113" t="n"/>
      <c r="P2353" s="113" t="n"/>
      <c r="Q2353" s="113" t="n"/>
      <c r="R2353" s="113" t="n"/>
      <c r="S2353" s="113" t="n"/>
      <c r="T2353" s="113" t="n"/>
      <c r="U2353" s="113" t="n"/>
      <c r="V2353" s="113" t="n"/>
      <c r="W2353" s="113" t="n"/>
      <c r="X2353" s="113" t="n"/>
      <c r="Y2353" s="113" t="n"/>
      <c r="Z2353" s="117">
        <f>IF($B2353="",0,IF($S2353="EVET",IF($D2353="GELİR",$O2353,-$O2353),0))</f>
        <v/>
      </c>
      <c r="AA2353" s="117">
        <f>IF($B2353="",0,IF(OR($W2353="EVET",$X2353="EVET",$Y2353="EVET"),0,IF($D2353="GELİR",IF($E2353="SATIŞ İADESİ/İSKONTO",-$O2353,$O2353),-$O2353)))</f>
        <v/>
      </c>
      <c r="AB2353" s="117">
        <f>IF($B2353="","",IF(OR($D2353="",$E2353="",$O2353=""),"EKSİK",IF($O2353&lt;=0,"SIFIR/NEGATİF",IF(COUNTIFS($C$6:$C$5000,$C2353,$O$6:$O$5000,$O2353,$B$6:$B$5000,$B2353)&gt;1,"MÜKERRER","OK"))))</f>
        <v/>
      </c>
    </row>
    <row r="2354" ht="16.5" customHeight="1" s="80">
      <c r="A2354" s="113" t="n"/>
      <c r="B2354" s="113" t="n"/>
      <c r="C2354" s="113" t="n"/>
      <c r="D2354" s="113" t="n"/>
      <c r="E2354" s="113" t="n"/>
      <c r="F2354" s="113" t="n"/>
      <c r="G2354" s="113" t="n"/>
      <c r="H2354" s="113" t="n"/>
      <c r="I2354" s="113" t="n"/>
      <c r="J2354" s="113" t="n"/>
      <c r="K2354" s="113" t="n"/>
      <c r="L2354" s="113" t="n"/>
      <c r="M2354" s="113" t="n"/>
      <c r="N2354" s="113" t="n"/>
      <c r="O2354" s="113" t="n"/>
      <c r="P2354" s="113" t="n"/>
      <c r="Q2354" s="113" t="n"/>
      <c r="R2354" s="113" t="n"/>
      <c r="S2354" s="113" t="n"/>
      <c r="T2354" s="113" t="n"/>
      <c r="U2354" s="113" t="n"/>
      <c r="V2354" s="113" t="n"/>
      <c r="W2354" s="113" t="n"/>
      <c r="X2354" s="113" t="n"/>
      <c r="Y2354" s="113" t="n"/>
      <c r="Z2354" s="117">
        <f>IF($B2354="",0,IF($S2354="EVET",IF($D2354="GELİR",$O2354,-$O2354),0))</f>
        <v/>
      </c>
      <c r="AA2354" s="117">
        <f>IF($B2354="",0,IF(OR($W2354="EVET",$X2354="EVET",$Y2354="EVET"),0,IF($D2354="GELİR",IF($E2354="SATIŞ İADESİ/İSKONTO",-$O2354,$O2354),-$O2354)))</f>
        <v/>
      </c>
      <c r="AB2354" s="117">
        <f>IF($B2354="","",IF(OR($D2354="",$E2354="",$O2354=""),"EKSİK",IF($O2354&lt;=0,"SIFIR/NEGATİF",IF(COUNTIFS($C$6:$C$5000,$C2354,$O$6:$O$5000,$O2354,$B$6:$B$5000,$B2354)&gt;1,"MÜKERRER","OK"))))</f>
        <v/>
      </c>
    </row>
    <row r="2355" ht="16.5" customHeight="1" s="80">
      <c r="A2355" s="113" t="n"/>
      <c r="B2355" s="113" t="n"/>
      <c r="C2355" s="113" t="n"/>
      <c r="D2355" s="113" t="n"/>
      <c r="E2355" s="113" t="n"/>
      <c r="F2355" s="113" t="n"/>
      <c r="G2355" s="113" t="n"/>
      <c r="H2355" s="113" t="n"/>
      <c r="I2355" s="113" t="n"/>
      <c r="J2355" s="113" t="n"/>
      <c r="K2355" s="113" t="n"/>
      <c r="L2355" s="113" t="n"/>
      <c r="M2355" s="113" t="n"/>
      <c r="N2355" s="113" t="n"/>
      <c r="O2355" s="113" t="n"/>
      <c r="P2355" s="113" t="n"/>
      <c r="Q2355" s="113" t="n"/>
      <c r="R2355" s="113" t="n"/>
      <c r="S2355" s="113" t="n"/>
      <c r="T2355" s="113" t="n"/>
      <c r="U2355" s="113" t="n"/>
      <c r="V2355" s="113" t="n"/>
      <c r="W2355" s="113" t="n"/>
      <c r="X2355" s="113" t="n"/>
      <c r="Y2355" s="113" t="n"/>
      <c r="Z2355" s="117">
        <f>IF($B2355="",0,IF($S2355="EVET",IF($D2355="GELİR",$O2355,-$O2355),0))</f>
        <v/>
      </c>
      <c r="AA2355" s="117">
        <f>IF($B2355="",0,IF(OR($W2355="EVET",$X2355="EVET",$Y2355="EVET"),0,IF($D2355="GELİR",IF($E2355="SATIŞ İADESİ/İSKONTO",-$O2355,$O2355),-$O2355)))</f>
        <v/>
      </c>
      <c r="AB2355" s="117">
        <f>IF($B2355="","",IF(OR($D2355="",$E2355="",$O2355=""),"EKSİK",IF($O2355&lt;=0,"SIFIR/NEGATİF",IF(COUNTIFS($C$6:$C$5000,$C2355,$O$6:$O$5000,$O2355,$B$6:$B$5000,$B2355)&gt;1,"MÜKERRER","OK"))))</f>
        <v/>
      </c>
    </row>
    <row r="2356" ht="16.5" customHeight="1" s="80">
      <c r="A2356" s="113" t="n"/>
      <c r="B2356" s="113" t="n"/>
      <c r="C2356" s="113" t="n"/>
      <c r="D2356" s="113" t="n"/>
      <c r="E2356" s="113" t="n"/>
      <c r="F2356" s="113" t="n"/>
      <c r="G2356" s="113" t="n"/>
      <c r="H2356" s="113" t="n"/>
      <c r="I2356" s="113" t="n"/>
      <c r="J2356" s="113" t="n"/>
      <c r="K2356" s="113" t="n"/>
      <c r="L2356" s="113" t="n"/>
      <c r="M2356" s="113" t="n"/>
      <c r="N2356" s="113" t="n"/>
      <c r="O2356" s="113" t="n"/>
      <c r="P2356" s="113" t="n"/>
      <c r="Q2356" s="113" t="n"/>
      <c r="R2356" s="113" t="n"/>
      <c r="S2356" s="113" t="n"/>
      <c r="T2356" s="113" t="n"/>
      <c r="U2356" s="113" t="n"/>
      <c r="V2356" s="113" t="n"/>
      <c r="W2356" s="113" t="n"/>
      <c r="X2356" s="113" t="n"/>
      <c r="Y2356" s="113" t="n"/>
      <c r="Z2356" s="117">
        <f>IF($B2356="",0,IF($S2356="EVET",IF($D2356="GELİR",$O2356,-$O2356),0))</f>
        <v/>
      </c>
      <c r="AA2356" s="117">
        <f>IF($B2356="",0,IF(OR($W2356="EVET",$X2356="EVET",$Y2356="EVET"),0,IF($D2356="GELİR",IF($E2356="SATIŞ İADESİ/İSKONTO",-$O2356,$O2356),-$O2356)))</f>
        <v/>
      </c>
      <c r="AB2356" s="117">
        <f>IF($B2356="","",IF(OR($D2356="",$E2356="",$O2356=""),"EKSİK",IF($O2356&lt;=0,"SIFIR/NEGATİF",IF(COUNTIFS($C$6:$C$5000,$C2356,$O$6:$O$5000,$O2356,$B$6:$B$5000,$B2356)&gt;1,"MÜKERRER","OK"))))</f>
        <v/>
      </c>
    </row>
    <row r="2357" ht="16.5" customHeight="1" s="80">
      <c r="A2357" s="113" t="n"/>
      <c r="B2357" s="113" t="n"/>
      <c r="C2357" s="113" t="n"/>
      <c r="D2357" s="113" t="n"/>
      <c r="E2357" s="113" t="n"/>
      <c r="F2357" s="113" t="n"/>
      <c r="G2357" s="113" t="n"/>
      <c r="H2357" s="113" t="n"/>
      <c r="I2357" s="113" t="n"/>
      <c r="J2357" s="113" t="n"/>
      <c r="K2357" s="113" t="n"/>
      <c r="L2357" s="113" t="n"/>
      <c r="M2357" s="113" t="n"/>
      <c r="N2357" s="113" t="n"/>
      <c r="O2357" s="113" t="n"/>
      <c r="P2357" s="113" t="n"/>
      <c r="Q2357" s="113" t="n"/>
      <c r="R2357" s="113" t="n"/>
      <c r="S2357" s="113" t="n"/>
      <c r="T2357" s="113" t="n"/>
      <c r="U2357" s="113" t="n"/>
      <c r="V2357" s="113" t="n"/>
      <c r="W2357" s="113" t="n"/>
      <c r="X2357" s="113" t="n"/>
      <c r="Y2357" s="113" t="n"/>
      <c r="Z2357" s="117">
        <f>IF($B2357="",0,IF($S2357="EVET",IF($D2357="GELİR",$O2357,-$O2357),0))</f>
        <v/>
      </c>
      <c r="AA2357" s="117">
        <f>IF($B2357="",0,IF(OR($W2357="EVET",$X2357="EVET",$Y2357="EVET"),0,IF($D2357="GELİR",IF($E2357="SATIŞ İADESİ/İSKONTO",-$O2357,$O2357),-$O2357)))</f>
        <v/>
      </c>
      <c r="AB2357" s="117">
        <f>IF($B2357="","",IF(OR($D2357="",$E2357="",$O2357=""),"EKSİK",IF($O2357&lt;=0,"SIFIR/NEGATİF",IF(COUNTIFS($C$6:$C$5000,$C2357,$O$6:$O$5000,$O2357,$B$6:$B$5000,$B2357)&gt;1,"MÜKERRER","OK"))))</f>
        <v/>
      </c>
    </row>
    <row r="2358" ht="16.5" customHeight="1" s="80">
      <c r="A2358" s="113" t="n"/>
      <c r="B2358" s="113" t="n"/>
      <c r="C2358" s="113" t="n"/>
      <c r="D2358" s="113" t="n"/>
      <c r="E2358" s="113" t="n"/>
      <c r="F2358" s="113" t="n"/>
      <c r="G2358" s="113" t="n"/>
      <c r="H2358" s="113" t="n"/>
      <c r="I2358" s="113" t="n"/>
      <c r="J2358" s="113" t="n"/>
      <c r="K2358" s="113" t="n"/>
      <c r="L2358" s="113" t="n"/>
      <c r="M2358" s="113" t="n"/>
      <c r="N2358" s="113" t="n"/>
      <c r="O2358" s="113" t="n"/>
      <c r="P2358" s="113" t="n"/>
      <c r="Q2358" s="113" t="n"/>
      <c r="R2358" s="113" t="n"/>
      <c r="S2358" s="113" t="n"/>
      <c r="T2358" s="113" t="n"/>
      <c r="U2358" s="113" t="n"/>
      <c r="V2358" s="113" t="n"/>
      <c r="W2358" s="113" t="n"/>
      <c r="X2358" s="113" t="n"/>
      <c r="Y2358" s="113" t="n"/>
      <c r="Z2358" s="117">
        <f>IF($B2358="",0,IF($S2358="EVET",IF($D2358="GELİR",$O2358,-$O2358),0))</f>
        <v/>
      </c>
      <c r="AA2358" s="117">
        <f>IF($B2358="",0,IF(OR($W2358="EVET",$X2358="EVET",$Y2358="EVET"),0,IF($D2358="GELİR",IF($E2358="SATIŞ İADESİ/İSKONTO",-$O2358,$O2358),-$O2358)))</f>
        <v/>
      </c>
      <c r="AB2358" s="117">
        <f>IF($B2358="","",IF(OR($D2358="",$E2358="",$O2358=""),"EKSİK",IF($O2358&lt;=0,"SIFIR/NEGATİF",IF(COUNTIFS($C$6:$C$5000,$C2358,$O$6:$O$5000,$O2358,$B$6:$B$5000,$B2358)&gt;1,"MÜKERRER","OK"))))</f>
        <v/>
      </c>
    </row>
    <row r="2359" ht="16.5" customHeight="1" s="80">
      <c r="A2359" s="113" t="n"/>
      <c r="B2359" s="113" t="n"/>
      <c r="C2359" s="113" t="n"/>
      <c r="D2359" s="113" t="n"/>
      <c r="E2359" s="113" t="n"/>
      <c r="F2359" s="113" t="n"/>
      <c r="G2359" s="113" t="n"/>
      <c r="H2359" s="113" t="n"/>
      <c r="I2359" s="113" t="n"/>
      <c r="J2359" s="113" t="n"/>
      <c r="K2359" s="113" t="n"/>
      <c r="L2359" s="113" t="n"/>
      <c r="M2359" s="113" t="n"/>
      <c r="N2359" s="113" t="n"/>
      <c r="O2359" s="113" t="n"/>
      <c r="P2359" s="113" t="n"/>
      <c r="Q2359" s="113" t="n"/>
      <c r="R2359" s="113" t="n"/>
      <c r="S2359" s="113" t="n"/>
      <c r="T2359" s="113" t="n"/>
      <c r="U2359" s="113" t="n"/>
      <c r="V2359" s="113" t="n"/>
      <c r="W2359" s="113" t="n"/>
      <c r="X2359" s="113" t="n"/>
      <c r="Y2359" s="113" t="n"/>
      <c r="Z2359" s="117">
        <f>IF($B2359="",0,IF($S2359="EVET",IF($D2359="GELİR",$O2359,-$O2359),0))</f>
        <v/>
      </c>
      <c r="AA2359" s="117">
        <f>IF($B2359="",0,IF(OR($W2359="EVET",$X2359="EVET",$Y2359="EVET"),0,IF($D2359="GELİR",IF($E2359="SATIŞ İADESİ/İSKONTO",-$O2359,$O2359),-$O2359)))</f>
        <v/>
      </c>
      <c r="AB2359" s="117">
        <f>IF($B2359="","",IF(OR($D2359="",$E2359="",$O2359=""),"EKSİK",IF($O2359&lt;=0,"SIFIR/NEGATİF",IF(COUNTIFS($C$6:$C$5000,$C2359,$O$6:$O$5000,$O2359,$B$6:$B$5000,$B2359)&gt;1,"MÜKERRER","OK"))))</f>
        <v/>
      </c>
    </row>
    <row r="2360" ht="16.5" customHeight="1" s="80">
      <c r="A2360" s="113" t="n"/>
      <c r="B2360" s="113" t="n"/>
      <c r="C2360" s="113" t="n"/>
      <c r="D2360" s="113" t="n"/>
      <c r="E2360" s="113" t="n"/>
      <c r="F2360" s="113" t="n"/>
      <c r="G2360" s="113" t="n"/>
      <c r="H2360" s="113" t="n"/>
      <c r="I2360" s="113" t="n"/>
      <c r="J2360" s="113" t="n"/>
      <c r="K2360" s="113" t="n"/>
      <c r="L2360" s="113" t="n"/>
      <c r="M2360" s="113" t="n"/>
      <c r="N2360" s="113" t="n"/>
      <c r="O2360" s="113" t="n"/>
      <c r="P2360" s="113" t="n"/>
      <c r="Q2360" s="113" t="n"/>
      <c r="R2360" s="113" t="n"/>
      <c r="S2360" s="113" t="n"/>
      <c r="T2360" s="113" t="n"/>
      <c r="U2360" s="113" t="n"/>
      <c r="V2360" s="113" t="n"/>
      <c r="W2360" s="113" t="n"/>
      <c r="X2360" s="113" t="n"/>
      <c r="Y2360" s="113" t="n"/>
      <c r="Z2360" s="117">
        <f>IF($B2360="",0,IF($S2360="EVET",IF($D2360="GELİR",$O2360,-$O2360),0))</f>
        <v/>
      </c>
      <c r="AA2360" s="117">
        <f>IF($B2360="",0,IF(OR($W2360="EVET",$X2360="EVET",$Y2360="EVET"),0,IF($D2360="GELİR",IF($E2360="SATIŞ İADESİ/İSKONTO",-$O2360,$O2360),-$O2360)))</f>
        <v/>
      </c>
      <c r="AB2360" s="117">
        <f>IF($B2360="","",IF(OR($D2360="",$E2360="",$O2360=""),"EKSİK",IF($O2360&lt;=0,"SIFIR/NEGATİF",IF(COUNTIFS($C$6:$C$5000,$C2360,$O$6:$O$5000,$O2360,$B$6:$B$5000,$B2360)&gt;1,"MÜKERRER","OK"))))</f>
        <v/>
      </c>
    </row>
    <row r="2361" ht="16.5" customHeight="1" s="80">
      <c r="A2361" s="113" t="n"/>
      <c r="B2361" s="113" t="n"/>
      <c r="C2361" s="113" t="n"/>
      <c r="D2361" s="113" t="n"/>
      <c r="E2361" s="113" t="n"/>
      <c r="F2361" s="113" t="n"/>
      <c r="G2361" s="113" t="n"/>
      <c r="H2361" s="113" t="n"/>
      <c r="I2361" s="113" t="n"/>
      <c r="J2361" s="113" t="n"/>
      <c r="K2361" s="113" t="n"/>
      <c r="L2361" s="113" t="n"/>
      <c r="M2361" s="113" t="n"/>
      <c r="N2361" s="113" t="n"/>
      <c r="O2361" s="113" t="n"/>
      <c r="P2361" s="113" t="n"/>
      <c r="Q2361" s="113" t="n"/>
      <c r="R2361" s="113" t="n"/>
      <c r="S2361" s="113" t="n"/>
      <c r="T2361" s="113" t="n"/>
      <c r="U2361" s="113" t="n"/>
      <c r="V2361" s="113" t="n"/>
      <c r="W2361" s="113" t="n"/>
      <c r="X2361" s="113" t="n"/>
      <c r="Y2361" s="113" t="n"/>
      <c r="Z2361" s="117">
        <f>IF($B2361="",0,IF($S2361="EVET",IF($D2361="GELİR",$O2361,-$O2361),0))</f>
        <v/>
      </c>
      <c r="AA2361" s="117">
        <f>IF($B2361="",0,IF(OR($W2361="EVET",$X2361="EVET",$Y2361="EVET"),0,IF($D2361="GELİR",IF($E2361="SATIŞ İADESİ/İSKONTO",-$O2361,$O2361),-$O2361)))</f>
        <v/>
      </c>
      <c r="AB2361" s="117">
        <f>IF($B2361="","",IF(OR($D2361="",$E2361="",$O2361=""),"EKSİK",IF($O2361&lt;=0,"SIFIR/NEGATİF",IF(COUNTIFS($C$6:$C$5000,$C2361,$O$6:$O$5000,$O2361,$B$6:$B$5000,$B2361)&gt;1,"MÜKERRER","OK"))))</f>
        <v/>
      </c>
    </row>
    <row r="2362" ht="16.5" customHeight="1" s="80">
      <c r="A2362" s="113" t="n"/>
      <c r="B2362" s="113" t="n"/>
      <c r="C2362" s="113" t="n"/>
      <c r="D2362" s="113" t="n"/>
      <c r="E2362" s="113" t="n"/>
      <c r="F2362" s="113" t="n"/>
      <c r="G2362" s="113" t="n"/>
      <c r="H2362" s="113" t="n"/>
      <c r="I2362" s="113" t="n"/>
      <c r="J2362" s="113" t="n"/>
      <c r="K2362" s="113" t="n"/>
      <c r="L2362" s="113" t="n"/>
      <c r="M2362" s="113" t="n"/>
      <c r="N2362" s="113" t="n"/>
      <c r="O2362" s="113" t="n"/>
      <c r="P2362" s="113" t="n"/>
      <c r="Q2362" s="113" t="n"/>
      <c r="R2362" s="113" t="n"/>
      <c r="S2362" s="113" t="n"/>
      <c r="T2362" s="113" t="n"/>
      <c r="U2362" s="113" t="n"/>
      <c r="V2362" s="113" t="n"/>
      <c r="W2362" s="113" t="n"/>
      <c r="X2362" s="113" t="n"/>
      <c r="Y2362" s="113" t="n"/>
      <c r="Z2362" s="117">
        <f>IF($B2362="",0,IF($S2362="EVET",IF($D2362="GELİR",$O2362,-$O2362),0))</f>
        <v/>
      </c>
      <c r="AA2362" s="117">
        <f>IF($B2362="",0,IF(OR($W2362="EVET",$X2362="EVET",$Y2362="EVET"),0,IF($D2362="GELİR",IF($E2362="SATIŞ İADESİ/İSKONTO",-$O2362,$O2362),-$O2362)))</f>
        <v/>
      </c>
      <c r="AB2362" s="117">
        <f>IF($B2362="","",IF(OR($D2362="",$E2362="",$O2362=""),"EKSİK",IF($O2362&lt;=0,"SIFIR/NEGATİF",IF(COUNTIFS($C$6:$C$5000,$C2362,$O$6:$O$5000,$O2362,$B$6:$B$5000,$B2362)&gt;1,"MÜKERRER","OK"))))</f>
        <v/>
      </c>
    </row>
    <row r="2363" ht="16.5" customHeight="1" s="80">
      <c r="A2363" s="113" t="n"/>
      <c r="B2363" s="113" t="n"/>
      <c r="C2363" s="113" t="n"/>
      <c r="D2363" s="113" t="n"/>
      <c r="E2363" s="113" t="n"/>
      <c r="F2363" s="113" t="n"/>
      <c r="G2363" s="113" t="n"/>
      <c r="H2363" s="113" t="n"/>
      <c r="I2363" s="113" t="n"/>
      <c r="J2363" s="113" t="n"/>
      <c r="K2363" s="113" t="n"/>
      <c r="L2363" s="113" t="n"/>
      <c r="M2363" s="113" t="n"/>
      <c r="N2363" s="113" t="n"/>
      <c r="O2363" s="113" t="n"/>
      <c r="P2363" s="113" t="n"/>
      <c r="Q2363" s="113" t="n"/>
      <c r="R2363" s="113" t="n"/>
      <c r="S2363" s="113" t="n"/>
      <c r="T2363" s="113" t="n"/>
      <c r="U2363" s="113" t="n"/>
      <c r="V2363" s="113" t="n"/>
      <c r="W2363" s="113" t="n"/>
      <c r="X2363" s="113" t="n"/>
      <c r="Y2363" s="113" t="n"/>
      <c r="Z2363" s="117">
        <f>IF($B2363="",0,IF($S2363="EVET",IF($D2363="GELİR",$O2363,-$O2363),0))</f>
        <v/>
      </c>
      <c r="AA2363" s="117">
        <f>IF($B2363="",0,IF(OR($W2363="EVET",$X2363="EVET",$Y2363="EVET"),0,IF($D2363="GELİR",IF($E2363="SATIŞ İADESİ/İSKONTO",-$O2363,$O2363),-$O2363)))</f>
        <v/>
      </c>
      <c r="AB2363" s="117">
        <f>IF($B2363="","",IF(OR($D2363="",$E2363="",$O2363=""),"EKSİK",IF($O2363&lt;=0,"SIFIR/NEGATİF",IF(COUNTIFS($C$6:$C$5000,$C2363,$O$6:$O$5000,$O2363,$B$6:$B$5000,$B2363)&gt;1,"MÜKERRER","OK"))))</f>
        <v/>
      </c>
    </row>
    <row r="2364" ht="16.5" customHeight="1" s="80">
      <c r="A2364" s="113" t="n"/>
      <c r="B2364" s="113" t="n"/>
      <c r="C2364" s="113" t="n"/>
      <c r="D2364" s="113" t="n"/>
      <c r="E2364" s="113" t="n"/>
      <c r="F2364" s="113" t="n"/>
      <c r="G2364" s="113" t="n"/>
      <c r="H2364" s="113" t="n"/>
      <c r="I2364" s="113" t="n"/>
      <c r="J2364" s="113" t="n"/>
      <c r="K2364" s="113" t="n"/>
      <c r="L2364" s="113" t="n"/>
      <c r="M2364" s="113" t="n"/>
      <c r="N2364" s="113" t="n"/>
      <c r="O2364" s="113" t="n"/>
      <c r="P2364" s="113" t="n"/>
      <c r="Q2364" s="113" t="n"/>
      <c r="R2364" s="113" t="n"/>
      <c r="S2364" s="113" t="n"/>
      <c r="T2364" s="113" t="n"/>
      <c r="U2364" s="113" t="n"/>
      <c r="V2364" s="113" t="n"/>
      <c r="W2364" s="113" t="n"/>
      <c r="X2364" s="113" t="n"/>
      <c r="Y2364" s="113" t="n"/>
      <c r="Z2364" s="117">
        <f>IF($B2364="",0,IF($S2364="EVET",IF($D2364="GELİR",$O2364,-$O2364),0))</f>
        <v/>
      </c>
      <c r="AA2364" s="117">
        <f>IF($B2364="",0,IF(OR($W2364="EVET",$X2364="EVET",$Y2364="EVET"),0,IF($D2364="GELİR",IF($E2364="SATIŞ İADESİ/İSKONTO",-$O2364,$O2364),-$O2364)))</f>
        <v/>
      </c>
      <c r="AB2364" s="117">
        <f>IF($B2364="","",IF(OR($D2364="",$E2364="",$O2364=""),"EKSİK",IF($O2364&lt;=0,"SIFIR/NEGATİF",IF(COUNTIFS($C$6:$C$5000,$C2364,$O$6:$O$5000,$O2364,$B$6:$B$5000,$B2364)&gt;1,"MÜKERRER","OK"))))</f>
        <v/>
      </c>
    </row>
    <row r="2365" ht="16.5" customHeight="1" s="80">
      <c r="A2365" s="113" t="n"/>
      <c r="B2365" s="113" t="n"/>
      <c r="C2365" s="113" t="n"/>
      <c r="D2365" s="113" t="n"/>
      <c r="E2365" s="113" t="n"/>
      <c r="F2365" s="113" t="n"/>
      <c r="G2365" s="113" t="n"/>
      <c r="H2365" s="113" t="n"/>
      <c r="I2365" s="113" t="n"/>
      <c r="J2365" s="113" t="n"/>
      <c r="K2365" s="113" t="n"/>
      <c r="L2365" s="113" t="n"/>
      <c r="M2365" s="113" t="n"/>
      <c r="N2365" s="113" t="n"/>
      <c r="O2365" s="113" t="n"/>
      <c r="P2365" s="113" t="n"/>
      <c r="Q2365" s="113" t="n"/>
      <c r="R2365" s="113" t="n"/>
      <c r="S2365" s="113" t="n"/>
      <c r="T2365" s="113" t="n"/>
      <c r="U2365" s="113" t="n"/>
      <c r="V2365" s="113" t="n"/>
      <c r="W2365" s="113" t="n"/>
      <c r="X2365" s="113" t="n"/>
      <c r="Y2365" s="113" t="n"/>
      <c r="Z2365" s="117">
        <f>IF($B2365="",0,IF($S2365="EVET",IF($D2365="GELİR",$O2365,-$O2365),0))</f>
        <v/>
      </c>
      <c r="AA2365" s="117">
        <f>IF($B2365="",0,IF(OR($W2365="EVET",$X2365="EVET",$Y2365="EVET"),0,IF($D2365="GELİR",IF($E2365="SATIŞ İADESİ/İSKONTO",-$O2365,$O2365),-$O2365)))</f>
        <v/>
      </c>
      <c r="AB2365" s="117">
        <f>IF($B2365="","",IF(OR($D2365="",$E2365="",$O2365=""),"EKSİK",IF($O2365&lt;=0,"SIFIR/NEGATİF",IF(COUNTIFS($C$6:$C$5000,$C2365,$O$6:$O$5000,$O2365,$B$6:$B$5000,$B2365)&gt;1,"MÜKERRER","OK"))))</f>
        <v/>
      </c>
    </row>
    <row r="2366" ht="16.5" customHeight="1" s="80">
      <c r="A2366" s="113" t="n"/>
      <c r="B2366" s="113" t="n"/>
      <c r="C2366" s="113" t="n"/>
      <c r="D2366" s="113" t="n"/>
      <c r="E2366" s="113" t="n"/>
      <c r="F2366" s="113" t="n"/>
      <c r="G2366" s="113" t="n"/>
      <c r="H2366" s="113" t="n"/>
      <c r="I2366" s="113" t="n"/>
      <c r="J2366" s="113" t="n"/>
      <c r="K2366" s="113" t="n"/>
      <c r="L2366" s="113" t="n"/>
      <c r="M2366" s="113" t="n"/>
      <c r="N2366" s="113" t="n"/>
      <c r="O2366" s="113" t="n"/>
      <c r="P2366" s="113" t="n"/>
      <c r="Q2366" s="113" t="n"/>
      <c r="R2366" s="113" t="n"/>
      <c r="S2366" s="113" t="n"/>
      <c r="T2366" s="113" t="n"/>
      <c r="U2366" s="113" t="n"/>
      <c r="V2366" s="113" t="n"/>
      <c r="W2366" s="113" t="n"/>
      <c r="X2366" s="113" t="n"/>
      <c r="Y2366" s="113" t="n"/>
      <c r="Z2366" s="117">
        <f>IF($B2366="",0,IF($S2366="EVET",IF($D2366="GELİR",$O2366,-$O2366),0))</f>
        <v/>
      </c>
      <c r="AA2366" s="117">
        <f>IF($B2366="",0,IF(OR($W2366="EVET",$X2366="EVET",$Y2366="EVET"),0,IF($D2366="GELİR",IF($E2366="SATIŞ İADESİ/İSKONTO",-$O2366,$O2366),-$O2366)))</f>
        <v/>
      </c>
      <c r="AB2366" s="117">
        <f>IF($B2366="","",IF(OR($D2366="",$E2366="",$O2366=""),"EKSİK",IF($O2366&lt;=0,"SIFIR/NEGATİF",IF(COUNTIFS($C$6:$C$5000,$C2366,$O$6:$O$5000,$O2366,$B$6:$B$5000,$B2366)&gt;1,"MÜKERRER","OK"))))</f>
        <v/>
      </c>
    </row>
    <row r="2367" ht="16.5" customHeight="1" s="80">
      <c r="A2367" s="113" t="n"/>
      <c r="B2367" s="113" t="n"/>
      <c r="C2367" s="113" t="n"/>
      <c r="D2367" s="113" t="n"/>
      <c r="E2367" s="113" t="n"/>
      <c r="F2367" s="113" t="n"/>
      <c r="G2367" s="113" t="n"/>
      <c r="H2367" s="113" t="n"/>
      <c r="I2367" s="113" t="n"/>
      <c r="J2367" s="113" t="n"/>
      <c r="K2367" s="113" t="n"/>
      <c r="L2367" s="113" t="n"/>
      <c r="M2367" s="113" t="n"/>
      <c r="N2367" s="113" t="n"/>
      <c r="O2367" s="113" t="n"/>
      <c r="P2367" s="113" t="n"/>
      <c r="Q2367" s="113" t="n"/>
      <c r="R2367" s="113" t="n"/>
      <c r="S2367" s="113" t="n"/>
      <c r="T2367" s="113" t="n"/>
      <c r="U2367" s="113" t="n"/>
      <c r="V2367" s="113" t="n"/>
      <c r="W2367" s="113" t="n"/>
      <c r="X2367" s="113" t="n"/>
      <c r="Y2367" s="113" t="n"/>
      <c r="Z2367" s="117">
        <f>IF($B2367="",0,IF($S2367="EVET",IF($D2367="GELİR",$O2367,-$O2367),0))</f>
        <v/>
      </c>
      <c r="AA2367" s="117">
        <f>IF($B2367="",0,IF(OR($W2367="EVET",$X2367="EVET",$Y2367="EVET"),0,IF($D2367="GELİR",IF($E2367="SATIŞ İADESİ/İSKONTO",-$O2367,$O2367),-$O2367)))</f>
        <v/>
      </c>
      <c r="AB2367" s="117">
        <f>IF($B2367="","",IF(OR($D2367="",$E2367="",$O2367=""),"EKSİK",IF($O2367&lt;=0,"SIFIR/NEGATİF",IF(COUNTIFS($C$6:$C$5000,$C2367,$O$6:$O$5000,$O2367,$B$6:$B$5000,$B2367)&gt;1,"MÜKERRER","OK"))))</f>
        <v/>
      </c>
    </row>
    <row r="2368" ht="16.5" customHeight="1" s="80">
      <c r="A2368" s="113" t="n"/>
      <c r="B2368" s="113" t="n"/>
      <c r="C2368" s="113" t="n"/>
      <c r="D2368" s="113" t="n"/>
      <c r="E2368" s="113" t="n"/>
      <c r="F2368" s="113" t="n"/>
      <c r="G2368" s="113" t="n"/>
      <c r="H2368" s="113" t="n"/>
      <c r="I2368" s="113" t="n"/>
      <c r="J2368" s="113" t="n"/>
      <c r="K2368" s="113" t="n"/>
      <c r="L2368" s="113" t="n"/>
      <c r="M2368" s="113" t="n"/>
      <c r="N2368" s="113" t="n"/>
      <c r="O2368" s="113" t="n"/>
      <c r="P2368" s="113" t="n"/>
      <c r="Q2368" s="113" t="n"/>
      <c r="R2368" s="113" t="n"/>
      <c r="S2368" s="113" t="n"/>
      <c r="T2368" s="113" t="n"/>
      <c r="U2368" s="113" t="n"/>
      <c r="V2368" s="113" t="n"/>
      <c r="W2368" s="113" t="n"/>
      <c r="X2368" s="113" t="n"/>
      <c r="Y2368" s="113" t="n"/>
      <c r="Z2368" s="117">
        <f>IF($B2368="",0,IF($S2368="EVET",IF($D2368="GELİR",$O2368,-$O2368),0))</f>
        <v/>
      </c>
      <c r="AA2368" s="117">
        <f>IF($B2368="",0,IF(OR($W2368="EVET",$X2368="EVET",$Y2368="EVET"),0,IF($D2368="GELİR",IF($E2368="SATIŞ İADESİ/İSKONTO",-$O2368,$O2368),-$O2368)))</f>
        <v/>
      </c>
      <c r="AB2368" s="117">
        <f>IF($B2368="","",IF(OR($D2368="",$E2368="",$O2368=""),"EKSİK",IF($O2368&lt;=0,"SIFIR/NEGATİF",IF(COUNTIFS($C$6:$C$5000,$C2368,$O$6:$O$5000,$O2368,$B$6:$B$5000,$B2368)&gt;1,"MÜKERRER","OK"))))</f>
        <v/>
      </c>
    </row>
    <row r="2369" ht="16.5" customHeight="1" s="80">
      <c r="A2369" s="113" t="n"/>
      <c r="B2369" s="113" t="n"/>
      <c r="C2369" s="113" t="n"/>
      <c r="D2369" s="113" t="n"/>
      <c r="E2369" s="113" t="n"/>
      <c r="F2369" s="113" t="n"/>
      <c r="G2369" s="113" t="n"/>
      <c r="H2369" s="113" t="n"/>
      <c r="I2369" s="113" t="n"/>
      <c r="J2369" s="113" t="n"/>
      <c r="K2369" s="113" t="n"/>
      <c r="L2369" s="113" t="n"/>
      <c r="M2369" s="113" t="n"/>
      <c r="N2369" s="113" t="n"/>
      <c r="O2369" s="113" t="n"/>
      <c r="P2369" s="113" t="n"/>
      <c r="Q2369" s="113" t="n"/>
      <c r="R2369" s="113" t="n"/>
      <c r="S2369" s="113" t="n"/>
      <c r="T2369" s="113" t="n"/>
      <c r="U2369" s="113" t="n"/>
      <c r="V2369" s="113" t="n"/>
      <c r="W2369" s="113" t="n"/>
      <c r="X2369" s="113" t="n"/>
      <c r="Y2369" s="113" t="n"/>
      <c r="Z2369" s="117">
        <f>IF($B2369="",0,IF($S2369="EVET",IF($D2369="GELİR",$O2369,-$O2369),0))</f>
        <v/>
      </c>
      <c r="AA2369" s="117">
        <f>IF($B2369="",0,IF(OR($W2369="EVET",$X2369="EVET",$Y2369="EVET"),0,IF($D2369="GELİR",IF($E2369="SATIŞ İADESİ/İSKONTO",-$O2369,$O2369),-$O2369)))</f>
        <v/>
      </c>
      <c r="AB2369" s="117">
        <f>IF($B2369="","",IF(OR($D2369="",$E2369="",$O2369=""),"EKSİK",IF($O2369&lt;=0,"SIFIR/NEGATİF",IF(COUNTIFS($C$6:$C$5000,$C2369,$O$6:$O$5000,$O2369,$B$6:$B$5000,$B2369)&gt;1,"MÜKERRER","OK"))))</f>
        <v/>
      </c>
    </row>
    <row r="2370" ht="16.5" customHeight="1" s="80">
      <c r="A2370" s="113" t="n"/>
      <c r="B2370" s="113" t="n"/>
      <c r="C2370" s="113" t="n"/>
      <c r="D2370" s="113" t="n"/>
      <c r="E2370" s="113" t="n"/>
      <c r="F2370" s="113" t="n"/>
      <c r="G2370" s="113" t="n"/>
      <c r="H2370" s="113" t="n"/>
      <c r="I2370" s="113" t="n"/>
      <c r="J2370" s="113" t="n"/>
      <c r="K2370" s="113" t="n"/>
      <c r="L2370" s="113" t="n"/>
      <c r="M2370" s="113" t="n"/>
      <c r="N2370" s="113" t="n"/>
      <c r="O2370" s="113" t="n"/>
      <c r="P2370" s="113" t="n"/>
      <c r="Q2370" s="113" t="n"/>
      <c r="R2370" s="113" t="n"/>
      <c r="S2370" s="113" t="n"/>
      <c r="T2370" s="113" t="n"/>
      <c r="U2370" s="113" t="n"/>
      <c r="V2370" s="113" t="n"/>
      <c r="W2370" s="113" t="n"/>
      <c r="X2370" s="113" t="n"/>
      <c r="Y2370" s="113" t="n"/>
      <c r="Z2370" s="117">
        <f>IF($B2370="",0,IF($S2370="EVET",IF($D2370="GELİR",$O2370,-$O2370),0))</f>
        <v/>
      </c>
      <c r="AA2370" s="117">
        <f>IF($B2370="",0,IF(OR($W2370="EVET",$X2370="EVET",$Y2370="EVET"),0,IF($D2370="GELİR",IF($E2370="SATIŞ İADESİ/İSKONTO",-$O2370,$O2370),-$O2370)))</f>
        <v/>
      </c>
      <c r="AB2370" s="117">
        <f>IF($B2370="","",IF(OR($D2370="",$E2370="",$O2370=""),"EKSİK",IF($O2370&lt;=0,"SIFIR/NEGATİF",IF(COUNTIFS($C$6:$C$5000,$C2370,$O$6:$O$5000,$O2370,$B$6:$B$5000,$B2370)&gt;1,"MÜKERRER","OK"))))</f>
        <v/>
      </c>
    </row>
    <row r="2371" ht="16.5" customHeight="1" s="80">
      <c r="A2371" s="113" t="n"/>
      <c r="B2371" s="113" t="n"/>
      <c r="C2371" s="113" t="n"/>
      <c r="D2371" s="113" t="n"/>
      <c r="E2371" s="113" t="n"/>
      <c r="F2371" s="113" t="n"/>
      <c r="G2371" s="113" t="n"/>
      <c r="H2371" s="113" t="n"/>
      <c r="I2371" s="113" t="n"/>
      <c r="J2371" s="113" t="n"/>
      <c r="K2371" s="113" t="n"/>
      <c r="L2371" s="113" t="n"/>
      <c r="M2371" s="113" t="n"/>
      <c r="N2371" s="113" t="n"/>
      <c r="O2371" s="113" t="n"/>
      <c r="P2371" s="113" t="n"/>
      <c r="Q2371" s="113" t="n"/>
      <c r="R2371" s="113" t="n"/>
      <c r="S2371" s="113" t="n"/>
      <c r="T2371" s="113" t="n"/>
      <c r="U2371" s="113" t="n"/>
      <c r="V2371" s="113" t="n"/>
      <c r="W2371" s="113" t="n"/>
      <c r="X2371" s="113" t="n"/>
      <c r="Y2371" s="113" t="n"/>
      <c r="Z2371" s="117">
        <f>IF($B2371="",0,IF($S2371="EVET",IF($D2371="GELİR",$O2371,-$O2371),0))</f>
        <v/>
      </c>
      <c r="AA2371" s="117">
        <f>IF($B2371="",0,IF(OR($W2371="EVET",$X2371="EVET",$Y2371="EVET"),0,IF($D2371="GELİR",IF($E2371="SATIŞ İADESİ/İSKONTO",-$O2371,$O2371),-$O2371)))</f>
        <v/>
      </c>
      <c r="AB2371" s="117">
        <f>IF($B2371="","",IF(OR($D2371="",$E2371="",$O2371=""),"EKSİK",IF($O2371&lt;=0,"SIFIR/NEGATİF",IF(COUNTIFS($C$6:$C$5000,$C2371,$O$6:$O$5000,$O2371,$B$6:$B$5000,$B2371)&gt;1,"MÜKERRER","OK"))))</f>
        <v/>
      </c>
    </row>
    <row r="2372" ht="16.5" customHeight="1" s="80">
      <c r="A2372" s="113" t="n"/>
      <c r="B2372" s="113" t="n"/>
      <c r="C2372" s="113" t="n"/>
      <c r="D2372" s="113" t="n"/>
      <c r="E2372" s="113" t="n"/>
      <c r="F2372" s="113" t="n"/>
      <c r="G2372" s="113" t="n"/>
      <c r="H2372" s="113" t="n"/>
      <c r="I2372" s="113" t="n"/>
      <c r="J2372" s="113" t="n"/>
      <c r="K2372" s="113" t="n"/>
      <c r="L2372" s="113" t="n"/>
      <c r="M2372" s="113" t="n"/>
      <c r="N2372" s="113" t="n"/>
      <c r="O2372" s="113" t="n"/>
      <c r="P2372" s="113" t="n"/>
      <c r="Q2372" s="113" t="n"/>
      <c r="R2372" s="113" t="n"/>
      <c r="S2372" s="113" t="n"/>
      <c r="T2372" s="113" t="n"/>
      <c r="U2372" s="113" t="n"/>
      <c r="V2372" s="113" t="n"/>
      <c r="W2372" s="113" t="n"/>
      <c r="X2372" s="113" t="n"/>
      <c r="Y2372" s="113" t="n"/>
      <c r="Z2372" s="117">
        <f>IF($B2372="",0,IF($S2372="EVET",IF($D2372="GELİR",$O2372,-$O2372),0))</f>
        <v/>
      </c>
      <c r="AA2372" s="117">
        <f>IF($B2372="",0,IF(OR($W2372="EVET",$X2372="EVET",$Y2372="EVET"),0,IF($D2372="GELİR",IF($E2372="SATIŞ İADESİ/İSKONTO",-$O2372,$O2372),-$O2372)))</f>
        <v/>
      </c>
      <c r="AB2372" s="117">
        <f>IF($B2372="","",IF(OR($D2372="",$E2372="",$O2372=""),"EKSİK",IF($O2372&lt;=0,"SIFIR/NEGATİF",IF(COUNTIFS($C$6:$C$5000,$C2372,$O$6:$O$5000,$O2372,$B$6:$B$5000,$B2372)&gt;1,"MÜKERRER","OK"))))</f>
        <v/>
      </c>
    </row>
    <row r="2373" ht="16.5" customHeight="1" s="80">
      <c r="A2373" s="113" t="n"/>
      <c r="B2373" s="113" t="n"/>
      <c r="C2373" s="113" t="n"/>
      <c r="D2373" s="113" t="n"/>
      <c r="E2373" s="113" t="n"/>
      <c r="F2373" s="113" t="n"/>
      <c r="G2373" s="113" t="n"/>
      <c r="H2373" s="113" t="n"/>
      <c r="I2373" s="113" t="n"/>
      <c r="J2373" s="113" t="n"/>
      <c r="K2373" s="113" t="n"/>
      <c r="L2373" s="113" t="n"/>
      <c r="M2373" s="113" t="n"/>
      <c r="N2373" s="113" t="n"/>
      <c r="O2373" s="113" t="n"/>
      <c r="P2373" s="113" t="n"/>
      <c r="Q2373" s="113" t="n"/>
      <c r="R2373" s="113" t="n"/>
      <c r="S2373" s="113" t="n"/>
      <c r="T2373" s="113" t="n"/>
      <c r="U2373" s="113" t="n"/>
      <c r="V2373" s="113" t="n"/>
      <c r="W2373" s="113" t="n"/>
      <c r="X2373" s="113" t="n"/>
      <c r="Y2373" s="113" t="n"/>
      <c r="Z2373" s="117">
        <f>IF($B2373="",0,IF($S2373="EVET",IF($D2373="GELİR",$O2373,-$O2373),0))</f>
        <v/>
      </c>
      <c r="AA2373" s="117">
        <f>IF($B2373="",0,IF(OR($W2373="EVET",$X2373="EVET",$Y2373="EVET"),0,IF($D2373="GELİR",IF($E2373="SATIŞ İADESİ/İSKONTO",-$O2373,$O2373),-$O2373)))</f>
        <v/>
      </c>
      <c r="AB2373" s="117">
        <f>IF($B2373="","",IF(OR($D2373="",$E2373="",$O2373=""),"EKSİK",IF($O2373&lt;=0,"SIFIR/NEGATİF",IF(COUNTIFS($C$6:$C$5000,$C2373,$O$6:$O$5000,$O2373,$B$6:$B$5000,$B2373)&gt;1,"MÜKERRER","OK"))))</f>
        <v/>
      </c>
    </row>
    <row r="2374" ht="16.5" customHeight="1" s="80">
      <c r="A2374" s="113" t="n"/>
      <c r="B2374" s="113" t="n"/>
      <c r="C2374" s="113" t="n"/>
      <c r="D2374" s="113" t="n"/>
      <c r="E2374" s="113" t="n"/>
      <c r="F2374" s="113" t="n"/>
      <c r="G2374" s="113" t="n"/>
      <c r="H2374" s="113" t="n"/>
      <c r="I2374" s="113" t="n"/>
      <c r="J2374" s="113" t="n"/>
      <c r="K2374" s="113" t="n"/>
      <c r="L2374" s="113" t="n"/>
      <c r="M2374" s="113" t="n"/>
      <c r="N2374" s="113" t="n"/>
      <c r="O2374" s="113" t="n"/>
      <c r="P2374" s="113" t="n"/>
      <c r="Q2374" s="113" t="n"/>
      <c r="R2374" s="113" t="n"/>
      <c r="S2374" s="113" t="n"/>
      <c r="T2374" s="113" t="n"/>
      <c r="U2374" s="113" t="n"/>
      <c r="V2374" s="113" t="n"/>
      <c r="W2374" s="113" t="n"/>
      <c r="X2374" s="113" t="n"/>
      <c r="Y2374" s="113" t="n"/>
      <c r="Z2374" s="117">
        <f>IF($B2374="",0,IF($S2374="EVET",IF($D2374="GELİR",$O2374,-$O2374),0))</f>
        <v/>
      </c>
      <c r="AA2374" s="117">
        <f>IF($B2374="",0,IF(OR($W2374="EVET",$X2374="EVET",$Y2374="EVET"),0,IF($D2374="GELİR",IF($E2374="SATIŞ İADESİ/İSKONTO",-$O2374,$O2374),-$O2374)))</f>
        <v/>
      </c>
      <c r="AB2374" s="117">
        <f>IF($B2374="","",IF(OR($D2374="",$E2374="",$O2374=""),"EKSİK",IF($O2374&lt;=0,"SIFIR/NEGATİF",IF(COUNTIFS($C$6:$C$5000,$C2374,$O$6:$O$5000,$O2374,$B$6:$B$5000,$B2374)&gt;1,"MÜKERRER","OK"))))</f>
        <v/>
      </c>
    </row>
    <row r="2375" ht="16.5" customHeight="1" s="80">
      <c r="A2375" s="113" t="n"/>
      <c r="B2375" s="113" t="n"/>
      <c r="C2375" s="113" t="n"/>
      <c r="D2375" s="113" t="n"/>
      <c r="E2375" s="113" t="n"/>
      <c r="F2375" s="113" t="n"/>
      <c r="G2375" s="113" t="n"/>
      <c r="H2375" s="113" t="n"/>
      <c r="I2375" s="113" t="n"/>
      <c r="J2375" s="113" t="n"/>
      <c r="K2375" s="113" t="n"/>
      <c r="L2375" s="113" t="n"/>
      <c r="M2375" s="113" t="n"/>
      <c r="N2375" s="113" t="n"/>
      <c r="O2375" s="113" t="n"/>
      <c r="P2375" s="113" t="n"/>
      <c r="Q2375" s="113" t="n"/>
      <c r="R2375" s="113" t="n"/>
      <c r="S2375" s="113" t="n"/>
      <c r="T2375" s="113" t="n"/>
      <c r="U2375" s="113" t="n"/>
      <c r="V2375" s="113" t="n"/>
      <c r="W2375" s="113" t="n"/>
      <c r="X2375" s="113" t="n"/>
      <c r="Y2375" s="113" t="n"/>
      <c r="Z2375" s="117">
        <f>IF($B2375="",0,IF($S2375="EVET",IF($D2375="GELİR",$O2375,-$O2375),0))</f>
        <v/>
      </c>
      <c r="AA2375" s="117">
        <f>IF($B2375="",0,IF(OR($W2375="EVET",$X2375="EVET",$Y2375="EVET"),0,IF($D2375="GELİR",IF($E2375="SATIŞ İADESİ/İSKONTO",-$O2375,$O2375),-$O2375)))</f>
        <v/>
      </c>
      <c r="AB2375" s="117">
        <f>IF($B2375="","",IF(OR($D2375="",$E2375="",$O2375=""),"EKSİK",IF($O2375&lt;=0,"SIFIR/NEGATİF",IF(COUNTIFS($C$6:$C$5000,$C2375,$O$6:$O$5000,$O2375,$B$6:$B$5000,$B2375)&gt;1,"MÜKERRER","OK"))))</f>
        <v/>
      </c>
    </row>
    <row r="2376" ht="16.5" customHeight="1" s="80">
      <c r="A2376" s="113" t="n"/>
      <c r="B2376" s="113" t="n"/>
      <c r="C2376" s="113" t="n"/>
      <c r="D2376" s="113" t="n"/>
      <c r="E2376" s="113" t="n"/>
      <c r="F2376" s="113" t="n"/>
      <c r="G2376" s="113" t="n"/>
      <c r="H2376" s="113" t="n"/>
      <c r="I2376" s="113" t="n"/>
      <c r="J2376" s="113" t="n"/>
      <c r="K2376" s="113" t="n"/>
      <c r="L2376" s="113" t="n"/>
      <c r="M2376" s="113" t="n"/>
      <c r="N2376" s="113" t="n"/>
      <c r="O2376" s="113" t="n"/>
      <c r="P2376" s="113" t="n"/>
      <c r="Q2376" s="113" t="n"/>
      <c r="R2376" s="113" t="n"/>
      <c r="S2376" s="113" t="n"/>
      <c r="T2376" s="113" t="n"/>
      <c r="U2376" s="113" t="n"/>
      <c r="V2376" s="113" t="n"/>
      <c r="W2376" s="113" t="n"/>
      <c r="X2376" s="113" t="n"/>
      <c r="Y2376" s="113" t="n"/>
      <c r="Z2376" s="117">
        <f>IF($B2376="",0,IF($S2376="EVET",IF($D2376="GELİR",$O2376,-$O2376),0))</f>
        <v/>
      </c>
      <c r="AA2376" s="117">
        <f>IF($B2376="",0,IF(OR($W2376="EVET",$X2376="EVET",$Y2376="EVET"),0,IF($D2376="GELİR",IF($E2376="SATIŞ İADESİ/İSKONTO",-$O2376,$O2376),-$O2376)))</f>
        <v/>
      </c>
      <c r="AB2376" s="117">
        <f>IF($B2376="","",IF(OR($D2376="",$E2376="",$O2376=""),"EKSİK",IF($O2376&lt;=0,"SIFIR/NEGATİF",IF(COUNTIFS($C$6:$C$5000,$C2376,$O$6:$O$5000,$O2376,$B$6:$B$5000,$B2376)&gt;1,"MÜKERRER","OK"))))</f>
        <v/>
      </c>
    </row>
    <row r="2377" ht="16.5" customHeight="1" s="80">
      <c r="A2377" s="113" t="n"/>
      <c r="B2377" s="113" t="n"/>
      <c r="C2377" s="113" t="n"/>
      <c r="D2377" s="113" t="n"/>
      <c r="E2377" s="113" t="n"/>
      <c r="F2377" s="113" t="n"/>
      <c r="G2377" s="113" t="n"/>
      <c r="H2377" s="113" t="n"/>
      <c r="I2377" s="113" t="n"/>
      <c r="J2377" s="113" t="n"/>
      <c r="K2377" s="113" t="n"/>
      <c r="L2377" s="113" t="n"/>
      <c r="M2377" s="113" t="n"/>
      <c r="N2377" s="113" t="n"/>
      <c r="O2377" s="113" t="n"/>
      <c r="P2377" s="113" t="n"/>
      <c r="Q2377" s="113" t="n"/>
      <c r="R2377" s="113" t="n"/>
      <c r="S2377" s="113" t="n"/>
      <c r="T2377" s="113" t="n"/>
      <c r="U2377" s="113" t="n"/>
      <c r="V2377" s="113" t="n"/>
      <c r="W2377" s="113" t="n"/>
      <c r="X2377" s="113" t="n"/>
      <c r="Y2377" s="113" t="n"/>
      <c r="Z2377" s="117">
        <f>IF($B2377="",0,IF($S2377="EVET",IF($D2377="GELİR",$O2377,-$O2377),0))</f>
        <v/>
      </c>
      <c r="AA2377" s="117">
        <f>IF($B2377="",0,IF(OR($W2377="EVET",$X2377="EVET",$Y2377="EVET"),0,IF($D2377="GELİR",IF($E2377="SATIŞ İADESİ/İSKONTO",-$O2377,$O2377),-$O2377)))</f>
        <v/>
      </c>
      <c r="AB2377" s="117">
        <f>IF($B2377="","",IF(OR($D2377="",$E2377="",$O2377=""),"EKSİK",IF($O2377&lt;=0,"SIFIR/NEGATİF",IF(COUNTIFS($C$6:$C$5000,$C2377,$O$6:$O$5000,$O2377,$B$6:$B$5000,$B2377)&gt;1,"MÜKERRER","OK"))))</f>
        <v/>
      </c>
    </row>
    <row r="2378" ht="16.5" customHeight="1" s="80">
      <c r="A2378" s="113" t="n"/>
      <c r="B2378" s="113" t="n"/>
      <c r="C2378" s="113" t="n"/>
      <c r="D2378" s="113" t="n"/>
      <c r="E2378" s="113" t="n"/>
      <c r="F2378" s="113" t="n"/>
      <c r="G2378" s="113" t="n"/>
      <c r="H2378" s="113" t="n"/>
      <c r="I2378" s="113" t="n"/>
      <c r="J2378" s="113" t="n"/>
      <c r="K2378" s="113" t="n"/>
      <c r="L2378" s="113" t="n"/>
      <c r="M2378" s="113" t="n"/>
      <c r="N2378" s="113" t="n"/>
      <c r="O2378" s="113" t="n"/>
      <c r="P2378" s="113" t="n"/>
      <c r="Q2378" s="113" t="n"/>
      <c r="R2378" s="113" t="n"/>
      <c r="S2378" s="113" t="n"/>
      <c r="T2378" s="113" t="n"/>
      <c r="U2378" s="113" t="n"/>
      <c r="V2378" s="113" t="n"/>
      <c r="W2378" s="113" t="n"/>
      <c r="X2378" s="113" t="n"/>
      <c r="Y2378" s="113" t="n"/>
      <c r="Z2378" s="117">
        <f>IF($B2378="",0,IF($S2378="EVET",IF($D2378="GELİR",$O2378,-$O2378),0))</f>
        <v/>
      </c>
      <c r="AA2378" s="117">
        <f>IF($B2378="",0,IF(OR($W2378="EVET",$X2378="EVET",$Y2378="EVET"),0,IF($D2378="GELİR",IF($E2378="SATIŞ İADESİ/İSKONTO",-$O2378,$O2378),-$O2378)))</f>
        <v/>
      </c>
      <c r="AB2378" s="117">
        <f>IF($B2378="","",IF(OR($D2378="",$E2378="",$O2378=""),"EKSİK",IF($O2378&lt;=0,"SIFIR/NEGATİF",IF(COUNTIFS($C$6:$C$5000,$C2378,$O$6:$O$5000,$O2378,$B$6:$B$5000,$B2378)&gt;1,"MÜKERRER","OK"))))</f>
        <v/>
      </c>
    </row>
    <row r="2379" ht="16.5" customHeight="1" s="80">
      <c r="A2379" s="113" t="n"/>
      <c r="B2379" s="113" t="n"/>
      <c r="C2379" s="113" t="n"/>
      <c r="D2379" s="113" t="n"/>
      <c r="E2379" s="113" t="n"/>
      <c r="F2379" s="113" t="n"/>
      <c r="G2379" s="113" t="n"/>
      <c r="H2379" s="113" t="n"/>
      <c r="I2379" s="113" t="n"/>
      <c r="J2379" s="113" t="n"/>
      <c r="K2379" s="113" t="n"/>
      <c r="L2379" s="113" t="n"/>
      <c r="M2379" s="113" t="n"/>
      <c r="N2379" s="113" t="n"/>
      <c r="O2379" s="113" t="n"/>
      <c r="P2379" s="113" t="n"/>
      <c r="Q2379" s="113" t="n"/>
      <c r="R2379" s="113" t="n"/>
      <c r="S2379" s="113" t="n"/>
      <c r="T2379" s="113" t="n"/>
      <c r="U2379" s="113" t="n"/>
      <c r="V2379" s="113" t="n"/>
      <c r="W2379" s="113" t="n"/>
      <c r="X2379" s="113" t="n"/>
      <c r="Y2379" s="113" t="n"/>
      <c r="Z2379" s="117">
        <f>IF($B2379="",0,IF($S2379="EVET",IF($D2379="GELİR",$O2379,-$O2379),0))</f>
        <v/>
      </c>
      <c r="AA2379" s="117">
        <f>IF($B2379="",0,IF(OR($W2379="EVET",$X2379="EVET",$Y2379="EVET"),0,IF($D2379="GELİR",IF($E2379="SATIŞ İADESİ/İSKONTO",-$O2379,$O2379),-$O2379)))</f>
        <v/>
      </c>
      <c r="AB2379" s="117">
        <f>IF($B2379="","",IF(OR($D2379="",$E2379="",$O2379=""),"EKSİK",IF($O2379&lt;=0,"SIFIR/NEGATİF",IF(COUNTIFS($C$6:$C$5000,$C2379,$O$6:$O$5000,$O2379,$B$6:$B$5000,$B2379)&gt;1,"MÜKERRER","OK"))))</f>
        <v/>
      </c>
    </row>
    <row r="2380" ht="16.5" customHeight="1" s="80">
      <c r="A2380" s="113" t="n"/>
      <c r="B2380" s="113" t="n"/>
      <c r="C2380" s="113" t="n"/>
      <c r="D2380" s="113" t="n"/>
      <c r="E2380" s="113" t="n"/>
      <c r="F2380" s="113" t="n"/>
      <c r="G2380" s="113" t="n"/>
      <c r="H2380" s="113" t="n"/>
      <c r="I2380" s="113" t="n"/>
      <c r="J2380" s="113" t="n"/>
      <c r="K2380" s="113" t="n"/>
      <c r="L2380" s="113" t="n"/>
      <c r="M2380" s="113" t="n"/>
      <c r="N2380" s="113" t="n"/>
      <c r="O2380" s="113" t="n"/>
      <c r="P2380" s="113" t="n"/>
      <c r="Q2380" s="113" t="n"/>
      <c r="R2380" s="113" t="n"/>
      <c r="S2380" s="113" t="n"/>
      <c r="T2380" s="113" t="n"/>
      <c r="U2380" s="113" t="n"/>
      <c r="V2380" s="113" t="n"/>
      <c r="W2380" s="113" t="n"/>
      <c r="X2380" s="113" t="n"/>
      <c r="Y2380" s="113" t="n"/>
      <c r="Z2380" s="117">
        <f>IF($B2380="",0,IF($S2380="EVET",IF($D2380="GELİR",$O2380,-$O2380),0))</f>
        <v/>
      </c>
      <c r="AA2380" s="117">
        <f>IF($B2380="",0,IF(OR($W2380="EVET",$X2380="EVET",$Y2380="EVET"),0,IF($D2380="GELİR",IF($E2380="SATIŞ İADESİ/İSKONTO",-$O2380,$O2380),-$O2380)))</f>
        <v/>
      </c>
      <c r="AB2380" s="117">
        <f>IF($B2380="","",IF(OR($D2380="",$E2380="",$O2380=""),"EKSİK",IF($O2380&lt;=0,"SIFIR/NEGATİF",IF(COUNTIFS($C$6:$C$5000,$C2380,$O$6:$O$5000,$O2380,$B$6:$B$5000,$B2380)&gt;1,"MÜKERRER","OK"))))</f>
        <v/>
      </c>
    </row>
    <row r="2381" ht="16.5" customHeight="1" s="80">
      <c r="A2381" s="113" t="n"/>
      <c r="B2381" s="113" t="n"/>
      <c r="C2381" s="113" t="n"/>
      <c r="D2381" s="113" t="n"/>
      <c r="E2381" s="113" t="n"/>
      <c r="F2381" s="113" t="n"/>
      <c r="G2381" s="113" t="n"/>
      <c r="H2381" s="113" t="n"/>
      <c r="I2381" s="113" t="n"/>
      <c r="J2381" s="113" t="n"/>
      <c r="K2381" s="113" t="n"/>
      <c r="L2381" s="113" t="n"/>
      <c r="M2381" s="113" t="n"/>
      <c r="N2381" s="113" t="n"/>
      <c r="O2381" s="113" t="n"/>
      <c r="P2381" s="113" t="n"/>
      <c r="Q2381" s="113" t="n"/>
      <c r="R2381" s="113" t="n"/>
      <c r="S2381" s="113" t="n"/>
      <c r="T2381" s="113" t="n"/>
      <c r="U2381" s="113" t="n"/>
      <c r="V2381" s="113" t="n"/>
      <c r="W2381" s="113" t="n"/>
      <c r="X2381" s="113" t="n"/>
      <c r="Y2381" s="113" t="n"/>
      <c r="Z2381" s="117">
        <f>IF($B2381="",0,IF($S2381="EVET",IF($D2381="GELİR",$O2381,-$O2381),0))</f>
        <v/>
      </c>
      <c r="AA2381" s="117">
        <f>IF($B2381="",0,IF(OR($W2381="EVET",$X2381="EVET",$Y2381="EVET"),0,IF($D2381="GELİR",IF($E2381="SATIŞ İADESİ/İSKONTO",-$O2381,$O2381),-$O2381)))</f>
        <v/>
      </c>
      <c r="AB2381" s="117">
        <f>IF($B2381="","",IF(OR($D2381="",$E2381="",$O2381=""),"EKSİK",IF($O2381&lt;=0,"SIFIR/NEGATİF",IF(COUNTIFS($C$6:$C$5000,$C2381,$O$6:$O$5000,$O2381,$B$6:$B$5000,$B2381)&gt;1,"MÜKERRER","OK"))))</f>
        <v/>
      </c>
    </row>
    <row r="2382" ht="16.5" customHeight="1" s="80">
      <c r="A2382" s="113" t="n"/>
      <c r="B2382" s="113" t="n"/>
      <c r="C2382" s="113" t="n"/>
      <c r="D2382" s="113" t="n"/>
      <c r="E2382" s="113" t="n"/>
      <c r="F2382" s="113" t="n"/>
      <c r="G2382" s="113" t="n"/>
      <c r="H2382" s="113" t="n"/>
      <c r="I2382" s="113" t="n"/>
      <c r="J2382" s="113" t="n"/>
      <c r="K2382" s="113" t="n"/>
      <c r="L2382" s="113" t="n"/>
      <c r="M2382" s="113" t="n"/>
      <c r="N2382" s="113" t="n"/>
      <c r="O2382" s="113" t="n"/>
      <c r="P2382" s="113" t="n"/>
      <c r="Q2382" s="113" t="n"/>
      <c r="R2382" s="113" t="n"/>
      <c r="S2382" s="113" t="n"/>
      <c r="T2382" s="113" t="n"/>
      <c r="U2382" s="113" t="n"/>
      <c r="V2382" s="113" t="n"/>
      <c r="W2382" s="113" t="n"/>
      <c r="X2382" s="113" t="n"/>
      <c r="Y2382" s="113" t="n"/>
      <c r="Z2382" s="117">
        <f>IF($B2382="",0,IF($S2382="EVET",IF($D2382="GELİR",$O2382,-$O2382),0))</f>
        <v/>
      </c>
      <c r="AA2382" s="117">
        <f>IF($B2382="",0,IF(OR($W2382="EVET",$X2382="EVET",$Y2382="EVET"),0,IF($D2382="GELİR",IF($E2382="SATIŞ İADESİ/İSKONTO",-$O2382,$O2382),-$O2382)))</f>
        <v/>
      </c>
      <c r="AB2382" s="117">
        <f>IF($B2382="","",IF(OR($D2382="",$E2382="",$O2382=""),"EKSİK",IF($O2382&lt;=0,"SIFIR/NEGATİF",IF(COUNTIFS($C$6:$C$5000,$C2382,$O$6:$O$5000,$O2382,$B$6:$B$5000,$B2382)&gt;1,"MÜKERRER","OK"))))</f>
        <v/>
      </c>
    </row>
    <row r="2383" ht="16.5" customHeight="1" s="80">
      <c r="A2383" s="113" t="n"/>
      <c r="B2383" s="113" t="n"/>
      <c r="C2383" s="113" t="n"/>
      <c r="D2383" s="113" t="n"/>
      <c r="E2383" s="113" t="n"/>
      <c r="F2383" s="113" t="n"/>
      <c r="G2383" s="113" t="n"/>
      <c r="H2383" s="113" t="n"/>
      <c r="I2383" s="113" t="n"/>
      <c r="J2383" s="113" t="n"/>
      <c r="K2383" s="113" t="n"/>
      <c r="L2383" s="113" t="n"/>
      <c r="M2383" s="113" t="n"/>
      <c r="N2383" s="113" t="n"/>
      <c r="O2383" s="113" t="n"/>
      <c r="P2383" s="113" t="n"/>
      <c r="Q2383" s="113" t="n"/>
      <c r="R2383" s="113" t="n"/>
      <c r="S2383" s="113" t="n"/>
      <c r="T2383" s="113" t="n"/>
      <c r="U2383" s="113" t="n"/>
      <c r="V2383" s="113" t="n"/>
      <c r="W2383" s="113" t="n"/>
      <c r="X2383" s="113" t="n"/>
      <c r="Y2383" s="113" t="n"/>
      <c r="Z2383" s="117">
        <f>IF($B2383="",0,IF($S2383="EVET",IF($D2383="GELİR",$O2383,-$O2383),0))</f>
        <v/>
      </c>
      <c r="AA2383" s="117">
        <f>IF($B2383="",0,IF(OR($W2383="EVET",$X2383="EVET",$Y2383="EVET"),0,IF($D2383="GELİR",IF($E2383="SATIŞ İADESİ/İSKONTO",-$O2383,$O2383),-$O2383)))</f>
        <v/>
      </c>
      <c r="AB2383" s="117">
        <f>IF($B2383="","",IF(OR($D2383="",$E2383="",$O2383=""),"EKSİK",IF($O2383&lt;=0,"SIFIR/NEGATİF",IF(COUNTIFS($C$6:$C$5000,$C2383,$O$6:$O$5000,$O2383,$B$6:$B$5000,$B2383)&gt;1,"MÜKERRER","OK"))))</f>
        <v/>
      </c>
    </row>
    <row r="2384" ht="16.5" customHeight="1" s="80">
      <c r="A2384" s="113" t="n"/>
      <c r="B2384" s="113" t="n"/>
      <c r="C2384" s="113" t="n"/>
      <c r="D2384" s="113" t="n"/>
      <c r="E2384" s="113" t="n"/>
      <c r="F2384" s="113" t="n"/>
      <c r="G2384" s="113" t="n"/>
      <c r="H2384" s="113" t="n"/>
      <c r="I2384" s="113" t="n"/>
      <c r="J2384" s="113" t="n"/>
      <c r="K2384" s="113" t="n"/>
      <c r="L2384" s="113" t="n"/>
      <c r="M2384" s="113" t="n"/>
      <c r="N2384" s="113" t="n"/>
      <c r="O2384" s="113" t="n"/>
      <c r="P2384" s="113" t="n"/>
      <c r="Q2384" s="113" t="n"/>
      <c r="R2384" s="113" t="n"/>
      <c r="S2384" s="113" t="n"/>
      <c r="T2384" s="113" t="n"/>
      <c r="U2384" s="113" t="n"/>
      <c r="V2384" s="113" t="n"/>
      <c r="W2384" s="113" t="n"/>
      <c r="X2384" s="113" t="n"/>
      <c r="Y2384" s="113" t="n"/>
      <c r="Z2384" s="117">
        <f>IF($B2384="",0,IF($S2384="EVET",IF($D2384="GELİR",$O2384,-$O2384),0))</f>
        <v/>
      </c>
      <c r="AA2384" s="117">
        <f>IF($B2384="",0,IF(OR($W2384="EVET",$X2384="EVET",$Y2384="EVET"),0,IF($D2384="GELİR",IF($E2384="SATIŞ İADESİ/İSKONTO",-$O2384,$O2384),-$O2384)))</f>
        <v/>
      </c>
      <c r="AB2384" s="117">
        <f>IF($B2384="","",IF(OR($D2384="",$E2384="",$O2384=""),"EKSİK",IF($O2384&lt;=0,"SIFIR/NEGATİF",IF(COUNTIFS($C$6:$C$5000,$C2384,$O$6:$O$5000,$O2384,$B$6:$B$5000,$B2384)&gt;1,"MÜKERRER","OK"))))</f>
        <v/>
      </c>
    </row>
    <row r="2385" ht="16.5" customHeight="1" s="80">
      <c r="A2385" s="113" t="n"/>
      <c r="B2385" s="113" t="n"/>
      <c r="C2385" s="113" t="n"/>
      <c r="D2385" s="113" t="n"/>
      <c r="E2385" s="113" t="n"/>
      <c r="F2385" s="113" t="n"/>
      <c r="G2385" s="113" t="n"/>
      <c r="H2385" s="113" t="n"/>
      <c r="I2385" s="113" t="n"/>
      <c r="J2385" s="113" t="n"/>
      <c r="K2385" s="113" t="n"/>
      <c r="L2385" s="113" t="n"/>
      <c r="M2385" s="113" t="n"/>
      <c r="N2385" s="113" t="n"/>
      <c r="O2385" s="113" t="n"/>
      <c r="P2385" s="113" t="n"/>
      <c r="Q2385" s="113" t="n"/>
      <c r="R2385" s="113" t="n"/>
      <c r="S2385" s="113" t="n"/>
      <c r="T2385" s="113" t="n"/>
      <c r="U2385" s="113" t="n"/>
      <c r="V2385" s="113" t="n"/>
      <c r="W2385" s="113" t="n"/>
      <c r="X2385" s="113" t="n"/>
      <c r="Y2385" s="113" t="n"/>
      <c r="Z2385" s="117">
        <f>IF($B2385="",0,IF($S2385="EVET",IF($D2385="GELİR",$O2385,-$O2385),0))</f>
        <v/>
      </c>
      <c r="AA2385" s="117">
        <f>IF($B2385="",0,IF(OR($W2385="EVET",$X2385="EVET",$Y2385="EVET"),0,IF($D2385="GELİR",IF($E2385="SATIŞ İADESİ/İSKONTO",-$O2385,$O2385),-$O2385)))</f>
        <v/>
      </c>
      <c r="AB2385" s="117">
        <f>IF($B2385="","",IF(OR($D2385="",$E2385="",$O2385=""),"EKSİK",IF($O2385&lt;=0,"SIFIR/NEGATİF",IF(COUNTIFS($C$6:$C$5000,$C2385,$O$6:$O$5000,$O2385,$B$6:$B$5000,$B2385)&gt;1,"MÜKERRER","OK"))))</f>
        <v/>
      </c>
    </row>
    <row r="2386" ht="16.5" customHeight="1" s="80">
      <c r="A2386" s="113" t="n"/>
      <c r="B2386" s="113" t="n"/>
      <c r="C2386" s="113" t="n"/>
      <c r="D2386" s="113" t="n"/>
      <c r="E2386" s="113" t="n"/>
      <c r="F2386" s="113" t="n"/>
      <c r="G2386" s="113" t="n"/>
      <c r="H2386" s="113" t="n"/>
      <c r="I2386" s="113" t="n"/>
      <c r="J2386" s="113" t="n"/>
      <c r="K2386" s="113" t="n"/>
      <c r="L2386" s="113" t="n"/>
      <c r="M2386" s="113" t="n"/>
      <c r="N2386" s="113" t="n"/>
      <c r="O2386" s="113" t="n"/>
      <c r="P2386" s="113" t="n"/>
      <c r="Q2386" s="113" t="n"/>
      <c r="R2386" s="113" t="n"/>
      <c r="S2386" s="113" t="n"/>
      <c r="T2386" s="113" t="n"/>
      <c r="U2386" s="113" t="n"/>
      <c r="V2386" s="113" t="n"/>
      <c r="W2386" s="113" t="n"/>
      <c r="X2386" s="113" t="n"/>
      <c r="Y2386" s="113" t="n"/>
      <c r="Z2386" s="117">
        <f>IF($B2386="",0,IF($S2386="EVET",IF($D2386="GELİR",$O2386,-$O2386),0))</f>
        <v/>
      </c>
      <c r="AA2386" s="117">
        <f>IF($B2386="",0,IF(OR($W2386="EVET",$X2386="EVET",$Y2386="EVET"),0,IF($D2386="GELİR",IF($E2386="SATIŞ İADESİ/İSKONTO",-$O2386,$O2386),-$O2386)))</f>
        <v/>
      </c>
      <c r="AB2386" s="117">
        <f>IF($B2386="","",IF(OR($D2386="",$E2386="",$O2386=""),"EKSİK",IF($O2386&lt;=0,"SIFIR/NEGATİF",IF(COUNTIFS($C$6:$C$5000,$C2386,$O$6:$O$5000,$O2386,$B$6:$B$5000,$B2386)&gt;1,"MÜKERRER","OK"))))</f>
        <v/>
      </c>
    </row>
    <row r="2387" ht="16.5" customHeight="1" s="80">
      <c r="A2387" s="113" t="n"/>
      <c r="B2387" s="113" t="n"/>
      <c r="C2387" s="113" t="n"/>
      <c r="D2387" s="113" t="n"/>
      <c r="E2387" s="113" t="n"/>
      <c r="F2387" s="113" t="n"/>
      <c r="G2387" s="113" t="n"/>
      <c r="H2387" s="113" t="n"/>
      <c r="I2387" s="113" t="n"/>
      <c r="J2387" s="113" t="n"/>
      <c r="K2387" s="113" t="n"/>
      <c r="L2387" s="113" t="n"/>
      <c r="M2387" s="113" t="n"/>
      <c r="N2387" s="113" t="n"/>
      <c r="O2387" s="113" t="n"/>
      <c r="P2387" s="113" t="n"/>
      <c r="Q2387" s="113" t="n"/>
      <c r="R2387" s="113" t="n"/>
      <c r="S2387" s="113" t="n"/>
      <c r="T2387" s="113" t="n"/>
      <c r="U2387" s="113" t="n"/>
      <c r="V2387" s="113" t="n"/>
      <c r="W2387" s="113" t="n"/>
      <c r="X2387" s="113" t="n"/>
      <c r="Y2387" s="113" t="n"/>
      <c r="Z2387" s="117">
        <f>IF($B2387="",0,IF($S2387="EVET",IF($D2387="GELİR",$O2387,-$O2387),0))</f>
        <v/>
      </c>
      <c r="AA2387" s="117">
        <f>IF($B2387="",0,IF(OR($W2387="EVET",$X2387="EVET",$Y2387="EVET"),0,IF($D2387="GELİR",IF($E2387="SATIŞ İADESİ/İSKONTO",-$O2387,$O2387),-$O2387)))</f>
        <v/>
      </c>
      <c r="AB2387" s="117">
        <f>IF($B2387="","",IF(OR($D2387="",$E2387="",$O2387=""),"EKSİK",IF($O2387&lt;=0,"SIFIR/NEGATİF",IF(COUNTIFS($C$6:$C$5000,$C2387,$O$6:$O$5000,$O2387,$B$6:$B$5000,$B2387)&gt;1,"MÜKERRER","OK"))))</f>
        <v/>
      </c>
    </row>
    <row r="2388" ht="16.5" customHeight="1" s="80">
      <c r="A2388" s="113" t="n"/>
      <c r="B2388" s="113" t="n"/>
      <c r="C2388" s="113" t="n"/>
      <c r="D2388" s="113" t="n"/>
      <c r="E2388" s="113" t="n"/>
      <c r="F2388" s="113" t="n"/>
      <c r="G2388" s="113" t="n"/>
      <c r="H2388" s="113" t="n"/>
      <c r="I2388" s="113" t="n"/>
      <c r="J2388" s="113" t="n"/>
      <c r="K2388" s="113" t="n"/>
      <c r="L2388" s="113" t="n"/>
      <c r="M2388" s="113" t="n"/>
      <c r="N2388" s="113" t="n"/>
      <c r="O2388" s="113" t="n"/>
      <c r="P2388" s="113" t="n"/>
      <c r="Q2388" s="113" t="n"/>
      <c r="R2388" s="113" t="n"/>
      <c r="S2388" s="113" t="n"/>
      <c r="T2388" s="113" t="n"/>
      <c r="U2388" s="113" t="n"/>
      <c r="V2388" s="113" t="n"/>
      <c r="W2388" s="113" t="n"/>
      <c r="X2388" s="113" t="n"/>
      <c r="Y2388" s="113" t="n"/>
      <c r="Z2388" s="117">
        <f>IF($B2388="",0,IF($S2388="EVET",IF($D2388="GELİR",$O2388,-$O2388),0))</f>
        <v/>
      </c>
      <c r="AA2388" s="117">
        <f>IF($B2388="",0,IF(OR($W2388="EVET",$X2388="EVET",$Y2388="EVET"),0,IF($D2388="GELİR",IF($E2388="SATIŞ İADESİ/İSKONTO",-$O2388,$O2388),-$O2388)))</f>
        <v/>
      </c>
      <c r="AB2388" s="117">
        <f>IF($B2388="","",IF(OR($D2388="",$E2388="",$O2388=""),"EKSİK",IF($O2388&lt;=0,"SIFIR/NEGATİF",IF(COUNTIFS($C$6:$C$5000,$C2388,$O$6:$O$5000,$O2388,$B$6:$B$5000,$B2388)&gt;1,"MÜKERRER","OK"))))</f>
        <v/>
      </c>
    </row>
    <row r="2389" ht="16.5" customHeight="1" s="80">
      <c r="A2389" s="113" t="n"/>
      <c r="B2389" s="113" t="n"/>
      <c r="C2389" s="113" t="n"/>
      <c r="D2389" s="113" t="n"/>
      <c r="E2389" s="113" t="n"/>
      <c r="F2389" s="113" t="n"/>
      <c r="G2389" s="113" t="n"/>
      <c r="H2389" s="113" t="n"/>
      <c r="I2389" s="113" t="n"/>
      <c r="J2389" s="113" t="n"/>
      <c r="K2389" s="113" t="n"/>
      <c r="L2389" s="113" t="n"/>
      <c r="M2389" s="113" t="n"/>
      <c r="N2389" s="113" t="n"/>
      <c r="O2389" s="113" t="n"/>
      <c r="P2389" s="113" t="n"/>
      <c r="Q2389" s="113" t="n"/>
      <c r="R2389" s="113" t="n"/>
      <c r="S2389" s="113" t="n"/>
      <c r="T2389" s="113" t="n"/>
      <c r="U2389" s="113" t="n"/>
      <c r="V2389" s="113" t="n"/>
      <c r="W2389" s="113" t="n"/>
      <c r="X2389" s="113" t="n"/>
      <c r="Y2389" s="113" t="n"/>
      <c r="Z2389" s="117">
        <f>IF($B2389="",0,IF($S2389="EVET",IF($D2389="GELİR",$O2389,-$O2389),0))</f>
        <v/>
      </c>
      <c r="AA2389" s="117">
        <f>IF($B2389="",0,IF(OR($W2389="EVET",$X2389="EVET",$Y2389="EVET"),0,IF($D2389="GELİR",IF($E2389="SATIŞ İADESİ/İSKONTO",-$O2389,$O2389),-$O2389)))</f>
        <v/>
      </c>
      <c r="AB2389" s="117">
        <f>IF($B2389="","",IF(OR($D2389="",$E2389="",$O2389=""),"EKSİK",IF($O2389&lt;=0,"SIFIR/NEGATİF",IF(COUNTIFS($C$6:$C$5000,$C2389,$O$6:$O$5000,$O2389,$B$6:$B$5000,$B2389)&gt;1,"MÜKERRER","OK"))))</f>
        <v/>
      </c>
    </row>
    <row r="2390" ht="16.5" customHeight="1" s="80">
      <c r="A2390" s="113" t="n"/>
      <c r="B2390" s="113" t="n"/>
      <c r="C2390" s="113" t="n"/>
      <c r="D2390" s="113" t="n"/>
      <c r="E2390" s="113" t="n"/>
      <c r="F2390" s="113" t="n"/>
      <c r="G2390" s="113" t="n"/>
      <c r="H2390" s="113" t="n"/>
      <c r="I2390" s="113" t="n"/>
      <c r="J2390" s="113" t="n"/>
      <c r="K2390" s="113" t="n"/>
      <c r="L2390" s="113" t="n"/>
      <c r="M2390" s="113" t="n"/>
      <c r="N2390" s="113" t="n"/>
      <c r="O2390" s="113" t="n"/>
      <c r="P2390" s="113" t="n"/>
      <c r="Q2390" s="113" t="n"/>
      <c r="R2390" s="113" t="n"/>
      <c r="S2390" s="113" t="n"/>
      <c r="T2390" s="113" t="n"/>
      <c r="U2390" s="113" t="n"/>
      <c r="V2390" s="113" t="n"/>
      <c r="W2390" s="113" t="n"/>
      <c r="X2390" s="113" t="n"/>
      <c r="Y2390" s="113" t="n"/>
      <c r="Z2390" s="117">
        <f>IF($B2390="",0,IF($S2390="EVET",IF($D2390="GELİR",$O2390,-$O2390),0))</f>
        <v/>
      </c>
      <c r="AA2390" s="117">
        <f>IF($B2390="",0,IF(OR($W2390="EVET",$X2390="EVET",$Y2390="EVET"),0,IF($D2390="GELİR",IF($E2390="SATIŞ İADESİ/İSKONTO",-$O2390,$O2390),-$O2390)))</f>
        <v/>
      </c>
      <c r="AB2390" s="117">
        <f>IF($B2390="","",IF(OR($D2390="",$E2390="",$O2390=""),"EKSİK",IF($O2390&lt;=0,"SIFIR/NEGATİF",IF(COUNTIFS($C$6:$C$5000,$C2390,$O$6:$O$5000,$O2390,$B$6:$B$5000,$B2390)&gt;1,"MÜKERRER","OK"))))</f>
        <v/>
      </c>
    </row>
    <row r="2391" ht="16.5" customHeight="1" s="80">
      <c r="A2391" s="113" t="n"/>
      <c r="B2391" s="113" t="n"/>
      <c r="C2391" s="113" t="n"/>
      <c r="D2391" s="113" t="n"/>
      <c r="E2391" s="113" t="n"/>
      <c r="F2391" s="113" t="n"/>
      <c r="G2391" s="113" t="n"/>
      <c r="H2391" s="113" t="n"/>
      <c r="I2391" s="113" t="n"/>
      <c r="J2391" s="113" t="n"/>
      <c r="K2391" s="113" t="n"/>
      <c r="L2391" s="113" t="n"/>
      <c r="M2391" s="113" t="n"/>
      <c r="N2391" s="113" t="n"/>
      <c r="O2391" s="113" t="n"/>
      <c r="P2391" s="113" t="n"/>
      <c r="Q2391" s="113" t="n"/>
      <c r="R2391" s="113" t="n"/>
      <c r="S2391" s="113" t="n"/>
      <c r="T2391" s="113" t="n"/>
      <c r="U2391" s="113" t="n"/>
      <c r="V2391" s="113" t="n"/>
      <c r="W2391" s="113" t="n"/>
      <c r="X2391" s="113" t="n"/>
      <c r="Y2391" s="113" t="n"/>
      <c r="Z2391" s="117">
        <f>IF($B2391="",0,IF($S2391="EVET",IF($D2391="GELİR",$O2391,-$O2391),0))</f>
        <v/>
      </c>
      <c r="AA2391" s="117">
        <f>IF($B2391="",0,IF(OR($W2391="EVET",$X2391="EVET",$Y2391="EVET"),0,IF($D2391="GELİR",IF($E2391="SATIŞ İADESİ/İSKONTO",-$O2391,$O2391),-$O2391)))</f>
        <v/>
      </c>
      <c r="AB2391" s="117">
        <f>IF($B2391="","",IF(OR($D2391="",$E2391="",$O2391=""),"EKSİK",IF($O2391&lt;=0,"SIFIR/NEGATİF",IF(COUNTIFS($C$6:$C$5000,$C2391,$O$6:$O$5000,$O2391,$B$6:$B$5000,$B2391)&gt;1,"MÜKERRER","OK"))))</f>
        <v/>
      </c>
    </row>
    <row r="2392" ht="16.5" customHeight="1" s="80">
      <c r="A2392" s="113" t="n"/>
      <c r="B2392" s="113" t="n"/>
      <c r="C2392" s="113" t="n"/>
      <c r="D2392" s="113" t="n"/>
      <c r="E2392" s="113" t="n"/>
      <c r="F2392" s="113" t="n"/>
      <c r="G2392" s="113" t="n"/>
      <c r="H2392" s="113" t="n"/>
      <c r="I2392" s="113" t="n"/>
      <c r="J2392" s="113" t="n"/>
      <c r="K2392" s="113" t="n"/>
      <c r="L2392" s="113" t="n"/>
      <c r="M2392" s="113" t="n"/>
      <c r="N2392" s="113" t="n"/>
      <c r="O2392" s="113" t="n"/>
      <c r="P2392" s="113" t="n"/>
      <c r="Q2392" s="113" t="n"/>
      <c r="R2392" s="113" t="n"/>
      <c r="S2392" s="113" t="n"/>
      <c r="T2392" s="113" t="n"/>
      <c r="U2392" s="113" t="n"/>
      <c r="V2392" s="113" t="n"/>
      <c r="W2392" s="113" t="n"/>
      <c r="X2392" s="113" t="n"/>
      <c r="Y2392" s="113" t="n"/>
      <c r="Z2392" s="117">
        <f>IF($B2392="",0,IF($S2392="EVET",IF($D2392="GELİR",$O2392,-$O2392),0))</f>
        <v/>
      </c>
      <c r="AA2392" s="117">
        <f>IF($B2392="",0,IF(OR($W2392="EVET",$X2392="EVET",$Y2392="EVET"),0,IF($D2392="GELİR",IF($E2392="SATIŞ İADESİ/İSKONTO",-$O2392,$O2392),-$O2392)))</f>
        <v/>
      </c>
      <c r="AB2392" s="117">
        <f>IF($B2392="","",IF(OR($D2392="",$E2392="",$O2392=""),"EKSİK",IF($O2392&lt;=0,"SIFIR/NEGATİF",IF(COUNTIFS($C$6:$C$5000,$C2392,$O$6:$O$5000,$O2392,$B$6:$B$5000,$B2392)&gt;1,"MÜKERRER","OK"))))</f>
        <v/>
      </c>
    </row>
    <row r="2393" ht="16.5" customHeight="1" s="80">
      <c r="A2393" s="113" t="n"/>
      <c r="B2393" s="113" t="n"/>
      <c r="C2393" s="113" t="n"/>
      <c r="D2393" s="113" t="n"/>
      <c r="E2393" s="113" t="n"/>
      <c r="F2393" s="113" t="n"/>
      <c r="G2393" s="113" t="n"/>
      <c r="H2393" s="113" t="n"/>
      <c r="I2393" s="113" t="n"/>
      <c r="J2393" s="113" t="n"/>
      <c r="K2393" s="113" t="n"/>
      <c r="L2393" s="113" t="n"/>
      <c r="M2393" s="113" t="n"/>
      <c r="N2393" s="113" t="n"/>
      <c r="O2393" s="113" t="n"/>
      <c r="P2393" s="113" t="n"/>
      <c r="Q2393" s="113" t="n"/>
      <c r="R2393" s="113" t="n"/>
      <c r="S2393" s="113" t="n"/>
      <c r="T2393" s="113" t="n"/>
      <c r="U2393" s="113" t="n"/>
      <c r="V2393" s="113" t="n"/>
      <c r="W2393" s="113" t="n"/>
      <c r="X2393" s="113" t="n"/>
      <c r="Y2393" s="113" t="n"/>
      <c r="Z2393" s="117">
        <f>IF($B2393="",0,IF($S2393="EVET",IF($D2393="GELİR",$O2393,-$O2393),0))</f>
        <v/>
      </c>
      <c r="AA2393" s="117">
        <f>IF($B2393="",0,IF(OR($W2393="EVET",$X2393="EVET",$Y2393="EVET"),0,IF($D2393="GELİR",IF($E2393="SATIŞ İADESİ/İSKONTO",-$O2393,$O2393),-$O2393)))</f>
        <v/>
      </c>
      <c r="AB2393" s="117">
        <f>IF($B2393="","",IF(OR($D2393="",$E2393="",$O2393=""),"EKSİK",IF($O2393&lt;=0,"SIFIR/NEGATİF",IF(COUNTIFS($C$6:$C$5000,$C2393,$O$6:$O$5000,$O2393,$B$6:$B$5000,$B2393)&gt;1,"MÜKERRER","OK"))))</f>
        <v/>
      </c>
    </row>
    <row r="2394" ht="16.5" customHeight="1" s="80">
      <c r="A2394" s="113" t="n"/>
      <c r="B2394" s="113" t="n"/>
      <c r="C2394" s="113" t="n"/>
      <c r="D2394" s="113" t="n"/>
      <c r="E2394" s="113" t="n"/>
      <c r="F2394" s="113" t="n"/>
      <c r="G2394" s="113" t="n"/>
      <c r="H2394" s="113" t="n"/>
      <c r="I2394" s="113" t="n"/>
      <c r="J2394" s="113" t="n"/>
      <c r="K2394" s="113" t="n"/>
      <c r="L2394" s="113" t="n"/>
      <c r="M2394" s="113" t="n"/>
      <c r="N2394" s="113" t="n"/>
      <c r="O2394" s="113" t="n"/>
      <c r="P2394" s="113" t="n"/>
      <c r="Q2394" s="113" t="n"/>
      <c r="R2394" s="113" t="n"/>
      <c r="S2394" s="113" t="n"/>
      <c r="T2394" s="113" t="n"/>
      <c r="U2394" s="113" t="n"/>
      <c r="V2394" s="113" t="n"/>
      <c r="W2394" s="113" t="n"/>
      <c r="X2394" s="113" t="n"/>
      <c r="Y2394" s="113" t="n"/>
      <c r="Z2394" s="117">
        <f>IF($B2394="",0,IF($S2394="EVET",IF($D2394="GELİR",$O2394,-$O2394),0))</f>
        <v/>
      </c>
      <c r="AA2394" s="117">
        <f>IF($B2394="",0,IF(OR($W2394="EVET",$X2394="EVET",$Y2394="EVET"),0,IF($D2394="GELİR",IF($E2394="SATIŞ İADESİ/İSKONTO",-$O2394,$O2394),-$O2394)))</f>
        <v/>
      </c>
      <c r="AB2394" s="117">
        <f>IF($B2394="","",IF(OR($D2394="",$E2394="",$O2394=""),"EKSİK",IF($O2394&lt;=0,"SIFIR/NEGATİF",IF(COUNTIFS($C$6:$C$5000,$C2394,$O$6:$O$5000,$O2394,$B$6:$B$5000,$B2394)&gt;1,"MÜKERRER","OK"))))</f>
        <v/>
      </c>
    </row>
    <row r="2395" ht="16.5" customHeight="1" s="80">
      <c r="A2395" s="113" t="n"/>
      <c r="B2395" s="113" t="n"/>
      <c r="C2395" s="113" t="n"/>
      <c r="D2395" s="113" t="n"/>
      <c r="E2395" s="113" t="n"/>
      <c r="F2395" s="113" t="n"/>
      <c r="G2395" s="113" t="n"/>
      <c r="H2395" s="113" t="n"/>
      <c r="I2395" s="113" t="n"/>
      <c r="J2395" s="113" t="n"/>
      <c r="K2395" s="113" t="n"/>
      <c r="L2395" s="113" t="n"/>
      <c r="M2395" s="113" t="n"/>
      <c r="N2395" s="113" t="n"/>
      <c r="O2395" s="113" t="n"/>
      <c r="P2395" s="113" t="n"/>
      <c r="Q2395" s="113" t="n"/>
      <c r="R2395" s="113" t="n"/>
      <c r="S2395" s="113" t="n"/>
      <c r="T2395" s="113" t="n"/>
      <c r="U2395" s="113" t="n"/>
      <c r="V2395" s="113" t="n"/>
      <c r="W2395" s="113" t="n"/>
      <c r="X2395" s="113" t="n"/>
      <c r="Y2395" s="113" t="n"/>
      <c r="Z2395" s="117">
        <f>IF($B2395="",0,IF($S2395="EVET",IF($D2395="GELİR",$O2395,-$O2395),0))</f>
        <v/>
      </c>
      <c r="AA2395" s="117">
        <f>IF($B2395="",0,IF(OR($W2395="EVET",$X2395="EVET",$Y2395="EVET"),0,IF($D2395="GELİR",IF($E2395="SATIŞ İADESİ/İSKONTO",-$O2395,$O2395),-$O2395)))</f>
        <v/>
      </c>
      <c r="AB2395" s="117">
        <f>IF($B2395="","",IF(OR($D2395="",$E2395="",$O2395=""),"EKSİK",IF($O2395&lt;=0,"SIFIR/NEGATİF",IF(COUNTIFS($C$6:$C$5000,$C2395,$O$6:$O$5000,$O2395,$B$6:$B$5000,$B2395)&gt;1,"MÜKERRER","OK"))))</f>
        <v/>
      </c>
    </row>
    <row r="2396" ht="16.5" customHeight="1" s="80">
      <c r="A2396" s="113" t="n"/>
      <c r="B2396" s="113" t="n"/>
      <c r="C2396" s="113" t="n"/>
      <c r="D2396" s="113" t="n"/>
      <c r="E2396" s="113" t="n"/>
      <c r="F2396" s="113" t="n"/>
      <c r="G2396" s="113" t="n"/>
      <c r="H2396" s="113" t="n"/>
      <c r="I2396" s="113" t="n"/>
      <c r="J2396" s="113" t="n"/>
      <c r="K2396" s="113" t="n"/>
      <c r="L2396" s="113" t="n"/>
      <c r="M2396" s="113" t="n"/>
      <c r="N2396" s="113" t="n"/>
      <c r="O2396" s="113" t="n"/>
      <c r="P2396" s="113" t="n"/>
      <c r="Q2396" s="113" t="n"/>
      <c r="R2396" s="113" t="n"/>
      <c r="S2396" s="113" t="n"/>
      <c r="T2396" s="113" t="n"/>
      <c r="U2396" s="113" t="n"/>
      <c r="V2396" s="113" t="n"/>
      <c r="W2396" s="113" t="n"/>
      <c r="X2396" s="113" t="n"/>
      <c r="Y2396" s="113" t="n"/>
      <c r="Z2396" s="117">
        <f>IF($B2396="",0,IF($S2396="EVET",IF($D2396="GELİR",$O2396,-$O2396),0))</f>
        <v/>
      </c>
      <c r="AA2396" s="117">
        <f>IF($B2396="",0,IF(OR($W2396="EVET",$X2396="EVET",$Y2396="EVET"),0,IF($D2396="GELİR",IF($E2396="SATIŞ İADESİ/İSKONTO",-$O2396,$O2396),-$O2396)))</f>
        <v/>
      </c>
      <c r="AB2396" s="117">
        <f>IF($B2396="","",IF(OR($D2396="",$E2396="",$O2396=""),"EKSİK",IF($O2396&lt;=0,"SIFIR/NEGATİF",IF(COUNTIFS($C$6:$C$5000,$C2396,$O$6:$O$5000,$O2396,$B$6:$B$5000,$B2396)&gt;1,"MÜKERRER","OK"))))</f>
        <v/>
      </c>
    </row>
    <row r="2397" ht="16.5" customHeight="1" s="80">
      <c r="A2397" s="113" t="n"/>
      <c r="B2397" s="113" t="n"/>
      <c r="C2397" s="113" t="n"/>
      <c r="D2397" s="113" t="n"/>
      <c r="E2397" s="113" t="n"/>
      <c r="F2397" s="113" t="n"/>
      <c r="G2397" s="113" t="n"/>
      <c r="H2397" s="113" t="n"/>
      <c r="I2397" s="113" t="n"/>
      <c r="J2397" s="113" t="n"/>
      <c r="K2397" s="113" t="n"/>
      <c r="L2397" s="113" t="n"/>
      <c r="M2397" s="113" t="n"/>
      <c r="N2397" s="113" t="n"/>
      <c r="O2397" s="113" t="n"/>
      <c r="P2397" s="113" t="n"/>
      <c r="Q2397" s="113" t="n"/>
      <c r="R2397" s="113" t="n"/>
      <c r="S2397" s="113" t="n"/>
      <c r="T2397" s="113" t="n"/>
      <c r="U2397" s="113" t="n"/>
      <c r="V2397" s="113" t="n"/>
      <c r="W2397" s="113" t="n"/>
      <c r="X2397" s="113" t="n"/>
      <c r="Y2397" s="113" t="n"/>
      <c r="Z2397" s="117">
        <f>IF($B2397="",0,IF($S2397="EVET",IF($D2397="GELİR",$O2397,-$O2397),0))</f>
        <v/>
      </c>
      <c r="AA2397" s="117">
        <f>IF($B2397="",0,IF(OR($W2397="EVET",$X2397="EVET",$Y2397="EVET"),0,IF($D2397="GELİR",IF($E2397="SATIŞ İADESİ/İSKONTO",-$O2397,$O2397),-$O2397)))</f>
        <v/>
      </c>
      <c r="AB2397" s="117">
        <f>IF($B2397="","",IF(OR($D2397="",$E2397="",$O2397=""),"EKSİK",IF($O2397&lt;=0,"SIFIR/NEGATİF",IF(COUNTIFS($C$6:$C$5000,$C2397,$O$6:$O$5000,$O2397,$B$6:$B$5000,$B2397)&gt;1,"MÜKERRER","OK"))))</f>
        <v/>
      </c>
    </row>
    <row r="2398" ht="16.5" customHeight="1" s="80">
      <c r="A2398" s="113" t="n"/>
      <c r="B2398" s="113" t="n"/>
      <c r="C2398" s="113" t="n"/>
      <c r="D2398" s="113" t="n"/>
      <c r="E2398" s="113" t="n"/>
      <c r="F2398" s="113" t="n"/>
      <c r="G2398" s="113" t="n"/>
      <c r="H2398" s="113" t="n"/>
      <c r="I2398" s="113" t="n"/>
      <c r="J2398" s="113" t="n"/>
      <c r="K2398" s="113" t="n"/>
      <c r="L2398" s="113" t="n"/>
      <c r="M2398" s="113" t="n"/>
      <c r="N2398" s="113" t="n"/>
      <c r="O2398" s="113" t="n"/>
      <c r="P2398" s="113" t="n"/>
      <c r="Q2398" s="113" t="n"/>
      <c r="R2398" s="113" t="n"/>
      <c r="S2398" s="113" t="n"/>
      <c r="T2398" s="113" t="n"/>
      <c r="U2398" s="113" t="n"/>
      <c r="V2398" s="113" t="n"/>
      <c r="W2398" s="113" t="n"/>
      <c r="X2398" s="113" t="n"/>
      <c r="Y2398" s="113" t="n"/>
      <c r="Z2398" s="117">
        <f>IF($B2398="",0,IF($S2398="EVET",IF($D2398="GELİR",$O2398,-$O2398),0))</f>
        <v/>
      </c>
      <c r="AA2398" s="117">
        <f>IF($B2398="",0,IF(OR($W2398="EVET",$X2398="EVET",$Y2398="EVET"),0,IF($D2398="GELİR",IF($E2398="SATIŞ İADESİ/İSKONTO",-$O2398,$O2398),-$O2398)))</f>
        <v/>
      </c>
      <c r="AB2398" s="117">
        <f>IF($B2398="","",IF(OR($D2398="",$E2398="",$O2398=""),"EKSİK",IF($O2398&lt;=0,"SIFIR/NEGATİF",IF(COUNTIFS($C$6:$C$5000,$C2398,$O$6:$O$5000,$O2398,$B$6:$B$5000,$B2398)&gt;1,"MÜKERRER","OK"))))</f>
        <v/>
      </c>
    </row>
    <row r="2399" ht="16.5" customHeight="1" s="80">
      <c r="A2399" s="113" t="n"/>
      <c r="B2399" s="113" t="n"/>
      <c r="C2399" s="113" t="n"/>
      <c r="D2399" s="113" t="n"/>
      <c r="E2399" s="113" t="n"/>
      <c r="F2399" s="113" t="n"/>
      <c r="G2399" s="113" t="n"/>
      <c r="H2399" s="113" t="n"/>
      <c r="I2399" s="113" t="n"/>
      <c r="J2399" s="113" t="n"/>
      <c r="K2399" s="113" t="n"/>
      <c r="L2399" s="113" t="n"/>
      <c r="M2399" s="113" t="n"/>
      <c r="N2399" s="113" t="n"/>
      <c r="O2399" s="113" t="n"/>
      <c r="P2399" s="113" t="n"/>
      <c r="Q2399" s="113" t="n"/>
      <c r="R2399" s="113" t="n"/>
      <c r="S2399" s="113" t="n"/>
      <c r="T2399" s="113" t="n"/>
      <c r="U2399" s="113" t="n"/>
      <c r="V2399" s="113" t="n"/>
      <c r="W2399" s="113" t="n"/>
      <c r="X2399" s="113" t="n"/>
      <c r="Y2399" s="113" t="n"/>
      <c r="Z2399" s="117">
        <f>IF($B2399="",0,IF($S2399="EVET",IF($D2399="GELİR",$O2399,-$O2399),0))</f>
        <v/>
      </c>
      <c r="AA2399" s="117">
        <f>IF($B2399="",0,IF(OR($W2399="EVET",$X2399="EVET",$Y2399="EVET"),0,IF($D2399="GELİR",IF($E2399="SATIŞ İADESİ/İSKONTO",-$O2399,$O2399),-$O2399)))</f>
        <v/>
      </c>
      <c r="AB2399" s="117">
        <f>IF($B2399="","",IF(OR($D2399="",$E2399="",$O2399=""),"EKSİK",IF($O2399&lt;=0,"SIFIR/NEGATİF",IF(COUNTIFS($C$6:$C$5000,$C2399,$O$6:$O$5000,$O2399,$B$6:$B$5000,$B2399)&gt;1,"MÜKERRER","OK"))))</f>
        <v/>
      </c>
    </row>
    <row r="2400" ht="16.5" customHeight="1" s="80">
      <c r="A2400" s="113" t="n"/>
      <c r="B2400" s="113" t="n"/>
      <c r="C2400" s="113" t="n"/>
      <c r="D2400" s="113" t="n"/>
      <c r="E2400" s="113" t="n"/>
      <c r="F2400" s="113" t="n"/>
      <c r="G2400" s="113" t="n"/>
      <c r="H2400" s="113" t="n"/>
      <c r="I2400" s="113" t="n"/>
      <c r="J2400" s="113" t="n"/>
      <c r="K2400" s="113" t="n"/>
      <c r="L2400" s="113" t="n"/>
      <c r="M2400" s="113" t="n"/>
      <c r="N2400" s="113" t="n"/>
      <c r="O2400" s="113" t="n"/>
      <c r="P2400" s="113" t="n"/>
      <c r="Q2400" s="113" t="n"/>
      <c r="R2400" s="113" t="n"/>
      <c r="S2400" s="113" t="n"/>
      <c r="T2400" s="113" t="n"/>
      <c r="U2400" s="113" t="n"/>
      <c r="V2400" s="113" t="n"/>
      <c r="W2400" s="113" t="n"/>
      <c r="X2400" s="113" t="n"/>
      <c r="Y2400" s="113" t="n"/>
      <c r="Z2400" s="117">
        <f>IF($B2400="",0,IF($S2400="EVET",IF($D2400="GELİR",$O2400,-$O2400),0))</f>
        <v/>
      </c>
      <c r="AA2400" s="117">
        <f>IF($B2400="",0,IF(OR($W2400="EVET",$X2400="EVET",$Y2400="EVET"),0,IF($D2400="GELİR",IF($E2400="SATIŞ İADESİ/İSKONTO",-$O2400,$O2400),-$O2400)))</f>
        <v/>
      </c>
      <c r="AB2400" s="117">
        <f>IF($B2400="","",IF(OR($D2400="",$E2400="",$O2400=""),"EKSİK",IF($O2400&lt;=0,"SIFIR/NEGATİF",IF(COUNTIFS($C$6:$C$5000,$C2400,$O$6:$O$5000,$O2400,$B$6:$B$5000,$B2400)&gt;1,"MÜKERRER","OK"))))</f>
        <v/>
      </c>
    </row>
    <row r="2401" ht="16.5" customHeight="1" s="80">
      <c r="A2401" s="113" t="n"/>
      <c r="B2401" s="113" t="n"/>
      <c r="C2401" s="113" t="n"/>
      <c r="D2401" s="113" t="n"/>
      <c r="E2401" s="113" t="n"/>
      <c r="F2401" s="113" t="n"/>
      <c r="G2401" s="113" t="n"/>
      <c r="H2401" s="113" t="n"/>
      <c r="I2401" s="113" t="n"/>
      <c r="J2401" s="113" t="n"/>
      <c r="K2401" s="113" t="n"/>
      <c r="L2401" s="113" t="n"/>
      <c r="M2401" s="113" t="n"/>
      <c r="N2401" s="113" t="n"/>
      <c r="O2401" s="113" t="n"/>
      <c r="P2401" s="113" t="n"/>
      <c r="Q2401" s="113" t="n"/>
      <c r="R2401" s="113" t="n"/>
      <c r="S2401" s="113" t="n"/>
      <c r="T2401" s="113" t="n"/>
      <c r="U2401" s="113" t="n"/>
      <c r="V2401" s="113" t="n"/>
      <c r="W2401" s="113" t="n"/>
      <c r="X2401" s="113" t="n"/>
      <c r="Y2401" s="113" t="n"/>
      <c r="Z2401" s="117">
        <f>IF($B2401="",0,IF($S2401="EVET",IF($D2401="GELİR",$O2401,-$O2401),0))</f>
        <v/>
      </c>
      <c r="AA2401" s="117">
        <f>IF($B2401="",0,IF(OR($W2401="EVET",$X2401="EVET",$Y2401="EVET"),0,IF($D2401="GELİR",IF($E2401="SATIŞ İADESİ/İSKONTO",-$O2401,$O2401),-$O2401)))</f>
        <v/>
      </c>
      <c r="AB2401" s="117">
        <f>IF($B2401="","",IF(OR($D2401="",$E2401="",$O2401=""),"EKSİK",IF($O2401&lt;=0,"SIFIR/NEGATİF",IF(COUNTIFS($C$6:$C$5000,$C2401,$O$6:$O$5000,$O2401,$B$6:$B$5000,$B2401)&gt;1,"MÜKERRER","OK"))))</f>
        <v/>
      </c>
    </row>
    <row r="2402" ht="16.5" customHeight="1" s="80">
      <c r="A2402" s="113" t="n"/>
      <c r="B2402" s="113" t="n"/>
      <c r="C2402" s="113" t="n"/>
      <c r="D2402" s="113" t="n"/>
      <c r="E2402" s="113" t="n"/>
      <c r="F2402" s="113" t="n"/>
      <c r="G2402" s="113" t="n"/>
      <c r="H2402" s="113" t="n"/>
      <c r="I2402" s="113" t="n"/>
      <c r="J2402" s="113" t="n"/>
      <c r="K2402" s="113" t="n"/>
      <c r="L2402" s="113" t="n"/>
      <c r="M2402" s="113" t="n"/>
      <c r="N2402" s="113" t="n"/>
      <c r="O2402" s="113" t="n"/>
      <c r="P2402" s="113" t="n"/>
      <c r="Q2402" s="113" t="n"/>
      <c r="R2402" s="113" t="n"/>
      <c r="S2402" s="113" t="n"/>
      <c r="T2402" s="113" t="n"/>
      <c r="U2402" s="113" t="n"/>
      <c r="V2402" s="113" t="n"/>
      <c r="W2402" s="113" t="n"/>
      <c r="X2402" s="113" t="n"/>
      <c r="Y2402" s="113" t="n"/>
      <c r="Z2402" s="117">
        <f>IF($B2402="",0,IF($S2402="EVET",IF($D2402="GELİR",$O2402,-$O2402),0))</f>
        <v/>
      </c>
      <c r="AA2402" s="117">
        <f>IF($B2402="",0,IF(OR($W2402="EVET",$X2402="EVET",$Y2402="EVET"),0,IF($D2402="GELİR",IF($E2402="SATIŞ İADESİ/İSKONTO",-$O2402,$O2402),-$O2402)))</f>
        <v/>
      </c>
      <c r="AB2402" s="117">
        <f>IF($B2402="","",IF(OR($D2402="",$E2402="",$O2402=""),"EKSİK",IF($O2402&lt;=0,"SIFIR/NEGATİF",IF(COUNTIFS($C$6:$C$5000,$C2402,$O$6:$O$5000,$O2402,$B$6:$B$5000,$B2402)&gt;1,"MÜKERRER","OK"))))</f>
        <v/>
      </c>
    </row>
    <row r="2403" ht="16.5" customHeight="1" s="80">
      <c r="A2403" s="113" t="n"/>
      <c r="B2403" s="113" t="n"/>
      <c r="C2403" s="113" t="n"/>
      <c r="D2403" s="113" t="n"/>
      <c r="E2403" s="113" t="n"/>
      <c r="F2403" s="113" t="n"/>
      <c r="G2403" s="113" t="n"/>
      <c r="H2403" s="113" t="n"/>
      <c r="I2403" s="113" t="n"/>
      <c r="J2403" s="113" t="n"/>
      <c r="K2403" s="113" t="n"/>
      <c r="L2403" s="113" t="n"/>
      <c r="M2403" s="113" t="n"/>
      <c r="N2403" s="113" t="n"/>
      <c r="O2403" s="113" t="n"/>
      <c r="P2403" s="113" t="n"/>
      <c r="Q2403" s="113" t="n"/>
      <c r="R2403" s="113" t="n"/>
      <c r="S2403" s="113" t="n"/>
      <c r="T2403" s="113" t="n"/>
      <c r="U2403" s="113" t="n"/>
      <c r="V2403" s="113" t="n"/>
      <c r="W2403" s="113" t="n"/>
      <c r="X2403" s="113" t="n"/>
      <c r="Y2403" s="113" t="n"/>
      <c r="Z2403" s="117">
        <f>IF($B2403="",0,IF($S2403="EVET",IF($D2403="GELİR",$O2403,-$O2403),0))</f>
        <v/>
      </c>
      <c r="AA2403" s="117">
        <f>IF($B2403="",0,IF(OR($W2403="EVET",$X2403="EVET",$Y2403="EVET"),0,IF($D2403="GELİR",IF($E2403="SATIŞ İADESİ/İSKONTO",-$O2403,$O2403),-$O2403)))</f>
        <v/>
      </c>
      <c r="AB2403" s="117">
        <f>IF($B2403="","",IF(OR($D2403="",$E2403="",$O2403=""),"EKSİK",IF($O2403&lt;=0,"SIFIR/NEGATİF",IF(COUNTIFS($C$6:$C$5000,$C2403,$O$6:$O$5000,$O2403,$B$6:$B$5000,$B2403)&gt;1,"MÜKERRER","OK"))))</f>
        <v/>
      </c>
    </row>
    <row r="2404" ht="16.5" customHeight="1" s="80">
      <c r="A2404" s="113" t="n"/>
      <c r="B2404" s="113" t="n"/>
      <c r="C2404" s="113" t="n"/>
      <c r="D2404" s="113" t="n"/>
      <c r="E2404" s="113" t="n"/>
      <c r="F2404" s="113" t="n"/>
      <c r="G2404" s="113" t="n"/>
      <c r="H2404" s="113" t="n"/>
      <c r="I2404" s="113" t="n"/>
      <c r="J2404" s="113" t="n"/>
      <c r="K2404" s="113" t="n"/>
      <c r="L2404" s="113" t="n"/>
      <c r="M2404" s="113" t="n"/>
      <c r="N2404" s="113" t="n"/>
      <c r="O2404" s="113" t="n"/>
      <c r="P2404" s="113" t="n"/>
      <c r="Q2404" s="113" t="n"/>
      <c r="R2404" s="113" t="n"/>
      <c r="S2404" s="113" t="n"/>
      <c r="T2404" s="113" t="n"/>
      <c r="U2404" s="113" t="n"/>
      <c r="V2404" s="113" t="n"/>
      <c r="W2404" s="113" t="n"/>
      <c r="X2404" s="113" t="n"/>
      <c r="Y2404" s="113" t="n"/>
      <c r="Z2404" s="117">
        <f>IF($B2404="",0,IF($S2404="EVET",IF($D2404="GELİR",$O2404,-$O2404),0))</f>
        <v/>
      </c>
      <c r="AA2404" s="117">
        <f>IF($B2404="",0,IF(OR($W2404="EVET",$X2404="EVET",$Y2404="EVET"),0,IF($D2404="GELİR",IF($E2404="SATIŞ İADESİ/İSKONTO",-$O2404,$O2404),-$O2404)))</f>
        <v/>
      </c>
      <c r="AB2404" s="117">
        <f>IF($B2404="","",IF(OR($D2404="",$E2404="",$O2404=""),"EKSİK",IF($O2404&lt;=0,"SIFIR/NEGATİF",IF(COUNTIFS($C$6:$C$5000,$C2404,$O$6:$O$5000,$O2404,$B$6:$B$5000,$B2404)&gt;1,"MÜKERRER","OK"))))</f>
        <v/>
      </c>
    </row>
    <row r="2405" ht="16.5" customHeight="1" s="80">
      <c r="A2405" s="113" t="n"/>
      <c r="B2405" s="113" t="n"/>
      <c r="C2405" s="113" t="n"/>
      <c r="D2405" s="113" t="n"/>
      <c r="E2405" s="113" t="n"/>
      <c r="F2405" s="113" t="n"/>
      <c r="G2405" s="113" t="n"/>
      <c r="H2405" s="113" t="n"/>
      <c r="I2405" s="113" t="n"/>
      <c r="J2405" s="113" t="n"/>
      <c r="K2405" s="113" t="n"/>
      <c r="L2405" s="113" t="n"/>
      <c r="M2405" s="113" t="n"/>
      <c r="N2405" s="113" t="n"/>
      <c r="O2405" s="113" t="n"/>
      <c r="P2405" s="113" t="n"/>
      <c r="Q2405" s="113" t="n"/>
      <c r="R2405" s="113" t="n"/>
      <c r="S2405" s="113" t="n"/>
      <c r="T2405" s="113" t="n"/>
      <c r="U2405" s="113" t="n"/>
      <c r="V2405" s="113" t="n"/>
      <c r="W2405" s="113" t="n"/>
      <c r="X2405" s="113" t="n"/>
      <c r="Y2405" s="113" t="n"/>
      <c r="Z2405" s="117">
        <f>IF($B2405="",0,IF($S2405="EVET",IF($D2405="GELİR",$O2405,-$O2405),0))</f>
        <v/>
      </c>
      <c r="AA2405" s="117">
        <f>IF($B2405="",0,IF(OR($W2405="EVET",$X2405="EVET",$Y2405="EVET"),0,IF($D2405="GELİR",IF($E2405="SATIŞ İADESİ/İSKONTO",-$O2405,$O2405),-$O2405)))</f>
        <v/>
      </c>
      <c r="AB2405" s="117">
        <f>IF($B2405="","",IF(OR($D2405="",$E2405="",$O2405=""),"EKSİK",IF($O2405&lt;=0,"SIFIR/NEGATİF",IF(COUNTIFS($C$6:$C$5000,$C2405,$O$6:$O$5000,$O2405,$B$6:$B$5000,$B2405)&gt;1,"MÜKERRER","OK"))))</f>
        <v/>
      </c>
    </row>
    <row r="2406" ht="16.5" customHeight="1" s="80">
      <c r="A2406" s="113" t="n"/>
      <c r="B2406" s="113" t="n"/>
      <c r="C2406" s="113" t="n"/>
      <c r="D2406" s="113" t="n"/>
      <c r="E2406" s="113" t="n"/>
      <c r="F2406" s="113" t="n"/>
      <c r="G2406" s="113" t="n"/>
      <c r="H2406" s="113" t="n"/>
      <c r="I2406" s="113" t="n"/>
      <c r="J2406" s="113" t="n"/>
      <c r="K2406" s="113" t="n"/>
      <c r="L2406" s="113" t="n"/>
      <c r="M2406" s="113" t="n"/>
      <c r="N2406" s="113" t="n"/>
      <c r="O2406" s="113" t="n"/>
      <c r="P2406" s="113" t="n"/>
      <c r="Q2406" s="113" t="n"/>
      <c r="R2406" s="113" t="n"/>
      <c r="S2406" s="113" t="n"/>
      <c r="T2406" s="113" t="n"/>
      <c r="U2406" s="113" t="n"/>
      <c r="V2406" s="113" t="n"/>
      <c r="W2406" s="113" t="n"/>
      <c r="X2406" s="113" t="n"/>
      <c r="Y2406" s="113" t="n"/>
      <c r="Z2406" s="117">
        <f>IF($B2406="",0,IF($S2406="EVET",IF($D2406="GELİR",$O2406,-$O2406),0))</f>
        <v/>
      </c>
      <c r="AA2406" s="117">
        <f>IF($B2406="",0,IF(OR($W2406="EVET",$X2406="EVET",$Y2406="EVET"),0,IF($D2406="GELİR",IF($E2406="SATIŞ İADESİ/İSKONTO",-$O2406,$O2406),-$O2406)))</f>
        <v/>
      </c>
      <c r="AB2406" s="117">
        <f>IF($B2406="","",IF(OR($D2406="",$E2406="",$O2406=""),"EKSİK",IF($O2406&lt;=0,"SIFIR/NEGATİF",IF(COUNTIFS($C$6:$C$5000,$C2406,$O$6:$O$5000,$O2406,$B$6:$B$5000,$B2406)&gt;1,"MÜKERRER","OK"))))</f>
        <v/>
      </c>
    </row>
    <row r="2407" ht="16.5" customHeight="1" s="80">
      <c r="A2407" s="113" t="n"/>
      <c r="B2407" s="113" t="n"/>
      <c r="C2407" s="113" t="n"/>
      <c r="D2407" s="113" t="n"/>
      <c r="E2407" s="113" t="n"/>
      <c r="F2407" s="113" t="n"/>
      <c r="G2407" s="113" t="n"/>
      <c r="H2407" s="113" t="n"/>
      <c r="I2407" s="113" t="n"/>
      <c r="J2407" s="113" t="n"/>
      <c r="K2407" s="113" t="n"/>
      <c r="L2407" s="113" t="n"/>
      <c r="M2407" s="113" t="n"/>
      <c r="N2407" s="113" t="n"/>
      <c r="O2407" s="113" t="n"/>
      <c r="P2407" s="113" t="n"/>
      <c r="Q2407" s="113" t="n"/>
      <c r="R2407" s="113" t="n"/>
      <c r="S2407" s="113" t="n"/>
      <c r="T2407" s="113" t="n"/>
      <c r="U2407" s="113" t="n"/>
      <c r="V2407" s="113" t="n"/>
      <c r="W2407" s="113" t="n"/>
      <c r="X2407" s="113" t="n"/>
      <c r="Y2407" s="113" t="n"/>
      <c r="Z2407" s="117">
        <f>IF($B2407="",0,IF($S2407="EVET",IF($D2407="GELİR",$O2407,-$O2407),0))</f>
        <v/>
      </c>
      <c r="AA2407" s="117">
        <f>IF($B2407="",0,IF(OR($W2407="EVET",$X2407="EVET",$Y2407="EVET"),0,IF($D2407="GELİR",IF($E2407="SATIŞ İADESİ/İSKONTO",-$O2407,$O2407),-$O2407)))</f>
        <v/>
      </c>
      <c r="AB2407" s="117">
        <f>IF($B2407="","",IF(OR($D2407="",$E2407="",$O2407=""),"EKSİK",IF($O2407&lt;=0,"SIFIR/NEGATİF",IF(COUNTIFS($C$6:$C$5000,$C2407,$O$6:$O$5000,$O2407,$B$6:$B$5000,$B2407)&gt;1,"MÜKERRER","OK"))))</f>
        <v/>
      </c>
    </row>
    <row r="2408" ht="16.5" customHeight="1" s="80">
      <c r="A2408" s="113" t="n"/>
      <c r="B2408" s="113" t="n"/>
      <c r="C2408" s="113" t="n"/>
      <c r="D2408" s="113" t="n"/>
      <c r="E2408" s="113" t="n"/>
      <c r="F2408" s="113" t="n"/>
      <c r="G2408" s="113" t="n"/>
      <c r="H2408" s="113" t="n"/>
      <c r="I2408" s="113" t="n"/>
      <c r="J2408" s="113" t="n"/>
      <c r="K2408" s="113" t="n"/>
      <c r="L2408" s="113" t="n"/>
      <c r="M2408" s="113" t="n"/>
      <c r="N2408" s="113" t="n"/>
      <c r="O2408" s="113" t="n"/>
      <c r="P2408" s="113" t="n"/>
      <c r="Q2408" s="113" t="n"/>
      <c r="R2408" s="113" t="n"/>
      <c r="S2408" s="113" t="n"/>
      <c r="T2408" s="113" t="n"/>
      <c r="U2408" s="113" t="n"/>
      <c r="V2408" s="113" t="n"/>
      <c r="W2408" s="113" t="n"/>
      <c r="X2408" s="113" t="n"/>
      <c r="Y2408" s="113" t="n"/>
      <c r="Z2408" s="117">
        <f>IF($B2408="",0,IF($S2408="EVET",IF($D2408="GELİR",$O2408,-$O2408),0))</f>
        <v/>
      </c>
      <c r="AA2408" s="117">
        <f>IF($B2408="",0,IF(OR($W2408="EVET",$X2408="EVET",$Y2408="EVET"),0,IF($D2408="GELİR",IF($E2408="SATIŞ İADESİ/İSKONTO",-$O2408,$O2408),-$O2408)))</f>
        <v/>
      </c>
      <c r="AB2408" s="117">
        <f>IF($B2408="","",IF(OR($D2408="",$E2408="",$O2408=""),"EKSİK",IF($O2408&lt;=0,"SIFIR/NEGATİF",IF(COUNTIFS($C$6:$C$5000,$C2408,$O$6:$O$5000,$O2408,$B$6:$B$5000,$B2408)&gt;1,"MÜKERRER","OK"))))</f>
        <v/>
      </c>
    </row>
    <row r="2409" ht="16.5" customHeight="1" s="80">
      <c r="A2409" s="113" t="n"/>
      <c r="B2409" s="113" t="n"/>
      <c r="C2409" s="113" t="n"/>
      <c r="D2409" s="113" t="n"/>
      <c r="E2409" s="113" t="n"/>
      <c r="F2409" s="113" t="n"/>
      <c r="G2409" s="113" t="n"/>
      <c r="H2409" s="113" t="n"/>
      <c r="I2409" s="113" t="n"/>
      <c r="J2409" s="113" t="n"/>
      <c r="K2409" s="113" t="n"/>
      <c r="L2409" s="113" t="n"/>
      <c r="M2409" s="113" t="n"/>
      <c r="N2409" s="113" t="n"/>
      <c r="O2409" s="113" t="n"/>
      <c r="P2409" s="113" t="n"/>
      <c r="Q2409" s="113" t="n"/>
      <c r="R2409" s="113" t="n"/>
      <c r="S2409" s="113" t="n"/>
      <c r="T2409" s="113" t="n"/>
      <c r="U2409" s="113" t="n"/>
      <c r="V2409" s="113" t="n"/>
      <c r="W2409" s="113" t="n"/>
      <c r="X2409" s="113" t="n"/>
      <c r="Y2409" s="113" t="n"/>
      <c r="Z2409" s="117">
        <f>IF($B2409="",0,IF($S2409="EVET",IF($D2409="GELİR",$O2409,-$O2409),0))</f>
        <v/>
      </c>
      <c r="AA2409" s="117">
        <f>IF($B2409="",0,IF(OR($W2409="EVET",$X2409="EVET",$Y2409="EVET"),0,IF($D2409="GELİR",IF($E2409="SATIŞ İADESİ/İSKONTO",-$O2409,$O2409),-$O2409)))</f>
        <v/>
      </c>
      <c r="AB2409" s="117">
        <f>IF($B2409="","",IF(OR($D2409="",$E2409="",$O2409=""),"EKSİK",IF($O2409&lt;=0,"SIFIR/NEGATİF",IF(COUNTIFS($C$6:$C$5000,$C2409,$O$6:$O$5000,$O2409,$B$6:$B$5000,$B2409)&gt;1,"MÜKERRER","OK"))))</f>
        <v/>
      </c>
    </row>
    <row r="2410" ht="16.5" customHeight="1" s="80">
      <c r="A2410" s="113" t="n"/>
      <c r="B2410" s="113" t="n"/>
      <c r="C2410" s="113" t="n"/>
      <c r="D2410" s="113" t="n"/>
      <c r="E2410" s="113" t="n"/>
      <c r="F2410" s="113" t="n"/>
      <c r="G2410" s="113" t="n"/>
      <c r="H2410" s="113" t="n"/>
      <c r="I2410" s="113" t="n"/>
      <c r="J2410" s="113" t="n"/>
      <c r="K2410" s="113" t="n"/>
      <c r="L2410" s="113" t="n"/>
      <c r="M2410" s="113" t="n"/>
      <c r="N2410" s="113" t="n"/>
      <c r="O2410" s="113" t="n"/>
      <c r="P2410" s="113" t="n"/>
      <c r="Q2410" s="113" t="n"/>
      <c r="R2410" s="113" t="n"/>
      <c r="S2410" s="113" t="n"/>
      <c r="T2410" s="113" t="n"/>
      <c r="U2410" s="113" t="n"/>
      <c r="V2410" s="113" t="n"/>
      <c r="W2410" s="113" t="n"/>
      <c r="X2410" s="113" t="n"/>
      <c r="Y2410" s="113" t="n"/>
      <c r="Z2410" s="117">
        <f>IF($B2410="",0,IF($S2410="EVET",IF($D2410="GELİR",$O2410,-$O2410),0))</f>
        <v/>
      </c>
      <c r="AA2410" s="117">
        <f>IF($B2410="",0,IF(OR($W2410="EVET",$X2410="EVET",$Y2410="EVET"),0,IF($D2410="GELİR",IF($E2410="SATIŞ İADESİ/İSKONTO",-$O2410,$O2410),-$O2410)))</f>
        <v/>
      </c>
      <c r="AB2410" s="117">
        <f>IF($B2410="","",IF(OR($D2410="",$E2410="",$O2410=""),"EKSİK",IF($O2410&lt;=0,"SIFIR/NEGATİF",IF(COUNTIFS($C$6:$C$5000,$C2410,$O$6:$O$5000,$O2410,$B$6:$B$5000,$B2410)&gt;1,"MÜKERRER","OK"))))</f>
        <v/>
      </c>
    </row>
    <row r="2411" ht="16.5" customHeight="1" s="80">
      <c r="A2411" s="113" t="n"/>
      <c r="B2411" s="113" t="n"/>
      <c r="C2411" s="113" t="n"/>
      <c r="D2411" s="113" t="n"/>
      <c r="E2411" s="113" t="n"/>
      <c r="F2411" s="113" t="n"/>
      <c r="G2411" s="113" t="n"/>
      <c r="H2411" s="113" t="n"/>
      <c r="I2411" s="113" t="n"/>
      <c r="J2411" s="113" t="n"/>
      <c r="K2411" s="113" t="n"/>
      <c r="L2411" s="113" t="n"/>
      <c r="M2411" s="113" t="n"/>
      <c r="N2411" s="113" t="n"/>
      <c r="O2411" s="113" t="n"/>
      <c r="P2411" s="113" t="n"/>
      <c r="Q2411" s="113" t="n"/>
      <c r="R2411" s="113" t="n"/>
      <c r="S2411" s="113" t="n"/>
      <c r="T2411" s="113" t="n"/>
      <c r="U2411" s="113" t="n"/>
      <c r="V2411" s="113" t="n"/>
      <c r="W2411" s="113" t="n"/>
      <c r="X2411" s="113" t="n"/>
      <c r="Y2411" s="113" t="n"/>
      <c r="Z2411" s="117">
        <f>IF($B2411="",0,IF($S2411="EVET",IF($D2411="GELİR",$O2411,-$O2411),0))</f>
        <v/>
      </c>
      <c r="AA2411" s="117">
        <f>IF($B2411="",0,IF(OR($W2411="EVET",$X2411="EVET",$Y2411="EVET"),0,IF($D2411="GELİR",IF($E2411="SATIŞ İADESİ/İSKONTO",-$O2411,$O2411),-$O2411)))</f>
        <v/>
      </c>
      <c r="AB2411" s="117">
        <f>IF($B2411="","",IF(OR($D2411="",$E2411="",$O2411=""),"EKSİK",IF($O2411&lt;=0,"SIFIR/NEGATİF",IF(COUNTIFS($C$6:$C$5000,$C2411,$O$6:$O$5000,$O2411,$B$6:$B$5000,$B2411)&gt;1,"MÜKERRER","OK"))))</f>
        <v/>
      </c>
    </row>
    <row r="2412" ht="16.5" customHeight="1" s="80">
      <c r="A2412" s="113" t="n"/>
      <c r="B2412" s="113" t="n"/>
      <c r="C2412" s="113" t="n"/>
      <c r="D2412" s="113" t="n"/>
      <c r="E2412" s="113" t="n"/>
      <c r="F2412" s="113" t="n"/>
      <c r="G2412" s="113" t="n"/>
      <c r="H2412" s="113" t="n"/>
      <c r="I2412" s="113" t="n"/>
      <c r="J2412" s="113" t="n"/>
      <c r="K2412" s="113" t="n"/>
      <c r="L2412" s="113" t="n"/>
      <c r="M2412" s="113" t="n"/>
      <c r="N2412" s="113" t="n"/>
      <c r="O2412" s="113" t="n"/>
      <c r="P2412" s="113" t="n"/>
      <c r="Q2412" s="113" t="n"/>
      <c r="R2412" s="113" t="n"/>
      <c r="S2412" s="113" t="n"/>
      <c r="T2412" s="113" t="n"/>
      <c r="U2412" s="113" t="n"/>
      <c r="V2412" s="113" t="n"/>
      <c r="W2412" s="113" t="n"/>
      <c r="X2412" s="113" t="n"/>
      <c r="Y2412" s="113" t="n"/>
      <c r="Z2412" s="117">
        <f>IF($B2412="",0,IF($S2412="EVET",IF($D2412="GELİR",$O2412,-$O2412),0))</f>
        <v/>
      </c>
      <c r="AA2412" s="117">
        <f>IF($B2412="",0,IF(OR($W2412="EVET",$X2412="EVET",$Y2412="EVET"),0,IF($D2412="GELİR",IF($E2412="SATIŞ İADESİ/İSKONTO",-$O2412,$O2412),-$O2412)))</f>
        <v/>
      </c>
      <c r="AB2412" s="117">
        <f>IF($B2412="","",IF(OR($D2412="",$E2412="",$O2412=""),"EKSİK",IF($O2412&lt;=0,"SIFIR/NEGATİF",IF(COUNTIFS($C$6:$C$5000,$C2412,$O$6:$O$5000,$O2412,$B$6:$B$5000,$B2412)&gt;1,"MÜKERRER","OK"))))</f>
        <v/>
      </c>
    </row>
    <row r="2413" ht="16.5" customHeight="1" s="80">
      <c r="A2413" s="113" t="n"/>
      <c r="B2413" s="113" t="n"/>
      <c r="C2413" s="113" t="n"/>
      <c r="D2413" s="113" t="n"/>
      <c r="E2413" s="113" t="n"/>
      <c r="F2413" s="113" t="n"/>
      <c r="G2413" s="113" t="n"/>
      <c r="H2413" s="113" t="n"/>
      <c r="I2413" s="113" t="n"/>
      <c r="J2413" s="113" t="n"/>
      <c r="K2413" s="113" t="n"/>
      <c r="L2413" s="113" t="n"/>
      <c r="M2413" s="113" t="n"/>
      <c r="N2413" s="113" t="n"/>
      <c r="O2413" s="113" t="n"/>
      <c r="P2413" s="113" t="n"/>
      <c r="Q2413" s="113" t="n"/>
      <c r="R2413" s="113" t="n"/>
      <c r="S2413" s="113" t="n"/>
      <c r="T2413" s="113" t="n"/>
      <c r="U2413" s="113" t="n"/>
      <c r="V2413" s="113" t="n"/>
      <c r="W2413" s="113" t="n"/>
      <c r="X2413" s="113" t="n"/>
      <c r="Y2413" s="113" t="n"/>
      <c r="Z2413" s="117">
        <f>IF($B2413="",0,IF($S2413="EVET",IF($D2413="GELİR",$O2413,-$O2413),0))</f>
        <v/>
      </c>
      <c r="AA2413" s="117">
        <f>IF($B2413="",0,IF(OR($W2413="EVET",$X2413="EVET",$Y2413="EVET"),0,IF($D2413="GELİR",IF($E2413="SATIŞ İADESİ/İSKONTO",-$O2413,$O2413),-$O2413)))</f>
        <v/>
      </c>
      <c r="AB2413" s="117">
        <f>IF($B2413="","",IF(OR($D2413="",$E2413="",$O2413=""),"EKSİK",IF($O2413&lt;=0,"SIFIR/NEGATİF",IF(COUNTIFS($C$6:$C$5000,$C2413,$O$6:$O$5000,$O2413,$B$6:$B$5000,$B2413)&gt;1,"MÜKERRER","OK"))))</f>
        <v/>
      </c>
    </row>
    <row r="2414" ht="16.5" customHeight="1" s="80">
      <c r="A2414" s="113" t="n"/>
      <c r="B2414" s="113" t="n"/>
      <c r="C2414" s="113" t="n"/>
      <c r="D2414" s="113" t="n"/>
      <c r="E2414" s="113" t="n"/>
      <c r="F2414" s="113" t="n"/>
      <c r="G2414" s="113" t="n"/>
      <c r="H2414" s="113" t="n"/>
      <c r="I2414" s="113" t="n"/>
      <c r="J2414" s="113" t="n"/>
      <c r="K2414" s="113" t="n"/>
      <c r="L2414" s="113" t="n"/>
      <c r="M2414" s="113" t="n"/>
      <c r="N2414" s="113" t="n"/>
      <c r="O2414" s="113" t="n"/>
      <c r="P2414" s="113" t="n"/>
      <c r="Q2414" s="113" t="n"/>
      <c r="R2414" s="113" t="n"/>
      <c r="S2414" s="113" t="n"/>
      <c r="T2414" s="113" t="n"/>
      <c r="U2414" s="113" t="n"/>
      <c r="V2414" s="113" t="n"/>
      <c r="W2414" s="113" t="n"/>
      <c r="X2414" s="113" t="n"/>
      <c r="Y2414" s="113" t="n"/>
      <c r="Z2414" s="117">
        <f>IF($B2414="",0,IF($S2414="EVET",IF($D2414="GELİR",$O2414,-$O2414),0))</f>
        <v/>
      </c>
      <c r="AA2414" s="117">
        <f>IF($B2414="",0,IF(OR($W2414="EVET",$X2414="EVET",$Y2414="EVET"),0,IF($D2414="GELİR",IF($E2414="SATIŞ İADESİ/İSKONTO",-$O2414,$O2414),-$O2414)))</f>
        <v/>
      </c>
      <c r="AB2414" s="117">
        <f>IF($B2414="","",IF(OR($D2414="",$E2414="",$O2414=""),"EKSİK",IF($O2414&lt;=0,"SIFIR/NEGATİF",IF(COUNTIFS($C$6:$C$5000,$C2414,$O$6:$O$5000,$O2414,$B$6:$B$5000,$B2414)&gt;1,"MÜKERRER","OK"))))</f>
        <v/>
      </c>
    </row>
    <row r="2415" ht="16.5" customHeight="1" s="80">
      <c r="A2415" s="113" t="n"/>
      <c r="B2415" s="113" t="n"/>
      <c r="C2415" s="113" t="n"/>
      <c r="D2415" s="113" t="n"/>
      <c r="E2415" s="113" t="n"/>
      <c r="F2415" s="113" t="n"/>
      <c r="G2415" s="113" t="n"/>
      <c r="H2415" s="113" t="n"/>
      <c r="I2415" s="113" t="n"/>
      <c r="J2415" s="113" t="n"/>
      <c r="K2415" s="113" t="n"/>
      <c r="L2415" s="113" t="n"/>
      <c r="M2415" s="113" t="n"/>
      <c r="N2415" s="113" t="n"/>
      <c r="O2415" s="113" t="n"/>
      <c r="P2415" s="113" t="n"/>
      <c r="Q2415" s="113" t="n"/>
      <c r="R2415" s="113" t="n"/>
      <c r="S2415" s="113" t="n"/>
      <c r="T2415" s="113" t="n"/>
      <c r="U2415" s="113" t="n"/>
      <c r="V2415" s="113" t="n"/>
      <c r="W2415" s="113" t="n"/>
      <c r="X2415" s="113" t="n"/>
      <c r="Y2415" s="113" t="n"/>
      <c r="Z2415" s="117">
        <f>IF($B2415="",0,IF($S2415="EVET",IF($D2415="GELİR",$O2415,-$O2415),0))</f>
        <v/>
      </c>
      <c r="AA2415" s="117">
        <f>IF($B2415="",0,IF(OR($W2415="EVET",$X2415="EVET",$Y2415="EVET"),0,IF($D2415="GELİR",IF($E2415="SATIŞ İADESİ/İSKONTO",-$O2415,$O2415),-$O2415)))</f>
        <v/>
      </c>
      <c r="AB2415" s="117">
        <f>IF($B2415="","",IF(OR($D2415="",$E2415="",$O2415=""),"EKSİK",IF($O2415&lt;=0,"SIFIR/NEGATİF",IF(COUNTIFS($C$6:$C$5000,$C2415,$O$6:$O$5000,$O2415,$B$6:$B$5000,$B2415)&gt;1,"MÜKERRER","OK"))))</f>
        <v/>
      </c>
    </row>
    <row r="2416" ht="16.5" customHeight="1" s="80">
      <c r="A2416" s="113" t="n"/>
      <c r="B2416" s="113" t="n"/>
      <c r="C2416" s="113" t="n"/>
      <c r="D2416" s="113" t="n"/>
      <c r="E2416" s="113" t="n"/>
      <c r="F2416" s="113" t="n"/>
      <c r="G2416" s="113" t="n"/>
      <c r="H2416" s="113" t="n"/>
      <c r="I2416" s="113" t="n"/>
      <c r="J2416" s="113" t="n"/>
      <c r="K2416" s="113" t="n"/>
      <c r="L2416" s="113" t="n"/>
      <c r="M2416" s="113" t="n"/>
      <c r="N2416" s="113" t="n"/>
      <c r="O2416" s="113" t="n"/>
      <c r="P2416" s="113" t="n"/>
      <c r="Q2416" s="113" t="n"/>
      <c r="R2416" s="113" t="n"/>
      <c r="S2416" s="113" t="n"/>
      <c r="T2416" s="113" t="n"/>
      <c r="U2416" s="113" t="n"/>
      <c r="V2416" s="113" t="n"/>
      <c r="W2416" s="113" t="n"/>
      <c r="X2416" s="113" t="n"/>
      <c r="Y2416" s="113" t="n"/>
      <c r="Z2416" s="117">
        <f>IF($B2416="",0,IF($S2416="EVET",IF($D2416="GELİR",$O2416,-$O2416),0))</f>
        <v/>
      </c>
      <c r="AA2416" s="117">
        <f>IF($B2416="",0,IF(OR($W2416="EVET",$X2416="EVET",$Y2416="EVET"),0,IF($D2416="GELİR",IF($E2416="SATIŞ İADESİ/İSKONTO",-$O2416,$O2416),-$O2416)))</f>
        <v/>
      </c>
      <c r="AB2416" s="117">
        <f>IF($B2416="","",IF(OR($D2416="",$E2416="",$O2416=""),"EKSİK",IF($O2416&lt;=0,"SIFIR/NEGATİF",IF(COUNTIFS($C$6:$C$5000,$C2416,$O$6:$O$5000,$O2416,$B$6:$B$5000,$B2416)&gt;1,"MÜKERRER","OK"))))</f>
        <v/>
      </c>
    </row>
    <row r="2417" ht="16.5" customHeight="1" s="80">
      <c r="A2417" s="113" t="n"/>
      <c r="B2417" s="113" t="n"/>
      <c r="C2417" s="113" t="n"/>
      <c r="D2417" s="113" t="n"/>
      <c r="E2417" s="113" t="n"/>
      <c r="F2417" s="113" t="n"/>
      <c r="G2417" s="113" t="n"/>
      <c r="H2417" s="113" t="n"/>
      <c r="I2417" s="113" t="n"/>
      <c r="J2417" s="113" t="n"/>
      <c r="K2417" s="113" t="n"/>
      <c r="L2417" s="113" t="n"/>
      <c r="M2417" s="113" t="n"/>
      <c r="N2417" s="113" t="n"/>
      <c r="O2417" s="113" t="n"/>
      <c r="P2417" s="113" t="n"/>
      <c r="Q2417" s="113" t="n"/>
      <c r="R2417" s="113" t="n"/>
      <c r="S2417" s="113" t="n"/>
      <c r="T2417" s="113" t="n"/>
      <c r="U2417" s="113" t="n"/>
      <c r="V2417" s="113" t="n"/>
      <c r="W2417" s="113" t="n"/>
      <c r="X2417" s="113" t="n"/>
      <c r="Y2417" s="113" t="n"/>
      <c r="Z2417" s="117">
        <f>IF($B2417="",0,IF($S2417="EVET",IF($D2417="GELİR",$O2417,-$O2417),0))</f>
        <v/>
      </c>
      <c r="AA2417" s="117">
        <f>IF($B2417="",0,IF(OR($W2417="EVET",$X2417="EVET",$Y2417="EVET"),0,IF($D2417="GELİR",IF($E2417="SATIŞ İADESİ/İSKONTO",-$O2417,$O2417),-$O2417)))</f>
        <v/>
      </c>
      <c r="AB2417" s="117">
        <f>IF($B2417="","",IF(OR($D2417="",$E2417="",$O2417=""),"EKSİK",IF($O2417&lt;=0,"SIFIR/NEGATİF",IF(COUNTIFS($C$6:$C$5000,$C2417,$O$6:$O$5000,$O2417,$B$6:$B$5000,$B2417)&gt;1,"MÜKERRER","OK"))))</f>
        <v/>
      </c>
    </row>
    <row r="2418" ht="16.5" customHeight="1" s="80">
      <c r="A2418" s="113" t="n"/>
      <c r="B2418" s="113" t="n"/>
      <c r="C2418" s="113" t="n"/>
      <c r="D2418" s="113" t="n"/>
      <c r="E2418" s="113" t="n"/>
      <c r="F2418" s="113" t="n"/>
      <c r="G2418" s="113" t="n"/>
      <c r="H2418" s="113" t="n"/>
      <c r="I2418" s="113" t="n"/>
      <c r="J2418" s="113" t="n"/>
      <c r="K2418" s="113" t="n"/>
      <c r="L2418" s="113" t="n"/>
      <c r="M2418" s="113" t="n"/>
      <c r="N2418" s="113" t="n"/>
      <c r="O2418" s="113" t="n"/>
      <c r="P2418" s="113" t="n"/>
      <c r="Q2418" s="113" t="n"/>
      <c r="R2418" s="113" t="n"/>
      <c r="S2418" s="113" t="n"/>
      <c r="T2418" s="113" t="n"/>
      <c r="U2418" s="113" t="n"/>
      <c r="V2418" s="113" t="n"/>
      <c r="W2418" s="113" t="n"/>
      <c r="X2418" s="113" t="n"/>
      <c r="Y2418" s="113" t="n"/>
      <c r="Z2418" s="117">
        <f>IF($B2418="",0,IF($S2418="EVET",IF($D2418="GELİR",$O2418,-$O2418),0))</f>
        <v/>
      </c>
      <c r="AA2418" s="117">
        <f>IF($B2418="",0,IF(OR($W2418="EVET",$X2418="EVET",$Y2418="EVET"),0,IF($D2418="GELİR",IF($E2418="SATIŞ İADESİ/İSKONTO",-$O2418,$O2418),-$O2418)))</f>
        <v/>
      </c>
      <c r="AB2418" s="117">
        <f>IF($B2418="","",IF(OR($D2418="",$E2418="",$O2418=""),"EKSİK",IF($O2418&lt;=0,"SIFIR/NEGATİF",IF(COUNTIFS($C$6:$C$5000,$C2418,$O$6:$O$5000,$O2418,$B$6:$B$5000,$B2418)&gt;1,"MÜKERRER","OK"))))</f>
        <v/>
      </c>
    </row>
    <row r="2419" ht="16.5" customHeight="1" s="80">
      <c r="A2419" s="113" t="n"/>
      <c r="B2419" s="113" t="n"/>
      <c r="C2419" s="113" t="n"/>
      <c r="D2419" s="113" t="n"/>
      <c r="E2419" s="113" t="n"/>
      <c r="F2419" s="113" t="n"/>
      <c r="G2419" s="113" t="n"/>
      <c r="H2419" s="113" t="n"/>
      <c r="I2419" s="113" t="n"/>
      <c r="J2419" s="113" t="n"/>
      <c r="K2419" s="113" t="n"/>
      <c r="L2419" s="113" t="n"/>
      <c r="M2419" s="113" t="n"/>
      <c r="N2419" s="113" t="n"/>
      <c r="O2419" s="113" t="n"/>
      <c r="P2419" s="113" t="n"/>
      <c r="Q2419" s="113" t="n"/>
      <c r="R2419" s="113" t="n"/>
      <c r="S2419" s="113" t="n"/>
      <c r="T2419" s="113" t="n"/>
      <c r="U2419" s="113" t="n"/>
      <c r="V2419" s="113" t="n"/>
      <c r="W2419" s="113" t="n"/>
      <c r="X2419" s="113" t="n"/>
      <c r="Y2419" s="113" t="n"/>
      <c r="Z2419" s="117">
        <f>IF($B2419="",0,IF($S2419="EVET",IF($D2419="GELİR",$O2419,-$O2419),0))</f>
        <v/>
      </c>
      <c r="AA2419" s="117">
        <f>IF($B2419="",0,IF(OR($W2419="EVET",$X2419="EVET",$Y2419="EVET"),0,IF($D2419="GELİR",IF($E2419="SATIŞ İADESİ/İSKONTO",-$O2419,$O2419),-$O2419)))</f>
        <v/>
      </c>
      <c r="AB2419" s="117">
        <f>IF($B2419="","",IF(OR($D2419="",$E2419="",$O2419=""),"EKSİK",IF($O2419&lt;=0,"SIFIR/NEGATİF",IF(COUNTIFS($C$6:$C$5000,$C2419,$O$6:$O$5000,$O2419,$B$6:$B$5000,$B2419)&gt;1,"MÜKERRER","OK"))))</f>
        <v/>
      </c>
    </row>
    <row r="2420" ht="16.5" customHeight="1" s="80">
      <c r="A2420" s="113" t="n"/>
      <c r="B2420" s="113" t="n"/>
      <c r="C2420" s="113" t="n"/>
      <c r="D2420" s="113" t="n"/>
      <c r="E2420" s="113" t="n"/>
      <c r="F2420" s="113" t="n"/>
      <c r="G2420" s="113" t="n"/>
      <c r="H2420" s="113" t="n"/>
      <c r="I2420" s="113" t="n"/>
      <c r="J2420" s="113" t="n"/>
      <c r="K2420" s="113" t="n"/>
      <c r="L2420" s="113" t="n"/>
      <c r="M2420" s="113" t="n"/>
      <c r="N2420" s="113" t="n"/>
      <c r="O2420" s="113" t="n"/>
      <c r="P2420" s="113" t="n"/>
      <c r="Q2420" s="113" t="n"/>
      <c r="R2420" s="113" t="n"/>
      <c r="S2420" s="113" t="n"/>
      <c r="T2420" s="113" t="n"/>
      <c r="U2420" s="113" t="n"/>
      <c r="V2420" s="113" t="n"/>
      <c r="W2420" s="113" t="n"/>
      <c r="X2420" s="113" t="n"/>
      <c r="Y2420" s="113" t="n"/>
      <c r="Z2420" s="117">
        <f>IF($B2420="",0,IF($S2420="EVET",IF($D2420="GELİR",$O2420,-$O2420),0))</f>
        <v/>
      </c>
      <c r="AA2420" s="117">
        <f>IF($B2420="",0,IF(OR($W2420="EVET",$X2420="EVET",$Y2420="EVET"),0,IF($D2420="GELİR",IF($E2420="SATIŞ İADESİ/İSKONTO",-$O2420,$O2420),-$O2420)))</f>
        <v/>
      </c>
      <c r="AB2420" s="117">
        <f>IF($B2420="","",IF(OR($D2420="",$E2420="",$O2420=""),"EKSİK",IF($O2420&lt;=0,"SIFIR/NEGATİF",IF(COUNTIFS($C$6:$C$5000,$C2420,$O$6:$O$5000,$O2420,$B$6:$B$5000,$B2420)&gt;1,"MÜKERRER","OK"))))</f>
        <v/>
      </c>
    </row>
    <row r="2421" ht="16.5" customHeight="1" s="80">
      <c r="A2421" s="113" t="n"/>
      <c r="B2421" s="113" t="n"/>
      <c r="C2421" s="113" t="n"/>
      <c r="D2421" s="113" t="n"/>
      <c r="E2421" s="113" t="n"/>
      <c r="F2421" s="113" t="n"/>
      <c r="G2421" s="113" t="n"/>
      <c r="H2421" s="113" t="n"/>
      <c r="I2421" s="113" t="n"/>
      <c r="J2421" s="113" t="n"/>
      <c r="K2421" s="113" t="n"/>
      <c r="L2421" s="113" t="n"/>
      <c r="M2421" s="113" t="n"/>
      <c r="N2421" s="113" t="n"/>
      <c r="O2421" s="113" t="n"/>
      <c r="P2421" s="113" t="n"/>
      <c r="Q2421" s="113" t="n"/>
      <c r="R2421" s="113" t="n"/>
      <c r="S2421" s="113" t="n"/>
      <c r="T2421" s="113" t="n"/>
      <c r="U2421" s="113" t="n"/>
      <c r="V2421" s="113" t="n"/>
      <c r="W2421" s="113" t="n"/>
      <c r="X2421" s="113" t="n"/>
      <c r="Y2421" s="113" t="n"/>
      <c r="Z2421" s="117">
        <f>IF($B2421="",0,IF($S2421="EVET",IF($D2421="GELİR",$O2421,-$O2421),0))</f>
        <v/>
      </c>
      <c r="AA2421" s="117">
        <f>IF($B2421="",0,IF(OR($W2421="EVET",$X2421="EVET",$Y2421="EVET"),0,IF($D2421="GELİR",IF($E2421="SATIŞ İADESİ/İSKONTO",-$O2421,$O2421),-$O2421)))</f>
        <v/>
      </c>
      <c r="AB2421" s="117">
        <f>IF($B2421="","",IF(OR($D2421="",$E2421="",$O2421=""),"EKSİK",IF($O2421&lt;=0,"SIFIR/NEGATİF",IF(COUNTIFS($C$6:$C$5000,$C2421,$O$6:$O$5000,$O2421,$B$6:$B$5000,$B2421)&gt;1,"MÜKERRER","OK"))))</f>
        <v/>
      </c>
    </row>
    <row r="2422" ht="16.5" customHeight="1" s="80">
      <c r="A2422" s="113" t="n"/>
      <c r="B2422" s="113" t="n"/>
      <c r="C2422" s="113" t="n"/>
      <c r="D2422" s="113" t="n"/>
      <c r="E2422" s="113" t="n"/>
      <c r="F2422" s="113" t="n"/>
      <c r="G2422" s="113" t="n"/>
      <c r="H2422" s="113" t="n"/>
      <c r="I2422" s="113" t="n"/>
      <c r="J2422" s="113" t="n"/>
      <c r="K2422" s="113" t="n"/>
      <c r="L2422" s="113" t="n"/>
      <c r="M2422" s="113" t="n"/>
      <c r="N2422" s="113" t="n"/>
      <c r="O2422" s="113" t="n"/>
      <c r="P2422" s="113" t="n"/>
      <c r="Q2422" s="113" t="n"/>
      <c r="R2422" s="113" t="n"/>
      <c r="S2422" s="113" t="n"/>
      <c r="T2422" s="113" t="n"/>
      <c r="U2422" s="113" t="n"/>
      <c r="V2422" s="113" t="n"/>
      <c r="W2422" s="113" t="n"/>
      <c r="X2422" s="113" t="n"/>
      <c r="Y2422" s="113" t="n"/>
      <c r="Z2422" s="117">
        <f>IF($B2422="",0,IF($S2422="EVET",IF($D2422="GELİR",$O2422,-$O2422),0))</f>
        <v/>
      </c>
      <c r="AA2422" s="117">
        <f>IF($B2422="",0,IF(OR($W2422="EVET",$X2422="EVET",$Y2422="EVET"),0,IF($D2422="GELİR",IF($E2422="SATIŞ İADESİ/İSKONTO",-$O2422,$O2422),-$O2422)))</f>
        <v/>
      </c>
      <c r="AB2422" s="117">
        <f>IF($B2422="","",IF(OR($D2422="",$E2422="",$O2422=""),"EKSİK",IF($O2422&lt;=0,"SIFIR/NEGATİF",IF(COUNTIFS($C$6:$C$5000,$C2422,$O$6:$O$5000,$O2422,$B$6:$B$5000,$B2422)&gt;1,"MÜKERRER","OK"))))</f>
        <v/>
      </c>
    </row>
    <row r="2423" ht="16.5" customHeight="1" s="80">
      <c r="A2423" s="113" t="n"/>
      <c r="B2423" s="113" t="n"/>
      <c r="C2423" s="113" t="n"/>
      <c r="D2423" s="113" t="n"/>
      <c r="E2423" s="113" t="n"/>
      <c r="F2423" s="113" t="n"/>
      <c r="G2423" s="113" t="n"/>
      <c r="H2423" s="113" t="n"/>
      <c r="I2423" s="113" t="n"/>
      <c r="J2423" s="113" t="n"/>
      <c r="K2423" s="113" t="n"/>
      <c r="L2423" s="113" t="n"/>
      <c r="M2423" s="113" t="n"/>
      <c r="N2423" s="113" t="n"/>
      <c r="O2423" s="113" t="n"/>
      <c r="P2423" s="113" t="n"/>
      <c r="Q2423" s="113" t="n"/>
      <c r="R2423" s="113" t="n"/>
      <c r="S2423" s="113" t="n"/>
      <c r="T2423" s="113" t="n"/>
      <c r="U2423" s="113" t="n"/>
      <c r="V2423" s="113" t="n"/>
      <c r="W2423" s="113" t="n"/>
      <c r="X2423" s="113" t="n"/>
      <c r="Y2423" s="113" t="n"/>
      <c r="Z2423" s="117">
        <f>IF($B2423="",0,IF($S2423="EVET",IF($D2423="GELİR",$O2423,-$O2423),0))</f>
        <v/>
      </c>
      <c r="AA2423" s="117">
        <f>IF($B2423="",0,IF(OR($W2423="EVET",$X2423="EVET",$Y2423="EVET"),0,IF($D2423="GELİR",IF($E2423="SATIŞ İADESİ/İSKONTO",-$O2423,$O2423),-$O2423)))</f>
        <v/>
      </c>
      <c r="AB2423" s="117">
        <f>IF($B2423="","",IF(OR($D2423="",$E2423="",$O2423=""),"EKSİK",IF($O2423&lt;=0,"SIFIR/NEGATİF",IF(COUNTIFS($C$6:$C$5000,$C2423,$O$6:$O$5000,$O2423,$B$6:$B$5000,$B2423)&gt;1,"MÜKERRER","OK"))))</f>
        <v/>
      </c>
    </row>
    <row r="2424" ht="16.5" customHeight="1" s="80">
      <c r="A2424" s="113" t="n"/>
      <c r="B2424" s="113" t="n"/>
      <c r="C2424" s="113" t="n"/>
      <c r="D2424" s="113" t="n"/>
      <c r="E2424" s="113" t="n"/>
      <c r="F2424" s="113" t="n"/>
      <c r="G2424" s="113" t="n"/>
      <c r="H2424" s="113" t="n"/>
      <c r="I2424" s="113" t="n"/>
      <c r="J2424" s="113" t="n"/>
      <c r="K2424" s="113" t="n"/>
      <c r="L2424" s="113" t="n"/>
      <c r="M2424" s="113" t="n"/>
      <c r="N2424" s="113" t="n"/>
      <c r="O2424" s="113" t="n"/>
      <c r="P2424" s="113" t="n"/>
      <c r="Q2424" s="113" t="n"/>
      <c r="R2424" s="113" t="n"/>
      <c r="S2424" s="113" t="n"/>
      <c r="T2424" s="113" t="n"/>
      <c r="U2424" s="113" t="n"/>
      <c r="V2424" s="113" t="n"/>
      <c r="W2424" s="113" t="n"/>
      <c r="X2424" s="113" t="n"/>
      <c r="Y2424" s="113" t="n"/>
      <c r="Z2424" s="117">
        <f>IF($B2424="",0,IF($S2424="EVET",IF($D2424="GELİR",$O2424,-$O2424),0))</f>
        <v/>
      </c>
      <c r="AA2424" s="117">
        <f>IF($B2424="",0,IF(OR($W2424="EVET",$X2424="EVET",$Y2424="EVET"),0,IF($D2424="GELİR",IF($E2424="SATIŞ İADESİ/İSKONTO",-$O2424,$O2424),-$O2424)))</f>
        <v/>
      </c>
      <c r="AB2424" s="117">
        <f>IF($B2424="","",IF(OR($D2424="",$E2424="",$O2424=""),"EKSİK",IF($O2424&lt;=0,"SIFIR/NEGATİF",IF(COUNTIFS($C$6:$C$5000,$C2424,$O$6:$O$5000,$O2424,$B$6:$B$5000,$B2424)&gt;1,"MÜKERRER","OK"))))</f>
        <v/>
      </c>
    </row>
    <row r="2425" ht="16.5" customHeight="1" s="80">
      <c r="A2425" s="113" t="n"/>
      <c r="B2425" s="113" t="n"/>
      <c r="C2425" s="113" t="n"/>
      <c r="D2425" s="113" t="n"/>
      <c r="E2425" s="113" t="n"/>
      <c r="F2425" s="113" t="n"/>
      <c r="G2425" s="113" t="n"/>
      <c r="H2425" s="113" t="n"/>
      <c r="I2425" s="113" t="n"/>
      <c r="J2425" s="113" t="n"/>
      <c r="K2425" s="113" t="n"/>
      <c r="L2425" s="113" t="n"/>
      <c r="M2425" s="113" t="n"/>
      <c r="N2425" s="113" t="n"/>
      <c r="O2425" s="113" t="n"/>
      <c r="P2425" s="113" t="n"/>
      <c r="Q2425" s="113" t="n"/>
      <c r="R2425" s="113" t="n"/>
      <c r="S2425" s="113" t="n"/>
      <c r="T2425" s="113" t="n"/>
      <c r="U2425" s="113" t="n"/>
      <c r="V2425" s="113" t="n"/>
      <c r="W2425" s="113" t="n"/>
      <c r="X2425" s="113" t="n"/>
      <c r="Y2425" s="113" t="n"/>
      <c r="Z2425" s="117">
        <f>IF($B2425="",0,IF($S2425="EVET",IF($D2425="GELİR",$O2425,-$O2425),0))</f>
        <v/>
      </c>
      <c r="AA2425" s="117">
        <f>IF($B2425="",0,IF(OR($W2425="EVET",$X2425="EVET",$Y2425="EVET"),0,IF($D2425="GELİR",IF($E2425="SATIŞ İADESİ/İSKONTO",-$O2425,$O2425),-$O2425)))</f>
        <v/>
      </c>
      <c r="AB2425" s="117">
        <f>IF($B2425="","",IF(OR($D2425="",$E2425="",$O2425=""),"EKSİK",IF($O2425&lt;=0,"SIFIR/NEGATİF",IF(COUNTIFS($C$6:$C$5000,$C2425,$O$6:$O$5000,$O2425,$B$6:$B$5000,$B2425)&gt;1,"MÜKERRER","OK"))))</f>
        <v/>
      </c>
    </row>
    <row r="2426" ht="16.5" customHeight="1" s="80">
      <c r="A2426" s="113" t="n"/>
      <c r="B2426" s="113" t="n"/>
      <c r="C2426" s="113" t="n"/>
      <c r="D2426" s="113" t="n"/>
      <c r="E2426" s="113" t="n"/>
      <c r="F2426" s="113" t="n"/>
      <c r="G2426" s="113" t="n"/>
      <c r="H2426" s="113" t="n"/>
      <c r="I2426" s="113" t="n"/>
      <c r="J2426" s="113" t="n"/>
      <c r="K2426" s="113" t="n"/>
      <c r="L2426" s="113" t="n"/>
      <c r="M2426" s="113" t="n"/>
      <c r="N2426" s="113" t="n"/>
      <c r="O2426" s="113" t="n"/>
      <c r="P2426" s="113" t="n"/>
      <c r="Q2426" s="113" t="n"/>
      <c r="R2426" s="113" t="n"/>
      <c r="S2426" s="113" t="n"/>
      <c r="T2426" s="113" t="n"/>
      <c r="U2426" s="113" t="n"/>
      <c r="V2426" s="113" t="n"/>
      <c r="W2426" s="113" t="n"/>
      <c r="X2426" s="113" t="n"/>
      <c r="Y2426" s="113" t="n"/>
      <c r="Z2426" s="117">
        <f>IF($B2426="",0,IF($S2426="EVET",IF($D2426="GELİR",$O2426,-$O2426),0))</f>
        <v/>
      </c>
      <c r="AA2426" s="117">
        <f>IF($B2426="",0,IF(OR($W2426="EVET",$X2426="EVET",$Y2426="EVET"),0,IF($D2426="GELİR",IF($E2426="SATIŞ İADESİ/İSKONTO",-$O2426,$O2426),-$O2426)))</f>
        <v/>
      </c>
      <c r="AB2426" s="117">
        <f>IF($B2426="","",IF(OR($D2426="",$E2426="",$O2426=""),"EKSİK",IF($O2426&lt;=0,"SIFIR/NEGATİF",IF(COUNTIFS($C$6:$C$5000,$C2426,$O$6:$O$5000,$O2426,$B$6:$B$5000,$B2426)&gt;1,"MÜKERRER","OK"))))</f>
        <v/>
      </c>
    </row>
    <row r="2427" ht="16.5" customHeight="1" s="80">
      <c r="A2427" s="113" t="n"/>
      <c r="B2427" s="113" t="n"/>
      <c r="C2427" s="113" t="n"/>
      <c r="D2427" s="113" t="n"/>
      <c r="E2427" s="113" t="n"/>
      <c r="F2427" s="113" t="n"/>
      <c r="G2427" s="113" t="n"/>
      <c r="H2427" s="113" t="n"/>
      <c r="I2427" s="113" t="n"/>
      <c r="J2427" s="113" t="n"/>
      <c r="K2427" s="113" t="n"/>
      <c r="L2427" s="113" t="n"/>
      <c r="M2427" s="113" t="n"/>
      <c r="N2427" s="113" t="n"/>
      <c r="O2427" s="113" t="n"/>
      <c r="P2427" s="113" t="n"/>
      <c r="Q2427" s="113" t="n"/>
      <c r="R2427" s="113" t="n"/>
      <c r="S2427" s="113" t="n"/>
      <c r="T2427" s="113" t="n"/>
      <c r="U2427" s="113" t="n"/>
      <c r="V2427" s="113" t="n"/>
      <c r="W2427" s="113" t="n"/>
      <c r="X2427" s="113" t="n"/>
      <c r="Y2427" s="113" t="n"/>
      <c r="Z2427" s="117">
        <f>IF($B2427="",0,IF($S2427="EVET",IF($D2427="GELİR",$O2427,-$O2427),0))</f>
        <v/>
      </c>
      <c r="AA2427" s="117">
        <f>IF($B2427="",0,IF(OR($W2427="EVET",$X2427="EVET",$Y2427="EVET"),0,IF($D2427="GELİR",IF($E2427="SATIŞ İADESİ/İSKONTO",-$O2427,$O2427),-$O2427)))</f>
        <v/>
      </c>
      <c r="AB2427" s="117">
        <f>IF($B2427="","",IF(OR($D2427="",$E2427="",$O2427=""),"EKSİK",IF($O2427&lt;=0,"SIFIR/NEGATİF",IF(COUNTIFS($C$6:$C$5000,$C2427,$O$6:$O$5000,$O2427,$B$6:$B$5000,$B2427)&gt;1,"MÜKERRER","OK"))))</f>
        <v/>
      </c>
    </row>
    <row r="2428" ht="16.5" customHeight="1" s="80">
      <c r="A2428" s="113" t="n"/>
      <c r="B2428" s="113" t="n"/>
      <c r="C2428" s="113" t="n"/>
      <c r="D2428" s="113" t="n"/>
      <c r="E2428" s="113" t="n"/>
      <c r="F2428" s="113" t="n"/>
      <c r="G2428" s="113" t="n"/>
      <c r="H2428" s="113" t="n"/>
      <c r="I2428" s="113" t="n"/>
      <c r="J2428" s="113" t="n"/>
      <c r="K2428" s="113" t="n"/>
      <c r="L2428" s="113" t="n"/>
      <c r="M2428" s="113" t="n"/>
      <c r="N2428" s="113" t="n"/>
      <c r="O2428" s="113" t="n"/>
      <c r="P2428" s="113" t="n"/>
      <c r="Q2428" s="113" t="n"/>
      <c r="R2428" s="113" t="n"/>
      <c r="S2428" s="113" t="n"/>
      <c r="T2428" s="113" t="n"/>
      <c r="U2428" s="113" t="n"/>
      <c r="V2428" s="113" t="n"/>
      <c r="W2428" s="113" t="n"/>
      <c r="X2428" s="113" t="n"/>
      <c r="Y2428" s="113" t="n"/>
      <c r="Z2428" s="117">
        <f>IF($B2428="",0,IF($S2428="EVET",IF($D2428="GELİR",$O2428,-$O2428),0))</f>
        <v/>
      </c>
      <c r="AA2428" s="117">
        <f>IF($B2428="",0,IF(OR($W2428="EVET",$X2428="EVET",$Y2428="EVET"),0,IF($D2428="GELİR",IF($E2428="SATIŞ İADESİ/İSKONTO",-$O2428,$O2428),-$O2428)))</f>
        <v/>
      </c>
      <c r="AB2428" s="117">
        <f>IF($B2428="","",IF(OR($D2428="",$E2428="",$O2428=""),"EKSİK",IF($O2428&lt;=0,"SIFIR/NEGATİF",IF(COUNTIFS($C$6:$C$5000,$C2428,$O$6:$O$5000,$O2428,$B$6:$B$5000,$B2428)&gt;1,"MÜKERRER","OK"))))</f>
        <v/>
      </c>
    </row>
    <row r="2429" ht="16.5" customHeight="1" s="80">
      <c r="A2429" s="113" t="n"/>
      <c r="B2429" s="113" t="n"/>
      <c r="C2429" s="113" t="n"/>
      <c r="D2429" s="113" t="n"/>
      <c r="E2429" s="113" t="n"/>
      <c r="F2429" s="113" t="n"/>
      <c r="G2429" s="113" t="n"/>
      <c r="H2429" s="113" t="n"/>
      <c r="I2429" s="113" t="n"/>
      <c r="J2429" s="113" t="n"/>
      <c r="K2429" s="113" t="n"/>
      <c r="L2429" s="113" t="n"/>
      <c r="M2429" s="113" t="n"/>
      <c r="N2429" s="113" t="n"/>
      <c r="O2429" s="113" t="n"/>
      <c r="P2429" s="113" t="n"/>
      <c r="Q2429" s="113" t="n"/>
      <c r="R2429" s="113" t="n"/>
      <c r="S2429" s="113" t="n"/>
      <c r="T2429" s="113" t="n"/>
      <c r="U2429" s="113" t="n"/>
      <c r="V2429" s="113" t="n"/>
      <c r="W2429" s="113" t="n"/>
      <c r="X2429" s="113" t="n"/>
      <c r="Y2429" s="113" t="n"/>
      <c r="Z2429" s="117">
        <f>IF($B2429="",0,IF($S2429="EVET",IF($D2429="GELİR",$O2429,-$O2429),0))</f>
        <v/>
      </c>
      <c r="AA2429" s="117">
        <f>IF($B2429="",0,IF(OR($W2429="EVET",$X2429="EVET",$Y2429="EVET"),0,IF($D2429="GELİR",IF($E2429="SATIŞ İADESİ/İSKONTO",-$O2429,$O2429),-$O2429)))</f>
        <v/>
      </c>
      <c r="AB2429" s="117">
        <f>IF($B2429="","",IF(OR($D2429="",$E2429="",$O2429=""),"EKSİK",IF($O2429&lt;=0,"SIFIR/NEGATİF",IF(COUNTIFS($C$6:$C$5000,$C2429,$O$6:$O$5000,$O2429,$B$6:$B$5000,$B2429)&gt;1,"MÜKERRER","OK"))))</f>
        <v/>
      </c>
    </row>
    <row r="2430" ht="16.5" customHeight="1" s="80">
      <c r="A2430" s="113" t="n"/>
      <c r="B2430" s="113" t="n"/>
      <c r="C2430" s="113" t="n"/>
      <c r="D2430" s="113" t="n"/>
      <c r="E2430" s="113" t="n"/>
      <c r="F2430" s="113" t="n"/>
      <c r="G2430" s="113" t="n"/>
      <c r="H2430" s="113" t="n"/>
      <c r="I2430" s="113" t="n"/>
      <c r="J2430" s="113" t="n"/>
      <c r="K2430" s="113" t="n"/>
      <c r="L2430" s="113" t="n"/>
      <c r="M2430" s="113" t="n"/>
      <c r="N2430" s="113" t="n"/>
      <c r="O2430" s="113" t="n"/>
      <c r="P2430" s="113" t="n"/>
      <c r="Q2430" s="113" t="n"/>
      <c r="R2430" s="113" t="n"/>
      <c r="S2430" s="113" t="n"/>
      <c r="T2430" s="113" t="n"/>
      <c r="U2430" s="113" t="n"/>
      <c r="V2430" s="113" t="n"/>
      <c r="W2430" s="113" t="n"/>
      <c r="X2430" s="113" t="n"/>
      <c r="Y2430" s="113" t="n"/>
      <c r="Z2430" s="117">
        <f>IF($B2430="",0,IF($S2430="EVET",IF($D2430="GELİR",$O2430,-$O2430),0))</f>
        <v/>
      </c>
      <c r="AA2430" s="117">
        <f>IF($B2430="",0,IF(OR($W2430="EVET",$X2430="EVET",$Y2430="EVET"),0,IF($D2430="GELİR",IF($E2430="SATIŞ İADESİ/İSKONTO",-$O2430,$O2430),-$O2430)))</f>
        <v/>
      </c>
      <c r="AB2430" s="117">
        <f>IF($B2430="","",IF(OR($D2430="",$E2430="",$O2430=""),"EKSİK",IF($O2430&lt;=0,"SIFIR/NEGATİF",IF(COUNTIFS($C$6:$C$5000,$C2430,$O$6:$O$5000,$O2430,$B$6:$B$5000,$B2430)&gt;1,"MÜKERRER","OK"))))</f>
        <v/>
      </c>
    </row>
    <row r="2431" ht="16.5" customHeight="1" s="80">
      <c r="A2431" s="113" t="n"/>
      <c r="B2431" s="113" t="n"/>
      <c r="C2431" s="113" t="n"/>
      <c r="D2431" s="113" t="n"/>
      <c r="E2431" s="113" t="n"/>
      <c r="F2431" s="113" t="n"/>
      <c r="G2431" s="113" t="n"/>
      <c r="H2431" s="113" t="n"/>
      <c r="I2431" s="113" t="n"/>
      <c r="J2431" s="113" t="n"/>
      <c r="K2431" s="113" t="n"/>
      <c r="L2431" s="113" t="n"/>
      <c r="M2431" s="113" t="n"/>
      <c r="N2431" s="113" t="n"/>
      <c r="O2431" s="113" t="n"/>
      <c r="P2431" s="113" t="n"/>
      <c r="Q2431" s="113" t="n"/>
      <c r="R2431" s="113" t="n"/>
      <c r="S2431" s="113" t="n"/>
      <c r="T2431" s="113" t="n"/>
      <c r="U2431" s="113" t="n"/>
      <c r="V2431" s="113" t="n"/>
      <c r="W2431" s="113" t="n"/>
      <c r="X2431" s="113" t="n"/>
      <c r="Y2431" s="113" t="n"/>
      <c r="Z2431" s="117">
        <f>IF($B2431="",0,IF($S2431="EVET",IF($D2431="GELİR",$O2431,-$O2431),0))</f>
        <v/>
      </c>
      <c r="AA2431" s="117">
        <f>IF($B2431="",0,IF(OR($W2431="EVET",$X2431="EVET",$Y2431="EVET"),0,IF($D2431="GELİR",IF($E2431="SATIŞ İADESİ/İSKONTO",-$O2431,$O2431),-$O2431)))</f>
        <v/>
      </c>
      <c r="AB2431" s="117">
        <f>IF($B2431="","",IF(OR($D2431="",$E2431="",$O2431=""),"EKSİK",IF($O2431&lt;=0,"SIFIR/NEGATİF",IF(COUNTIFS($C$6:$C$5000,$C2431,$O$6:$O$5000,$O2431,$B$6:$B$5000,$B2431)&gt;1,"MÜKERRER","OK"))))</f>
        <v/>
      </c>
    </row>
    <row r="2432" ht="16.5" customHeight="1" s="80">
      <c r="A2432" s="113" t="n"/>
      <c r="B2432" s="113" t="n"/>
      <c r="C2432" s="113" t="n"/>
      <c r="D2432" s="113" t="n"/>
      <c r="E2432" s="113" t="n"/>
      <c r="F2432" s="113" t="n"/>
      <c r="G2432" s="113" t="n"/>
      <c r="H2432" s="113" t="n"/>
      <c r="I2432" s="113" t="n"/>
      <c r="J2432" s="113" t="n"/>
      <c r="K2432" s="113" t="n"/>
      <c r="L2432" s="113" t="n"/>
      <c r="M2432" s="113" t="n"/>
      <c r="N2432" s="113" t="n"/>
      <c r="O2432" s="113" t="n"/>
      <c r="P2432" s="113" t="n"/>
      <c r="Q2432" s="113" t="n"/>
      <c r="R2432" s="113" t="n"/>
      <c r="S2432" s="113" t="n"/>
      <c r="T2432" s="113" t="n"/>
      <c r="U2432" s="113" t="n"/>
      <c r="V2432" s="113" t="n"/>
      <c r="W2432" s="113" t="n"/>
      <c r="X2432" s="113" t="n"/>
      <c r="Y2432" s="113" t="n"/>
      <c r="Z2432" s="117">
        <f>IF($B2432="",0,IF($S2432="EVET",IF($D2432="GELİR",$O2432,-$O2432),0))</f>
        <v/>
      </c>
      <c r="AA2432" s="117">
        <f>IF($B2432="",0,IF(OR($W2432="EVET",$X2432="EVET",$Y2432="EVET"),0,IF($D2432="GELİR",IF($E2432="SATIŞ İADESİ/İSKONTO",-$O2432,$O2432),-$O2432)))</f>
        <v/>
      </c>
      <c r="AB2432" s="117">
        <f>IF($B2432="","",IF(OR($D2432="",$E2432="",$O2432=""),"EKSİK",IF($O2432&lt;=0,"SIFIR/NEGATİF",IF(COUNTIFS($C$6:$C$5000,$C2432,$O$6:$O$5000,$O2432,$B$6:$B$5000,$B2432)&gt;1,"MÜKERRER","OK"))))</f>
        <v/>
      </c>
    </row>
    <row r="2433" ht="16.5" customHeight="1" s="80">
      <c r="A2433" s="113" t="n"/>
      <c r="B2433" s="113" t="n"/>
      <c r="C2433" s="113" t="n"/>
      <c r="D2433" s="113" t="n"/>
      <c r="E2433" s="113" t="n"/>
      <c r="F2433" s="113" t="n"/>
      <c r="G2433" s="113" t="n"/>
      <c r="H2433" s="113" t="n"/>
      <c r="I2433" s="113" t="n"/>
      <c r="J2433" s="113" t="n"/>
      <c r="K2433" s="113" t="n"/>
      <c r="L2433" s="113" t="n"/>
      <c r="M2433" s="113" t="n"/>
      <c r="N2433" s="113" t="n"/>
      <c r="O2433" s="113" t="n"/>
      <c r="P2433" s="113" t="n"/>
      <c r="Q2433" s="113" t="n"/>
      <c r="R2433" s="113" t="n"/>
      <c r="S2433" s="113" t="n"/>
      <c r="T2433" s="113" t="n"/>
      <c r="U2433" s="113" t="n"/>
      <c r="V2433" s="113" t="n"/>
      <c r="W2433" s="113" t="n"/>
      <c r="X2433" s="113" t="n"/>
      <c r="Y2433" s="113" t="n"/>
      <c r="Z2433" s="117">
        <f>IF($B2433="",0,IF($S2433="EVET",IF($D2433="GELİR",$O2433,-$O2433),0))</f>
        <v/>
      </c>
      <c r="AA2433" s="117">
        <f>IF($B2433="",0,IF(OR($W2433="EVET",$X2433="EVET",$Y2433="EVET"),0,IF($D2433="GELİR",IF($E2433="SATIŞ İADESİ/İSKONTO",-$O2433,$O2433),-$O2433)))</f>
        <v/>
      </c>
      <c r="AB2433" s="117">
        <f>IF($B2433="","",IF(OR($D2433="",$E2433="",$O2433=""),"EKSİK",IF($O2433&lt;=0,"SIFIR/NEGATİF",IF(COUNTIFS($C$6:$C$5000,$C2433,$O$6:$O$5000,$O2433,$B$6:$B$5000,$B2433)&gt;1,"MÜKERRER","OK"))))</f>
        <v/>
      </c>
    </row>
    <row r="2434" ht="16.5" customHeight="1" s="80">
      <c r="A2434" s="113" t="n"/>
      <c r="B2434" s="113" t="n"/>
      <c r="C2434" s="113" t="n"/>
      <c r="D2434" s="113" t="n"/>
      <c r="E2434" s="113" t="n"/>
      <c r="F2434" s="113" t="n"/>
      <c r="G2434" s="113" t="n"/>
      <c r="H2434" s="113" t="n"/>
      <c r="I2434" s="113" t="n"/>
      <c r="J2434" s="113" t="n"/>
      <c r="K2434" s="113" t="n"/>
      <c r="L2434" s="113" t="n"/>
      <c r="M2434" s="113" t="n"/>
      <c r="N2434" s="113" t="n"/>
      <c r="O2434" s="113" t="n"/>
      <c r="P2434" s="113" t="n"/>
      <c r="Q2434" s="113" t="n"/>
      <c r="R2434" s="113" t="n"/>
      <c r="S2434" s="113" t="n"/>
      <c r="T2434" s="113" t="n"/>
      <c r="U2434" s="113" t="n"/>
      <c r="V2434" s="113" t="n"/>
      <c r="W2434" s="113" t="n"/>
      <c r="X2434" s="113" t="n"/>
      <c r="Y2434" s="113" t="n"/>
      <c r="Z2434" s="117">
        <f>IF($B2434="",0,IF($S2434="EVET",IF($D2434="GELİR",$O2434,-$O2434),0))</f>
        <v/>
      </c>
      <c r="AA2434" s="117">
        <f>IF($B2434="",0,IF(OR($W2434="EVET",$X2434="EVET",$Y2434="EVET"),0,IF($D2434="GELİR",IF($E2434="SATIŞ İADESİ/İSKONTO",-$O2434,$O2434),-$O2434)))</f>
        <v/>
      </c>
      <c r="AB2434" s="117">
        <f>IF($B2434="","",IF(OR($D2434="",$E2434="",$O2434=""),"EKSİK",IF($O2434&lt;=0,"SIFIR/NEGATİF",IF(COUNTIFS($C$6:$C$5000,$C2434,$O$6:$O$5000,$O2434,$B$6:$B$5000,$B2434)&gt;1,"MÜKERRER","OK"))))</f>
        <v/>
      </c>
    </row>
    <row r="2435" ht="16.5" customHeight="1" s="80">
      <c r="A2435" s="113" t="n"/>
      <c r="B2435" s="113" t="n"/>
      <c r="C2435" s="113" t="n"/>
      <c r="D2435" s="113" t="n"/>
      <c r="E2435" s="113" t="n"/>
      <c r="F2435" s="113" t="n"/>
      <c r="G2435" s="113" t="n"/>
      <c r="H2435" s="113" t="n"/>
      <c r="I2435" s="113" t="n"/>
      <c r="J2435" s="113" t="n"/>
      <c r="K2435" s="113" t="n"/>
      <c r="L2435" s="113" t="n"/>
      <c r="M2435" s="113" t="n"/>
      <c r="N2435" s="113" t="n"/>
      <c r="O2435" s="113" t="n"/>
      <c r="P2435" s="113" t="n"/>
      <c r="Q2435" s="113" t="n"/>
      <c r="R2435" s="113" t="n"/>
      <c r="S2435" s="113" t="n"/>
      <c r="T2435" s="113" t="n"/>
      <c r="U2435" s="113" t="n"/>
      <c r="V2435" s="113" t="n"/>
      <c r="W2435" s="113" t="n"/>
      <c r="X2435" s="113" t="n"/>
      <c r="Y2435" s="113" t="n"/>
      <c r="Z2435" s="117">
        <f>IF($B2435="",0,IF($S2435="EVET",IF($D2435="GELİR",$O2435,-$O2435),0))</f>
        <v/>
      </c>
      <c r="AA2435" s="117">
        <f>IF($B2435="",0,IF(OR($W2435="EVET",$X2435="EVET",$Y2435="EVET"),0,IF($D2435="GELİR",IF($E2435="SATIŞ İADESİ/İSKONTO",-$O2435,$O2435),-$O2435)))</f>
        <v/>
      </c>
      <c r="AB2435" s="117">
        <f>IF($B2435="","",IF(OR($D2435="",$E2435="",$O2435=""),"EKSİK",IF($O2435&lt;=0,"SIFIR/NEGATİF",IF(COUNTIFS($C$6:$C$5000,$C2435,$O$6:$O$5000,$O2435,$B$6:$B$5000,$B2435)&gt;1,"MÜKERRER","OK"))))</f>
        <v/>
      </c>
    </row>
    <row r="2436" ht="16.5" customHeight="1" s="80">
      <c r="A2436" s="113" t="n"/>
      <c r="B2436" s="113" t="n"/>
      <c r="C2436" s="113" t="n"/>
      <c r="D2436" s="113" t="n"/>
      <c r="E2436" s="113" t="n"/>
      <c r="F2436" s="113" t="n"/>
      <c r="G2436" s="113" t="n"/>
      <c r="H2436" s="113" t="n"/>
      <c r="I2436" s="113" t="n"/>
      <c r="J2436" s="113" t="n"/>
      <c r="K2436" s="113" t="n"/>
      <c r="L2436" s="113" t="n"/>
      <c r="M2436" s="113" t="n"/>
      <c r="N2436" s="113" t="n"/>
      <c r="O2436" s="113" t="n"/>
      <c r="P2436" s="113" t="n"/>
      <c r="Q2436" s="113" t="n"/>
      <c r="R2436" s="113" t="n"/>
      <c r="S2436" s="113" t="n"/>
      <c r="T2436" s="113" t="n"/>
      <c r="U2436" s="113" t="n"/>
      <c r="V2436" s="113" t="n"/>
      <c r="W2436" s="113" t="n"/>
      <c r="X2436" s="113" t="n"/>
      <c r="Y2436" s="113" t="n"/>
      <c r="Z2436" s="117">
        <f>IF($B2436="",0,IF($S2436="EVET",IF($D2436="GELİR",$O2436,-$O2436),0))</f>
        <v/>
      </c>
      <c r="AA2436" s="117">
        <f>IF($B2436="",0,IF(OR($W2436="EVET",$X2436="EVET",$Y2436="EVET"),0,IF($D2436="GELİR",IF($E2436="SATIŞ İADESİ/İSKONTO",-$O2436,$O2436),-$O2436)))</f>
        <v/>
      </c>
      <c r="AB2436" s="117">
        <f>IF($B2436="","",IF(OR($D2436="",$E2436="",$O2436=""),"EKSİK",IF($O2436&lt;=0,"SIFIR/NEGATİF",IF(COUNTIFS($C$6:$C$5000,$C2436,$O$6:$O$5000,$O2436,$B$6:$B$5000,$B2436)&gt;1,"MÜKERRER","OK"))))</f>
        <v/>
      </c>
    </row>
    <row r="2437" ht="16.5" customHeight="1" s="80">
      <c r="A2437" s="113" t="n"/>
      <c r="B2437" s="113" t="n"/>
      <c r="C2437" s="113" t="n"/>
      <c r="D2437" s="113" t="n"/>
      <c r="E2437" s="113" t="n"/>
      <c r="F2437" s="113" t="n"/>
      <c r="G2437" s="113" t="n"/>
      <c r="H2437" s="113" t="n"/>
      <c r="I2437" s="113" t="n"/>
      <c r="J2437" s="113" t="n"/>
      <c r="K2437" s="113" t="n"/>
      <c r="L2437" s="113" t="n"/>
      <c r="M2437" s="113" t="n"/>
      <c r="N2437" s="113" t="n"/>
      <c r="O2437" s="113" t="n"/>
      <c r="P2437" s="113" t="n"/>
      <c r="Q2437" s="113" t="n"/>
      <c r="R2437" s="113" t="n"/>
      <c r="S2437" s="113" t="n"/>
      <c r="T2437" s="113" t="n"/>
      <c r="U2437" s="113" t="n"/>
      <c r="V2437" s="113" t="n"/>
      <c r="W2437" s="113" t="n"/>
      <c r="X2437" s="113" t="n"/>
      <c r="Y2437" s="113" t="n"/>
      <c r="Z2437" s="117">
        <f>IF($B2437="",0,IF($S2437="EVET",IF($D2437="GELİR",$O2437,-$O2437),0))</f>
        <v/>
      </c>
      <c r="AA2437" s="117">
        <f>IF($B2437="",0,IF(OR($W2437="EVET",$X2437="EVET",$Y2437="EVET"),0,IF($D2437="GELİR",IF($E2437="SATIŞ İADESİ/İSKONTO",-$O2437,$O2437),-$O2437)))</f>
        <v/>
      </c>
      <c r="AB2437" s="117">
        <f>IF($B2437="","",IF(OR($D2437="",$E2437="",$O2437=""),"EKSİK",IF($O2437&lt;=0,"SIFIR/NEGATİF",IF(COUNTIFS($C$6:$C$5000,$C2437,$O$6:$O$5000,$O2437,$B$6:$B$5000,$B2437)&gt;1,"MÜKERRER","OK"))))</f>
        <v/>
      </c>
    </row>
    <row r="2438" ht="16.5" customHeight="1" s="80">
      <c r="A2438" s="113" t="n"/>
      <c r="B2438" s="113" t="n"/>
      <c r="C2438" s="113" t="n"/>
      <c r="D2438" s="113" t="n"/>
      <c r="E2438" s="113" t="n"/>
      <c r="F2438" s="113" t="n"/>
      <c r="G2438" s="113" t="n"/>
      <c r="H2438" s="113" t="n"/>
      <c r="I2438" s="113" t="n"/>
      <c r="J2438" s="113" t="n"/>
      <c r="K2438" s="113" t="n"/>
      <c r="L2438" s="113" t="n"/>
      <c r="M2438" s="113" t="n"/>
      <c r="N2438" s="113" t="n"/>
      <c r="O2438" s="113" t="n"/>
      <c r="P2438" s="113" t="n"/>
      <c r="Q2438" s="113" t="n"/>
      <c r="R2438" s="113" t="n"/>
      <c r="S2438" s="113" t="n"/>
      <c r="T2438" s="113" t="n"/>
      <c r="U2438" s="113" t="n"/>
      <c r="V2438" s="113" t="n"/>
      <c r="W2438" s="113" t="n"/>
      <c r="X2438" s="113" t="n"/>
      <c r="Y2438" s="113" t="n"/>
      <c r="Z2438" s="117">
        <f>IF($B2438="",0,IF($S2438="EVET",IF($D2438="GELİR",$O2438,-$O2438),0))</f>
        <v/>
      </c>
      <c r="AA2438" s="117">
        <f>IF($B2438="",0,IF(OR($W2438="EVET",$X2438="EVET",$Y2438="EVET"),0,IF($D2438="GELİR",IF($E2438="SATIŞ İADESİ/İSKONTO",-$O2438,$O2438),-$O2438)))</f>
        <v/>
      </c>
      <c r="AB2438" s="117">
        <f>IF($B2438="","",IF(OR($D2438="",$E2438="",$O2438=""),"EKSİK",IF($O2438&lt;=0,"SIFIR/NEGATİF",IF(COUNTIFS($C$6:$C$5000,$C2438,$O$6:$O$5000,$O2438,$B$6:$B$5000,$B2438)&gt;1,"MÜKERRER","OK"))))</f>
        <v/>
      </c>
    </row>
    <row r="2439" ht="16.5" customHeight="1" s="80">
      <c r="A2439" s="113" t="n"/>
      <c r="B2439" s="113" t="n"/>
      <c r="C2439" s="113" t="n"/>
      <c r="D2439" s="113" t="n"/>
      <c r="E2439" s="113" t="n"/>
      <c r="F2439" s="113" t="n"/>
      <c r="G2439" s="113" t="n"/>
      <c r="H2439" s="113" t="n"/>
      <c r="I2439" s="113" t="n"/>
      <c r="J2439" s="113" t="n"/>
      <c r="K2439" s="113" t="n"/>
      <c r="L2439" s="113" t="n"/>
      <c r="M2439" s="113" t="n"/>
      <c r="N2439" s="113" t="n"/>
      <c r="O2439" s="113" t="n"/>
      <c r="P2439" s="113" t="n"/>
      <c r="Q2439" s="113" t="n"/>
      <c r="R2439" s="113" t="n"/>
      <c r="S2439" s="113" t="n"/>
      <c r="T2439" s="113" t="n"/>
      <c r="U2439" s="113" t="n"/>
      <c r="V2439" s="113" t="n"/>
      <c r="W2439" s="113" t="n"/>
      <c r="X2439" s="113" t="n"/>
      <c r="Y2439" s="113" t="n"/>
      <c r="Z2439" s="117">
        <f>IF($B2439="",0,IF($S2439="EVET",IF($D2439="GELİR",$O2439,-$O2439),0))</f>
        <v/>
      </c>
      <c r="AA2439" s="117">
        <f>IF($B2439="",0,IF(OR($W2439="EVET",$X2439="EVET",$Y2439="EVET"),0,IF($D2439="GELİR",IF($E2439="SATIŞ İADESİ/İSKONTO",-$O2439,$O2439),-$O2439)))</f>
        <v/>
      </c>
      <c r="AB2439" s="117">
        <f>IF($B2439="","",IF(OR($D2439="",$E2439="",$O2439=""),"EKSİK",IF($O2439&lt;=0,"SIFIR/NEGATİF",IF(COUNTIFS($C$6:$C$5000,$C2439,$O$6:$O$5000,$O2439,$B$6:$B$5000,$B2439)&gt;1,"MÜKERRER","OK"))))</f>
        <v/>
      </c>
    </row>
    <row r="2440" ht="16.5" customHeight="1" s="80">
      <c r="A2440" s="113" t="n"/>
      <c r="B2440" s="113" t="n"/>
      <c r="C2440" s="113" t="n"/>
      <c r="D2440" s="113" t="n"/>
      <c r="E2440" s="113" t="n"/>
      <c r="F2440" s="113" t="n"/>
      <c r="G2440" s="113" t="n"/>
      <c r="H2440" s="113" t="n"/>
      <c r="I2440" s="113" t="n"/>
      <c r="J2440" s="113" t="n"/>
      <c r="K2440" s="113" t="n"/>
      <c r="L2440" s="113" t="n"/>
      <c r="M2440" s="113" t="n"/>
      <c r="N2440" s="113" t="n"/>
      <c r="O2440" s="113" t="n"/>
      <c r="P2440" s="113" t="n"/>
      <c r="Q2440" s="113" t="n"/>
      <c r="R2440" s="113" t="n"/>
      <c r="S2440" s="113" t="n"/>
      <c r="T2440" s="113" t="n"/>
      <c r="U2440" s="113" t="n"/>
      <c r="V2440" s="113" t="n"/>
      <c r="W2440" s="113" t="n"/>
      <c r="X2440" s="113" t="n"/>
      <c r="Y2440" s="113" t="n"/>
      <c r="Z2440" s="117">
        <f>IF($B2440="",0,IF($S2440="EVET",IF($D2440="GELİR",$O2440,-$O2440),0))</f>
        <v/>
      </c>
      <c r="AA2440" s="117">
        <f>IF($B2440="",0,IF(OR($W2440="EVET",$X2440="EVET",$Y2440="EVET"),0,IF($D2440="GELİR",IF($E2440="SATIŞ İADESİ/İSKONTO",-$O2440,$O2440),-$O2440)))</f>
        <v/>
      </c>
      <c r="AB2440" s="117">
        <f>IF($B2440="","",IF(OR($D2440="",$E2440="",$O2440=""),"EKSİK",IF($O2440&lt;=0,"SIFIR/NEGATİF",IF(COUNTIFS($C$6:$C$5000,$C2440,$O$6:$O$5000,$O2440,$B$6:$B$5000,$B2440)&gt;1,"MÜKERRER","OK"))))</f>
        <v/>
      </c>
    </row>
    <row r="2441" ht="16.5" customHeight="1" s="80">
      <c r="A2441" s="113" t="n"/>
      <c r="B2441" s="113" t="n"/>
      <c r="C2441" s="113" t="n"/>
      <c r="D2441" s="113" t="n"/>
      <c r="E2441" s="113" t="n"/>
      <c r="F2441" s="113" t="n"/>
      <c r="G2441" s="113" t="n"/>
      <c r="H2441" s="113" t="n"/>
      <c r="I2441" s="113" t="n"/>
      <c r="J2441" s="113" t="n"/>
      <c r="K2441" s="113" t="n"/>
      <c r="L2441" s="113" t="n"/>
      <c r="M2441" s="113" t="n"/>
      <c r="N2441" s="113" t="n"/>
      <c r="O2441" s="113" t="n"/>
      <c r="P2441" s="113" t="n"/>
      <c r="Q2441" s="113" t="n"/>
      <c r="R2441" s="113" t="n"/>
      <c r="S2441" s="113" t="n"/>
      <c r="T2441" s="113" t="n"/>
      <c r="U2441" s="113" t="n"/>
      <c r="V2441" s="113" t="n"/>
      <c r="W2441" s="113" t="n"/>
      <c r="X2441" s="113" t="n"/>
      <c r="Y2441" s="113" t="n"/>
      <c r="Z2441" s="117">
        <f>IF($B2441="",0,IF($S2441="EVET",IF($D2441="GELİR",$O2441,-$O2441),0))</f>
        <v/>
      </c>
      <c r="AA2441" s="117">
        <f>IF($B2441="",0,IF(OR($W2441="EVET",$X2441="EVET",$Y2441="EVET"),0,IF($D2441="GELİR",IF($E2441="SATIŞ İADESİ/İSKONTO",-$O2441,$O2441),-$O2441)))</f>
        <v/>
      </c>
      <c r="AB2441" s="117">
        <f>IF($B2441="","",IF(OR($D2441="",$E2441="",$O2441=""),"EKSİK",IF($O2441&lt;=0,"SIFIR/NEGATİF",IF(COUNTIFS($C$6:$C$5000,$C2441,$O$6:$O$5000,$O2441,$B$6:$B$5000,$B2441)&gt;1,"MÜKERRER","OK"))))</f>
        <v/>
      </c>
    </row>
    <row r="2442" ht="16.5" customHeight="1" s="80">
      <c r="A2442" s="113" t="n"/>
      <c r="B2442" s="113" t="n"/>
      <c r="C2442" s="113" t="n"/>
      <c r="D2442" s="113" t="n"/>
      <c r="E2442" s="113" t="n"/>
      <c r="F2442" s="113" t="n"/>
      <c r="G2442" s="113" t="n"/>
      <c r="H2442" s="113" t="n"/>
      <c r="I2442" s="113" t="n"/>
      <c r="J2442" s="113" t="n"/>
      <c r="K2442" s="113" t="n"/>
      <c r="L2442" s="113" t="n"/>
      <c r="M2442" s="113" t="n"/>
      <c r="N2442" s="113" t="n"/>
      <c r="O2442" s="113" t="n"/>
      <c r="P2442" s="113" t="n"/>
      <c r="Q2442" s="113" t="n"/>
      <c r="R2442" s="113" t="n"/>
      <c r="S2442" s="113" t="n"/>
      <c r="T2442" s="113" t="n"/>
      <c r="U2442" s="113" t="n"/>
      <c r="V2442" s="113" t="n"/>
      <c r="W2442" s="113" t="n"/>
      <c r="X2442" s="113" t="n"/>
      <c r="Y2442" s="113" t="n"/>
      <c r="Z2442" s="117">
        <f>IF($B2442="",0,IF($S2442="EVET",IF($D2442="GELİR",$O2442,-$O2442),0))</f>
        <v/>
      </c>
      <c r="AA2442" s="117">
        <f>IF($B2442="",0,IF(OR($W2442="EVET",$X2442="EVET",$Y2442="EVET"),0,IF($D2442="GELİR",IF($E2442="SATIŞ İADESİ/İSKONTO",-$O2442,$O2442),-$O2442)))</f>
        <v/>
      </c>
      <c r="AB2442" s="117">
        <f>IF($B2442="","",IF(OR($D2442="",$E2442="",$O2442=""),"EKSİK",IF($O2442&lt;=0,"SIFIR/NEGATİF",IF(COUNTIFS($C$6:$C$5000,$C2442,$O$6:$O$5000,$O2442,$B$6:$B$5000,$B2442)&gt;1,"MÜKERRER","OK"))))</f>
        <v/>
      </c>
    </row>
    <row r="2443" ht="16.5" customHeight="1" s="80">
      <c r="A2443" s="113" t="n"/>
      <c r="B2443" s="113" t="n"/>
      <c r="C2443" s="113" t="n"/>
      <c r="D2443" s="113" t="n"/>
      <c r="E2443" s="113" t="n"/>
      <c r="F2443" s="113" t="n"/>
      <c r="G2443" s="113" t="n"/>
      <c r="H2443" s="113" t="n"/>
      <c r="I2443" s="113" t="n"/>
      <c r="J2443" s="113" t="n"/>
      <c r="K2443" s="113" t="n"/>
      <c r="L2443" s="113" t="n"/>
      <c r="M2443" s="113" t="n"/>
      <c r="N2443" s="113" t="n"/>
      <c r="O2443" s="113" t="n"/>
      <c r="P2443" s="113" t="n"/>
      <c r="Q2443" s="113" t="n"/>
      <c r="R2443" s="113" t="n"/>
      <c r="S2443" s="113" t="n"/>
      <c r="T2443" s="113" t="n"/>
      <c r="U2443" s="113" t="n"/>
      <c r="V2443" s="113" t="n"/>
      <c r="W2443" s="113" t="n"/>
      <c r="X2443" s="113" t="n"/>
      <c r="Y2443" s="113" t="n"/>
      <c r="Z2443" s="117">
        <f>IF($B2443="",0,IF($S2443="EVET",IF($D2443="GELİR",$O2443,-$O2443),0))</f>
        <v/>
      </c>
      <c r="AA2443" s="117">
        <f>IF($B2443="",0,IF(OR($W2443="EVET",$X2443="EVET",$Y2443="EVET"),0,IF($D2443="GELİR",IF($E2443="SATIŞ İADESİ/İSKONTO",-$O2443,$O2443),-$O2443)))</f>
        <v/>
      </c>
      <c r="AB2443" s="117">
        <f>IF($B2443="","",IF(OR($D2443="",$E2443="",$O2443=""),"EKSİK",IF($O2443&lt;=0,"SIFIR/NEGATİF",IF(COUNTIFS($C$6:$C$5000,$C2443,$O$6:$O$5000,$O2443,$B$6:$B$5000,$B2443)&gt;1,"MÜKERRER","OK"))))</f>
        <v/>
      </c>
    </row>
    <row r="2444" ht="16.5" customHeight="1" s="80">
      <c r="A2444" s="113" t="n"/>
      <c r="B2444" s="113" t="n"/>
      <c r="C2444" s="113" t="n"/>
      <c r="D2444" s="113" t="n"/>
      <c r="E2444" s="113" t="n"/>
      <c r="F2444" s="113" t="n"/>
      <c r="G2444" s="113" t="n"/>
      <c r="H2444" s="113" t="n"/>
      <c r="I2444" s="113" t="n"/>
      <c r="J2444" s="113" t="n"/>
      <c r="K2444" s="113" t="n"/>
      <c r="L2444" s="113" t="n"/>
      <c r="M2444" s="113" t="n"/>
      <c r="N2444" s="113" t="n"/>
      <c r="O2444" s="113" t="n"/>
      <c r="P2444" s="113" t="n"/>
      <c r="Q2444" s="113" t="n"/>
      <c r="R2444" s="113" t="n"/>
      <c r="S2444" s="113" t="n"/>
      <c r="T2444" s="113" t="n"/>
      <c r="U2444" s="113" t="n"/>
      <c r="V2444" s="113" t="n"/>
      <c r="W2444" s="113" t="n"/>
      <c r="X2444" s="113" t="n"/>
      <c r="Y2444" s="113" t="n"/>
      <c r="Z2444" s="117">
        <f>IF($B2444="",0,IF($S2444="EVET",IF($D2444="GELİR",$O2444,-$O2444),0))</f>
        <v/>
      </c>
      <c r="AA2444" s="117">
        <f>IF($B2444="",0,IF(OR($W2444="EVET",$X2444="EVET",$Y2444="EVET"),0,IF($D2444="GELİR",IF($E2444="SATIŞ İADESİ/İSKONTO",-$O2444,$O2444),-$O2444)))</f>
        <v/>
      </c>
      <c r="AB2444" s="117">
        <f>IF($B2444="","",IF(OR($D2444="",$E2444="",$O2444=""),"EKSİK",IF($O2444&lt;=0,"SIFIR/NEGATİF",IF(COUNTIFS($C$6:$C$5000,$C2444,$O$6:$O$5000,$O2444,$B$6:$B$5000,$B2444)&gt;1,"MÜKERRER","OK"))))</f>
        <v/>
      </c>
    </row>
    <row r="2445" ht="16.5" customHeight="1" s="80">
      <c r="A2445" s="113" t="n"/>
      <c r="B2445" s="113" t="n"/>
      <c r="C2445" s="113" t="n"/>
      <c r="D2445" s="113" t="n"/>
      <c r="E2445" s="113" t="n"/>
      <c r="F2445" s="113" t="n"/>
      <c r="G2445" s="113" t="n"/>
      <c r="H2445" s="113" t="n"/>
      <c r="I2445" s="113" t="n"/>
      <c r="J2445" s="113" t="n"/>
      <c r="K2445" s="113" t="n"/>
      <c r="L2445" s="113" t="n"/>
      <c r="M2445" s="113" t="n"/>
      <c r="N2445" s="113" t="n"/>
      <c r="O2445" s="113" t="n"/>
      <c r="P2445" s="113" t="n"/>
      <c r="Q2445" s="113" t="n"/>
      <c r="R2445" s="113" t="n"/>
      <c r="S2445" s="113" t="n"/>
      <c r="T2445" s="113" t="n"/>
      <c r="U2445" s="113" t="n"/>
      <c r="V2445" s="113" t="n"/>
      <c r="W2445" s="113" t="n"/>
      <c r="X2445" s="113" t="n"/>
      <c r="Y2445" s="113" t="n"/>
      <c r="Z2445" s="117">
        <f>IF($B2445="",0,IF($S2445="EVET",IF($D2445="GELİR",$O2445,-$O2445),0))</f>
        <v/>
      </c>
      <c r="AA2445" s="117">
        <f>IF($B2445="",0,IF(OR($W2445="EVET",$X2445="EVET",$Y2445="EVET"),0,IF($D2445="GELİR",IF($E2445="SATIŞ İADESİ/İSKONTO",-$O2445,$O2445),-$O2445)))</f>
        <v/>
      </c>
      <c r="AB2445" s="117">
        <f>IF($B2445="","",IF(OR($D2445="",$E2445="",$O2445=""),"EKSİK",IF($O2445&lt;=0,"SIFIR/NEGATİF",IF(COUNTIFS($C$6:$C$5000,$C2445,$O$6:$O$5000,$O2445,$B$6:$B$5000,$B2445)&gt;1,"MÜKERRER","OK"))))</f>
        <v/>
      </c>
    </row>
    <row r="2446" ht="16.5" customHeight="1" s="80">
      <c r="A2446" s="113" t="n"/>
      <c r="B2446" s="113" t="n"/>
      <c r="C2446" s="113" t="n"/>
      <c r="D2446" s="113" t="n"/>
      <c r="E2446" s="113" t="n"/>
      <c r="F2446" s="113" t="n"/>
      <c r="G2446" s="113" t="n"/>
      <c r="H2446" s="113" t="n"/>
      <c r="I2446" s="113" t="n"/>
      <c r="J2446" s="113" t="n"/>
      <c r="K2446" s="113" t="n"/>
      <c r="L2446" s="113" t="n"/>
      <c r="M2446" s="113" t="n"/>
      <c r="N2446" s="113" t="n"/>
      <c r="O2446" s="113" t="n"/>
      <c r="P2446" s="113" t="n"/>
      <c r="Q2446" s="113" t="n"/>
      <c r="R2446" s="113" t="n"/>
      <c r="S2446" s="113" t="n"/>
      <c r="T2446" s="113" t="n"/>
      <c r="U2446" s="113" t="n"/>
      <c r="V2446" s="113" t="n"/>
      <c r="W2446" s="113" t="n"/>
      <c r="X2446" s="113" t="n"/>
      <c r="Y2446" s="113" t="n"/>
      <c r="Z2446" s="117">
        <f>IF($B2446="",0,IF($S2446="EVET",IF($D2446="GELİR",$O2446,-$O2446),0))</f>
        <v/>
      </c>
      <c r="AA2446" s="117">
        <f>IF($B2446="",0,IF(OR($W2446="EVET",$X2446="EVET",$Y2446="EVET"),0,IF($D2446="GELİR",IF($E2446="SATIŞ İADESİ/İSKONTO",-$O2446,$O2446),-$O2446)))</f>
        <v/>
      </c>
      <c r="AB2446" s="117">
        <f>IF($B2446="","",IF(OR($D2446="",$E2446="",$O2446=""),"EKSİK",IF($O2446&lt;=0,"SIFIR/NEGATİF",IF(COUNTIFS($C$6:$C$5000,$C2446,$O$6:$O$5000,$O2446,$B$6:$B$5000,$B2446)&gt;1,"MÜKERRER","OK"))))</f>
        <v/>
      </c>
    </row>
    <row r="2447" ht="16.5" customHeight="1" s="80">
      <c r="A2447" s="113" t="n"/>
      <c r="B2447" s="113" t="n"/>
      <c r="C2447" s="113" t="n"/>
      <c r="D2447" s="113" t="n"/>
      <c r="E2447" s="113" t="n"/>
      <c r="F2447" s="113" t="n"/>
      <c r="G2447" s="113" t="n"/>
      <c r="H2447" s="113" t="n"/>
      <c r="I2447" s="113" t="n"/>
      <c r="J2447" s="113" t="n"/>
      <c r="K2447" s="113" t="n"/>
      <c r="L2447" s="113" t="n"/>
      <c r="M2447" s="113" t="n"/>
      <c r="N2447" s="113" t="n"/>
      <c r="O2447" s="113" t="n"/>
      <c r="P2447" s="113" t="n"/>
      <c r="Q2447" s="113" t="n"/>
      <c r="R2447" s="113" t="n"/>
      <c r="S2447" s="113" t="n"/>
      <c r="T2447" s="113" t="n"/>
      <c r="U2447" s="113" t="n"/>
      <c r="V2447" s="113" t="n"/>
      <c r="W2447" s="113" t="n"/>
      <c r="X2447" s="113" t="n"/>
      <c r="Y2447" s="113" t="n"/>
      <c r="Z2447" s="117">
        <f>IF($B2447="",0,IF($S2447="EVET",IF($D2447="GELİR",$O2447,-$O2447),0))</f>
        <v/>
      </c>
      <c r="AA2447" s="117">
        <f>IF($B2447="",0,IF(OR($W2447="EVET",$X2447="EVET",$Y2447="EVET"),0,IF($D2447="GELİR",IF($E2447="SATIŞ İADESİ/İSKONTO",-$O2447,$O2447),-$O2447)))</f>
        <v/>
      </c>
      <c r="AB2447" s="117">
        <f>IF($B2447="","",IF(OR($D2447="",$E2447="",$O2447=""),"EKSİK",IF($O2447&lt;=0,"SIFIR/NEGATİF",IF(COUNTIFS($C$6:$C$5000,$C2447,$O$6:$O$5000,$O2447,$B$6:$B$5000,$B2447)&gt;1,"MÜKERRER","OK"))))</f>
        <v/>
      </c>
    </row>
    <row r="2448" ht="16.5" customHeight="1" s="80">
      <c r="A2448" s="113" t="n"/>
      <c r="B2448" s="113" t="n"/>
      <c r="C2448" s="113" t="n"/>
      <c r="D2448" s="113" t="n"/>
      <c r="E2448" s="113" t="n"/>
      <c r="F2448" s="113" t="n"/>
      <c r="G2448" s="113" t="n"/>
      <c r="H2448" s="113" t="n"/>
      <c r="I2448" s="113" t="n"/>
      <c r="J2448" s="113" t="n"/>
      <c r="K2448" s="113" t="n"/>
      <c r="L2448" s="113" t="n"/>
      <c r="M2448" s="113" t="n"/>
      <c r="N2448" s="113" t="n"/>
      <c r="O2448" s="113" t="n"/>
      <c r="P2448" s="113" t="n"/>
      <c r="Q2448" s="113" t="n"/>
      <c r="R2448" s="113" t="n"/>
      <c r="S2448" s="113" t="n"/>
      <c r="T2448" s="113" t="n"/>
      <c r="U2448" s="113" t="n"/>
      <c r="V2448" s="113" t="n"/>
      <c r="W2448" s="113" t="n"/>
      <c r="X2448" s="113" t="n"/>
      <c r="Y2448" s="113" t="n"/>
      <c r="Z2448" s="117">
        <f>IF($B2448="",0,IF($S2448="EVET",IF($D2448="GELİR",$O2448,-$O2448),0))</f>
        <v/>
      </c>
      <c r="AA2448" s="117">
        <f>IF($B2448="",0,IF(OR($W2448="EVET",$X2448="EVET",$Y2448="EVET"),0,IF($D2448="GELİR",IF($E2448="SATIŞ İADESİ/İSKONTO",-$O2448,$O2448),-$O2448)))</f>
        <v/>
      </c>
      <c r="AB2448" s="117">
        <f>IF($B2448="","",IF(OR($D2448="",$E2448="",$O2448=""),"EKSİK",IF($O2448&lt;=0,"SIFIR/NEGATİF",IF(COUNTIFS($C$6:$C$5000,$C2448,$O$6:$O$5000,$O2448,$B$6:$B$5000,$B2448)&gt;1,"MÜKERRER","OK"))))</f>
        <v/>
      </c>
    </row>
    <row r="2449" ht="16.5" customHeight="1" s="80">
      <c r="A2449" s="113" t="n"/>
      <c r="B2449" s="113" t="n"/>
      <c r="C2449" s="113" t="n"/>
      <c r="D2449" s="113" t="n"/>
      <c r="E2449" s="113" t="n"/>
      <c r="F2449" s="113" t="n"/>
      <c r="G2449" s="113" t="n"/>
      <c r="H2449" s="113" t="n"/>
      <c r="I2449" s="113" t="n"/>
      <c r="J2449" s="113" t="n"/>
      <c r="K2449" s="113" t="n"/>
      <c r="L2449" s="113" t="n"/>
      <c r="M2449" s="113" t="n"/>
      <c r="N2449" s="113" t="n"/>
      <c r="O2449" s="113" t="n"/>
      <c r="P2449" s="113" t="n"/>
      <c r="Q2449" s="113" t="n"/>
      <c r="R2449" s="113" t="n"/>
      <c r="S2449" s="113" t="n"/>
      <c r="T2449" s="113" t="n"/>
      <c r="U2449" s="113" t="n"/>
      <c r="V2449" s="113" t="n"/>
      <c r="W2449" s="113" t="n"/>
      <c r="X2449" s="113" t="n"/>
      <c r="Y2449" s="113" t="n"/>
      <c r="Z2449" s="117">
        <f>IF($B2449="",0,IF($S2449="EVET",IF($D2449="GELİR",$O2449,-$O2449),0))</f>
        <v/>
      </c>
      <c r="AA2449" s="117">
        <f>IF($B2449="",0,IF(OR($W2449="EVET",$X2449="EVET",$Y2449="EVET"),0,IF($D2449="GELİR",IF($E2449="SATIŞ İADESİ/İSKONTO",-$O2449,$O2449),-$O2449)))</f>
        <v/>
      </c>
      <c r="AB2449" s="117">
        <f>IF($B2449="","",IF(OR($D2449="",$E2449="",$O2449=""),"EKSİK",IF($O2449&lt;=0,"SIFIR/NEGATİF",IF(COUNTIFS($C$6:$C$5000,$C2449,$O$6:$O$5000,$O2449,$B$6:$B$5000,$B2449)&gt;1,"MÜKERRER","OK"))))</f>
        <v/>
      </c>
    </row>
    <row r="2450" ht="16.5" customHeight="1" s="80">
      <c r="A2450" s="113" t="n"/>
      <c r="B2450" s="113" t="n"/>
      <c r="C2450" s="113" t="n"/>
      <c r="D2450" s="113" t="n"/>
      <c r="E2450" s="113" t="n"/>
      <c r="F2450" s="113" t="n"/>
      <c r="G2450" s="113" t="n"/>
      <c r="H2450" s="113" t="n"/>
      <c r="I2450" s="113" t="n"/>
      <c r="J2450" s="113" t="n"/>
      <c r="K2450" s="113" t="n"/>
      <c r="L2450" s="113" t="n"/>
      <c r="M2450" s="113" t="n"/>
      <c r="N2450" s="113" t="n"/>
      <c r="O2450" s="113" t="n"/>
      <c r="P2450" s="113" t="n"/>
      <c r="Q2450" s="113" t="n"/>
      <c r="R2450" s="113" t="n"/>
      <c r="S2450" s="113" t="n"/>
      <c r="T2450" s="113" t="n"/>
      <c r="U2450" s="113" t="n"/>
      <c r="V2450" s="113" t="n"/>
      <c r="W2450" s="113" t="n"/>
      <c r="X2450" s="113" t="n"/>
      <c r="Y2450" s="113" t="n"/>
      <c r="Z2450" s="117">
        <f>IF($B2450="",0,IF($S2450="EVET",IF($D2450="GELİR",$O2450,-$O2450),0))</f>
        <v/>
      </c>
      <c r="AA2450" s="117">
        <f>IF($B2450="",0,IF(OR($W2450="EVET",$X2450="EVET",$Y2450="EVET"),0,IF($D2450="GELİR",IF($E2450="SATIŞ İADESİ/İSKONTO",-$O2450,$O2450),-$O2450)))</f>
        <v/>
      </c>
      <c r="AB2450" s="117">
        <f>IF($B2450="","",IF(OR($D2450="",$E2450="",$O2450=""),"EKSİK",IF($O2450&lt;=0,"SIFIR/NEGATİF",IF(COUNTIFS($C$6:$C$5000,$C2450,$O$6:$O$5000,$O2450,$B$6:$B$5000,$B2450)&gt;1,"MÜKERRER","OK"))))</f>
        <v/>
      </c>
    </row>
    <row r="2451" ht="16.5" customHeight="1" s="80">
      <c r="A2451" s="113" t="n"/>
      <c r="B2451" s="113" t="n"/>
      <c r="C2451" s="113" t="n"/>
      <c r="D2451" s="113" t="n"/>
      <c r="E2451" s="113" t="n"/>
      <c r="F2451" s="113" t="n"/>
      <c r="G2451" s="113" t="n"/>
      <c r="H2451" s="113" t="n"/>
      <c r="I2451" s="113" t="n"/>
      <c r="J2451" s="113" t="n"/>
      <c r="K2451" s="113" t="n"/>
      <c r="L2451" s="113" t="n"/>
      <c r="M2451" s="113" t="n"/>
      <c r="N2451" s="113" t="n"/>
      <c r="O2451" s="113" t="n"/>
      <c r="P2451" s="113" t="n"/>
      <c r="Q2451" s="113" t="n"/>
      <c r="R2451" s="113" t="n"/>
      <c r="S2451" s="113" t="n"/>
      <c r="T2451" s="113" t="n"/>
      <c r="U2451" s="113" t="n"/>
      <c r="V2451" s="113" t="n"/>
      <c r="W2451" s="113" t="n"/>
      <c r="X2451" s="113" t="n"/>
      <c r="Y2451" s="113" t="n"/>
      <c r="Z2451" s="117">
        <f>IF($B2451="",0,IF($S2451="EVET",IF($D2451="GELİR",$O2451,-$O2451),0))</f>
        <v/>
      </c>
      <c r="AA2451" s="117">
        <f>IF($B2451="",0,IF(OR($W2451="EVET",$X2451="EVET",$Y2451="EVET"),0,IF($D2451="GELİR",IF($E2451="SATIŞ İADESİ/İSKONTO",-$O2451,$O2451),-$O2451)))</f>
        <v/>
      </c>
      <c r="AB2451" s="117">
        <f>IF($B2451="","",IF(OR($D2451="",$E2451="",$O2451=""),"EKSİK",IF($O2451&lt;=0,"SIFIR/NEGATİF",IF(COUNTIFS($C$6:$C$5000,$C2451,$O$6:$O$5000,$O2451,$B$6:$B$5000,$B2451)&gt;1,"MÜKERRER","OK"))))</f>
        <v/>
      </c>
    </row>
    <row r="2452" ht="16.5" customHeight="1" s="80">
      <c r="A2452" s="113" t="n"/>
      <c r="B2452" s="113" t="n"/>
      <c r="C2452" s="113" t="n"/>
      <c r="D2452" s="113" t="n"/>
      <c r="E2452" s="113" t="n"/>
      <c r="F2452" s="113" t="n"/>
      <c r="G2452" s="113" t="n"/>
      <c r="H2452" s="113" t="n"/>
      <c r="I2452" s="113" t="n"/>
      <c r="J2452" s="113" t="n"/>
      <c r="K2452" s="113" t="n"/>
      <c r="L2452" s="113" t="n"/>
      <c r="M2452" s="113" t="n"/>
      <c r="N2452" s="113" t="n"/>
      <c r="O2452" s="113" t="n"/>
      <c r="P2452" s="113" t="n"/>
      <c r="Q2452" s="113" t="n"/>
      <c r="R2452" s="113" t="n"/>
      <c r="S2452" s="113" t="n"/>
      <c r="T2452" s="113" t="n"/>
      <c r="U2452" s="113" t="n"/>
      <c r="V2452" s="113" t="n"/>
      <c r="W2452" s="113" t="n"/>
      <c r="X2452" s="113" t="n"/>
      <c r="Y2452" s="113" t="n"/>
      <c r="Z2452" s="117">
        <f>IF($B2452="",0,IF($S2452="EVET",IF($D2452="GELİR",$O2452,-$O2452),0))</f>
        <v/>
      </c>
      <c r="AA2452" s="117">
        <f>IF($B2452="",0,IF(OR($W2452="EVET",$X2452="EVET",$Y2452="EVET"),0,IF($D2452="GELİR",IF($E2452="SATIŞ İADESİ/İSKONTO",-$O2452,$O2452),-$O2452)))</f>
        <v/>
      </c>
      <c r="AB2452" s="117">
        <f>IF($B2452="","",IF(OR($D2452="",$E2452="",$O2452=""),"EKSİK",IF($O2452&lt;=0,"SIFIR/NEGATİF",IF(COUNTIFS($C$6:$C$5000,$C2452,$O$6:$O$5000,$O2452,$B$6:$B$5000,$B2452)&gt;1,"MÜKERRER","OK"))))</f>
        <v/>
      </c>
    </row>
    <row r="2453" ht="16.5" customHeight="1" s="80">
      <c r="A2453" s="113" t="n"/>
      <c r="B2453" s="113" t="n"/>
      <c r="C2453" s="113" t="n"/>
      <c r="D2453" s="113" t="n"/>
      <c r="E2453" s="113" t="n"/>
      <c r="F2453" s="113" t="n"/>
      <c r="G2453" s="113" t="n"/>
      <c r="H2453" s="113" t="n"/>
      <c r="I2453" s="113" t="n"/>
      <c r="J2453" s="113" t="n"/>
      <c r="K2453" s="113" t="n"/>
      <c r="L2453" s="113" t="n"/>
      <c r="M2453" s="113" t="n"/>
      <c r="N2453" s="113" t="n"/>
      <c r="O2453" s="113" t="n"/>
      <c r="P2453" s="113" t="n"/>
      <c r="Q2453" s="113" t="n"/>
      <c r="R2453" s="113" t="n"/>
      <c r="S2453" s="113" t="n"/>
      <c r="T2453" s="113" t="n"/>
      <c r="U2453" s="113" t="n"/>
      <c r="V2453" s="113" t="n"/>
      <c r="W2453" s="113" t="n"/>
      <c r="X2453" s="113" t="n"/>
      <c r="Y2453" s="113" t="n"/>
      <c r="Z2453" s="117">
        <f>IF($B2453="",0,IF($S2453="EVET",IF($D2453="GELİR",$O2453,-$O2453),0))</f>
        <v/>
      </c>
      <c r="AA2453" s="117">
        <f>IF($B2453="",0,IF(OR($W2453="EVET",$X2453="EVET",$Y2453="EVET"),0,IF($D2453="GELİR",IF($E2453="SATIŞ İADESİ/İSKONTO",-$O2453,$O2453),-$O2453)))</f>
        <v/>
      </c>
      <c r="AB2453" s="117">
        <f>IF($B2453="","",IF(OR($D2453="",$E2453="",$O2453=""),"EKSİK",IF($O2453&lt;=0,"SIFIR/NEGATİF",IF(COUNTIFS($C$6:$C$5000,$C2453,$O$6:$O$5000,$O2453,$B$6:$B$5000,$B2453)&gt;1,"MÜKERRER","OK"))))</f>
        <v/>
      </c>
    </row>
    <row r="2454" ht="16.5" customHeight="1" s="80">
      <c r="A2454" s="113" t="n"/>
      <c r="B2454" s="113" t="n"/>
      <c r="C2454" s="113" t="n"/>
      <c r="D2454" s="113" t="n"/>
      <c r="E2454" s="113" t="n"/>
      <c r="F2454" s="113" t="n"/>
      <c r="G2454" s="113" t="n"/>
      <c r="H2454" s="113" t="n"/>
      <c r="I2454" s="113" t="n"/>
      <c r="J2454" s="113" t="n"/>
      <c r="K2454" s="113" t="n"/>
      <c r="L2454" s="113" t="n"/>
      <c r="M2454" s="113" t="n"/>
      <c r="N2454" s="113" t="n"/>
      <c r="O2454" s="113" t="n"/>
      <c r="P2454" s="113" t="n"/>
      <c r="Q2454" s="113" t="n"/>
      <c r="R2454" s="113" t="n"/>
      <c r="S2454" s="113" t="n"/>
      <c r="T2454" s="113" t="n"/>
      <c r="U2454" s="113" t="n"/>
      <c r="V2454" s="113" t="n"/>
      <c r="W2454" s="113" t="n"/>
      <c r="X2454" s="113" t="n"/>
      <c r="Y2454" s="113" t="n"/>
      <c r="Z2454" s="117">
        <f>IF($B2454="",0,IF($S2454="EVET",IF($D2454="GELİR",$O2454,-$O2454),0))</f>
        <v/>
      </c>
      <c r="AA2454" s="117">
        <f>IF($B2454="",0,IF(OR($W2454="EVET",$X2454="EVET",$Y2454="EVET"),0,IF($D2454="GELİR",IF($E2454="SATIŞ İADESİ/İSKONTO",-$O2454,$O2454),-$O2454)))</f>
        <v/>
      </c>
      <c r="AB2454" s="117">
        <f>IF($B2454="","",IF(OR($D2454="",$E2454="",$O2454=""),"EKSİK",IF($O2454&lt;=0,"SIFIR/NEGATİF",IF(COUNTIFS($C$6:$C$5000,$C2454,$O$6:$O$5000,$O2454,$B$6:$B$5000,$B2454)&gt;1,"MÜKERRER","OK"))))</f>
        <v/>
      </c>
    </row>
    <row r="2455" ht="16.5" customHeight="1" s="80">
      <c r="A2455" s="113" t="n"/>
      <c r="B2455" s="113" t="n"/>
      <c r="C2455" s="113" t="n"/>
      <c r="D2455" s="113" t="n"/>
      <c r="E2455" s="113" t="n"/>
      <c r="F2455" s="113" t="n"/>
      <c r="G2455" s="113" t="n"/>
      <c r="H2455" s="113" t="n"/>
      <c r="I2455" s="113" t="n"/>
      <c r="J2455" s="113" t="n"/>
      <c r="K2455" s="113" t="n"/>
      <c r="L2455" s="113" t="n"/>
      <c r="M2455" s="113" t="n"/>
      <c r="N2455" s="113" t="n"/>
      <c r="O2455" s="113" t="n"/>
      <c r="P2455" s="113" t="n"/>
      <c r="Q2455" s="113" t="n"/>
      <c r="R2455" s="113" t="n"/>
      <c r="S2455" s="113" t="n"/>
      <c r="T2455" s="113" t="n"/>
      <c r="U2455" s="113" t="n"/>
      <c r="V2455" s="113" t="n"/>
      <c r="W2455" s="113" t="n"/>
      <c r="X2455" s="113" t="n"/>
      <c r="Y2455" s="113" t="n"/>
      <c r="Z2455" s="117">
        <f>IF($B2455="",0,IF($S2455="EVET",IF($D2455="GELİR",$O2455,-$O2455),0))</f>
        <v/>
      </c>
      <c r="AA2455" s="117">
        <f>IF($B2455="",0,IF(OR($W2455="EVET",$X2455="EVET",$Y2455="EVET"),0,IF($D2455="GELİR",IF($E2455="SATIŞ İADESİ/İSKONTO",-$O2455,$O2455),-$O2455)))</f>
        <v/>
      </c>
      <c r="AB2455" s="117">
        <f>IF($B2455="","",IF(OR($D2455="",$E2455="",$O2455=""),"EKSİK",IF($O2455&lt;=0,"SIFIR/NEGATİF",IF(COUNTIFS($C$6:$C$5000,$C2455,$O$6:$O$5000,$O2455,$B$6:$B$5000,$B2455)&gt;1,"MÜKERRER","OK"))))</f>
        <v/>
      </c>
    </row>
    <row r="2456" ht="16.5" customHeight="1" s="80">
      <c r="A2456" s="113" t="n"/>
      <c r="B2456" s="113" t="n"/>
      <c r="C2456" s="113" t="n"/>
      <c r="D2456" s="113" t="n"/>
      <c r="E2456" s="113" t="n"/>
      <c r="F2456" s="113" t="n"/>
      <c r="G2456" s="113" t="n"/>
      <c r="H2456" s="113" t="n"/>
      <c r="I2456" s="113" t="n"/>
      <c r="J2456" s="113" t="n"/>
      <c r="K2456" s="113" t="n"/>
      <c r="L2456" s="113" t="n"/>
      <c r="M2456" s="113" t="n"/>
      <c r="N2456" s="113" t="n"/>
      <c r="O2456" s="113" t="n"/>
      <c r="P2456" s="113" t="n"/>
      <c r="Q2456" s="113" t="n"/>
      <c r="R2456" s="113" t="n"/>
      <c r="S2456" s="113" t="n"/>
      <c r="T2456" s="113" t="n"/>
      <c r="U2456" s="113" t="n"/>
      <c r="V2456" s="113" t="n"/>
      <c r="W2456" s="113" t="n"/>
      <c r="X2456" s="113" t="n"/>
      <c r="Y2456" s="113" t="n"/>
      <c r="Z2456" s="117">
        <f>IF($B2456="",0,IF($S2456="EVET",IF($D2456="GELİR",$O2456,-$O2456),0))</f>
        <v/>
      </c>
      <c r="AA2456" s="117">
        <f>IF($B2456="",0,IF(OR($W2456="EVET",$X2456="EVET",$Y2456="EVET"),0,IF($D2456="GELİR",IF($E2456="SATIŞ İADESİ/İSKONTO",-$O2456,$O2456),-$O2456)))</f>
        <v/>
      </c>
      <c r="AB2456" s="117">
        <f>IF($B2456="","",IF(OR($D2456="",$E2456="",$O2456=""),"EKSİK",IF($O2456&lt;=0,"SIFIR/NEGATİF",IF(COUNTIFS($C$6:$C$5000,$C2456,$O$6:$O$5000,$O2456,$B$6:$B$5000,$B2456)&gt;1,"MÜKERRER","OK"))))</f>
        <v/>
      </c>
    </row>
    <row r="2457" ht="16.5" customHeight="1" s="80">
      <c r="A2457" s="113" t="n"/>
      <c r="B2457" s="113" t="n"/>
      <c r="C2457" s="113" t="n"/>
      <c r="D2457" s="113" t="n"/>
      <c r="E2457" s="113" t="n"/>
      <c r="F2457" s="113" t="n"/>
      <c r="G2457" s="113" t="n"/>
      <c r="H2457" s="113" t="n"/>
      <c r="I2457" s="113" t="n"/>
      <c r="J2457" s="113" t="n"/>
      <c r="K2457" s="113" t="n"/>
      <c r="L2457" s="113" t="n"/>
      <c r="M2457" s="113" t="n"/>
      <c r="N2457" s="113" t="n"/>
      <c r="O2457" s="113" t="n"/>
      <c r="P2457" s="113" t="n"/>
      <c r="Q2457" s="113" t="n"/>
      <c r="R2457" s="113" t="n"/>
      <c r="S2457" s="113" t="n"/>
      <c r="T2457" s="113" t="n"/>
      <c r="U2457" s="113" t="n"/>
      <c r="V2457" s="113" t="n"/>
      <c r="W2457" s="113" t="n"/>
      <c r="X2457" s="113" t="n"/>
      <c r="Y2457" s="113" t="n"/>
      <c r="Z2457" s="117">
        <f>IF($B2457="",0,IF($S2457="EVET",IF($D2457="GELİR",$O2457,-$O2457),0))</f>
        <v/>
      </c>
      <c r="AA2457" s="117">
        <f>IF($B2457="",0,IF(OR($W2457="EVET",$X2457="EVET",$Y2457="EVET"),0,IF($D2457="GELİR",IF($E2457="SATIŞ İADESİ/İSKONTO",-$O2457,$O2457),-$O2457)))</f>
        <v/>
      </c>
      <c r="AB2457" s="117">
        <f>IF($B2457="","",IF(OR($D2457="",$E2457="",$O2457=""),"EKSİK",IF($O2457&lt;=0,"SIFIR/NEGATİF",IF(COUNTIFS($C$6:$C$5000,$C2457,$O$6:$O$5000,$O2457,$B$6:$B$5000,$B2457)&gt;1,"MÜKERRER","OK"))))</f>
        <v/>
      </c>
    </row>
    <row r="2458" ht="16.5" customHeight="1" s="80">
      <c r="A2458" s="113" t="n"/>
      <c r="B2458" s="113" t="n"/>
      <c r="C2458" s="113" t="n"/>
      <c r="D2458" s="113" t="n"/>
      <c r="E2458" s="113" t="n"/>
      <c r="F2458" s="113" t="n"/>
      <c r="G2458" s="113" t="n"/>
      <c r="H2458" s="113" t="n"/>
      <c r="I2458" s="113" t="n"/>
      <c r="J2458" s="113" t="n"/>
      <c r="K2458" s="113" t="n"/>
      <c r="L2458" s="113" t="n"/>
      <c r="M2458" s="113" t="n"/>
      <c r="N2458" s="113" t="n"/>
      <c r="O2458" s="113" t="n"/>
      <c r="P2458" s="113" t="n"/>
      <c r="Q2458" s="113" t="n"/>
      <c r="R2458" s="113" t="n"/>
      <c r="S2458" s="113" t="n"/>
      <c r="T2458" s="113" t="n"/>
      <c r="U2458" s="113" t="n"/>
      <c r="V2458" s="113" t="n"/>
      <c r="W2458" s="113" t="n"/>
      <c r="X2458" s="113" t="n"/>
      <c r="Y2458" s="113" t="n"/>
      <c r="Z2458" s="117">
        <f>IF($B2458="",0,IF($S2458="EVET",IF($D2458="GELİR",$O2458,-$O2458),0))</f>
        <v/>
      </c>
      <c r="AA2458" s="117">
        <f>IF($B2458="",0,IF(OR($W2458="EVET",$X2458="EVET",$Y2458="EVET"),0,IF($D2458="GELİR",IF($E2458="SATIŞ İADESİ/İSKONTO",-$O2458,$O2458),-$O2458)))</f>
        <v/>
      </c>
      <c r="AB2458" s="117">
        <f>IF($B2458="","",IF(OR($D2458="",$E2458="",$O2458=""),"EKSİK",IF($O2458&lt;=0,"SIFIR/NEGATİF",IF(COUNTIFS($C$6:$C$5000,$C2458,$O$6:$O$5000,$O2458,$B$6:$B$5000,$B2458)&gt;1,"MÜKERRER","OK"))))</f>
        <v/>
      </c>
    </row>
    <row r="2459" ht="16.5" customHeight="1" s="80">
      <c r="A2459" s="113" t="n"/>
      <c r="B2459" s="113" t="n"/>
      <c r="C2459" s="113" t="n"/>
      <c r="D2459" s="113" t="n"/>
      <c r="E2459" s="113" t="n"/>
      <c r="F2459" s="113" t="n"/>
      <c r="G2459" s="113" t="n"/>
      <c r="H2459" s="113" t="n"/>
      <c r="I2459" s="113" t="n"/>
      <c r="J2459" s="113" t="n"/>
      <c r="K2459" s="113" t="n"/>
      <c r="L2459" s="113" t="n"/>
      <c r="M2459" s="113" t="n"/>
      <c r="N2459" s="113" t="n"/>
      <c r="O2459" s="113" t="n"/>
      <c r="P2459" s="113" t="n"/>
      <c r="Q2459" s="113" t="n"/>
      <c r="R2459" s="113" t="n"/>
      <c r="S2459" s="113" t="n"/>
      <c r="T2459" s="113" t="n"/>
      <c r="U2459" s="113" t="n"/>
      <c r="V2459" s="113" t="n"/>
      <c r="W2459" s="113" t="n"/>
      <c r="X2459" s="113" t="n"/>
      <c r="Y2459" s="113" t="n"/>
      <c r="Z2459" s="117">
        <f>IF($B2459="",0,IF($S2459="EVET",IF($D2459="GELİR",$O2459,-$O2459),0))</f>
        <v/>
      </c>
      <c r="AA2459" s="117">
        <f>IF($B2459="",0,IF(OR($W2459="EVET",$X2459="EVET",$Y2459="EVET"),0,IF($D2459="GELİR",IF($E2459="SATIŞ İADESİ/İSKONTO",-$O2459,$O2459),-$O2459)))</f>
        <v/>
      </c>
      <c r="AB2459" s="117">
        <f>IF($B2459="","",IF(OR($D2459="",$E2459="",$O2459=""),"EKSİK",IF($O2459&lt;=0,"SIFIR/NEGATİF",IF(COUNTIFS($C$6:$C$5000,$C2459,$O$6:$O$5000,$O2459,$B$6:$B$5000,$B2459)&gt;1,"MÜKERRER","OK"))))</f>
        <v/>
      </c>
    </row>
    <row r="2460" ht="16.5" customHeight="1" s="80">
      <c r="A2460" s="113" t="n"/>
      <c r="B2460" s="113" t="n"/>
      <c r="C2460" s="113" t="n"/>
      <c r="D2460" s="113" t="n"/>
      <c r="E2460" s="113" t="n"/>
      <c r="F2460" s="113" t="n"/>
      <c r="G2460" s="113" t="n"/>
      <c r="H2460" s="113" t="n"/>
      <c r="I2460" s="113" t="n"/>
      <c r="J2460" s="113" t="n"/>
      <c r="K2460" s="113" t="n"/>
      <c r="L2460" s="113" t="n"/>
      <c r="M2460" s="113" t="n"/>
      <c r="N2460" s="113" t="n"/>
      <c r="O2460" s="113" t="n"/>
      <c r="P2460" s="113" t="n"/>
      <c r="Q2460" s="113" t="n"/>
      <c r="R2460" s="113" t="n"/>
      <c r="S2460" s="113" t="n"/>
      <c r="T2460" s="113" t="n"/>
      <c r="U2460" s="113" t="n"/>
      <c r="V2460" s="113" t="n"/>
      <c r="W2460" s="113" t="n"/>
      <c r="X2460" s="113" t="n"/>
      <c r="Y2460" s="113" t="n"/>
      <c r="Z2460" s="117">
        <f>IF($B2460="",0,IF($S2460="EVET",IF($D2460="GELİR",$O2460,-$O2460),0))</f>
        <v/>
      </c>
      <c r="AA2460" s="117">
        <f>IF($B2460="",0,IF(OR($W2460="EVET",$X2460="EVET",$Y2460="EVET"),0,IF($D2460="GELİR",IF($E2460="SATIŞ İADESİ/İSKONTO",-$O2460,$O2460),-$O2460)))</f>
        <v/>
      </c>
      <c r="AB2460" s="117">
        <f>IF($B2460="","",IF(OR($D2460="",$E2460="",$O2460=""),"EKSİK",IF($O2460&lt;=0,"SIFIR/NEGATİF",IF(COUNTIFS($C$6:$C$5000,$C2460,$O$6:$O$5000,$O2460,$B$6:$B$5000,$B2460)&gt;1,"MÜKERRER","OK"))))</f>
        <v/>
      </c>
    </row>
    <row r="2461" ht="16.5" customHeight="1" s="80">
      <c r="A2461" s="113" t="n"/>
      <c r="B2461" s="113" t="n"/>
      <c r="C2461" s="113" t="n"/>
      <c r="D2461" s="113" t="n"/>
      <c r="E2461" s="113" t="n"/>
      <c r="F2461" s="113" t="n"/>
      <c r="G2461" s="113" t="n"/>
      <c r="H2461" s="113" t="n"/>
      <c r="I2461" s="113" t="n"/>
      <c r="J2461" s="113" t="n"/>
      <c r="K2461" s="113" t="n"/>
      <c r="L2461" s="113" t="n"/>
      <c r="M2461" s="113" t="n"/>
      <c r="N2461" s="113" t="n"/>
      <c r="O2461" s="113" t="n"/>
      <c r="P2461" s="113" t="n"/>
      <c r="Q2461" s="113" t="n"/>
      <c r="R2461" s="113" t="n"/>
      <c r="S2461" s="113" t="n"/>
      <c r="T2461" s="113" t="n"/>
      <c r="U2461" s="113" t="n"/>
      <c r="V2461" s="113" t="n"/>
      <c r="W2461" s="113" t="n"/>
      <c r="X2461" s="113" t="n"/>
      <c r="Y2461" s="113" t="n"/>
      <c r="Z2461" s="117">
        <f>IF($B2461="",0,IF($S2461="EVET",IF($D2461="GELİR",$O2461,-$O2461),0))</f>
        <v/>
      </c>
      <c r="AA2461" s="117">
        <f>IF($B2461="",0,IF(OR($W2461="EVET",$X2461="EVET",$Y2461="EVET"),0,IF($D2461="GELİR",IF($E2461="SATIŞ İADESİ/İSKONTO",-$O2461,$O2461),-$O2461)))</f>
        <v/>
      </c>
      <c r="AB2461" s="117">
        <f>IF($B2461="","",IF(OR($D2461="",$E2461="",$O2461=""),"EKSİK",IF($O2461&lt;=0,"SIFIR/NEGATİF",IF(COUNTIFS($C$6:$C$5000,$C2461,$O$6:$O$5000,$O2461,$B$6:$B$5000,$B2461)&gt;1,"MÜKERRER","OK"))))</f>
        <v/>
      </c>
    </row>
    <row r="2462" ht="16.5" customHeight="1" s="80">
      <c r="A2462" s="113" t="n"/>
      <c r="B2462" s="113" t="n"/>
      <c r="C2462" s="113" t="n"/>
      <c r="D2462" s="113" t="n"/>
      <c r="E2462" s="113" t="n"/>
      <c r="F2462" s="113" t="n"/>
      <c r="G2462" s="113" t="n"/>
      <c r="H2462" s="113" t="n"/>
      <c r="I2462" s="113" t="n"/>
      <c r="J2462" s="113" t="n"/>
      <c r="K2462" s="113" t="n"/>
      <c r="L2462" s="113" t="n"/>
      <c r="M2462" s="113" t="n"/>
      <c r="N2462" s="113" t="n"/>
      <c r="O2462" s="113" t="n"/>
      <c r="P2462" s="113" t="n"/>
      <c r="Q2462" s="113" t="n"/>
      <c r="R2462" s="113" t="n"/>
      <c r="S2462" s="113" t="n"/>
      <c r="T2462" s="113" t="n"/>
      <c r="U2462" s="113" t="n"/>
      <c r="V2462" s="113" t="n"/>
      <c r="W2462" s="113" t="n"/>
      <c r="X2462" s="113" t="n"/>
      <c r="Y2462" s="113" t="n"/>
      <c r="Z2462" s="117">
        <f>IF($B2462="",0,IF($S2462="EVET",IF($D2462="GELİR",$O2462,-$O2462),0))</f>
        <v/>
      </c>
      <c r="AA2462" s="117">
        <f>IF($B2462="",0,IF(OR($W2462="EVET",$X2462="EVET",$Y2462="EVET"),0,IF($D2462="GELİR",IF($E2462="SATIŞ İADESİ/İSKONTO",-$O2462,$O2462),-$O2462)))</f>
        <v/>
      </c>
      <c r="AB2462" s="117">
        <f>IF($B2462="","",IF(OR($D2462="",$E2462="",$O2462=""),"EKSİK",IF($O2462&lt;=0,"SIFIR/NEGATİF",IF(COUNTIFS($C$6:$C$5000,$C2462,$O$6:$O$5000,$O2462,$B$6:$B$5000,$B2462)&gt;1,"MÜKERRER","OK"))))</f>
        <v/>
      </c>
    </row>
    <row r="2463" ht="16.5" customHeight="1" s="80">
      <c r="A2463" s="113" t="n"/>
      <c r="B2463" s="113" t="n"/>
      <c r="C2463" s="113" t="n"/>
      <c r="D2463" s="113" t="n"/>
      <c r="E2463" s="113" t="n"/>
      <c r="F2463" s="113" t="n"/>
      <c r="G2463" s="113" t="n"/>
      <c r="H2463" s="113" t="n"/>
      <c r="I2463" s="113" t="n"/>
      <c r="J2463" s="113" t="n"/>
      <c r="K2463" s="113" t="n"/>
      <c r="L2463" s="113" t="n"/>
      <c r="M2463" s="113" t="n"/>
      <c r="N2463" s="113" t="n"/>
      <c r="O2463" s="113" t="n"/>
      <c r="P2463" s="113" t="n"/>
      <c r="Q2463" s="113" t="n"/>
      <c r="R2463" s="113" t="n"/>
      <c r="S2463" s="113" t="n"/>
      <c r="T2463" s="113" t="n"/>
      <c r="U2463" s="113" t="n"/>
      <c r="V2463" s="113" t="n"/>
      <c r="W2463" s="113" t="n"/>
      <c r="X2463" s="113" t="n"/>
      <c r="Y2463" s="113" t="n"/>
      <c r="Z2463" s="117">
        <f>IF($B2463="",0,IF($S2463="EVET",IF($D2463="GELİR",$O2463,-$O2463),0))</f>
        <v/>
      </c>
      <c r="AA2463" s="117">
        <f>IF($B2463="",0,IF(OR($W2463="EVET",$X2463="EVET",$Y2463="EVET"),0,IF($D2463="GELİR",IF($E2463="SATIŞ İADESİ/İSKONTO",-$O2463,$O2463),-$O2463)))</f>
        <v/>
      </c>
      <c r="AB2463" s="117">
        <f>IF($B2463="","",IF(OR($D2463="",$E2463="",$O2463=""),"EKSİK",IF($O2463&lt;=0,"SIFIR/NEGATİF",IF(COUNTIFS($C$6:$C$5000,$C2463,$O$6:$O$5000,$O2463,$B$6:$B$5000,$B2463)&gt;1,"MÜKERRER","OK"))))</f>
        <v/>
      </c>
    </row>
    <row r="2464" ht="16.5" customHeight="1" s="80">
      <c r="A2464" s="113" t="n"/>
      <c r="B2464" s="113" t="n"/>
      <c r="C2464" s="113" t="n"/>
      <c r="D2464" s="113" t="n"/>
      <c r="E2464" s="113" t="n"/>
      <c r="F2464" s="113" t="n"/>
      <c r="G2464" s="113" t="n"/>
      <c r="H2464" s="113" t="n"/>
      <c r="I2464" s="113" t="n"/>
      <c r="J2464" s="113" t="n"/>
      <c r="K2464" s="113" t="n"/>
      <c r="L2464" s="113" t="n"/>
      <c r="M2464" s="113" t="n"/>
      <c r="N2464" s="113" t="n"/>
      <c r="O2464" s="113" t="n"/>
      <c r="P2464" s="113" t="n"/>
      <c r="Q2464" s="113" t="n"/>
      <c r="R2464" s="113" t="n"/>
      <c r="S2464" s="113" t="n"/>
      <c r="T2464" s="113" t="n"/>
      <c r="U2464" s="113" t="n"/>
      <c r="V2464" s="113" t="n"/>
      <c r="W2464" s="113" t="n"/>
      <c r="X2464" s="113" t="n"/>
      <c r="Y2464" s="113" t="n"/>
      <c r="Z2464" s="117">
        <f>IF($B2464="",0,IF($S2464="EVET",IF($D2464="GELİR",$O2464,-$O2464),0))</f>
        <v/>
      </c>
      <c r="AA2464" s="117">
        <f>IF($B2464="",0,IF(OR($W2464="EVET",$X2464="EVET",$Y2464="EVET"),0,IF($D2464="GELİR",IF($E2464="SATIŞ İADESİ/İSKONTO",-$O2464,$O2464),-$O2464)))</f>
        <v/>
      </c>
      <c r="AB2464" s="117">
        <f>IF($B2464="","",IF(OR($D2464="",$E2464="",$O2464=""),"EKSİK",IF($O2464&lt;=0,"SIFIR/NEGATİF",IF(COUNTIFS($C$6:$C$5000,$C2464,$O$6:$O$5000,$O2464,$B$6:$B$5000,$B2464)&gt;1,"MÜKERRER","OK"))))</f>
        <v/>
      </c>
    </row>
    <row r="2465" ht="16.5" customHeight="1" s="80">
      <c r="A2465" s="113" t="n"/>
      <c r="B2465" s="113" t="n"/>
      <c r="C2465" s="113" t="n"/>
      <c r="D2465" s="113" t="n"/>
      <c r="E2465" s="113" t="n"/>
      <c r="F2465" s="113" t="n"/>
      <c r="G2465" s="113" t="n"/>
      <c r="H2465" s="113" t="n"/>
      <c r="I2465" s="113" t="n"/>
      <c r="J2465" s="113" t="n"/>
      <c r="K2465" s="113" t="n"/>
      <c r="L2465" s="113" t="n"/>
      <c r="M2465" s="113" t="n"/>
      <c r="N2465" s="113" t="n"/>
      <c r="O2465" s="113" t="n"/>
      <c r="P2465" s="113" t="n"/>
      <c r="Q2465" s="113" t="n"/>
      <c r="R2465" s="113" t="n"/>
      <c r="S2465" s="113" t="n"/>
      <c r="T2465" s="113" t="n"/>
      <c r="U2465" s="113" t="n"/>
      <c r="V2465" s="113" t="n"/>
      <c r="W2465" s="113" t="n"/>
      <c r="X2465" s="113" t="n"/>
      <c r="Y2465" s="113" t="n"/>
      <c r="Z2465" s="117">
        <f>IF($B2465="",0,IF($S2465="EVET",IF($D2465="GELİR",$O2465,-$O2465),0))</f>
        <v/>
      </c>
      <c r="AA2465" s="117">
        <f>IF($B2465="",0,IF(OR($W2465="EVET",$X2465="EVET",$Y2465="EVET"),0,IF($D2465="GELİR",IF($E2465="SATIŞ İADESİ/İSKONTO",-$O2465,$O2465),-$O2465)))</f>
        <v/>
      </c>
      <c r="AB2465" s="117">
        <f>IF($B2465="","",IF(OR($D2465="",$E2465="",$O2465=""),"EKSİK",IF($O2465&lt;=0,"SIFIR/NEGATİF",IF(COUNTIFS($C$6:$C$5000,$C2465,$O$6:$O$5000,$O2465,$B$6:$B$5000,$B2465)&gt;1,"MÜKERRER","OK"))))</f>
        <v/>
      </c>
    </row>
    <row r="2466" ht="16.5" customHeight="1" s="80">
      <c r="A2466" s="113" t="n"/>
      <c r="B2466" s="113" t="n"/>
      <c r="C2466" s="113" t="n"/>
      <c r="D2466" s="113" t="n"/>
      <c r="E2466" s="113" t="n"/>
      <c r="F2466" s="113" t="n"/>
      <c r="G2466" s="113" t="n"/>
      <c r="H2466" s="113" t="n"/>
      <c r="I2466" s="113" t="n"/>
      <c r="J2466" s="113" t="n"/>
      <c r="K2466" s="113" t="n"/>
      <c r="L2466" s="113" t="n"/>
      <c r="M2466" s="113" t="n"/>
      <c r="N2466" s="113" t="n"/>
      <c r="O2466" s="113" t="n"/>
      <c r="P2466" s="113" t="n"/>
      <c r="Q2466" s="113" t="n"/>
      <c r="R2466" s="113" t="n"/>
      <c r="S2466" s="113" t="n"/>
      <c r="T2466" s="113" t="n"/>
      <c r="U2466" s="113" t="n"/>
      <c r="V2466" s="113" t="n"/>
      <c r="W2466" s="113" t="n"/>
      <c r="X2466" s="113" t="n"/>
      <c r="Y2466" s="113" t="n"/>
      <c r="Z2466" s="117">
        <f>IF($B2466="",0,IF($S2466="EVET",IF($D2466="GELİR",$O2466,-$O2466),0))</f>
        <v/>
      </c>
      <c r="AA2466" s="117">
        <f>IF($B2466="",0,IF(OR($W2466="EVET",$X2466="EVET",$Y2466="EVET"),0,IF($D2466="GELİR",IF($E2466="SATIŞ İADESİ/İSKONTO",-$O2466,$O2466),-$O2466)))</f>
        <v/>
      </c>
      <c r="AB2466" s="117">
        <f>IF($B2466="","",IF(OR($D2466="",$E2466="",$O2466=""),"EKSİK",IF($O2466&lt;=0,"SIFIR/NEGATİF",IF(COUNTIFS($C$6:$C$5000,$C2466,$O$6:$O$5000,$O2466,$B$6:$B$5000,$B2466)&gt;1,"MÜKERRER","OK"))))</f>
        <v/>
      </c>
    </row>
    <row r="2467" ht="16.5" customHeight="1" s="80">
      <c r="A2467" s="113" t="n"/>
      <c r="B2467" s="113" t="n"/>
      <c r="C2467" s="113" t="n"/>
      <c r="D2467" s="113" t="n"/>
      <c r="E2467" s="113" t="n"/>
      <c r="F2467" s="113" t="n"/>
      <c r="G2467" s="113" t="n"/>
      <c r="H2467" s="113" t="n"/>
      <c r="I2467" s="113" t="n"/>
      <c r="J2467" s="113" t="n"/>
      <c r="K2467" s="113" t="n"/>
      <c r="L2467" s="113" t="n"/>
      <c r="M2467" s="113" t="n"/>
      <c r="N2467" s="113" t="n"/>
      <c r="O2467" s="113" t="n"/>
      <c r="P2467" s="113" t="n"/>
      <c r="Q2467" s="113" t="n"/>
      <c r="R2467" s="113" t="n"/>
      <c r="S2467" s="113" t="n"/>
      <c r="T2467" s="113" t="n"/>
      <c r="U2467" s="113" t="n"/>
      <c r="V2467" s="113" t="n"/>
      <c r="W2467" s="113" t="n"/>
      <c r="X2467" s="113" t="n"/>
      <c r="Y2467" s="113" t="n"/>
      <c r="Z2467" s="117">
        <f>IF($B2467="",0,IF($S2467="EVET",IF($D2467="GELİR",$O2467,-$O2467),0))</f>
        <v/>
      </c>
      <c r="AA2467" s="117">
        <f>IF($B2467="",0,IF(OR($W2467="EVET",$X2467="EVET",$Y2467="EVET"),0,IF($D2467="GELİR",IF($E2467="SATIŞ İADESİ/İSKONTO",-$O2467,$O2467),-$O2467)))</f>
        <v/>
      </c>
      <c r="AB2467" s="117">
        <f>IF($B2467="","",IF(OR($D2467="",$E2467="",$O2467=""),"EKSİK",IF($O2467&lt;=0,"SIFIR/NEGATİF",IF(COUNTIFS($C$6:$C$5000,$C2467,$O$6:$O$5000,$O2467,$B$6:$B$5000,$B2467)&gt;1,"MÜKERRER","OK"))))</f>
        <v/>
      </c>
    </row>
    <row r="2468" ht="16.5" customHeight="1" s="80">
      <c r="A2468" s="113" t="n"/>
      <c r="B2468" s="113" t="n"/>
      <c r="C2468" s="113" t="n"/>
      <c r="D2468" s="113" t="n"/>
      <c r="E2468" s="113" t="n"/>
      <c r="F2468" s="113" t="n"/>
      <c r="G2468" s="113" t="n"/>
      <c r="H2468" s="113" t="n"/>
      <c r="I2468" s="113" t="n"/>
      <c r="J2468" s="113" t="n"/>
      <c r="K2468" s="113" t="n"/>
      <c r="L2468" s="113" t="n"/>
      <c r="M2468" s="113" t="n"/>
      <c r="N2468" s="113" t="n"/>
      <c r="O2468" s="113" t="n"/>
      <c r="P2468" s="113" t="n"/>
      <c r="Q2468" s="113" t="n"/>
      <c r="R2468" s="113" t="n"/>
      <c r="S2468" s="113" t="n"/>
      <c r="T2468" s="113" t="n"/>
      <c r="U2468" s="113" t="n"/>
      <c r="V2468" s="113" t="n"/>
      <c r="W2468" s="113" t="n"/>
      <c r="X2468" s="113" t="n"/>
      <c r="Y2468" s="113" t="n"/>
      <c r="Z2468" s="117">
        <f>IF($B2468="",0,IF($S2468="EVET",IF($D2468="GELİR",$O2468,-$O2468),0))</f>
        <v/>
      </c>
      <c r="AA2468" s="117">
        <f>IF($B2468="",0,IF(OR($W2468="EVET",$X2468="EVET",$Y2468="EVET"),0,IF($D2468="GELİR",IF($E2468="SATIŞ İADESİ/İSKONTO",-$O2468,$O2468),-$O2468)))</f>
        <v/>
      </c>
      <c r="AB2468" s="117">
        <f>IF($B2468="","",IF(OR($D2468="",$E2468="",$O2468=""),"EKSİK",IF($O2468&lt;=0,"SIFIR/NEGATİF",IF(COUNTIFS($C$6:$C$5000,$C2468,$O$6:$O$5000,$O2468,$B$6:$B$5000,$B2468)&gt;1,"MÜKERRER","OK"))))</f>
        <v/>
      </c>
    </row>
    <row r="2469" ht="16.5" customHeight="1" s="80">
      <c r="A2469" s="113" t="n"/>
      <c r="B2469" s="113" t="n"/>
      <c r="C2469" s="113" t="n"/>
      <c r="D2469" s="113" t="n"/>
      <c r="E2469" s="113" t="n"/>
      <c r="F2469" s="113" t="n"/>
      <c r="G2469" s="113" t="n"/>
      <c r="H2469" s="113" t="n"/>
      <c r="I2469" s="113" t="n"/>
      <c r="J2469" s="113" t="n"/>
      <c r="K2469" s="113" t="n"/>
      <c r="L2469" s="113" t="n"/>
      <c r="M2469" s="113" t="n"/>
      <c r="N2469" s="113" t="n"/>
      <c r="O2469" s="113" t="n"/>
      <c r="P2469" s="113" t="n"/>
      <c r="Q2469" s="113" t="n"/>
      <c r="R2469" s="113" t="n"/>
      <c r="S2469" s="113" t="n"/>
      <c r="T2469" s="113" t="n"/>
      <c r="U2469" s="113" t="n"/>
      <c r="V2469" s="113" t="n"/>
      <c r="W2469" s="113" t="n"/>
      <c r="X2469" s="113" t="n"/>
      <c r="Y2469" s="113" t="n"/>
      <c r="Z2469" s="117">
        <f>IF($B2469="",0,IF($S2469="EVET",IF($D2469="GELİR",$O2469,-$O2469),0))</f>
        <v/>
      </c>
      <c r="AA2469" s="117">
        <f>IF($B2469="",0,IF(OR($W2469="EVET",$X2469="EVET",$Y2469="EVET"),0,IF($D2469="GELİR",IF($E2469="SATIŞ İADESİ/İSKONTO",-$O2469,$O2469),-$O2469)))</f>
        <v/>
      </c>
      <c r="AB2469" s="117">
        <f>IF($B2469="","",IF(OR($D2469="",$E2469="",$O2469=""),"EKSİK",IF($O2469&lt;=0,"SIFIR/NEGATİF",IF(COUNTIFS($C$6:$C$5000,$C2469,$O$6:$O$5000,$O2469,$B$6:$B$5000,$B2469)&gt;1,"MÜKERRER","OK"))))</f>
        <v/>
      </c>
    </row>
    <row r="2470" ht="16.5" customHeight="1" s="80">
      <c r="A2470" s="113" t="n"/>
      <c r="B2470" s="113" t="n"/>
      <c r="C2470" s="113" t="n"/>
      <c r="D2470" s="113" t="n"/>
      <c r="E2470" s="113" t="n"/>
      <c r="F2470" s="113" t="n"/>
      <c r="G2470" s="113" t="n"/>
      <c r="H2470" s="113" t="n"/>
      <c r="I2470" s="113" t="n"/>
      <c r="J2470" s="113" t="n"/>
      <c r="K2470" s="113" t="n"/>
      <c r="L2470" s="113" t="n"/>
      <c r="M2470" s="113" t="n"/>
      <c r="N2470" s="113" t="n"/>
      <c r="O2470" s="113" t="n"/>
      <c r="P2470" s="113" t="n"/>
      <c r="Q2470" s="113" t="n"/>
      <c r="R2470" s="113" t="n"/>
      <c r="S2470" s="113" t="n"/>
      <c r="T2470" s="113" t="n"/>
      <c r="U2470" s="113" t="n"/>
      <c r="V2470" s="113" t="n"/>
      <c r="W2470" s="113" t="n"/>
      <c r="X2470" s="113" t="n"/>
      <c r="Y2470" s="113" t="n"/>
      <c r="Z2470" s="117">
        <f>IF($B2470="",0,IF($S2470="EVET",IF($D2470="GELİR",$O2470,-$O2470),0))</f>
        <v/>
      </c>
      <c r="AA2470" s="117">
        <f>IF($B2470="",0,IF(OR($W2470="EVET",$X2470="EVET",$Y2470="EVET"),0,IF($D2470="GELİR",IF($E2470="SATIŞ İADESİ/İSKONTO",-$O2470,$O2470),-$O2470)))</f>
        <v/>
      </c>
      <c r="AB2470" s="117">
        <f>IF($B2470="","",IF(OR($D2470="",$E2470="",$O2470=""),"EKSİK",IF($O2470&lt;=0,"SIFIR/NEGATİF",IF(COUNTIFS($C$6:$C$5000,$C2470,$O$6:$O$5000,$O2470,$B$6:$B$5000,$B2470)&gt;1,"MÜKERRER","OK"))))</f>
        <v/>
      </c>
    </row>
    <row r="2471" ht="16.5" customHeight="1" s="80">
      <c r="A2471" s="113" t="n"/>
      <c r="B2471" s="113" t="n"/>
      <c r="C2471" s="113" t="n"/>
      <c r="D2471" s="113" t="n"/>
      <c r="E2471" s="113" t="n"/>
      <c r="F2471" s="113" t="n"/>
      <c r="G2471" s="113" t="n"/>
      <c r="H2471" s="113" t="n"/>
      <c r="I2471" s="113" t="n"/>
      <c r="J2471" s="113" t="n"/>
      <c r="K2471" s="113" t="n"/>
      <c r="L2471" s="113" t="n"/>
      <c r="M2471" s="113" t="n"/>
      <c r="N2471" s="113" t="n"/>
      <c r="O2471" s="113" t="n"/>
      <c r="P2471" s="113" t="n"/>
      <c r="Q2471" s="113" t="n"/>
      <c r="R2471" s="113" t="n"/>
      <c r="S2471" s="113" t="n"/>
      <c r="T2471" s="113" t="n"/>
      <c r="U2471" s="113" t="n"/>
      <c r="V2471" s="113" t="n"/>
      <c r="W2471" s="113" t="n"/>
      <c r="X2471" s="113" t="n"/>
      <c r="Y2471" s="113" t="n"/>
      <c r="Z2471" s="117">
        <f>IF($B2471="",0,IF($S2471="EVET",IF($D2471="GELİR",$O2471,-$O2471),0))</f>
        <v/>
      </c>
      <c r="AA2471" s="117">
        <f>IF($B2471="",0,IF(OR($W2471="EVET",$X2471="EVET",$Y2471="EVET"),0,IF($D2471="GELİR",IF($E2471="SATIŞ İADESİ/İSKONTO",-$O2471,$O2471),-$O2471)))</f>
        <v/>
      </c>
      <c r="AB2471" s="117">
        <f>IF($B2471="","",IF(OR($D2471="",$E2471="",$O2471=""),"EKSİK",IF($O2471&lt;=0,"SIFIR/NEGATİF",IF(COUNTIFS($C$6:$C$5000,$C2471,$O$6:$O$5000,$O2471,$B$6:$B$5000,$B2471)&gt;1,"MÜKERRER","OK"))))</f>
        <v/>
      </c>
    </row>
    <row r="2472" ht="16.5" customHeight="1" s="80">
      <c r="A2472" s="113" t="n"/>
      <c r="B2472" s="113" t="n"/>
      <c r="C2472" s="113" t="n"/>
      <c r="D2472" s="113" t="n"/>
      <c r="E2472" s="113" t="n"/>
      <c r="F2472" s="113" t="n"/>
      <c r="G2472" s="113" t="n"/>
      <c r="H2472" s="113" t="n"/>
      <c r="I2472" s="113" t="n"/>
      <c r="J2472" s="113" t="n"/>
      <c r="K2472" s="113" t="n"/>
      <c r="L2472" s="113" t="n"/>
      <c r="M2472" s="113" t="n"/>
      <c r="N2472" s="113" t="n"/>
      <c r="O2472" s="113" t="n"/>
      <c r="P2472" s="113" t="n"/>
      <c r="Q2472" s="113" t="n"/>
      <c r="R2472" s="113" t="n"/>
      <c r="S2472" s="113" t="n"/>
      <c r="T2472" s="113" t="n"/>
      <c r="U2472" s="113" t="n"/>
      <c r="V2472" s="113" t="n"/>
      <c r="W2472" s="113" t="n"/>
      <c r="X2472" s="113" t="n"/>
      <c r="Y2472" s="113" t="n"/>
      <c r="Z2472" s="117">
        <f>IF($B2472="",0,IF($S2472="EVET",IF($D2472="GELİR",$O2472,-$O2472),0))</f>
        <v/>
      </c>
      <c r="AA2472" s="117">
        <f>IF($B2472="",0,IF(OR($W2472="EVET",$X2472="EVET",$Y2472="EVET"),0,IF($D2472="GELİR",IF($E2472="SATIŞ İADESİ/İSKONTO",-$O2472,$O2472),-$O2472)))</f>
        <v/>
      </c>
      <c r="AB2472" s="117">
        <f>IF($B2472="","",IF(OR($D2472="",$E2472="",$O2472=""),"EKSİK",IF($O2472&lt;=0,"SIFIR/NEGATİF",IF(COUNTIFS($C$6:$C$5000,$C2472,$O$6:$O$5000,$O2472,$B$6:$B$5000,$B2472)&gt;1,"MÜKERRER","OK"))))</f>
        <v/>
      </c>
    </row>
    <row r="2473" ht="16.5" customHeight="1" s="80">
      <c r="A2473" s="113" t="n"/>
      <c r="B2473" s="113" t="n"/>
      <c r="C2473" s="113" t="n"/>
      <c r="D2473" s="113" t="n"/>
      <c r="E2473" s="113" t="n"/>
      <c r="F2473" s="113" t="n"/>
      <c r="G2473" s="113" t="n"/>
      <c r="H2473" s="113" t="n"/>
      <c r="I2473" s="113" t="n"/>
      <c r="J2473" s="113" t="n"/>
      <c r="K2473" s="113" t="n"/>
      <c r="L2473" s="113" t="n"/>
      <c r="M2473" s="113" t="n"/>
      <c r="N2473" s="113" t="n"/>
      <c r="O2473" s="113" t="n"/>
      <c r="P2473" s="113" t="n"/>
      <c r="Q2473" s="113" t="n"/>
      <c r="R2473" s="113" t="n"/>
      <c r="S2473" s="113" t="n"/>
      <c r="T2473" s="113" t="n"/>
      <c r="U2473" s="113" t="n"/>
      <c r="V2473" s="113" t="n"/>
      <c r="W2473" s="113" t="n"/>
      <c r="X2473" s="113" t="n"/>
      <c r="Y2473" s="113" t="n"/>
      <c r="Z2473" s="117">
        <f>IF($B2473="",0,IF($S2473="EVET",IF($D2473="GELİR",$O2473,-$O2473),0))</f>
        <v/>
      </c>
      <c r="AA2473" s="117">
        <f>IF($B2473="",0,IF(OR($W2473="EVET",$X2473="EVET",$Y2473="EVET"),0,IF($D2473="GELİR",IF($E2473="SATIŞ İADESİ/İSKONTO",-$O2473,$O2473),-$O2473)))</f>
        <v/>
      </c>
      <c r="AB2473" s="117">
        <f>IF($B2473="","",IF(OR($D2473="",$E2473="",$O2473=""),"EKSİK",IF($O2473&lt;=0,"SIFIR/NEGATİF",IF(COUNTIFS($C$6:$C$5000,$C2473,$O$6:$O$5000,$O2473,$B$6:$B$5000,$B2473)&gt;1,"MÜKERRER","OK"))))</f>
        <v/>
      </c>
    </row>
    <row r="2474" ht="16.5" customHeight="1" s="80">
      <c r="A2474" s="113" t="n"/>
      <c r="B2474" s="113" t="n"/>
      <c r="C2474" s="113" t="n"/>
      <c r="D2474" s="113" t="n"/>
      <c r="E2474" s="113" t="n"/>
      <c r="F2474" s="113" t="n"/>
      <c r="G2474" s="113" t="n"/>
      <c r="H2474" s="113" t="n"/>
      <c r="I2474" s="113" t="n"/>
      <c r="J2474" s="113" t="n"/>
      <c r="K2474" s="113" t="n"/>
      <c r="L2474" s="113" t="n"/>
      <c r="M2474" s="113" t="n"/>
      <c r="N2474" s="113" t="n"/>
      <c r="O2474" s="113" t="n"/>
      <c r="P2474" s="113" t="n"/>
      <c r="Q2474" s="113" t="n"/>
      <c r="R2474" s="113" t="n"/>
      <c r="S2474" s="113" t="n"/>
      <c r="T2474" s="113" t="n"/>
      <c r="U2474" s="113" t="n"/>
      <c r="V2474" s="113" t="n"/>
      <c r="W2474" s="113" t="n"/>
      <c r="X2474" s="113" t="n"/>
      <c r="Y2474" s="113" t="n"/>
      <c r="Z2474" s="117">
        <f>IF($B2474="",0,IF($S2474="EVET",IF($D2474="GELİR",$O2474,-$O2474),0))</f>
        <v/>
      </c>
      <c r="AA2474" s="117">
        <f>IF($B2474="",0,IF(OR($W2474="EVET",$X2474="EVET",$Y2474="EVET"),0,IF($D2474="GELİR",IF($E2474="SATIŞ İADESİ/İSKONTO",-$O2474,$O2474),-$O2474)))</f>
        <v/>
      </c>
      <c r="AB2474" s="117">
        <f>IF($B2474="","",IF(OR($D2474="",$E2474="",$O2474=""),"EKSİK",IF($O2474&lt;=0,"SIFIR/NEGATİF",IF(COUNTIFS($C$6:$C$5000,$C2474,$O$6:$O$5000,$O2474,$B$6:$B$5000,$B2474)&gt;1,"MÜKERRER","OK"))))</f>
        <v/>
      </c>
    </row>
    <row r="2475" ht="16.5" customHeight="1" s="80">
      <c r="A2475" s="113" t="n"/>
      <c r="B2475" s="113" t="n"/>
      <c r="C2475" s="113" t="n"/>
      <c r="D2475" s="113" t="n"/>
      <c r="E2475" s="113" t="n"/>
      <c r="F2475" s="113" t="n"/>
      <c r="G2475" s="113" t="n"/>
      <c r="H2475" s="113" t="n"/>
      <c r="I2475" s="113" t="n"/>
      <c r="J2475" s="113" t="n"/>
      <c r="K2475" s="113" t="n"/>
      <c r="L2475" s="113" t="n"/>
      <c r="M2475" s="113" t="n"/>
      <c r="N2475" s="113" t="n"/>
      <c r="O2475" s="113" t="n"/>
      <c r="P2475" s="113" t="n"/>
      <c r="Q2475" s="113" t="n"/>
      <c r="R2475" s="113" t="n"/>
      <c r="S2475" s="113" t="n"/>
      <c r="T2475" s="113" t="n"/>
      <c r="U2475" s="113" t="n"/>
      <c r="V2475" s="113" t="n"/>
      <c r="W2475" s="113" t="n"/>
      <c r="X2475" s="113" t="n"/>
      <c r="Y2475" s="113" t="n"/>
      <c r="Z2475" s="117">
        <f>IF($B2475="",0,IF($S2475="EVET",IF($D2475="GELİR",$O2475,-$O2475),0))</f>
        <v/>
      </c>
      <c r="AA2475" s="117">
        <f>IF($B2475="",0,IF(OR($W2475="EVET",$X2475="EVET",$Y2475="EVET"),0,IF($D2475="GELİR",IF($E2475="SATIŞ İADESİ/İSKONTO",-$O2475,$O2475),-$O2475)))</f>
        <v/>
      </c>
      <c r="AB2475" s="117">
        <f>IF($B2475="","",IF(OR($D2475="",$E2475="",$O2475=""),"EKSİK",IF($O2475&lt;=0,"SIFIR/NEGATİF",IF(COUNTIFS($C$6:$C$5000,$C2475,$O$6:$O$5000,$O2475,$B$6:$B$5000,$B2475)&gt;1,"MÜKERRER","OK"))))</f>
        <v/>
      </c>
    </row>
    <row r="2476" ht="16.5" customHeight="1" s="80">
      <c r="A2476" s="113" t="n"/>
      <c r="B2476" s="113" t="n"/>
      <c r="C2476" s="113" t="n"/>
      <c r="D2476" s="113" t="n"/>
      <c r="E2476" s="113" t="n"/>
      <c r="F2476" s="113" t="n"/>
      <c r="G2476" s="113" t="n"/>
      <c r="H2476" s="113" t="n"/>
      <c r="I2476" s="113" t="n"/>
      <c r="J2476" s="113" t="n"/>
      <c r="K2476" s="113" t="n"/>
      <c r="L2476" s="113" t="n"/>
      <c r="M2476" s="113" t="n"/>
      <c r="N2476" s="113" t="n"/>
      <c r="O2476" s="113" t="n"/>
      <c r="P2476" s="113" t="n"/>
      <c r="Q2476" s="113" t="n"/>
      <c r="R2476" s="113" t="n"/>
      <c r="S2476" s="113" t="n"/>
      <c r="T2476" s="113" t="n"/>
      <c r="U2476" s="113" t="n"/>
      <c r="V2476" s="113" t="n"/>
      <c r="W2476" s="113" t="n"/>
      <c r="X2476" s="113" t="n"/>
      <c r="Y2476" s="113" t="n"/>
      <c r="Z2476" s="117">
        <f>IF($B2476="",0,IF($S2476="EVET",IF($D2476="GELİR",$O2476,-$O2476),0))</f>
        <v/>
      </c>
      <c r="AA2476" s="117">
        <f>IF($B2476="",0,IF(OR($W2476="EVET",$X2476="EVET",$Y2476="EVET"),0,IF($D2476="GELİR",IF($E2476="SATIŞ İADESİ/İSKONTO",-$O2476,$O2476),-$O2476)))</f>
        <v/>
      </c>
      <c r="AB2476" s="117">
        <f>IF($B2476="","",IF(OR($D2476="",$E2476="",$O2476=""),"EKSİK",IF($O2476&lt;=0,"SIFIR/NEGATİF",IF(COUNTIFS($C$6:$C$5000,$C2476,$O$6:$O$5000,$O2476,$B$6:$B$5000,$B2476)&gt;1,"MÜKERRER","OK"))))</f>
        <v/>
      </c>
    </row>
    <row r="2477" ht="16.5" customHeight="1" s="80">
      <c r="A2477" s="113" t="n"/>
      <c r="B2477" s="113" t="n"/>
      <c r="C2477" s="113" t="n"/>
      <c r="D2477" s="113" t="n"/>
      <c r="E2477" s="113" t="n"/>
      <c r="F2477" s="113" t="n"/>
      <c r="G2477" s="113" t="n"/>
      <c r="H2477" s="113" t="n"/>
      <c r="I2477" s="113" t="n"/>
      <c r="J2477" s="113" t="n"/>
      <c r="K2477" s="113" t="n"/>
      <c r="L2477" s="113" t="n"/>
      <c r="M2477" s="113" t="n"/>
      <c r="N2477" s="113" t="n"/>
      <c r="O2477" s="113" t="n"/>
      <c r="P2477" s="113" t="n"/>
      <c r="Q2477" s="113" t="n"/>
      <c r="R2477" s="113" t="n"/>
      <c r="S2477" s="113" t="n"/>
      <c r="T2477" s="113" t="n"/>
      <c r="U2477" s="113" t="n"/>
      <c r="V2477" s="113" t="n"/>
      <c r="W2477" s="113" t="n"/>
      <c r="X2477" s="113" t="n"/>
      <c r="Y2477" s="113" t="n"/>
      <c r="Z2477" s="117">
        <f>IF($B2477="",0,IF($S2477="EVET",IF($D2477="GELİR",$O2477,-$O2477),0))</f>
        <v/>
      </c>
      <c r="AA2477" s="117">
        <f>IF($B2477="",0,IF(OR($W2477="EVET",$X2477="EVET",$Y2477="EVET"),0,IF($D2477="GELİR",IF($E2477="SATIŞ İADESİ/İSKONTO",-$O2477,$O2477),-$O2477)))</f>
        <v/>
      </c>
      <c r="AB2477" s="117">
        <f>IF($B2477="","",IF(OR($D2477="",$E2477="",$O2477=""),"EKSİK",IF($O2477&lt;=0,"SIFIR/NEGATİF",IF(COUNTIFS($C$6:$C$5000,$C2477,$O$6:$O$5000,$O2477,$B$6:$B$5000,$B2477)&gt;1,"MÜKERRER","OK"))))</f>
        <v/>
      </c>
    </row>
    <row r="2478" ht="16.5" customHeight="1" s="80">
      <c r="A2478" s="113" t="n"/>
      <c r="B2478" s="113" t="n"/>
      <c r="C2478" s="113" t="n"/>
      <c r="D2478" s="113" t="n"/>
      <c r="E2478" s="113" t="n"/>
      <c r="F2478" s="113" t="n"/>
      <c r="G2478" s="113" t="n"/>
      <c r="H2478" s="113" t="n"/>
      <c r="I2478" s="113" t="n"/>
      <c r="J2478" s="113" t="n"/>
      <c r="K2478" s="113" t="n"/>
      <c r="L2478" s="113" t="n"/>
      <c r="M2478" s="113" t="n"/>
      <c r="N2478" s="113" t="n"/>
      <c r="O2478" s="113" t="n"/>
      <c r="P2478" s="113" t="n"/>
      <c r="Q2478" s="113" t="n"/>
      <c r="R2478" s="113" t="n"/>
      <c r="S2478" s="113" t="n"/>
      <c r="T2478" s="113" t="n"/>
      <c r="U2478" s="113" t="n"/>
      <c r="V2478" s="113" t="n"/>
      <c r="W2478" s="113" t="n"/>
      <c r="X2478" s="113" t="n"/>
      <c r="Y2478" s="113" t="n"/>
      <c r="Z2478" s="117">
        <f>IF($B2478="",0,IF($S2478="EVET",IF($D2478="GELİR",$O2478,-$O2478),0))</f>
        <v/>
      </c>
      <c r="AA2478" s="117">
        <f>IF($B2478="",0,IF(OR($W2478="EVET",$X2478="EVET",$Y2478="EVET"),0,IF($D2478="GELİR",IF($E2478="SATIŞ İADESİ/İSKONTO",-$O2478,$O2478),-$O2478)))</f>
        <v/>
      </c>
      <c r="AB2478" s="117">
        <f>IF($B2478="","",IF(OR($D2478="",$E2478="",$O2478=""),"EKSİK",IF($O2478&lt;=0,"SIFIR/NEGATİF",IF(COUNTIFS($C$6:$C$5000,$C2478,$O$6:$O$5000,$O2478,$B$6:$B$5000,$B2478)&gt;1,"MÜKERRER","OK"))))</f>
        <v/>
      </c>
    </row>
    <row r="2479" ht="16.5" customHeight="1" s="80">
      <c r="A2479" s="113" t="n"/>
      <c r="B2479" s="113" t="n"/>
      <c r="C2479" s="113" t="n"/>
      <c r="D2479" s="113" t="n"/>
      <c r="E2479" s="113" t="n"/>
      <c r="F2479" s="113" t="n"/>
      <c r="G2479" s="113" t="n"/>
      <c r="H2479" s="113" t="n"/>
      <c r="I2479" s="113" t="n"/>
      <c r="J2479" s="113" t="n"/>
      <c r="K2479" s="113" t="n"/>
      <c r="L2479" s="113" t="n"/>
      <c r="M2479" s="113" t="n"/>
      <c r="N2479" s="113" t="n"/>
      <c r="O2479" s="113" t="n"/>
      <c r="P2479" s="113" t="n"/>
      <c r="Q2479" s="113" t="n"/>
      <c r="R2479" s="113" t="n"/>
      <c r="S2479" s="113" t="n"/>
      <c r="T2479" s="113" t="n"/>
      <c r="U2479" s="113" t="n"/>
      <c r="V2479" s="113" t="n"/>
      <c r="W2479" s="113" t="n"/>
      <c r="X2479" s="113" t="n"/>
      <c r="Y2479" s="113" t="n"/>
      <c r="Z2479" s="117">
        <f>IF($B2479="",0,IF($S2479="EVET",IF($D2479="GELİR",$O2479,-$O2479),0))</f>
        <v/>
      </c>
      <c r="AA2479" s="117">
        <f>IF($B2479="",0,IF(OR($W2479="EVET",$X2479="EVET",$Y2479="EVET"),0,IF($D2479="GELİR",IF($E2479="SATIŞ İADESİ/İSKONTO",-$O2479,$O2479),-$O2479)))</f>
        <v/>
      </c>
      <c r="AB2479" s="117">
        <f>IF($B2479="","",IF(OR($D2479="",$E2479="",$O2479=""),"EKSİK",IF($O2479&lt;=0,"SIFIR/NEGATİF",IF(COUNTIFS($C$6:$C$5000,$C2479,$O$6:$O$5000,$O2479,$B$6:$B$5000,$B2479)&gt;1,"MÜKERRER","OK"))))</f>
        <v/>
      </c>
    </row>
    <row r="2480" ht="16.5" customHeight="1" s="80">
      <c r="A2480" s="113" t="n"/>
      <c r="B2480" s="113" t="n"/>
      <c r="C2480" s="113" t="n"/>
      <c r="D2480" s="113" t="n"/>
      <c r="E2480" s="113" t="n"/>
      <c r="F2480" s="113" t="n"/>
      <c r="G2480" s="113" t="n"/>
      <c r="H2480" s="113" t="n"/>
      <c r="I2480" s="113" t="n"/>
      <c r="J2480" s="113" t="n"/>
      <c r="K2480" s="113" t="n"/>
      <c r="L2480" s="113" t="n"/>
      <c r="M2480" s="113" t="n"/>
      <c r="N2480" s="113" t="n"/>
      <c r="O2480" s="113" t="n"/>
      <c r="P2480" s="113" t="n"/>
      <c r="Q2480" s="113" t="n"/>
      <c r="R2480" s="113" t="n"/>
      <c r="S2480" s="113" t="n"/>
      <c r="T2480" s="113" t="n"/>
      <c r="U2480" s="113" t="n"/>
      <c r="V2480" s="113" t="n"/>
      <c r="W2480" s="113" t="n"/>
      <c r="X2480" s="113" t="n"/>
      <c r="Y2480" s="113" t="n"/>
      <c r="Z2480" s="117">
        <f>IF($B2480="",0,IF($S2480="EVET",IF($D2480="GELİR",$O2480,-$O2480),0))</f>
        <v/>
      </c>
      <c r="AA2480" s="117">
        <f>IF($B2480="",0,IF(OR($W2480="EVET",$X2480="EVET",$Y2480="EVET"),0,IF($D2480="GELİR",IF($E2480="SATIŞ İADESİ/İSKONTO",-$O2480,$O2480),-$O2480)))</f>
        <v/>
      </c>
      <c r="AB2480" s="117">
        <f>IF($B2480="","",IF(OR($D2480="",$E2480="",$O2480=""),"EKSİK",IF($O2480&lt;=0,"SIFIR/NEGATİF",IF(COUNTIFS($C$6:$C$5000,$C2480,$O$6:$O$5000,$O2480,$B$6:$B$5000,$B2480)&gt;1,"MÜKERRER","OK"))))</f>
        <v/>
      </c>
    </row>
    <row r="2481" ht="16.5" customHeight="1" s="80">
      <c r="A2481" s="113" t="n"/>
      <c r="B2481" s="113" t="n"/>
      <c r="C2481" s="113" t="n"/>
      <c r="D2481" s="113" t="n"/>
      <c r="E2481" s="113" t="n"/>
      <c r="F2481" s="113" t="n"/>
      <c r="G2481" s="113" t="n"/>
      <c r="H2481" s="113" t="n"/>
      <c r="I2481" s="113" t="n"/>
      <c r="J2481" s="113" t="n"/>
      <c r="K2481" s="113" t="n"/>
      <c r="L2481" s="113" t="n"/>
      <c r="M2481" s="113" t="n"/>
      <c r="N2481" s="113" t="n"/>
      <c r="O2481" s="113" t="n"/>
      <c r="P2481" s="113" t="n"/>
      <c r="Q2481" s="113" t="n"/>
      <c r="R2481" s="113" t="n"/>
      <c r="S2481" s="113" t="n"/>
      <c r="T2481" s="113" t="n"/>
      <c r="U2481" s="113" t="n"/>
      <c r="V2481" s="113" t="n"/>
      <c r="W2481" s="113" t="n"/>
      <c r="X2481" s="113" t="n"/>
      <c r="Y2481" s="113" t="n"/>
      <c r="Z2481" s="117">
        <f>IF($B2481="",0,IF($S2481="EVET",IF($D2481="GELİR",$O2481,-$O2481),0))</f>
        <v/>
      </c>
      <c r="AA2481" s="117">
        <f>IF($B2481="",0,IF(OR($W2481="EVET",$X2481="EVET",$Y2481="EVET"),0,IF($D2481="GELİR",IF($E2481="SATIŞ İADESİ/İSKONTO",-$O2481,$O2481),-$O2481)))</f>
        <v/>
      </c>
      <c r="AB2481" s="117">
        <f>IF($B2481="","",IF(OR($D2481="",$E2481="",$O2481=""),"EKSİK",IF($O2481&lt;=0,"SIFIR/NEGATİF",IF(COUNTIFS($C$6:$C$5000,$C2481,$O$6:$O$5000,$O2481,$B$6:$B$5000,$B2481)&gt;1,"MÜKERRER","OK"))))</f>
        <v/>
      </c>
    </row>
    <row r="2482" ht="16.5" customHeight="1" s="80">
      <c r="A2482" s="113" t="n"/>
      <c r="B2482" s="113" t="n"/>
      <c r="C2482" s="113" t="n"/>
      <c r="D2482" s="113" t="n"/>
      <c r="E2482" s="113" t="n"/>
      <c r="F2482" s="113" t="n"/>
      <c r="G2482" s="113" t="n"/>
      <c r="H2482" s="113" t="n"/>
      <c r="I2482" s="113" t="n"/>
      <c r="J2482" s="113" t="n"/>
      <c r="K2482" s="113" t="n"/>
      <c r="L2482" s="113" t="n"/>
      <c r="M2482" s="113" t="n"/>
      <c r="N2482" s="113" t="n"/>
      <c r="O2482" s="113" t="n"/>
      <c r="P2482" s="113" t="n"/>
      <c r="Q2482" s="113" t="n"/>
      <c r="R2482" s="113" t="n"/>
      <c r="S2482" s="113" t="n"/>
      <c r="T2482" s="113" t="n"/>
      <c r="U2482" s="113" t="n"/>
      <c r="V2482" s="113" t="n"/>
      <c r="W2482" s="113" t="n"/>
      <c r="X2482" s="113" t="n"/>
      <c r="Y2482" s="113" t="n"/>
      <c r="Z2482" s="117">
        <f>IF($B2482="",0,IF($S2482="EVET",IF($D2482="GELİR",$O2482,-$O2482),0))</f>
        <v/>
      </c>
      <c r="AA2482" s="117">
        <f>IF($B2482="",0,IF(OR($W2482="EVET",$X2482="EVET",$Y2482="EVET"),0,IF($D2482="GELİR",IF($E2482="SATIŞ İADESİ/İSKONTO",-$O2482,$O2482),-$O2482)))</f>
        <v/>
      </c>
      <c r="AB2482" s="117">
        <f>IF($B2482="","",IF(OR($D2482="",$E2482="",$O2482=""),"EKSİK",IF($O2482&lt;=0,"SIFIR/NEGATİF",IF(COUNTIFS($C$6:$C$5000,$C2482,$O$6:$O$5000,$O2482,$B$6:$B$5000,$B2482)&gt;1,"MÜKERRER","OK"))))</f>
        <v/>
      </c>
    </row>
    <row r="2483" ht="16.5" customHeight="1" s="80">
      <c r="A2483" s="113" t="n"/>
      <c r="B2483" s="113" t="n"/>
      <c r="C2483" s="113" t="n"/>
      <c r="D2483" s="113" t="n"/>
      <c r="E2483" s="113" t="n"/>
      <c r="F2483" s="113" t="n"/>
      <c r="G2483" s="113" t="n"/>
      <c r="H2483" s="113" t="n"/>
      <c r="I2483" s="113" t="n"/>
      <c r="J2483" s="113" t="n"/>
      <c r="K2483" s="113" t="n"/>
      <c r="L2483" s="113" t="n"/>
      <c r="M2483" s="113" t="n"/>
      <c r="N2483" s="113" t="n"/>
      <c r="O2483" s="113" t="n"/>
      <c r="P2483" s="113" t="n"/>
      <c r="Q2483" s="113" t="n"/>
      <c r="R2483" s="113" t="n"/>
      <c r="S2483" s="113" t="n"/>
      <c r="T2483" s="113" t="n"/>
      <c r="U2483" s="113" t="n"/>
      <c r="V2483" s="113" t="n"/>
      <c r="W2483" s="113" t="n"/>
      <c r="X2483" s="113" t="n"/>
      <c r="Y2483" s="113" t="n"/>
      <c r="Z2483" s="117">
        <f>IF($B2483="",0,IF($S2483="EVET",IF($D2483="GELİR",$O2483,-$O2483),0))</f>
        <v/>
      </c>
      <c r="AA2483" s="117">
        <f>IF($B2483="",0,IF(OR($W2483="EVET",$X2483="EVET",$Y2483="EVET"),0,IF($D2483="GELİR",IF($E2483="SATIŞ İADESİ/İSKONTO",-$O2483,$O2483),-$O2483)))</f>
        <v/>
      </c>
      <c r="AB2483" s="117">
        <f>IF($B2483="","",IF(OR($D2483="",$E2483="",$O2483=""),"EKSİK",IF($O2483&lt;=0,"SIFIR/NEGATİF",IF(COUNTIFS($C$6:$C$5000,$C2483,$O$6:$O$5000,$O2483,$B$6:$B$5000,$B2483)&gt;1,"MÜKERRER","OK"))))</f>
        <v/>
      </c>
    </row>
    <row r="2484" ht="16.5" customHeight="1" s="80">
      <c r="A2484" s="113" t="n"/>
      <c r="B2484" s="113" t="n"/>
      <c r="C2484" s="113" t="n"/>
      <c r="D2484" s="113" t="n"/>
      <c r="E2484" s="113" t="n"/>
      <c r="F2484" s="113" t="n"/>
      <c r="G2484" s="113" t="n"/>
      <c r="H2484" s="113" t="n"/>
      <c r="I2484" s="113" t="n"/>
      <c r="J2484" s="113" t="n"/>
      <c r="K2484" s="113" t="n"/>
      <c r="L2484" s="113" t="n"/>
      <c r="M2484" s="113" t="n"/>
      <c r="N2484" s="113" t="n"/>
      <c r="O2484" s="113" t="n"/>
      <c r="P2484" s="113" t="n"/>
      <c r="Q2484" s="113" t="n"/>
      <c r="R2484" s="113" t="n"/>
      <c r="S2484" s="113" t="n"/>
      <c r="T2484" s="113" t="n"/>
      <c r="U2484" s="113" t="n"/>
      <c r="V2484" s="113" t="n"/>
      <c r="W2484" s="113" t="n"/>
      <c r="X2484" s="113" t="n"/>
      <c r="Y2484" s="113" t="n"/>
      <c r="Z2484" s="117">
        <f>IF($B2484="",0,IF($S2484="EVET",IF($D2484="GELİR",$O2484,-$O2484),0))</f>
        <v/>
      </c>
      <c r="AA2484" s="117">
        <f>IF($B2484="",0,IF(OR($W2484="EVET",$X2484="EVET",$Y2484="EVET"),0,IF($D2484="GELİR",IF($E2484="SATIŞ İADESİ/İSKONTO",-$O2484,$O2484),-$O2484)))</f>
        <v/>
      </c>
      <c r="AB2484" s="117">
        <f>IF($B2484="","",IF(OR($D2484="",$E2484="",$O2484=""),"EKSİK",IF($O2484&lt;=0,"SIFIR/NEGATİF",IF(COUNTIFS($C$6:$C$5000,$C2484,$O$6:$O$5000,$O2484,$B$6:$B$5000,$B2484)&gt;1,"MÜKERRER","OK"))))</f>
        <v/>
      </c>
    </row>
    <row r="2485" ht="16.5" customHeight="1" s="80">
      <c r="A2485" s="113" t="n"/>
      <c r="B2485" s="113" t="n"/>
      <c r="C2485" s="113" t="n"/>
      <c r="D2485" s="113" t="n"/>
      <c r="E2485" s="113" t="n"/>
      <c r="F2485" s="113" t="n"/>
      <c r="G2485" s="113" t="n"/>
      <c r="H2485" s="113" t="n"/>
      <c r="I2485" s="113" t="n"/>
      <c r="J2485" s="113" t="n"/>
      <c r="K2485" s="113" t="n"/>
      <c r="L2485" s="113" t="n"/>
      <c r="M2485" s="113" t="n"/>
      <c r="N2485" s="113" t="n"/>
      <c r="O2485" s="113" t="n"/>
      <c r="P2485" s="113" t="n"/>
      <c r="Q2485" s="113" t="n"/>
      <c r="R2485" s="113" t="n"/>
      <c r="S2485" s="113" t="n"/>
      <c r="T2485" s="113" t="n"/>
      <c r="U2485" s="113" t="n"/>
      <c r="V2485" s="113" t="n"/>
      <c r="W2485" s="113" t="n"/>
      <c r="X2485" s="113" t="n"/>
      <c r="Y2485" s="113" t="n"/>
      <c r="Z2485" s="117">
        <f>IF($B2485="",0,IF($S2485="EVET",IF($D2485="GELİR",$O2485,-$O2485),0))</f>
        <v/>
      </c>
      <c r="AA2485" s="117">
        <f>IF($B2485="",0,IF(OR($W2485="EVET",$X2485="EVET",$Y2485="EVET"),0,IF($D2485="GELİR",IF($E2485="SATIŞ İADESİ/İSKONTO",-$O2485,$O2485),-$O2485)))</f>
        <v/>
      </c>
      <c r="AB2485" s="117">
        <f>IF($B2485="","",IF(OR($D2485="",$E2485="",$O2485=""),"EKSİK",IF($O2485&lt;=0,"SIFIR/NEGATİF",IF(COUNTIFS($C$6:$C$5000,$C2485,$O$6:$O$5000,$O2485,$B$6:$B$5000,$B2485)&gt;1,"MÜKERRER","OK"))))</f>
        <v/>
      </c>
    </row>
    <row r="2486" ht="16.5" customHeight="1" s="80">
      <c r="A2486" s="113" t="n"/>
      <c r="B2486" s="113" t="n"/>
      <c r="C2486" s="113" t="n"/>
      <c r="D2486" s="113" t="n"/>
      <c r="E2486" s="113" t="n"/>
      <c r="F2486" s="113" t="n"/>
      <c r="G2486" s="113" t="n"/>
      <c r="H2486" s="113" t="n"/>
      <c r="I2486" s="113" t="n"/>
      <c r="J2486" s="113" t="n"/>
      <c r="K2486" s="113" t="n"/>
      <c r="L2486" s="113" t="n"/>
      <c r="M2486" s="113" t="n"/>
      <c r="N2486" s="113" t="n"/>
      <c r="O2486" s="113" t="n"/>
      <c r="P2486" s="113" t="n"/>
      <c r="Q2486" s="113" t="n"/>
      <c r="R2486" s="113" t="n"/>
      <c r="S2486" s="113" t="n"/>
      <c r="T2486" s="113" t="n"/>
      <c r="U2486" s="113" t="n"/>
      <c r="V2486" s="113" t="n"/>
      <c r="W2486" s="113" t="n"/>
      <c r="X2486" s="113" t="n"/>
      <c r="Y2486" s="113" t="n"/>
      <c r="Z2486" s="117">
        <f>IF($B2486="",0,IF($S2486="EVET",IF($D2486="GELİR",$O2486,-$O2486),0))</f>
        <v/>
      </c>
      <c r="AA2486" s="117">
        <f>IF($B2486="",0,IF(OR($W2486="EVET",$X2486="EVET",$Y2486="EVET"),0,IF($D2486="GELİR",IF($E2486="SATIŞ İADESİ/İSKONTO",-$O2486,$O2486),-$O2486)))</f>
        <v/>
      </c>
      <c r="AB2486" s="117">
        <f>IF($B2486="","",IF(OR($D2486="",$E2486="",$O2486=""),"EKSİK",IF($O2486&lt;=0,"SIFIR/NEGATİF",IF(COUNTIFS($C$6:$C$5000,$C2486,$O$6:$O$5000,$O2486,$B$6:$B$5000,$B2486)&gt;1,"MÜKERRER","OK"))))</f>
        <v/>
      </c>
    </row>
    <row r="2487" ht="16.5" customHeight="1" s="80">
      <c r="A2487" s="113" t="n"/>
      <c r="B2487" s="113" t="n"/>
      <c r="C2487" s="113" t="n"/>
      <c r="D2487" s="113" t="n"/>
      <c r="E2487" s="113" t="n"/>
      <c r="F2487" s="113" t="n"/>
      <c r="G2487" s="113" t="n"/>
      <c r="H2487" s="113" t="n"/>
      <c r="I2487" s="113" t="n"/>
      <c r="J2487" s="113" t="n"/>
      <c r="K2487" s="113" t="n"/>
      <c r="L2487" s="113" t="n"/>
      <c r="M2487" s="113" t="n"/>
      <c r="N2487" s="113" t="n"/>
      <c r="O2487" s="113" t="n"/>
      <c r="P2487" s="113" t="n"/>
      <c r="Q2487" s="113" t="n"/>
      <c r="R2487" s="113" t="n"/>
      <c r="S2487" s="113" t="n"/>
      <c r="T2487" s="113" t="n"/>
      <c r="U2487" s="113" t="n"/>
      <c r="V2487" s="113" t="n"/>
      <c r="W2487" s="113" t="n"/>
      <c r="X2487" s="113" t="n"/>
      <c r="Y2487" s="113" t="n"/>
      <c r="Z2487" s="117">
        <f>IF($B2487="",0,IF($S2487="EVET",IF($D2487="GELİR",$O2487,-$O2487),0))</f>
        <v/>
      </c>
      <c r="AA2487" s="117">
        <f>IF($B2487="",0,IF(OR($W2487="EVET",$X2487="EVET",$Y2487="EVET"),0,IF($D2487="GELİR",IF($E2487="SATIŞ İADESİ/İSKONTO",-$O2487,$O2487),-$O2487)))</f>
        <v/>
      </c>
      <c r="AB2487" s="117">
        <f>IF($B2487="","",IF(OR($D2487="",$E2487="",$O2487=""),"EKSİK",IF($O2487&lt;=0,"SIFIR/NEGATİF",IF(COUNTIFS($C$6:$C$5000,$C2487,$O$6:$O$5000,$O2487,$B$6:$B$5000,$B2487)&gt;1,"MÜKERRER","OK"))))</f>
        <v/>
      </c>
    </row>
    <row r="2488" ht="16.5" customHeight="1" s="80">
      <c r="A2488" s="113" t="n"/>
      <c r="B2488" s="113" t="n"/>
      <c r="C2488" s="113" t="n"/>
      <c r="D2488" s="113" t="n"/>
      <c r="E2488" s="113" t="n"/>
      <c r="F2488" s="113" t="n"/>
      <c r="G2488" s="113" t="n"/>
      <c r="H2488" s="113" t="n"/>
      <c r="I2488" s="113" t="n"/>
      <c r="J2488" s="113" t="n"/>
      <c r="K2488" s="113" t="n"/>
      <c r="L2488" s="113" t="n"/>
      <c r="M2488" s="113" t="n"/>
      <c r="N2488" s="113" t="n"/>
      <c r="O2488" s="113" t="n"/>
      <c r="P2488" s="113" t="n"/>
      <c r="Q2488" s="113" t="n"/>
      <c r="R2488" s="113" t="n"/>
      <c r="S2488" s="113" t="n"/>
      <c r="T2488" s="113" t="n"/>
      <c r="U2488" s="113" t="n"/>
      <c r="V2488" s="113" t="n"/>
      <c r="W2488" s="113" t="n"/>
      <c r="X2488" s="113" t="n"/>
      <c r="Y2488" s="113" t="n"/>
      <c r="Z2488" s="117">
        <f>IF($B2488="",0,IF($S2488="EVET",IF($D2488="GELİR",$O2488,-$O2488),0))</f>
        <v/>
      </c>
      <c r="AA2488" s="117">
        <f>IF($B2488="",0,IF(OR($W2488="EVET",$X2488="EVET",$Y2488="EVET"),0,IF($D2488="GELİR",IF($E2488="SATIŞ İADESİ/İSKONTO",-$O2488,$O2488),-$O2488)))</f>
        <v/>
      </c>
      <c r="AB2488" s="117">
        <f>IF($B2488="","",IF(OR($D2488="",$E2488="",$O2488=""),"EKSİK",IF($O2488&lt;=0,"SIFIR/NEGATİF",IF(COUNTIFS($C$6:$C$5000,$C2488,$O$6:$O$5000,$O2488,$B$6:$B$5000,$B2488)&gt;1,"MÜKERRER","OK"))))</f>
        <v/>
      </c>
    </row>
    <row r="2489" ht="16.5" customHeight="1" s="80">
      <c r="A2489" s="113" t="n"/>
      <c r="B2489" s="113" t="n"/>
      <c r="C2489" s="113" t="n"/>
      <c r="D2489" s="113" t="n"/>
      <c r="E2489" s="113" t="n"/>
      <c r="F2489" s="113" t="n"/>
      <c r="G2489" s="113" t="n"/>
      <c r="H2489" s="113" t="n"/>
      <c r="I2489" s="113" t="n"/>
      <c r="J2489" s="113" t="n"/>
      <c r="K2489" s="113" t="n"/>
      <c r="L2489" s="113" t="n"/>
      <c r="M2489" s="113" t="n"/>
      <c r="N2489" s="113" t="n"/>
      <c r="O2489" s="113" t="n"/>
      <c r="P2489" s="113" t="n"/>
      <c r="Q2489" s="113" t="n"/>
      <c r="R2489" s="113" t="n"/>
      <c r="S2489" s="113" t="n"/>
      <c r="T2489" s="113" t="n"/>
      <c r="U2489" s="113" t="n"/>
      <c r="V2489" s="113" t="n"/>
      <c r="W2489" s="113" t="n"/>
      <c r="X2489" s="113" t="n"/>
      <c r="Y2489" s="113" t="n"/>
      <c r="Z2489" s="117">
        <f>IF($B2489="",0,IF($S2489="EVET",IF($D2489="GELİR",$O2489,-$O2489),0))</f>
        <v/>
      </c>
      <c r="AA2489" s="117">
        <f>IF($B2489="",0,IF(OR($W2489="EVET",$X2489="EVET",$Y2489="EVET"),0,IF($D2489="GELİR",IF($E2489="SATIŞ İADESİ/İSKONTO",-$O2489,$O2489),-$O2489)))</f>
        <v/>
      </c>
      <c r="AB2489" s="117">
        <f>IF($B2489="","",IF(OR($D2489="",$E2489="",$O2489=""),"EKSİK",IF($O2489&lt;=0,"SIFIR/NEGATİF",IF(COUNTIFS($C$6:$C$5000,$C2489,$O$6:$O$5000,$O2489,$B$6:$B$5000,$B2489)&gt;1,"MÜKERRER","OK"))))</f>
        <v/>
      </c>
    </row>
    <row r="2490" ht="16.5" customHeight="1" s="80">
      <c r="A2490" s="113" t="n"/>
      <c r="B2490" s="113" t="n"/>
      <c r="C2490" s="113" t="n"/>
      <c r="D2490" s="113" t="n"/>
      <c r="E2490" s="113" t="n"/>
      <c r="F2490" s="113" t="n"/>
      <c r="G2490" s="113" t="n"/>
      <c r="H2490" s="113" t="n"/>
      <c r="I2490" s="113" t="n"/>
      <c r="J2490" s="113" t="n"/>
      <c r="K2490" s="113" t="n"/>
      <c r="L2490" s="113" t="n"/>
      <c r="M2490" s="113" t="n"/>
      <c r="N2490" s="113" t="n"/>
      <c r="O2490" s="113" t="n"/>
      <c r="P2490" s="113" t="n"/>
      <c r="Q2490" s="113" t="n"/>
      <c r="R2490" s="113" t="n"/>
      <c r="S2490" s="113" t="n"/>
      <c r="T2490" s="113" t="n"/>
      <c r="U2490" s="113" t="n"/>
      <c r="V2490" s="113" t="n"/>
      <c r="W2490" s="113" t="n"/>
      <c r="X2490" s="113" t="n"/>
      <c r="Y2490" s="113" t="n"/>
      <c r="Z2490" s="117">
        <f>IF($B2490="",0,IF($S2490="EVET",IF($D2490="GELİR",$O2490,-$O2490),0))</f>
        <v/>
      </c>
      <c r="AA2490" s="117">
        <f>IF($B2490="",0,IF(OR($W2490="EVET",$X2490="EVET",$Y2490="EVET"),0,IF($D2490="GELİR",IF($E2490="SATIŞ İADESİ/İSKONTO",-$O2490,$O2490),-$O2490)))</f>
        <v/>
      </c>
      <c r="AB2490" s="117">
        <f>IF($B2490="","",IF(OR($D2490="",$E2490="",$O2490=""),"EKSİK",IF($O2490&lt;=0,"SIFIR/NEGATİF",IF(COUNTIFS($C$6:$C$5000,$C2490,$O$6:$O$5000,$O2490,$B$6:$B$5000,$B2490)&gt;1,"MÜKERRER","OK"))))</f>
        <v/>
      </c>
    </row>
    <row r="2491" ht="16.5" customHeight="1" s="80">
      <c r="A2491" s="113" t="n"/>
      <c r="B2491" s="113" t="n"/>
      <c r="C2491" s="113" t="n"/>
      <c r="D2491" s="113" t="n"/>
      <c r="E2491" s="113" t="n"/>
      <c r="F2491" s="113" t="n"/>
      <c r="G2491" s="113" t="n"/>
      <c r="H2491" s="113" t="n"/>
      <c r="I2491" s="113" t="n"/>
      <c r="J2491" s="113" t="n"/>
      <c r="K2491" s="113" t="n"/>
      <c r="L2491" s="113" t="n"/>
      <c r="M2491" s="113" t="n"/>
      <c r="N2491" s="113" t="n"/>
      <c r="O2491" s="113" t="n"/>
      <c r="P2491" s="113" t="n"/>
      <c r="Q2491" s="113" t="n"/>
      <c r="R2491" s="113" t="n"/>
      <c r="S2491" s="113" t="n"/>
      <c r="T2491" s="113" t="n"/>
      <c r="U2491" s="113" t="n"/>
      <c r="V2491" s="113" t="n"/>
      <c r="W2491" s="113" t="n"/>
      <c r="X2491" s="113" t="n"/>
      <c r="Y2491" s="113" t="n"/>
      <c r="Z2491" s="117">
        <f>IF($B2491="",0,IF($S2491="EVET",IF($D2491="GELİR",$O2491,-$O2491),0))</f>
        <v/>
      </c>
      <c r="AA2491" s="117">
        <f>IF($B2491="",0,IF(OR($W2491="EVET",$X2491="EVET",$Y2491="EVET"),0,IF($D2491="GELİR",IF($E2491="SATIŞ İADESİ/İSKONTO",-$O2491,$O2491),-$O2491)))</f>
        <v/>
      </c>
      <c r="AB2491" s="117">
        <f>IF($B2491="","",IF(OR($D2491="",$E2491="",$O2491=""),"EKSİK",IF($O2491&lt;=0,"SIFIR/NEGATİF",IF(COUNTIFS($C$6:$C$5000,$C2491,$O$6:$O$5000,$O2491,$B$6:$B$5000,$B2491)&gt;1,"MÜKERRER","OK"))))</f>
        <v/>
      </c>
    </row>
    <row r="2492" ht="16.5" customHeight="1" s="80">
      <c r="A2492" s="113" t="n"/>
      <c r="B2492" s="113" t="n"/>
      <c r="C2492" s="113" t="n"/>
      <c r="D2492" s="113" t="n"/>
      <c r="E2492" s="113" t="n"/>
      <c r="F2492" s="113" t="n"/>
      <c r="G2492" s="113" t="n"/>
      <c r="H2492" s="113" t="n"/>
      <c r="I2492" s="113" t="n"/>
      <c r="J2492" s="113" t="n"/>
      <c r="K2492" s="113" t="n"/>
      <c r="L2492" s="113" t="n"/>
      <c r="M2492" s="113" t="n"/>
      <c r="N2492" s="113" t="n"/>
      <c r="O2492" s="113" t="n"/>
      <c r="P2492" s="113" t="n"/>
      <c r="Q2492" s="113" t="n"/>
      <c r="R2492" s="113" t="n"/>
      <c r="S2492" s="113" t="n"/>
      <c r="T2492" s="113" t="n"/>
      <c r="U2492" s="113" t="n"/>
      <c r="V2492" s="113" t="n"/>
      <c r="W2492" s="113" t="n"/>
      <c r="X2492" s="113" t="n"/>
      <c r="Y2492" s="113" t="n"/>
      <c r="Z2492" s="117">
        <f>IF($B2492="",0,IF($S2492="EVET",IF($D2492="GELİR",$O2492,-$O2492),0))</f>
        <v/>
      </c>
      <c r="AA2492" s="117">
        <f>IF($B2492="",0,IF(OR($W2492="EVET",$X2492="EVET",$Y2492="EVET"),0,IF($D2492="GELİR",IF($E2492="SATIŞ İADESİ/İSKONTO",-$O2492,$O2492),-$O2492)))</f>
        <v/>
      </c>
      <c r="AB2492" s="117">
        <f>IF($B2492="","",IF(OR($D2492="",$E2492="",$O2492=""),"EKSİK",IF($O2492&lt;=0,"SIFIR/NEGATİF",IF(COUNTIFS($C$6:$C$5000,$C2492,$O$6:$O$5000,$O2492,$B$6:$B$5000,$B2492)&gt;1,"MÜKERRER","OK"))))</f>
        <v/>
      </c>
    </row>
    <row r="2493" ht="16.5" customHeight="1" s="80">
      <c r="A2493" s="113" t="n"/>
      <c r="B2493" s="113" t="n"/>
      <c r="C2493" s="113" t="n"/>
      <c r="D2493" s="113" t="n"/>
      <c r="E2493" s="113" t="n"/>
      <c r="F2493" s="113" t="n"/>
      <c r="G2493" s="113" t="n"/>
      <c r="H2493" s="113" t="n"/>
      <c r="I2493" s="113" t="n"/>
      <c r="J2493" s="113" t="n"/>
      <c r="K2493" s="113" t="n"/>
      <c r="L2493" s="113" t="n"/>
      <c r="M2493" s="113" t="n"/>
      <c r="N2493" s="113" t="n"/>
      <c r="O2493" s="113" t="n"/>
      <c r="P2493" s="113" t="n"/>
      <c r="Q2493" s="113" t="n"/>
      <c r="R2493" s="113" t="n"/>
      <c r="S2493" s="113" t="n"/>
      <c r="T2493" s="113" t="n"/>
      <c r="U2493" s="113" t="n"/>
      <c r="V2493" s="113" t="n"/>
      <c r="W2493" s="113" t="n"/>
      <c r="X2493" s="113" t="n"/>
      <c r="Y2493" s="113" t="n"/>
      <c r="Z2493" s="117">
        <f>IF($B2493="",0,IF($S2493="EVET",IF($D2493="GELİR",$O2493,-$O2493),0))</f>
        <v/>
      </c>
      <c r="AA2493" s="117">
        <f>IF($B2493="",0,IF(OR($W2493="EVET",$X2493="EVET",$Y2493="EVET"),0,IF($D2493="GELİR",IF($E2493="SATIŞ İADESİ/İSKONTO",-$O2493,$O2493),-$O2493)))</f>
        <v/>
      </c>
      <c r="AB2493" s="117">
        <f>IF($B2493="","",IF(OR($D2493="",$E2493="",$O2493=""),"EKSİK",IF($O2493&lt;=0,"SIFIR/NEGATİF",IF(COUNTIFS($C$6:$C$5000,$C2493,$O$6:$O$5000,$O2493,$B$6:$B$5000,$B2493)&gt;1,"MÜKERRER","OK"))))</f>
        <v/>
      </c>
    </row>
    <row r="2494" ht="16.5" customHeight="1" s="80">
      <c r="A2494" s="113" t="n"/>
      <c r="B2494" s="113" t="n"/>
      <c r="C2494" s="113" t="n"/>
      <c r="D2494" s="113" t="n"/>
      <c r="E2494" s="113" t="n"/>
      <c r="F2494" s="113" t="n"/>
      <c r="G2494" s="113" t="n"/>
      <c r="H2494" s="113" t="n"/>
      <c r="I2494" s="113" t="n"/>
      <c r="J2494" s="113" t="n"/>
      <c r="K2494" s="113" t="n"/>
      <c r="L2494" s="113" t="n"/>
      <c r="M2494" s="113" t="n"/>
      <c r="N2494" s="113" t="n"/>
      <c r="O2494" s="113" t="n"/>
      <c r="P2494" s="113" t="n"/>
      <c r="Q2494" s="113" t="n"/>
      <c r="R2494" s="113" t="n"/>
      <c r="S2494" s="113" t="n"/>
      <c r="T2494" s="113" t="n"/>
      <c r="U2494" s="113" t="n"/>
      <c r="V2494" s="113" t="n"/>
      <c r="W2494" s="113" t="n"/>
      <c r="X2494" s="113" t="n"/>
      <c r="Y2494" s="113" t="n"/>
      <c r="Z2494" s="117">
        <f>IF($B2494="",0,IF($S2494="EVET",IF($D2494="GELİR",$O2494,-$O2494),0))</f>
        <v/>
      </c>
      <c r="AA2494" s="117">
        <f>IF($B2494="",0,IF(OR($W2494="EVET",$X2494="EVET",$Y2494="EVET"),0,IF($D2494="GELİR",IF($E2494="SATIŞ İADESİ/İSKONTO",-$O2494,$O2494),-$O2494)))</f>
        <v/>
      </c>
      <c r="AB2494" s="117">
        <f>IF($B2494="","",IF(OR($D2494="",$E2494="",$O2494=""),"EKSİK",IF($O2494&lt;=0,"SIFIR/NEGATİF",IF(COUNTIFS($C$6:$C$5000,$C2494,$O$6:$O$5000,$O2494,$B$6:$B$5000,$B2494)&gt;1,"MÜKERRER","OK"))))</f>
        <v/>
      </c>
    </row>
    <row r="2495" ht="16.5" customHeight="1" s="80">
      <c r="A2495" s="113" t="n"/>
      <c r="B2495" s="113" t="n"/>
      <c r="C2495" s="113" t="n"/>
      <c r="D2495" s="113" t="n"/>
      <c r="E2495" s="113" t="n"/>
      <c r="F2495" s="113" t="n"/>
      <c r="G2495" s="113" t="n"/>
      <c r="H2495" s="113" t="n"/>
      <c r="I2495" s="113" t="n"/>
      <c r="J2495" s="113" t="n"/>
      <c r="K2495" s="113" t="n"/>
      <c r="L2495" s="113" t="n"/>
      <c r="M2495" s="113" t="n"/>
      <c r="N2495" s="113" t="n"/>
      <c r="O2495" s="113" t="n"/>
      <c r="P2495" s="113" t="n"/>
      <c r="Q2495" s="113" t="n"/>
      <c r="R2495" s="113" t="n"/>
      <c r="S2495" s="113" t="n"/>
      <c r="T2495" s="113" t="n"/>
      <c r="U2495" s="113" t="n"/>
      <c r="V2495" s="113" t="n"/>
      <c r="W2495" s="113" t="n"/>
      <c r="X2495" s="113" t="n"/>
      <c r="Y2495" s="113" t="n"/>
      <c r="Z2495" s="117">
        <f>IF($B2495="",0,IF($S2495="EVET",IF($D2495="GELİR",$O2495,-$O2495),0))</f>
        <v/>
      </c>
      <c r="AA2495" s="117">
        <f>IF($B2495="",0,IF(OR($W2495="EVET",$X2495="EVET",$Y2495="EVET"),0,IF($D2495="GELİR",IF($E2495="SATIŞ İADESİ/İSKONTO",-$O2495,$O2495),-$O2495)))</f>
        <v/>
      </c>
      <c r="AB2495" s="117">
        <f>IF($B2495="","",IF(OR($D2495="",$E2495="",$O2495=""),"EKSİK",IF($O2495&lt;=0,"SIFIR/NEGATİF",IF(COUNTIFS($C$6:$C$5000,$C2495,$O$6:$O$5000,$O2495,$B$6:$B$5000,$B2495)&gt;1,"MÜKERRER","OK"))))</f>
        <v/>
      </c>
    </row>
    <row r="2496" ht="16.5" customHeight="1" s="80">
      <c r="A2496" s="113" t="n"/>
      <c r="B2496" s="113" t="n"/>
      <c r="C2496" s="113" t="n"/>
      <c r="D2496" s="113" t="n"/>
      <c r="E2496" s="113" t="n"/>
      <c r="F2496" s="113" t="n"/>
      <c r="G2496" s="113" t="n"/>
      <c r="H2496" s="113" t="n"/>
      <c r="I2496" s="113" t="n"/>
      <c r="J2496" s="113" t="n"/>
      <c r="K2496" s="113" t="n"/>
      <c r="L2496" s="113" t="n"/>
      <c r="M2496" s="113" t="n"/>
      <c r="N2496" s="113" t="n"/>
      <c r="O2496" s="113" t="n"/>
      <c r="P2496" s="113" t="n"/>
      <c r="Q2496" s="113" t="n"/>
      <c r="R2496" s="113" t="n"/>
      <c r="S2496" s="113" t="n"/>
      <c r="T2496" s="113" t="n"/>
      <c r="U2496" s="113" t="n"/>
      <c r="V2496" s="113" t="n"/>
      <c r="W2496" s="113" t="n"/>
      <c r="X2496" s="113" t="n"/>
      <c r="Y2496" s="113" t="n"/>
      <c r="Z2496" s="117">
        <f>IF($B2496="",0,IF($S2496="EVET",IF($D2496="GELİR",$O2496,-$O2496),0))</f>
        <v/>
      </c>
      <c r="AA2496" s="117">
        <f>IF($B2496="",0,IF(OR($W2496="EVET",$X2496="EVET",$Y2496="EVET"),0,IF($D2496="GELİR",IF($E2496="SATIŞ İADESİ/İSKONTO",-$O2496,$O2496),-$O2496)))</f>
        <v/>
      </c>
      <c r="AB2496" s="117">
        <f>IF($B2496="","",IF(OR($D2496="",$E2496="",$O2496=""),"EKSİK",IF($O2496&lt;=0,"SIFIR/NEGATİF",IF(COUNTIFS($C$6:$C$5000,$C2496,$O$6:$O$5000,$O2496,$B$6:$B$5000,$B2496)&gt;1,"MÜKERRER","OK"))))</f>
        <v/>
      </c>
    </row>
    <row r="2497" ht="16.5" customHeight="1" s="80">
      <c r="A2497" s="113" t="n"/>
      <c r="B2497" s="113" t="n"/>
      <c r="C2497" s="113" t="n"/>
      <c r="D2497" s="113" t="n"/>
      <c r="E2497" s="113" t="n"/>
      <c r="F2497" s="113" t="n"/>
      <c r="G2497" s="113" t="n"/>
      <c r="H2497" s="113" t="n"/>
      <c r="I2497" s="113" t="n"/>
      <c r="J2497" s="113" t="n"/>
      <c r="K2497" s="113" t="n"/>
      <c r="L2497" s="113" t="n"/>
      <c r="M2497" s="113" t="n"/>
      <c r="N2497" s="113" t="n"/>
      <c r="O2497" s="113" t="n"/>
      <c r="P2497" s="113" t="n"/>
      <c r="Q2497" s="113" t="n"/>
      <c r="R2497" s="113" t="n"/>
      <c r="S2497" s="113" t="n"/>
      <c r="T2497" s="113" t="n"/>
      <c r="U2497" s="113" t="n"/>
      <c r="V2497" s="113" t="n"/>
      <c r="W2497" s="113" t="n"/>
      <c r="X2497" s="113" t="n"/>
      <c r="Y2497" s="113" t="n"/>
      <c r="Z2497" s="117">
        <f>IF($B2497="",0,IF($S2497="EVET",IF($D2497="GELİR",$O2497,-$O2497),0))</f>
        <v/>
      </c>
      <c r="AA2497" s="117">
        <f>IF($B2497="",0,IF(OR($W2497="EVET",$X2497="EVET",$Y2497="EVET"),0,IF($D2497="GELİR",IF($E2497="SATIŞ İADESİ/İSKONTO",-$O2497,$O2497),-$O2497)))</f>
        <v/>
      </c>
      <c r="AB2497" s="117">
        <f>IF($B2497="","",IF(OR($D2497="",$E2497="",$O2497=""),"EKSİK",IF($O2497&lt;=0,"SIFIR/NEGATİF",IF(COUNTIFS($C$6:$C$5000,$C2497,$O$6:$O$5000,$O2497,$B$6:$B$5000,$B2497)&gt;1,"MÜKERRER","OK"))))</f>
        <v/>
      </c>
    </row>
    <row r="2498" ht="16.5" customHeight="1" s="80">
      <c r="A2498" s="113" t="n"/>
      <c r="B2498" s="113" t="n"/>
      <c r="C2498" s="113" t="n"/>
      <c r="D2498" s="113" t="n"/>
      <c r="E2498" s="113" t="n"/>
      <c r="F2498" s="113" t="n"/>
      <c r="G2498" s="113" t="n"/>
      <c r="H2498" s="113" t="n"/>
      <c r="I2498" s="113" t="n"/>
      <c r="J2498" s="113" t="n"/>
      <c r="K2498" s="113" t="n"/>
      <c r="L2498" s="113" t="n"/>
      <c r="M2498" s="113" t="n"/>
      <c r="N2498" s="113" t="n"/>
      <c r="O2498" s="113" t="n"/>
      <c r="P2498" s="113" t="n"/>
      <c r="Q2498" s="113" t="n"/>
      <c r="R2498" s="113" t="n"/>
      <c r="S2498" s="113" t="n"/>
      <c r="T2498" s="113" t="n"/>
      <c r="U2498" s="113" t="n"/>
      <c r="V2498" s="113" t="n"/>
      <c r="W2498" s="113" t="n"/>
      <c r="X2498" s="113" t="n"/>
      <c r="Y2498" s="113" t="n"/>
      <c r="Z2498" s="117">
        <f>IF($B2498="",0,IF($S2498="EVET",IF($D2498="GELİR",$O2498,-$O2498),0))</f>
        <v/>
      </c>
      <c r="AA2498" s="117">
        <f>IF($B2498="",0,IF(OR($W2498="EVET",$X2498="EVET",$Y2498="EVET"),0,IF($D2498="GELİR",IF($E2498="SATIŞ İADESİ/İSKONTO",-$O2498,$O2498),-$O2498)))</f>
        <v/>
      </c>
      <c r="AB2498" s="117">
        <f>IF($B2498="","",IF(OR($D2498="",$E2498="",$O2498=""),"EKSİK",IF($O2498&lt;=0,"SIFIR/NEGATİF",IF(COUNTIFS($C$6:$C$5000,$C2498,$O$6:$O$5000,$O2498,$B$6:$B$5000,$B2498)&gt;1,"MÜKERRER","OK"))))</f>
        <v/>
      </c>
    </row>
    <row r="2499" ht="16.5" customHeight="1" s="80">
      <c r="A2499" s="113" t="n"/>
      <c r="B2499" s="113" t="n"/>
      <c r="C2499" s="113" t="n"/>
      <c r="D2499" s="113" t="n"/>
      <c r="E2499" s="113" t="n"/>
      <c r="F2499" s="113" t="n"/>
      <c r="G2499" s="113" t="n"/>
      <c r="H2499" s="113" t="n"/>
      <c r="I2499" s="113" t="n"/>
      <c r="J2499" s="113" t="n"/>
      <c r="K2499" s="113" t="n"/>
      <c r="L2499" s="113" t="n"/>
      <c r="M2499" s="113" t="n"/>
      <c r="N2499" s="113" t="n"/>
      <c r="O2499" s="113" t="n"/>
      <c r="P2499" s="113" t="n"/>
      <c r="Q2499" s="113" t="n"/>
      <c r="R2499" s="113" t="n"/>
      <c r="S2499" s="113" t="n"/>
      <c r="T2499" s="113" t="n"/>
      <c r="U2499" s="113" t="n"/>
      <c r="V2499" s="113" t="n"/>
      <c r="W2499" s="113" t="n"/>
      <c r="X2499" s="113" t="n"/>
      <c r="Y2499" s="113" t="n"/>
      <c r="Z2499" s="117">
        <f>IF($B2499="",0,IF($S2499="EVET",IF($D2499="GELİR",$O2499,-$O2499),0))</f>
        <v/>
      </c>
      <c r="AA2499" s="117">
        <f>IF($B2499="",0,IF(OR($W2499="EVET",$X2499="EVET",$Y2499="EVET"),0,IF($D2499="GELİR",IF($E2499="SATIŞ İADESİ/İSKONTO",-$O2499,$O2499),-$O2499)))</f>
        <v/>
      </c>
      <c r="AB2499" s="117">
        <f>IF($B2499="","",IF(OR($D2499="",$E2499="",$O2499=""),"EKSİK",IF($O2499&lt;=0,"SIFIR/NEGATİF",IF(COUNTIFS($C$6:$C$5000,$C2499,$O$6:$O$5000,$O2499,$B$6:$B$5000,$B2499)&gt;1,"MÜKERRER","OK"))))</f>
        <v/>
      </c>
    </row>
    <row r="2500" ht="16.5" customHeight="1" s="80">
      <c r="A2500" s="113" t="n"/>
      <c r="B2500" s="113" t="n"/>
      <c r="C2500" s="113" t="n"/>
      <c r="D2500" s="113" t="n"/>
      <c r="E2500" s="113" t="n"/>
      <c r="F2500" s="113" t="n"/>
      <c r="G2500" s="113" t="n"/>
      <c r="H2500" s="113" t="n"/>
      <c r="I2500" s="113" t="n"/>
      <c r="J2500" s="113" t="n"/>
      <c r="K2500" s="113" t="n"/>
      <c r="L2500" s="113" t="n"/>
      <c r="M2500" s="113" t="n"/>
      <c r="N2500" s="113" t="n"/>
      <c r="O2500" s="113" t="n"/>
      <c r="P2500" s="113" t="n"/>
      <c r="Q2500" s="113" t="n"/>
      <c r="R2500" s="113" t="n"/>
      <c r="S2500" s="113" t="n"/>
      <c r="T2500" s="113" t="n"/>
      <c r="U2500" s="113" t="n"/>
      <c r="V2500" s="113" t="n"/>
      <c r="W2500" s="113" t="n"/>
      <c r="X2500" s="113" t="n"/>
      <c r="Y2500" s="113" t="n"/>
      <c r="Z2500" s="117">
        <f>IF($B2500="",0,IF($S2500="EVET",IF($D2500="GELİR",$O2500,-$O2500),0))</f>
        <v/>
      </c>
      <c r="AA2500" s="117">
        <f>IF($B2500="",0,IF(OR($W2500="EVET",$X2500="EVET",$Y2500="EVET"),0,IF($D2500="GELİR",IF($E2500="SATIŞ İADESİ/İSKONTO",-$O2500,$O2500),-$O2500)))</f>
        <v/>
      </c>
      <c r="AB2500" s="117">
        <f>IF($B2500="","",IF(OR($D2500="",$E2500="",$O2500=""),"EKSİK",IF($O2500&lt;=0,"SIFIR/NEGATİF",IF(COUNTIFS($C$6:$C$5000,$C2500,$O$6:$O$5000,$O2500,$B$6:$B$5000,$B2500)&gt;1,"MÜKERRER","OK"))))</f>
        <v/>
      </c>
    </row>
    <row r="2501" ht="16.5" customHeight="1" s="80">
      <c r="A2501" s="113" t="n"/>
      <c r="B2501" s="113" t="n"/>
      <c r="C2501" s="113" t="n"/>
      <c r="D2501" s="113" t="n"/>
      <c r="E2501" s="113" t="n"/>
      <c r="F2501" s="113" t="n"/>
      <c r="G2501" s="113" t="n"/>
      <c r="H2501" s="113" t="n"/>
      <c r="I2501" s="113" t="n"/>
      <c r="J2501" s="113" t="n"/>
      <c r="K2501" s="113" t="n"/>
      <c r="L2501" s="113" t="n"/>
      <c r="M2501" s="113" t="n"/>
      <c r="N2501" s="113" t="n"/>
      <c r="O2501" s="113" t="n"/>
      <c r="P2501" s="113" t="n"/>
      <c r="Q2501" s="113" t="n"/>
      <c r="R2501" s="113" t="n"/>
      <c r="S2501" s="113" t="n"/>
      <c r="T2501" s="113" t="n"/>
      <c r="U2501" s="113" t="n"/>
      <c r="V2501" s="113" t="n"/>
      <c r="W2501" s="113" t="n"/>
      <c r="X2501" s="113" t="n"/>
      <c r="Y2501" s="113" t="n"/>
      <c r="Z2501" s="117">
        <f>IF($B2501="",0,IF($S2501="EVET",IF($D2501="GELİR",$O2501,-$O2501),0))</f>
        <v/>
      </c>
      <c r="AA2501" s="117">
        <f>IF($B2501="",0,IF(OR($W2501="EVET",$X2501="EVET",$Y2501="EVET"),0,IF($D2501="GELİR",IF($E2501="SATIŞ İADESİ/İSKONTO",-$O2501,$O2501),-$O2501)))</f>
        <v/>
      </c>
      <c r="AB2501" s="117">
        <f>IF($B2501="","",IF(OR($D2501="",$E2501="",$O2501=""),"EKSİK",IF($O2501&lt;=0,"SIFIR/NEGATİF",IF(COUNTIFS($C$6:$C$5000,$C2501,$O$6:$O$5000,$O2501,$B$6:$B$5000,$B2501)&gt;1,"MÜKERRER","OK"))))</f>
        <v/>
      </c>
    </row>
    <row r="2502" ht="16.5" customHeight="1" s="80">
      <c r="A2502" s="113" t="n"/>
      <c r="B2502" s="113" t="n"/>
      <c r="C2502" s="113" t="n"/>
      <c r="D2502" s="113" t="n"/>
      <c r="E2502" s="113" t="n"/>
      <c r="F2502" s="113" t="n"/>
      <c r="G2502" s="113" t="n"/>
      <c r="H2502" s="113" t="n"/>
      <c r="I2502" s="113" t="n"/>
      <c r="J2502" s="113" t="n"/>
      <c r="K2502" s="113" t="n"/>
      <c r="L2502" s="113" t="n"/>
      <c r="M2502" s="113" t="n"/>
      <c r="N2502" s="113" t="n"/>
      <c r="O2502" s="113" t="n"/>
      <c r="P2502" s="113" t="n"/>
      <c r="Q2502" s="113" t="n"/>
      <c r="R2502" s="113" t="n"/>
      <c r="S2502" s="113" t="n"/>
      <c r="T2502" s="113" t="n"/>
      <c r="U2502" s="113" t="n"/>
      <c r="V2502" s="113" t="n"/>
      <c r="W2502" s="113" t="n"/>
      <c r="X2502" s="113" t="n"/>
      <c r="Y2502" s="113" t="n"/>
      <c r="Z2502" s="117">
        <f>IF($B2502="",0,IF($S2502="EVET",IF($D2502="GELİR",$O2502,-$O2502),0))</f>
        <v/>
      </c>
      <c r="AA2502" s="117">
        <f>IF($B2502="",0,IF(OR($W2502="EVET",$X2502="EVET",$Y2502="EVET"),0,IF($D2502="GELİR",IF($E2502="SATIŞ İADESİ/İSKONTO",-$O2502,$O2502),-$O2502)))</f>
        <v/>
      </c>
      <c r="AB2502" s="117">
        <f>IF($B2502="","",IF(OR($D2502="",$E2502="",$O2502=""),"EKSİK",IF($O2502&lt;=0,"SIFIR/NEGATİF",IF(COUNTIFS($C$6:$C$5000,$C2502,$O$6:$O$5000,$O2502,$B$6:$B$5000,$B2502)&gt;1,"MÜKERRER","OK"))))</f>
        <v/>
      </c>
    </row>
    <row r="2503" ht="16.5" customHeight="1" s="80">
      <c r="A2503" s="113" t="n"/>
      <c r="B2503" s="113" t="n"/>
      <c r="C2503" s="113" t="n"/>
      <c r="D2503" s="113" t="n"/>
      <c r="E2503" s="113" t="n"/>
      <c r="F2503" s="113" t="n"/>
      <c r="G2503" s="113" t="n"/>
      <c r="H2503" s="113" t="n"/>
      <c r="I2503" s="113" t="n"/>
      <c r="J2503" s="113" t="n"/>
      <c r="K2503" s="113" t="n"/>
      <c r="L2503" s="113" t="n"/>
      <c r="M2503" s="113" t="n"/>
      <c r="N2503" s="113" t="n"/>
      <c r="O2503" s="113" t="n"/>
      <c r="P2503" s="113" t="n"/>
      <c r="Q2503" s="113" t="n"/>
      <c r="R2503" s="113" t="n"/>
      <c r="S2503" s="113" t="n"/>
      <c r="T2503" s="113" t="n"/>
      <c r="U2503" s="113" t="n"/>
      <c r="V2503" s="113" t="n"/>
      <c r="W2503" s="113" t="n"/>
      <c r="X2503" s="113" t="n"/>
      <c r="Y2503" s="113" t="n"/>
      <c r="Z2503" s="117">
        <f>IF($B2503="",0,IF($S2503="EVET",IF($D2503="GELİR",$O2503,-$O2503),0))</f>
        <v/>
      </c>
      <c r="AA2503" s="117">
        <f>IF($B2503="",0,IF(OR($W2503="EVET",$X2503="EVET",$Y2503="EVET"),0,IF($D2503="GELİR",IF($E2503="SATIŞ İADESİ/İSKONTO",-$O2503,$O2503),-$O2503)))</f>
        <v/>
      </c>
      <c r="AB2503" s="117">
        <f>IF($B2503="","",IF(OR($D2503="",$E2503="",$O2503=""),"EKSİK",IF($O2503&lt;=0,"SIFIR/NEGATİF",IF(COUNTIFS($C$6:$C$5000,$C2503,$O$6:$O$5000,$O2503,$B$6:$B$5000,$B2503)&gt;1,"MÜKERRER","OK"))))</f>
        <v/>
      </c>
    </row>
    <row r="2504" ht="16.5" customHeight="1" s="80">
      <c r="A2504" s="113" t="n"/>
      <c r="B2504" s="113" t="n"/>
      <c r="C2504" s="113" t="n"/>
      <c r="D2504" s="113" t="n"/>
      <c r="E2504" s="113" t="n"/>
      <c r="F2504" s="113" t="n"/>
      <c r="G2504" s="113" t="n"/>
      <c r="H2504" s="113" t="n"/>
      <c r="I2504" s="113" t="n"/>
      <c r="J2504" s="113" t="n"/>
      <c r="K2504" s="113" t="n"/>
      <c r="L2504" s="113" t="n"/>
      <c r="M2504" s="113" t="n"/>
      <c r="N2504" s="113" t="n"/>
      <c r="O2504" s="113" t="n"/>
      <c r="P2504" s="113" t="n"/>
      <c r="Q2504" s="113" t="n"/>
      <c r="R2504" s="113" t="n"/>
      <c r="S2504" s="113" t="n"/>
      <c r="T2504" s="113" t="n"/>
      <c r="U2504" s="113" t="n"/>
      <c r="V2504" s="113" t="n"/>
      <c r="W2504" s="113" t="n"/>
      <c r="X2504" s="113" t="n"/>
      <c r="Y2504" s="113" t="n"/>
      <c r="Z2504" s="117">
        <f>IF($B2504="",0,IF($S2504="EVET",IF($D2504="GELİR",$O2504,-$O2504),0))</f>
        <v/>
      </c>
      <c r="AA2504" s="117">
        <f>IF($B2504="",0,IF(OR($W2504="EVET",$X2504="EVET",$Y2504="EVET"),0,IF($D2504="GELİR",IF($E2504="SATIŞ İADESİ/İSKONTO",-$O2504,$O2504),-$O2504)))</f>
        <v/>
      </c>
      <c r="AB2504" s="117">
        <f>IF($B2504="","",IF(OR($D2504="",$E2504="",$O2504=""),"EKSİK",IF($O2504&lt;=0,"SIFIR/NEGATİF",IF(COUNTIFS($C$6:$C$5000,$C2504,$O$6:$O$5000,$O2504,$B$6:$B$5000,$B2504)&gt;1,"MÜKERRER","OK"))))</f>
        <v/>
      </c>
    </row>
    <row r="2505" ht="16.5" customHeight="1" s="80">
      <c r="A2505" s="113" t="n"/>
      <c r="B2505" s="113" t="n"/>
      <c r="C2505" s="113" t="n"/>
      <c r="D2505" s="113" t="n"/>
      <c r="E2505" s="113" t="n"/>
      <c r="F2505" s="113" t="n"/>
      <c r="G2505" s="113" t="n"/>
      <c r="H2505" s="113" t="n"/>
      <c r="I2505" s="113" t="n"/>
      <c r="J2505" s="113" t="n"/>
      <c r="K2505" s="113" t="n"/>
      <c r="L2505" s="113" t="n"/>
      <c r="M2505" s="113" t="n"/>
      <c r="N2505" s="113" t="n"/>
      <c r="O2505" s="113" t="n"/>
      <c r="P2505" s="113" t="n"/>
      <c r="Q2505" s="113" t="n"/>
      <c r="R2505" s="113" t="n"/>
      <c r="S2505" s="113" t="n"/>
      <c r="T2505" s="113" t="n"/>
      <c r="U2505" s="113" t="n"/>
      <c r="V2505" s="113" t="n"/>
      <c r="W2505" s="113" t="n"/>
      <c r="X2505" s="113" t="n"/>
      <c r="Y2505" s="113" t="n"/>
      <c r="Z2505" s="117">
        <f>IF($B2505="",0,IF($S2505="EVET",IF($D2505="GELİR",$O2505,-$O2505),0))</f>
        <v/>
      </c>
      <c r="AA2505" s="117">
        <f>IF($B2505="",0,IF(OR($W2505="EVET",$X2505="EVET",$Y2505="EVET"),0,IF($D2505="GELİR",IF($E2505="SATIŞ İADESİ/İSKONTO",-$O2505,$O2505),-$O2505)))</f>
        <v/>
      </c>
      <c r="AB2505" s="117">
        <f>IF($B2505="","",IF(OR($D2505="",$E2505="",$O2505=""),"EKSİK",IF($O2505&lt;=0,"SIFIR/NEGATİF",IF(COUNTIFS($C$6:$C$5000,$C2505,$O$6:$O$5000,$O2505,$B$6:$B$5000,$B2505)&gt;1,"MÜKERRER","OK"))))</f>
        <v/>
      </c>
    </row>
    <row r="2506" ht="16.5" customHeight="1" s="80">
      <c r="A2506" s="113" t="n"/>
      <c r="B2506" s="113" t="n"/>
      <c r="C2506" s="113" t="n"/>
      <c r="D2506" s="113" t="n"/>
      <c r="E2506" s="113" t="n"/>
      <c r="F2506" s="113" t="n"/>
      <c r="G2506" s="113" t="n"/>
      <c r="H2506" s="113" t="n"/>
      <c r="I2506" s="113" t="n"/>
      <c r="J2506" s="113" t="n"/>
      <c r="K2506" s="113" t="n"/>
      <c r="L2506" s="113" t="n"/>
      <c r="M2506" s="113" t="n"/>
      <c r="N2506" s="113" t="n"/>
      <c r="O2506" s="113" t="n"/>
      <c r="P2506" s="113" t="n"/>
      <c r="Q2506" s="113" t="n"/>
      <c r="R2506" s="113" t="n"/>
      <c r="S2506" s="113" t="n"/>
      <c r="T2506" s="113" t="n"/>
      <c r="U2506" s="113" t="n"/>
      <c r="V2506" s="113" t="n"/>
      <c r="W2506" s="113" t="n"/>
      <c r="X2506" s="113" t="n"/>
      <c r="Y2506" s="113" t="n"/>
      <c r="Z2506" s="117">
        <f>IF($B2506="",0,IF($S2506="EVET",IF($D2506="GELİR",$O2506,-$O2506),0))</f>
        <v/>
      </c>
      <c r="AA2506" s="117">
        <f>IF($B2506="",0,IF(OR($W2506="EVET",$X2506="EVET",$Y2506="EVET"),0,IF($D2506="GELİR",IF($E2506="SATIŞ İADESİ/İSKONTO",-$O2506,$O2506),-$O2506)))</f>
        <v/>
      </c>
      <c r="AB2506" s="117">
        <f>IF($B2506="","",IF(OR($D2506="",$E2506="",$O2506=""),"EKSİK",IF($O2506&lt;=0,"SIFIR/NEGATİF",IF(COUNTIFS($C$6:$C$5000,$C2506,$O$6:$O$5000,$O2506,$B$6:$B$5000,$B2506)&gt;1,"MÜKERRER","OK"))))</f>
        <v/>
      </c>
    </row>
    <row r="2507" ht="16.5" customHeight="1" s="80">
      <c r="A2507" s="113" t="n"/>
      <c r="B2507" s="113" t="n"/>
      <c r="C2507" s="113" t="n"/>
      <c r="D2507" s="113" t="n"/>
      <c r="E2507" s="113" t="n"/>
      <c r="F2507" s="113" t="n"/>
      <c r="G2507" s="113" t="n"/>
      <c r="H2507" s="113" t="n"/>
      <c r="I2507" s="113" t="n"/>
      <c r="J2507" s="113" t="n"/>
      <c r="K2507" s="113" t="n"/>
      <c r="L2507" s="113" t="n"/>
      <c r="M2507" s="113" t="n"/>
      <c r="N2507" s="113" t="n"/>
      <c r="O2507" s="113" t="n"/>
      <c r="P2507" s="113" t="n"/>
      <c r="Q2507" s="113" t="n"/>
      <c r="R2507" s="113" t="n"/>
      <c r="S2507" s="113" t="n"/>
      <c r="T2507" s="113" t="n"/>
      <c r="U2507" s="113" t="n"/>
      <c r="V2507" s="113" t="n"/>
      <c r="W2507" s="113" t="n"/>
      <c r="X2507" s="113" t="n"/>
      <c r="Y2507" s="113" t="n"/>
      <c r="Z2507" s="117">
        <f>IF($B2507="",0,IF($S2507="EVET",IF($D2507="GELİR",$O2507,-$O2507),0))</f>
        <v/>
      </c>
      <c r="AA2507" s="117">
        <f>IF($B2507="",0,IF(OR($W2507="EVET",$X2507="EVET",$Y2507="EVET"),0,IF($D2507="GELİR",IF($E2507="SATIŞ İADESİ/İSKONTO",-$O2507,$O2507),-$O2507)))</f>
        <v/>
      </c>
      <c r="AB2507" s="117">
        <f>IF($B2507="","",IF(OR($D2507="",$E2507="",$O2507=""),"EKSİK",IF($O2507&lt;=0,"SIFIR/NEGATİF",IF(COUNTIFS($C$6:$C$5000,$C2507,$O$6:$O$5000,$O2507,$B$6:$B$5000,$B2507)&gt;1,"MÜKERRER","OK"))))</f>
        <v/>
      </c>
    </row>
    <row r="2508" ht="16.5" customHeight="1" s="80">
      <c r="A2508" s="113" t="n"/>
      <c r="B2508" s="113" t="n"/>
      <c r="C2508" s="113" t="n"/>
      <c r="D2508" s="113" t="n"/>
      <c r="E2508" s="113" t="n"/>
      <c r="F2508" s="113" t="n"/>
      <c r="G2508" s="113" t="n"/>
      <c r="H2508" s="113" t="n"/>
      <c r="I2508" s="113" t="n"/>
      <c r="J2508" s="113" t="n"/>
      <c r="K2508" s="113" t="n"/>
      <c r="L2508" s="113" t="n"/>
      <c r="M2508" s="113" t="n"/>
      <c r="N2508" s="113" t="n"/>
      <c r="O2508" s="113" t="n"/>
      <c r="P2508" s="113" t="n"/>
      <c r="Q2508" s="113" t="n"/>
      <c r="R2508" s="113" t="n"/>
      <c r="S2508" s="113" t="n"/>
      <c r="T2508" s="113" t="n"/>
      <c r="U2508" s="113" t="n"/>
      <c r="V2508" s="113" t="n"/>
      <c r="W2508" s="113" t="n"/>
      <c r="X2508" s="113" t="n"/>
      <c r="Y2508" s="113" t="n"/>
      <c r="Z2508" s="117">
        <f>IF($B2508="",0,IF($S2508="EVET",IF($D2508="GELİR",$O2508,-$O2508),0))</f>
        <v/>
      </c>
      <c r="AA2508" s="117">
        <f>IF($B2508="",0,IF(OR($W2508="EVET",$X2508="EVET",$Y2508="EVET"),0,IF($D2508="GELİR",IF($E2508="SATIŞ İADESİ/İSKONTO",-$O2508,$O2508),-$O2508)))</f>
        <v/>
      </c>
      <c r="AB2508" s="117">
        <f>IF($B2508="","",IF(OR($D2508="",$E2508="",$O2508=""),"EKSİK",IF($O2508&lt;=0,"SIFIR/NEGATİF",IF(COUNTIFS($C$6:$C$5000,$C2508,$O$6:$O$5000,$O2508,$B$6:$B$5000,$B2508)&gt;1,"MÜKERRER","OK"))))</f>
        <v/>
      </c>
    </row>
    <row r="2509" ht="16.5" customHeight="1" s="80">
      <c r="A2509" s="113" t="n"/>
      <c r="B2509" s="113" t="n"/>
      <c r="C2509" s="113" t="n"/>
      <c r="D2509" s="113" t="n"/>
      <c r="E2509" s="113" t="n"/>
      <c r="F2509" s="113" t="n"/>
      <c r="G2509" s="113" t="n"/>
      <c r="H2509" s="113" t="n"/>
      <c r="I2509" s="113" t="n"/>
      <c r="J2509" s="113" t="n"/>
      <c r="K2509" s="113" t="n"/>
      <c r="L2509" s="113" t="n"/>
      <c r="M2509" s="113" t="n"/>
      <c r="N2509" s="113" t="n"/>
      <c r="O2509" s="113" t="n"/>
      <c r="P2509" s="113" t="n"/>
      <c r="Q2509" s="113" t="n"/>
      <c r="R2509" s="113" t="n"/>
      <c r="S2509" s="113" t="n"/>
      <c r="T2509" s="113" t="n"/>
      <c r="U2509" s="113" t="n"/>
      <c r="V2509" s="113" t="n"/>
      <c r="W2509" s="113" t="n"/>
      <c r="X2509" s="113" t="n"/>
      <c r="Y2509" s="113" t="n"/>
      <c r="Z2509" s="117">
        <f>IF($B2509="",0,IF($S2509="EVET",IF($D2509="GELİR",$O2509,-$O2509),0))</f>
        <v/>
      </c>
      <c r="AA2509" s="117">
        <f>IF($B2509="",0,IF(OR($W2509="EVET",$X2509="EVET",$Y2509="EVET"),0,IF($D2509="GELİR",IF($E2509="SATIŞ İADESİ/İSKONTO",-$O2509,$O2509),-$O2509)))</f>
        <v/>
      </c>
      <c r="AB2509" s="117">
        <f>IF($B2509="","",IF(OR($D2509="",$E2509="",$O2509=""),"EKSİK",IF($O2509&lt;=0,"SIFIR/NEGATİF",IF(COUNTIFS($C$6:$C$5000,$C2509,$O$6:$O$5000,$O2509,$B$6:$B$5000,$B2509)&gt;1,"MÜKERRER","OK"))))</f>
        <v/>
      </c>
    </row>
    <row r="2510" ht="16.5" customHeight="1" s="80">
      <c r="A2510" s="113" t="n"/>
      <c r="B2510" s="113" t="n"/>
      <c r="C2510" s="113" t="n"/>
      <c r="D2510" s="113" t="n"/>
      <c r="E2510" s="113" t="n"/>
      <c r="F2510" s="113" t="n"/>
      <c r="G2510" s="113" t="n"/>
      <c r="H2510" s="113" t="n"/>
      <c r="I2510" s="113" t="n"/>
      <c r="J2510" s="113" t="n"/>
      <c r="K2510" s="113" t="n"/>
      <c r="L2510" s="113" t="n"/>
      <c r="M2510" s="113" t="n"/>
      <c r="N2510" s="113" t="n"/>
      <c r="O2510" s="113" t="n"/>
      <c r="P2510" s="113" t="n"/>
      <c r="Q2510" s="113" t="n"/>
      <c r="R2510" s="113" t="n"/>
      <c r="S2510" s="113" t="n"/>
      <c r="T2510" s="113" t="n"/>
      <c r="U2510" s="113" t="n"/>
      <c r="V2510" s="113" t="n"/>
      <c r="W2510" s="113" t="n"/>
      <c r="X2510" s="113" t="n"/>
      <c r="Y2510" s="113" t="n"/>
      <c r="Z2510" s="117">
        <f>IF($B2510="",0,IF($S2510="EVET",IF($D2510="GELİR",$O2510,-$O2510),0))</f>
        <v/>
      </c>
      <c r="AA2510" s="117">
        <f>IF($B2510="",0,IF(OR($W2510="EVET",$X2510="EVET",$Y2510="EVET"),0,IF($D2510="GELİR",IF($E2510="SATIŞ İADESİ/İSKONTO",-$O2510,$O2510),-$O2510)))</f>
        <v/>
      </c>
      <c r="AB2510" s="117">
        <f>IF($B2510="","",IF(OR($D2510="",$E2510="",$O2510=""),"EKSİK",IF($O2510&lt;=0,"SIFIR/NEGATİF",IF(COUNTIFS($C$6:$C$5000,$C2510,$O$6:$O$5000,$O2510,$B$6:$B$5000,$B2510)&gt;1,"MÜKERRER","OK"))))</f>
        <v/>
      </c>
    </row>
    <row r="2511" ht="16.5" customHeight="1" s="80">
      <c r="A2511" s="113" t="n"/>
      <c r="B2511" s="113" t="n"/>
      <c r="C2511" s="113" t="n"/>
      <c r="D2511" s="113" t="n"/>
      <c r="E2511" s="113" t="n"/>
      <c r="F2511" s="113" t="n"/>
      <c r="G2511" s="113" t="n"/>
      <c r="H2511" s="113" t="n"/>
      <c r="I2511" s="113" t="n"/>
      <c r="J2511" s="113" t="n"/>
      <c r="K2511" s="113" t="n"/>
      <c r="L2511" s="113" t="n"/>
      <c r="M2511" s="113" t="n"/>
      <c r="N2511" s="113" t="n"/>
      <c r="O2511" s="113" t="n"/>
      <c r="P2511" s="113" t="n"/>
      <c r="Q2511" s="113" t="n"/>
      <c r="R2511" s="113" t="n"/>
      <c r="S2511" s="113" t="n"/>
      <c r="T2511" s="113" t="n"/>
      <c r="U2511" s="113" t="n"/>
      <c r="V2511" s="113" t="n"/>
      <c r="W2511" s="113" t="n"/>
      <c r="X2511" s="113" t="n"/>
      <c r="Y2511" s="113" t="n"/>
      <c r="Z2511" s="117">
        <f>IF($B2511="",0,IF($S2511="EVET",IF($D2511="GELİR",$O2511,-$O2511),0))</f>
        <v/>
      </c>
      <c r="AA2511" s="117">
        <f>IF($B2511="",0,IF(OR($W2511="EVET",$X2511="EVET",$Y2511="EVET"),0,IF($D2511="GELİR",IF($E2511="SATIŞ İADESİ/İSKONTO",-$O2511,$O2511),-$O2511)))</f>
        <v/>
      </c>
      <c r="AB2511" s="117">
        <f>IF($B2511="","",IF(OR($D2511="",$E2511="",$O2511=""),"EKSİK",IF($O2511&lt;=0,"SIFIR/NEGATİF",IF(COUNTIFS($C$6:$C$5000,$C2511,$O$6:$O$5000,$O2511,$B$6:$B$5000,$B2511)&gt;1,"MÜKERRER","OK"))))</f>
        <v/>
      </c>
    </row>
    <row r="2512" ht="16.5" customHeight="1" s="80">
      <c r="A2512" s="113" t="n"/>
      <c r="B2512" s="113" t="n"/>
      <c r="C2512" s="113" t="n"/>
      <c r="D2512" s="113" t="n"/>
      <c r="E2512" s="113" t="n"/>
      <c r="F2512" s="113" t="n"/>
      <c r="G2512" s="113" t="n"/>
      <c r="H2512" s="113" t="n"/>
      <c r="I2512" s="113" t="n"/>
      <c r="J2512" s="113" t="n"/>
      <c r="K2512" s="113" t="n"/>
      <c r="L2512" s="113" t="n"/>
      <c r="M2512" s="113" t="n"/>
      <c r="N2512" s="113" t="n"/>
      <c r="O2512" s="113" t="n"/>
      <c r="P2512" s="113" t="n"/>
      <c r="Q2512" s="113" t="n"/>
      <c r="R2512" s="113" t="n"/>
      <c r="S2512" s="113" t="n"/>
      <c r="T2512" s="113" t="n"/>
      <c r="U2512" s="113" t="n"/>
      <c r="V2512" s="113" t="n"/>
      <c r="W2512" s="113" t="n"/>
      <c r="X2512" s="113" t="n"/>
      <c r="Y2512" s="113" t="n"/>
      <c r="Z2512" s="117">
        <f>IF($B2512="",0,IF($S2512="EVET",IF($D2512="GELİR",$O2512,-$O2512),0))</f>
        <v/>
      </c>
      <c r="AA2512" s="117">
        <f>IF($B2512="",0,IF(OR($W2512="EVET",$X2512="EVET",$Y2512="EVET"),0,IF($D2512="GELİR",IF($E2512="SATIŞ İADESİ/İSKONTO",-$O2512,$O2512),-$O2512)))</f>
        <v/>
      </c>
      <c r="AB2512" s="117">
        <f>IF($B2512="","",IF(OR($D2512="",$E2512="",$O2512=""),"EKSİK",IF($O2512&lt;=0,"SIFIR/NEGATİF",IF(COUNTIFS($C$6:$C$5000,$C2512,$O$6:$O$5000,$O2512,$B$6:$B$5000,$B2512)&gt;1,"MÜKERRER","OK"))))</f>
        <v/>
      </c>
    </row>
    <row r="2513" ht="16.5" customHeight="1" s="80">
      <c r="A2513" s="113" t="n"/>
      <c r="B2513" s="113" t="n"/>
      <c r="C2513" s="113" t="n"/>
      <c r="D2513" s="113" t="n"/>
      <c r="E2513" s="113" t="n"/>
      <c r="F2513" s="113" t="n"/>
      <c r="G2513" s="113" t="n"/>
      <c r="H2513" s="113" t="n"/>
      <c r="I2513" s="113" t="n"/>
      <c r="J2513" s="113" t="n"/>
      <c r="K2513" s="113" t="n"/>
      <c r="L2513" s="113" t="n"/>
      <c r="M2513" s="113" t="n"/>
      <c r="N2513" s="113" t="n"/>
      <c r="O2513" s="113" t="n"/>
      <c r="P2513" s="113" t="n"/>
      <c r="Q2513" s="113" t="n"/>
      <c r="R2513" s="113" t="n"/>
      <c r="S2513" s="113" t="n"/>
      <c r="T2513" s="113" t="n"/>
      <c r="U2513" s="113" t="n"/>
      <c r="V2513" s="113" t="n"/>
      <c r="W2513" s="113" t="n"/>
      <c r="X2513" s="113" t="n"/>
      <c r="Y2513" s="113" t="n"/>
      <c r="Z2513" s="117">
        <f>IF($B2513="",0,IF($S2513="EVET",IF($D2513="GELİR",$O2513,-$O2513),0))</f>
        <v/>
      </c>
      <c r="AA2513" s="117">
        <f>IF($B2513="",0,IF(OR($W2513="EVET",$X2513="EVET",$Y2513="EVET"),0,IF($D2513="GELİR",IF($E2513="SATIŞ İADESİ/İSKONTO",-$O2513,$O2513),-$O2513)))</f>
        <v/>
      </c>
      <c r="AB2513" s="117">
        <f>IF($B2513="","",IF(OR($D2513="",$E2513="",$O2513=""),"EKSİK",IF($O2513&lt;=0,"SIFIR/NEGATİF",IF(COUNTIFS($C$6:$C$5000,$C2513,$O$6:$O$5000,$O2513,$B$6:$B$5000,$B2513)&gt;1,"MÜKERRER","OK"))))</f>
        <v/>
      </c>
    </row>
    <row r="2514" ht="16.5" customHeight="1" s="80">
      <c r="A2514" s="113" t="n"/>
      <c r="B2514" s="113" t="n"/>
      <c r="C2514" s="113" t="n"/>
      <c r="D2514" s="113" t="n"/>
      <c r="E2514" s="113" t="n"/>
      <c r="F2514" s="113" t="n"/>
      <c r="G2514" s="113" t="n"/>
      <c r="H2514" s="113" t="n"/>
      <c r="I2514" s="113" t="n"/>
      <c r="J2514" s="113" t="n"/>
      <c r="K2514" s="113" t="n"/>
      <c r="L2514" s="113" t="n"/>
      <c r="M2514" s="113" t="n"/>
      <c r="N2514" s="113" t="n"/>
      <c r="O2514" s="113" t="n"/>
      <c r="P2514" s="113" t="n"/>
      <c r="Q2514" s="113" t="n"/>
      <c r="R2514" s="113" t="n"/>
      <c r="S2514" s="113" t="n"/>
      <c r="T2514" s="113" t="n"/>
      <c r="U2514" s="113" t="n"/>
      <c r="V2514" s="113" t="n"/>
      <c r="W2514" s="113" t="n"/>
      <c r="X2514" s="113" t="n"/>
      <c r="Y2514" s="113" t="n"/>
      <c r="Z2514" s="117">
        <f>IF($B2514="",0,IF($S2514="EVET",IF($D2514="GELİR",$O2514,-$O2514),0))</f>
        <v/>
      </c>
      <c r="AA2514" s="117">
        <f>IF($B2514="",0,IF(OR($W2514="EVET",$X2514="EVET",$Y2514="EVET"),0,IF($D2514="GELİR",IF($E2514="SATIŞ İADESİ/İSKONTO",-$O2514,$O2514),-$O2514)))</f>
        <v/>
      </c>
      <c r="AB2514" s="117">
        <f>IF($B2514="","",IF(OR($D2514="",$E2514="",$O2514=""),"EKSİK",IF($O2514&lt;=0,"SIFIR/NEGATİF",IF(COUNTIFS($C$6:$C$5000,$C2514,$O$6:$O$5000,$O2514,$B$6:$B$5000,$B2514)&gt;1,"MÜKERRER","OK"))))</f>
        <v/>
      </c>
    </row>
    <row r="2515" ht="16.5" customHeight="1" s="80">
      <c r="A2515" s="113" t="n"/>
      <c r="B2515" s="113" t="n"/>
      <c r="C2515" s="113" t="n"/>
      <c r="D2515" s="113" t="n"/>
      <c r="E2515" s="113" t="n"/>
      <c r="F2515" s="113" t="n"/>
      <c r="G2515" s="113" t="n"/>
      <c r="H2515" s="113" t="n"/>
      <c r="I2515" s="113" t="n"/>
      <c r="J2515" s="113" t="n"/>
      <c r="K2515" s="113" t="n"/>
      <c r="L2515" s="113" t="n"/>
      <c r="M2515" s="113" t="n"/>
      <c r="N2515" s="113" t="n"/>
      <c r="O2515" s="113" t="n"/>
      <c r="P2515" s="113" t="n"/>
      <c r="Q2515" s="113" t="n"/>
      <c r="R2515" s="113" t="n"/>
      <c r="S2515" s="113" t="n"/>
      <c r="T2515" s="113" t="n"/>
      <c r="U2515" s="113" t="n"/>
      <c r="V2515" s="113" t="n"/>
      <c r="W2515" s="113" t="n"/>
      <c r="X2515" s="113" t="n"/>
      <c r="Y2515" s="113" t="n"/>
      <c r="Z2515" s="117">
        <f>IF($B2515="",0,IF($S2515="EVET",IF($D2515="GELİR",$O2515,-$O2515),0))</f>
        <v/>
      </c>
      <c r="AA2515" s="117">
        <f>IF($B2515="",0,IF(OR($W2515="EVET",$X2515="EVET",$Y2515="EVET"),0,IF($D2515="GELİR",IF($E2515="SATIŞ İADESİ/İSKONTO",-$O2515,$O2515),-$O2515)))</f>
        <v/>
      </c>
      <c r="AB2515" s="117">
        <f>IF($B2515="","",IF(OR($D2515="",$E2515="",$O2515=""),"EKSİK",IF($O2515&lt;=0,"SIFIR/NEGATİF",IF(COUNTIFS($C$6:$C$5000,$C2515,$O$6:$O$5000,$O2515,$B$6:$B$5000,$B2515)&gt;1,"MÜKERRER","OK"))))</f>
        <v/>
      </c>
    </row>
    <row r="2516" ht="16.5" customHeight="1" s="80">
      <c r="A2516" s="113" t="n"/>
      <c r="B2516" s="113" t="n"/>
      <c r="C2516" s="113" t="n"/>
      <c r="D2516" s="113" t="n"/>
      <c r="E2516" s="113" t="n"/>
      <c r="F2516" s="113" t="n"/>
      <c r="G2516" s="113" t="n"/>
      <c r="H2516" s="113" t="n"/>
      <c r="I2516" s="113" t="n"/>
      <c r="J2516" s="113" t="n"/>
      <c r="K2516" s="113" t="n"/>
      <c r="L2516" s="113" t="n"/>
      <c r="M2516" s="113" t="n"/>
      <c r="N2516" s="113" t="n"/>
      <c r="O2516" s="113" t="n"/>
      <c r="P2516" s="113" t="n"/>
      <c r="Q2516" s="113" t="n"/>
      <c r="R2516" s="113" t="n"/>
      <c r="S2516" s="113" t="n"/>
      <c r="T2516" s="113" t="n"/>
      <c r="U2516" s="113" t="n"/>
      <c r="V2516" s="113" t="n"/>
      <c r="W2516" s="113" t="n"/>
      <c r="X2516" s="113" t="n"/>
      <c r="Y2516" s="113" t="n"/>
      <c r="Z2516" s="117">
        <f>IF($B2516="",0,IF($S2516="EVET",IF($D2516="GELİR",$O2516,-$O2516),0))</f>
        <v/>
      </c>
      <c r="AA2516" s="117">
        <f>IF($B2516="",0,IF(OR($W2516="EVET",$X2516="EVET",$Y2516="EVET"),0,IF($D2516="GELİR",IF($E2516="SATIŞ İADESİ/İSKONTO",-$O2516,$O2516),-$O2516)))</f>
        <v/>
      </c>
      <c r="AB2516" s="117">
        <f>IF($B2516="","",IF(OR($D2516="",$E2516="",$O2516=""),"EKSİK",IF($O2516&lt;=0,"SIFIR/NEGATİF",IF(COUNTIFS($C$6:$C$5000,$C2516,$O$6:$O$5000,$O2516,$B$6:$B$5000,$B2516)&gt;1,"MÜKERRER","OK"))))</f>
        <v/>
      </c>
    </row>
    <row r="2517" ht="16.5" customHeight="1" s="80">
      <c r="A2517" s="113" t="n"/>
      <c r="B2517" s="113" t="n"/>
      <c r="C2517" s="113" t="n"/>
      <c r="D2517" s="113" t="n"/>
      <c r="E2517" s="113" t="n"/>
      <c r="F2517" s="113" t="n"/>
      <c r="G2517" s="113" t="n"/>
      <c r="H2517" s="113" t="n"/>
      <c r="I2517" s="113" t="n"/>
      <c r="J2517" s="113" t="n"/>
      <c r="K2517" s="113" t="n"/>
      <c r="L2517" s="113" t="n"/>
      <c r="M2517" s="113" t="n"/>
      <c r="N2517" s="113" t="n"/>
      <c r="O2517" s="113" t="n"/>
      <c r="P2517" s="113" t="n"/>
      <c r="Q2517" s="113" t="n"/>
      <c r="R2517" s="113" t="n"/>
      <c r="S2517" s="113" t="n"/>
      <c r="T2517" s="113" t="n"/>
      <c r="U2517" s="113" t="n"/>
      <c r="V2517" s="113" t="n"/>
      <c r="W2517" s="113" t="n"/>
      <c r="X2517" s="113" t="n"/>
      <c r="Y2517" s="113" t="n"/>
      <c r="Z2517" s="117">
        <f>IF($B2517="",0,IF($S2517="EVET",IF($D2517="GELİR",$O2517,-$O2517),0))</f>
        <v/>
      </c>
      <c r="AA2517" s="117">
        <f>IF($B2517="",0,IF(OR($W2517="EVET",$X2517="EVET",$Y2517="EVET"),0,IF($D2517="GELİR",IF($E2517="SATIŞ İADESİ/İSKONTO",-$O2517,$O2517),-$O2517)))</f>
        <v/>
      </c>
      <c r="AB2517" s="117">
        <f>IF($B2517="","",IF(OR($D2517="",$E2517="",$O2517=""),"EKSİK",IF($O2517&lt;=0,"SIFIR/NEGATİF",IF(COUNTIFS($C$6:$C$5000,$C2517,$O$6:$O$5000,$O2517,$B$6:$B$5000,$B2517)&gt;1,"MÜKERRER","OK"))))</f>
        <v/>
      </c>
    </row>
    <row r="2518" ht="16.5" customHeight="1" s="80">
      <c r="A2518" s="113" t="n"/>
      <c r="B2518" s="113" t="n"/>
      <c r="C2518" s="113" t="n"/>
      <c r="D2518" s="113" t="n"/>
      <c r="E2518" s="113" t="n"/>
      <c r="F2518" s="113" t="n"/>
      <c r="G2518" s="113" t="n"/>
      <c r="H2518" s="113" t="n"/>
      <c r="I2518" s="113" t="n"/>
      <c r="J2518" s="113" t="n"/>
      <c r="K2518" s="113" t="n"/>
      <c r="L2518" s="113" t="n"/>
      <c r="M2518" s="113" t="n"/>
      <c r="N2518" s="113" t="n"/>
      <c r="O2518" s="113" t="n"/>
      <c r="P2518" s="113" t="n"/>
      <c r="Q2518" s="113" t="n"/>
      <c r="R2518" s="113" t="n"/>
      <c r="S2518" s="113" t="n"/>
      <c r="T2518" s="113" t="n"/>
      <c r="U2518" s="113" t="n"/>
      <c r="V2518" s="113" t="n"/>
      <c r="W2518" s="113" t="n"/>
      <c r="X2518" s="113" t="n"/>
      <c r="Y2518" s="113" t="n"/>
      <c r="Z2518" s="117">
        <f>IF($B2518="",0,IF($S2518="EVET",IF($D2518="GELİR",$O2518,-$O2518),0))</f>
        <v/>
      </c>
      <c r="AA2518" s="117">
        <f>IF($B2518="",0,IF(OR($W2518="EVET",$X2518="EVET",$Y2518="EVET"),0,IF($D2518="GELİR",IF($E2518="SATIŞ İADESİ/İSKONTO",-$O2518,$O2518),-$O2518)))</f>
        <v/>
      </c>
      <c r="AB2518" s="117">
        <f>IF($B2518="","",IF(OR($D2518="",$E2518="",$O2518=""),"EKSİK",IF($O2518&lt;=0,"SIFIR/NEGATİF",IF(COUNTIFS($C$6:$C$5000,$C2518,$O$6:$O$5000,$O2518,$B$6:$B$5000,$B2518)&gt;1,"MÜKERRER","OK"))))</f>
        <v/>
      </c>
    </row>
    <row r="2519" ht="16.5" customHeight="1" s="80">
      <c r="A2519" s="113" t="n"/>
      <c r="B2519" s="113" t="n"/>
      <c r="C2519" s="113" t="n"/>
      <c r="D2519" s="113" t="n"/>
      <c r="E2519" s="113" t="n"/>
      <c r="F2519" s="113" t="n"/>
      <c r="G2519" s="113" t="n"/>
      <c r="H2519" s="113" t="n"/>
      <c r="I2519" s="113" t="n"/>
      <c r="J2519" s="113" t="n"/>
      <c r="K2519" s="113" t="n"/>
      <c r="L2519" s="113" t="n"/>
      <c r="M2519" s="113" t="n"/>
      <c r="N2519" s="113" t="n"/>
      <c r="O2519" s="113" t="n"/>
      <c r="P2519" s="113" t="n"/>
      <c r="Q2519" s="113" t="n"/>
      <c r="R2519" s="113" t="n"/>
      <c r="S2519" s="113" t="n"/>
      <c r="T2519" s="113" t="n"/>
      <c r="U2519" s="113" t="n"/>
      <c r="V2519" s="113" t="n"/>
      <c r="W2519" s="113" t="n"/>
      <c r="X2519" s="113" t="n"/>
      <c r="Y2519" s="113" t="n"/>
      <c r="Z2519" s="117">
        <f>IF($B2519="",0,IF($S2519="EVET",IF($D2519="GELİR",$O2519,-$O2519),0))</f>
        <v/>
      </c>
      <c r="AA2519" s="117">
        <f>IF($B2519="",0,IF(OR($W2519="EVET",$X2519="EVET",$Y2519="EVET"),0,IF($D2519="GELİR",IF($E2519="SATIŞ İADESİ/İSKONTO",-$O2519,$O2519),-$O2519)))</f>
        <v/>
      </c>
      <c r="AB2519" s="117">
        <f>IF($B2519="","",IF(OR($D2519="",$E2519="",$O2519=""),"EKSİK",IF($O2519&lt;=0,"SIFIR/NEGATİF",IF(COUNTIFS($C$6:$C$5000,$C2519,$O$6:$O$5000,$O2519,$B$6:$B$5000,$B2519)&gt;1,"MÜKERRER","OK"))))</f>
        <v/>
      </c>
    </row>
    <row r="2520" ht="16.5" customHeight="1" s="80">
      <c r="A2520" s="113" t="n"/>
      <c r="B2520" s="113" t="n"/>
      <c r="C2520" s="113" t="n"/>
      <c r="D2520" s="113" t="n"/>
      <c r="E2520" s="113" t="n"/>
      <c r="F2520" s="113" t="n"/>
      <c r="G2520" s="113" t="n"/>
      <c r="H2520" s="113" t="n"/>
      <c r="I2520" s="113" t="n"/>
      <c r="J2520" s="113" t="n"/>
      <c r="K2520" s="113" t="n"/>
      <c r="L2520" s="113" t="n"/>
      <c r="M2520" s="113" t="n"/>
      <c r="N2520" s="113" t="n"/>
      <c r="O2520" s="113" t="n"/>
      <c r="P2520" s="113" t="n"/>
      <c r="Q2520" s="113" t="n"/>
      <c r="R2520" s="113" t="n"/>
      <c r="S2520" s="113" t="n"/>
      <c r="T2520" s="113" t="n"/>
      <c r="U2520" s="113" t="n"/>
      <c r="V2520" s="113" t="n"/>
      <c r="W2520" s="113" t="n"/>
      <c r="X2520" s="113" t="n"/>
      <c r="Y2520" s="113" t="n"/>
      <c r="Z2520" s="117">
        <f>IF($B2520="",0,IF($S2520="EVET",IF($D2520="GELİR",$O2520,-$O2520),0))</f>
        <v/>
      </c>
      <c r="AA2520" s="117">
        <f>IF($B2520="",0,IF(OR($W2520="EVET",$X2520="EVET",$Y2520="EVET"),0,IF($D2520="GELİR",IF($E2520="SATIŞ İADESİ/İSKONTO",-$O2520,$O2520),-$O2520)))</f>
        <v/>
      </c>
      <c r="AB2520" s="117">
        <f>IF($B2520="","",IF(OR($D2520="",$E2520="",$O2520=""),"EKSİK",IF($O2520&lt;=0,"SIFIR/NEGATİF",IF(COUNTIFS($C$6:$C$5000,$C2520,$O$6:$O$5000,$O2520,$B$6:$B$5000,$B2520)&gt;1,"MÜKERRER","OK"))))</f>
        <v/>
      </c>
    </row>
    <row r="2521" ht="16.5" customHeight="1" s="80">
      <c r="A2521" s="113" t="n"/>
      <c r="B2521" s="113" t="n"/>
      <c r="C2521" s="113" t="n"/>
      <c r="D2521" s="113" t="n"/>
      <c r="E2521" s="113" t="n"/>
      <c r="F2521" s="113" t="n"/>
      <c r="G2521" s="113" t="n"/>
      <c r="H2521" s="113" t="n"/>
      <c r="I2521" s="113" t="n"/>
      <c r="J2521" s="113" t="n"/>
      <c r="K2521" s="113" t="n"/>
      <c r="L2521" s="113" t="n"/>
      <c r="M2521" s="113" t="n"/>
      <c r="N2521" s="113" t="n"/>
      <c r="O2521" s="113" t="n"/>
      <c r="P2521" s="113" t="n"/>
      <c r="Q2521" s="113" t="n"/>
      <c r="R2521" s="113" t="n"/>
      <c r="S2521" s="113" t="n"/>
      <c r="T2521" s="113" t="n"/>
      <c r="U2521" s="113" t="n"/>
      <c r="V2521" s="113" t="n"/>
      <c r="W2521" s="113" t="n"/>
      <c r="X2521" s="113" t="n"/>
      <c r="Y2521" s="113" t="n"/>
      <c r="Z2521" s="117">
        <f>IF($B2521="",0,IF($S2521="EVET",IF($D2521="GELİR",$O2521,-$O2521),0))</f>
        <v/>
      </c>
      <c r="AA2521" s="117">
        <f>IF($B2521="",0,IF(OR($W2521="EVET",$X2521="EVET",$Y2521="EVET"),0,IF($D2521="GELİR",IF($E2521="SATIŞ İADESİ/İSKONTO",-$O2521,$O2521),-$O2521)))</f>
        <v/>
      </c>
      <c r="AB2521" s="117">
        <f>IF($B2521="","",IF(OR($D2521="",$E2521="",$O2521=""),"EKSİK",IF($O2521&lt;=0,"SIFIR/NEGATİF",IF(COUNTIFS($C$6:$C$5000,$C2521,$O$6:$O$5000,$O2521,$B$6:$B$5000,$B2521)&gt;1,"MÜKERRER","OK"))))</f>
        <v/>
      </c>
    </row>
    <row r="2522" ht="16.5" customHeight="1" s="80">
      <c r="A2522" s="113" t="n"/>
      <c r="B2522" s="113" t="n"/>
      <c r="C2522" s="113" t="n"/>
      <c r="D2522" s="113" t="n"/>
      <c r="E2522" s="113" t="n"/>
      <c r="F2522" s="113" t="n"/>
      <c r="G2522" s="113" t="n"/>
      <c r="H2522" s="113" t="n"/>
      <c r="I2522" s="113" t="n"/>
      <c r="J2522" s="113" t="n"/>
      <c r="K2522" s="113" t="n"/>
      <c r="L2522" s="113" t="n"/>
      <c r="M2522" s="113" t="n"/>
      <c r="N2522" s="113" t="n"/>
      <c r="O2522" s="113" t="n"/>
      <c r="P2522" s="113" t="n"/>
      <c r="Q2522" s="113" t="n"/>
      <c r="R2522" s="113" t="n"/>
      <c r="S2522" s="113" t="n"/>
      <c r="T2522" s="113" t="n"/>
      <c r="U2522" s="113" t="n"/>
      <c r="V2522" s="113" t="n"/>
      <c r="W2522" s="113" t="n"/>
      <c r="X2522" s="113" t="n"/>
      <c r="Y2522" s="113" t="n"/>
      <c r="Z2522" s="117">
        <f>IF($B2522="",0,IF($S2522="EVET",IF($D2522="GELİR",$O2522,-$O2522),0))</f>
        <v/>
      </c>
      <c r="AA2522" s="117">
        <f>IF($B2522="",0,IF(OR($W2522="EVET",$X2522="EVET",$Y2522="EVET"),0,IF($D2522="GELİR",IF($E2522="SATIŞ İADESİ/İSKONTO",-$O2522,$O2522),-$O2522)))</f>
        <v/>
      </c>
      <c r="AB2522" s="117">
        <f>IF($B2522="","",IF(OR($D2522="",$E2522="",$O2522=""),"EKSİK",IF($O2522&lt;=0,"SIFIR/NEGATİF",IF(COUNTIFS($C$6:$C$5000,$C2522,$O$6:$O$5000,$O2522,$B$6:$B$5000,$B2522)&gt;1,"MÜKERRER","OK"))))</f>
        <v/>
      </c>
    </row>
    <row r="2523" ht="16.5" customHeight="1" s="80">
      <c r="A2523" s="113" t="n"/>
      <c r="B2523" s="113" t="n"/>
      <c r="C2523" s="113" t="n"/>
      <c r="D2523" s="113" t="n"/>
      <c r="E2523" s="113" t="n"/>
      <c r="F2523" s="113" t="n"/>
      <c r="G2523" s="113" t="n"/>
      <c r="H2523" s="113" t="n"/>
      <c r="I2523" s="113" t="n"/>
      <c r="J2523" s="113" t="n"/>
      <c r="K2523" s="113" t="n"/>
      <c r="L2523" s="113" t="n"/>
      <c r="M2523" s="113" t="n"/>
      <c r="N2523" s="113" t="n"/>
      <c r="O2523" s="113" t="n"/>
      <c r="P2523" s="113" t="n"/>
      <c r="Q2523" s="113" t="n"/>
      <c r="R2523" s="113" t="n"/>
      <c r="S2523" s="113" t="n"/>
      <c r="T2523" s="113" t="n"/>
      <c r="U2523" s="113" t="n"/>
      <c r="V2523" s="113" t="n"/>
      <c r="W2523" s="113" t="n"/>
      <c r="X2523" s="113" t="n"/>
      <c r="Y2523" s="113" t="n"/>
      <c r="Z2523" s="117">
        <f>IF($B2523="",0,IF($S2523="EVET",IF($D2523="GELİR",$O2523,-$O2523),0))</f>
        <v/>
      </c>
      <c r="AA2523" s="117">
        <f>IF($B2523="",0,IF(OR($W2523="EVET",$X2523="EVET",$Y2523="EVET"),0,IF($D2523="GELİR",IF($E2523="SATIŞ İADESİ/İSKONTO",-$O2523,$O2523),-$O2523)))</f>
        <v/>
      </c>
      <c r="AB2523" s="117">
        <f>IF($B2523="","",IF(OR($D2523="",$E2523="",$O2523=""),"EKSİK",IF($O2523&lt;=0,"SIFIR/NEGATİF",IF(COUNTIFS($C$6:$C$5000,$C2523,$O$6:$O$5000,$O2523,$B$6:$B$5000,$B2523)&gt;1,"MÜKERRER","OK"))))</f>
        <v/>
      </c>
    </row>
    <row r="2524" ht="16.5" customHeight="1" s="80">
      <c r="A2524" s="113" t="n"/>
      <c r="B2524" s="113" t="n"/>
      <c r="C2524" s="113" t="n"/>
      <c r="D2524" s="113" t="n"/>
      <c r="E2524" s="113" t="n"/>
      <c r="F2524" s="113" t="n"/>
      <c r="G2524" s="113" t="n"/>
      <c r="H2524" s="113" t="n"/>
      <c r="I2524" s="113" t="n"/>
      <c r="J2524" s="113" t="n"/>
      <c r="K2524" s="113" t="n"/>
      <c r="L2524" s="113" t="n"/>
      <c r="M2524" s="113" t="n"/>
      <c r="N2524" s="113" t="n"/>
      <c r="O2524" s="113" t="n"/>
      <c r="P2524" s="113" t="n"/>
      <c r="Q2524" s="113" t="n"/>
      <c r="R2524" s="113" t="n"/>
      <c r="S2524" s="113" t="n"/>
      <c r="T2524" s="113" t="n"/>
      <c r="U2524" s="113" t="n"/>
      <c r="V2524" s="113" t="n"/>
      <c r="W2524" s="113" t="n"/>
      <c r="X2524" s="113" t="n"/>
      <c r="Y2524" s="113" t="n"/>
      <c r="Z2524" s="117">
        <f>IF($B2524="",0,IF($S2524="EVET",IF($D2524="GELİR",$O2524,-$O2524),0))</f>
        <v/>
      </c>
      <c r="AA2524" s="117">
        <f>IF($B2524="",0,IF(OR($W2524="EVET",$X2524="EVET",$Y2524="EVET"),0,IF($D2524="GELİR",IF($E2524="SATIŞ İADESİ/İSKONTO",-$O2524,$O2524),-$O2524)))</f>
        <v/>
      </c>
      <c r="AB2524" s="117">
        <f>IF($B2524="","",IF(OR($D2524="",$E2524="",$O2524=""),"EKSİK",IF($O2524&lt;=0,"SIFIR/NEGATİF",IF(COUNTIFS($C$6:$C$5000,$C2524,$O$6:$O$5000,$O2524,$B$6:$B$5000,$B2524)&gt;1,"MÜKERRER","OK"))))</f>
        <v/>
      </c>
    </row>
    <row r="2525" ht="16.5" customHeight="1" s="80">
      <c r="A2525" s="113" t="n"/>
      <c r="B2525" s="113" t="n"/>
      <c r="C2525" s="113" t="n"/>
      <c r="D2525" s="113" t="n"/>
      <c r="E2525" s="113" t="n"/>
      <c r="F2525" s="113" t="n"/>
      <c r="G2525" s="113" t="n"/>
      <c r="H2525" s="113" t="n"/>
      <c r="I2525" s="113" t="n"/>
      <c r="J2525" s="113" t="n"/>
      <c r="K2525" s="113" t="n"/>
      <c r="L2525" s="113" t="n"/>
      <c r="M2525" s="113" t="n"/>
      <c r="N2525" s="113" t="n"/>
      <c r="O2525" s="113" t="n"/>
      <c r="P2525" s="113" t="n"/>
      <c r="Q2525" s="113" t="n"/>
      <c r="R2525" s="113" t="n"/>
      <c r="S2525" s="113" t="n"/>
      <c r="T2525" s="113" t="n"/>
      <c r="U2525" s="113" t="n"/>
      <c r="V2525" s="113" t="n"/>
      <c r="W2525" s="113" t="n"/>
      <c r="X2525" s="113" t="n"/>
      <c r="Y2525" s="113" t="n"/>
      <c r="Z2525" s="117">
        <f>IF($B2525="",0,IF($S2525="EVET",IF($D2525="GELİR",$O2525,-$O2525),0))</f>
        <v/>
      </c>
      <c r="AA2525" s="117">
        <f>IF($B2525="",0,IF(OR($W2525="EVET",$X2525="EVET",$Y2525="EVET"),0,IF($D2525="GELİR",IF($E2525="SATIŞ İADESİ/İSKONTO",-$O2525,$O2525),-$O2525)))</f>
        <v/>
      </c>
      <c r="AB2525" s="117">
        <f>IF($B2525="","",IF(OR($D2525="",$E2525="",$O2525=""),"EKSİK",IF($O2525&lt;=0,"SIFIR/NEGATİF",IF(COUNTIFS($C$6:$C$5000,$C2525,$O$6:$O$5000,$O2525,$B$6:$B$5000,$B2525)&gt;1,"MÜKERRER","OK"))))</f>
        <v/>
      </c>
    </row>
    <row r="2526" ht="16.5" customHeight="1" s="80">
      <c r="A2526" s="113" t="n"/>
      <c r="B2526" s="113" t="n"/>
      <c r="C2526" s="113" t="n"/>
      <c r="D2526" s="113" t="n"/>
      <c r="E2526" s="113" t="n"/>
      <c r="F2526" s="113" t="n"/>
      <c r="G2526" s="113" t="n"/>
      <c r="H2526" s="113" t="n"/>
      <c r="I2526" s="113" t="n"/>
      <c r="J2526" s="113" t="n"/>
      <c r="K2526" s="113" t="n"/>
      <c r="L2526" s="113" t="n"/>
      <c r="M2526" s="113" t="n"/>
      <c r="N2526" s="113" t="n"/>
      <c r="O2526" s="113" t="n"/>
      <c r="P2526" s="113" t="n"/>
      <c r="Q2526" s="113" t="n"/>
      <c r="R2526" s="113" t="n"/>
      <c r="S2526" s="113" t="n"/>
      <c r="T2526" s="113" t="n"/>
      <c r="U2526" s="113" t="n"/>
      <c r="V2526" s="113" t="n"/>
      <c r="W2526" s="113" t="n"/>
      <c r="X2526" s="113" t="n"/>
      <c r="Y2526" s="113" t="n"/>
      <c r="Z2526" s="117">
        <f>IF($B2526="",0,IF($S2526="EVET",IF($D2526="GELİR",$O2526,-$O2526),0))</f>
        <v/>
      </c>
      <c r="AA2526" s="117">
        <f>IF($B2526="",0,IF(OR($W2526="EVET",$X2526="EVET",$Y2526="EVET"),0,IF($D2526="GELİR",IF($E2526="SATIŞ İADESİ/İSKONTO",-$O2526,$O2526),-$O2526)))</f>
        <v/>
      </c>
      <c r="AB2526" s="117">
        <f>IF($B2526="","",IF(OR($D2526="",$E2526="",$O2526=""),"EKSİK",IF($O2526&lt;=0,"SIFIR/NEGATİF",IF(COUNTIFS($C$6:$C$5000,$C2526,$O$6:$O$5000,$O2526,$B$6:$B$5000,$B2526)&gt;1,"MÜKERRER","OK"))))</f>
        <v/>
      </c>
    </row>
    <row r="2527" ht="16.5" customHeight="1" s="80">
      <c r="A2527" s="113" t="n"/>
      <c r="B2527" s="113" t="n"/>
      <c r="C2527" s="113" t="n"/>
      <c r="D2527" s="113" t="n"/>
      <c r="E2527" s="113" t="n"/>
      <c r="F2527" s="113" t="n"/>
      <c r="G2527" s="113" t="n"/>
      <c r="H2527" s="113" t="n"/>
      <c r="I2527" s="113" t="n"/>
      <c r="J2527" s="113" t="n"/>
      <c r="K2527" s="113" t="n"/>
      <c r="L2527" s="113" t="n"/>
      <c r="M2527" s="113" t="n"/>
      <c r="N2527" s="113" t="n"/>
      <c r="O2527" s="113" t="n"/>
      <c r="P2527" s="113" t="n"/>
      <c r="Q2527" s="113" t="n"/>
      <c r="R2527" s="113" t="n"/>
      <c r="S2527" s="113" t="n"/>
      <c r="T2527" s="113" t="n"/>
      <c r="U2527" s="113" t="n"/>
      <c r="V2527" s="113" t="n"/>
      <c r="W2527" s="113" t="n"/>
      <c r="X2527" s="113" t="n"/>
      <c r="Y2527" s="113" t="n"/>
      <c r="Z2527" s="117">
        <f>IF($B2527="",0,IF($S2527="EVET",IF($D2527="GELİR",$O2527,-$O2527),0))</f>
        <v/>
      </c>
      <c r="AA2527" s="117">
        <f>IF($B2527="",0,IF(OR($W2527="EVET",$X2527="EVET",$Y2527="EVET"),0,IF($D2527="GELİR",IF($E2527="SATIŞ İADESİ/İSKONTO",-$O2527,$O2527),-$O2527)))</f>
        <v/>
      </c>
      <c r="AB2527" s="117">
        <f>IF($B2527="","",IF(OR($D2527="",$E2527="",$O2527=""),"EKSİK",IF($O2527&lt;=0,"SIFIR/NEGATİF",IF(COUNTIFS($C$6:$C$5000,$C2527,$O$6:$O$5000,$O2527,$B$6:$B$5000,$B2527)&gt;1,"MÜKERRER","OK"))))</f>
        <v/>
      </c>
    </row>
    <row r="2528" ht="16.5" customHeight="1" s="80">
      <c r="A2528" s="113" t="n"/>
      <c r="B2528" s="113" t="n"/>
      <c r="C2528" s="113" t="n"/>
      <c r="D2528" s="113" t="n"/>
      <c r="E2528" s="113" t="n"/>
      <c r="F2528" s="113" t="n"/>
      <c r="G2528" s="113" t="n"/>
      <c r="H2528" s="113" t="n"/>
      <c r="I2528" s="113" t="n"/>
      <c r="J2528" s="113" t="n"/>
      <c r="K2528" s="113" t="n"/>
      <c r="L2528" s="113" t="n"/>
      <c r="M2528" s="113" t="n"/>
      <c r="N2528" s="113" t="n"/>
      <c r="O2528" s="113" t="n"/>
      <c r="P2528" s="113" t="n"/>
      <c r="Q2528" s="113" t="n"/>
      <c r="R2528" s="113" t="n"/>
      <c r="S2528" s="113" t="n"/>
      <c r="T2528" s="113" t="n"/>
      <c r="U2528" s="113" t="n"/>
      <c r="V2528" s="113" t="n"/>
      <c r="W2528" s="113" t="n"/>
      <c r="X2528" s="113" t="n"/>
      <c r="Y2528" s="113" t="n"/>
      <c r="Z2528" s="117">
        <f>IF($B2528="",0,IF($S2528="EVET",IF($D2528="GELİR",$O2528,-$O2528),0))</f>
        <v/>
      </c>
      <c r="AA2528" s="117">
        <f>IF($B2528="",0,IF(OR($W2528="EVET",$X2528="EVET",$Y2528="EVET"),0,IF($D2528="GELİR",IF($E2528="SATIŞ İADESİ/İSKONTO",-$O2528,$O2528),-$O2528)))</f>
        <v/>
      </c>
      <c r="AB2528" s="117">
        <f>IF($B2528="","",IF(OR($D2528="",$E2528="",$O2528=""),"EKSİK",IF($O2528&lt;=0,"SIFIR/NEGATİF",IF(COUNTIFS($C$6:$C$5000,$C2528,$O$6:$O$5000,$O2528,$B$6:$B$5000,$B2528)&gt;1,"MÜKERRER","OK"))))</f>
        <v/>
      </c>
    </row>
    <row r="2529" ht="16.5" customHeight="1" s="80">
      <c r="A2529" s="113" t="n"/>
      <c r="B2529" s="113" t="n"/>
      <c r="C2529" s="113" t="n"/>
      <c r="D2529" s="113" t="n"/>
      <c r="E2529" s="113" t="n"/>
      <c r="F2529" s="113" t="n"/>
      <c r="G2529" s="113" t="n"/>
      <c r="H2529" s="113" t="n"/>
      <c r="I2529" s="113" t="n"/>
      <c r="J2529" s="113" t="n"/>
      <c r="K2529" s="113" t="n"/>
      <c r="L2529" s="113" t="n"/>
      <c r="M2529" s="113" t="n"/>
      <c r="N2529" s="113" t="n"/>
      <c r="O2529" s="113" t="n"/>
      <c r="P2529" s="113" t="n"/>
      <c r="Q2529" s="113" t="n"/>
      <c r="R2529" s="113" t="n"/>
      <c r="S2529" s="113" t="n"/>
      <c r="T2529" s="113" t="n"/>
      <c r="U2529" s="113" t="n"/>
      <c r="V2529" s="113" t="n"/>
      <c r="W2529" s="113" t="n"/>
      <c r="X2529" s="113" t="n"/>
      <c r="Y2529" s="113" t="n"/>
      <c r="Z2529" s="117">
        <f>IF($B2529="",0,IF($S2529="EVET",IF($D2529="GELİR",$O2529,-$O2529),0))</f>
        <v/>
      </c>
      <c r="AA2529" s="117">
        <f>IF($B2529="",0,IF(OR($W2529="EVET",$X2529="EVET",$Y2529="EVET"),0,IF($D2529="GELİR",IF($E2529="SATIŞ İADESİ/İSKONTO",-$O2529,$O2529),-$O2529)))</f>
        <v/>
      </c>
      <c r="AB2529" s="117">
        <f>IF($B2529="","",IF(OR($D2529="",$E2529="",$O2529=""),"EKSİK",IF($O2529&lt;=0,"SIFIR/NEGATİF",IF(COUNTIFS($C$6:$C$5000,$C2529,$O$6:$O$5000,$O2529,$B$6:$B$5000,$B2529)&gt;1,"MÜKERRER","OK"))))</f>
        <v/>
      </c>
    </row>
    <row r="2530" ht="16.5" customHeight="1" s="80">
      <c r="A2530" s="113" t="n"/>
      <c r="B2530" s="113" t="n"/>
      <c r="C2530" s="113" t="n"/>
      <c r="D2530" s="113" t="n"/>
      <c r="E2530" s="113" t="n"/>
      <c r="F2530" s="113" t="n"/>
      <c r="G2530" s="113" t="n"/>
      <c r="H2530" s="113" t="n"/>
      <c r="I2530" s="113" t="n"/>
      <c r="J2530" s="113" t="n"/>
      <c r="K2530" s="113" t="n"/>
      <c r="L2530" s="113" t="n"/>
      <c r="M2530" s="113" t="n"/>
      <c r="N2530" s="113" t="n"/>
      <c r="O2530" s="113" t="n"/>
      <c r="P2530" s="113" t="n"/>
      <c r="Q2530" s="113" t="n"/>
      <c r="R2530" s="113" t="n"/>
      <c r="S2530" s="113" t="n"/>
      <c r="T2530" s="113" t="n"/>
      <c r="U2530" s="113" t="n"/>
      <c r="V2530" s="113" t="n"/>
      <c r="W2530" s="113" t="n"/>
      <c r="X2530" s="113" t="n"/>
      <c r="Y2530" s="113" t="n"/>
      <c r="Z2530" s="117">
        <f>IF($B2530="",0,IF($S2530="EVET",IF($D2530="GELİR",$O2530,-$O2530),0))</f>
        <v/>
      </c>
      <c r="AA2530" s="117">
        <f>IF($B2530="",0,IF(OR($W2530="EVET",$X2530="EVET",$Y2530="EVET"),0,IF($D2530="GELİR",IF($E2530="SATIŞ İADESİ/İSKONTO",-$O2530,$O2530),-$O2530)))</f>
        <v/>
      </c>
      <c r="AB2530" s="117">
        <f>IF($B2530="","",IF(OR($D2530="",$E2530="",$O2530=""),"EKSİK",IF($O2530&lt;=0,"SIFIR/NEGATİF",IF(COUNTIFS($C$6:$C$5000,$C2530,$O$6:$O$5000,$O2530,$B$6:$B$5000,$B2530)&gt;1,"MÜKERRER","OK"))))</f>
        <v/>
      </c>
    </row>
    <row r="2531" ht="16.5" customHeight="1" s="80">
      <c r="A2531" s="113" t="n"/>
      <c r="B2531" s="113" t="n"/>
      <c r="C2531" s="113" t="n"/>
      <c r="D2531" s="113" t="n"/>
      <c r="E2531" s="113" t="n"/>
      <c r="F2531" s="113" t="n"/>
      <c r="G2531" s="113" t="n"/>
      <c r="H2531" s="113" t="n"/>
      <c r="I2531" s="113" t="n"/>
      <c r="J2531" s="113" t="n"/>
      <c r="K2531" s="113" t="n"/>
      <c r="L2531" s="113" t="n"/>
      <c r="M2531" s="113" t="n"/>
      <c r="N2531" s="113" t="n"/>
      <c r="O2531" s="113" t="n"/>
      <c r="P2531" s="113" t="n"/>
      <c r="Q2531" s="113" t="n"/>
      <c r="R2531" s="113" t="n"/>
      <c r="S2531" s="113" t="n"/>
      <c r="T2531" s="113" t="n"/>
      <c r="U2531" s="113" t="n"/>
      <c r="V2531" s="113" t="n"/>
      <c r="W2531" s="113" t="n"/>
      <c r="X2531" s="113" t="n"/>
      <c r="Y2531" s="113" t="n"/>
      <c r="Z2531" s="117">
        <f>IF($B2531="",0,IF($S2531="EVET",IF($D2531="GELİR",$O2531,-$O2531),0))</f>
        <v/>
      </c>
      <c r="AA2531" s="117">
        <f>IF($B2531="",0,IF(OR($W2531="EVET",$X2531="EVET",$Y2531="EVET"),0,IF($D2531="GELİR",IF($E2531="SATIŞ İADESİ/İSKONTO",-$O2531,$O2531),-$O2531)))</f>
        <v/>
      </c>
      <c r="AB2531" s="117">
        <f>IF($B2531="","",IF(OR($D2531="",$E2531="",$O2531=""),"EKSİK",IF($O2531&lt;=0,"SIFIR/NEGATİF",IF(COUNTIFS($C$6:$C$5000,$C2531,$O$6:$O$5000,$O2531,$B$6:$B$5000,$B2531)&gt;1,"MÜKERRER","OK"))))</f>
        <v/>
      </c>
    </row>
    <row r="2532" ht="16.5" customHeight="1" s="80">
      <c r="A2532" s="113" t="n"/>
      <c r="B2532" s="113" t="n"/>
      <c r="C2532" s="113" t="n"/>
      <c r="D2532" s="113" t="n"/>
      <c r="E2532" s="113" t="n"/>
      <c r="F2532" s="113" t="n"/>
      <c r="G2532" s="113" t="n"/>
      <c r="H2532" s="113" t="n"/>
      <c r="I2532" s="113" t="n"/>
      <c r="J2532" s="113" t="n"/>
      <c r="K2532" s="113" t="n"/>
      <c r="L2532" s="113" t="n"/>
      <c r="M2532" s="113" t="n"/>
      <c r="N2532" s="113" t="n"/>
      <c r="O2532" s="113" t="n"/>
      <c r="P2532" s="113" t="n"/>
      <c r="Q2532" s="113" t="n"/>
      <c r="R2532" s="113" t="n"/>
      <c r="S2532" s="113" t="n"/>
      <c r="T2532" s="113" t="n"/>
      <c r="U2532" s="113" t="n"/>
      <c r="V2532" s="113" t="n"/>
      <c r="W2532" s="113" t="n"/>
      <c r="X2532" s="113" t="n"/>
      <c r="Y2532" s="113" t="n"/>
      <c r="Z2532" s="117">
        <f>IF($B2532="",0,IF($S2532="EVET",IF($D2532="GELİR",$O2532,-$O2532),0))</f>
        <v/>
      </c>
      <c r="AA2532" s="117">
        <f>IF($B2532="",0,IF(OR($W2532="EVET",$X2532="EVET",$Y2532="EVET"),0,IF($D2532="GELİR",IF($E2532="SATIŞ İADESİ/İSKONTO",-$O2532,$O2532),-$O2532)))</f>
        <v/>
      </c>
      <c r="AB2532" s="117">
        <f>IF($B2532="","",IF(OR($D2532="",$E2532="",$O2532=""),"EKSİK",IF($O2532&lt;=0,"SIFIR/NEGATİF",IF(COUNTIFS($C$6:$C$5000,$C2532,$O$6:$O$5000,$O2532,$B$6:$B$5000,$B2532)&gt;1,"MÜKERRER","OK"))))</f>
        <v/>
      </c>
    </row>
    <row r="2533" ht="16.5" customHeight="1" s="80">
      <c r="A2533" s="113" t="n"/>
      <c r="B2533" s="113" t="n"/>
      <c r="C2533" s="113" t="n"/>
      <c r="D2533" s="113" t="n"/>
      <c r="E2533" s="113" t="n"/>
      <c r="F2533" s="113" t="n"/>
      <c r="G2533" s="113" t="n"/>
      <c r="H2533" s="113" t="n"/>
      <c r="I2533" s="113" t="n"/>
      <c r="J2533" s="113" t="n"/>
      <c r="K2533" s="113" t="n"/>
      <c r="L2533" s="113" t="n"/>
      <c r="M2533" s="113" t="n"/>
      <c r="N2533" s="113" t="n"/>
      <c r="O2533" s="113" t="n"/>
      <c r="P2533" s="113" t="n"/>
      <c r="Q2533" s="113" t="n"/>
      <c r="R2533" s="113" t="n"/>
      <c r="S2533" s="113" t="n"/>
      <c r="T2533" s="113" t="n"/>
      <c r="U2533" s="113" t="n"/>
      <c r="V2533" s="113" t="n"/>
      <c r="W2533" s="113" t="n"/>
      <c r="X2533" s="113" t="n"/>
      <c r="Y2533" s="113" t="n"/>
      <c r="Z2533" s="117">
        <f>IF($B2533="",0,IF($S2533="EVET",IF($D2533="GELİR",$O2533,-$O2533),0))</f>
        <v/>
      </c>
      <c r="AA2533" s="117">
        <f>IF($B2533="",0,IF(OR($W2533="EVET",$X2533="EVET",$Y2533="EVET"),0,IF($D2533="GELİR",IF($E2533="SATIŞ İADESİ/İSKONTO",-$O2533,$O2533),-$O2533)))</f>
        <v/>
      </c>
      <c r="AB2533" s="117">
        <f>IF($B2533="","",IF(OR($D2533="",$E2533="",$O2533=""),"EKSİK",IF($O2533&lt;=0,"SIFIR/NEGATİF",IF(COUNTIFS($C$6:$C$5000,$C2533,$O$6:$O$5000,$O2533,$B$6:$B$5000,$B2533)&gt;1,"MÜKERRER","OK"))))</f>
        <v/>
      </c>
    </row>
    <row r="2534" ht="16.5" customHeight="1" s="80">
      <c r="A2534" s="113" t="n"/>
      <c r="B2534" s="113" t="n"/>
      <c r="C2534" s="113" t="n"/>
      <c r="D2534" s="113" t="n"/>
      <c r="E2534" s="113" t="n"/>
      <c r="F2534" s="113" t="n"/>
      <c r="G2534" s="113" t="n"/>
      <c r="H2534" s="113" t="n"/>
      <c r="I2534" s="113" t="n"/>
      <c r="J2534" s="113" t="n"/>
      <c r="K2534" s="113" t="n"/>
      <c r="L2534" s="113" t="n"/>
      <c r="M2534" s="113" t="n"/>
      <c r="N2534" s="113" t="n"/>
      <c r="O2534" s="113" t="n"/>
      <c r="P2534" s="113" t="n"/>
      <c r="Q2534" s="113" t="n"/>
      <c r="R2534" s="113" t="n"/>
      <c r="S2534" s="113" t="n"/>
      <c r="T2534" s="113" t="n"/>
      <c r="U2534" s="113" t="n"/>
      <c r="V2534" s="113" t="n"/>
      <c r="W2534" s="113" t="n"/>
      <c r="X2534" s="113" t="n"/>
      <c r="Y2534" s="113" t="n"/>
      <c r="Z2534" s="117">
        <f>IF($B2534="",0,IF($S2534="EVET",IF($D2534="GELİR",$O2534,-$O2534),0))</f>
        <v/>
      </c>
      <c r="AA2534" s="117">
        <f>IF($B2534="",0,IF(OR($W2534="EVET",$X2534="EVET",$Y2534="EVET"),0,IF($D2534="GELİR",IF($E2534="SATIŞ İADESİ/İSKONTO",-$O2534,$O2534),-$O2534)))</f>
        <v/>
      </c>
      <c r="AB2534" s="117">
        <f>IF($B2534="","",IF(OR($D2534="",$E2534="",$O2534=""),"EKSİK",IF($O2534&lt;=0,"SIFIR/NEGATİF",IF(COUNTIFS($C$6:$C$5000,$C2534,$O$6:$O$5000,$O2534,$B$6:$B$5000,$B2534)&gt;1,"MÜKERRER","OK"))))</f>
        <v/>
      </c>
    </row>
    <row r="2535" ht="16.5" customHeight="1" s="80">
      <c r="A2535" s="113" t="n"/>
      <c r="B2535" s="113" t="n"/>
      <c r="C2535" s="113" t="n"/>
      <c r="D2535" s="113" t="n"/>
      <c r="E2535" s="113" t="n"/>
      <c r="F2535" s="113" t="n"/>
      <c r="G2535" s="113" t="n"/>
      <c r="H2535" s="113" t="n"/>
      <c r="I2535" s="113" t="n"/>
      <c r="J2535" s="113" t="n"/>
      <c r="K2535" s="113" t="n"/>
      <c r="L2535" s="113" t="n"/>
      <c r="M2535" s="113" t="n"/>
      <c r="N2535" s="113" t="n"/>
      <c r="O2535" s="113" t="n"/>
      <c r="P2535" s="113" t="n"/>
      <c r="Q2535" s="113" t="n"/>
      <c r="R2535" s="113" t="n"/>
      <c r="S2535" s="113" t="n"/>
      <c r="T2535" s="113" t="n"/>
      <c r="U2535" s="113" t="n"/>
      <c r="V2535" s="113" t="n"/>
      <c r="W2535" s="113" t="n"/>
      <c r="X2535" s="113" t="n"/>
      <c r="Y2535" s="113" t="n"/>
      <c r="Z2535" s="117">
        <f>IF($B2535="",0,IF($S2535="EVET",IF($D2535="GELİR",$O2535,-$O2535),0))</f>
        <v/>
      </c>
      <c r="AA2535" s="117">
        <f>IF($B2535="",0,IF(OR($W2535="EVET",$X2535="EVET",$Y2535="EVET"),0,IF($D2535="GELİR",IF($E2535="SATIŞ İADESİ/İSKONTO",-$O2535,$O2535),-$O2535)))</f>
        <v/>
      </c>
      <c r="AB2535" s="117">
        <f>IF($B2535="","",IF(OR($D2535="",$E2535="",$O2535=""),"EKSİK",IF($O2535&lt;=0,"SIFIR/NEGATİF",IF(COUNTIFS($C$6:$C$5000,$C2535,$O$6:$O$5000,$O2535,$B$6:$B$5000,$B2535)&gt;1,"MÜKERRER","OK"))))</f>
        <v/>
      </c>
    </row>
    <row r="2536" ht="16.5" customHeight="1" s="80">
      <c r="A2536" s="113" t="n"/>
      <c r="B2536" s="113" t="n"/>
      <c r="C2536" s="113" t="n"/>
      <c r="D2536" s="113" t="n"/>
      <c r="E2536" s="113" t="n"/>
      <c r="F2536" s="113" t="n"/>
      <c r="G2536" s="113" t="n"/>
      <c r="H2536" s="113" t="n"/>
      <c r="I2536" s="113" t="n"/>
      <c r="J2536" s="113" t="n"/>
      <c r="K2536" s="113" t="n"/>
      <c r="L2536" s="113" t="n"/>
      <c r="M2536" s="113" t="n"/>
      <c r="N2536" s="113" t="n"/>
      <c r="O2536" s="113" t="n"/>
      <c r="P2536" s="113" t="n"/>
      <c r="Q2536" s="113" t="n"/>
      <c r="R2536" s="113" t="n"/>
      <c r="S2536" s="113" t="n"/>
      <c r="T2536" s="113" t="n"/>
      <c r="U2536" s="113" t="n"/>
      <c r="V2536" s="113" t="n"/>
      <c r="W2536" s="113" t="n"/>
      <c r="X2536" s="113" t="n"/>
      <c r="Y2536" s="113" t="n"/>
      <c r="Z2536" s="117">
        <f>IF($B2536="",0,IF($S2536="EVET",IF($D2536="GELİR",$O2536,-$O2536),0))</f>
        <v/>
      </c>
      <c r="AA2536" s="117">
        <f>IF($B2536="",0,IF(OR($W2536="EVET",$X2536="EVET",$Y2536="EVET"),0,IF($D2536="GELİR",IF($E2536="SATIŞ İADESİ/İSKONTO",-$O2536,$O2536),-$O2536)))</f>
        <v/>
      </c>
      <c r="AB2536" s="117">
        <f>IF($B2536="","",IF(OR($D2536="",$E2536="",$O2536=""),"EKSİK",IF($O2536&lt;=0,"SIFIR/NEGATİF",IF(COUNTIFS($C$6:$C$5000,$C2536,$O$6:$O$5000,$O2536,$B$6:$B$5000,$B2536)&gt;1,"MÜKERRER","OK"))))</f>
        <v/>
      </c>
    </row>
    <row r="2537" ht="16.5" customHeight="1" s="80">
      <c r="A2537" s="113" t="n"/>
      <c r="B2537" s="113" t="n"/>
      <c r="C2537" s="113" t="n"/>
      <c r="D2537" s="113" t="n"/>
      <c r="E2537" s="113" t="n"/>
      <c r="F2537" s="113" t="n"/>
      <c r="G2537" s="113" t="n"/>
      <c r="H2537" s="113" t="n"/>
      <c r="I2537" s="113" t="n"/>
      <c r="J2537" s="113" t="n"/>
      <c r="K2537" s="113" t="n"/>
      <c r="L2537" s="113" t="n"/>
      <c r="M2537" s="113" t="n"/>
      <c r="N2537" s="113" t="n"/>
      <c r="O2537" s="113" t="n"/>
      <c r="P2537" s="113" t="n"/>
      <c r="Q2537" s="113" t="n"/>
      <c r="R2537" s="113" t="n"/>
      <c r="S2537" s="113" t="n"/>
      <c r="T2537" s="113" t="n"/>
      <c r="U2537" s="113" t="n"/>
      <c r="V2537" s="113" t="n"/>
      <c r="W2537" s="113" t="n"/>
      <c r="X2537" s="113" t="n"/>
      <c r="Y2537" s="113" t="n"/>
      <c r="Z2537" s="117">
        <f>IF($B2537="",0,IF($S2537="EVET",IF($D2537="GELİR",$O2537,-$O2537),0))</f>
        <v/>
      </c>
      <c r="AA2537" s="117">
        <f>IF($B2537="",0,IF(OR($W2537="EVET",$X2537="EVET",$Y2537="EVET"),0,IF($D2537="GELİR",IF($E2537="SATIŞ İADESİ/İSKONTO",-$O2537,$O2537),-$O2537)))</f>
        <v/>
      </c>
      <c r="AB2537" s="117">
        <f>IF($B2537="","",IF(OR($D2537="",$E2537="",$O2537=""),"EKSİK",IF($O2537&lt;=0,"SIFIR/NEGATİF",IF(COUNTIFS($C$6:$C$5000,$C2537,$O$6:$O$5000,$O2537,$B$6:$B$5000,$B2537)&gt;1,"MÜKERRER","OK"))))</f>
        <v/>
      </c>
    </row>
    <row r="2538" ht="16.5" customHeight="1" s="80">
      <c r="A2538" s="113" t="n"/>
      <c r="B2538" s="113" t="n"/>
      <c r="C2538" s="113" t="n"/>
      <c r="D2538" s="113" t="n"/>
      <c r="E2538" s="113" t="n"/>
      <c r="F2538" s="113" t="n"/>
      <c r="G2538" s="113" t="n"/>
      <c r="H2538" s="113" t="n"/>
      <c r="I2538" s="113" t="n"/>
      <c r="J2538" s="113" t="n"/>
      <c r="K2538" s="113" t="n"/>
      <c r="L2538" s="113" t="n"/>
      <c r="M2538" s="113" t="n"/>
      <c r="N2538" s="113" t="n"/>
      <c r="O2538" s="113" t="n"/>
      <c r="P2538" s="113" t="n"/>
      <c r="Q2538" s="113" t="n"/>
      <c r="R2538" s="113" t="n"/>
      <c r="S2538" s="113" t="n"/>
      <c r="T2538" s="113" t="n"/>
      <c r="U2538" s="113" t="n"/>
      <c r="V2538" s="113" t="n"/>
      <c r="W2538" s="113" t="n"/>
      <c r="X2538" s="113" t="n"/>
      <c r="Y2538" s="113" t="n"/>
      <c r="Z2538" s="117">
        <f>IF($B2538="",0,IF($S2538="EVET",IF($D2538="GELİR",$O2538,-$O2538),0))</f>
        <v/>
      </c>
      <c r="AA2538" s="117">
        <f>IF($B2538="",0,IF(OR($W2538="EVET",$X2538="EVET",$Y2538="EVET"),0,IF($D2538="GELİR",IF($E2538="SATIŞ İADESİ/İSKONTO",-$O2538,$O2538),-$O2538)))</f>
        <v/>
      </c>
      <c r="AB2538" s="117">
        <f>IF($B2538="","",IF(OR($D2538="",$E2538="",$O2538=""),"EKSİK",IF($O2538&lt;=0,"SIFIR/NEGATİF",IF(COUNTIFS($C$6:$C$5000,$C2538,$O$6:$O$5000,$O2538,$B$6:$B$5000,$B2538)&gt;1,"MÜKERRER","OK"))))</f>
        <v/>
      </c>
    </row>
    <row r="2539" ht="16.5" customHeight="1" s="80">
      <c r="A2539" s="113" t="n"/>
      <c r="B2539" s="113" t="n"/>
      <c r="C2539" s="113" t="n"/>
      <c r="D2539" s="113" t="n"/>
      <c r="E2539" s="113" t="n"/>
      <c r="F2539" s="113" t="n"/>
      <c r="G2539" s="113" t="n"/>
      <c r="H2539" s="113" t="n"/>
      <c r="I2539" s="113" t="n"/>
      <c r="J2539" s="113" t="n"/>
      <c r="K2539" s="113" t="n"/>
      <c r="L2539" s="113" t="n"/>
      <c r="M2539" s="113" t="n"/>
      <c r="N2539" s="113" t="n"/>
      <c r="O2539" s="113" t="n"/>
      <c r="P2539" s="113" t="n"/>
      <c r="Q2539" s="113" t="n"/>
      <c r="R2539" s="113" t="n"/>
      <c r="S2539" s="113" t="n"/>
      <c r="T2539" s="113" t="n"/>
      <c r="U2539" s="113" t="n"/>
      <c r="V2539" s="113" t="n"/>
      <c r="W2539" s="113" t="n"/>
      <c r="X2539" s="113" t="n"/>
      <c r="Y2539" s="113" t="n"/>
      <c r="Z2539" s="117">
        <f>IF($B2539="",0,IF($S2539="EVET",IF($D2539="GELİR",$O2539,-$O2539),0))</f>
        <v/>
      </c>
      <c r="AA2539" s="117">
        <f>IF($B2539="",0,IF(OR($W2539="EVET",$X2539="EVET",$Y2539="EVET"),0,IF($D2539="GELİR",IF($E2539="SATIŞ İADESİ/İSKONTO",-$O2539,$O2539),-$O2539)))</f>
        <v/>
      </c>
      <c r="AB2539" s="117">
        <f>IF($B2539="","",IF(OR($D2539="",$E2539="",$O2539=""),"EKSİK",IF($O2539&lt;=0,"SIFIR/NEGATİF",IF(COUNTIFS($C$6:$C$5000,$C2539,$O$6:$O$5000,$O2539,$B$6:$B$5000,$B2539)&gt;1,"MÜKERRER","OK"))))</f>
        <v/>
      </c>
    </row>
    <row r="2540" ht="16.5" customHeight="1" s="80">
      <c r="A2540" s="113" t="n"/>
      <c r="B2540" s="113" t="n"/>
      <c r="C2540" s="113" t="n"/>
      <c r="D2540" s="113" t="n"/>
      <c r="E2540" s="113" t="n"/>
      <c r="F2540" s="113" t="n"/>
      <c r="G2540" s="113" t="n"/>
      <c r="H2540" s="113" t="n"/>
      <c r="I2540" s="113" t="n"/>
      <c r="J2540" s="113" t="n"/>
      <c r="K2540" s="113" t="n"/>
      <c r="L2540" s="113" t="n"/>
      <c r="M2540" s="113" t="n"/>
      <c r="N2540" s="113" t="n"/>
      <c r="O2540" s="113" t="n"/>
      <c r="P2540" s="113" t="n"/>
      <c r="Q2540" s="113" t="n"/>
      <c r="R2540" s="113" t="n"/>
      <c r="S2540" s="113" t="n"/>
      <c r="T2540" s="113" t="n"/>
      <c r="U2540" s="113" t="n"/>
      <c r="V2540" s="113" t="n"/>
      <c r="W2540" s="113" t="n"/>
      <c r="X2540" s="113" t="n"/>
      <c r="Y2540" s="113" t="n"/>
      <c r="Z2540" s="117">
        <f>IF($B2540="",0,IF($S2540="EVET",IF($D2540="GELİR",$O2540,-$O2540),0))</f>
        <v/>
      </c>
      <c r="AA2540" s="117">
        <f>IF($B2540="",0,IF(OR($W2540="EVET",$X2540="EVET",$Y2540="EVET"),0,IF($D2540="GELİR",IF($E2540="SATIŞ İADESİ/İSKONTO",-$O2540,$O2540),-$O2540)))</f>
        <v/>
      </c>
      <c r="AB2540" s="117">
        <f>IF($B2540="","",IF(OR($D2540="",$E2540="",$O2540=""),"EKSİK",IF($O2540&lt;=0,"SIFIR/NEGATİF",IF(COUNTIFS($C$6:$C$5000,$C2540,$O$6:$O$5000,$O2540,$B$6:$B$5000,$B2540)&gt;1,"MÜKERRER","OK"))))</f>
        <v/>
      </c>
    </row>
    <row r="2541" ht="16.5" customHeight="1" s="80">
      <c r="A2541" s="113" t="n"/>
      <c r="B2541" s="113" t="n"/>
      <c r="C2541" s="113" t="n"/>
      <c r="D2541" s="113" t="n"/>
      <c r="E2541" s="113" t="n"/>
      <c r="F2541" s="113" t="n"/>
      <c r="G2541" s="113" t="n"/>
      <c r="H2541" s="113" t="n"/>
      <c r="I2541" s="113" t="n"/>
      <c r="J2541" s="113" t="n"/>
      <c r="K2541" s="113" t="n"/>
      <c r="L2541" s="113" t="n"/>
      <c r="M2541" s="113" t="n"/>
      <c r="N2541" s="113" t="n"/>
      <c r="O2541" s="113" t="n"/>
      <c r="P2541" s="113" t="n"/>
      <c r="Q2541" s="113" t="n"/>
      <c r="R2541" s="113" t="n"/>
      <c r="S2541" s="113" t="n"/>
      <c r="T2541" s="113" t="n"/>
      <c r="U2541" s="113" t="n"/>
      <c r="V2541" s="113" t="n"/>
      <c r="W2541" s="113" t="n"/>
      <c r="X2541" s="113" t="n"/>
      <c r="Y2541" s="113" t="n"/>
      <c r="Z2541" s="117">
        <f>IF($B2541="",0,IF($S2541="EVET",IF($D2541="GELİR",$O2541,-$O2541),0))</f>
        <v/>
      </c>
      <c r="AA2541" s="117">
        <f>IF($B2541="",0,IF(OR($W2541="EVET",$X2541="EVET",$Y2541="EVET"),0,IF($D2541="GELİR",IF($E2541="SATIŞ İADESİ/İSKONTO",-$O2541,$O2541),-$O2541)))</f>
        <v/>
      </c>
      <c r="AB2541" s="117">
        <f>IF($B2541="","",IF(OR($D2541="",$E2541="",$O2541=""),"EKSİK",IF($O2541&lt;=0,"SIFIR/NEGATİF",IF(COUNTIFS($C$6:$C$5000,$C2541,$O$6:$O$5000,$O2541,$B$6:$B$5000,$B2541)&gt;1,"MÜKERRER","OK"))))</f>
        <v/>
      </c>
    </row>
    <row r="2542" ht="16.5" customHeight="1" s="80">
      <c r="A2542" s="113" t="n"/>
      <c r="B2542" s="113" t="n"/>
      <c r="C2542" s="113" t="n"/>
      <c r="D2542" s="113" t="n"/>
      <c r="E2542" s="113" t="n"/>
      <c r="F2542" s="113" t="n"/>
      <c r="G2542" s="113" t="n"/>
      <c r="H2542" s="113" t="n"/>
      <c r="I2542" s="113" t="n"/>
      <c r="J2542" s="113" t="n"/>
      <c r="K2542" s="113" t="n"/>
      <c r="L2542" s="113" t="n"/>
      <c r="M2542" s="113" t="n"/>
      <c r="N2542" s="113" t="n"/>
      <c r="O2542" s="113" t="n"/>
      <c r="P2542" s="113" t="n"/>
      <c r="Q2542" s="113" t="n"/>
      <c r="R2542" s="113" t="n"/>
      <c r="S2542" s="113" t="n"/>
      <c r="T2542" s="113" t="n"/>
      <c r="U2542" s="113" t="n"/>
      <c r="V2542" s="113" t="n"/>
      <c r="W2542" s="113" t="n"/>
      <c r="X2542" s="113" t="n"/>
      <c r="Y2542" s="113" t="n"/>
      <c r="Z2542" s="117">
        <f>IF($B2542="",0,IF($S2542="EVET",IF($D2542="GELİR",$O2542,-$O2542),0))</f>
        <v/>
      </c>
      <c r="AA2542" s="117">
        <f>IF($B2542="",0,IF(OR($W2542="EVET",$X2542="EVET",$Y2542="EVET"),0,IF($D2542="GELİR",IF($E2542="SATIŞ İADESİ/İSKONTO",-$O2542,$O2542),-$O2542)))</f>
        <v/>
      </c>
      <c r="AB2542" s="117">
        <f>IF($B2542="","",IF(OR($D2542="",$E2542="",$O2542=""),"EKSİK",IF($O2542&lt;=0,"SIFIR/NEGATİF",IF(COUNTIFS($C$6:$C$5000,$C2542,$O$6:$O$5000,$O2542,$B$6:$B$5000,$B2542)&gt;1,"MÜKERRER","OK"))))</f>
        <v/>
      </c>
    </row>
    <row r="2543" ht="16.5" customHeight="1" s="80">
      <c r="A2543" s="113" t="n"/>
      <c r="B2543" s="113" t="n"/>
      <c r="C2543" s="113" t="n"/>
      <c r="D2543" s="113" t="n"/>
      <c r="E2543" s="113" t="n"/>
      <c r="F2543" s="113" t="n"/>
      <c r="G2543" s="113" t="n"/>
      <c r="H2543" s="113" t="n"/>
      <c r="I2543" s="113" t="n"/>
      <c r="J2543" s="113" t="n"/>
      <c r="K2543" s="113" t="n"/>
      <c r="L2543" s="113" t="n"/>
      <c r="M2543" s="113" t="n"/>
      <c r="N2543" s="113" t="n"/>
      <c r="O2543" s="113" t="n"/>
      <c r="P2543" s="113" t="n"/>
      <c r="Q2543" s="113" t="n"/>
      <c r="R2543" s="113" t="n"/>
      <c r="S2543" s="113" t="n"/>
      <c r="T2543" s="113" t="n"/>
      <c r="U2543" s="113" t="n"/>
      <c r="V2543" s="113" t="n"/>
      <c r="W2543" s="113" t="n"/>
      <c r="X2543" s="113" t="n"/>
      <c r="Y2543" s="113" t="n"/>
      <c r="Z2543" s="117">
        <f>IF($B2543="",0,IF($S2543="EVET",IF($D2543="GELİR",$O2543,-$O2543),0))</f>
        <v/>
      </c>
      <c r="AA2543" s="117">
        <f>IF($B2543="",0,IF(OR($W2543="EVET",$X2543="EVET",$Y2543="EVET"),0,IF($D2543="GELİR",IF($E2543="SATIŞ İADESİ/İSKONTO",-$O2543,$O2543),-$O2543)))</f>
        <v/>
      </c>
      <c r="AB2543" s="117">
        <f>IF($B2543="","",IF(OR($D2543="",$E2543="",$O2543=""),"EKSİK",IF($O2543&lt;=0,"SIFIR/NEGATİF",IF(COUNTIFS($C$6:$C$5000,$C2543,$O$6:$O$5000,$O2543,$B$6:$B$5000,$B2543)&gt;1,"MÜKERRER","OK"))))</f>
        <v/>
      </c>
    </row>
    <row r="2544" ht="16.5" customHeight="1" s="80">
      <c r="A2544" s="113" t="n"/>
      <c r="B2544" s="113" t="n"/>
      <c r="C2544" s="113" t="n"/>
      <c r="D2544" s="113" t="n"/>
      <c r="E2544" s="113" t="n"/>
      <c r="F2544" s="113" t="n"/>
      <c r="G2544" s="113" t="n"/>
      <c r="H2544" s="113" t="n"/>
      <c r="I2544" s="113" t="n"/>
      <c r="J2544" s="113" t="n"/>
      <c r="K2544" s="113" t="n"/>
      <c r="L2544" s="113" t="n"/>
      <c r="M2544" s="113" t="n"/>
      <c r="N2544" s="113" t="n"/>
      <c r="O2544" s="113" t="n"/>
      <c r="P2544" s="113" t="n"/>
      <c r="Q2544" s="113" t="n"/>
      <c r="R2544" s="113" t="n"/>
      <c r="S2544" s="113" t="n"/>
      <c r="T2544" s="113" t="n"/>
      <c r="U2544" s="113" t="n"/>
      <c r="V2544" s="113" t="n"/>
      <c r="W2544" s="113" t="n"/>
      <c r="X2544" s="113" t="n"/>
      <c r="Y2544" s="113" t="n"/>
      <c r="Z2544" s="117">
        <f>IF($B2544="",0,IF($S2544="EVET",IF($D2544="GELİR",$O2544,-$O2544),0))</f>
        <v/>
      </c>
      <c r="AA2544" s="117">
        <f>IF($B2544="",0,IF(OR($W2544="EVET",$X2544="EVET",$Y2544="EVET"),0,IF($D2544="GELİR",IF($E2544="SATIŞ İADESİ/İSKONTO",-$O2544,$O2544),-$O2544)))</f>
        <v/>
      </c>
      <c r="AB2544" s="117">
        <f>IF($B2544="","",IF(OR($D2544="",$E2544="",$O2544=""),"EKSİK",IF($O2544&lt;=0,"SIFIR/NEGATİF",IF(COUNTIFS($C$6:$C$5000,$C2544,$O$6:$O$5000,$O2544,$B$6:$B$5000,$B2544)&gt;1,"MÜKERRER","OK"))))</f>
        <v/>
      </c>
    </row>
    <row r="2545" ht="16.5" customHeight="1" s="80">
      <c r="A2545" s="113" t="n"/>
      <c r="B2545" s="113" t="n"/>
      <c r="C2545" s="113" t="n"/>
      <c r="D2545" s="113" t="n"/>
      <c r="E2545" s="113" t="n"/>
      <c r="F2545" s="113" t="n"/>
      <c r="G2545" s="113" t="n"/>
      <c r="H2545" s="113" t="n"/>
      <c r="I2545" s="113" t="n"/>
      <c r="J2545" s="113" t="n"/>
      <c r="K2545" s="113" t="n"/>
      <c r="L2545" s="113" t="n"/>
      <c r="M2545" s="113" t="n"/>
      <c r="N2545" s="113" t="n"/>
      <c r="O2545" s="113" t="n"/>
      <c r="P2545" s="113" t="n"/>
      <c r="Q2545" s="113" t="n"/>
      <c r="R2545" s="113" t="n"/>
      <c r="S2545" s="113" t="n"/>
      <c r="T2545" s="113" t="n"/>
      <c r="U2545" s="113" t="n"/>
      <c r="V2545" s="113" t="n"/>
      <c r="W2545" s="113" t="n"/>
      <c r="X2545" s="113" t="n"/>
      <c r="Y2545" s="113" t="n"/>
      <c r="Z2545" s="117">
        <f>IF($B2545="",0,IF($S2545="EVET",IF($D2545="GELİR",$O2545,-$O2545),0))</f>
        <v/>
      </c>
      <c r="AA2545" s="117">
        <f>IF($B2545="",0,IF(OR($W2545="EVET",$X2545="EVET",$Y2545="EVET"),0,IF($D2545="GELİR",IF($E2545="SATIŞ İADESİ/İSKONTO",-$O2545,$O2545),-$O2545)))</f>
        <v/>
      </c>
      <c r="AB2545" s="117">
        <f>IF($B2545="","",IF(OR($D2545="",$E2545="",$O2545=""),"EKSİK",IF($O2545&lt;=0,"SIFIR/NEGATİF",IF(COUNTIFS($C$6:$C$5000,$C2545,$O$6:$O$5000,$O2545,$B$6:$B$5000,$B2545)&gt;1,"MÜKERRER","OK"))))</f>
        <v/>
      </c>
    </row>
    <row r="2546" ht="16.5" customHeight="1" s="80">
      <c r="A2546" s="113" t="n"/>
      <c r="B2546" s="113" t="n"/>
      <c r="C2546" s="113" t="n"/>
      <c r="D2546" s="113" t="n"/>
      <c r="E2546" s="113" t="n"/>
      <c r="F2546" s="113" t="n"/>
      <c r="G2546" s="113" t="n"/>
      <c r="H2546" s="113" t="n"/>
      <c r="I2546" s="113" t="n"/>
      <c r="J2546" s="113" t="n"/>
      <c r="K2546" s="113" t="n"/>
      <c r="L2546" s="113" t="n"/>
      <c r="M2546" s="113" t="n"/>
      <c r="N2546" s="113" t="n"/>
      <c r="O2546" s="113" t="n"/>
      <c r="P2546" s="113" t="n"/>
      <c r="Q2546" s="113" t="n"/>
      <c r="R2546" s="113" t="n"/>
      <c r="S2546" s="113" t="n"/>
      <c r="T2546" s="113" t="n"/>
      <c r="U2546" s="113" t="n"/>
      <c r="V2546" s="113" t="n"/>
      <c r="W2546" s="113" t="n"/>
      <c r="X2546" s="113" t="n"/>
      <c r="Y2546" s="113" t="n"/>
      <c r="Z2546" s="117">
        <f>IF($B2546="",0,IF($S2546="EVET",IF($D2546="GELİR",$O2546,-$O2546),0))</f>
        <v/>
      </c>
      <c r="AA2546" s="117">
        <f>IF($B2546="",0,IF(OR($W2546="EVET",$X2546="EVET",$Y2546="EVET"),0,IF($D2546="GELİR",IF($E2546="SATIŞ İADESİ/İSKONTO",-$O2546,$O2546),-$O2546)))</f>
        <v/>
      </c>
      <c r="AB2546" s="117">
        <f>IF($B2546="","",IF(OR($D2546="",$E2546="",$O2546=""),"EKSİK",IF($O2546&lt;=0,"SIFIR/NEGATİF",IF(COUNTIFS($C$6:$C$5000,$C2546,$O$6:$O$5000,$O2546,$B$6:$B$5000,$B2546)&gt;1,"MÜKERRER","OK"))))</f>
        <v/>
      </c>
    </row>
    <row r="2547" ht="16.5" customHeight="1" s="80">
      <c r="A2547" s="113" t="n"/>
      <c r="B2547" s="113" t="n"/>
      <c r="C2547" s="113" t="n"/>
      <c r="D2547" s="113" t="n"/>
      <c r="E2547" s="113" t="n"/>
      <c r="F2547" s="113" t="n"/>
      <c r="G2547" s="113" t="n"/>
      <c r="H2547" s="113" t="n"/>
      <c r="I2547" s="113" t="n"/>
      <c r="J2547" s="113" t="n"/>
      <c r="K2547" s="113" t="n"/>
      <c r="L2547" s="113" t="n"/>
      <c r="M2547" s="113" t="n"/>
      <c r="N2547" s="113" t="n"/>
      <c r="O2547" s="113" t="n"/>
      <c r="P2547" s="113" t="n"/>
      <c r="Q2547" s="113" t="n"/>
      <c r="R2547" s="113" t="n"/>
      <c r="S2547" s="113" t="n"/>
      <c r="T2547" s="113" t="n"/>
      <c r="U2547" s="113" t="n"/>
      <c r="V2547" s="113" t="n"/>
      <c r="W2547" s="113" t="n"/>
      <c r="X2547" s="113" t="n"/>
      <c r="Y2547" s="113" t="n"/>
      <c r="Z2547" s="117">
        <f>IF($B2547="",0,IF($S2547="EVET",IF($D2547="GELİR",$O2547,-$O2547),0))</f>
        <v/>
      </c>
      <c r="AA2547" s="117">
        <f>IF($B2547="",0,IF(OR($W2547="EVET",$X2547="EVET",$Y2547="EVET"),0,IF($D2547="GELİR",IF($E2547="SATIŞ İADESİ/İSKONTO",-$O2547,$O2547),-$O2547)))</f>
        <v/>
      </c>
      <c r="AB2547" s="117">
        <f>IF($B2547="","",IF(OR($D2547="",$E2547="",$O2547=""),"EKSİK",IF($O2547&lt;=0,"SIFIR/NEGATİF",IF(COUNTIFS($C$6:$C$5000,$C2547,$O$6:$O$5000,$O2547,$B$6:$B$5000,$B2547)&gt;1,"MÜKERRER","OK"))))</f>
        <v/>
      </c>
    </row>
    <row r="2548" ht="16.5" customHeight="1" s="80">
      <c r="A2548" s="113" t="n"/>
      <c r="B2548" s="113" t="n"/>
      <c r="C2548" s="113" t="n"/>
      <c r="D2548" s="113" t="n"/>
      <c r="E2548" s="113" t="n"/>
      <c r="F2548" s="113" t="n"/>
      <c r="G2548" s="113" t="n"/>
      <c r="H2548" s="113" t="n"/>
      <c r="I2548" s="113" t="n"/>
      <c r="J2548" s="113" t="n"/>
      <c r="K2548" s="113" t="n"/>
      <c r="L2548" s="113" t="n"/>
      <c r="M2548" s="113" t="n"/>
      <c r="N2548" s="113" t="n"/>
      <c r="O2548" s="113" t="n"/>
      <c r="P2548" s="113" t="n"/>
      <c r="Q2548" s="113" t="n"/>
      <c r="R2548" s="113" t="n"/>
      <c r="S2548" s="113" t="n"/>
      <c r="T2548" s="113" t="n"/>
      <c r="U2548" s="113" t="n"/>
      <c r="V2548" s="113" t="n"/>
      <c r="W2548" s="113" t="n"/>
      <c r="X2548" s="113" t="n"/>
      <c r="Y2548" s="113" t="n"/>
      <c r="Z2548" s="117">
        <f>IF($B2548="",0,IF($S2548="EVET",IF($D2548="GELİR",$O2548,-$O2548),0))</f>
        <v/>
      </c>
      <c r="AA2548" s="117">
        <f>IF($B2548="",0,IF(OR($W2548="EVET",$X2548="EVET",$Y2548="EVET"),0,IF($D2548="GELİR",IF($E2548="SATIŞ İADESİ/İSKONTO",-$O2548,$O2548),-$O2548)))</f>
        <v/>
      </c>
      <c r="AB2548" s="117">
        <f>IF($B2548="","",IF(OR($D2548="",$E2548="",$O2548=""),"EKSİK",IF($O2548&lt;=0,"SIFIR/NEGATİF",IF(COUNTIFS($C$6:$C$5000,$C2548,$O$6:$O$5000,$O2548,$B$6:$B$5000,$B2548)&gt;1,"MÜKERRER","OK"))))</f>
        <v/>
      </c>
    </row>
    <row r="2549" ht="16.5" customHeight="1" s="80">
      <c r="A2549" s="113" t="n"/>
      <c r="B2549" s="113" t="n"/>
      <c r="C2549" s="113" t="n"/>
      <c r="D2549" s="113" t="n"/>
      <c r="E2549" s="113" t="n"/>
      <c r="F2549" s="113" t="n"/>
      <c r="G2549" s="113" t="n"/>
      <c r="H2549" s="113" t="n"/>
      <c r="I2549" s="113" t="n"/>
      <c r="J2549" s="113" t="n"/>
      <c r="K2549" s="113" t="n"/>
      <c r="L2549" s="113" t="n"/>
      <c r="M2549" s="113" t="n"/>
      <c r="N2549" s="113" t="n"/>
      <c r="O2549" s="113" t="n"/>
      <c r="P2549" s="113" t="n"/>
      <c r="Q2549" s="113" t="n"/>
      <c r="R2549" s="113" t="n"/>
      <c r="S2549" s="113" t="n"/>
      <c r="T2549" s="113" t="n"/>
      <c r="U2549" s="113" t="n"/>
      <c r="V2549" s="113" t="n"/>
      <c r="W2549" s="113" t="n"/>
      <c r="X2549" s="113" t="n"/>
      <c r="Y2549" s="113" t="n"/>
      <c r="Z2549" s="117">
        <f>IF($B2549="",0,IF($S2549="EVET",IF($D2549="GELİR",$O2549,-$O2549),0))</f>
        <v/>
      </c>
      <c r="AA2549" s="117">
        <f>IF($B2549="",0,IF(OR($W2549="EVET",$X2549="EVET",$Y2549="EVET"),0,IF($D2549="GELİR",IF($E2549="SATIŞ İADESİ/İSKONTO",-$O2549,$O2549),-$O2549)))</f>
        <v/>
      </c>
      <c r="AB2549" s="117">
        <f>IF($B2549="","",IF(OR($D2549="",$E2549="",$O2549=""),"EKSİK",IF($O2549&lt;=0,"SIFIR/NEGATİF",IF(COUNTIFS($C$6:$C$5000,$C2549,$O$6:$O$5000,$O2549,$B$6:$B$5000,$B2549)&gt;1,"MÜKERRER","OK"))))</f>
        <v/>
      </c>
    </row>
    <row r="2550" ht="16.5" customHeight="1" s="80">
      <c r="A2550" s="113" t="n"/>
      <c r="B2550" s="113" t="n"/>
      <c r="C2550" s="113" t="n"/>
      <c r="D2550" s="113" t="n"/>
      <c r="E2550" s="113" t="n"/>
      <c r="F2550" s="113" t="n"/>
      <c r="G2550" s="113" t="n"/>
      <c r="H2550" s="113" t="n"/>
      <c r="I2550" s="113" t="n"/>
      <c r="J2550" s="113" t="n"/>
      <c r="K2550" s="113" t="n"/>
      <c r="L2550" s="113" t="n"/>
      <c r="M2550" s="113" t="n"/>
      <c r="N2550" s="113" t="n"/>
      <c r="O2550" s="113" t="n"/>
      <c r="P2550" s="113" t="n"/>
      <c r="Q2550" s="113" t="n"/>
      <c r="R2550" s="113" t="n"/>
      <c r="S2550" s="113" t="n"/>
      <c r="T2550" s="113" t="n"/>
      <c r="U2550" s="113" t="n"/>
      <c r="V2550" s="113" t="n"/>
      <c r="W2550" s="113" t="n"/>
      <c r="X2550" s="113" t="n"/>
      <c r="Y2550" s="113" t="n"/>
      <c r="Z2550" s="117">
        <f>IF($B2550="",0,IF($S2550="EVET",IF($D2550="GELİR",$O2550,-$O2550),0))</f>
        <v/>
      </c>
      <c r="AA2550" s="117">
        <f>IF($B2550="",0,IF(OR($W2550="EVET",$X2550="EVET",$Y2550="EVET"),0,IF($D2550="GELİR",IF($E2550="SATIŞ İADESİ/İSKONTO",-$O2550,$O2550),-$O2550)))</f>
        <v/>
      </c>
      <c r="AB2550" s="117">
        <f>IF($B2550="","",IF(OR($D2550="",$E2550="",$O2550=""),"EKSİK",IF($O2550&lt;=0,"SIFIR/NEGATİF",IF(COUNTIFS($C$6:$C$5000,$C2550,$O$6:$O$5000,$O2550,$B$6:$B$5000,$B2550)&gt;1,"MÜKERRER","OK"))))</f>
        <v/>
      </c>
    </row>
    <row r="2551" ht="16.5" customHeight="1" s="80">
      <c r="A2551" s="113" t="n"/>
      <c r="B2551" s="113" t="n"/>
      <c r="C2551" s="113" t="n"/>
      <c r="D2551" s="113" t="n"/>
      <c r="E2551" s="113" t="n"/>
      <c r="F2551" s="113" t="n"/>
      <c r="G2551" s="113" t="n"/>
      <c r="H2551" s="113" t="n"/>
      <c r="I2551" s="113" t="n"/>
      <c r="J2551" s="113" t="n"/>
      <c r="K2551" s="113" t="n"/>
      <c r="L2551" s="113" t="n"/>
      <c r="M2551" s="113" t="n"/>
      <c r="N2551" s="113" t="n"/>
      <c r="O2551" s="113" t="n"/>
      <c r="P2551" s="113" t="n"/>
      <c r="Q2551" s="113" t="n"/>
      <c r="R2551" s="113" t="n"/>
      <c r="S2551" s="113" t="n"/>
      <c r="T2551" s="113" t="n"/>
      <c r="U2551" s="113" t="n"/>
      <c r="V2551" s="113" t="n"/>
      <c r="W2551" s="113" t="n"/>
      <c r="X2551" s="113" t="n"/>
      <c r="Y2551" s="113" t="n"/>
      <c r="Z2551" s="117">
        <f>IF($B2551="",0,IF($S2551="EVET",IF($D2551="GELİR",$O2551,-$O2551),0))</f>
        <v/>
      </c>
      <c r="AA2551" s="117">
        <f>IF($B2551="",0,IF(OR($W2551="EVET",$X2551="EVET",$Y2551="EVET"),0,IF($D2551="GELİR",IF($E2551="SATIŞ İADESİ/İSKONTO",-$O2551,$O2551),-$O2551)))</f>
        <v/>
      </c>
      <c r="AB2551" s="117">
        <f>IF($B2551="","",IF(OR($D2551="",$E2551="",$O2551=""),"EKSİK",IF($O2551&lt;=0,"SIFIR/NEGATİF",IF(COUNTIFS($C$6:$C$5000,$C2551,$O$6:$O$5000,$O2551,$B$6:$B$5000,$B2551)&gt;1,"MÜKERRER","OK"))))</f>
        <v/>
      </c>
    </row>
    <row r="2552" ht="16.5" customHeight="1" s="80">
      <c r="A2552" s="113" t="n"/>
      <c r="B2552" s="113" t="n"/>
      <c r="C2552" s="113" t="n"/>
      <c r="D2552" s="113" t="n"/>
      <c r="E2552" s="113" t="n"/>
      <c r="F2552" s="113" t="n"/>
      <c r="G2552" s="113" t="n"/>
      <c r="H2552" s="113" t="n"/>
      <c r="I2552" s="113" t="n"/>
      <c r="J2552" s="113" t="n"/>
      <c r="K2552" s="113" t="n"/>
      <c r="L2552" s="113" t="n"/>
      <c r="M2552" s="113" t="n"/>
      <c r="N2552" s="113" t="n"/>
      <c r="O2552" s="113" t="n"/>
      <c r="P2552" s="113" t="n"/>
      <c r="Q2552" s="113" t="n"/>
      <c r="R2552" s="113" t="n"/>
      <c r="S2552" s="113" t="n"/>
      <c r="T2552" s="113" t="n"/>
      <c r="U2552" s="113" t="n"/>
      <c r="V2552" s="113" t="n"/>
      <c r="W2552" s="113" t="n"/>
      <c r="X2552" s="113" t="n"/>
      <c r="Y2552" s="113" t="n"/>
      <c r="Z2552" s="117">
        <f>IF($B2552="",0,IF($S2552="EVET",IF($D2552="GELİR",$O2552,-$O2552),0))</f>
        <v/>
      </c>
      <c r="AA2552" s="117">
        <f>IF($B2552="",0,IF(OR($W2552="EVET",$X2552="EVET",$Y2552="EVET"),0,IF($D2552="GELİR",IF($E2552="SATIŞ İADESİ/İSKONTO",-$O2552,$O2552),-$O2552)))</f>
        <v/>
      </c>
      <c r="AB2552" s="117">
        <f>IF($B2552="","",IF(OR($D2552="",$E2552="",$O2552=""),"EKSİK",IF($O2552&lt;=0,"SIFIR/NEGATİF",IF(COUNTIFS($C$6:$C$5000,$C2552,$O$6:$O$5000,$O2552,$B$6:$B$5000,$B2552)&gt;1,"MÜKERRER","OK"))))</f>
        <v/>
      </c>
    </row>
    <row r="2553" ht="16.5" customHeight="1" s="80">
      <c r="A2553" s="113" t="n"/>
      <c r="B2553" s="113" t="n"/>
      <c r="C2553" s="113" t="n"/>
      <c r="D2553" s="113" t="n"/>
      <c r="E2553" s="113" t="n"/>
      <c r="F2553" s="113" t="n"/>
      <c r="G2553" s="113" t="n"/>
      <c r="H2553" s="113" t="n"/>
      <c r="I2553" s="113" t="n"/>
      <c r="J2553" s="113" t="n"/>
      <c r="K2553" s="113" t="n"/>
      <c r="L2553" s="113" t="n"/>
      <c r="M2553" s="113" t="n"/>
      <c r="N2553" s="113" t="n"/>
      <c r="O2553" s="113" t="n"/>
      <c r="P2553" s="113" t="n"/>
      <c r="Q2553" s="113" t="n"/>
      <c r="R2553" s="113" t="n"/>
      <c r="S2553" s="113" t="n"/>
      <c r="T2553" s="113" t="n"/>
      <c r="U2553" s="113" t="n"/>
      <c r="V2553" s="113" t="n"/>
      <c r="W2553" s="113" t="n"/>
      <c r="X2553" s="113" t="n"/>
      <c r="Y2553" s="113" t="n"/>
      <c r="Z2553" s="117">
        <f>IF($B2553="",0,IF($S2553="EVET",IF($D2553="GELİR",$O2553,-$O2553),0))</f>
        <v/>
      </c>
      <c r="AA2553" s="117">
        <f>IF($B2553="",0,IF(OR($W2553="EVET",$X2553="EVET",$Y2553="EVET"),0,IF($D2553="GELİR",IF($E2553="SATIŞ İADESİ/İSKONTO",-$O2553,$O2553),-$O2553)))</f>
        <v/>
      </c>
      <c r="AB2553" s="117">
        <f>IF($B2553="","",IF(OR($D2553="",$E2553="",$O2553=""),"EKSİK",IF($O2553&lt;=0,"SIFIR/NEGATİF",IF(COUNTIFS($C$6:$C$5000,$C2553,$O$6:$O$5000,$O2553,$B$6:$B$5000,$B2553)&gt;1,"MÜKERRER","OK"))))</f>
        <v/>
      </c>
    </row>
    <row r="2554" ht="16.5" customHeight="1" s="80">
      <c r="A2554" s="113" t="n"/>
      <c r="B2554" s="113" t="n"/>
      <c r="C2554" s="113" t="n"/>
      <c r="D2554" s="113" t="n"/>
      <c r="E2554" s="113" t="n"/>
      <c r="F2554" s="113" t="n"/>
      <c r="G2554" s="113" t="n"/>
      <c r="H2554" s="113" t="n"/>
      <c r="I2554" s="113" t="n"/>
      <c r="J2554" s="113" t="n"/>
      <c r="K2554" s="113" t="n"/>
      <c r="L2554" s="113" t="n"/>
      <c r="M2554" s="113" t="n"/>
      <c r="N2554" s="113" t="n"/>
      <c r="O2554" s="113" t="n"/>
      <c r="P2554" s="113" t="n"/>
      <c r="Q2554" s="113" t="n"/>
      <c r="R2554" s="113" t="n"/>
      <c r="S2554" s="113" t="n"/>
      <c r="T2554" s="113" t="n"/>
      <c r="U2554" s="113" t="n"/>
      <c r="V2554" s="113" t="n"/>
      <c r="W2554" s="113" t="n"/>
      <c r="X2554" s="113" t="n"/>
      <c r="Y2554" s="113" t="n"/>
      <c r="Z2554" s="117">
        <f>IF($B2554="",0,IF($S2554="EVET",IF($D2554="GELİR",$O2554,-$O2554),0))</f>
        <v/>
      </c>
      <c r="AA2554" s="117">
        <f>IF($B2554="",0,IF(OR($W2554="EVET",$X2554="EVET",$Y2554="EVET"),0,IF($D2554="GELİR",IF($E2554="SATIŞ İADESİ/İSKONTO",-$O2554,$O2554),-$O2554)))</f>
        <v/>
      </c>
      <c r="AB2554" s="117">
        <f>IF($B2554="","",IF(OR($D2554="",$E2554="",$O2554=""),"EKSİK",IF($O2554&lt;=0,"SIFIR/NEGATİF",IF(COUNTIFS($C$6:$C$5000,$C2554,$O$6:$O$5000,$O2554,$B$6:$B$5000,$B2554)&gt;1,"MÜKERRER","OK"))))</f>
        <v/>
      </c>
    </row>
    <row r="2555" ht="16.5" customHeight="1" s="80">
      <c r="A2555" s="113" t="n"/>
      <c r="B2555" s="113" t="n"/>
      <c r="C2555" s="113" t="n"/>
      <c r="D2555" s="113" t="n"/>
      <c r="E2555" s="113" t="n"/>
      <c r="F2555" s="113" t="n"/>
      <c r="G2555" s="113" t="n"/>
      <c r="H2555" s="113" t="n"/>
      <c r="I2555" s="113" t="n"/>
      <c r="J2555" s="113" t="n"/>
      <c r="K2555" s="113" t="n"/>
      <c r="L2555" s="113" t="n"/>
      <c r="M2555" s="113" t="n"/>
      <c r="N2555" s="113" t="n"/>
      <c r="O2555" s="113" t="n"/>
      <c r="P2555" s="113" t="n"/>
      <c r="Q2555" s="113" t="n"/>
      <c r="R2555" s="113" t="n"/>
      <c r="S2555" s="113" t="n"/>
      <c r="T2555" s="113" t="n"/>
      <c r="U2555" s="113" t="n"/>
      <c r="V2555" s="113" t="n"/>
      <c r="W2555" s="113" t="n"/>
      <c r="X2555" s="113" t="n"/>
      <c r="Y2555" s="113" t="n"/>
      <c r="Z2555" s="117">
        <f>IF($B2555="",0,IF($S2555="EVET",IF($D2555="GELİR",$O2555,-$O2555),0))</f>
        <v/>
      </c>
      <c r="AA2555" s="117">
        <f>IF($B2555="",0,IF(OR($W2555="EVET",$X2555="EVET",$Y2555="EVET"),0,IF($D2555="GELİR",IF($E2555="SATIŞ İADESİ/İSKONTO",-$O2555,$O2555),-$O2555)))</f>
        <v/>
      </c>
      <c r="AB2555" s="117">
        <f>IF($B2555="","",IF(OR($D2555="",$E2555="",$O2555=""),"EKSİK",IF($O2555&lt;=0,"SIFIR/NEGATİF",IF(COUNTIFS($C$6:$C$5000,$C2555,$O$6:$O$5000,$O2555,$B$6:$B$5000,$B2555)&gt;1,"MÜKERRER","OK"))))</f>
        <v/>
      </c>
    </row>
    <row r="2556" ht="16.5" customHeight="1" s="80">
      <c r="A2556" s="113" t="n"/>
      <c r="B2556" s="113" t="n"/>
      <c r="C2556" s="113" t="n"/>
      <c r="D2556" s="113" t="n"/>
      <c r="E2556" s="113" t="n"/>
      <c r="F2556" s="113" t="n"/>
      <c r="G2556" s="113" t="n"/>
      <c r="H2556" s="113" t="n"/>
      <c r="I2556" s="113" t="n"/>
      <c r="J2556" s="113" t="n"/>
      <c r="K2556" s="113" t="n"/>
      <c r="L2556" s="113" t="n"/>
      <c r="M2556" s="113" t="n"/>
      <c r="N2556" s="113" t="n"/>
      <c r="O2556" s="113" t="n"/>
      <c r="P2556" s="113" t="n"/>
      <c r="Q2556" s="113" t="n"/>
      <c r="R2556" s="113" t="n"/>
      <c r="S2556" s="113" t="n"/>
      <c r="T2556" s="113" t="n"/>
      <c r="U2556" s="113" t="n"/>
      <c r="V2556" s="113" t="n"/>
      <c r="W2556" s="113" t="n"/>
      <c r="X2556" s="113" t="n"/>
      <c r="Y2556" s="113" t="n"/>
      <c r="Z2556" s="117">
        <f>IF($B2556="",0,IF($S2556="EVET",IF($D2556="GELİR",$O2556,-$O2556),0))</f>
        <v/>
      </c>
      <c r="AA2556" s="117">
        <f>IF($B2556="",0,IF(OR($W2556="EVET",$X2556="EVET",$Y2556="EVET"),0,IF($D2556="GELİR",IF($E2556="SATIŞ İADESİ/İSKONTO",-$O2556,$O2556),-$O2556)))</f>
        <v/>
      </c>
      <c r="AB2556" s="117">
        <f>IF($B2556="","",IF(OR($D2556="",$E2556="",$O2556=""),"EKSİK",IF($O2556&lt;=0,"SIFIR/NEGATİF",IF(COUNTIFS($C$6:$C$5000,$C2556,$O$6:$O$5000,$O2556,$B$6:$B$5000,$B2556)&gt;1,"MÜKERRER","OK"))))</f>
        <v/>
      </c>
    </row>
    <row r="2557" ht="16.5" customHeight="1" s="80">
      <c r="A2557" s="113" t="n"/>
      <c r="B2557" s="113" t="n"/>
      <c r="C2557" s="113" t="n"/>
      <c r="D2557" s="113" t="n"/>
      <c r="E2557" s="113" t="n"/>
      <c r="F2557" s="113" t="n"/>
      <c r="G2557" s="113" t="n"/>
      <c r="H2557" s="113" t="n"/>
      <c r="I2557" s="113" t="n"/>
      <c r="J2557" s="113" t="n"/>
      <c r="K2557" s="113" t="n"/>
      <c r="L2557" s="113" t="n"/>
      <c r="M2557" s="113" t="n"/>
      <c r="N2557" s="113" t="n"/>
      <c r="O2557" s="113" t="n"/>
      <c r="P2557" s="113" t="n"/>
      <c r="Q2557" s="113" t="n"/>
      <c r="R2557" s="113" t="n"/>
      <c r="S2557" s="113" t="n"/>
      <c r="T2557" s="113" t="n"/>
      <c r="U2557" s="113" t="n"/>
      <c r="V2557" s="113" t="n"/>
      <c r="W2557" s="113" t="n"/>
      <c r="X2557" s="113" t="n"/>
      <c r="Y2557" s="113" t="n"/>
      <c r="Z2557" s="117">
        <f>IF($B2557="",0,IF($S2557="EVET",IF($D2557="GELİR",$O2557,-$O2557),0))</f>
        <v/>
      </c>
      <c r="AA2557" s="117">
        <f>IF($B2557="",0,IF(OR($W2557="EVET",$X2557="EVET",$Y2557="EVET"),0,IF($D2557="GELİR",IF($E2557="SATIŞ İADESİ/İSKONTO",-$O2557,$O2557),-$O2557)))</f>
        <v/>
      </c>
      <c r="AB2557" s="117">
        <f>IF($B2557="","",IF(OR($D2557="",$E2557="",$O2557=""),"EKSİK",IF($O2557&lt;=0,"SIFIR/NEGATİF",IF(COUNTIFS($C$6:$C$5000,$C2557,$O$6:$O$5000,$O2557,$B$6:$B$5000,$B2557)&gt;1,"MÜKERRER","OK"))))</f>
        <v/>
      </c>
    </row>
    <row r="2558" ht="16.5" customHeight="1" s="80">
      <c r="A2558" s="113" t="n"/>
      <c r="B2558" s="113" t="n"/>
      <c r="C2558" s="113" t="n"/>
      <c r="D2558" s="113" t="n"/>
      <c r="E2558" s="113" t="n"/>
      <c r="F2558" s="113" t="n"/>
      <c r="G2558" s="113" t="n"/>
      <c r="H2558" s="113" t="n"/>
      <c r="I2558" s="113" t="n"/>
      <c r="J2558" s="113" t="n"/>
      <c r="K2558" s="113" t="n"/>
      <c r="L2558" s="113" t="n"/>
      <c r="M2558" s="113" t="n"/>
      <c r="N2558" s="113" t="n"/>
      <c r="O2558" s="113" t="n"/>
      <c r="P2558" s="113" t="n"/>
      <c r="Q2558" s="113" t="n"/>
      <c r="R2558" s="113" t="n"/>
      <c r="S2558" s="113" t="n"/>
      <c r="T2558" s="113" t="n"/>
      <c r="U2558" s="113" t="n"/>
      <c r="V2558" s="113" t="n"/>
      <c r="W2558" s="113" t="n"/>
      <c r="X2558" s="113" t="n"/>
      <c r="Y2558" s="113" t="n"/>
      <c r="Z2558" s="117">
        <f>IF($B2558="",0,IF($S2558="EVET",IF($D2558="GELİR",$O2558,-$O2558),0))</f>
        <v/>
      </c>
      <c r="AA2558" s="117">
        <f>IF($B2558="",0,IF(OR($W2558="EVET",$X2558="EVET",$Y2558="EVET"),0,IF($D2558="GELİR",IF($E2558="SATIŞ İADESİ/İSKONTO",-$O2558,$O2558),-$O2558)))</f>
        <v/>
      </c>
      <c r="AB2558" s="117">
        <f>IF($B2558="","",IF(OR($D2558="",$E2558="",$O2558=""),"EKSİK",IF($O2558&lt;=0,"SIFIR/NEGATİF",IF(COUNTIFS($C$6:$C$5000,$C2558,$O$6:$O$5000,$O2558,$B$6:$B$5000,$B2558)&gt;1,"MÜKERRER","OK"))))</f>
        <v/>
      </c>
    </row>
    <row r="2559" ht="16.5" customHeight="1" s="80">
      <c r="A2559" s="113" t="n"/>
      <c r="B2559" s="113" t="n"/>
      <c r="C2559" s="113" t="n"/>
      <c r="D2559" s="113" t="n"/>
      <c r="E2559" s="113" t="n"/>
      <c r="F2559" s="113" t="n"/>
      <c r="G2559" s="113" t="n"/>
      <c r="H2559" s="113" t="n"/>
      <c r="I2559" s="113" t="n"/>
      <c r="J2559" s="113" t="n"/>
      <c r="K2559" s="113" t="n"/>
      <c r="L2559" s="113" t="n"/>
      <c r="M2559" s="113" t="n"/>
      <c r="N2559" s="113" t="n"/>
      <c r="O2559" s="113" t="n"/>
      <c r="P2559" s="113" t="n"/>
      <c r="Q2559" s="113" t="n"/>
      <c r="R2559" s="113" t="n"/>
      <c r="S2559" s="113" t="n"/>
      <c r="T2559" s="113" t="n"/>
      <c r="U2559" s="113" t="n"/>
      <c r="V2559" s="113" t="n"/>
      <c r="W2559" s="113" t="n"/>
      <c r="X2559" s="113" t="n"/>
      <c r="Y2559" s="113" t="n"/>
      <c r="Z2559" s="117">
        <f>IF($B2559="",0,IF($S2559="EVET",IF($D2559="GELİR",$O2559,-$O2559),0))</f>
        <v/>
      </c>
      <c r="AA2559" s="117">
        <f>IF($B2559="",0,IF(OR($W2559="EVET",$X2559="EVET",$Y2559="EVET"),0,IF($D2559="GELİR",IF($E2559="SATIŞ İADESİ/İSKONTO",-$O2559,$O2559),-$O2559)))</f>
        <v/>
      </c>
      <c r="AB2559" s="117">
        <f>IF($B2559="","",IF(OR($D2559="",$E2559="",$O2559=""),"EKSİK",IF($O2559&lt;=0,"SIFIR/NEGATİF",IF(COUNTIFS($C$6:$C$5000,$C2559,$O$6:$O$5000,$O2559,$B$6:$B$5000,$B2559)&gt;1,"MÜKERRER","OK"))))</f>
        <v/>
      </c>
    </row>
    <row r="2560" ht="16.5" customHeight="1" s="80">
      <c r="A2560" s="113" t="n"/>
      <c r="B2560" s="113" t="n"/>
      <c r="C2560" s="113" t="n"/>
      <c r="D2560" s="113" t="n"/>
      <c r="E2560" s="113" t="n"/>
      <c r="F2560" s="113" t="n"/>
      <c r="G2560" s="113" t="n"/>
      <c r="H2560" s="113" t="n"/>
      <c r="I2560" s="113" t="n"/>
      <c r="J2560" s="113" t="n"/>
      <c r="K2560" s="113" t="n"/>
      <c r="L2560" s="113" t="n"/>
      <c r="M2560" s="113" t="n"/>
      <c r="N2560" s="113" t="n"/>
      <c r="O2560" s="113" t="n"/>
      <c r="P2560" s="113" t="n"/>
      <c r="Q2560" s="113" t="n"/>
      <c r="R2560" s="113" t="n"/>
      <c r="S2560" s="113" t="n"/>
      <c r="T2560" s="113" t="n"/>
      <c r="U2560" s="113" t="n"/>
      <c r="V2560" s="113" t="n"/>
      <c r="W2560" s="113" t="n"/>
      <c r="X2560" s="113" t="n"/>
      <c r="Y2560" s="113" t="n"/>
      <c r="Z2560" s="117">
        <f>IF($B2560="",0,IF($S2560="EVET",IF($D2560="GELİR",$O2560,-$O2560),0))</f>
        <v/>
      </c>
      <c r="AA2560" s="117">
        <f>IF($B2560="",0,IF(OR($W2560="EVET",$X2560="EVET",$Y2560="EVET"),0,IF($D2560="GELİR",IF($E2560="SATIŞ İADESİ/İSKONTO",-$O2560,$O2560),-$O2560)))</f>
        <v/>
      </c>
      <c r="AB2560" s="117">
        <f>IF($B2560="","",IF(OR($D2560="",$E2560="",$O2560=""),"EKSİK",IF($O2560&lt;=0,"SIFIR/NEGATİF",IF(COUNTIFS($C$6:$C$5000,$C2560,$O$6:$O$5000,$O2560,$B$6:$B$5000,$B2560)&gt;1,"MÜKERRER","OK"))))</f>
        <v/>
      </c>
    </row>
    <row r="2561" ht="16.5" customHeight="1" s="80">
      <c r="A2561" s="113" t="n"/>
      <c r="B2561" s="113" t="n"/>
      <c r="C2561" s="113" t="n"/>
      <c r="D2561" s="113" t="n"/>
      <c r="E2561" s="113" t="n"/>
      <c r="F2561" s="113" t="n"/>
      <c r="G2561" s="113" t="n"/>
      <c r="H2561" s="113" t="n"/>
      <c r="I2561" s="113" t="n"/>
      <c r="J2561" s="113" t="n"/>
      <c r="K2561" s="113" t="n"/>
      <c r="L2561" s="113" t="n"/>
      <c r="M2561" s="113" t="n"/>
      <c r="N2561" s="113" t="n"/>
      <c r="O2561" s="113" t="n"/>
      <c r="P2561" s="113" t="n"/>
      <c r="Q2561" s="113" t="n"/>
      <c r="R2561" s="113" t="n"/>
      <c r="S2561" s="113" t="n"/>
      <c r="T2561" s="113" t="n"/>
      <c r="U2561" s="113" t="n"/>
      <c r="V2561" s="113" t="n"/>
      <c r="W2561" s="113" t="n"/>
      <c r="X2561" s="113" t="n"/>
      <c r="Y2561" s="113" t="n"/>
      <c r="Z2561" s="117">
        <f>IF($B2561="",0,IF($S2561="EVET",IF($D2561="GELİR",$O2561,-$O2561),0))</f>
        <v/>
      </c>
      <c r="AA2561" s="117">
        <f>IF($B2561="",0,IF(OR($W2561="EVET",$X2561="EVET",$Y2561="EVET"),0,IF($D2561="GELİR",IF($E2561="SATIŞ İADESİ/İSKONTO",-$O2561,$O2561),-$O2561)))</f>
        <v/>
      </c>
      <c r="AB2561" s="117">
        <f>IF($B2561="","",IF(OR($D2561="",$E2561="",$O2561=""),"EKSİK",IF($O2561&lt;=0,"SIFIR/NEGATİF",IF(COUNTIFS($C$6:$C$5000,$C2561,$O$6:$O$5000,$O2561,$B$6:$B$5000,$B2561)&gt;1,"MÜKERRER","OK"))))</f>
        <v/>
      </c>
    </row>
    <row r="2562" ht="16.5" customHeight="1" s="80">
      <c r="A2562" s="113" t="n"/>
      <c r="B2562" s="113" t="n"/>
      <c r="C2562" s="113" t="n"/>
      <c r="D2562" s="113" t="n"/>
      <c r="E2562" s="113" t="n"/>
      <c r="F2562" s="113" t="n"/>
      <c r="G2562" s="113" t="n"/>
      <c r="H2562" s="113" t="n"/>
      <c r="I2562" s="113" t="n"/>
      <c r="J2562" s="113" t="n"/>
      <c r="K2562" s="113" t="n"/>
      <c r="L2562" s="113" t="n"/>
      <c r="M2562" s="113" t="n"/>
      <c r="N2562" s="113" t="n"/>
      <c r="O2562" s="113" t="n"/>
      <c r="P2562" s="113" t="n"/>
      <c r="Q2562" s="113" t="n"/>
      <c r="R2562" s="113" t="n"/>
      <c r="S2562" s="113" t="n"/>
      <c r="T2562" s="113" t="n"/>
      <c r="U2562" s="113" t="n"/>
      <c r="V2562" s="113" t="n"/>
      <c r="W2562" s="113" t="n"/>
      <c r="X2562" s="113" t="n"/>
      <c r="Y2562" s="113" t="n"/>
      <c r="Z2562" s="117">
        <f>IF($B2562="",0,IF($S2562="EVET",IF($D2562="GELİR",$O2562,-$O2562),0))</f>
        <v/>
      </c>
      <c r="AA2562" s="117">
        <f>IF($B2562="",0,IF(OR($W2562="EVET",$X2562="EVET",$Y2562="EVET"),0,IF($D2562="GELİR",IF($E2562="SATIŞ İADESİ/İSKONTO",-$O2562,$O2562),-$O2562)))</f>
        <v/>
      </c>
      <c r="AB2562" s="117">
        <f>IF($B2562="","",IF(OR($D2562="",$E2562="",$O2562=""),"EKSİK",IF($O2562&lt;=0,"SIFIR/NEGATİF",IF(COUNTIFS($C$6:$C$5000,$C2562,$O$6:$O$5000,$O2562,$B$6:$B$5000,$B2562)&gt;1,"MÜKERRER","OK"))))</f>
        <v/>
      </c>
    </row>
    <row r="2563" ht="16.5" customHeight="1" s="80">
      <c r="A2563" s="113" t="n"/>
      <c r="B2563" s="113" t="n"/>
      <c r="C2563" s="113" t="n"/>
      <c r="D2563" s="113" t="n"/>
      <c r="E2563" s="113" t="n"/>
      <c r="F2563" s="113" t="n"/>
      <c r="G2563" s="113" t="n"/>
      <c r="H2563" s="113" t="n"/>
      <c r="I2563" s="113" t="n"/>
      <c r="J2563" s="113" t="n"/>
      <c r="K2563" s="113" t="n"/>
      <c r="L2563" s="113" t="n"/>
      <c r="M2563" s="113" t="n"/>
      <c r="N2563" s="113" t="n"/>
      <c r="O2563" s="113" t="n"/>
      <c r="P2563" s="113" t="n"/>
      <c r="Q2563" s="113" t="n"/>
      <c r="R2563" s="113" t="n"/>
      <c r="S2563" s="113" t="n"/>
      <c r="T2563" s="113" t="n"/>
      <c r="U2563" s="113" t="n"/>
      <c r="V2563" s="113" t="n"/>
      <c r="W2563" s="113" t="n"/>
      <c r="X2563" s="113" t="n"/>
      <c r="Y2563" s="113" t="n"/>
      <c r="Z2563" s="117">
        <f>IF($B2563="",0,IF($S2563="EVET",IF($D2563="GELİR",$O2563,-$O2563),0))</f>
        <v/>
      </c>
      <c r="AA2563" s="117">
        <f>IF($B2563="",0,IF(OR($W2563="EVET",$X2563="EVET",$Y2563="EVET"),0,IF($D2563="GELİR",IF($E2563="SATIŞ İADESİ/İSKONTO",-$O2563,$O2563),-$O2563)))</f>
        <v/>
      </c>
      <c r="AB2563" s="117">
        <f>IF($B2563="","",IF(OR($D2563="",$E2563="",$O2563=""),"EKSİK",IF($O2563&lt;=0,"SIFIR/NEGATİF",IF(COUNTIFS($C$6:$C$5000,$C2563,$O$6:$O$5000,$O2563,$B$6:$B$5000,$B2563)&gt;1,"MÜKERRER","OK"))))</f>
        <v/>
      </c>
    </row>
    <row r="2564" ht="16.5" customHeight="1" s="80">
      <c r="A2564" s="113" t="n"/>
      <c r="B2564" s="113" t="n"/>
      <c r="C2564" s="113" t="n"/>
      <c r="D2564" s="113" t="n"/>
      <c r="E2564" s="113" t="n"/>
      <c r="F2564" s="113" t="n"/>
      <c r="G2564" s="113" t="n"/>
      <c r="H2564" s="113" t="n"/>
      <c r="I2564" s="113" t="n"/>
      <c r="J2564" s="113" t="n"/>
      <c r="K2564" s="113" t="n"/>
      <c r="L2564" s="113" t="n"/>
      <c r="M2564" s="113" t="n"/>
      <c r="N2564" s="113" t="n"/>
      <c r="O2564" s="113" t="n"/>
      <c r="P2564" s="113" t="n"/>
      <c r="Q2564" s="113" t="n"/>
      <c r="R2564" s="113" t="n"/>
      <c r="S2564" s="113" t="n"/>
      <c r="T2564" s="113" t="n"/>
      <c r="U2564" s="113" t="n"/>
      <c r="V2564" s="113" t="n"/>
      <c r="W2564" s="113" t="n"/>
      <c r="X2564" s="113" t="n"/>
      <c r="Y2564" s="113" t="n"/>
      <c r="Z2564" s="117">
        <f>IF($B2564="",0,IF($S2564="EVET",IF($D2564="GELİR",$O2564,-$O2564),0))</f>
        <v/>
      </c>
      <c r="AA2564" s="117">
        <f>IF($B2564="",0,IF(OR($W2564="EVET",$X2564="EVET",$Y2564="EVET"),0,IF($D2564="GELİR",IF($E2564="SATIŞ İADESİ/İSKONTO",-$O2564,$O2564),-$O2564)))</f>
        <v/>
      </c>
      <c r="AB2564" s="117">
        <f>IF($B2564="","",IF(OR($D2564="",$E2564="",$O2564=""),"EKSİK",IF($O2564&lt;=0,"SIFIR/NEGATİF",IF(COUNTIFS($C$6:$C$5000,$C2564,$O$6:$O$5000,$O2564,$B$6:$B$5000,$B2564)&gt;1,"MÜKERRER","OK"))))</f>
        <v/>
      </c>
    </row>
    <row r="2565" ht="16.5" customHeight="1" s="80">
      <c r="A2565" s="113" t="n"/>
      <c r="B2565" s="113" t="n"/>
      <c r="C2565" s="113" t="n"/>
      <c r="D2565" s="113" t="n"/>
      <c r="E2565" s="113" t="n"/>
      <c r="F2565" s="113" t="n"/>
      <c r="G2565" s="113" t="n"/>
      <c r="H2565" s="113" t="n"/>
      <c r="I2565" s="113" t="n"/>
      <c r="J2565" s="113" t="n"/>
      <c r="K2565" s="113" t="n"/>
      <c r="L2565" s="113" t="n"/>
      <c r="M2565" s="113" t="n"/>
      <c r="N2565" s="113" t="n"/>
      <c r="O2565" s="113" t="n"/>
      <c r="P2565" s="113" t="n"/>
      <c r="Q2565" s="113" t="n"/>
      <c r="R2565" s="113" t="n"/>
      <c r="S2565" s="113" t="n"/>
      <c r="T2565" s="113" t="n"/>
      <c r="U2565" s="113" t="n"/>
      <c r="V2565" s="113" t="n"/>
      <c r="W2565" s="113" t="n"/>
      <c r="X2565" s="113" t="n"/>
      <c r="Y2565" s="113" t="n"/>
      <c r="Z2565" s="117">
        <f>IF($B2565="",0,IF($S2565="EVET",IF($D2565="GELİR",$O2565,-$O2565),0))</f>
        <v/>
      </c>
      <c r="AA2565" s="117">
        <f>IF($B2565="",0,IF(OR($W2565="EVET",$X2565="EVET",$Y2565="EVET"),0,IF($D2565="GELİR",IF($E2565="SATIŞ İADESİ/İSKONTO",-$O2565,$O2565),-$O2565)))</f>
        <v/>
      </c>
      <c r="AB2565" s="117">
        <f>IF($B2565="","",IF(OR($D2565="",$E2565="",$O2565=""),"EKSİK",IF($O2565&lt;=0,"SIFIR/NEGATİF",IF(COUNTIFS($C$6:$C$5000,$C2565,$O$6:$O$5000,$O2565,$B$6:$B$5000,$B2565)&gt;1,"MÜKERRER","OK"))))</f>
        <v/>
      </c>
    </row>
    <row r="2566" ht="16.5" customHeight="1" s="80">
      <c r="A2566" s="113" t="n"/>
      <c r="B2566" s="113" t="n"/>
      <c r="C2566" s="113" t="n"/>
      <c r="D2566" s="113" t="n"/>
      <c r="E2566" s="113" t="n"/>
      <c r="F2566" s="113" t="n"/>
      <c r="G2566" s="113" t="n"/>
      <c r="H2566" s="113" t="n"/>
      <c r="I2566" s="113" t="n"/>
      <c r="J2566" s="113" t="n"/>
      <c r="K2566" s="113" t="n"/>
      <c r="L2566" s="113" t="n"/>
      <c r="M2566" s="113" t="n"/>
      <c r="N2566" s="113" t="n"/>
      <c r="O2566" s="113" t="n"/>
      <c r="P2566" s="113" t="n"/>
      <c r="Q2566" s="113" t="n"/>
      <c r="R2566" s="113" t="n"/>
      <c r="S2566" s="113" t="n"/>
      <c r="T2566" s="113" t="n"/>
      <c r="U2566" s="113" t="n"/>
      <c r="V2566" s="113" t="n"/>
      <c r="W2566" s="113" t="n"/>
      <c r="X2566" s="113" t="n"/>
      <c r="Y2566" s="113" t="n"/>
      <c r="Z2566" s="117">
        <f>IF($B2566="",0,IF($S2566="EVET",IF($D2566="GELİR",$O2566,-$O2566),0))</f>
        <v/>
      </c>
      <c r="AA2566" s="117">
        <f>IF($B2566="",0,IF(OR($W2566="EVET",$X2566="EVET",$Y2566="EVET"),0,IF($D2566="GELİR",IF($E2566="SATIŞ İADESİ/İSKONTO",-$O2566,$O2566),-$O2566)))</f>
        <v/>
      </c>
      <c r="AB2566" s="117">
        <f>IF($B2566="","",IF(OR($D2566="",$E2566="",$O2566=""),"EKSİK",IF($O2566&lt;=0,"SIFIR/NEGATİF",IF(COUNTIFS($C$6:$C$5000,$C2566,$O$6:$O$5000,$O2566,$B$6:$B$5000,$B2566)&gt;1,"MÜKERRER","OK"))))</f>
        <v/>
      </c>
    </row>
    <row r="2567" ht="16.5" customHeight="1" s="80">
      <c r="A2567" s="113" t="n"/>
      <c r="B2567" s="113" t="n"/>
      <c r="C2567" s="113" t="n"/>
      <c r="D2567" s="113" t="n"/>
      <c r="E2567" s="113" t="n"/>
      <c r="F2567" s="113" t="n"/>
      <c r="G2567" s="113" t="n"/>
      <c r="H2567" s="113" t="n"/>
      <c r="I2567" s="113" t="n"/>
      <c r="J2567" s="113" t="n"/>
      <c r="K2567" s="113" t="n"/>
      <c r="L2567" s="113" t="n"/>
      <c r="M2567" s="113" t="n"/>
      <c r="N2567" s="113" t="n"/>
      <c r="O2567" s="113" t="n"/>
      <c r="P2567" s="113" t="n"/>
      <c r="Q2567" s="113" t="n"/>
      <c r="R2567" s="113" t="n"/>
      <c r="S2567" s="113" t="n"/>
      <c r="T2567" s="113" t="n"/>
      <c r="U2567" s="113" t="n"/>
      <c r="V2567" s="113" t="n"/>
      <c r="W2567" s="113" t="n"/>
      <c r="X2567" s="113" t="n"/>
      <c r="Y2567" s="113" t="n"/>
      <c r="Z2567" s="117">
        <f>IF($B2567="",0,IF($S2567="EVET",IF($D2567="GELİR",$O2567,-$O2567),0))</f>
        <v/>
      </c>
      <c r="AA2567" s="117">
        <f>IF($B2567="",0,IF(OR($W2567="EVET",$X2567="EVET",$Y2567="EVET"),0,IF($D2567="GELİR",IF($E2567="SATIŞ İADESİ/İSKONTO",-$O2567,$O2567),-$O2567)))</f>
        <v/>
      </c>
      <c r="AB2567" s="117">
        <f>IF($B2567="","",IF(OR($D2567="",$E2567="",$O2567=""),"EKSİK",IF($O2567&lt;=0,"SIFIR/NEGATİF",IF(COUNTIFS($C$6:$C$5000,$C2567,$O$6:$O$5000,$O2567,$B$6:$B$5000,$B2567)&gt;1,"MÜKERRER","OK"))))</f>
        <v/>
      </c>
    </row>
    <row r="2568" ht="16.5" customHeight="1" s="80">
      <c r="A2568" s="113" t="n"/>
      <c r="B2568" s="113" t="n"/>
      <c r="C2568" s="113" t="n"/>
      <c r="D2568" s="113" t="n"/>
      <c r="E2568" s="113" t="n"/>
      <c r="F2568" s="113" t="n"/>
      <c r="G2568" s="113" t="n"/>
      <c r="H2568" s="113" t="n"/>
      <c r="I2568" s="113" t="n"/>
      <c r="J2568" s="113" t="n"/>
      <c r="K2568" s="113" t="n"/>
      <c r="L2568" s="113" t="n"/>
      <c r="M2568" s="113" t="n"/>
      <c r="N2568" s="113" t="n"/>
      <c r="O2568" s="113" t="n"/>
      <c r="P2568" s="113" t="n"/>
      <c r="Q2568" s="113" t="n"/>
      <c r="R2568" s="113" t="n"/>
      <c r="S2568" s="113" t="n"/>
      <c r="T2568" s="113" t="n"/>
      <c r="U2568" s="113" t="n"/>
      <c r="V2568" s="113" t="n"/>
      <c r="W2568" s="113" t="n"/>
      <c r="X2568" s="113" t="n"/>
      <c r="Y2568" s="113" t="n"/>
      <c r="Z2568" s="117">
        <f>IF($B2568="",0,IF($S2568="EVET",IF($D2568="GELİR",$O2568,-$O2568),0))</f>
        <v/>
      </c>
      <c r="AA2568" s="117">
        <f>IF($B2568="",0,IF(OR($W2568="EVET",$X2568="EVET",$Y2568="EVET"),0,IF($D2568="GELİR",IF($E2568="SATIŞ İADESİ/İSKONTO",-$O2568,$O2568),-$O2568)))</f>
        <v/>
      </c>
      <c r="AB2568" s="117">
        <f>IF($B2568="","",IF(OR($D2568="",$E2568="",$O2568=""),"EKSİK",IF($O2568&lt;=0,"SIFIR/NEGATİF",IF(COUNTIFS($C$6:$C$5000,$C2568,$O$6:$O$5000,$O2568,$B$6:$B$5000,$B2568)&gt;1,"MÜKERRER","OK"))))</f>
        <v/>
      </c>
    </row>
    <row r="2569" ht="16.5" customHeight="1" s="80">
      <c r="A2569" s="113" t="n"/>
      <c r="B2569" s="113" t="n"/>
      <c r="C2569" s="113" t="n"/>
      <c r="D2569" s="113" t="n"/>
      <c r="E2569" s="113" t="n"/>
      <c r="F2569" s="113" t="n"/>
      <c r="G2569" s="113" t="n"/>
      <c r="H2569" s="113" t="n"/>
      <c r="I2569" s="113" t="n"/>
      <c r="J2569" s="113" t="n"/>
      <c r="K2569" s="113" t="n"/>
      <c r="L2569" s="113" t="n"/>
      <c r="M2569" s="113" t="n"/>
      <c r="N2569" s="113" t="n"/>
      <c r="O2569" s="113" t="n"/>
      <c r="P2569" s="113" t="n"/>
      <c r="Q2569" s="113" t="n"/>
      <c r="R2569" s="113" t="n"/>
      <c r="S2569" s="113" t="n"/>
      <c r="T2569" s="113" t="n"/>
      <c r="U2569" s="113" t="n"/>
      <c r="V2569" s="113" t="n"/>
      <c r="W2569" s="113" t="n"/>
      <c r="X2569" s="113" t="n"/>
      <c r="Y2569" s="113" t="n"/>
      <c r="Z2569" s="117">
        <f>IF($B2569="",0,IF($S2569="EVET",IF($D2569="GELİR",$O2569,-$O2569),0))</f>
        <v/>
      </c>
      <c r="AA2569" s="117">
        <f>IF($B2569="",0,IF(OR($W2569="EVET",$X2569="EVET",$Y2569="EVET"),0,IF($D2569="GELİR",IF($E2569="SATIŞ İADESİ/İSKONTO",-$O2569,$O2569),-$O2569)))</f>
        <v/>
      </c>
      <c r="AB2569" s="117">
        <f>IF($B2569="","",IF(OR($D2569="",$E2569="",$O2569=""),"EKSİK",IF($O2569&lt;=0,"SIFIR/NEGATİF",IF(COUNTIFS($C$6:$C$5000,$C2569,$O$6:$O$5000,$O2569,$B$6:$B$5000,$B2569)&gt;1,"MÜKERRER","OK"))))</f>
        <v/>
      </c>
    </row>
    <row r="2570" ht="16.5" customHeight="1" s="80">
      <c r="A2570" s="113" t="n"/>
      <c r="B2570" s="113" t="n"/>
      <c r="C2570" s="113" t="n"/>
      <c r="D2570" s="113" t="n"/>
      <c r="E2570" s="113" t="n"/>
      <c r="F2570" s="113" t="n"/>
      <c r="G2570" s="113" t="n"/>
      <c r="H2570" s="113" t="n"/>
      <c r="I2570" s="113" t="n"/>
      <c r="J2570" s="113" t="n"/>
      <c r="K2570" s="113" t="n"/>
      <c r="L2570" s="113" t="n"/>
      <c r="M2570" s="113" t="n"/>
      <c r="N2570" s="113" t="n"/>
      <c r="O2570" s="113" t="n"/>
      <c r="P2570" s="113" t="n"/>
      <c r="Q2570" s="113" t="n"/>
      <c r="R2570" s="113" t="n"/>
      <c r="S2570" s="113" t="n"/>
      <c r="T2570" s="113" t="n"/>
      <c r="U2570" s="113" t="n"/>
      <c r="V2570" s="113" t="n"/>
      <c r="W2570" s="113" t="n"/>
      <c r="X2570" s="113" t="n"/>
      <c r="Y2570" s="113" t="n"/>
      <c r="Z2570" s="117">
        <f>IF($B2570="",0,IF($S2570="EVET",IF($D2570="GELİR",$O2570,-$O2570),0))</f>
        <v/>
      </c>
      <c r="AA2570" s="117">
        <f>IF($B2570="",0,IF(OR($W2570="EVET",$X2570="EVET",$Y2570="EVET"),0,IF($D2570="GELİR",IF($E2570="SATIŞ İADESİ/İSKONTO",-$O2570,$O2570),-$O2570)))</f>
        <v/>
      </c>
      <c r="AB2570" s="117">
        <f>IF($B2570="","",IF(OR($D2570="",$E2570="",$O2570=""),"EKSİK",IF($O2570&lt;=0,"SIFIR/NEGATİF",IF(COUNTIFS($C$6:$C$5000,$C2570,$O$6:$O$5000,$O2570,$B$6:$B$5000,$B2570)&gt;1,"MÜKERRER","OK"))))</f>
        <v/>
      </c>
    </row>
    <row r="2571" ht="16.5" customHeight="1" s="80">
      <c r="A2571" s="113" t="n"/>
      <c r="B2571" s="113" t="n"/>
      <c r="C2571" s="113" t="n"/>
      <c r="D2571" s="113" t="n"/>
      <c r="E2571" s="113" t="n"/>
      <c r="F2571" s="113" t="n"/>
      <c r="G2571" s="113" t="n"/>
      <c r="H2571" s="113" t="n"/>
      <c r="I2571" s="113" t="n"/>
      <c r="J2571" s="113" t="n"/>
      <c r="K2571" s="113" t="n"/>
      <c r="L2571" s="113" t="n"/>
      <c r="M2571" s="113" t="n"/>
      <c r="N2571" s="113" t="n"/>
      <c r="O2571" s="113" t="n"/>
      <c r="P2571" s="113" t="n"/>
      <c r="Q2571" s="113" t="n"/>
      <c r="R2571" s="113" t="n"/>
      <c r="S2571" s="113" t="n"/>
      <c r="T2571" s="113" t="n"/>
      <c r="U2571" s="113" t="n"/>
      <c r="V2571" s="113" t="n"/>
      <c r="W2571" s="113" t="n"/>
      <c r="X2571" s="113" t="n"/>
      <c r="Y2571" s="113" t="n"/>
      <c r="Z2571" s="117">
        <f>IF($B2571="",0,IF($S2571="EVET",IF($D2571="GELİR",$O2571,-$O2571),0))</f>
        <v/>
      </c>
      <c r="AA2571" s="117">
        <f>IF($B2571="",0,IF(OR($W2571="EVET",$X2571="EVET",$Y2571="EVET"),0,IF($D2571="GELİR",IF($E2571="SATIŞ İADESİ/İSKONTO",-$O2571,$O2571),-$O2571)))</f>
        <v/>
      </c>
      <c r="AB2571" s="117">
        <f>IF($B2571="","",IF(OR($D2571="",$E2571="",$O2571=""),"EKSİK",IF($O2571&lt;=0,"SIFIR/NEGATİF",IF(COUNTIFS($C$6:$C$5000,$C2571,$O$6:$O$5000,$O2571,$B$6:$B$5000,$B2571)&gt;1,"MÜKERRER","OK"))))</f>
        <v/>
      </c>
    </row>
    <row r="2572" ht="16.5" customHeight="1" s="80">
      <c r="A2572" s="113" t="n"/>
      <c r="B2572" s="113" t="n"/>
      <c r="C2572" s="113" t="n"/>
      <c r="D2572" s="113" t="n"/>
      <c r="E2572" s="113" t="n"/>
      <c r="F2572" s="113" t="n"/>
      <c r="G2572" s="113" t="n"/>
      <c r="H2572" s="113" t="n"/>
      <c r="I2572" s="113" t="n"/>
      <c r="J2572" s="113" t="n"/>
      <c r="K2572" s="113" t="n"/>
      <c r="L2572" s="113" t="n"/>
      <c r="M2572" s="113" t="n"/>
      <c r="N2572" s="113" t="n"/>
      <c r="O2572" s="113" t="n"/>
      <c r="P2572" s="113" t="n"/>
      <c r="Q2572" s="113" t="n"/>
      <c r="R2572" s="113" t="n"/>
      <c r="S2572" s="113" t="n"/>
      <c r="T2572" s="113" t="n"/>
      <c r="U2572" s="113" t="n"/>
      <c r="V2572" s="113" t="n"/>
      <c r="W2572" s="113" t="n"/>
      <c r="X2572" s="113" t="n"/>
      <c r="Y2572" s="113" t="n"/>
      <c r="Z2572" s="117">
        <f>IF($B2572="",0,IF($S2572="EVET",IF($D2572="GELİR",$O2572,-$O2572),0))</f>
        <v/>
      </c>
      <c r="AA2572" s="117">
        <f>IF($B2572="",0,IF(OR($W2572="EVET",$X2572="EVET",$Y2572="EVET"),0,IF($D2572="GELİR",IF($E2572="SATIŞ İADESİ/İSKONTO",-$O2572,$O2572),-$O2572)))</f>
        <v/>
      </c>
      <c r="AB2572" s="117">
        <f>IF($B2572="","",IF(OR($D2572="",$E2572="",$O2572=""),"EKSİK",IF($O2572&lt;=0,"SIFIR/NEGATİF",IF(COUNTIFS($C$6:$C$5000,$C2572,$O$6:$O$5000,$O2572,$B$6:$B$5000,$B2572)&gt;1,"MÜKERRER","OK"))))</f>
        <v/>
      </c>
    </row>
    <row r="2573" ht="16.5" customHeight="1" s="80">
      <c r="A2573" s="113" t="n"/>
      <c r="B2573" s="113" t="n"/>
      <c r="C2573" s="113" t="n"/>
      <c r="D2573" s="113" t="n"/>
      <c r="E2573" s="113" t="n"/>
      <c r="F2573" s="113" t="n"/>
      <c r="G2573" s="113" t="n"/>
      <c r="H2573" s="113" t="n"/>
      <c r="I2573" s="113" t="n"/>
      <c r="J2573" s="113" t="n"/>
      <c r="K2573" s="113" t="n"/>
      <c r="L2573" s="113" t="n"/>
      <c r="M2573" s="113" t="n"/>
      <c r="N2573" s="113" t="n"/>
      <c r="O2573" s="113" t="n"/>
      <c r="P2573" s="113" t="n"/>
      <c r="Q2573" s="113" t="n"/>
      <c r="R2573" s="113" t="n"/>
      <c r="S2573" s="113" t="n"/>
      <c r="T2573" s="113" t="n"/>
      <c r="U2573" s="113" t="n"/>
      <c r="V2573" s="113" t="n"/>
      <c r="W2573" s="113" t="n"/>
      <c r="X2573" s="113" t="n"/>
      <c r="Y2573" s="113" t="n"/>
      <c r="Z2573" s="117">
        <f>IF($B2573="",0,IF($S2573="EVET",IF($D2573="GELİR",$O2573,-$O2573),0))</f>
        <v/>
      </c>
      <c r="AA2573" s="117">
        <f>IF($B2573="",0,IF(OR($W2573="EVET",$X2573="EVET",$Y2573="EVET"),0,IF($D2573="GELİR",IF($E2573="SATIŞ İADESİ/İSKONTO",-$O2573,$O2573),-$O2573)))</f>
        <v/>
      </c>
      <c r="AB2573" s="117">
        <f>IF($B2573="","",IF(OR($D2573="",$E2573="",$O2573=""),"EKSİK",IF($O2573&lt;=0,"SIFIR/NEGATİF",IF(COUNTIFS($C$6:$C$5000,$C2573,$O$6:$O$5000,$O2573,$B$6:$B$5000,$B2573)&gt;1,"MÜKERRER","OK"))))</f>
        <v/>
      </c>
    </row>
    <row r="2574" ht="16.5" customHeight="1" s="80">
      <c r="A2574" s="113" t="n"/>
      <c r="B2574" s="113" t="n"/>
      <c r="C2574" s="113" t="n"/>
      <c r="D2574" s="113" t="n"/>
      <c r="E2574" s="113" t="n"/>
      <c r="F2574" s="113" t="n"/>
      <c r="G2574" s="113" t="n"/>
      <c r="H2574" s="113" t="n"/>
      <c r="I2574" s="113" t="n"/>
      <c r="J2574" s="113" t="n"/>
      <c r="K2574" s="113" t="n"/>
      <c r="L2574" s="113" t="n"/>
      <c r="M2574" s="113" t="n"/>
      <c r="N2574" s="113" t="n"/>
      <c r="O2574" s="113" t="n"/>
      <c r="P2574" s="113" t="n"/>
      <c r="Q2574" s="113" t="n"/>
      <c r="R2574" s="113" t="n"/>
      <c r="S2574" s="113" t="n"/>
      <c r="T2574" s="113" t="n"/>
      <c r="U2574" s="113" t="n"/>
      <c r="V2574" s="113" t="n"/>
      <c r="W2574" s="113" t="n"/>
      <c r="X2574" s="113" t="n"/>
      <c r="Y2574" s="113" t="n"/>
      <c r="Z2574" s="117">
        <f>IF($B2574="",0,IF($S2574="EVET",IF($D2574="GELİR",$O2574,-$O2574),0))</f>
        <v/>
      </c>
      <c r="AA2574" s="117">
        <f>IF($B2574="",0,IF(OR($W2574="EVET",$X2574="EVET",$Y2574="EVET"),0,IF($D2574="GELİR",IF($E2574="SATIŞ İADESİ/İSKONTO",-$O2574,$O2574),-$O2574)))</f>
        <v/>
      </c>
      <c r="AB2574" s="117">
        <f>IF($B2574="","",IF(OR($D2574="",$E2574="",$O2574=""),"EKSİK",IF($O2574&lt;=0,"SIFIR/NEGATİF",IF(COUNTIFS($C$6:$C$5000,$C2574,$O$6:$O$5000,$O2574,$B$6:$B$5000,$B2574)&gt;1,"MÜKERRER","OK"))))</f>
        <v/>
      </c>
    </row>
    <row r="2575" ht="16.5" customHeight="1" s="80">
      <c r="A2575" s="113" t="n"/>
      <c r="B2575" s="113" t="n"/>
      <c r="C2575" s="113" t="n"/>
      <c r="D2575" s="113" t="n"/>
      <c r="E2575" s="113" t="n"/>
      <c r="F2575" s="113" t="n"/>
      <c r="G2575" s="113" t="n"/>
      <c r="H2575" s="113" t="n"/>
      <c r="I2575" s="113" t="n"/>
      <c r="J2575" s="113" t="n"/>
      <c r="K2575" s="113" t="n"/>
      <c r="L2575" s="113" t="n"/>
      <c r="M2575" s="113" t="n"/>
      <c r="N2575" s="113" t="n"/>
      <c r="O2575" s="113" t="n"/>
      <c r="P2575" s="113" t="n"/>
      <c r="Q2575" s="113" t="n"/>
      <c r="R2575" s="113" t="n"/>
      <c r="S2575" s="113" t="n"/>
      <c r="T2575" s="113" t="n"/>
      <c r="U2575" s="113" t="n"/>
      <c r="V2575" s="113" t="n"/>
      <c r="W2575" s="113" t="n"/>
      <c r="X2575" s="113" t="n"/>
      <c r="Y2575" s="113" t="n"/>
      <c r="Z2575" s="117">
        <f>IF($B2575="",0,IF($S2575="EVET",IF($D2575="GELİR",$O2575,-$O2575),0))</f>
        <v/>
      </c>
      <c r="AA2575" s="117">
        <f>IF($B2575="",0,IF(OR($W2575="EVET",$X2575="EVET",$Y2575="EVET"),0,IF($D2575="GELİR",IF($E2575="SATIŞ İADESİ/İSKONTO",-$O2575,$O2575),-$O2575)))</f>
        <v/>
      </c>
      <c r="AB2575" s="117">
        <f>IF($B2575="","",IF(OR($D2575="",$E2575="",$O2575=""),"EKSİK",IF($O2575&lt;=0,"SIFIR/NEGATİF",IF(COUNTIFS($C$6:$C$5000,$C2575,$O$6:$O$5000,$O2575,$B$6:$B$5000,$B2575)&gt;1,"MÜKERRER","OK"))))</f>
        <v/>
      </c>
    </row>
    <row r="2576" ht="16.5" customHeight="1" s="80">
      <c r="A2576" s="113" t="n"/>
      <c r="B2576" s="113" t="n"/>
      <c r="C2576" s="113" t="n"/>
      <c r="D2576" s="113" t="n"/>
      <c r="E2576" s="113" t="n"/>
      <c r="F2576" s="113" t="n"/>
      <c r="G2576" s="113" t="n"/>
      <c r="H2576" s="113" t="n"/>
      <c r="I2576" s="113" t="n"/>
      <c r="J2576" s="113" t="n"/>
      <c r="K2576" s="113" t="n"/>
      <c r="L2576" s="113" t="n"/>
      <c r="M2576" s="113" t="n"/>
      <c r="N2576" s="113" t="n"/>
      <c r="O2576" s="113" t="n"/>
      <c r="P2576" s="113" t="n"/>
      <c r="Q2576" s="113" t="n"/>
      <c r="R2576" s="113" t="n"/>
      <c r="S2576" s="113" t="n"/>
      <c r="T2576" s="113" t="n"/>
      <c r="U2576" s="113" t="n"/>
      <c r="V2576" s="113" t="n"/>
      <c r="W2576" s="113" t="n"/>
      <c r="X2576" s="113" t="n"/>
      <c r="Y2576" s="113" t="n"/>
      <c r="Z2576" s="117">
        <f>IF($B2576="",0,IF($S2576="EVET",IF($D2576="GELİR",$O2576,-$O2576),0))</f>
        <v/>
      </c>
      <c r="AA2576" s="117">
        <f>IF($B2576="",0,IF(OR($W2576="EVET",$X2576="EVET",$Y2576="EVET"),0,IF($D2576="GELİR",IF($E2576="SATIŞ İADESİ/İSKONTO",-$O2576,$O2576),-$O2576)))</f>
        <v/>
      </c>
      <c r="AB2576" s="117">
        <f>IF($B2576="","",IF(OR($D2576="",$E2576="",$O2576=""),"EKSİK",IF($O2576&lt;=0,"SIFIR/NEGATİF",IF(COUNTIFS($C$6:$C$5000,$C2576,$O$6:$O$5000,$O2576,$B$6:$B$5000,$B2576)&gt;1,"MÜKERRER","OK"))))</f>
        <v/>
      </c>
    </row>
    <row r="2577" ht="16.5" customHeight="1" s="80">
      <c r="A2577" s="113" t="n"/>
      <c r="B2577" s="113" t="n"/>
      <c r="C2577" s="113" t="n"/>
      <c r="D2577" s="113" t="n"/>
      <c r="E2577" s="113" t="n"/>
      <c r="F2577" s="113" t="n"/>
      <c r="G2577" s="113" t="n"/>
      <c r="H2577" s="113" t="n"/>
      <c r="I2577" s="113" t="n"/>
      <c r="J2577" s="113" t="n"/>
      <c r="K2577" s="113" t="n"/>
      <c r="L2577" s="113" t="n"/>
      <c r="M2577" s="113" t="n"/>
      <c r="N2577" s="113" t="n"/>
      <c r="O2577" s="113" t="n"/>
      <c r="P2577" s="113" t="n"/>
      <c r="Q2577" s="113" t="n"/>
      <c r="R2577" s="113" t="n"/>
      <c r="S2577" s="113" t="n"/>
      <c r="T2577" s="113" t="n"/>
      <c r="U2577" s="113" t="n"/>
      <c r="V2577" s="113" t="n"/>
      <c r="W2577" s="113" t="n"/>
      <c r="X2577" s="113" t="n"/>
      <c r="Y2577" s="113" t="n"/>
      <c r="Z2577" s="117">
        <f>IF($B2577="",0,IF($S2577="EVET",IF($D2577="GELİR",$O2577,-$O2577),0))</f>
        <v/>
      </c>
      <c r="AA2577" s="117">
        <f>IF($B2577="",0,IF(OR($W2577="EVET",$X2577="EVET",$Y2577="EVET"),0,IF($D2577="GELİR",IF($E2577="SATIŞ İADESİ/İSKONTO",-$O2577,$O2577),-$O2577)))</f>
        <v/>
      </c>
      <c r="AB2577" s="117">
        <f>IF($B2577="","",IF(OR($D2577="",$E2577="",$O2577=""),"EKSİK",IF($O2577&lt;=0,"SIFIR/NEGATİF",IF(COUNTIFS($C$6:$C$5000,$C2577,$O$6:$O$5000,$O2577,$B$6:$B$5000,$B2577)&gt;1,"MÜKERRER","OK"))))</f>
        <v/>
      </c>
    </row>
    <row r="2578" ht="16.5" customHeight="1" s="80">
      <c r="A2578" s="113" t="n"/>
      <c r="B2578" s="113" t="n"/>
      <c r="C2578" s="113" t="n"/>
      <c r="D2578" s="113" t="n"/>
      <c r="E2578" s="113" t="n"/>
      <c r="F2578" s="113" t="n"/>
      <c r="G2578" s="113" t="n"/>
      <c r="H2578" s="113" t="n"/>
      <c r="I2578" s="113" t="n"/>
      <c r="J2578" s="113" t="n"/>
      <c r="K2578" s="113" t="n"/>
      <c r="L2578" s="113" t="n"/>
      <c r="M2578" s="113" t="n"/>
      <c r="N2578" s="113" t="n"/>
      <c r="O2578" s="113" t="n"/>
      <c r="P2578" s="113" t="n"/>
      <c r="Q2578" s="113" t="n"/>
      <c r="R2578" s="113" t="n"/>
      <c r="S2578" s="113" t="n"/>
      <c r="T2578" s="113" t="n"/>
      <c r="U2578" s="113" t="n"/>
      <c r="V2578" s="113" t="n"/>
      <c r="W2578" s="113" t="n"/>
      <c r="X2578" s="113" t="n"/>
      <c r="Y2578" s="113" t="n"/>
      <c r="Z2578" s="117">
        <f>IF($B2578="",0,IF($S2578="EVET",IF($D2578="GELİR",$O2578,-$O2578),0))</f>
        <v/>
      </c>
      <c r="AA2578" s="117">
        <f>IF($B2578="",0,IF(OR($W2578="EVET",$X2578="EVET",$Y2578="EVET"),0,IF($D2578="GELİR",IF($E2578="SATIŞ İADESİ/İSKONTO",-$O2578,$O2578),-$O2578)))</f>
        <v/>
      </c>
      <c r="AB2578" s="117">
        <f>IF($B2578="","",IF(OR($D2578="",$E2578="",$O2578=""),"EKSİK",IF($O2578&lt;=0,"SIFIR/NEGATİF",IF(COUNTIFS($C$6:$C$5000,$C2578,$O$6:$O$5000,$O2578,$B$6:$B$5000,$B2578)&gt;1,"MÜKERRER","OK"))))</f>
        <v/>
      </c>
    </row>
    <row r="2579" ht="16.5" customHeight="1" s="80">
      <c r="A2579" s="113" t="n"/>
      <c r="B2579" s="113" t="n"/>
      <c r="C2579" s="113" t="n"/>
      <c r="D2579" s="113" t="n"/>
      <c r="E2579" s="113" t="n"/>
      <c r="F2579" s="113" t="n"/>
      <c r="G2579" s="113" t="n"/>
      <c r="H2579" s="113" t="n"/>
      <c r="I2579" s="113" t="n"/>
      <c r="J2579" s="113" t="n"/>
      <c r="K2579" s="113" t="n"/>
      <c r="L2579" s="113" t="n"/>
      <c r="M2579" s="113" t="n"/>
      <c r="N2579" s="113" t="n"/>
      <c r="O2579" s="113" t="n"/>
      <c r="P2579" s="113" t="n"/>
      <c r="Q2579" s="113" t="n"/>
      <c r="R2579" s="113" t="n"/>
      <c r="S2579" s="113" t="n"/>
      <c r="T2579" s="113" t="n"/>
      <c r="U2579" s="113" t="n"/>
      <c r="V2579" s="113" t="n"/>
      <c r="W2579" s="113" t="n"/>
      <c r="X2579" s="113" t="n"/>
      <c r="Y2579" s="113" t="n"/>
      <c r="Z2579" s="117">
        <f>IF($B2579="",0,IF($S2579="EVET",IF($D2579="GELİR",$O2579,-$O2579),0))</f>
        <v/>
      </c>
      <c r="AA2579" s="117">
        <f>IF($B2579="",0,IF(OR($W2579="EVET",$X2579="EVET",$Y2579="EVET"),0,IF($D2579="GELİR",IF($E2579="SATIŞ İADESİ/İSKONTO",-$O2579,$O2579),-$O2579)))</f>
        <v/>
      </c>
      <c r="AB2579" s="117">
        <f>IF($B2579="","",IF(OR($D2579="",$E2579="",$O2579=""),"EKSİK",IF($O2579&lt;=0,"SIFIR/NEGATİF",IF(COUNTIFS($C$6:$C$5000,$C2579,$O$6:$O$5000,$O2579,$B$6:$B$5000,$B2579)&gt;1,"MÜKERRER","OK"))))</f>
        <v/>
      </c>
    </row>
    <row r="2580" ht="16.5" customHeight="1" s="80">
      <c r="A2580" s="113" t="n"/>
      <c r="B2580" s="113" t="n"/>
      <c r="C2580" s="113" t="n"/>
      <c r="D2580" s="113" t="n"/>
      <c r="E2580" s="113" t="n"/>
      <c r="F2580" s="113" t="n"/>
      <c r="G2580" s="113" t="n"/>
      <c r="H2580" s="113" t="n"/>
      <c r="I2580" s="113" t="n"/>
      <c r="J2580" s="113" t="n"/>
      <c r="K2580" s="113" t="n"/>
      <c r="L2580" s="113" t="n"/>
      <c r="M2580" s="113" t="n"/>
      <c r="N2580" s="113" t="n"/>
      <c r="O2580" s="113" t="n"/>
      <c r="P2580" s="113" t="n"/>
      <c r="Q2580" s="113" t="n"/>
      <c r="R2580" s="113" t="n"/>
      <c r="S2580" s="113" t="n"/>
      <c r="T2580" s="113" t="n"/>
      <c r="U2580" s="113" t="n"/>
      <c r="V2580" s="113" t="n"/>
      <c r="W2580" s="113" t="n"/>
      <c r="X2580" s="113" t="n"/>
      <c r="Y2580" s="113" t="n"/>
      <c r="Z2580" s="117">
        <f>IF($B2580="",0,IF($S2580="EVET",IF($D2580="GELİR",$O2580,-$O2580),0))</f>
        <v/>
      </c>
      <c r="AA2580" s="117">
        <f>IF($B2580="",0,IF(OR($W2580="EVET",$X2580="EVET",$Y2580="EVET"),0,IF($D2580="GELİR",IF($E2580="SATIŞ İADESİ/İSKONTO",-$O2580,$O2580),-$O2580)))</f>
        <v/>
      </c>
      <c r="AB2580" s="117">
        <f>IF($B2580="","",IF(OR($D2580="",$E2580="",$O2580=""),"EKSİK",IF($O2580&lt;=0,"SIFIR/NEGATİF",IF(COUNTIFS($C$6:$C$5000,$C2580,$O$6:$O$5000,$O2580,$B$6:$B$5000,$B2580)&gt;1,"MÜKERRER","OK"))))</f>
        <v/>
      </c>
    </row>
    <row r="2581" ht="16.5" customHeight="1" s="80">
      <c r="A2581" s="113" t="n"/>
      <c r="B2581" s="113" t="n"/>
      <c r="C2581" s="113" t="n"/>
      <c r="D2581" s="113" t="n"/>
      <c r="E2581" s="113" t="n"/>
      <c r="F2581" s="113" t="n"/>
      <c r="G2581" s="113" t="n"/>
      <c r="H2581" s="113" t="n"/>
      <c r="I2581" s="113" t="n"/>
      <c r="J2581" s="113" t="n"/>
      <c r="K2581" s="113" t="n"/>
      <c r="L2581" s="113" t="n"/>
      <c r="M2581" s="113" t="n"/>
      <c r="N2581" s="113" t="n"/>
      <c r="O2581" s="113" t="n"/>
      <c r="P2581" s="113" t="n"/>
      <c r="Q2581" s="113" t="n"/>
      <c r="R2581" s="113" t="n"/>
      <c r="S2581" s="113" t="n"/>
      <c r="T2581" s="113" t="n"/>
      <c r="U2581" s="113" t="n"/>
      <c r="V2581" s="113" t="n"/>
      <c r="W2581" s="113" t="n"/>
      <c r="X2581" s="113" t="n"/>
      <c r="Y2581" s="113" t="n"/>
      <c r="Z2581" s="117">
        <f>IF($B2581="",0,IF($S2581="EVET",IF($D2581="GELİR",$O2581,-$O2581),0))</f>
        <v/>
      </c>
      <c r="AA2581" s="117">
        <f>IF($B2581="",0,IF(OR($W2581="EVET",$X2581="EVET",$Y2581="EVET"),0,IF($D2581="GELİR",IF($E2581="SATIŞ İADESİ/İSKONTO",-$O2581,$O2581),-$O2581)))</f>
        <v/>
      </c>
      <c r="AB2581" s="117">
        <f>IF($B2581="","",IF(OR($D2581="",$E2581="",$O2581=""),"EKSİK",IF($O2581&lt;=0,"SIFIR/NEGATİF",IF(COUNTIFS($C$6:$C$5000,$C2581,$O$6:$O$5000,$O2581,$B$6:$B$5000,$B2581)&gt;1,"MÜKERRER","OK"))))</f>
        <v/>
      </c>
    </row>
    <row r="2582" ht="16.5" customHeight="1" s="80">
      <c r="A2582" s="113" t="n"/>
      <c r="B2582" s="113" t="n"/>
      <c r="C2582" s="113" t="n"/>
      <c r="D2582" s="113" t="n"/>
      <c r="E2582" s="113" t="n"/>
      <c r="F2582" s="113" t="n"/>
      <c r="G2582" s="113" t="n"/>
      <c r="H2582" s="113" t="n"/>
      <c r="I2582" s="113" t="n"/>
      <c r="J2582" s="113" t="n"/>
      <c r="K2582" s="113" t="n"/>
      <c r="L2582" s="113" t="n"/>
      <c r="M2582" s="113" t="n"/>
      <c r="N2582" s="113" t="n"/>
      <c r="O2582" s="113" t="n"/>
      <c r="P2582" s="113" t="n"/>
      <c r="Q2582" s="113" t="n"/>
      <c r="R2582" s="113" t="n"/>
      <c r="S2582" s="113" t="n"/>
      <c r="T2582" s="113" t="n"/>
      <c r="U2582" s="113" t="n"/>
      <c r="V2582" s="113" t="n"/>
      <c r="W2582" s="113" t="n"/>
      <c r="X2582" s="113" t="n"/>
      <c r="Y2582" s="113" t="n"/>
      <c r="Z2582" s="117">
        <f>IF($B2582="",0,IF($S2582="EVET",IF($D2582="GELİR",$O2582,-$O2582),0))</f>
        <v/>
      </c>
      <c r="AA2582" s="117">
        <f>IF($B2582="",0,IF(OR($W2582="EVET",$X2582="EVET",$Y2582="EVET"),0,IF($D2582="GELİR",IF($E2582="SATIŞ İADESİ/İSKONTO",-$O2582,$O2582),-$O2582)))</f>
        <v/>
      </c>
      <c r="AB2582" s="117">
        <f>IF($B2582="","",IF(OR($D2582="",$E2582="",$O2582=""),"EKSİK",IF($O2582&lt;=0,"SIFIR/NEGATİF",IF(COUNTIFS($C$6:$C$5000,$C2582,$O$6:$O$5000,$O2582,$B$6:$B$5000,$B2582)&gt;1,"MÜKERRER","OK"))))</f>
        <v/>
      </c>
    </row>
    <row r="2583" ht="16.5" customHeight="1" s="80">
      <c r="A2583" s="113" t="n"/>
      <c r="B2583" s="113" t="n"/>
      <c r="C2583" s="113" t="n"/>
      <c r="D2583" s="113" t="n"/>
      <c r="E2583" s="113" t="n"/>
      <c r="F2583" s="113" t="n"/>
      <c r="G2583" s="113" t="n"/>
      <c r="H2583" s="113" t="n"/>
      <c r="I2583" s="113" t="n"/>
      <c r="J2583" s="113" t="n"/>
      <c r="K2583" s="113" t="n"/>
      <c r="L2583" s="113" t="n"/>
      <c r="M2583" s="113" t="n"/>
      <c r="N2583" s="113" t="n"/>
      <c r="O2583" s="113" t="n"/>
      <c r="P2583" s="113" t="n"/>
      <c r="Q2583" s="113" t="n"/>
      <c r="R2583" s="113" t="n"/>
      <c r="S2583" s="113" t="n"/>
      <c r="T2583" s="113" t="n"/>
      <c r="U2583" s="113" t="n"/>
      <c r="V2583" s="113" t="n"/>
      <c r="W2583" s="113" t="n"/>
      <c r="X2583" s="113" t="n"/>
      <c r="Y2583" s="113" t="n"/>
      <c r="Z2583" s="117">
        <f>IF($B2583="",0,IF($S2583="EVET",IF($D2583="GELİR",$O2583,-$O2583),0))</f>
        <v/>
      </c>
      <c r="AA2583" s="117">
        <f>IF($B2583="",0,IF(OR($W2583="EVET",$X2583="EVET",$Y2583="EVET"),0,IF($D2583="GELİR",IF($E2583="SATIŞ İADESİ/İSKONTO",-$O2583,$O2583),-$O2583)))</f>
        <v/>
      </c>
      <c r="AB2583" s="117">
        <f>IF($B2583="","",IF(OR($D2583="",$E2583="",$O2583=""),"EKSİK",IF($O2583&lt;=0,"SIFIR/NEGATİF",IF(COUNTIFS($C$6:$C$5000,$C2583,$O$6:$O$5000,$O2583,$B$6:$B$5000,$B2583)&gt;1,"MÜKERRER","OK"))))</f>
        <v/>
      </c>
    </row>
    <row r="2584" ht="16.5" customHeight="1" s="80">
      <c r="A2584" s="113" t="n"/>
      <c r="B2584" s="113" t="n"/>
      <c r="C2584" s="113" t="n"/>
      <c r="D2584" s="113" t="n"/>
      <c r="E2584" s="113" t="n"/>
      <c r="F2584" s="113" t="n"/>
      <c r="G2584" s="113" t="n"/>
      <c r="H2584" s="113" t="n"/>
      <c r="I2584" s="113" t="n"/>
      <c r="J2584" s="113" t="n"/>
      <c r="K2584" s="113" t="n"/>
      <c r="L2584" s="113" t="n"/>
      <c r="M2584" s="113" t="n"/>
      <c r="N2584" s="113" t="n"/>
      <c r="O2584" s="113" t="n"/>
      <c r="P2584" s="113" t="n"/>
      <c r="Q2584" s="113" t="n"/>
      <c r="R2584" s="113" t="n"/>
      <c r="S2584" s="113" t="n"/>
      <c r="T2584" s="113" t="n"/>
      <c r="U2584" s="113" t="n"/>
      <c r="V2584" s="113" t="n"/>
      <c r="W2584" s="113" t="n"/>
      <c r="X2584" s="113" t="n"/>
      <c r="Y2584" s="113" t="n"/>
      <c r="Z2584" s="117">
        <f>IF($B2584="",0,IF($S2584="EVET",IF($D2584="GELİR",$O2584,-$O2584),0))</f>
        <v/>
      </c>
      <c r="AA2584" s="117">
        <f>IF($B2584="",0,IF(OR($W2584="EVET",$X2584="EVET",$Y2584="EVET"),0,IF($D2584="GELİR",IF($E2584="SATIŞ İADESİ/İSKONTO",-$O2584,$O2584),-$O2584)))</f>
        <v/>
      </c>
      <c r="AB2584" s="117">
        <f>IF($B2584="","",IF(OR($D2584="",$E2584="",$O2584=""),"EKSİK",IF($O2584&lt;=0,"SIFIR/NEGATİF",IF(COUNTIFS($C$6:$C$5000,$C2584,$O$6:$O$5000,$O2584,$B$6:$B$5000,$B2584)&gt;1,"MÜKERRER","OK"))))</f>
        <v/>
      </c>
    </row>
    <row r="2585" ht="16.5" customHeight="1" s="80">
      <c r="A2585" s="113" t="n"/>
      <c r="B2585" s="113" t="n"/>
      <c r="C2585" s="113" t="n"/>
      <c r="D2585" s="113" t="n"/>
      <c r="E2585" s="113" t="n"/>
      <c r="F2585" s="113" t="n"/>
      <c r="G2585" s="113" t="n"/>
      <c r="H2585" s="113" t="n"/>
      <c r="I2585" s="113" t="n"/>
      <c r="J2585" s="113" t="n"/>
      <c r="K2585" s="113" t="n"/>
      <c r="L2585" s="113" t="n"/>
      <c r="M2585" s="113" t="n"/>
      <c r="N2585" s="113" t="n"/>
      <c r="O2585" s="113" t="n"/>
      <c r="P2585" s="113" t="n"/>
      <c r="Q2585" s="113" t="n"/>
      <c r="R2585" s="113" t="n"/>
      <c r="S2585" s="113" t="n"/>
      <c r="T2585" s="113" t="n"/>
      <c r="U2585" s="113" t="n"/>
      <c r="V2585" s="113" t="n"/>
      <c r="W2585" s="113" t="n"/>
      <c r="X2585" s="113" t="n"/>
      <c r="Y2585" s="113" t="n"/>
      <c r="Z2585" s="117">
        <f>IF($B2585="",0,IF($S2585="EVET",IF($D2585="GELİR",$O2585,-$O2585),0))</f>
        <v/>
      </c>
      <c r="AA2585" s="117">
        <f>IF($B2585="",0,IF(OR($W2585="EVET",$X2585="EVET",$Y2585="EVET"),0,IF($D2585="GELİR",IF($E2585="SATIŞ İADESİ/İSKONTO",-$O2585,$O2585),-$O2585)))</f>
        <v/>
      </c>
      <c r="AB2585" s="117">
        <f>IF($B2585="","",IF(OR($D2585="",$E2585="",$O2585=""),"EKSİK",IF($O2585&lt;=0,"SIFIR/NEGATİF",IF(COUNTIFS($C$6:$C$5000,$C2585,$O$6:$O$5000,$O2585,$B$6:$B$5000,$B2585)&gt;1,"MÜKERRER","OK"))))</f>
        <v/>
      </c>
    </row>
    <row r="2586" ht="16.5" customHeight="1" s="80">
      <c r="A2586" s="113" t="n"/>
      <c r="B2586" s="113" t="n"/>
      <c r="C2586" s="113" t="n"/>
      <c r="D2586" s="113" t="n"/>
      <c r="E2586" s="113" t="n"/>
      <c r="F2586" s="113" t="n"/>
      <c r="G2586" s="113" t="n"/>
      <c r="H2586" s="113" t="n"/>
      <c r="I2586" s="113" t="n"/>
      <c r="J2586" s="113" t="n"/>
      <c r="K2586" s="113" t="n"/>
      <c r="L2586" s="113" t="n"/>
      <c r="M2586" s="113" t="n"/>
      <c r="N2586" s="113" t="n"/>
      <c r="O2586" s="113" t="n"/>
      <c r="P2586" s="113" t="n"/>
      <c r="Q2586" s="113" t="n"/>
      <c r="R2586" s="113" t="n"/>
      <c r="S2586" s="113" t="n"/>
      <c r="T2586" s="113" t="n"/>
      <c r="U2586" s="113" t="n"/>
      <c r="V2586" s="113" t="n"/>
      <c r="W2586" s="113" t="n"/>
      <c r="X2586" s="113" t="n"/>
      <c r="Y2586" s="113" t="n"/>
      <c r="Z2586" s="117">
        <f>IF($B2586="",0,IF($S2586="EVET",IF($D2586="GELİR",$O2586,-$O2586),0))</f>
        <v/>
      </c>
      <c r="AA2586" s="117">
        <f>IF($B2586="",0,IF(OR($W2586="EVET",$X2586="EVET",$Y2586="EVET"),0,IF($D2586="GELİR",IF($E2586="SATIŞ İADESİ/İSKONTO",-$O2586,$O2586),-$O2586)))</f>
        <v/>
      </c>
      <c r="AB2586" s="117">
        <f>IF($B2586="","",IF(OR($D2586="",$E2586="",$O2586=""),"EKSİK",IF($O2586&lt;=0,"SIFIR/NEGATİF",IF(COUNTIFS($C$6:$C$5000,$C2586,$O$6:$O$5000,$O2586,$B$6:$B$5000,$B2586)&gt;1,"MÜKERRER","OK"))))</f>
        <v/>
      </c>
    </row>
    <row r="2587" ht="16.5" customHeight="1" s="80">
      <c r="A2587" s="113" t="n"/>
      <c r="B2587" s="113" t="n"/>
      <c r="C2587" s="113" t="n"/>
      <c r="D2587" s="113" t="n"/>
      <c r="E2587" s="113" t="n"/>
      <c r="F2587" s="113" t="n"/>
      <c r="G2587" s="113" t="n"/>
      <c r="H2587" s="113" t="n"/>
      <c r="I2587" s="113" t="n"/>
      <c r="J2587" s="113" t="n"/>
      <c r="K2587" s="113" t="n"/>
      <c r="L2587" s="113" t="n"/>
      <c r="M2587" s="113" t="n"/>
      <c r="N2587" s="113" t="n"/>
      <c r="O2587" s="113" t="n"/>
      <c r="P2587" s="113" t="n"/>
      <c r="Q2587" s="113" t="n"/>
      <c r="R2587" s="113" t="n"/>
      <c r="S2587" s="113" t="n"/>
      <c r="T2587" s="113" t="n"/>
      <c r="U2587" s="113" t="n"/>
      <c r="V2587" s="113" t="n"/>
      <c r="W2587" s="113" t="n"/>
      <c r="X2587" s="113" t="n"/>
      <c r="Y2587" s="113" t="n"/>
      <c r="Z2587" s="117">
        <f>IF($B2587="",0,IF($S2587="EVET",IF($D2587="GELİR",$O2587,-$O2587),0))</f>
        <v/>
      </c>
      <c r="AA2587" s="117">
        <f>IF($B2587="",0,IF(OR($W2587="EVET",$X2587="EVET",$Y2587="EVET"),0,IF($D2587="GELİR",IF($E2587="SATIŞ İADESİ/İSKONTO",-$O2587,$O2587),-$O2587)))</f>
        <v/>
      </c>
      <c r="AB2587" s="117">
        <f>IF($B2587="","",IF(OR($D2587="",$E2587="",$O2587=""),"EKSİK",IF($O2587&lt;=0,"SIFIR/NEGATİF",IF(COUNTIFS($C$6:$C$5000,$C2587,$O$6:$O$5000,$O2587,$B$6:$B$5000,$B2587)&gt;1,"MÜKERRER","OK"))))</f>
        <v/>
      </c>
    </row>
    <row r="2588" ht="16.5" customHeight="1" s="80">
      <c r="A2588" s="113" t="n"/>
      <c r="B2588" s="113" t="n"/>
      <c r="C2588" s="113" t="n"/>
      <c r="D2588" s="113" t="n"/>
      <c r="E2588" s="113" t="n"/>
      <c r="F2588" s="113" t="n"/>
      <c r="G2588" s="113" t="n"/>
      <c r="H2588" s="113" t="n"/>
      <c r="I2588" s="113" t="n"/>
      <c r="J2588" s="113" t="n"/>
      <c r="K2588" s="113" t="n"/>
      <c r="L2588" s="113" t="n"/>
      <c r="M2588" s="113" t="n"/>
      <c r="N2588" s="113" t="n"/>
      <c r="O2588" s="113" t="n"/>
      <c r="P2588" s="113" t="n"/>
      <c r="Q2588" s="113" t="n"/>
      <c r="R2588" s="113" t="n"/>
      <c r="S2588" s="113" t="n"/>
      <c r="T2588" s="113" t="n"/>
      <c r="U2588" s="113" t="n"/>
      <c r="V2588" s="113" t="n"/>
      <c r="W2588" s="113" t="n"/>
      <c r="X2588" s="113" t="n"/>
      <c r="Y2588" s="113" t="n"/>
      <c r="Z2588" s="117">
        <f>IF($B2588="",0,IF($S2588="EVET",IF($D2588="GELİR",$O2588,-$O2588),0))</f>
        <v/>
      </c>
      <c r="AA2588" s="117">
        <f>IF($B2588="",0,IF(OR($W2588="EVET",$X2588="EVET",$Y2588="EVET"),0,IF($D2588="GELİR",IF($E2588="SATIŞ İADESİ/İSKONTO",-$O2588,$O2588),-$O2588)))</f>
        <v/>
      </c>
      <c r="AB2588" s="117">
        <f>IF($B2588="","",IF(OR($D2588="",$E2588="",$O2588=""),"EKSİK",IF($O2588&lt;=0,"SIFIR/NEGATİF",IF(COUNTIFS($C$6:$C$5000,$C2588,$O$6:$O$5000,$O2588,$B$6:$B$5000,$B2588)&gt;1,"MÜKERRER","OK"))))</f>
        <v/>
      </c>
    </row>
    <row r="2589" ht="16.5" customHeight="1" s="80">
      <c r="A2589" s="113" t="n"/>
      <c r="B2589" s="113" t="n"/>
      <c r="C2589" s="113" t="n"/>
      <c r="D2589" s="113" t="n"/>
      <c r="E2589" s="113" t="n"/>
      <c r="F2589" s="113" t="n"/>
      <c r="G2589" s="113" t="n"/>
      <c r="H2589" s="113" t="n"/>
      <c r="I2589" s="113" t="n"/>
      <c r="J2589" s="113" t="n"/>
      <c r="K2589" s="113" t="n"/>
      <c r="L2589" s="113" t="n"/>
      <c r="M2589" s="113" t="n"/>
      <c r="N2589" s="113" t="n"/>
      <c r="O2589" s="113" t="n"/>
      <c r="P2589" s="113" t="n"/>
      <c r="Q2589" s="113" t="n"/>
      <c r="R2589" s="113" t="n"/>
      <c r="S2589" s="113" t="n"/>
      <c r="T2589" s="113" t="n"/>
      <c r="U2589" s="113" t="n"/>
      <c r="V2589" s="113" t="n"/>
      <c r="W2589" s="113" t="n"/>
      <c r="X2589" s="113" t="n"/>
      <c r="Y2589" s="113" t="n"/>
      <c r="Z2589" s="117">
        <f>IF($B2589="",0,IF($S2589="EVET",IF($D2589="GELİR",$O2589,-$O2589),0))</f>
        <v/>
      </c>
      <c r="AA2589" s="117">
        <f>IF($B2589="",0,IF(OR($W2589="EVET",$X2589="EVET",$Y2589="EVET"),0,IF($D2589="GELİR",IF($E2589="SATIŞ İADESİ/İSKONTO",-$O2589,$O2589),-$O2589)))</f>
        <v/>
      </c>
      <c r="AB2589" s="117">
        <f>IF($B2589="","",IF(OR($D2589="",$E2589="",$O2589=""),"EKSİK",IF($O2589&lt;=0,"SIFIR/NEGATİF",IF(COUNTIFS($C$6:$C$5000,$C2589,$O$6:$O$5000,$O2589,$B$6:$B$5000,$B2589)&gt;1,"MÜKERRER","OK"))))</f>
        <v/>
      </c>
    </row>
    <row r="2590" ht="16.5" customHeight="1" s="80">
      <c r="A2590" s="113" t="n"/>
      <c r="B2590" s="113" t="n"/>
      <c r="C2590" s="113" t="n"/>
      <c r="D2590" s="113" t="n"/>
      <c r="E2590" s="113" t="n"/>
      <c r="F2590" s="113" t="n"/>
      <c r="G2590" s="113" t="n"/>
      <c r="H2590" s="113" t="n"/>
      <c r="I2590" s="113" t="n"/>
      <c r="J2590" s="113" t="n"/>
      <c r="K2590" s="113" t="n"/>
      <c r="L2590" s="113" t="n"/>
      <c r="M2590" s="113" t="n"/>
      <c r="N2590" s="113" t="n"/>
      <c r="O2590" s="113" t="n"/>
      <c r="P2590" s="113" t="n"/>
      <c r="Q2590" s="113" t="n"/>
      <c r="R2590" s="113" t="n"/>
      <c r="S2590" s="113" t="n"/>
      <c r="T2590" s="113" t="n"/>
      <c r="U2590" s="113" t="n"/>
      <c r="V2590" s="113" t="n"/>
      <c r="W2590" s="113" t="n"/>
      <c r="X2590" s="113" t="n"/>
      <c r="Y2590" s="113" t="n"/>
      <c r="Z2590" s="117">
        <f>IF($B2590="",0,IF($S2590="EVET",IF($D2590="GELİR",$O2590,-$O2590),0))</f>
        <v/>
      </c>
      <c r="AA2590" s="117">
        <f>IF($B2590="",0,IF(OR($W2590="EVET",$X2590="EVET",$Y2590="EVET"),0,IF($D2590="GELİR",IF($E2590="SATIŞ İADESİ/İSKONTO",-$O2590,$O2590),-$O2590)))</f>
        <v/>
      </c>
      <c r="AB2590" s="117">
        <f>IF($B2590="","",IF(OR($D2590="",$E2590="",$O2590=""),"EKSİK",IF($O2590&lt;=0,"SIFIR/NEGATİF",IF(COUNTIFS($C$6:$C$5000,$C2590,$O$6:$O$5000,$O2590,$B$6:$B$5000,$B2590)&gt;1,"MÜKERRER","OK"))))</f>
        <v/>
      </c>
    </row>
    <row r="2591" ht="16.5" customHeight="1" s="80">
      <c r="A2591" s="113" t="n"/>
      <c r="B2591" s="113" t="n"/>
      <c r="C2591" s="113" t="n"/>
      <c r="D2591" s="113" t="n"/>
      <c r="E2591" s="113" t="n"/>
      <c r="F2591" s="113" t="n"/>
      <c r="G2591" s="113" t="n"/>
      <c r="H2591" s="113" t="n"/>
      <c r="I2591" s="113" t="n"/>
      <c r="J2591" s="113" t="n"/>
      <c r="K2591" s="113" t="n"/>
      <c r="L2591" s="113" t="n"/>
      <c r="M2591" s="113" t="n"/>
      <c r="N2591" s="113" t="n"/>
      <c r="O2591" s="113" t="n"/>
      <c r="P2591" s="113" t="n"/>
      <c r="Q2591" s="113" t="n"/>
      <c r="R2591" s="113" t="n"/>
      <c r="S2591" s="113" t="n"/>
      <c r="T2591" s="113" t="n"/>
      <c r="U2591" s="113" t="n"/>
      <c r="V2591" s="113" t="n"/>
      <c r="W2591" s="113" t="n"/>
      <c r="X2591" s="113" t="n"/>
      <c r="Y2591" s="113" t="n"/>
      <c r="Z2591" s="117">
        <f>IF($B2591="",0,IF($S2591="EVET",IF($D2591="GELİR",$O2591,-$O2591),0))</f>
        <v/>
      </c>
      <c r="AA2591" s="117">
        <f>IF($B2591="",0,IF(OR($W2591="EVET",$X2591="EVET",$Y2591="EVET"),0,IF($D2591="GELİR",IF($E2591="SATIŞ İADESİ/İSKONTO",-$O2591,$O2591),-$O2591)))</f>
        <v/>
      </c>
      <c r="AB2591" s="117">
        <f>IF($B2591="","",IF(OR($D2591="",$E2591="",$O2591=""),"EKSİK",IF($O2591&lt;=0,"SIFIR/NEGATİF",IF(COUNTIFS($C$6:$C$5000,$C2591,$O$6:$O$5000,$O2591,$B$6:$B$5000,$B2591)&gt;1,"MÜKERRER","OK"))))</f>
        <v/>
      </c>
    </row>
    <row r="2592" ht="16.5" customHeight="1" s="80">
      <c r="A2592" s="113" t="n"/>
      <c r="B2592" s="113" t="n"/>
      <c r="C2592" s="113" t="n"/>
      <c r="D2592" s="113" t="n"/>
      <c r="E2592" s="113" t="n"/>
      <c r="F2592" s="113" t="n"/>
      <c r="G2592" s="113" t="n"/>
      <c r="H2592" s="113" t="n"/>
      <c r="I2592" s="113" t="n"/>
      <c r="J2592" s="113" t="n"/>
      <c r="K2592" s="113" t="n"/>
      <c r="L2592" s="113" t="n"/>
      <c r="M2592" s="113" t="n"/>
      <c r="N2592" s="113" t="n"/>
      <c r="O2592" s="113" t="n"/>
      <c r="P2592" s="113" t="n"/>
      <c r="Q2592" s="113" t="n"/>
      <c r="R2592" s="113" t="n"/>
      <c r="S2592" s="113" t="n"/>
      <c r="T2592" s="113" t="n"/>
      <c r="U2592" s="113" t="n"/>
      <c r="V2592" s="113" t="n"/>
      <c r="W2592" s="113" t="n"/>
      <c r="X2592" s="113" t="n"/>
      <c r="Y2592" s="113" t="n"/>
      <c r="Z2592" s="117">
        <f>IF($B2592="",0,IF($S2592="EVET",IF($D2592="GELİR",$O2592,-$O2592),0))</f>
        <v/>
      </c>
      <c r="AA2592" s="117">
        <f>IF($B2592="",0,IF(OR($W2592="EVET",$X2592="EVET",$Y2592="EVET"),0,IF($D2592="GELİR",IF($E2592="SATIŞ İADESİ/İSKONTO",-$O2592,$O2592),-$O2592)))</f>
        <v/>
      </c>
      <c r="AB2592" s="117">
        <f>IF($B2592="","",IF(OR($D2592="",$E2592="",$O2592=""),"EKSİK",IF($O2592&lt;=0,"SIFIR/NEGATİF",IF(COUNTIFS($C$6:$C$5000,$C2592,$O$6:$O$5000,$O2592,$B$6:$B$5000,$B2592)&gt;1,"MÜKERRER","OK"))))</f>
        <v/>
      </c>
    </row>
    <row r="2593" ht="16.5" customHeight="1" s="80">
      <c r="A2593" s="113" t="n"/>
      <c r="B2593" s="113" t="n"/>
      <c r="C2593" s="113" t="n"/>
      <c r="D2593" s="113" t="n"/>
      <c r="E2593" s="113" t="n"/>
      <c r="F2593" s="113" t="n"/>
      <c r="G2593" s="113" t="n"/>
      <c r="H2593" s="113" t="n"/>
      <c r="I2593" s="113" t="n"/>
      <c r="J2593" s="113" t="n"/>
      <c r="K2593" s="113" t="n"/>
      <c r="L2593" s="113" t="n"/>
      <c r="M2593" s="113" t="n"/>
      <c r="N2593" s="113" t="n"/>
      <c r="O2593" s="113" t="n"/>
      <c r="P2593" s="113" t="n"/>
      <c r="Q2593" s="113" t="n"/>
      <c r="R2593" s="113" t="n"/>
      <c r="S2593" s="113" t="n"/>
      <c r="T2593" s="113" t="n"/>
      <c r="U2593" s="113" t="n"/>
      <c r="V2593" s="113" t="n"/>
      <c r="W2593" s="113" t="n"/>
      <c r="X2593" s="113" t="n"/>
      <c r="Y2593" s="113" t="n"/>
      <c r="Z2593" s="117">
        <f>IF($B2593="",0,IF($S2593="EVET",IF($D2593="GELİR",$O2593,-$O2593),0))</f>
        <v/>
      </c>
      <c r="AA2593" s="117">
        <f>IF($B2593="",0,IF(OR($W2593="EVET",$X2593="EVET",$Y2593="EVET"),0,IF($D2593="GELİR",IF($E2593="SATIŞ İADESİ/İSKONTO",-$O2593,$O2593),-$O2593)))</f>
        <v/>
      </c>
      <c r="AB2593" s="117">
        <f>IF($B2593="","",IF(OR($D2593="",$E2593="",$O2593=""),"EKSİK",IF($O2593&lt;=0,"SIFIR/NEGATİF",IF(COUNTIFS($C$6:$C$5000,$C2593,$O$6:$O$5000,$O2593,$B$6:$B$5000,$B2593)&gt;1,"MÜKERRER","OK"))))</f>
        <v/>
      </c>
    </row>
    <row r="2594" ht="16.5" customHeight="1" s="80">
      <c r="A2594" s="113" t="n"/>
      <c r="B2594" s="113" t="n"/>
      <c r="C2594" s="113" t="n"/>
      <c r="D2594" s="113" t="n"/>
      <c r="E2594" s="113" t="n"/>
      <c r="F2594" s="113" t="n"/>
      <c r="G2594" s="113" t="n"/>
      <c r="H2594" s="113" t="n"/>
      <c r="I2594" s="113" t="n"/>
      <c r="J2594" s="113" t="n"/>
      <c r="K2594" s="113" t="n"/>
      <c r="L2594" s="113" t="n"/>
      <c r="M2594" s="113" t="n"/>
      <c r="N2594" s="113" t="n"/>
      <c r="O2594" s="113" t="n"/>
      <c r="P2594" s="113" t="n"/>
      <c r="Q2594" s="113" t="n"/>
      <c r="R2594" s="113" t="n"/>
      <c r="S2594" s="113" t="n"/>
      <c r="T2594" s="113" t="n"/>
      <c r="U2594" s="113" t="n"/>
      <c r="V2594" s="113" t="n"/>
      <c r="W2594" s="113" t="n"/>
      <c r="X2594" s="113" t="n"/>
      <c r="Y2594" s="113" t="n"/>
      <c r="Z2594" s="117">
        <f>IF($B2594="",0,IF($S2594="EVET",IF($D2594="GELİR",$O2594,-$O2594),0))</f>
        <v/>
      </c>
      <c r="AA2594" s="117">
        <f>IF($B2594="",0,IF(OR($W2594="EVET",$X2594="EVET",$Y2594="EVET"),0,IF($D2594="GELİR",IF($E2594="SATIŞ İADESİ/İSKONTO",-$O2594,$O2594),-$O2594)))</f>
        <v/>
      </c>
      <c r="AB2594" s="117">
        <f>IF($B2594="","",IF(OR($D2594="",$E2594="",$O2594=""),"EKSİK",IF($O2594&lt;=0,"SIFIR/NEGATİF",IF(COUNTIFS($C$6:$C$5000,$C2594,$O$6:$O$5000,$O2594,$B$6:$B$5000,$B2594)&gt;1,"MÜKERRER","OK"))))</f>
        <v/>
      </c>
    </row>
    <row r="2595" ht="16.5" customHeight="1" s="80">
      <c r="A2595" s="113" t="n"/>
      <c r="B2595" s="113" t="n"/>
      <c r="C2595" s="113" t="n"/>
      <c r="D2595" s="113" t="n"/>
      <c r="E2595" s="113" t="n"/>
      <c r="F2595" s="113" t="n"/>
      <c r="G2595" s="113" t="n"/>
      <c r="H2595" s="113" t="n"/>
      <c r="I2595" s="113" t="n"/>
      <c r="J2595" s="113" t="n"/>
      <c r="K2595" s="113" t="n"/>
      <c r="L2595" s="113" t="n"/>
      <c r="M2595" s="113" t="n"/>
      <c r="N2595" s="113" t="n"/>
      <c r="O2595" s="113" t="n"/>
      <c r="P2595" s="113" t="n"/>
      <c r="Q2595" s="113" t="n"/>
      <c r="R2595" s="113" t="n"/>
      <c r="S2595" s="113" t="n"/>
      <c r="T2595" s="113" t="n"/>
      <c r="U2595" s="113" t="n"/>
      <c r="V2595" s="113" t="n"/>
      <c r="W2595" s="113" t="n"/>
      <c r="X2595" s="113" t="n"/>
      <c r="Y2595" s="113" t="n"/>
      <c r="Z2595" s="117">
        <f>IF($B2595="",0,IF($S2595="EVET",IF($D2595="GELİR",$O2595,-$O2595),0))</f>
        <v/>
      </c>
      <c r="AA2595" s="117">
        <f>IF($B2595="",0,IF(OR($W2595="EVET",$X2595="EVET",$Y2595="EVET"),0,IF($D2595="GELİR",IF($E2595="SATIŞ İADESİ/İSKONTO",-$O2595,$O2595),-$O2595)))</f>
        <v/>
      </c>
      <c r="AB2595" s="117">
        <f>IF($B2595="","",IF(OR($D2595="",$E2595="",$O2595=""),"EKSİK",IF($O2595&lt;=0,"SIFIR/NEGATİF",IF(COUNTIFS($C$6:$C$5000,$C2595,$O$6:$O$5000,$O2595,$B$6:$B$5000,$B2595)&gt;1,"MÜKERRER","OK"))))</f>
        <v/>
      </c>
    </row>
    <row r="2596" ht="16.5" customHeight="1" s="80">
      <c r="A2596" s="113" t="n"/>
      <c r="B2596" s="113" t="n"/>
      <c r="C2596" s="113" t="n"/>
      <c r="D2596" s="113" t="n"/>
      <c r="E2596" s="113" t="n"/>
      <c r="F2596" s="113" t="n"/>
      <c r="G2596" s="113" t="n"/>
      <c r="H2596" s="113" t="n"/>
      <c r="I2596" s="113" t="n"/>
      <c r="J2596" s="113" t="n"/>
      <c r="K2596" s="113" t="n"/>
      <c r="L2596" s="113" t="n"/>
      <c r="M2596" s="113" t="n"/>
      <c r="N2596" s="113" t="n"/>
      <c r="O2596" s="113" t="n"/>
      <c r="P2596" s="113" t="n"/>
      <c r="Q2596" s="113" t="n"/>
      <c r="R2596" s="113" t="n"/>
      <c r="S2596" s="113" t="n"/>
      <c r="T2596" s="113" t="n"/>
      <c r="U2596" s="113" t="n"/>
      <c r="V2596" s="113" t="n"/>
      <c r="W2596" s="113" t="n"/>
      <c r="X2596" s="113" t="n"/>
      <c r="Y2596" s="113" t="n"/>
      <c r="Z2596" s="117">
        <f>IF($B2596="",0,IF($S2596="EVET",IF($D2596="GELİR",$O2596,-$O2596),0))</f>
        <v/>
      </c>
      <c r="AA2596" s="117">
        <f>IF($B2596="",0,IF(OR($W2596="EVET",$X2596="EVET",$Y2596="EVET"),0,IF($D2596="GELİR",IF($E2596="SATIŞ İADESİ/İSKONTO",-$O2596,$O2596),-$O2596)))</f>
        <v/>
      </c>
      <c r="AB2596" s="117">
        <f>IF($B2596="","",IF(OR($D2596="",$E2596="",$O2596=""),"EKSİK",IF($O2596&lt;=0,"SIFIR/NEGATİF",IF(COUNTIFS($C$6:$C$5000,$C2596,$O$6:$O$5000,$O2596,$B$6:$B$5000,$B2596)&gt;1,"MÜKERRER","OK"))))</f>
        <v/>
      </c>
    </row>
    <row r="2597" ht="16.5" customHeight="1" s="80">
      <c r="A2597" s="113" t="n"/>
      <c r="B2597" s="113" t="n"/>
      <c r="C2597" s="113" t="n"/>
      <c r="D2597" s="113" t="n"/>
      <c r="E2597" s="113" t="n"/>
      <c r="F2597" s="113" t="n"/>
      <c r="G2597" s="113" t="n"/>
      <c r="H2597" s="113" t="n"/>
      <c r="I2597" s="113" t="n"/>
      <c r="J2597" s="113" t="n"/>
      <c r="K2597" s="113" t="n"/>
      <c r="L2597" s="113" t="n"/>
      <c r="M2597" s="113" t="n"/>
      <c r="N2597" s="113" t="n"/>
      <c r="O2597" s="113" t="n"/>
      <c r="P2597" s="113" t="n"/>
      <c r="Q2597" s="113" t="n"/>
      <c r="R2597" s="113" t="n"/>
      <c r="S2597" s="113" t="n"/>
      <c r="T2597" s="113" t="n"/>
      <c r="U2597" s="113" t="n"/>
      <c r="V2597" s="113" t="n"/>
      <c r="W2597" s="113" t="n"/>
      <c r="X2597" s="113" t="n"/>
      <c r="Y2597" s="113" t="n"/>
      <c r="Z2597" s="117">
        <f>IF($B2597="",0,IF($S2597="EVET",IF($D2597="GELİR",$O2597,-$O2597),0))</f>
        <v/>
      </c>
      <c r="AA2597" s="117">
        <f>IF($B2597="",0,IF(OR($W2597="EVET",$X2597="EVET",$Y2597="EVET"),0,IF($D2597="GELİR",IF($E2597="SATIŞ İADESİ/İSKONTO",-$O2597,$O2597),-$O2597)))</f>
        <v/>
      </c>
      <c r="AB2597" s="117">
        <f>IF($B2597="","",IF(OR($D2597="",$E2597="",$O2597=""),"EKSİK",IF($O2597&lt;=0,"SIFIR/NEGATİF",IF(COUNTIFS($C$6:$C$5000,$C2597,$O$6:$O$5000,$O2597,$B$6:$B$5000,$B2597)&gt;1,"MÜKERRER","OK"))))</f>
        <v/>
      </c>
    </row>
    <row r="2598" ht="16.5" customHeight="1" s="80">
      <c r="A2598" s="113" t="n"/>
      <c r="B2598" s="113" t="n"/>
      <c r="C2598" s="113" t="n"/>
      <c r="D2598" s="113" t="n"/>
      <c r="E2598" s="113" t="n"/>
      <c r="F2598" s="113" t="n"/>
      <c r="G2598" s="113" t="n"/>
      <c r="H2598" s="113" t="n"/>
      <c r="I2598" s="113" t="n"/>
      <c r="J2598" s="113" t="n"/>
      <c r="K2598" s="113" t="n"/>
      <c r="L2598" s="113" t="n"/>
      <c r="M2598" s="113" t="n"/>
      <c r="N2598" s="113" t="n"/>
      <c r="O2598" s="113" t="n"/>
      <c r="P2598" s="113" t="n"/>
      <c r="Q2598" s="113" t="n"/>
      <c r="R2598" s="113" t="n"/>
      <c r="S2598" s="113" t="n"/>
      <c r="T2598" s="113" t="n"/>
      <c r="U2598" s="113" t="n"/>
      <c r="V2598" s="113" t="n"/>
      <c r="W2598" s="113" t="n"/>
      <c r="X2598" s="113" t="n"/>
      <c r="Y2598" s="113" t="n"/>
      <c r="Z2598" s="117">
        <f>IF($B2598="",0,IF($S2598="EVET",IF($D2598="GELİR",$O2598,-$O2598),0))</f>
        <v/>
      </c>
      <c r="AA2598" s="117">
        <f>IF($B2598="",0,IF(OR($W2598="EVET",$X2598="EVET",$Y2598="EVET"),0,IF($D2598="GELİR",IF($E2598="SATIŞ İADESİ/İSKONTO",-$O2598,$O2598),-$O2598)))</f>
        <v/>
      </c>
      <c r="AB2598" s="117">
        <f>IF($B2598="","",IF(OR($D2598="",$E2598="",$O2598=""),"EKSİK",IF($O2598&lt;=0,"SIFIR/NEGATİF",IF(COUNTIFS($C$6:$C$5000,$C2598,$O$6:$O$5000,$O2598,$B$6:$B$5000,$B2598)&gt;1,"MÜKERRER","OK"))))</f>
        <v/>
      </c>
    </row>
    <row r="2599" ht="16.5" customHeight="1" s="80">
      <c r="A2599" s="113" t="n"/>
      <c r="B2599" s="113" t="n"/>
      <c r="C2599" s="113" t="n"/>
      <c r="D2599" s="113" t="n"/>
      <c r="E2599" s="113" t="n"/>
      <c r="F2599" s="113" t="n"/>
      <c r="G2599" s="113" t="n"/>
      <c r="H2599" s="113" t="n"/>
      <c r="I2599" s="113" t="n"/>
      <c r="J2599" s="113" t="n"/>
      <c r="K2599" s="113" t="n"/>
      <c r="L2599" s="113" t="n"/>
      <c r="M2599" s="113" t="n"/>
      <c r="N2599" s="113" t="n"/>
      <c r="O2599" s="113" t="n"/>
      <c r="P2599" s="113" t="n"/>
      <c r="Q2599" s="113" t="n"/>
      <c r="R2599" s="113" t="n"/>
      <c r="S2599" s="113" t="n"/>
      <c r="T2599" s="113" t="n"/>
      <c r="U2599" s="113" t="n"/>
      <c r="V2599" s="113" t="n"/>
      <c r="W2599" s="113" t="n"/>
      <c r="X2599" s="113" t="n"/>
      <c r="Y2599" s="113" t="n"/>
      <c r="Z2599" s="117">
        <f>IF($B2599="",0,IF($S2599="EVET",IF($D2599="GELİR",$O2599,-$O2599),0))</f>
        <v/>
      </c>
      <c r="AA2599" s="117">
        <f>IF($B2599="",0,IF(OR($W2599="EVET",$X2599="EVET",$Y2599="EVET"),0,IF($D2599="GELİR",IF($E2599="SATIŞ İADESİ/İSKONTO",-$O2599,$O2599),-$O2599)))</f>
        <v/>
      </c>
      <c r="AB2599" s="117">
        <f>IF($B2599="","",IF(OR($D2599="",$E2599="",$O2599=""),"EKSİK",IF($O2599&lt;=0,"SIFIR/NEGATİF",IF(COUNTIFS($C$6:$C$5000,$C2599,$O$6:$O$5000,$O2599,$B$6:$B$5000,$B2599)&gt;1,"MÜKERRER","OK"))))</f>
        <v/>
      </c>
    </row>
    <row r="2600" ht="16.5" customHeight="1" s="80">
      <c r="A2600" s="113" t="n"/>
      <c r="B2600" s="113" t="n"/>
      <c r="C2600" s="113" t="n"/>
      <c r="D2600" s="113" t="n"/>
      <c r="E2600" s="113" t="n"/>
      <c r="F2600" s="113" t="n"/>
      <c r="G2600" s="113" t="n"/>
      <c r="H2600" s="113" t="n"/>
      <c r="I2600" s="113" t="n"/>
      <c r="J2600" s="113" t="n"/>
      <c r="K2600" s="113" t="n"/>
      <c r="L2600" s="113" t="n"/>
      <c r="M2600" s="113" t="n"/>
      <c r="N2600" s="113" t="n"/>
      <c r="O2600" s="113" t="n"/>
      <c r="P2600" s="113" t="n"/>
      <c r="Q2600" s="113" t="n"/>
      <c r="R2600" s="113" t="n"/>
      <c r="S2600" s="113" t="n"/>
      <c r="T2600" s="113" t="n"/>
      <c r="U2600" s="113" t="n"/>
      <c r="V2600" s="113" t="n"/>
      <c r="W2600" s="113" t="n"/>
      <c r="X2600" s="113" t="n"/>
      <c r="Y2600" s="113" t="n"/>
      <c r="Z2600" s="117">
        <f>IF($B2600="",0,IF($S2600="EVET",IF($D2600="GELİR",$O2600,-$O2600),0))</f>
        <v/>
      </c>
      <c r="AA2600" s="117">
        <f>IF($B2600="",0,IF(OR($W2600="EVET",$X2600="EVET",$Y2600="EVET"),0,IF($D2600="GELİR",IF($E2600="SATIŞ İADESİ/İSKONTO",-$O2600,$O2600),-$O2600)))</f>
        <v/>
      </c>
      <c r="AB2600" s="117">
        <f>IF($B2600="","",IF(OR($D2600="",$E2600="",$O2600=""),"EKSİK",IF($O2600&lt;=0,"SIFIR/NEGATİF",IF(COUNTIFS($C$6:$C$5000,$C2600,$O$6:$O$5000,$O2600,$B$6:$B$5000,$B2600)&gt;1,"MÜKERRER","OK"))))</f>
        <v/>
      </c>
    </row>
    <row r="2601" ht="16.5" customHeight="1" s="80">
      <c r="A2601" s="113" t="n"/>
      <c r="B2601" s="113" t="n"/>
      <c r="C2601" s="113" t="n"/>
      <c r="D2601" s="113" t="n"/>
      <c r="E2601" s="113" t="n"/>
      <c r="F2601" s="113" t="n"/>
      <c r="G2601" s="113" t="n"/>
      <c r="H2601" s="113" t="n"/>
      <c r="I2601" s="113" t="n"/>
      <c r="J2601" s="113" t="n"/>
      <c r="K2601" s="113" t="n"/>
      <c r="L2601" s="113" t="n"/>
      <c r="M2601" s="113" t="n"/>
      <c r="N2601" s="113" t="n"/>
      <c r="O2601" s="113" t="n"/>
      <c r="P2601" s="113" t="n"/>
      <c r="Q2601" s="113" t="n"/>
      <c r="R2601" s="113" t="n"/>
      <c r="S2601" s="113" t="n"/>
      <c r="T2601" s="113" t="n"/>
      <c r="U2601" s="113" t="n"/>
      <c r="V2601" s="113" t="n"/>
      <c r="W2601" s="113" t="n"/>
      <c r="X2601" s="113" t="n"/>
      <c r="Y2601" s="113" t="n"/>
      <c r="Z2601" s="117">
        <f>IF($B2601="",0,IF($S2601="EVET",IF($D2601="GELİR",$O2601,-$O2601),0))</f>
        <v/>
      </c>
      <c r="AA2601" s="117">
        <f>IF($B2601="",0,IF(OR($W2601="EVET",$X2601="EVET",$Y2601="EVET"),0,IF($D2601="GELİR",IF($E2601="SATIŞ İADESİ/İSKONTO",-$O2601,$O2601),-$O2601)))</f>
        <v/>
      </c>
      <c r="AB2601" s="117">
        <f>IF($B2601="","",IF(OR($D2601="",$E2601="",$O2601=""),"EKSİK",IF($O2601&lt;=0,"SIFIR/NEGATİF",IF(COUNTIFS($C$6:$C$5000,$C2601,$O$6:$O$5000,$O2601,$B$6:$B$5000,$B2601)&gt;1,"MÜKERRER","OK"))))</f>
        <v/>
      </c>
    </row>
    <row r="2602" ht="16.5" customHeight="1" s="80">
      <c r="A2602" s="113" t="n"/>
      <c r="B2602" s="113" t="n"/>
      <c r="C2602" s="113" t="n"/>
      <c r="D2602" s="113" t="n"/>
      <c r="E2602" s="113" t="n"/>
      <c r="F2602" s="113" t="n"/>
      <c r="G2602" s="113" t="n"/>
      <c r="H2602" s="113" t="n"/>
      <c r="I2602" s="113" t="n"/>
      <c r="J2602" s="113" t="n"/>
      <c r="K2602" s="113" t="n"/>
      <c r="L2602" s="113" t="n"/>
      <c r="M2602" s="113" t="n"/>
      <c r="N2602" s="113" t="n"/>
      <c r="O2602" s="113" t="n"/>
      <c r="P2602" s="113" t="n"/>
      <c r="Q2602" s="113" t="n"/>
      <c r="R2602" s="113" t="n"/>
      <c r="S2602" s="113" t="n"/>
      <c r="T2602" s="113" t="n"/>
      <c r="U2602" s="113" t="n"/>
      <c r="V2602" s="113" t="n"/>
      <c r="W2602" s="113" t="n"/>
      <c r="X2602" s="113" t="n"/>
      <c r="Y2602" s="113" t="n"/>
      <c r="Z2602" s="117">
        <f>IF($B2602="",0,IF($S2602="EVET",IF($D2602="GELİR",$O2602,-$O2602),0))</f>
        <v/>
      </c>
      <c r="AA2602" s="117">
        <f>IF($B2602="",0,IF(OR($W2602="EVET",$X2602="EVET",$Y2602="EVET"),0,IF($D2602="GELİR",IF($E2602="SATIŞ İADESİ/İSKONTO",-$O2602,$O2602),-$O2602)))</f>
        <v/>
      </c>
      <c r="AB2602" s="117">
        <f>IF($B2602="","",IF(OR($D2602="",$E2602="",$O2602=""),"EKSİK",IF($O2602&lt;=0,"SIFIR/NEGATİF",IF(COUNTIFS($C$6:$C$5000,$C2602,$O$6:$O$5000,$O2602,$B$6:$B$5000,$B2602)&gt;1,"MÜKERRER","OK"))))</f>
        <v/>
      </c>
    </row>
    <row r="2603" ht="16.5" customHeight="1" s="80">
      <c r="A2603" s="113" t="n"/>
      <c r="B2603" s="113" t="n"/>
      <c r="C2603" s="113" t="n"/>
      <c r="D2603" s="113" t="n"/>
      <c r="E2603" s="113" t="n"/>
      <c r="F2603" s="113" t="n"/>
      <c r="G2603" s="113" t="n"/>
      <c r="H2603" s="113" t="n"/>
      <c r="I2603" s="113" t="n"/>
      <c r="J2603" s="113" t="n"/>
      <c r="K2603" s="113" t="n"/>
      <c r="L2603" s="113" t="n"/>
      <c r="M2603" s="113" t="n"/>
      <c r="N2603" s="113" t="n"/>
      <c r="O2603" s="113" t="n"/>
      <c r="P2603" s="113" t="n"/>
      <c r="Q2603" s="113" t="n"/>
      <c r="R2603" s="113" t="n"/>
      <c r="S2603" s="113" t="n"/>
      <c r="T2603" s="113" t="n"/>
      <c r="U2603" s="113" t="n"/>
      <c r="V2603" s="113" t="n"/>
      <c r="W2603" s="113" t="n"/>
      <c r="X2603" s="113" t="n"/>
      <c r="Y2603" s="113" t="n"/>
      <c r="Z2603" s="117">
        <f>IF($B2603="",0,IF($S2603="EVET",IF($D2603="GELİR",$O2603,-$O2603),0))</f>
        <v/>
      </c>
      <c r="AA2603" s="117">
        <f>IF($B2603="",0,IF(OR($W2603="EVET",$X2603="EVET",$Y2603="EVET"),0,IF($D2603="GELİR",IF($E2603="SATIŞ İADESİ/İSKONTO",-$O2603,$O2603),-$O2603)))</f>
        <v/>
      </c>
      <c r="AB2603" s="117">
        <f>IF($B2603="","",IF(OR($D2603="",$E2603="",$O2603=""),"EKSİK",IF($O2603&lt;=0,"SIFIR/NEGATİF",IF(COUNTIFS($C$6:$C$5000,$C2603,$O$6:$O$5000,$O2603,$B$6:$B$5000,$B2603)&gt;1,"MÜKERRER","OK"))))</f>
        <v/>
      </c>
    </row>
    <row r="2604" ht="16.5" customHeight="1" s="80">
      <c r="A2604" s="113" t="n"/>
      <c r="B2604" s="113" t="n"/>
      <c r="C2604" s="113" t="n"/>
      <c r="D2604" s="113" t="n"/>
      <c r="E2604" s="113" t="n"/>
      <c r="F2604" s="113" t="n"/>
      <c r="G2604" s="113" t="n"/>
      <c r="H2604" s="113" t="n"/>
      <c r="I2604" s="113" t="n"/>
      <c r="J2604" s="113" t="n"/>
      <c r="K2604" s="113" t="n"/>
      <c r="L2604" s="113" t="n"/>
      <c r="M2604" s="113" t="n"/>
      <c r="N2604" s="113" t="n"/>
      <c r="O2604" s="113" t="n"/>
      <c r="P2604" s="113" t="n"/>
      <c r="Q2604" s="113" t="n"/>
      <c r="R2604" s="113" t="n"/>
      <c r="S2604" s="113" t="n"/>
      <c r="T2604" s="113" t="n"/>
      <c r="U2604" s="113" t="n"/>
      <c r="V2604" s="113" t="n"/>
      <c r="W2604" s="113" t="n"/>
      <c r="X2604" s="113" t="n"/>
      <c r="Y2604" s="113" t="n"/>
      <c r="Z2604" s="117">
        <f>IF($B2604="",0,IF($S2604="EVET",IF($D2604="GELİR",$O2604,-$O2604),0))</f>
        <v/>
      </c>
      <c r="AA2604" s="117">
        <f>IF($B2604="",0,IF(OR($W2604="EVET",$X2604="EVET",$Y2604="EVET"),0,IF($D2604="GELİR",IF($E2604="SATIŞ İADESİ/İSKONTO",-$O2604,$O2604),-$O2604)))</f>
        <v/>
      </c>
      <c r="AB2604" s="117">
        <f>IF($B2604="","",IF(OR($D2604="",$E2604="",$O2604=""),"EKSİK",IF($O2604&lt;=0,"SIFIR/NEGATİF",IF(COUNTIFS($C$6:$C$5000,$C2604,$O$6:$O$5000,$O2604,$B$6:$B$5000,$B2604)&gt;1,"MÜKERRER","OK"))))</f>
        <v/>
      </c>
    </row>
    <row r="2605" ht="16.5" customHeight="1" s="80">
      <c r="A2605" s="113" t="n"/>
      <c r="B2605" s="113" t="n"/>
      <c r="C2605" s="113" t="n"/>
      <c r="D2605" s="113" t="n"/>
      <c r="E2605" s="113" t="n"/>
      <c r="F2605" s="113" t="n"/>
      <c r="G2605" s="113" t="n"/>
      <c r="H2605" s="113" t="n"/>
      <c r="I2605" s="113" t="n"/>
      <c r="J2605" s="113" t="n"/>
      <c r="K2605" s="113" t="n"/>
      <c r="L2605" s="113" t="n"/>
      <c r="M2605" s="113" t="n"/>
      <c r="N2605" s="113" t="n"/>
      <c r="O2605" s="113" t="n"/>
      <c r="P2605" s="113" t="n"/>
      <c r="Q2605" s="113" t="n"/>
      <c r="R2605" s="113" t="n"/>
      <c r="S2605" s="113" t="n"/>
      <c r="T2605" s="113" t="n"/>
      <c r="U2605" s="113" t="n"/>
      <c r="V2605" s="113" t="n"/>
      <c r="W2605" s="113" t="n"/>
      <c r="X2605" s="113" t="n"/>
      <c r="Y2605" s="113" t="n"/>
      <c r="Z2605" s="117">
        <f>IF($B2605="",0,IF($S2605="EVET",IF($D2605="GELİR",$O2605,-$O2605),0))</f>
        <v/>
      </c>
      <c r="AA2605" s="117">
        <f>IF($B2605="",0,IF(OR($W2605="EVET",$X2605="EVET",$Y2605="EVET"),0,IF($D2605="GELİR",IF($E2605="SATIŞ İADESİ/İSKONTO",-$O2605,$O2605),-$O2605)))</f>
        <v/>
      </c>
      <c r="AB2605" s="117">
        <f>IF($B2605="","",IF(OR($D2605="",$E2605="",$O2605=""),"EKSİK",IF($O2605&lt;=0,"SIFIR/NEGATİF",IF(COUNTIFS($C$6:$C$5000,$C2605,$O$6:$O$5000,$O2605,$B$6:$B$5000,$B2605)&gt;1,"MÜKERRER","OK"))))</f>
        <v/>
      </c>
    </row>
    <row r="2606" ht="16.5" customHeight="1" s="80">
      <c r="A2606" s="113" t="n"/>
      <c r="B2606" s="113" t="n"/>
      <c r="C2606" s="113" t="n"/>
      <c r="D2606" s="113" t="n"/>
      <c r="E2606" s="113" t="n"/>
      <c r="F2606" s="113" t="n"/>
      <c r="G2606" s="113" t="n"/>
      <c r="H2606" s="113" t="n"/>
      <c r="I2606" s="113" t="n"/>
      <c r="J2606" s="113" t="n"/>
      <c r="K2606" s="113" t="n"/>
      <c r="L2606" s="113" t="n"/>
      <c r="M2606" s="113" t="n"/>
      <c r="N2606" s="113" t="n"/>
      <c r="O2606" s="113" t="n"/>
      <c r="P2606" s="113" t="n"/>
      <c r="Q2606" s="113" t="n"/>
      <c r="R2606" s="113" t="n"/>
      <c r="S2606" s="113" t="n"/>
      <c r="T2606" s="113" t="n"/>
      <c r="U2606" s="113" t="n"/>
      <c r="V2606" s="113" t="n"/>
      <c r="W2606" s="113" t="n"/>
      <c r="X2606" s="113" t="n"/>
      <c r="Y2606" s="113" t="n"/>
      <c r="Z2606" s="117">
        <f>IF($B2606="",0,IF($S2606="EVET",IF($D2606="GELİR",$O2606,-$O2606),0))</f>
        <v/>
      </c>
      <c r="AA2606" s="117">
        <f>IF($B2606="",0,IF(OR($W2606="EVET",$X2606="EVET",$Y2606="EVET"),0,IF($D2606="GELİR",IF($E2606="SATIŞ İADESİ/İSKONTO",-$O2606,$O2606),-$O2606)))</f>
        <v/>
      </c>
      <c r="AB2606" s="117">
        <f>IF($B2606="","",IF(OR($D2606="",$E2606="",$O2606=""),"EKSİK",IF($O2606&lt;=0,"SIFIR/NEGATİF",IF(COUNTIFS($C$6:$C$5000,$C2606,$O$6:$O$5000,$O2606,$B$6:$B$5000,$B2606)&gt;1,"MÜKERRER","OK"))))</f>
        <v/>
      </c>
    </row>
    <row r="2607" ht="16.5" customHeight="1" s="80">
      <c r="A2607" s="113" t="n"/>
      <c r="B2607" s="113" t="n"/>
      <c r="C2607" s="113" t="n"/>
      <c r="D2607" s="113" t="n"/>
      <c r="E2607" s="113" t="n"/>
      <c r="F2607" s="113" t="n"/>
      <c r="G2607" s="113" t="n"/>
      <c r="H2607" s="113" t="n"/>
      <c r="I2607" s="113" t="n"/>
      <c r="J2607" s="113" t="n"/>
      <c r="K2607" s="113" t="n"/>
      <c r="L2607" s="113" t="n"/>
      <c r="M2607" s="113" t="n"/>
      <c r="N2607" s="113" t="n"/>
      <c r="O2607" s="113" t="n"/>
      <c r="P2607" s="113" t="n"/>
      <c r="Q2607" s="113" t="n"/>
      <c r="R2607" s="113" t="n"/>
      <c r="S2607" s="113" t="n"/>
      <c r="T2607" s="113" t="n"/>
      <c r="U2607" s="113" t="n"/>
      <c r="V2607" s="113" t="n"/>
      <c r="W2607" s="113" t="n"/>
      <c r="X2607" s="113" t="n"/>
      <c r="Y2607" s="113" t="n"/>
      <c r="Z2607" s="117">
        <f>IF($B2607="",0,IF($S2607="EVET",IF($D2607="GELİR",$O2607,-$O2607),0))</f>
        <v/>
      </c>
      <c r="AA2607" s="117">
        <f>IF($B2607="",0,IF(OR($W2607="EVET",$X2607="EVET",$Y2607="EVET"),0,IF($D2607="GELİR",IF($E2607="SATIŞ İADESİ/İSKONTO",-$O2607,$O2607),-$O2607)))</f>
        <v/>
      </c>
      <c r="AB2607" s="117">
        <f>IF($B2607="","",IF(OR($D2607="",$E2607="",$O2607=""),"EKSİK",IF($O2607&lt;=0,"SIFIR/NEGATİF",IF(COUNTIFS($C$6:$C$5000,$C2607,$O$6:$O$5000,$O2607,$B$6:$B$5000,$B2607)&gt;1,"MÜKERRER","OK"))))</f>
        <v/>
      </c>
    </row>
    <row r="2608" ht="16.5" customHeight="1" s="80">
      <c r="A2608" s="113" t="n"/>
      <c r="B2608" s="113" t="n"/>
      <c r="C2608" s="113" t="n"/>
      <c r="D2608" s="113" t="n"/>
      <c r="E2608" s="113" t="n"/>
      <c r="F2608" s="113" t="n"/>
      <c r="G2608" s="113" t="n"/>
      <c r="H2608" s="113" t="n"/>
      <c r="I2608" s="113" t="n"/>
      <c r="J2608" s="113" t="n"/>
      <c r="K2608" s="113" t="n"/>
      <c r="L2608" s="113" t="n"/>
      <c r="M2608" s="113" t="n"/>
      <c r="N2608" s="113" t="n"/>
      <c r="O2608" s="113" t="n"/>
      <c r="P2608" s="113" t="n"/>
      <c r="Q2608" s="113" t="n"/>
      <c r="R2608" s="113" t="n"/>
      <c r="S2608" s="113" t="n"/>
      <c r="T2608" s="113" t="n"/>
      <c r="U2608" s="113" t="n"/>
      <c r="V2608" s="113" t="n"/>
      <c r="W2608" s="113" t="n"/>
      <c r="X2608" s="113" t="n"/>
      <c r="Y2608" s="113" t="n"/>
      <c r="Z2608" s="117">
        <f>IF($B2608="",0,IF($S2608="EVET",IF($D2608="GELİR",$O2608,-$O2608),0))</f>
        <v/>
      </c>
      <c r="AA2608" s="117">
        <f>IF($B2608="",0,IF(OR($W2608="EVET",$X2608="EVET",$Y2608="EVET"),0,IF($D2608="GELİR",IF($E2608="SATIŞ İADESİ/İSKONTO",-$O2608,$O2608),-$O2608)))</f>
        <v/>
      </c>
      <c r="AB2608" s="117">
        <f>IF($B2608="","",IF(OR($D2608="",$E2608="",$O2608=""),"EKSİK",IF($O2608&lt;=0,"SIFIR/NEGATİF",IF(COUNTIFS($C$6:$C$5000,$C2608,$O$6:$O$5000,$O2608,$B$6:$B$5000,$B2608)&gt;1,"MÜKERRER","OK"))))</f>
        <v/>
      </c>
    </row>
    <row r="2609" ht="16.5" customHeight="1" s="80">
      <c r="A2609" s="113" t="n"/>
      <c r="B2609" s="113" t="n"/>
      <c r="C2609" s="113" t="n"/>
      <c r="D2609" s="113" t="n"/>
      <c r="E2609" s="113" t="n"/>
      <c r="F2609" s="113" t="n"/>
      <c r="G2609" s="113" t="n"/>
      <c r="H2609" s="113" t="n"/>
      <c r="I2609" s="113" t="n"/>
      <c r="J2609" s="113" t="n"/>
      <c r="K2609" s="113" t="n"/>
      <c r="L2609" s="113" t="n"/>
      <c r="M2609" s="113" t="n"/>
      <c r="N2609" s="113" t="n"/>
      <c r="O2609" s="113" t="n"/>
      <c r="P2609" s="113" t="n"/>
      <c r="Q2609" s="113" t="n"/>
      <c r="R2609" s="113" t="n"/>
      <c r="S2609" s="113" t="n"/>
      <c r="T2609" s="113" t="n"/>
      <c r="U2609" s="113" t="n"/>
      <c r="V2609" s="113" t="n"/>
      <c r="W2609" s="113" t="n"/>
      <c r="X2609" s="113" t="n"/>
      <c r="Y2609" s="113" t="n"/>
      <c r="Z2609" s="117">
        <f>IF($B2609="",0,IF($S2609="EVET",IF($D2609="GELİR",$O2609,-$O2609),0))</f>
        <v/>
      </c>
      <c r="AA2609" s="117">
        <f>IF($B2609="",0,IF(OR($W2609="EVET",$X2609="EVET",$Y2609="EVET"),0,IF($D2609="GELİR",IF($E2609="SATIŞ İADESİ/İSKONTO",-$O2609,$O2609),-$O2609)))</f>
        <v/>
      </c>
      <c r="AB2609" s="117">
        <f>IF($B2609="","",IF(OR($D2609="",$E2609="",$O2609=""),"EKSİK",IF($O2609&lt;=0,"SIFIR/NEGATİF",IF(COUNTIFS($C$6:$C$5000,$C2609,$O$6:$O$5000,$O2609,$B$6:$B$5000,$B2609)&gt;1,"MÜKERRER","OK"))))</f>
        <v/>
      </c>
    </row>
    <row r="2610" ht="16.5" customHeight="1" s="80">
      <c r="A2610" s="113" t="n"/>
      <c r="B2610" s="113" t="n"/>
      <c r="C2610" s="113" t="n"/>
      <c r="D2610" s="113" t="n"/>
      <c r="E2610" s="113" t="n"/>
      <c r="F2610" s="113" t="n"/>
      <c r="G2610" s="113" t="n"/>
      <c r="H2610" s="113" t="n"/>
      <c r="I2610" s="113" t="n"/>
      <c r="J2610" s="113" t="n"/>
      <c r="K2610" s="113" t="n"/>
      <c r="L2610" s="113" t="n"/>
      <c r="M2610" s="113" t="n"/>
      <c r="N2610" s="113" t="n"/>
      <c r="O2610" s="113" t="n"/>
      <c r="P2610" s="113" t="n"/>
      <c r="Q2610" s="113" t="n"/>
      <c r="R2610" s="113" t="n"/>
      <c r="S2610" s="113" t="n"/>
      <c r="T2610" s="113" t="n"/>
      <c r="U2610" s="113" t="n"/>
      <c r="V2610" s="113" t="n"/>
      <c r="W2610" s="113" t="n"/>
      <c r="X2610" s="113" t="n"/>
      <c r="Y2610" s="113" t="n"/>
      <c r="Z2610" s="117">
        <f>IF($B2610="",0,IF($S2610="EVET",IF($D2610="GELİR",$O2610,-$O2610),0))</f>
        <v/>
      </c>
      <c r="AA2610" s="117">
        <f>IF($B2610="",0,IF(OR($W2610="EVET",$X2610="EVET",$Y2610="EVET"),0,IF($D2610="GELİR",IF($E2610="SATIŞ İADESİ/İSKONTO",-$O2610,$O2610),-$O2610)))</f>
        <v/>
      </c>
      <c r="AB2610" s="117">
        <f>IF($B2610="","",IF(OR($D2610="",$E2610="",$O2610=""),"EKSİK",IF($O2610&lt;=0,"SIFIR/NEGATİF",IF(COUNTIFS($C$6:$C$5000,$C2610,$O$6:$O$5000,$O2610,$B$6:$B$5000,$B2610)&gt;1,"MÜKERRER","OK"))))</f>
        <v/>
      </c>
    </row>
    <row r="2611" ht="16.5" customHeight="1" s="80">
      <c r="A2611" s="113" t="n"/>
      <c r="B2611" s="113" t="n"/>
      <c r="C2611" s="113" t="n"/>
      <c r="D2611" s="113" t="n"/>
      <c r="E2611" s="113" t="n"/>
      <c r="F2611" s="113" t="n"/>
      <c r="G2611" s="113" t="n"/>
      <c r="H2611" s="113" t="n"/>
      <c r="I2611" s="113" t="n"/>
      <c r="J2611" s="113" t="n"/>
      <c r="K2611" s="113" t="n"/>
      <c r="L2611" s="113" t="n"/>
      <c r="M2611" s="113" t="n"/>
      <c r="N2611" s="113" t="n"/>
      <c r="O2611" s="113" t="n"/>
      <c r="P2611" s="113" t="n"/>
      <c r="Q2611" s="113" t="n"/>
      <c r="R2611" s="113" t="n"/>
      <c r="S2611" s="113" t="n"/>
      <c r="T2611" s="113" t="n"/>
      <c r="U2611" s="113" t="n"/>
      <c r="V2611" s="113" t="n"/>
      <c r="W2611" s="113" t="n"/>
      <c r="X2611" s="113" t="n"/>
      <c r="Y2611" s="113" t="n"/>
      <c r="Z2611" s="117">
        <f>IF($B2611="",0,IF($S2611="EVET",IF($D2611="GELİR",$O2611,-$O2611),0))</f>
        <v/>
      </c>
      <c r="AA2611" s="117">
        <f>IF($B2611="",0,IF(OR($W2611="EVET",$X2611="EVET",$Y2611="EVET"),0,IF($D2611="GELİR",IF($E2611="SATIŞ İADESİ/İSKONTO",-$O2611,$O2611),-$O2611)))</f>
        <v/>
      </c>
      <c r="AB2611" s="117">
        <f>IF($B2611="","",IF(OR($D2611="",$E2611="",$O2611=""),"EKSİK",IF($O2611&lt;=0,"SIFIR/NEGATİF",IF(COUNTIFS($C$6:$C$5000,$C2611,$O$6:$O$5000,$O2611,$B$6:$B$5000,$B2611)&gt;1,"MÜKERRER","OK"))))</f>
        <v/>
      </c>
    </row>
    <row r="2612" ht="16.5" customHeight="1" s="80">
      <c r="A2612" s="113" t="n"/>
      <c r="B2612" s="113" t="n"/>
      <c r="C2612" s="113" t="n"/>
      <c r="D2612" s="113" t="n"/>
      <c r="E2612" s="113" t="n"/>
      <c r="F2612" s="113" t="n"/>
      <c r="G2612" s="113" t="n"/>
      <c r="H2612" s="113" t="n"/>
      <c r="I2612" s="113" t="n"/>
      <c r="J2612" s="113" t="n"/>
      <c r="K2612" s="113" t="n"/>
      <c r="L2612" s="113" t="n"/>
      <c r="M2612" s="113" t="n"/>
      <c r="N2612" s="113" t="n"/>
      <c r="O2612" s="113" t="n"/>
      <c r="P2612" s="113" t="n"/>
      <c r="Q2612" s="113" t="n"/>
      <c r="R2612" s="113" t="n"/>
      <c r="S2612" s="113" t="n"/>
      <c r="T2612" s="113" t="n"/>
      <c r="U2612" s="113" t="n"/>
      <c r="V2612" s="113" t="n"/>
      <c r="W2612" s="113" t="n"/>
      <c r="X2612" s="113" t="n"/>
      <c r="Y2612" s="113" t="n"/>
      <c r="Z2612" s="117">
        <f>IF($B2612="",0,IF($S2612="EVET",IF($D2612="GELİR",$O2612,-$O2612),0))</f>
        <v/>
      </c>
      <c r="AA2612" s="117">
        <f>IF($B2612="",0,IF(OR($W2612="EVET",$X2612="EVET",$Y2612="EVET"),0,IF($D2612="GELİR",IF($E2612="SATIŞ İADESİ/İSKONTO",-$O2612,$O2612),-$O2612)))</f>
        <v/>
      </c>
      <c r="AB2612" s="117">
        <f>IF($B2612="","",IF(OR($D2612="",$E2612="",$O2612=""),"EKSİK",IF($O2612&lt;=0,"SIFIR/NEGATİF",IF(COUNTIFS($C$6:$C$5000,$C2612,$O$6:$O$5000,$O2612,$B$6:$B$5000,$B2612)&gt;1,"MÜKERRER","OK"))))</f>
        <v/>
      </c>
    </row>
    <row r="2613" ht="16.5" customHeight="1" s="80">
      <c r="A2613" s="113" t="n"/>
      <c r="B2613" s="113" t="n"/>
      <c r="C2613" s="113" t="n"/>
      <c r="D2613" s="113" t="n"/>
      <c r="E2613" s="113" t="n"/>
      <c r="F2613" s="113" t="n"/>
      <c r="G2613" s="113" t="n"/>
      <c r="H2613" s="113" t="n"/>
      <c r="I2613" s="113" t="n"/>
      <c r="J2613" s="113" t="n"/>
      <c r="K2613" s="113" t="n"/>
      <c r="L2613" s="113" t="n"/>
      <c r="M2613" s="113" t="n"/>
      <c r="N2613" s="113" t="n"/>
      <c r="O2613" s="113" t="n"/>
      <c r="P2613" s="113" t="n"/>
      <c r="Q2613" s="113" t="n"/>
      <c r="R2613" s="113" t="n"/>
      <c r="S2613" s="113" t="n"/>
      <c r="T2613" s="113" t="n"/>
      <c r="U2613" s="113" t="n"/>
      <c r="V2613" s="113" t="n"/>
      <c r="W2613" s="113" t="n"/>
      <c r="X2613" s="113" t="n"/>
      <c r="Y2613" s="113" t="n"/>
      <c r="Z2613" s="117">
        <f>IF($B2613="",0,IF($S2613="EVET",IF($D2613="GELİR",$O2613,-$O2613),0))</f>
        <v/>
      </c>
      <c r="AA2613" s="117">
        <f>IF($B2613="",0,IF(OR($W2613="EVET",$X2613="EVET",$Y2613="EVET"),0,IF($D2613="GELİR",IF($E2613="SATIŞ İADESİ/İSKONTO",-$O2613,$O2613),-$O2613)))</f>
        <v/>
      </c>
      <c r="AB2613" s="117">
        <f>IF($B2613="","",IF(OR($D2613="",$E2613="",$O2613=""),"EKSİK",IF($O2613&lt;=0,"SIFIR/NEGATİF",IF(COUNTIFS($C$6:$C$5000,$C2613,$O$6:$O$5000,$O2613,$B$6:$B$5000,$B2613)&gt;1,"MÜKERRER","OK"))))</f>
        <v/>
      </c>
    </row>
    <row r="2614" ht="16.5" customHeight="1" s="80">
      <c r="A2614" s="113" t="n"/>
      <c r="B2614" s="113" t="n"/>
      <c r="C2614" s="113" t="n"/>
      <c r="D2614" s="113" t="n"/>
      <c r="E2614" s="113" t="n"/>
      <c r="F2614" s="113" t="n"/>
      <c r="G2614" s="113" t="n"/>
      <c r="H2614" s="113" t="n"/>
      <c r="I2614" s="113" t="n"/>
      <c r="J2614" s="113" t="n"/>
      <c r="K2614" s="113" t="n"/>
      <c r="L2614" s="113" t="n"/>
      <c r="M2614" s="113" t="n"/>
      <c r="N2614" s="113" t="n"/>
      <c r="O2614" s="113" t="n"/>
      <c r="P2614" s="113" t="n"/>
      <c r="Q2614" s="113" t="n"/>
      <c r="R2614" s="113" t="n"/>
      <c r="S2614" s="113" t="n"/>
      <c r="T2614" s="113" t="n"/>
      <c r="U2614" s="113" t="n"/>
      <c r="V2614" s="113" t="n"/>
      <c r="W2614" s="113" t="n"/>
      <c r="X2614" s="113" t="n"/>
      <c r="Y2614" s="113" t="n"/>
      <c r="Z2614" s="117">
        <f>IF($B2614="",0,IF($S2614="EVET",IF($D2614="GELİR",$O2614,-$O2614),0))</f>
        <v/>
      </c>
      <c r="AA2614" s="117">
        <f>IF($B2614="",0,IF(OR($W2614="EVET",$X2614="EVET",$Y2614="EVET"),0,IF($D2614="GELİR",IF($E2614="SATIŞ İADESİ/İSKONTO",-$O2614,$O2614),-$O2614)))</f>
        <v/>
      </c>
      <c r="AB2614" s="117">
        <f>IF($B2614="","",IF(OR($D2614="",$E2614="",$O2614=""),"EKSİK",IF($O2614&lt;=0,"SIFIR/NEGATİF",IF(COUNTIFS($C$6:$C$5000,$C2614,$O$6:$O$5000,$O2614,$B$6:$B$5000,$B2614)&gt;1,"MÜKERRER","OK"))))</f>
        <v/>
      </c>
    </row>
    <row r="2615" ht="16.5" customHeight="1" s="80">
      <c r="A2615" s="113" t="n"/>
      <c r="B2615" s="113" t="n"/>
      <c r="C2615" s="113" t="n"/>
      <c r="D2615" s="113" t="n"/>
      <c r="E2615" s="113" t="n"/>
      <c r="F2615" s="113" t="n"/>
      <c r="G2615" s="113" t="n"/>
      <c r="H2615" s="113" t="n"/>
      <c r="I2615" s="113" t="n"/>
      <c r="J2615" s="113" t="n"/>
      <c r="K2615" s="113" t="n"/>
      <c r="L2615" s="113" t="n"/>
      <c r="M2615" s="113" t="n"/>
      <c r="N2615" s="113" t="n"/>
      <c r="O2615" s="113" t="n"/>
      <c r="P2615" s="113" t="n"/>
      <c r="Q2615" s="113" t="n"/>
      <c r="R2615" s="113" t="n"/>
      <c r="S2615" s="113" t="n"/>
      <c r="T2615" s="113" t="n"/>
      <c r="U2615" s="113" t="n"/>
      <c r="V2615" s="113" t="n"/>
      <c r="W2615" s="113" t="n"/>
      <c r="X2615" s="113" t="n"/>
      <c r="Y2615" s="113" t="n"/>
      <c r="Z2615" s="117">
        <f>IF($B2615="",0,IF($S2615="EVET",IF($D2615="GELİR",$O2615,-$O2615),0))</f>
        <v/>
      </c>
      <c r="AA2615" s="117">
        <f>IF($B2615="",0,IF(OR($W2615="EVET",$X2615="EVET",$Y2615="EVET"),0,IF($D2615="GELİR",IF($E2615="SATIŞ İADESİ/İSKONTO",-$O2615,$O2615),-$O2615)))</f>
        <v/>
      </c>
      <c r="AB2615" s="117">
        <f>IF($B2615="","",IF(OR($D2615="",$E2615="",$O2615=""),"EKSİK",IF($O2615&lt;=0,"SIFIR/NEGATİF",IF(COUNTIFS($C$6:$C$5000,$C2615,$O$6:$O$5000,$O2615,$B$6:$B$5000,$B2615)&gt;1,"MÜKERRER","OK"))))</f>
        <v/>
      </c>
    </row>
    <row r="2616" ht="16.5" customHeight="1" s="80">
      <c r="A2616" s="113" t="n"/>
      <c r="B2616" s="113" t="n"/>
      <c r="C2616" s="113" t="n"/>
      <c r="D2616" s="113" t="n"/>
      <c r="E2616" s="113" t="n"/>
      <c r="F2616" s="113" t="n"/>
      <c r="G2616" s="113" t="n"/>
      <c r="H2616" s="113" t="n"/>
      <c r="I2616" s="113" t="n"/>
      <c r="J2616" s="113" t="n"/>
      <c r="K2616" s="113" t="n"/>
      <c r="L2616" s="113" t="n"/>
      <c r="M2616" s="113" t="n"/>
      <c r="N2616" s="113" t="n"/>
      <c r="O2616" s="113" t="n"/>
      <c r="P2616" s="113" t="n"/>
      <c r="Q2616" s="113" t="n"/>
      <c r="R2616" s="113" t="n"/>
      <c r="S2616" s="113" t="n"/>
      <c r="T2616" s="113" t="n"/>
      <c r="U2616" s="113" t="n"/>
      <c r="V2616" s="113" t="n"/>
      <c r="W2616" s="113" t="n"/>
      <c r="X2616" s="113" t="n"/>
      <c r="Y2616" s="113" t="n"/>
      <c r="Z2616" s="117">
        <f>IF($B2616="",0,IF($S2616="EVET",IF($D2616="GELİR",$O2616,-$O2616),0))</f>
        <v/>
      </c>
      <c r="AA2616" s="117">
        <f>IF($B2616="",0,IF(OR($W2616="EVET",$X2616="EVET",$Y2616="EVET"),0,IF($D2616="GELİR",IF($E2616="SATIŞ İADESİ/İSKONTO",-$O2616,$O2616),-$O2616)))</f>
        <v/>
      </c>
      <c r="AB2616" s="117">
        <f>IF($B2616="","",IF(OR($D2616="",$E2616="",$O2616=""),"EKSİK",IF($O2616&lt;=0,"SIFIR/NEGATİF",IF(COUNTIFS($C$6:$C$5000,$C2616,$O$6:$O$5000,$O2616,$B$6:$B$5000,$B2616)&gt;1,"MÜKERRER","OK"))))</f>
        <v/>
      </c>
    </row>
    <row r="2617" ht="16.5" customHeight="1" s="80">
      <c r="A2617" s="113" t="n"/>
      <c r="B2617" s="113" t="n"/>
      <c r="C2617" s="113" t="n"/>
      <c r="D2617" s="113" t="n"/>
      <c r="E2617" s="113" t="n"/>
      <c r="F2617" s="113" t="n"/>
      <c r="G2617" s="113" t="n"/>
      <c r="H2617" s="113" t="n"/>
      <c r="I2617" s="113" t="n"/>
      <c r="J2617" s="113" t="n"/>
      <c r="K2617" s="113" t="n"/>
      <c r="L2617" s="113" t="n"/>
      <c r="M2617" s="113" t="n"/>
      <c r="N2617" s="113" t="n"/>
      <c r="O2617" s="113" t="n"/>
      <c r="P2617" s="113" t="n"/>
      <c r="Q2617" s="113" t="n"/>
      <c r="R2617" s="113" t="n"/>
      <c r="S2617" s="113" t="n"/>
      <c r="T2617" s="113" t="n"/>
      <c r="U2617" s="113" t="n"/>
      <c r="V2617" s="113" t="n"/>
      <c r="W2617" s="113" t="n"/>
      <c r="X2617" s="113" t="n"/>
      <c r="Y2617" s="113" t="n"/>
      <c r="Z2617" s="117">
        <f>IF($B2617="",0,IF($S2617="EVET",IF($D2617="GELİR",$O2617,-$O2617),0))</f>
        <v/>
      </c>
      <c r="AA2617" s="117">
        <f>IF($B2617="",0,IF(OR($W2617="EVET",$X2617="EVET",$Y2617="EVET"),0,IF($D2617="GELİR",IF($E2617="SATIŞ İADESİ/İSKONTO",-$O2617,$O2617),-$O2617)))</f>
        <v/>
      </c>
      <c r="AB2617" s="117">
        <f>IF($B2617="","",IF(OR($D2617="",$E2617="",$O2617=""),"EKSİK",IF($O2617&lt;=0,"SIFIR/NEGATİF",IF(COUNTIFS($C$6:$C$5000,$C2617,$O$6:$O$5000,$O2617,$B$6:$B$5000,$B2617)&gt;1,"MÜKERRER","OK"))))</f>
        <v/>
      </c>
    </row>
    <row r="2618" ht="16.5" customHeight="1" s="80">
      <c r="A2618" s="113" t="n"/>
      <c r="B2618" s="113" t="n"/>
      <c r="C2618" s="113" t="n"/>
      <c r="D2618" s="113" t="n"/>
      <c r="E2618" s="113" t="n"/>
      <c r="F2618" s="113" t="n"/>
      <c r="G2618" s="113" t="n"/>
      <c r="H2618" s="113" t="n"/>
      <c r="I2618" s="113" t="n"/>
      <c r="J2618" s="113" t="n"/>
      <c r="K2618" s="113" t="n"/>
      <c r="L2618" s="113" t="n"/>
      <c r="M2618" s="113" t="n"/>
      <c r="N2618" s="113" t="n"/>
      <c r="O2618" s="113" t="n"/>
      <c r="P2618" s="113" t="n"/>
      <c r="Q2618" s="113" t="n"/>
      <c r="R2618" s="113" t="n"/>
      <c r="S2618" s="113" t="n"/>
      <c r="T2618" s="113" t="n"/>
      <c r="U2618" s="113" t="n"/>
      <c r="V2618" s="113" t="n"/>
      <c r="W2618" s="113" t="n"/>
      <c r="X2618" s="113" t="n"/>
      <c r="Y2618" s="113" t="n"/>
      <c r="Z2618" s="117">
        <f>IF($B2618="",0,IF($S2618="EVET",IF($D2618="GELİR",$O2618,-$O2618),0))</f>
        <v/>
      </c>
      <c r="AA2618" s="117">
        <f>IF($B2618="",0,IF(OR($W2618="EVET",$X2618="EVET",$Y2618="EVET"),0,IF($D2618="GELİR",IF($E2618="SATIŞ İADESİ/İSKONTO",-$O2618,$O2618),-$O2618)))</f>
        <v/>
      </c>
      <c r="AB2618" s="117">
        <f>IF($B2618="","",IF(OR($D2618="",$E2618="",$O2618=""),"EKSİK",IF($O2618&lt;=0,"SIFIR/NEGATİF",IF(COUNTIFS($C$6:$C$5000,$C2618,$O$6:$O$5000,$O2618,$B$6:$B$5000,$B2618)&gt;1,"MÜKERRER","OK"))))</f>
        <v/>
      </c>
    </row>
    <row r="2619" ht="16.5" customHeight="1" s="80">
      <c r="A2619" s="113" t="n"/>
      <c r="B2619" s="113" t="n"/>
      <c r="C2619" s="113" t="n"/>
      <c r="D2619" s="113" t="n"/>
      <c r="E2619" s="113" t="n"/>
      <c r="F2619" s="113" t="n"/>
      <c r="G2619" s="113" t="n"/>
      <c r="H2619" s="113" t="n"/>
      <c r="I2619" s="113" t="n"/>
      <c r="J2619" s="113" t="n"/>
      <c r="K2619" s="113" t="n"/>
      <c r="L2619" s="113" t="n"/>
      <c r="M2619" s="113" t="n"/>
      <c r="N2619" s="113" t="n"/>
      <c r="O2619" s="113" t="n"/>
      <c r="P2619" s="113" t="n"/>
      <c r="Q2619" s="113" t="n"/>
      <c r="R2619" s="113" t="n"/>
      <c r="S2619" s="113" t="n"/>
      <c r="T2619" s="113" t="n"/>
      <c r="U2619" s="113" t="n"/>
      <c r="V2619" s="113" t="n"/>
      <c r="W2619" s="113" t="n"/>
      <c r="X2619" s="113" t="n"/>
      <c r="Y2619" s="113" t="n"/>
      <c r="Z2619" s="117">
        <f>IF($B2619="",0,IF($S2619="EVET",IF($D2619="GELİR",$O2619,-$O2619),0))</f>
        <v/>
      </c>
      <c r="AA2619" s="117">
        <f>IF($B2619="",0,IF(OR($W2619="EVET",$X2619="EVET",$Y2619="EVET"),0,IF($D2619="GELİR",IF($E2619="SATIŞ İADESİ/İSKONTO",-$O2619,$O2619),-$O2619)))</f>
        <v/>
      </c>
      <c r="AB2619" s="117">
        <f>IF($B2619="","",IF(OR($D2619="",$E2619="",$O2619=""),"EKSİK",IF($O2619&lt;=0,"SIFIR/NEGATİF",IF(COUNTIFS($C$6:$C$5000,$C2619,$O$6:$O$5000,$O2619,$B$6:$B$5000,$B2619)&gt;1,"MÜKERRER","OK"))))</f>
        <v/>
      </c>
    </row>
    <row r="2620" ht="16.5" customHeight="1" s="80">
      <c r="A2620" s="113" t="n"/>
      <c r="B2620" s="113" t="n"/>
      <c r="C2620" s="113" t="n"/>
      <c r="D2620" s="113" t="n"/>
      <c r="E2620" s="113" t="n"/>
      <c r="F2620" s="113" t="n"/>
      <c r="G2620" s="113" t="n"/>
      <c r="H2620" s="113" t="n"/>
      <c r="I2620" s="113" t="n"/>
      <c r="J2620" s="113" t="n"/>
      <c r="K2620" s="113" t="n"/>
      <c r="L2620" s="113" t="n"/>
      <c r="M2620" s="113" t="n"/>
      <c r="N2620" s="113" t="n"/>
      <c r="O2620" s="113" t="n"/>
      <c r="P2620" s="113" t="n"/>
      <c r="Q2620" s="113" t="n"/>
      <c r="R2620" s="113" t="n"/>
      <c r="S2620" s="113" t="n"/>
      <c r="T2620" s="113" t="n"/>
      <c r="U2620" s="113" t="n"/>
      <c r="V2620" s="113" t="n"/>
      <c r="W2620" s="113" t="n"/>
      <c r="X2620" s="113" t="n"/>
      <c r="Y2620" s="113" t="n"/>
      <c r="Z2620" s="117">
        <f>IF($B2620="",0,IF($S2620="EVET",IF($D2620="GELİR",$O2620,-$O2620),0))</f>
        <v/>
      </c>
      <c r="AA2620" s="117">
        <f>IF($B2620="",0,IF(OR($W2620="EVET",$X2620="EVET",$Y2620="EVET"),0,IF($D2620="GELİR",IF($E2620="SATIŞ İADESİ/İSKONTO",-$O2620,$O2620),-$O2620)))</f>
        <v/>
      </c>
      <c r="AB2620" s="117">
        <f>IF($B2620="","",IF(OR($D2620="",$E2620="",$O2620=""),"EKSİK",IF($O2620&lt;=0,"SIFIR/NEGATİF",IF(COUNTIFS($C$6:$C$5000,$C2620,$O$6:$O$5000,$O2620,$B$6:$B$5000,$B2620)&gt;1,"MÜKERRER","OK"))))</f>
        <v/>
      </c>
    </row>
    <row r="2621" ht="16.5" customHeight="1" s="80">
      <c r="A2621" s="113" t="n"/>
      <c r="B2621" s="113" t="n"/>
      <c r="C2621" s="113" t="n"/>
      <c r="D2621" s="113" t="n"/>
      <c r="E2621" s="113" t="n"/>
      <c r="F2621" s="113" t="n"/>
      <c r="G2621" s="113" t="n"/>
      <c r="H2621" s="113" t="n"/>
      <c r="I2621" s="113" t="n"/>
      <c r="J2621" s="113" t="n"/>
      <c r="K2621" s="113" t="n"/>
      <c r="L2621" s="113" t="n"/>
      <c r="M2621" s="113" t="n"/>
      <c r="N2621" s="113" t="n"/>
      <c r="O2621" s="113" t="n"/>
      <c r="P2621" s="113" t="n"/>
      <c r="Q2621" s="113" t="n"/>
      <c r="R2621" s="113" t="n"/>
      <c r="S2621" s="113" t="n"/>
      <c r="T2621" s="113" t="n"/>
      <c r="U2621" s="113" t="n"/>
      <c r="V2621" s="113" t="n"/>
      <c r="W2621" s="113" t="n"/>
      <c r="X2621" s="113" t="n"/>
      <c r="Y2621" s="113" t="n"/>
      <c r="Z2621" s="117">
        <f>IF($B2621="",0,IF($S2621="EVET",IF($D2621="GELİR",$O2621,-$O2621),0))</f>
        <v/>
      </c>
      <c r="AA2621" s="117">
        <f>IF($B2621="",0,IF(OR($W2621="EVET",$X2621="EVET",$Y2621="EVET"),0,IF($D2621="GELİR",IF($E2621="SATIŞ İADESİ/İSKONTO",-$O2621,$O2621),-$O2621)))</f>
        <v/>
      </c>
      <c r="AB2621" s="117">
        <f>IF($B2621="","",IF(OR($D2621="",$E2621="",$O2621=""),"EKSİK",IF($O2621&lt;=0,"SIFIR/NEGATİF",IF(COUNTIFS($C$6:$C$5000,$C2621,$O$6:$O$5000,$O2621,$B$6:$B$5000,$B2621)&gt;1,"MÜKERRER","OK"))))</f>
        <v/>
      </c>
    </row>
    <row r="2622" ht="16.5" customHeight="1" s="80">
      <c r="A2622" s="113" t="n"/>
      <c r="B2622" s="113" t="n"/>
      <c r="C2622" s="113" t="n"/>
      <c r="D2622" s="113" t="n"/>
      <c r="E2622" s="113" t="n"/>
      <c r="F2622" s="113" t="n"/>
      <c r="G2622" s="113" t="n"/>
      <c r="H2622" s="113" t="n"/>
      <c r="I2622" s="113" t="n"/>
      <c r="J2622" s="113" t="n"/>
      <c r="K2622" s="113" t="n"/>
      <c r="L2622" s="113" t="n"/>
      <c r="M2622" s="113" t="n"/>
      <c r="N2622" s="113" t="n"/>
      <c r="O2622" s="113" t="n"/>
      <c r="P2622" s="113" t="n"/>
      <c r="Q2622" s="113" t="n"/>
      <c r="R2622" s="113" t="n"/>
      <c r="S2622" s="113" t="n"/>
      <c r="T2622" s="113" t="n"/>
      <c r="U2622" s="113" t="n"/>
      <c r="V2622" s="113" t="n"/>
      <c r="W2622" s="113" t="n"/>
      <c r="X2622" s="113" t="n"/>
      <c r="Y2622" s="113" t="n"/>
      <c r="Z2622" s="117">
        <f>IF($B2622="",0,IF($S2622="EVET",IF($D2622="GELİR",$O2622,-$O2622),0))</f>
        <v/>
      </c>
      <c r="AA2622" s="117">
        <f>IF($B2622="",0,IF(OR($W2622="EVET",$X2622="EVET",$Y2622="EVET"),0,IF($D2622="GELİR",IF($E2622="SATIŞ İADESİ/İSKONTO",-$O2622,$O2622),-$O2622)))</f>
        <v/>
      </c>
      <c r="AB2622" s="117">
        <f>IF($B2622="","",IF(OR($D2622="",$E2622="",$O2622=""),"EKSİK",IF($O2622&lt;=0,"SIFIR/NEGATİF",IF(COUNTIFS($C$6:$C$5000,$C2622,$O$6:$O$5000,$O2622,$B$6:$B$5000,$B2622)&gt;1,"MÜKERRER","OK"))))</f>
        <v/>
      </c>
    </row>
    <row r="2623" ht="16.5" customHeight="1" s="80">
      <c r="A2623" s="113" t="n"/>
      <c r="B2623" s="113" t="n"/>
      <c r="C2623" s="113" t="n"/>
      <c r="D2623" s="113" t="n"/>
      <c r="E2623" s="113" t="n"/>
      <c r="F2623" s="113" t="n"/>
      <c r="G2623" s="113" t="n"/>
      <c r="H2623" s="113" t="n"/>
      <c r="I2623" s="113" t="n"/>
      <c r="J2623" s="113" t="n"/>
      <c r="K2623" s="113" t="n"/>
      <c r="L2623" s="113" t="n"/>
      <c r="M2623" s="113" t="n"/>
      <c r="N2623" s="113" t="n"/>
      <c r="O2623" s="113" t="n"/>
      <c r="P2623" s="113" t="n"/>
      <c r="Q2623" s="113" t="n"/>
      <c r="R2623" s="113" t="n"/>
      <c r="S2623" s="113" t="n"/>
      <c r="T2623" s="113" t="n"/>
      <c r="U2623" s="113" t="n"/>
      <c r="V2623" s="113" t="n"/>
      <c r="W2623" s="113" t="n"/>
      <c r="X2623" s="113" t="n"/>
      <c r="Y2623" s="113" t="n"/>
      <c r="Z2623" s="117">
        <f>IF($B2623="",0,IF($S2623="EVET",IF($D2623="GELİR",$O2623,-$O2623),0))</f>
        <v/>
      </c>
      <c r="AA2623" s="117">
        <f>IF($B2623="",0,IF(OR($W2623="EVET",$X2623="EVET",$Y2623="EVET"),0,IF($D2623="GELİR",IF($E2623="SATIŞ İADESİ/İSKONTO",-$O2623,$O2623),-$O2623)))</f>
        <v/>
      </c>
      <c r="AB2623" s="117">
        <f>IF($B2623="","",IF(OR($D2623="",$E2623="",$O2623=""),"EKSİK",IF($O2623&lt;=0,"SIFIR/NEGATİF",IF(COUNTIFS($C$6:$C$5000,$C2623,$O$6:$O$5000,$O2623,$B$6:$B$5000,$B2623)&gt;1,"MÜKERRER","OK"))))</f>
        <v/>
      </c>
    </row>
    <row r="2624" ht="16.5" customHeight="1" s="80">
      <c r="A2624" s="113" t="n"/>
      <c r="B2624" s="113" t="n"/>
      <c r="C2624" s="113" t="n"/>
      <c r="D2624" s="113" t="n"/>
      <c r="E2624" s="113" t="n"/>
      <c r="F2624" s="113" t="n"/>
      <c r="G2624" s="113" t="n"/>
      <c r="H2624" s="113" t="n"/>
      <c r="I2624" s="113" t="n"/>
      <c r="J2624" s="113" t="n"/>
      <c r="K2624" s="113" t="n"/>
      <c r="L2624" s="113" t="n"/>
      <c r="M2624" s="113" t="n"/>
      <c r="N2624" s="113" t="n"/>
      <c r="O2624" s="113" t="n"/>
      <c r="P2624" s="113" t="n"/>
      <c r="Q2624" s="113" t="n"/>
      <c r="R2624" s="113" t="n"/>
      <c r="S2624" s="113" t="n"/>
      <c r="T2624" s="113" t="n"/>
      <c r="U2624" s="113" t="n"/>
      <c r="V2624" s="113" t="n"/>
      <c r="W2624" s="113" t="n"/>
      <c r="X2624" s="113" t="n"/>
      <c r="Y2624" s="113" t="n"/>
      <c r="Z2624" s="117">
        <f>IF($B2624="",0,IF($S2624="EVET",IF($D2624="GELİR",$O2624,-$O2624),0))</f>
        <v/>
      </c>
      <c r="AA2624" s="117">
        <f>IF($B2624="",0,IF(OR($W2624="EVET",$X2624="EVET",$Y2624="EVET"),0,IF($D2624="GELİR",IF($E2624="SATIŞ İADESİ/İSKONTO",-$O2624,$O2624),-$O2624)))</f>
        <v/>
      </c>
      <c r="AB2624" s="117">
        <f>IF($B2624="","",IF(OR($D2624="",$E2624="",$O2624=""),"EKSİK",IF($O2624&lt;=0,"SIFIR/NEGATİF",IF(COUNTIFS($C$6:$C$5000,$C2624,$O$6:$O$5000,$O2624,$B$6:$B$5000,$B2624)&gt;1,"MÜKERRER","OK"))))</f>
        <v/>
      </c>
    </row>
    <row r="2625" ht="16.5" customHeight="1" s="80">
      <c r="A2625" s="113" t="n"/>
      <c r="B2625" s="113" t="n"/>
      <c r="C2625" s="113" t="n"/>
      <c r="D2625" s="113" t="n"/>
      <c r="E2625" s="113" t="n"/>
      <c r="F2625" s="113" t="n"/>
      <c r="G2625" s="113" t="n"/>
      <c r="H2625" s="113" t="n"/>
      <c r="I2625" s="113" t="n"/>
      <c r="J2625" s="113" t="n"/>
      <c r="K2625" s="113" t="n"/>
      <c r="L2625" s="113" t="n"/>
      <c r="M2625" s="113" t="n"/>
      <c r="N2625" s="113" t="n"/>
      <c r="O2625" s="113" t="n"/>
      <c r="P2625" s="113" t="n"/>
      <c r="Q2625" s="113" t="n"/>
      <c r="R2625" s="113" t="n"/>
      <c r="S2625" s="113" t="n"/>
      <c r="T2625" s="113" t="n"/>
      <c r="U2625" s="113" t="n"/>
      <c r="V2625" s="113" t="n"/>
      <c r="W2625" s="113" t="n"/>
      <c r="X2625" s="113" t="n"/>
      <c r="Y2625" s="113" t="n"/>
      <c r="Z2625" s="117">
        <f>IF($B2625="",0,IF($S2625="EVET",IF($D2625="GELİR",$O2625,-$O2625),0))</f>
        <v/>
      </c>
      <c r="AA2625" s="117">
        <f>IF($B2625="",0,IF(OR($W2625="EVET",$X2625="EVET",$Y2625="EVET"),0,IF($D2625="GELİR",IF($E2625="SATIŞ İADESİ/İSKONTO",-$O2625,$O2625),-$O2625)))</f>
        <v/>
      </c>
      <c r="AB2625" s="117">
        <f>IF($B2625="","",IF(OR($D2625="",$E2625="",$O2625=""),"EKSİK",IF($O2625&lt;=0,"SIFIR/NEGATİF",IF(COUNTIFS($C$6:$C$5000,$C2625,$O$6:$O$5000,$O2625,$B$6:$B$5000,$B2625)&gt;1,"MÜKERRER","OK"))))</f>
        <v/>
      </c>
    </row>
    <row r="2626" ht="16.5" customHeight="1" s="80">
      <c r="A2626" s="113" t="n"/>
      <c r="B2626" s="113" t="n"/>
      <c r="C2626" s="113" t="n"/>
      <c r="D2626" s="113" t="n"/>
      <c r="E2626" s="113" t="n"/>
      <c r="F2626" s="113" t="n"/>
      <c r="G2626" s="113" t="n"/>
      <c r="H2626" s="113" t="n"/>
      <c r="I2626" s="113" t="n"/>
      <c r="J2626" s="113" t="n"/>
      <c r="K2626" s="113" t="n"/>
      <c r="L2626" s="113" t="n"/>
      <c r="M2626" s="113" t="n"/>
      <c r="N2626" s="113" t="n"/>
      <c r="O2626" s="113" t="n"/>
      <c r="P2626" s="113" t="n"/>
      <c r="Q2626" s="113" t="n"/>
      <c r="R2626" s="113" t="n"/>
      <c r="S2626" s="113" t="n"/>
      <c r="T2626" s="113" t="n"/>
      <c r="U2626" s="113" t="n"/>
      <c r="V2626" s="113" t="n"/>
      <c r="W2626" s="113" t="n"/>
      <c r="X2626" s="113" t="n"/>
      <c r="Y2626" s="113" t="n"/>
      <c r="Z2626" s="117">
        <f>IF($B2626="",0,IF($S2626="EVET",IF($D2626="GELİR",$O2626,-$O2626),0))</f>
        <v/>
      </c>
      <c r="AA2626" s="117">
        <f>IF($B2626="",0,IF(OR($W2626="EVET",$X2626="EVET",$Y2626="EVET"),0,IF($D2626="GELİR",IF($E2626="SATIŞ İADESİ/İSKONTO",-$O2626,$O2626),-$O2626)))</f>
        <v/>
      </c>
      <c r="AB2626" s="117">
        <f>IF($B2626="","",IF(OR($D2626="",$E2626="",$O2626=""),"EKSİK",IF($O2626&lt;=0,"SIFIR/NEGATİF",IF(COUNTIFS($C$6:$C$5000,$C2626,$O$6:$O$5000,$O2626,$B$6:$B$5000,$B2626)&gt;1,"MÜKERRER","OK"))))</f>
        <v/>
      </c>
    </row>
    <row r="2627" ht="16.5" customHeight="1" s="80">
      <c r="A2627" s="113" t="n"/>
      <c r="B2627" s="113" t="n"/>
      <c r="C2627" s="113" t="n"/>
      <c r="D2627" s="113" t="n"/>
      <c r="E2627" s="113" t="n"/>
      <c r="F2627" s="113" t="n"/>
      <c r="G2627" s="113" t="n"/>
      <c r="H2627" s="113" t="n"/>
      <c r="I2627" s="113" t="n"/>
      <c r="J2627" s="113" t="n"/>
      <c r="K2627" s="113" t="n"/>
      <c r="L2627" s="113" t="n"/>
      <c r="M2627" s="113" t="n"/>
      <c r="N2627" s="113" t="n"/>
      <c r="O2627" s="113" t="n"/>
      <c r="P2627" s="113" t="n"/>
      <c r="Q2627" s="113" t="n"/>
      <c r="R2627" s="113" t="n"/>
      <c r="S2627" s="113" t="n"/>
      <c r="T2627" s="113" t="n"/>
      <c r="U2627" s="113" t="n"/>
      <c r="V2627" s="113" t="n"/>
      <c r="W2627" s="113" t="n"/>
      <c r="X2627" s="113" t="n"/>
      <c r="Y2627" s="113" t="n"/>
      <c r="Z2627" s="117">
        <f>IF($B2627="",0,IF($S2627="EVET",IF($D2627="GELİR",$O2627,-$O2627),0))</f>
        <v/>
      </c>
      <c r="AA2627" s="117">
        <f>IF($B2627="",0,IF(OR($W2627="EVET",$X2627="EVET",$Y2627="EVET"),0,IF($D2627="GELİR",IF($E2627="SATIŞ İADESİ/İSKONTO",-$O2627,$O2627),-$O2627)))</f>
        <v/>
      </c>
      <c r="AB2627" s="117">
        <f>IF($B2627="","",IF(OR($D2627="",$E2627="",$O2627=""),"EKSİK",IF($O2627&lt;=0,"SIFIR/NEGATİF",IF(COUNTIFS($C$6:$C$5000,$C2627,$O$6:$O$5000,$O2627,$B$6:$B$5000,$B2627)&gt;1,"MÜKERRER","OK"))))</f>
        <v/>
      </c>
    </row>
    <row r="2628" ht="16.5" customHeight="1" s="80">
      <c r="A2628" s="113" t="n"/>
      <c r="B2628" s="113" t="n"/>
      <c r="C2628" s="113" t="n"/>
      <c r="D2628" s="113" t="n"/>
      <c r="E2628" s="113" t="n"/>
      <c r="F2628" s="113" t="n"/>
      <c r="G2628" s="113" t="n"/>
      <c r="H2628" s="113" t="n"/>
      <c r="I2628" s="113" t="n"/>
      <c r="J2628" s="113" t="n"/>
      <c r="K2628" s="113" t="n"/>
      <c r="L2628" s="113" t="n"/>
      <c r="M2628" s="113" t="n"/>
      <c r="N2628" s="113" t="n"/>
      <c r="O2628" s="113" t="n"/>
      <c r="P2628" s="113" t="n"/>
      <c r="Q2628" s="113" t="n"/>
      <c r="R2628" s="113" t="n"/>
      <c r="S2628" s="113" t="n"/>
      <c r="T2628" s="113" t="n"/>
      <c r="U2628" s="113" t="n"/>
      <c r="V2628" s="113" t="n"/>
      <c r="W2628" s="113" t="n"/>
      <c r="X2628" s="113" t="n"/>
      <c r="Y2628" s="113" t="n"/>
      <c r="Z2628" s="117">
        <f>IF($B2628="",0,IF($S2628="EVET",IF($D2628="GELİR",$O2628,-$O2628),0))</f>
        <v/>
      </c>
      <c r="AA2628" s="117">
        <f>IF($B2628="",0,IF(OR($W2628="EVET",$X2628="EVET",$Y2628="EVET"),0,IF($D2628="GELİR",IF($E2628="SATIŞ İADESİ/İSKONTO",-$O2628,$O2628),-$O2628)))</f>
        <v/>
      </c>
      <c r="AB2628" s="117">
        <f>IF($B2628="","",IF(OR($D2628="",$E2628="",$O2628=""),"EKSİK",IF($O2628&lt;=0,"SIFIR/NEGATİF",IF(COUNTIFS($C$6:$C$5000,$C2628,$O$6:$O$5000,$O2628,$B$6:$B$5000,$B2628)&gt;1,"MÜKERRER","OK"))))</f>
        <v/>
      </c>
    </row>
    <row r="2629" ht="16.5" customHeight="1" s="80">
      <c r="A2629" s="113" t="n"/>
      <c r="B2629" s="113" t="n"/>
      <c r="C2629" s="113" t="n"/>
      <c r="D2629" s="113" t="n"/>
      <c r="E2629" s="113" t="n"/>
      <c r="F2629" s="113" t="n"/>
      <c r="G2629" s="113" t="n"/>
      <c r="H2629" s="113" t="n"/>
      <c r="I2629" s="113" t="n"/>
      <c r="J2629" s="113" t="n"/>
      <c r="K2629" s="113" t="n"/>
      <c r="L2629" s="113" t="n"/>
      <c r="M2629" s="113" t="n"/>
      <c r="N2629" s="113" t="n"/>
      <c r="O2629" s="113" t="n"/>
      <c r="P2629" s="113" t="n"/>
      <c r="Q2629" s="113" t="n"/>
      <c r="R2629" s="113" t="n"/>
      <c r="S2629" s="113" t="n"/>
      <c r="T2629" s="113" t="n"/>
      <c r="U2629" s="113" t="n"/>
      <c r="V2629" s="113" t="n"/>
      <c r="W2629" s="113" t="n"/>
      <c r="X2629" s="113" t="n"/>
      <c r="Y2629" s="113" t="n"/>
      <c r="Z2629" s="117">
        <f>IF($B2629="",0,IF($S2629="EVET",IF($D2629="GELİR",$O2629,-$O2629),0))</f>
        <v/>
      </c>
      <c r="AA2629" s="117">
        <f>IF($B2629="",0,IF(OR($W2629="EVET",$X2629="EVET",$Y2629="EVET"),0,IF($D2629="GELİR",IF($E2629="SATIŞ İADESİ/İSKONTO",-$O2629,$O2629),-$O2629)))</f>
        <v/>
      </c>
      <c r="AB2629" s="117">
        <f>IF($B2629="","",IF(OR($D2629="",$E2629="",$O2629=""),"EKSİK",IF($O2629&lt;=0,"SIFIR/NEGATİF",IF(COUNTIFS($C$6:$C$5000,$C2629,$O$6:$O$5000,$O2629,$B$6:$B$5000,$B2629)&gt;1,"MÜKERRER","OK"))))</f>
        <v/>
      </c>
    </row>
    <row r="2630" ht="16.5" customHeight="1" s="80">
      <c r="A2630" s="113" t="n"/>
      <c r="B2630" s="113" t="n"/>
      <c r="C2630" s="113" t="n"/>
      <c r="D2630" s="113" t="n"/>
      <c r="E2630" s="113" t="n"/>
      <c r="F2630" s="113" t="n"/>
      <c r="G2630" s="113" t="n"/>
      <c r="H2630" s="113" t="n"/>
      <c r="I2630" s="113" t="n"/>
      <c r="J2630" s="113" t="n"/>
      <c r="K2630" s="113" t="n"/>
      <c r="L2630" s="113" t="n"/>
      <c r="M2630" s="113" t="n"/>
      <c r="N2630" s="113" t="n"/>
      <c r="O2630" s="113" t="n"/>
      <c r="P2630" s="113" t="n"/>
      <c r="Q2630" s="113" t="n"/>
      <c r="R2630" s="113" t="n"/>
      <c r="S2630" s="113" t="n"/>
      <c r="T2630" s="113" t="n"/>
      <c r="U2630" s="113" t="n"/>
      <c r="V2630" s="113" t="n"/>
      <c r="W2630" s="113" t="n"/>
      <c r="X2630" s="113" t="n"/>
      <c r="Y2630" s="113" t="n"/>
      <c r="Z2630" s="117">
        <f>IF($B2630="",0,IF($S2630="EVET",IF($D2630="GELİR",$O2630,-$O2630),0))</f>
        <v/>
      </c>
      <c r="AA2630" s="117">
        <f>IF($B2630="",0,IF(OR($W2630="EVET",$X2630="EVET",$Y2630="EVET"),0,IF($D2630="GELİR",IF($E2630="SATIŞ İADESİ/İSKONTO",-$O2630,$O2630),-$O2630)))</f>
        <v/>
      </c>
      <c r="AB2630" s="117">
        <f>IF($B2630="","",IF(OR($D2630="",$E2630="",$O2630=""),"EKSİK",IF($O2630&lt;=0,"SIFIR/NEGATİF",IF(COUNTIFS($C$6:$C$5000,$C2630,$O$6:$O$5000,$O2630,$B$6:$B$5000,$B2630)&gt;1,"MÜKERRER","OK"))))</f>
        <v/>
      </c>
    </row>
    <row r="2631" ht="16.5" customHeight="1" s="80">
      <c r="A2631" s="113" t="n"/>
      <c r="B2631" s="113" t="n"/>
      <c r="C2631" s="113" t="n"/>
      <c r="D2631" s="113" t="n"/>
      <c r="E2631" s="113" t="n"/>
      <c r="F2631" s="113" t="n"/>
      <c r="G2631" s="113" t="n"/>
      <c r="H2631" s="113" t="n"/>
      <c r="I2631" s="113" t="n"/>
      <c r="J2631" s="113" t="n"/>
      <c r="K2631" s="113" t="n"/>
      <c r="L2631" s="113" t="n"/>
      <c r="M2631" s="113" t="n"/>
      <c r="N2631" s="113" t="n"/>
      <c r="O2631" s="113" t="n"/>
      <c r="P2631" s="113" t="n"/>
      <c r="Q2631" s="113" t="n"/>
      <c r="R2631" s="113" t="n"/>
      <c r="S2631" s="113" t="n"/>
      <c r="T2631" s="113" t="n"/>
      <c r="U2631" s="113" t="n"/>
      <c r="V2631" s="113" t="n"/>
      <c r="W2631" s="113" t="n"/>
      <c r="X2631" s="113" t="n"/>
      <c r="Y2631" s="113" t="n"/>
      <c r="Z2631" s="117">
        <f>IF($B2631="",0,IF($S2631="EVET",IF($D2631="GELİR",$O2631,-$O2631),0))</f>
        <v/>
      </c>
      <c r="AA2631" s="117">
        <f>IF($B2631="",0,IF(OR($W2631="EVET",$X2631="EVET",$Y2631="EVET"),0,IF($D2631="GELİR",IF($E2631="SATIŞ İADESİ/İSKONTO",-$O2631,$O2631),-$O2631)))</f>
        <v/>
      </c>
      <c r="AB2631" s="117">
        <f>IF($B2631="","",IF(OR($D2631="",$E2631="",$O2631=""),"EKSİK",IF($O2631&lt;=0,"SIFIR/NEGATİF",IF(COUNTIFS($C$6:$C$5000,$C2631,$O$6:$O$5000,$O2631,$B$6:$B$5000,$B2631)&gt;1,"MÜKERRER","OK"))))</f>
        <v/>
      </c>
    </row>
    <row r="2632" ht="16.5" customHeight="1" s="80">
      <c r="A2632" s="113" t="n"/>
      <c r="B2632" s="113" t="n"/>
      <c r="C2632" s="113" t="n"/>
      <c r="D2632" s="113" t="n"/>
      <c r="E2632" s="113" t="n"/>
      <c r="F2632" s="113" t="n"/>
      <c r="G2632" s="113" t="n"/>
      <c r="H2632" s="113" t="n"/>
      <c r="I2632" s="113" t="n"/>
      <c r="J2632" s="113" t="n"/>
      <c r="K2632" s="113" t="n"/>
      <c r="L2632" s="113" t="n"/>
      <c r="M2632" s="113" t="n"/>
      <c r="N2632" s="113" t="n"/>
      <c r="O2632" s="113" t="n"/>
      <c r="P2632" s="113" t="n"/>
      <c r="Q2632" s="113" t="n"/>
      <c r="R2632" s="113" t="n"/>
      <c r="S2632" s="113" t="n"/>
      <c r="T2632" s="113" t="n"/>
      <c r="U2632" s="113" t="n"/>
      <c r="V2632" s="113" t="n"/>
      <c r="W2632" s="113" t="n"/>
      <c r="X2632" s="113" t="n"/>
      <c r="Y2632" s="113" t="n"/>
      <c r="Z2632" s="117">
        <f>IF($B2632="",0,IF($S2632="EVET",IF($D2632="GELİR",$O2632,-$O2632),0))</f>
        <v/>
      </c>
      <c r="AA2632" s="117">
        <f>IF($B2632="",0,IF(OR($W2632="EVET",$X2632="EVET",$Y2632="EVET"),0,IF($D2632="GELİR",IF($E2632="SATIŞ İADESİ/İSKONTO",-$O2632,$O2632),-$O2632)))</f>
        <v/>
      </c>
      <c r="AB2632" s="117">
        <f>IF($B2632="","",IF(OR($D2632="",$E2632="",$O2632=""),"EKSİK",IF($O2632&lt;=0,"SIFIR/NEGATİF",IF(COUNTIFS($C$6:$C$5000,$C2632,$O$6:$O$5000,$O2632,$B$6:$B$5000,$B2632)&gt;1,"MÜKERRER","OK"))))</f>
        <v/>
      </c>
    </row>
    <row r="2633" ht="16.5" customHeight="1" s="80">
      <c r="A2633" s="113" t="n"/>
      <c r="B2633" s="113" t="n"/>
      <c r="C2633" s="113" t="n"/>
      <c r="D2633" s="113" t="n"/>
      <c r="E2633" s="113" t="n"/>
      <c r="F2633" s="113" t="n"/>
      <c r="G2633" s="113" t="n"/>
      <c r="H2633" s="113" t="n"/>
      <c r="I2633" s="113" t="n"/>
      <c r="J2633" s="113" t="n"/>
      <c r="K2633" s="113" t="n"/>
      <c r="L2633" s="113" t="n"/>
      <c r="M2633" s="113" t="n"/>
      <c r="N2633" s="113" t="n"/>
      <c r="O2633" s="113" t="n"/>
      <c r="P2633" s="113" t="n"/>
      <c r="Q2633" s="113" t="n"/>
      <c r="R2633" s="113" t="n"/>
      <c r="S2633" s="113" t="n"/>
      <c r="T2633" s="113" t="n"/>
      <c r="U2633" s="113" t="n"/>
      <c r="V2633" s="113" t="n"/>
      <c r="W2633" s="113" t="n"/>
      <c r="X2633" s="113" t="n"/>
      <c r="Y2633" s="113" t="n"/>
      <c r="Z2633" s="117">
        <f>IF($B2633="",0,IF($S2633="EVET",IF($D2633="GELİR",$O2633,-$O2633),0))</f>
        <v/>
      </c>
      <c r="AA2633" s="117">
        <f>IF($B2633="",0,IF(OR($W2633="EVET",$X2633="EVET",$Y2633="EVET"),0,IF($D2633="GELİR",IF($E2633="SATIŞ İADESİ/İSKONTO",-$O2633,$O2633),-$O2633)))</f>
        <v/>
      </c>
      <c r="AB2633" s="117">
        <f>IF($B2633="","",IF(OR($D2633="",$E2633="",$O2633=""),"EKSİK",IF($O2633&lt;=0,"SIFIR/NEGATİF",IF(COUNTIFS($C$6:$C$5000,$C2633,$O$6:$O$5000,$O2633,$B$6:$B$5000,$B2633)&gt;1,"MÜKERRER","OK"))))</f>
        <v/>
      </c>
    </row>
    <row r="2634" ht="16.5" customHeight="1" s="80">
      <c r="A2634" s="113" t="n"/>
      <c r="B2634" s="113" t="n"/>
      <c r="C2634" s="113" t="n"/>
      <c r="D2634" s="113" t="n"/>
      <c r="E2634" s="113" t="n"/>
      <c r="F2634" s="113" t="n"/>
      <c r="G2634" s="113" t="n"/>
      <c r="H2634" s="113" t="n"/>
      <c r="I2634" s="113" t="n"/>
      <c r="J2634" s="113" t="n"/>
      <c r="K2634" s="113" t="n"/>
      <c r="L2634" s="113" t="n"/>
      <c r="M2634" s="113" t="n"/>
      <c r="N2634" s="113" t="n"/>
      <c r="O2634" s="113" t="n"/>
      <c r="P2634" s="113" t="n"/>
      <c r="Q2634" s="113" t="n"/>
      <c r="R2634" s="113" t="n"/>
      <c r="S2634" s="113" t="n"/>
      <c r="T2634" s="113" t="n"/>
      <c r="U2634" s="113" t="n"/>
      <c r="V2634" s="113" t="n"/>
      <c r="W2634" s="113" t="n"/>
      <c r="X2634" s="113" t="n"/>
      <c r="Y2634" s="113" t="n"/>
      <c r="Z2634" s="117">
        <f>IF($B2634="",0,IF($S2634="EVET",IF($D2634="GELİR",$O2634,-$O2634),0))</f>
        <v/>
      </c>
      <c r="AA2634" s="117">
        <f>IF($B2634="",0,IF(OR($W2634="EVET",$X2634="EVET",$Y2634="EVET"),0,IF($D2634="GELİR",IF($E2634="SATIŞ İADESİ/İSKONTO",-$O2634,$O2634),-$O2634)))</f>
        <v/>
      </c>
      <c r="AB2634" s="117">
        <f>IF($B2634="","",IF(OR($D2634="",$E2634="",$O2634=""),"EKSİK",IF($O2634&lt;=0,"SIFIR/NEGATİF",IF(COUNTIFS($C$6:$C$5000,$C2634,$O$6:$O$5000,$O2634,$B$6:$B$5000,$B2634)&gt;1,"MÜKERRER","OK"))))</f>
        <v/>
      </c>
    </row>
    <row r="2635" ht="16.5" customHeight="1" s="80">
      <c r="A2635" s="113" t="n"/>
      <c r="B2635" s="113" t="n"/>
      <c r="C2635" s="113" t="n"/>
      <c r="D2635" s="113" t="n"/>
      <c r="E2635" s="113" t="n"/>
      <c r="F2635" s="113" t="n"/>
      <c r="G2635" s="113" t="n"/>
      <c r="H2635" s="113" t="n"/>
      <c r="I2635" s="113" t="n"/>
      <c r="J2635" s="113" t="n"/>
      <c r="K2635" s="113" t="n"/>
      <c r="L2635" s="113" t="n"/>
      <c r="M2635" s="113" t="n"/>
      <c r="N2635" s="113" t="n"/>
      <c r="O2635" s="113" t="n"/>
      <c r="P2635" s="113" t="n"/>
      <c r="Q2635" s="113" t="n"/>
      <c r="R2635" s="113" t="n"/>
      <c r="S2635" s="113" t="n"/>
      <c r="T2635" s="113" t="n"/>
      <c r="U2635" s="113" t="n"/>
      <c r="V2635" s="113" t="n"/>
      <c r="W2635" s="113" t="n"/>
      <c r="X2635" s="113" t="n"/>
      <c r="Y2635" s="113" t="n"/>
      <c r="Z2635" s="117">
        <f>IF($B2635="",0,IF($S2635="EVET",IF($D2635="GELİR",$O2635,-$O2635),0))</f>
        <v/>
      </c>
      <c r="AA2635" s="117">
        <f>IF($B2635="",0,IF(OR($W2635="EVET",$X2635="EVET",$Y2635="EVET"),0,IF($D2635="GELİR",IF($E2635="SATIŞ İADESİ/İSKONTO",-$O2635,$O2635),-$O2635)))</f>
        <v/>
      </c>
      <c r="AB2635" s="117">
        <f>IF($B2635="","",IF(OR($D2635="",$E2635="",$O2635=""),"EKSİK",IF($O2635&lt;=0,"SIFIR/NEGATİF",IF(COUNTIFS($C$6:$C$5000,$C2635,$O$6:$O$5000,$O2635,$B$6:$B$5000,$B2635)&gt;1,"MÜKERRER","OK"))))</f>
        <v/>
      </c>
    </row>
    <row r="2636" ht="16.5" customHeight="1" s="80">
      <c r="A2636" s="113" t="n"/>
      <c r="B2636" s="113" t="n"/>
      <c r="C2636" s="113" t="n"/>
      <c r="D2636" s="113" t="n"/>
      <c r="E2636" s="113" t="n"/>
      <c r="F2636" s="113" t="n"/>
      <c r="G2636" s="113" t="n"/>
      <c r="H2636" s="113" t="n"/>
      <c r="I2636" s="113" t="n"/>
      <c r="J2636" s="113" t="n"/>
      <c r="K2636" s="113" t="n"/>
      <c r="L2636" s="113" t="n"/>
      <c r="M2636" s="113" t="n"/>
      <c r="N2636" s="113" t="n"/>
      <c r="O2636" s="113" t="n"/>
      <c r="P2636" s="113" t="n"/>
      <c r="Q2636" s="113" t="n"/>
      <c r="R2636" s="113" t="n"/>
      <c r="S2636" s="113" t="n"/>
      <c r="T2636" s="113" t="n"/>
      <c r="U2636" s="113" t="n"/>
      <c r="V2636" s="113" t="n"/>
      <c r="W2636" s="113" t="n"/>
      <c r="X2636" s="113" t="n"/>
      <c r="Y2636" s="113" t="n"/>
      <c r="Z2636" s="117">
        <f>IF($B2636="",0,IF($S2636="EVET",IF($D2636="GELİR",$O2636,-$O2636),0))</f>
        <v/>
      </c>
      <c r="AA2636" s="117">
        <f>IF($B2636="",0,IF(OR($W2636="EVET",$X2636="EVET",$Y2636="EVET"),0,IF($D2636="GELİR",IF($E2636="SATIŞ İADESİ/İSKONTO",-$O2636,$O2636),-$O2636)))</f>
        <v/>
      </c>
      <c r="AB2636" s="117">
        <f>IF($B2636="","",IF(OR($D2636="",$E2636="",$O2636=""),"EKSİK",IF($O2636&lt;=0,"SIFIR/NEGATİF",IF(COUNTIFS($C$6:$C$5000,$C2636,$O$6:$O$5000,$O2636,$B$6:$B$5000,$B2636)&gt;1,"MÜKERRER","OK"))))</f>
        <v/>
      </c>
    </row>
    <row r="2637" ht="16.5" customHeight="1" s="80">
      <c r="A2637" s="113" t="n"/>
      <c r="B2637" s="113" t="n"/>
      <c r="C2637" s="113" t="n"/>
      <c r="D2637" s="113" t="n"/>
      <c r="E2637" s="113" t="n"/>
      <c r="F2637" s="113" t="n"/>
      <c r="G2637" s="113" t="n"/>
      <c r="H2637" s="113" t="n"/>
      <c r="I2637" s="113" t="n"/>
      <c r="J2637" s="113" t="n"/>
      <c r="K2637" s="113" t="n"/>
      <c r="L2637" s="113" t="n"/>
      <c r="M2637" s="113" t="n"/>
      <c r="N2637" s="113" t="n"/>
      <c r="O2637" s="113" t="n"/>
      <c r="P2637" s="113" t="n"/>
      <c r="Q2637" s="113" t="n"/>
      <c r="R2637" s="113" t="n"/>
      <c r="S2637" s="113" t="n"/>
      <c r="T2637" s="113" t="n"/>
      <c r="U2637" s="113" t="n"/>
      <c r="V2637" s="113" t="n"/>
      <c r="W2637" s="113" t="n"/>
      <c r="X2637" s="113" t="n"/>
      <c r="Y2637" s="113" t="n"/>
      <c r="Z2637" s="117">
        <f>IF($B2637="",0,IF($S2637="EVET",IF($D2637="GELİR",$O2637,-$O2637),0))</f>
        <v/>
      </c>
      <c r="AA2637" s="117">
        <f>IF($B2637="",0,IF(OR($W2637="EVET",$X2637="EVET",$Y2637="EVET"),0,IF($D2637="GELİR",IF($E2637="SATIŞ İADESİ/İSKONTO",-$O2637,$O2637),-$O2637)))</f>
        <v/>
      </c>
      <c r="AB2637" s="117">
        <f>IF($B2637="","",IF(OR($D2637="",$E2637="",$O2637=""),"EKSİK",IF($O2637&lt;=0,"SIFIR/NEGATİF",IF(COUNTIFS($C$6:$C$5000,$C2637,$O$6:$O$5000,$O2637,$B$6:$B$5000,$B2637)&gt;1,"MÜKERRER","OK"))))</f>
        <v/>
      </c>
    </row>
    <row r="2638" ht="16.5" customHeight="1" s="80">
      <c r="A2638" s="113" t="n"/>
      <c r="B2638" s="113" t="n"/>
      <c r="C2638" s="113" t="n"/>
      <c r="D2638" s="113" t="n"/>
      <c r="E2638" s="113" t="n"/>
      <c r="F2638" s="113" t="n"/>
      <c r="G2638" s="113" t="n"/>
      <c r="H2638" s="113" t="n"/>
      <c r="I2638" s="113" t="n"/>
      <c r="J2638" s="113" t="n"/>
      <c r="K2638" s="113" t="n"/>
      <c r="L2638" s="113" t="n"/>
      <c r="M2638" s="113" t="n"/>
      <c r="N2638" s="113" t="n"/>
      <c r="O2638" s="113" t="n"/>
      <c r="P2638" s="113" t="n"/>
      <c r="Q2638" s="113" t="n"/>
      <c r="R2638" s="113" t="n"/>
      <c r="S2638" s="113" t="n"/>
      <c r="T2638" s="113" t="n"/>
      <c r="U2638" s="113" t="n"/>
      <c r="V2638" s="113" t="n"/>
      <c r="W2638" s="113" t="n"/>
      <c r="X2638" s="113" t="n"/>
      <c r="Y2638" s="113" t="n"/>
      <c r="Z2638" s="117">
        <f>IF($B2638="",0,IF($S2638="EVET",IF($D2638="GELİR",$O2638,-$O2638),0))</f>
        <v/>
      </c>
      <c r="AA2638" s="117">
        <f>IF($B2638="",0,IF(OR($W2638="EVET",$X2638="EVET",$Y2638="EVET"),0,IF($D2638="GELİR",IF($E2638="SATIŞ İADESİ/İSKONTO",-$O2638,$O2638),-$O2638)))</f>
        <v/>
      </c>
      <c r="AB2638" s="117">
        <f>IF($B2638="","",IF(OR($D2638="",$E2638="",$O2638=""),"EKSİK",IF($O2638&lt;=0,"SIFIR/NEGATİF",IF(COUNTIFS($C$6:$C$5000,$C2638,$O$6:$O$5000,$O2638,$B$6:$B$5000,$B2638)&gt;1,"MÜKERRER","OK"))))</f>
        <v/>
      </c>
    </row>
    <row r="2639" ht="16.5" customHeight="1" s="80">
      <c r="A2639" s="113" t="n"/>
      <c r="B2639" s="113" t="n"/>
      <c r="C2639" s="113" t="n"/>
      <c r="D2639" s="113" t="n"/>
      <c r="E2639" s="113" t="n"/>
      <c r="F2639" s="113" t="n"/>
      <c r="G2639" s="113" t="n"/>
      <c r="H2639" s="113" t="n"/>
      <c r="I2639" s="113" t="n"/>
      <c r="J2639" s="113" t="n"/>
      <c r="K2639" s="113" t="n"/>
      <c r="L2639" s="113" t="n"/>
      <c r="M2639" s="113" t="n"/>
      <c r="N2639" s="113" t="n"/>
      <c r="O2639" s="113" t="n"/>
      <c r="P2639" s="113" t="n"/>
      <c r="Q2639" s="113" t="n"/>
      <c r="R2639" s="113" t="n"/>
      <c r="S2639" s="113" t="n"/>
      <c r="T2639" s="113" t="n"/>
      <c r="U2639" s="113" t="n"/>
      <c r="V2639" s="113" t="n"/>
      <c r="W2639" s="113" t="n"/>
      <c r="X2639" s="113" t="n"/>
      <c r="Y2639" s="113" t="n"/>
      <c r="Z2639" s="117">
        <f>IF($B2639="",0,IF($S2639="EVET",IF($D2639="GELİR",$O2639,-$O2639),0))</f>
        <v/>
      </c>
      <c r="AA2639" s="117">
        <f>IF($B2639="",0,IF(OR($W2639="EVET",$X2639="EVET",$Y2639="EVET"),0,IF($D2639="GELİR",IF($E2639="SATIŞ İADESİ/İSKONTO",-$O2639,$O2639),-$O2639)))</f>
        <v/>
      </c>
      <c r="AB2639" s="117">
        <f>IF($B2639="","",IF(OR($D2639="",$E2639="",$O2639=""),"EKSİK",IF($O2639&lt;=0,"SIFIR/NEGATİF",IF(COUNTIFS($C$6:$C$5000,$C2639,$O$6:$O$5000,$O2639,$B$6:$B$5000,$B2639)&gt;1,"MÜKERRER","OK"))))</f>
        <v/>
      </c>
    </row>
    <row r="2640" ht="16.5" customHeight="1" s="80">
      <c r="A2640" s="113" t="n"/>
      <c r="B2640" s="113" t="n"/>
      <c r="C2640" s="113" t="n"/>
      <c r="D2640" s="113" t="n"/>
      <c r="E2640" s="113" t="n"/>
      <c r="F2640" s="113" t="n"/>
      <c r="G2640" s="113" t="n"/>
      <c r="H2640" s="113" t="n"/>
      <c r="I2640" s="113" t="n"/>
      <c r="J2640" s="113" t="n"/>
      <c r="K2640" s="113" t="n"/>
      <c r="L2640" s="113" t="n"/>
      <c r="M2640" s="113" t="n"/>
      <c r="N2640" s="113" t="n"/>
      <c r="O2640" s="113" t="n"/>
      <c r="P2640" s="113" t="n"/>
      <c r="Q2640" s="113" t="n"/>
      <c r="R2640" s="113" t="n"/>
      <c r="S2640" s="113" t="n"/>
      <c r="T2640" s="113" t="n"/>
      <c r="U2640" s="113" t="n"/>
      <c r="V2640" s="113" t="n"/>
      <c r="W2640" s="113" t="n"/>
      <c r="X2640" s="113" t="n"/>
      <c r="Y2640" s="113" t="n"/>
      <c r="Z2640" s="117">
        <f>IF($B2640="",0,IF($S2640="EVET",IF($D2640="GELİR",$O2640,-$O2640),0))</f>
        <v/>
      </c>
      <c r="AA2640" s="117">
        <f>IF($B2640="",0,IF(OR($W2640="EVET",$X2640="EVET",$Y2640="EVET"),0,IF($D2640="GELİR",IF($E2640="SATIŞ İADESİ/İSKONTO",-$O2640,$O2640),-$O2640)))</f>
        <v/>
      </c>
      <c r="AB2640" s="117">
        <f>IF($B2640="","",IF(OR($D2640="",$E2640="",$O2640=""),"EKSİK",IF($O2640&lt;=0,"SIFIR/NEGATİF",IF(COUNTIFS($C$6:$C$5000,$C2640,$O$6:$O$5000,$O2640,$B$6:$B$5000,$B2640)&gt;1,"MÜKERRER","OK"))))</f>
        <v/>
      </c>
    </row>
    <row r="2641" ht="16.5" customHeight="1" s="80">
      <c r="A2641" s="113" t="n"/>
      <c r="B2641" s="113" t="n"/>
      <c r="C2641" s="113" t="n"/>
      <c r="D2641" s="113" t="n"/>
      <c r="E2641" s="113" t="n"/>
      <c r="F2641" s="113" t="n"/>
      <c r="G2641" s="113" t="n"/>
      <c r="H2641" s="113" t="n"/>
      <c r="I2641" s="113" t="n"/>
      <c r="J2641" s="113" t="n"/>
      <c r="K2641" s="113" t="n"/>
      <c r="L2641" s="113" t="n"/>
      <c r="M2641" s="113" t="n"/>
      <c r="N2641" s="113" t="n"/>
      <c r="O2641" s="113" t="n"/>
      <c r="P2641" s="113" t="n"/>
      <c r="Q2641" s="113" t="n"/>
      <c r="R2641" s="113" t="n"/>
      <c r="S2641" s="113" t="n"/>
      <c r="T2641" s="113" t="n"/>
      <c r="U2641" s="113" t="n"/>
      <c r="V2641" s="113" t="n"/>
      <c r="W2641" s="113" t="n"/>
      <c r="X2641" s="113" t="n"/>
      <c r="Y2641" s="113" t="n"/>
      <c r="Z2641" s="117">
        <f>IF($B2641="",0,IF($S2641="EVET",IF($D2641="GELİR",$O2641,-$O2641),0))</f>
        <v/>
      </c>
      <c r="AA2641" s="117">
        <f>IF($B2641="",0,IF(OR($W2641="EVET",$X2641="EVET",$Y2641="EVET"),0,IF($D2641="GELİR",IF($E2641="SATIŞ İADESİ/İSKONTO",-$O2641,$O2641),-$O2641)))</f>
        <v/>
      </c>
      <c r="AB2641" s="117">
        <f>IF($B2641="","",IF(OR($D2641="",$E2641="",$O2641=""),"EKSİK",IF($O2641&lt;=0,"SIFIR/NEGATİF",IF(COUNTIFS($C$6:$C$5000,$C2641,$O$6:$O$5000,$O2641,$B$6:$B$5000,$B2641)&gt;1,"MÜKERRER","OK"))))</f>
        <v/>
      </c>
    </row>
    <row r="2642" ht="16.5" customHeight="1" s="80">
      <c r="A2642" s="113" t="n"/>
      <c r="B2642" s="113" t="n"/>
      <c r="C2642" s="113" t="n"/>
      <c r="D2642" s="113" t="n"/>
      <c r="E2642" s="113" t="n"/>
      <c r="F2642" s="113" t="n"/>
      <c r="G2642" s="113" t="n"/>
      <c r="H2642" s="113" t="n"/>
      <c r="I2642" s="113" t="n"/>
      <c r="J2642" s="113" t="n"/>
      <c r="K2642" s="113" t="n"/>
      <c r="L2642" s="113" t="n"/>
      <c r="M2642" s="113" t="n"/>
      <c r="N2642" s="113" t="n"/>
      <c r="O2642" s="113" t="n"/>
      <c r="P2642" s="113" t="n"/>
      <c r="Q2642" s="113" t="n"/>
      <c r="R2642" s="113" t="n"/>
      <c r="S2642" s="113" t="n"/>
      <c r="T2642" s="113" t="n"/>
      <c r="U2642" s="113" t="n"/>
      <c r="V2642" s="113" t="n"/>
      <c r="W2642" s="113" t="n"/>
      <c r="X2642" s="113" t="n"/>
      <c r="Y2642" s="113" t="n"/>
      <c r="Z2642" s="117">
        <f>IF($B2642="",0,IF($S2642="EVET",IF($D2642="GELİR",$O2642,-$O2642),0))</f>
        <v/>
      </c>
      <c r="AA2642" s="117">
        <f>IF($B2642="",0,IF(OR($W2642="EVET",$X2642="EVET",$Y2642="EVET"),0,IF($D2642="GELİR",IF($E2642="SATIŞ İADESİ/İSKONTO",-$O2642,$O2642),-$O2642)))</f>
        <v/>
      </c>
      <c r="AB2642" s="117">
        <f>IF($B2642="","",IF(OR($D2642="",$E2642="",$O2642=""),"EKSİK",IF($O2642&lt;=0,"SIFIR/NEGATİF",IF(COUNTIFS($C$6:$C$5000,$C2642,$O$6:$O$5000,$O2642,$B$6:$B$5000,$B2642)&gt;1,"MÜKERRER","OK"))))</f>
        <v/>
      </c>
    </row>
    <row r="2643" ht="16.5" customHeight="1" s="80">
      <c r="A2643" s="113" t="n"/>
      <c r="B2643" s="113" t="n"/>
      <c r="C2643" s="113" t="n"/>
      <c r="D2643" s="113" t="n"/>
      <c r="E2643" s="113" t="n"/>
      <c r="F2643" s="113" t="n"/>
      <c r="G2643" s="113" t="n"/>
      <c r="H2643" s="113" t="n"/>
      <c r="I2643" s="113" t="n"/>
      <c r="J2643" s="113" t="n"/>
      <c r="K2643" s="113" t="n"/>
      <c r="L2643" s="113" t="n"/>
      <c r="M2643" s="113" t="n"/>
      <c r="N2643" s="113" t="n"/>
      <c r="O2643" s="113" t="n"/>
      <c r="P2643" s="113" t="n"/>
      <c r="Q2643" s="113" t="n"/>
      <c r="R2643" s="113" t="n"/>
      <c r="S2643" s="113" t="n"/>
      <c r="T2643" s="113" t="n"/>
      <c r="U2643" s="113" t="n"/>
      <c r="V2643" s="113" t="n"/>
      <c r="W2643" s="113" t="n"/>
      <c r="X2643" s="113" t="n"/>
      <c r="Y2643" s="113" t="n"/>
      <c r="Z2643" s="117">
        <f>IF($B2643="",0,IF($S2643="EVET",IF($D2643="GELİR",$O2643,-$O2643),0))</f>
        <v/>
      </c>
      <c r="AA2643" s="117">
        <f>IF($B2643="",0,IF(OR($W2643="EVET",$X2643="EVET",$Y2643="EVET"),0,IF($D2643="GELİR",IF($E2643="SATIŞ İADESİ/İSKONTO",-$O2643,$O2643),-$O2643)))</f>
        <v/>
      </c>
      <c r="AB2643" s="117">
        <f>IF($B2643="","",IF(OR($D2643="",$E2643="",$O2643=""),"EKSİK",IF($O2643&lt;=0,"SIFIR/NEGATİF",IF(COUNTIFS($C$6:$C$5000,$C2643,$O$6:$O$5000,$O2643,$B$6:$B$5000,$B2643)&gt;1,"MÜKERRER","OK"))))</f>
        <v/>
      </c>
    </row>
    <row r="2644" ht="16.5" customHeight="1" s="80">
      <c r="A2644" s="113" t="n"/>
      <c r="B2644" s="113" t="n"/>
      <c r="C2644" s="113" t="n"/>
      <c r="D2644" s="113" t="n"/>
      <c r="E2644" s="113" t="n"/>
      <c r="F2644" s="113" t="n"/>
      <c r="G2644" s="113" t="n"/>
      <c r="H2644" s="113" t="n"/>
      <c r="I2644" s="113" t="n"/>
      <c r="J2644" s="113" t="n"/>
      <c r="K2644" s="113" t="n"/>
      <c r="L2644" s="113" t="n"/>
      <c r="M2644" s="113" t="n"/>
      <c r="N2644" s="113" t="n"/>
      <c r="O2644" s="113" t="n"/>
      <c r="P2644" s="113" t="n"/>
      <c r="Q2644" s="113" t="n"/>
      <c r="R2644" s="113" t="n"/>
      <c r="S2644" s="113" t="n"/>
      <c r="T2644" s="113" t="n"/>
      <c r="U2644" s="113" t="n"/>
      <c r="V2644" s="113" t="n"/>
      <c r="W2644" s="113" t="n"/>
      <c r="X2644" s="113" t="n"/>
      <c r="Y2644" s="113" t="n"/>
      <c r="Z2644" s="117">
        <f>IF($B2644="",0,IF($S2644="EVET",IF($D2644="GELİR",$O2644,-$O2644),0))</f>
        <v/>
      </c>
      <c r="AA2644" s="117">
        <f>IF($B2644="",0,IF(OR($W2644="EVET",$X2644="EVET",$Y2644="EVET"),0,IF($D2644="GELİR",IF($E2644="SATIŞ İADESİ/İSKONTO",-$O2644,$O2644),-$O2644)))</f>
        <v/>
      </c>
      <c r="AB2644" s="117">
        <f>IF($B2644="","",IF(OR($D2644="",$E2644="",$O2644=""),"EKSİK",IF($O2644&lt;=0,"SIFIR/NEGATİF",IF(COUNTIFS($C$6:$C$5000,$C2644,$O$6:$O$5000,$O2644,$B$6:$B$5000,$B2644)&gt;1,"MÜKERRER","OK"))))</f>
        <v/>
      </c>
    </row>
    <row r="2645" ht="16.5" customHeight="1" s="80">
      <c r="A2645" s="113" t="n"/>
      <c r="B2645" s="113" t="n"/>
      <c r="C2645" s="113" t="n"/>
      <c r="D2645" s="113" t="n"/>
      <c r="E2645" s="113" t="n"/>
      <c r="F2645" s="113" t="n"/>
      <c r="G2645" s="113" t="n"/>
      <c r="H2645" s="113" t="n"/>
      <c r="I2645" s="113" t="n"/>
      <c r="J2645" s="113" t="n"/>
      <c r="K2645" s="113" t="n"/>
      <c r="L2645" s="113" t="n"/>
      <c r="M2645" s="113" t="n"/>
      <c r="N2645" s="113" t="n"/>
      <c r="O2645" s="113" t="n"/>
      <c r="P2645" s="113" t="n"/>
      <c r="Q2645" s="113" t="n"/>
      <c r="R2645" s="113" t="n"/>
      <c r="S2645" s="113" t="n"/>
      <c r="T2645" s="113" t="n"/>
      <c r="U2645" s="113" t="n"/>
      <c r="V2645" s="113" t="n"/>
      <c r="W2645" s="113" t="n"/>
      <c r="X2645" s="113" t="n"/>
      <c r="Y2645" s="113" t="n"/>
      <c r="Z2645" s="117">
        <f>IF($B2645="",0,IF($S2645="EVET",IF($D2645="GELİR",$O2645,-$O2645),0))</f>
        <v/>
      </c>
      <c r="AA2645" s="117">
        <f>IF($B2645="",0,IF(OR($W2645="EVET",$X2645="EVET",$Y2645="EVET"),0,IF($D2645="GELİR",IF($E2645="SATIŞ İADESİ/İSKONTO",-$O2645,$O2645),-$O2645)))</f>
        <v/>
      </c>
      <c r="AB2645" s="117">
        <f>IF($B2645="","",IF(OR($D2645="",$E2645="",$O2645=""),"EKSİK",IF($O2645&lt;=0,"SIFIR/NEGATİF",IF(COUNTIFS($C$6:$C$5000,$C2645,$O$6:$O$5000,$O2645,$B$6:$B$5000,$B2645)&gt;1,"MÜKERRER","OK"))))</f>
        <v/>
      </c>
    </row>
    <row r="2646" ht="16.5" customHeight="1" s="80">
      <c r="A2646" s="113" t="n"/>
      <c r="B2646" s="113" t="n"/>
      <c r="C2646" s="113" t="n"/>
      <c r="D2646" s="113" t="n"/>
      <c r="E2646" s="113" t="n"/>
      <c r="F2646" s="113" t="n"/>
      <c r="G2646" s="113" t="n"/>
      <c r="H2646" s="113" t="n"/>
      <c r="I2646" s="113" t="n"/>
      <c r="J2646" s="113" t="n"/>
      <c r="K2646" s="113" t="n"/>
      <c r="L2646" s="113" t="n"/>
      <c r="M2646" s="113" t="n"/>
      <c r="N2646" s="113" t="n"/>
      <c r="O2646" s="113" t="n"/>
      <c r="P2646" s="113" t="n"/>
      <c r="Q2646" s="113" t="n"/>
      <c r="R2646" s="113" t="n"/>
      <c r="S2646" s="113" t="n"/>
      <c r="T2646" s="113" t="n"/>
      <c r="U2646" s="113" t="n"/>
      <c r="V2646" s="113" t="n"/>
      <c r="W2646" s="113" t="n"/>
      <c r="X2646" s="113" t="n"/>
      <c r="Y2646" s="113" t="n"/>
      <c r="Z2646" s="117">
        <f>IF($B2646="",0,IF($S2646="EVET",IF($D2646="GELİR",$O2646,-$O2646),0))</f>
        <v/>
      </c>
      <c r="AA2646" s="117">
        <f>IF($B2646="",0,IF(OR($W2646="EVET",$X2646="EVET",$Y2646="EVET"),0,IF($D2646="GELİR",IF($E2646="SATIŞ İADESİ/İSKONTO",-$O2646,$O2646),-$O2646)))</f>
        <v/>
      </c>
      <c r="AB2646" s="117">
        <f>IF($B2646="","",IF(OR($D2646="",$E2646="",$O2646=""),"EKSİK",IF($O2646&lt;=0,"SIFIR/NEGATİF",IF(COUNTIFS($C$6:$C$5000,$C2646,$O$6:$O$5000,$O2646,$B$6:$B$5000,$B2646)&gt;1,"MÜKERRER","OK"))))</f>
        <v/>
      </c>
    </row>
    <row r="2647" ht="16.5" customHeight="1" s="80">
      <c r="A2647" s="113" t="n"/>
      <c r="B2647" s="113" t="n"/>
      <c r="C2647" s="113" t="n"/>
      <c r="D2647" s="113" t="n"/>
      <c r="E2647" s="113" t="n"/>
      <c r="F2647" s="113" t="n"/>
      <c r="G2647" s="113" t="n"/>
      <c r="H2647" s="113" t="n"/>
      <c r="I2647" s="113" t="n"/>
      <c r="J2647" s="113" t="n"/>
      <c r="K2647" s="113" t="n"/>
      <c r="L2647" s="113" t="n"/>
      <c r="M2647" s="113" t="n"/>
      <c r="N2647" s="113" t="n"/>
      <c r="O2647" s="113" t="n"/>
      <c r="P2647" s="113" t="n"/>
      <c r="Q2647" s="113" t="n"/>
      <c r="R2647" s="113" t="n"/>
      <c r="S2647" s="113" t="n"/>
      <c r="T2647" s="113" t="n"/>
      <c r="U2647" s="113" t="n"/>
      <c r="V2647" s="113" t="n"/>
      <c r="W2647" s="113" t="n"/>
      <c r="X2647" s="113" t="n"/>
      <c r="Y2647" s="113" t="n"/>
      <c r="Z2647" s="117">
        <f>IF($B2647="",0,IF($S2647="EVET",IF($D2647="GELİR",$O2647,-$O2647),0))</f>
        <v/>
      </c>
      <c r="AA2647" s="117">
        <f>IF($B2647="",0,IF(OR($W2647="EVET",$X2647="EVET",$Y2647="EVET"),0,IF($D2647="GELİR",IF($E2647="SATIŞ İADESİ/İSKONTO",-$O2647,$O2647),-$O2647)))</f>
        <v/>
      </c>
      <c r="AB2647" s="117">
        <f>IF($B2647="","",IF(OR($D2647="",$E2647="",$O2647=""),"EKSİK",IF($O2647&lt;=0,"SIFIR/NEGATİF",IF(COUNTIFS($C$6:$C$5000,$C2647,$O$6:$O$5000,$O2647,$B$6:$B$5000,$B2647)&gt;1,"MÜKERRER","OK"))))</f>
        <v/>
      </c>
    </row>
    <row r="2648" ht="16.5" customHeight="1" s="80">
      <c r="A2648" s="113" t="n"/>
      <c r="B2648" s="113" t="n"/>
      <c r="C2648" s="113" t="n"/>
      <c r="D2648" s="113" t="n"/>
      <c r="E2648" s="113" t="n"/>
      <c r="F2648" s="113" t="n"/>
      <c r="G2648" s="113" t="n"/>
      <c r="H2648" s="113" t="n"/>
      <c r="I2648" s="113" t="n"/>
      <c r="J2648" s="113" t="n"/>
      <c r="K2648" s="113" t="n"/>
      <c r="L2648" s="113" t="n"/>
      <c r="M2648" s="113" t="n"/>
      <c r="N2648" s="113" t="n"/>
      <c r="O2648" s="113" t="n"/>
      <c r="P2648" s="113" t="n"/>
      <c r="Q2648" s="113" t="n"/>
      <c r="R2648" s="113" t="n"/>
      <c r="S2648" s="113" t="n"/>
      <c r="T2648" s="113" t="n"/>
      <c r="U2648" s="113" t="n"/>
      <c r="V2648" s="113" t="n"/>
      <c r="W2648" s="113" t="n"/>
      <c r="X2648" s="113" t="n"/>
      <c r="Y2648" s="113" t="n"/>
      <c r="Z2648" s="117">
        <f>IF($B2648="",0,IF($S2648="EVET",IF($D2648="GELİR",$O2648,-$O2648),0))</f>
        <v/>
      </c>
      <c r="AA2648" s="117">
        <f>IF($B2648="",0,IF(OR($W2648="EVET",$X2648="EVET",$Y2648="EVET"),0,IF($D2648="GELİR",IF($E2648="SATIŞ İADESİ/İSKONTO",-$O2648,$O2648),-$O2648)))</f>
        <v/>
      </c>
      <c r="AB2648" s="117">
        <f>IF($B2648="","",IF(OR($D2648="",$E2648="",$O2648=""),"EKSİK",IF($O2648&lt;=0,"SIFIR/NEGATİF",IF(COUNTIFS($C$6:$C$5000,$C2648,$O$6:$O$5000,$O2648,$B$6:$B$5000,$B2648)&gt;1,"MÜKERRER","OK"))))</f>
        <v/>
      </c>
    </row>
    <row r="2649" ht="16.5" customHeight="1" s="80">
      <c r="A2649" s="113" t="n"/>
      <c r="B2649" s="113" t="n"/>
      <c r="C2649" s="113" t="n"/>
      <c r="D2649" s="113" t="n"/>
      <c r="E2649" s="113" t="n"/>
      <c r="F2649" s="113" t="n"/>
      <c r="G2649" s="113" t="n"/>
      <c r="H2649" s="113" t="n"/>
      <c r="I2649" s="113" t="n"/>
      <c r="J2649" s="113" t="n"/>
      <c r="K2649" s="113" t="n"/>
      <c r="L2649" s="113" t="n"/>
      <c r="M2649" s="113" t="n"/>
      <c r="N2649" s="113" t="n"/>
      <c r="O2649" s="113" t="n"/>
      <c r="P2649" s="113" t="n"/>
      <c r="Q2649" s="113" t="n"/>
      <c r="R2649" s="113" t="n"/>
      <c r="S2649" s="113" t="n"/>
      <c r="T2649" s="113" t="n"/>
      <c r="U2649" s="113" t="n"/>
      <c r="V2649" s="113" t="n"/>
      <c r="W2649" s="113" t="n"/>
      <c r="X2649" s="113" t="n"/>
      <c r="Y2649" s="113" t="n"/>
      <c r="Z2649" s="117">
        <f>IF($B2649="",0,IF($S2649="EVET",IF($D2649="GELİR",$O2649,-$O2649),0))</f>
        <v/>
      </c>
      <c r="AA2649" s="117">
        <f>IF($B2649="",0,IF(OR($W2649="EVET",$X2649="EVET",$Y2649="EVET"),0,IF($D2649="GELİR",IF($E2649="SATIŞ İADESİ/İSKONTO",-$O2649,$O2649),-$O2649)))</f>
        <v/>
      </c>
      <c r="AB2649" s="117">
        <f>IF($B2649="","",IF(OR($D2649="",$E2649="",$O2649=""),"EKSİK",IF($O2649&lt;=0,"SIFIR/NEGATİF",IF(COUNTIFS($C$6:$C$5000,$C2649,$O$6:$O$5000,$O2649,$B$6:$B$5000,$B2649)&gt;1,"MÜKERRER","OK"))))</f>
        <v/>
      </c>
    </row>
    <row r="2650" ht="16.5" customHeight="1" s="80">
      <c r="A2650" s="113" t="n"/>
      <c r="B2650" s="113" t="n"/>
      <c r="C2650" s="113" t="n"/>
      <c r="D2650" s="113" t="n"/>
      <c r="E2650" s="113" t="n"/>
      <c r="F2650" s="113" t="n"/>
      <c r="G2650" s="113" t="n"/>
      <c r="H2650" s="113" t="n"/>
      <c r="I2650" s="113" t="n"/>
      <c r="J2650" s="113" t="n"/>
      <c r="K2650" s="113" t="n"/>
      <c r="L2650" s="113" t="n"/>
      <c r="M2650" s="113" t="n"/>
      <c r="N2650" s="113" t="n"/>
      <c r="O2650" s="113" t="n"/>
      <c r="P2650" s="113" t="n"/>
      <c r="Q2650" s="113" t="n"/>
      <c r="R2650" s="113" t="n"/>
      <c r="S2650" s="113" t="n"/>
      <c r="T2650" s="113" t="n"/>
      <c r="U2650" s="113" t="n"/>
      <c r="V2650" s="113" t="n"/>
      <c r="W2650" s="113" t="n"/>
      <c r="X2650" s="113" t="n"/>
      <c r="Y2650" s="113" t="n"/>
      <c r="Z2650" s="117">
        <f>IF($B2650="",0,IF($S2650="EVET",IF($D2650="GELİR",$O2650,-$O2650),0))</f>
        <v/>
      </c>
      <c r="AA2650" s="117">
        <f>IF($B2650="",0,IF(OR($W2650="EVET",$X2650="EVET",$Y2650="EVET"),0,IF($D2650="GELİR",IF($E2650="SATIŞ İADESİ/İSKONTO",-$O2650,$O2650),-$O2650)))</f>
        <v/>
      </c>
      <c r="AB2650" s="117">
        <f>IF($B2650="","",IF(OR($D2650="",$E2650="",$O2650=""),"EKSİK",IF($O2650&lt;=0,"SIFIR/NEGATİF",IF(COUNTIFS($C$6:$C$5000,$C2650,$O$6:$O$5000,$O2650,$B$6:$B$5000,$B2650)&gt;1,"MÜKERRER","OK"))))</f>
        <v/>
      </c>
    </row>
    <row r="2651" ht="16.5" customHeight="1" s="80">
      <c r="A2651" s="113" t="n"/>
      <c r="B2651" s="113" t="n"/>
      <c r="C2651" s="113" t="n"/>
      <c r="D2651" s="113" t="n"/>
      <c r="E2651" s="113" t="n"/>
      <c r="F2651" s="113" t="n"/>
      <c r="G2651" s="113" t="n"/>
      <c r="H2651" s="113" t="n"/>
      <c r="I2651" s="113" t="n"/>
      <c r="J2651" s="113" t="n"/>
      <c r="K2651" s="113" t="n"/>
      <c r="L2651" s="113" t="n"/>
      <c r="M2651" s="113" t="n"/>
      <c r="N2651" s="113" t="n"/>
      <c r="O2651" s="113" t="n"/>
      <c r="P2651" s="113" t="n"/>
      <c r="Q2651" s="113" t="n"/>
      <c r="R2651" s="113" t="n"/>
      <c r="S2651" s="113" t="n"/>
      <c r="T2651" s="113" t="n"/>
      <c r="U2651" s="113" t="n"/>
      <c r="V2651" s="113" t="n"/>
      <c r="W2651" s="113" t="n"/>
      <c r="X2651" s="113" t="n"/>
      <c r="Y2651" s="113" t="n"/>
      <c r="Z2651" s="117">
        <f>IF($B2651="",0,IF($S2651="EVET",IF($D2651="GELİR",$O2651,-$O2651),0))</f>
        <v/>
      </c>
      <c r="AA2651" s="117">
        <f>IF($B2651="",0,IF(OR($W2651="EVET",$X2651="EVET",$Y2651="EVET"),0,IF($D2651="GELİR",IF($E2651="SATIŞ İADESİ/İSKONTO",-$O2651,$O2651),-$O2651)))</f>
        <v/>
      </c>
      <c r="AB2651" s="117">
        <f>IF($B2651="","",IF(OR($D2651="",$E2651="",$O2651=""),"EKSİK",IF($O2651&lt;=0,"SIFIR/NEGATİF",IF(COUNTIFS($C$6:$C$5000,$C2651,$O$6:$O$5000,$O2651,$B$6:$B$5000,$B2651)&gt;1,"MÜKERRER","OK"))))</f>
        <v/>
      </c>
    </row>
    <row r="2652" ht="16.5" customHeight="1" s="80">
      <c r="A2652" s="113" t="n"/>
      <c r="B2652" s="113" t="n"/>
      <c r="C2652" s="113" t="n"/>
      <c r="D2652" s="113" t="n"/>
      <c r="E2652" s="113" t="n"/>
      <c r="F2652" s="113" t="n"/>
      <c r="G2652" s="113" t="n"/>
      <c r="H2652" s="113" t="n"/>
      <c r="I2652" s="113" t="n"/>
      <c r="J2652" s="113" t="n"/>
      <c r="K2652" s="113" t="n"/>
      <c r="L2652" s="113" t="n"/>
      <c r="M2652" s="113" t="n"/>
      <c r="N2652" s="113" t="n"/>
      <c r="O2652" s="113" t="n"/>
      <c r="P2652" s="113" t="n"/>
      <c r="Q2652" s="113" t="n"/>
      <c r="R2652" s="113" t="n"/>
      <c r="S2652" s="113" t="n"/>
      <c r="T2652" s="113" t="n"/>
      <c r="U2652" s="113" t="n"/>
      <c r="V2652" s="113" t="n"/>
      <c r="W2652" s="113" t="n"/>
      <c r="X2652" s="113" t="n"/>
      <c r="Y2652" s="113" t="n"/>
      <c r="Z2652" s="117">
        <f>IF($B2652="",0,IF($S2652="EVET",IF($D2652="GELİR",$O2652,-$O2652),0))</f>
        <v/>
      </c>
      <c r="AA2652" s="117">
        <f>IF($B2652="",0,IF(OR($W2652="EVET",$X2652="EVET",$Y2652="EVET"),0,IF($D2652="GELİR",IF($E2652="SATIŞ İADESİ/İSKONTO",-$O2652,$O2652),-$O2652)))</f>
        <v/>
      </c>
      <c r="AB2652" s="117">
        <f>IF($B2652="","",IF(OR($D2652="",$E2652="",$O2652=""),"EKSİK",IF($O2652&lt;=0,"SIFIR/NEGATİF",IF(COUNTIFS($C$6:$C$5000,$C2652,$O$6:$O$5000,$O2652,$B$6:$B$5000,$B2652)&gt;1,"MÜKERRER","OK"))))</f>
        <v/>
      </c>
    </row>
    <row r="2653" ht="16.5" customHeight="1" s="80">
      <c r="A2653" s="113" t="n"/>
      <c r="B2653" s="113" t="n"/>
      <c r="C2653" s="113" t="n"/>
      <c r="D2653" s="113" t="n"/>
      <c r="E2653" s="113" t="n"/>
      <c r="F2653" s="113" t="n"/>
      <c r="G2653" s="113" t="n"/>
      <c r="H2653" s="113" t="n"/>
      <c r="I2653" s="113" t="n"/>
      <c r="J2653" s="113" t="n"/>
      <c r="K2653" s="113" t="n"/>
      <c r="L2653" s="113" t="n"/>
      <c r="M2653" s="113" t="n"/>
      <c r="N2653" s="113" t="n"/>
      <c r="O2653" s="113" t="n"/>
      <c r="P2653" s="113" t="n"/>
      <c r="Q2653" s="113" t="n"/>
      <c r="R2653" s="113" t="n"/>
      <c r="S2653" s="113" t="n"/>
      <c r="T2653" s="113" t="n"/>
      <c r="U2653" s="113" t="n"/>
      <c r="V2653" s="113" t="n"/>
      <c r="W2653" s="113" t="n"/>
      <c r="X2653" s="113" t="n"/>
      <c r="Y2653" s="113" t="n"/>
      <c r="Z2653" s="117">
        <f>IF($B2653="",0,IF($S2653="EVET",IF($D2653="GELİR",$O2653,-$O2653),0))</f>
        <v/>
      </c>
      <c r="AA2653" s="117">
        <f>IF($B2653="",0,IF(OR($W2653="EVET",$X2653="EVET",$Y2653="EVET"),0,IF($D2653="GELİR",IF($E2653="SATIŞ İADESİ/İSKONTO",-$O2653,$O2653),-$O2653)))</f>
        <v/>
      </c>
      <c r="AB2653" s="117">
        <f>IF($B2653="","",IF(OR($D2653="",$E2653="",$O2653=""),"EKSİK",IF($O2653&lt;=0,"SIFIR/NEGATİF",IF(COUNTIFS($C$6:$C$5000,$C2653,$O$6:$O$5000,$O2653,$B$6:$B$5000,$B2653)&gt;1,"MÜKERRER","OK"))))</f>
        <v/>
      </c>
    </row>
    <row r="2654" ht="16.5" customHeight="1" s="80">
      <c r="A2654" s="113" t="n"/>
      <c r="B2654" s="113" t="n"/>
      <c r="C2654" s="113" t="n"/>
      <c r="D2654" s="113" t="n"/>
      <c r="E2654" s="113" t="n"/>
      <c r="F2654" s="113" t="n"/>
      <c r="G2654" s="113" t="n"/>
      <c r="H2654" s="113" t="n"/>
      <c r="I2654" s="113" t="n"/>
      <c r="J2654" s="113" t="n"/>
      <c r="K2654" s="113" t="n"/>
      <c r="L2654" s="113" t="n"/>
      <c r="M2654" s="113" t="n"/>
      <c r="N2654" s="113" t="n"/>
      <c r="O2654" s="113" t="n"/>
      <c r="P2654" s="113" t="n"/>
      <c r="Q2654" s="113" t="n"/>
      <c r="R2654" s="113" t="n"/>
      <c r="S2654" s="113" t="n"/>
      <c r="T2654" s="113" t="n"/>
      <c r="U2654" s="113" t="n"/>
      <c r="V2654" s="113" t="n"/>
      <c r="W2654" s="113" t="n"/>
      <c r="X2654" s="113" t="n"/>
      <c r="Y2654" s="113" t="n"/>
      <c r="Z2654" s="117">
        <f>IF($B2654="",0,IF($S2654="EVET",IF($D2654="GELİR",$O2654,-$O2654),0))</f>
        <v/>
      </c>
      <c r="AA2654" s="117">
        <f>IF($B2654="",0,IF(OR($W2654="EVET",$X2654="EVET",$Y2654="EVET"),0,IF($D2654="GELİR",IF($E2654="SATIŞ İADESİ/İSKONTO",-$O2654,$O2654),-$O2654)))</f>
        <v/>
      </c>
      <c r="AB2654" s="117">
        <f>IF($B2654="","",IF(OR($D2654="",$E2654="",$O2654=""),"EKSİK",IF($O2654&lt;=0,"SIFIR/NEGATİF",IF(COUNTIFS($C$6:$C$5000,$C2654,$O$6:$O$5000,$O2654,$B$6:$B$5000,$B2654)&gt;1,"MÜKERRER","OK"))))</f>
        <v/>
      </c>
    </row>
    <row r="2655" ht="16.5" customHeight="1" s="80">
      <c r="A2655" s="113" t="n"/>
      <c r="B2655" s="113" t="n"/>
      <c r="C2655" s="113" t="n"/>
      <c r="D2655" s="113" t="n"/>
      <c r="E2655" s="113" t="n"/>
      <c r="F2655" s="113" t="n"/>
      <c r="G2655" s="113" t="n"/>
      <c r="H2655" s="113" t="n"/>
      <c r="I2655" s="113" t="n"/>
      <c r="J2655" s="113" t="n"/>
      <c r="K2655" s="113" t="n"/>
      <c r="L2655" s="113" t="n"/>
      <c r="M2655" s="113" t="n"/>
      <c r="N2655" s="113" t="n"/>
      <c r="O2655" s="113" t="n"/>
      <c r="P2655" s="113" t="n"/>
      <c r="Q2655" s="113" t="n"/>
      <c r="R2655" s="113" t="n"/>
      <c r="S2655" s="113" t="n"/>
      <c r="T2655" s="113" t="n"/>
      <c r="U2655" s="113" t="n"/>
      <c r="V2655" s="113" t="n"/>
      <c r="W2655" s="113" t="n"/>
      <c r="X2655" s="113" t="n"/>
      <c r="Y2655" s="113" t="n"/>
      <c r="Z2655" s="117">
        <f>IF($B2655="",0,IF($S2655="EVET",IF($D2655="GELİR",$O2655,-$O2655),0))</f>
        <v/>
      </c>
      <c r="AA2655" s="117">
        <f>IF($B2655="",0,IF(OR($W2655="EVET",$X2655="EVET",$Y2655="EVET"),0,IF($D2655="GELİR",IF($E2655="SATIŞ İADESİ/İSKONTO",-$O2655,$O2655),-$O2655)))</f>
        <v/>
      </c>
      <c r="AB2655" s="117">
        <f>IF($B2655="","",IF(OR($D2655="",$E2655="",$O2655=""),"EKSİK",IF($O2655&lt;=0,"SIFIR/NEGATİF",IF(COUNTIFS($C$6:$C$5000,$C2655,$O$6:$O$5000,$O2655,$B$6:$B$5000,$B2655)&gt;1,"MÜKERRER","OK"))))</f>
        <v/>
      </c>
    </row>
    <row r="2656" ht="16.5" customHeight="1" s="80">
      <c r="A2656" s="113" t="n"/>
      <c r="B2656" s="113" t="n"/>
      <c r="C2656" s="113" t="n"/>
      <c r="D2656" s="113" t="n"/>
      <c r="E2656" s="113" t="n"/>
      <c r="F2656" s="113" t="n"/>
      <c r="G2656" s="113" t="n"/>
      <c r="H2656" s="113" t="n"/>
      <c r="I2656" s="113" t="n"/>
      <c r="J2656" s="113" t="n"/>
      <c r="K2656" s="113" t="n"/>
      <c r="L2656" s="113" t="n"/>
      <c r="M2656" s="113" t="n"/>
      <c r="N2656" s="113" t="n"/>
      <c r="O2656" s="113" t="n"/>
      <c r="P2656" s="113" t="n"/>
      <c r="Q2656" s="113" t="n"/>
      <c r="R2656" s="113" t="n"/>
      <c r="S2656" s="113" t="n"/>
      <c r="T2656" s="113" t="n"/>
      <c r="U2656" s="113" t="n"/>
      <c r="V2656" s="113" t="n"/>
      <c r="W2656" s="113" t="n"/>
      <c r="X2656" s="113" t="n"/>
      <c r="Y2656" s="113" t="n"/>
      <c r="Z2656" s="117">
        <f>IF($B2656="",0,IF($S2656="EVET",IF($D2656="GELİR",$O2656,-$O2656),0))</f>
        <v/>
      </c>
      <c r="AA2656" s="117">
        <f>IF($B2656="",0,IF(OR($W2656="EVET",$X2656="EVET",$Y2656="EVET"),0,IF($D2656="GELİR",IF($E2656="SATIŞ İADESİ/İSKONTO",-$O2656,$O2656),-$O2656)))</f>
        <v/>
      </c>
      <c r="AB2656" s="117">
        <f>IF($B2656="","",IF(OR($D2656="",$E2656="",$O2656=""),"EKSİK",IF($O2656&lt;=0,"SIFIR/NEGATİF",IF(COUNTIFS($C$6:$C$5000,$C2656,$O$6:$O$5000,$O2656,$B$6:$B$5000,$B2656)&gt;1,"MÜKERRER","OK"))))</f>
        <v/>
      </c>
    </row>
    <row r="2657" ht="16.5" customHeight="1" s="80">
      <c r="A2657" s="113" t="n"/>
      <c r="B2657" s="113" t="n"/>
      <c r="C2657" s="113" t="n"/>
      <c r="D2657" s="113" t="n"/>
      <c r="E2657" s="113" t="n"/>
      <c r="F2657" s="113" t="n"/>
      <c r="G2657" s="113" t="n"/>
      <c r="H2657" s="113" t="n"/>
      <c r="I2657" s="113" t="n"/>
      <c r="J2657" s="113" t="n"/>
      <c r="K2657" s="113" t="n"/>
      <c r="L2657" s="113" t="n"/>
      <c r="M2657" s="113" t="n"/>
      <c r="N2657" s="113" t="n"/>
      <c r="O2657" s="113" t="n"/>
      <c r="P2657" s="113" t="n"/>
      <c r="Q2657" s="113" t="n"/>
      <c r="R2657" s="113" t="n"/>
      <c r="S2657" s="113" t="n"/>
      <c r="T2657" s="113" t="n"/>
      <c r="U2657" s="113" t="n"/>
      <c r="V2657" s="113" t="n"/>
      <c r="W2657" s="113" t="n"/>
      <c r="X2657" s="113" t="n"/>
      <c r="Y2657" s="113" t="n"/>
      <c r="Z2657" s="117">
        <f>IF($B2657="",0,IF($S2657="EVET",IF($D2657="GELİR",$O2657,-$O2657),0))</f>
        <v/>
      </c>
      <c r="AA2657" s="117">
        <f>IF($B2657="",0,IF(OR($W2657="EVET",$X2657="EVET",$Y2657="EVET"),0,IF($D2657="GELİR",IF($E2657="SATIŞ İADESİ/İSKONTO",-$O2657,$O2657),-$O2657)))</f>
        <v/>
      </c>
      <c r="AB2657" s="117">
        <f>IF($B2657="","",IF(OR($D2657="",$E2657="",$O2657=""),"EKSİK",IF($O2657&lt;=0,"SIFIR/NEGATİF",IF(COUNTIFS($C$6:$C$5000,$C2657,$O$6:$O$5000,$O2657,$B$6:$B$5000,$B2657)&gt;1,"MÜKERRER","OK"))))</f>
        <v/>
      </c>
    </row>
    <row r="2658" ht="16.5" customHeight="1" s="80">
      <c r="A2658" s="113" t="n"/>
      <c r="B2658" s="113" t="n"/>
      <c r="C2658" s="113" t="n"/>
      <c r="D2658" s="113" t="n"/>
      <c r="E2658" s="113" t="n"/>
      <c r="F2658" s="113" t="n"/>
      <c r="G2658" s="113" t="n"/>
      <c r="H2658" s="113" t="n"/>
      <c r="I2658" s="113" t="n"/>
      <c r="J2658" s="113" t="n"/>
      <c r="K2658" s="113" t="n"/>
      <c r="L2658" s="113" t="n"/>
      <c r="M2658" s="113" t="n"/>
      <c r="N2658" s="113" t="n"/>
      <c r="O2658" s="113" t="n"/>
      <c r="P2658" s="113" t="n"/>
      <c r="Q2658" s="113" t="n"/>
      <c r="R2658" s="113" t="n"/>
      <c r="S2658" s="113" t="n"/>
      <c r="T2658" s="113" t="n"/>
      <c r="U2658" s="113" t="n"/>
      <c r="V2658" s="113" t="n"/>
      <c r="W2658" s="113" t="n"/>
      <c r="X2658" s="113" t="n"/>
      <c r="Y2658" s="113" t="n"/>
      <c r="Z2658" s="117">
        <f>IF($B2658="",0,IF($S2658="EVET",IF($D2658="GELİR",$O2658,-$O2658),0))</f>
        <v/>
      </c>
      <c r="AA2658" s="117">
        <f>IF($B2658="",0,IF(OR($W2658="EVET",$X2658="EVET",$Y2658="EVET"),0,IF($D2658="GELİR",IF($E2658="SATIŞ İADESİ/İSKONTO",-$O2658,$O2658),-$O2658)))</f>
        <v/>
      </c>
      <c r="AB2658" s="117">
        <f>IF($B2658="","",IF(OR($D2658="",$E2658="",$O2658=""),"EKSİK",IF($O2658&lt;=0,"SIFIR/NEGATİF",IF(COUNTIFS($C$6:$C$5000,$C2658,$O$6:$O$5000,$O2658,$B$6:$B$5000,$B2658)&gt;1,"MÜKERRER","OK"))))</f>
        <v/>
      </c>
    </row>
    <row r="2659" ht="16.5" customHeight="1" s="80">
      <c r="A2659" s="113" t="n"/>
      <c r="B2659" s="113" t="n"/>
      <c r="C2659" s="113" t="n"/>
      <c r="D2659" s="113" t="n"/>
      <c r="E2659" s="113" t="n"/>
      <c r="F2659" s="113" t="n"/>
      <c r="G2659" s="113" t="n"/>
      <c r="H2659" s="113" t="n"/>
      <c r="I2659" s="113" t="n"/>
      <c r="J2659" s="113" t="n"/>
      <c r="K2659" s="113" t="n"/>
      <c r="L2659" s="113" t="n"/>
      <c r="M2659" s="113" t="n"/>
      <c r="N2659" s="113" t="n"/>
      <c r="O2659" s="113" t="n"/>
      <c r="P2659" s="113" t="n"/>
      <c r="Q2659" s="113" t="n"/>
      <c r="R2659" s="113" t="n"/>
      <c r="S2659" s="113" t="n"/>
      <c r="T2659" s="113" t="n"/>
      <c r="U2659" s="113" t="n"/>
      <c r="V2659" s="113" t="n"/>
      <c r="W2659" s="113" t="n"/>
      <c r="X2659" s="113" t="n"/>
      <c r="Y2659" s="113" t="n"/>
      <c r="Z2659" s="117">
        <f>IF($B2659="",0,IF($S2659="EVET",IF($D2659="GELİR",$O2659,-$O2659),0))</f>
        <v/>
      </c>
      <c r="AA2659" s="117">
        <f>IF($B2659="",0,IF(OR($W2659="EVET",$X2659="EVET",$Y2659="EVET"),0,IF($D2659="GELİR",IF($E2659="SATIŞ İADESİ/İSKONTO",-$O2659,$O2659),-$O2659)))</f>
        <v/>
      </c>
      <c r="AB2659" s="117">
        <f>IF($B2659="","",IF(OR($D2659="",$E2659="",$O2659=""),"EKSİK",IF($O2659&lt;=0,"SIFIR/NEGATİF",IF(COUNTIFS($C$6:$C$5000,$C2659,$O$6:$O$5000,$O2659,$B$6:$B$5000,$B2659)&gt;1,"MÜKERRER","OK"))))</f>
        <v/>
      </c>
    </row>
    <row r="2660" ht="16.5" customHeight="1" s="80">
      <c r="A2660" s="113" t="n"/>
      <c r="B2660" s="113" t="n"/>
      <c r="C2660" s="113" t="n"/>
      <c r="D2660" s="113" t="n"/>
      <c r="E2660" s="113" t="n"/>
      <c r="F2660" s="113" t="n"/>
      <c r="G2660" s="113" t="n"/>
      <c r="H2660" s="113" t="n"/>
      <c r="I2660" s="113" t="n"/>
      <c r="J2660" s="113" t="n"/>
      <c r="K2660" s="113" t="n"/>
      <c r="L2660" s="113" t="n"/>
      <c r="M2660" s="113" t="n"/>
      <c r="N2660" s="113" t="n"/>
      <c r="O2660" s="113" t="n"/>
      <c r="P2660" s="113" t="n"/>
      <c r="Q2660" s="113" t="n"/>
      <c r="R2660" s="113" t="n"/>
      <c r="S2660" s="113" t="n"/>
      <c r="T2660" s="113" t="n"/>
      <c r="U2660" s="113" t="n"/>
      <c r="V2660" s="113" t="n"/>
      <c r="W2660" s="113" t="n"/>
      <c r="X2660" s="113" t="n"/>
      <c r="Y2660" s="113" t="n"/>
      <c r="Z2660" s="117">
        <f>IF($B2660="",0,IF($S2660="EVET",IF($D2660="GELİR",$O2660,-$O2660),0))</f>
        <v/>
      </c>
      <c r="AA2660" s="117">
        <f>IF($B2660="",0,IF(OR($W2660="EVET",$X2660="EVET",$Y2660="EVET"),0,IF($D2660="GELİR",IF($E2660="SATIŞ İADESİ/İSKONTO",-$O2660,$O2660),-$O2660)))</f>
        <v/>
      </c>
      <c r="AB2660" s="117">
        <f>IF($B2660="","",IF(OR($D2660="",$E2660="",$O2660=""),"EKSİK",IF($O2660&lt;=0,"SIFIR/NEGATİF",IF(COUNTIFS($C$6:$C$5000,$C2660,$O$6:$O$5000,$O2660,$B$6:$B$5000,$B2660)&gt;1,"MÜKERRER","OK"))))</f>
        <v/>
      </c>
    </row>
    <row r="2661" ht="16.5" customHeight="1" s="80">
      <c r="A2661" s="113" t="n"/>
      <c r="B2661" s="113" t="n"/>
      <c r="C2661" s="113" t="n"/>
      <c r="D2661" s="113" t="n"/>
      <c r="E2661" s="113" t="n"/>
      <c r="F2661" s="113" t="n"/>
      <c r="G2661" s="113" t="n"/>
      <c r="H2661" s="113" t="n"/>
      <c r="I2661" s="113" t="n"/>
      <c r="J2661" s="113" t="n"/>
      <c r="K2661" s="113" t="n"/>
      <c r="L2661" s="113" t="n"/>
      <c r="M2661" s="113" t="n"/>
      <c r="N2661" s="113" t="n"/>
      <c r="O2661" s="113" t="n"/>
      <c r="P2661" s="113" t="n"/>
      <c r="Q2661" s="113" t="n"/>
      <c r="R2661" s="113" t="n"/>
      <c r="S2661" s="113" t="n"/>
      <c r="T2661" s="113" t="n"/>
      <c r="U2661" s="113" t="n"/>
      <c r="V2661" s="113" t="n"/>
      <c r="W2661" s="113" t="n"/>
      <c r="X2661" s="113" t="n"/>
      <c r="Y2661" s="113" t="n"/>
      <c r="Z2661" s="117">
        <f>IF($B2661="",0,IF($S2661="EVET",IF($D2661="GELİR",$O2661,-$O2661),0))</f>
        <v/>
      </c>
      <c r="AA2661" s="117">
        <f>IF($B2661="",0,IF(OR($W2661="EVET",$X2661="EVET",$Y2661="EVET"),0,IF($D2661="GELİR",IF($E2661="SATIŞ İADESİ/İSKONTO",-$O2661,$O2661),-$O2661)))</f>
        <v/>
      </c>
      <c r="AB2661" s="117">
        <f>IF($B2661="","",IF(OR($D2661="",$E2661="",$O2661=""),"EKSİK",IF($O2661&lt;=0,"SIFIR/NEGATİF",IF(COUNTIFS($C$6:$C$5000,$C2661,$O$6:$O$5000,$O2661,$B$6:$B$5000,$B2661)&gt;1,"MÜKERRER","OK"))))</f>
        <v/>
      </c>
    </row>
    <row r="2662" ht="16.5" customHeight="1" s="80">
      <c r="A2662" s="113" t="n"/>
      <c r="B2662" s="113" t="n"/>
      <c r="C2662" s="113" t="n"/>
      <c r="D2662" s="113" t="n"/>
      <c r="E2662" s="113" t="n"/>
      <c r="F2662" s="113" t="n"/>
      <c r="G2662" s="113" t="n"/>
      <c r="H2662" s="113" t="n"/>
      <c r="I2662" s="113" t="n"/>
      <c r="J2662" s="113" t="n"/>
      <c r="K2662" s="113" t="n"/>
      <c r="L2662" s="113" t="n"/>
      <c r="M2662" s="113" t="n"/>
      <c r="N2662" s="113" t="n"/>
      <c r="O2662" s="113" t="n"/>
      <c r="P2662" s="113" t="n"/>
      <c r="Q2662" s="113" t="n"/>
      <c r="R2662" s="113" t="n"/>
      <c r="S2662" s="113" t="n"/>
      <c r="T2662" s="113" t="n"/>
      <c r="U2662" s="113" t="n"/>
      <c r="V2662" s="113" t="n"/>
      <c r="W2662" s="113" t="n"/>
      <c r="X2662" s="113" t="n"/>
      <c r="Y2662" s="113" t="n"/>
      <c r="Z2662" s="117">
        <f>IF($B2662="",0,IF($S2662="EVET",IF($D2662="GELİR",$O2662,-$O2662),0))</f>
        <v/>
      </c>
      <c r="AA2662" s="117">
        <f>IF($B2662="",0,IF(OR($W2662="EVET",$X2662="EVET",$Y2662="EVET"),0,IF($D2662="GELİR",IF($E2662="SATIŞ İADESİ/İSKONTO",-$O2662,$O2662),-$O2662)))</f>
        <v/>
      </c>
      <c r="AB2662" s="117">
        <f>IF($B2662="","",IF(OR($D2662="",$E2662="",$O2662=""),"EKSİK",IF($O2662&lt;=0,"SIFIR/NEGATİF",IF(COUNTIFS($C$6:$C$5000,$C2662,$O$6:$O$5000,$O2662,$B$6:$B$5000,$B2662)&gt;1,"MÜKERRER","OK"))))</f>
        <v/>
      </c>
    </row>
    <row r="2663" ht="16.5" customHeight="1" s="80">
      <c r="A2663" s="113" t="n"/>
      <c r="B2663" s="113" t="n"/>
      <c r="C2663" s="113" t="n"/>
      <c r="D2663" s="113" t="n"/>
      <c r="E2663" s="113" t="n"/>
      <c r="F2663" s="113" t="n"/>
      <c r="G2663" s="113" t="n"/>
      <c r="H2663" s="113" t="n"/>
      <c r="I2663" s="113" t="n"/>
      <c r="J2663" s="113" t="n"/>
      <c r="K2663" s="113" t="n"/>
      <c r="L2663" s="113" t="n"/>
      <c r="M2663" s="113" t="n"/>
      <c r="N2663" s="113" t="n"/>
      <c r="O2663" s="113" t="n"/>
      <c r="P2663" s="113" t="n"/>
      <c r="Q2663" s="113" t="n"/>
      <c r="R2663" s="113" t="n"/>
      <c r="S2663" s="113" t="n"/>
      <c r="T2663" s="113" t="n"/>
      <c r="U2663" s="113" t="n"/>
      <c r="V2663" s="113" t="n"/>
      <c r="W2663" s="113" t="n"/>
      <c r="X2663" s="113" t="n"/>
      <c r="Y2663" s="113" t="n"/>
      <c r="Z2663" s="117">
        <f>IF($B2663="",0,IF($S2663="EVET",IF($D2663="GELİR",$O2663,-$O2663),0))</f>
        <v/>
      </c>
      <c r="AA2663" s="117">
        <f>IF($B2663="",0,IF(OR($W2663="EVET",$X2663="EVET",$Y2663="EVET"),0,IF($D2663="GELİR",IF($E2663="SATIŞ İADESİ/İSKONTO",-$O2663,$O2663),-$O2663)))</f>
        <v/>
      </c>
      <c r="AB2663" s="117">
        <f>IF($B2663="","",IF(OR($D2663="",$E2663="",$O2663=""),"EKSİK",IF($O2663&lt;=0,"SIFIR/NEGATİF",IF(COUNTIFS($C$6:$C$5000,$C2663,$O$6:$O$5000,$O2663,$B$6:$B$5000,$B2663)&gt;1,"MÜKERRER","OK"))))</f>
        <v/>
      </c>
    </row>
    <row r="2664" ht="16.5" customHeight="1" s="80">
      <c r="A2664" s="113" t="n"/>
      <c r="B2664" s="113" t="n"/>
      <c r="C2664" s="113" t="n"/>
      <c r="D2664" s="113" t="n"/>
      <c r="E2664" s="113" t="n"/>
      <c r="F2664" s="113" t="n"/>
      <c r="G2664" s="113" t="n"/>
      <c r="H2664" s="113" t="n"/>
      <c r="I2664" s="113" t="n"/>
      <c r="J2664" s="113" t="n"/>
      <c r="K2664" s="113" t="n"/>
      <c r="L2664" s="113" t="n"/>
      <c r="M2664" s="113" t="n"/>
      <c r="N2664" s="113" t="n"/>
      <c r="O2664" s="113" t="n"/>
      <c r="P2664" s="113" t="n"/>
      <c r="Q2664" s="113" t="n"/>
      <c r="R2664" s="113" t="n"/>
      <c r="S2664" s="113" t="n"/>
      <c r="T2664" s="113" t="n"/>
      <c r="U2664" s="113" t="n"/>
      <c r="V2664" s="113" t="n"/>
      <c r="W2664" s="113" t="n"/>
      <c r="X2664" s="113" t="n"/>
      <c r="Y2664" s="113" t="n"/>
      <c r="Z2664" s="117">
        <f>IF($B2664="",0,IF($S2664="EVET",IF($D2664="GELİR",$O2664,-$O2664),0))</f>
        <v/>
      </c>
      <c r="AA2664" s="117">
        <f>IF($B2664="",0,IF(OR($W2664="EVET",$X2664="EVET",$Y2664="EVET"),0,IF($D2664="GELİR",IF($E2664="SATIŞ İADESİ/İSKONTO",-$O2664,$O2664),-$O2664)))</f>
        <v/>
      </c>
      <c r="AB2664" s="117">
        <f>IF($B2664="","",IF(OR($D2664="",$E2664="",$O2664=""),"EKSİK",IF($O2664&lt;=0,"SIFIR/NEGATİF",IF(COUNTIFS($C$6:$C$5000,$C2664,$O$6:$O$5000,$O2664,$B$6:$B$5000,$B2664)&gt;1,"MÜKERRER","OK"))))</f>
        <v/>
      </c>
    </row>
    <row r="2665" ht="16.5" customHeight="1" s="80">
      <c r="A2665" s="113" t="n"/>
      <c r="B2665" s="113" t="n"/>
      <c r="C2665" s="113" t="n"/>
      <c r="D2665" s="113" t="n"/>
      <c r="E2665" s="113" t="n"/>
      <c r="F2665" s="113" t="n"/>
      <c r="G2665" s="113" t="n"/>
      <c r="H2665" s="113" t="n"/>
      <c r="I2665" s="113" t="n"/>
      <c r="J2665" s="113" t="n"/>
      <c r="K2665" s="113" t="n"/>
      <c r="L2665" s="113" t="n"/>
      <c r="M2665" s="113" t="n"/>
      <c r="N2665" s="113" t="n"/>
      <c r="O2665" s="113" t="n"/>
      <c r="P2665" s="113" t="n"/>
      <c r="Q2665" s="113" t="n"/>
      <c r="R2665" s="113" t="n"/>
      <c r="S2665" s="113" t="n"/>
      <c r="T2665" s="113" t="n"/>
      <c r="U2665" s="113" t="n"/>
      <c r="V2665" s="113" t="n"/>
      <c r="W2665" s="113" t="n"/>
      <c r="X2665" s="113" t="n"/>
      <c r="Y2665" s="113" t="n"/>
      <c r="Z2665" s="117">
        <f>IF($B2665="",0,IF($S2665="EVET",IF($D2665="GELİR",$O2665,-$O2665),0))</f>
        <v/>
      </c>
      <c r="AA2665" s="117">
        <f>IF($B2665="",0,IF(OR($W2665="EVET",$X2665="EVET",$Y2665="EVET"),0,IF($D2665="GELİR",IF($E2665="SATIŞ İADESİ/İSKONTO",-$O2665,$O2665),-$O2665)))</f>
        <v/>
      </c>
      <c r="AB2665" s="117">
        <f>IF($B2665="","",IF(OR($D2665="",$E2665="",$O2665=""),"EKSİK",IF($O2665&lt;=0,"SIFIR/NEGATİF",IF(COUNTIFS($C$6:$C$5000,$C2665,$O$6:$O$5000,$O2665,$B$6:$B$5000,$B2665)&gt;1,"MÜKERRER","OK"))))</f>
        <v/>
      </c>
    </row>
    <row r="2666" ht="16.5" customHeight="1" s="80">
      <c r="A2666" s="113" t="n"/>
      <c r="B2666" s="113" t="n"/>
      <c r="C2666" s="113" t="n"/>
      <c r="D2666" s="113" t="n"/>
      <c r="E2666" s="113" t="n"/>
      <c r="F2666" s="113" t="n"/>
      <c r="G2666" s="113" t="n"/>
      <c r="H2666" s="113" t="n"/>
      <c r="I2666" s="113" t="n"/>
      <c r="J2666" s="113" t="n"/>
      <c r="K2666" s="113" t="n"/>
      <c r="L2666" s="113" t="n"/>
      <c r="M2666" s="113" t="n"/>
      <c r="N2666" s="113" t="n"/>
      <c r="O2666" s="113" t="n"/>
      <c r="P2666" s="113" t="n"/>
      <c r="Q2666" s="113" t="n"/>
      <c r="R2666" s="113" t="n"/>
      <c r="S2666" s="113" t="n"/>
      <c r="T2666" s="113" t="n"/>
      <c r="U2666" s="113" t="n"/>
      <c r="V2666" s="113" t="n"/>
      <c r="W2666" s="113" t="n"/>
      <c r="X2666" s="113" t="n"/>
      <c r="Y2666" s="113" t="n"/>
      <c r="Z2666" s="117">
        <f>IF($B2666="",0,IF($S2666="EVET",IF($D2666="GELİR",$O2666,-$O2666),0))</f>
        <v/>
      </c>
      <c r="AA2666" s="117">
        <f>IF($B2666="",0,IF(OR($W2666="EVET",$X2666="EVET",$Y2666="EVET"),0,IF($D2666="GELİR",IF($E2666="SATIŞ İADESİ/İSKONTO",-$O2666,$O2666),-$O2666)))</f>
        <v/>
      </c>
      <c r="AB2666" s="117">
        <f>IF($B2666="","",IF(OR($D2666="",$E2666="",$O2666=""),"EKSİK",IF($O2666&lt;=0,"SIFIR/NEGATİF",IF(COUNTIFS($C$6:$C$5000,$C2666,$O$6:$O$5000,$O2666,$B$6:$B$5000,$B2666)&gt;1,"MÜKERRER","OK"))))</f>
        <v/>
      </c>
    </row>
    <row r="2667" ht="16.5" customHeight="1" s="80">
      <c r="A2667" s="113" t="n"/>
      <c r="B2667" s="113" t="n"/>
      <c r="C2667" s="113" t="n"/>
      <c r="D2667" s="113" t="n"/>
      <c r="E2667" s="113" t="n"/>
      <c r="F2667" s="113" t="n"/>
      <c r="G2667" s="113" t="n"/>
      <c r="H2667" s="113" t="n"/>
      <c r="I2667" s="113" t="n"/>
      <c r="J2667" s="113" t="n"/>
      <c r="K2667" s="113" t="n"/>
      <c r="L2667" s="113" t="n"/>
      <c r="M2667" s="113" t="n"/>
      <c r="N2667" s="113" t="n"/>
      <c r="O2667" s="113" t="n"/>
      <c r="P2667" s="113" t="n"/>
      <c r="Q2667" s="113" t="n"/>
      <c r="R2667" s="113" t="n"/>
      <c r="S2667" s="113" t="n"/>
      <c r="T2667" s="113" t="n"/>
      <c r="U2667" s="113" t="n"/>
      <c r="V2667" s="113" t="n"/>
      <c r="W2667" s="113" t="n"/>
      <c r="X2667" s="113" t="n"/>
      <c r="Y2667" s="113" t="n"/>
      <c r="Z2667" s="117">
        <f>IF($B2667="",0,IF($S2667="EVET",IF($D2667="GELİR",$O2667,-$O2667),0))</f>
        <v/>
      </c>
      <c r="AA2667" s="117">
        <f>IF($B2667="",0,IF(OR($W2667="EVET",$X2667="EVET",$Y2667="EVET"),0,IF($D2667="GELİR",IF($E2667="SATIŞ İADESİ/İSKONTO",-$O2667,$O2667),-$O2667)))</f>
        <v/>
      </c>
      <c r="AB2667" s="117">
        <f>IF($B2667="","",IF(OR($D2667="",$E2667="",$O2667=""),"EKSİK",IF($O2667&lt;=0,"SIFIR/NEGATİF",IF(COUNTIFS($C$6:$C$5000,$C2667,$O$6:$O$5000,$O2667,$B$6:$B$5000,$B2667)&gt;1,"MÜKERRER","OK"))))</f>
        <v/>
      </c>
    </row>
    <row r="2668" ht="16.5" customHeight="1" s="80">
      <c r="A2668" s="113" t="n"/>
      <c r="B2668" s="113" t="n"/>
      <c r="C2668" s="113" t="n"/>
      <c r="D2668" s="113" t="n"/>
      <c r="E2668" s="113" t="n"/>
      <c r="F2668" s="113" t="n"/>
      <c r="G2668" s="113" t="n"/>
      <c r="H2668" s="113" t="n"/>
      <c r="I2668" s="113" t="n"/>
      <c r="J2668" s="113" t="n"/>
      <c r="K2668" s="113" t="n"/>
      <c r="L2668" s="113" t="n"/>
      <c r="M2668" s="113" t="n"/>
      <c r="N2668" s="113" t="n"/>
      <c r="O2668" s="113" t="n"/>
      <c r="P2668" s="113" t="n"/>
      <c r="Q2668" s="113" t="n"/>
      <c r="R2668" s="113" t="n"/>
      <c r="S2668" s="113" t="n"/>
      <c r="T2668" s="113" t="n"/>
      <c r="U2668" s="113" t="n"/>
      <c r="V2668" s="113" t="n"/>
      <c r="W2668" s="113" t="n"/>
      <c r="X2668" s="113" t="n"/>
      <c r="Y2668" s="113" t="n"/>
      <c r="Z2668" s="117">
        <f>IF($B2668="",0,IF($S2668="EVET",IF($D2668="GELİR",$O2668,-$O2668),0))</f>
        <v/>
      </c>
      <c r="AA2668" s="117">
        <f>IF($B2668="",0,IF(OR($W2668="EVET",$X2668="EVET",$Y2668="EVET"),0,IF($D2668="GELİR",IF($E2668="SATIŞ İADESİ/İSKONTO",-$O2668,$O2668),-$O2668)))</f>
        <v/>
      </c>
      <c r="AB2668" s="117">
        <f>IF($B2668="","",IF(OR($D2668="",$E2668="",$O2668=""),"EKSİK",IF($O2668&lt;=0,"SIFIR/NEGATİF",IF(COUNTIFS($C$6:$C$5000,$C2668,$O$6:$O$5000,$O2668,$B$6:$B$5000,$B2668)&gt;1,"MÜKERRER","OK"))))</f>
        <v/>
      </c>
    </row>
    <row r="2669" ht="16.5" customHeight="1" s="80">
      <c r="A2669" s="113" t="n"/>
      <c r="B2669" s="113" t="n"/>
      <c r="C2669" s="113" t="n"/>
      <c r="D2669" s="113" t="n"/>
      <c r="E2669" s="113" t="n"/>
      <c r="F2669" s="113" t="n"/>
      <c r="G2669" s="113" t="n"/>
      <c r="H2669" s="113" t="n"/>
      <c r="I2669" s="113" t="n"/>
      <c r="J2669" s="113" t="n"/>
      <c r="K2669" s="113" t="n"/>
      <c r="L2669" s="113" t="n"/>
      <c r="M2669" s="113" t="n"/>
      <c r="N2669" s="113" t="n"/>
      <c r="O2669" s="113" t="n"/>
      <c r="P2669" s="113" t="n"/>
      <c r="Q2669" s="113" t="n"/>
      <c r="R2669" s="113" t="n"/>
      <c r="S2669" s="113" t="n"/>
      <c r="T2669" s="113" t="n"/>
      <c r="U2669" s="113" t="n"/>
      <c r="V2669" s="113" t="n"/>
      <c r="W2669" s="113" t="n"/>
      <c r="X2669" s="113" t="n"/>
      <c r="Y2669" s="113" t="n"/>
      <c r="Z2669" s="117">
        <f>IF($B2669="",0,IF($S2669="EVET",IF($D2669="GELİR",$O2669,-$O2669),0))</f>
        <v/>
      </c>
      <c r="AA2669" s="117">
        <f>IF($B2669="",0,IF(OR($W2669="EVET",$X2669="EVET",$Y2669="EVET"),0,IF($D2669="GELİR",IF($E2669="SATIŞ İADESİ/İSKONTO",-$O2669,$O2669),-$O2669)))</f>
        <v/>
      </c>
      <c r="AB2669" s="117">
        <f>IF($B2669="","",IF(OR($D2669="",$E2669="",$O2669=""),"EKSİK",IF($O2669&lt;=0,"SIFIR/NEGATİF",IF(COUNTIFS($C$6:$C$5000,$C2669,$O$6:$O$5000,$O2669,$B$6:$B$5000,$B2669)&gt;1,"MÜKERRER","OK"))))</f>
        <v/>
      </c>
    </row>
    <row r="2670" ht="16.5" customHeight="1" s="80">
      <c r="A2670" s="113" t="n"/>
      <c r="B2670" s="113" t="n"/>
      <c r="C2670" s="113" t="n"/>
      <c r="D2670" s="113" t="n"/>
      <c r="E2670" s="113" t="n"/>
      <c r="F2670" s="113" t="n"/>
      <c r="G2670" s="113" t="n"/>
      <c r="H2670" s="113" t="n"/>
      <c r="I2670" s="113" t="n"/>
      <c r="J2670" s="113" t="n"/>
      <c r="K2670" s="113" t="n"/>
      <c r="L2670" s="113" t="n"/>
      <c r="M2670" s="113" t="n"/>
      <c r="N2670" s="113" t="n"/>
      <c r="O2670" s="113" t="n"/>
      <c r="P2670" s="113" t="n"/>
      <c r="Q2670" s="113" t="n"/>
      <c r="R2670" s="113" t="n"/>
      <c r="S2670" s="113" t="n"/>
      <c r="T2670" s="113" t="n"/>
      <c r="U2670" s="113" t="n"/>
      <c r="V2670" s="113" t="n"/>
      <c r="W2670" s="113" t="n"/>
      <c r="X2670" s="113" t="n"/>
      <c r="Y2670" s="113" t="n"/>
      <c r="Z2670" s="117">
        <f>IF($B2670="",0,IF($S2670="EVET",IF($D2670="GELİR",$O2670,-$O2670),0))</f>
        <v/>
      </c>
      <c r="AA2670" s="117">
        <f>IF($B2670="",0,IF(OR($W2670="EVET",$X2670="EVET",$Y2670="EVET"),0,IF($D2670="GELİR",IF($E2670="SATIŞ İADESİ/İSKONTO",-$O2670,$O2670),-$O2670)))</f>
        <v/>
      </c>
      <c r="AB2670" s="117">
        <f>IF($B2670="","",IF(OR($D2670="",$E2670="",$O2670=""),"EKSİK",IF($O2670&lt;=0,"SIFIR/NEGATİF",IF(COUNTIFS($C$6:$C$5000,$C2670,$O$6:$O$5000,$O2670,$B$6:$B$5000,$B2670)&gt;1,"MÜKERRER","OK"))))</f>
        <v/>
      </c>
    </row>
    <row r="2671" ht="16.5" customHeight="1" s="80">
      <c r="A2671" s="113" t="n"/>
      <c r="B2671" s="113" t="n"/>
      <c r="C2671" s="113" t="n"/>
      <c r="D2671" s="113" t="n"/>
      <c r="E2671" s="113" t="n"/>
      <c r="F2671" s="113" t="n"/>
      <c r="G2671" s="113" t="n"/>
      <c r="H2671" s="113" t="n"/>
      <c r="I2671" s="113" t="n"/>
      <c r="J2671" s="113" t="n"/>
      <c r="K2671" s="113" t="n"/>
      <c r="L2671" s="113" t="n"/>
      <c r="M2671" s="113" t="n"/>
      <c r="N2671" s="113" t="n"/>
      <c r="O2671" s="113" t="n"/>
      <c r="P2671" s="113" t="n"/>
      <c r="Q2671" s="113" t="n"/>
      <c r="R2671" s="113" t="n"/>
      <c r="S2671" s="113" t="n"/>
      <c r="T2671" s="113" t="n"/>
      <c r="U2671" s="113" t="n"/>
      <c r="V2671" s="113" t="n"/>
      <c r="W2671" s="113" t="n"/>
      <c r="X2671" s="113" t="n"/>
      <c r="Y2671" s="113" t="n"/>
      <c r="Z2671" s="117">
        <f>IF($B2671="",0,IF($S2671="EVET",IF($D2671="GELİR",$O2671,-$O2671),0))</f>
        <v/>
      </c>
      <c r="AA2671" s="117">
        <f>IF($B2671="",0,IF(OR($W2671="EVET",$X2671="EVET",$Y2671="EVET"),0,IF($D2671="GELİR",IF($E2671="SATIŞ İADESİ/İSKONTO",-$O2671,$O2671),-$O2671)))</f>
        <v/>
      </c>
      <c r="AB2671" s="117">
        <f>IF($B2671="","",IF(OR($D2671="",$E2671="",$O2671=""),"EKSİK",IF($O2671&lt;=0,"SIFIR/NEGATİF",IF(COUNTIFS($C$6:$C$5000,$C2671,$O$6:$O$5000,$O2671,$B$6:$B$5000,$B2671)&gt;1,"MÜKERRER","OK"))))</f>
        <v/>
      </c>
    </row>
    <row r="2672" ht="16.5" customHeight="1" s="80">
      <c r="A2672" s="113" t="n"/>
      <c r="B2672" s="113" t="n"/>
      <c r="C2672" s="113" t="n"/>
      <c r="D2672" s="113" t="n"/>
      <c r="E2672" s="113" t="n"/>
      <c r="F2672" s="113" t="n"/>
      <c r="G2672" s="113" t="n"/>
      <c r="H2672" s="113" t="n"/>
      <c r="I2672" s="113" t="n"/>
      <c r="J2672" s="113" t="n"/>
      <c r="K2672" s="113" t="n"/>
      <c r="L2672" s="113" t="n"/>
      <c r="M2672" s="113" t="n"/>
      <c r="N2672" s="113" t="n"/>
      <c r="O2672" s="113" t="n"/>
      <c r="P2672" s="113" t="n"/>
      <c r="Q2672" s="113" t="n"/>
      <c r="R2672" s="113" t="n"/>
      <c r="S2672" s="113" t="n"/>
      <c r="T2672" s="113" t="n"/>
      <c r="U2672" s="113" t="n"/>
      <c r="V2672" s="113" t="n"/>
      <c r="W2672" s="113" t="n"/>
      <c r="X2672" s="113" t="n"/>
      <c r="Y2672" s="113" t="n"/>
      <c r="Z2672" s="117">
        <f>IF($B2672="",0,IF($S2672="EVET",IF($D2672="GELİR",$O2672,-$O2672),0))</f>
        <v/>
      </c>
      <c r="AA2672" s="117">
        <f>IF($B2672="",0,IF(OR($W2672="EVET",$X2672="EVET",$Y2672="EVET"),0,IF($D2672="GELİR",IF($E2672="SATIŞ İADESİ/İSKONTO",-$O2672,$O2672),-$O2672)))</f>
        <v/>
      </c>
      <c r="AB2672" s="117">
        <f>IF($B2672="","",IF(OR($D2672="",$E2672="",$O2672=""),"EKSİK",IF($O2672&lt;=0,"SIFIR/NEGATİF",IF(COUNTIFS($C$6:$C$5000,$C2672,$O$6:$O$5000,$O2672,$B$6:$B$5000,$B2672)&gt;1,"MÜKERRER","OK"))))</f>
        <v/>
      </c>
    </row>
    <row r="2673" ht="16.5" customHeight="1" s="80">
      <c r="A2673" s="113" t="n"/>
      <c r="B2673" s="113" t="n"/>
      <c r="C2673" s="113" t="n"/>
      <c r="D2673" s="113" t="n"/>
      <c r="E2673" s="113" t="n"/>
      <c r="F2673" s="113" t="n"/>
      <c r="G2673" s="113" t="n"/>
      <c r="H2673" s="113" t="n"/>
      <c r="I2673" s="113" t="n"/>
      <c r="J2673" s="113" t="n"/>
      <c r="K2673" s="113" t="n"/>
      <c r="L2673" s="113" t="n"/>
      <c r="M2673" s="113" t="n"/>
      <c r="N2673" s="113" t="n"/>
      <c r="O2673" s="113" t="n"/>
      <c r="P2673" s="113" t="n"/>
      <c r="Q2673" s="113" t="n"/>
      <c r="R2673" s="113" t="n"/>
      <c r="S2673" s="113" t="n"/>
      <c r="T2673" s="113" t="n"/>
      <c r="U2673" s="113" t="n"/>
      <c r="V2673" s="113" t="n"/>
      <c r="W2673" s="113" t="n"/>
      <c r="X2673" s="113" t="n"/>
      <c r="Y2673" s="113" t="n"/>
      <c r="Z2673" s="117">
        <f>IF($B2673="",0,IF($S2673="EVET",IF($D2673="GELİR",$O2673,-$O2673),0))</f>
        <v/>
      </c>
      <c r="AA2673" s="117">
        <f>IF($B2673="",0,IF(OR($W2673="EVET",$X2673="EVET",$Y2673="EVET"),0,IF($D2673="GELİR",IF($E2673="SATIŞ İADESİ/İSKONTO",-$O2673,$O2673),-$O2673)))</f>
        <v/>
      </c>
      <c r="AB2673" s="117">
        <f>IF($B2673="","",IF(OR($D2673="",$E2673="",$O2673=""),"EKSİK",IF($O2673&lt;=0,"SIFIR/NEGATİF",IF(COUNTIFS($C$6:$C$5000,$C2673,$O$6:$O$5000,$O2673,$B$6:$B$5000,$B2673)&gt;1,"MÜKERRER","OK"))))</f>
        <v/>
      </c>
    </row>
    <row r="2674" ht="16.5" customHeight="1" s="80">
      <c r="A2674" s="113" t="n"/>
      <c r="B2674" s="113" t="n"/>
      <c r="C2674" s="113" t="n"/>
      <c r="D2674" s="113" t="n"/>
      <c r="E2674" s="113" t="n"/>
      <c r="F2674" s="113" t="n"/>
      <c r="G2674" s="113" t="n"/>
      <c r="H2674" s="113" t="n"/>
      <c r="I2674" s="113" t="n"/>
      <c r="J2674" s="113" t="n"/>
      <c r="K2674" s="113" t="n"/>
      <c r="L2674" s="113" t="n"/>
      <c r="M2674" s="113" t="n"/>
      <c r="N2674" s="113" t="n"/>
      <c r="O2674" s="113" t="n"/>
      <c r="P2674" s="113" t="n"/>
      <c r="Q2674" s="113" t="n"/>
      <c r="R2674" s="113" t="n"/>
      <c r="S2674" s="113" t="n"/>
      <c r="T2674" s="113" t="n"/>
      <c r="U2674" s="113" t="n"/>
      <c r="V2674" s="113" t="n"/>
      <c r="W2674" s="113" t="n"/>
      <c r="X2674" s="113" t="n"/>
      <c r="Y2674" s="113" t="n"/>
      <c r="Z2674" s="117">
        <f>IF($B2674="",0,IF($S2674="EVET",IF($D2674="GELİR",$O2674,-$O2674),0))</f>
        <v/>
      </c>
      <c r="AA2674" s="117">
        <f>IF($B2674="",0,IF(OR($W2674="EVET",$X2674="EVET",$Y2674="EVET"),0,IF($D2674="GELİR",IF($E2674="SATIŞ İADESİ/İSKONTO",-$O2674,$O2674),-$O2674)))</f>
        <v/>
      </c>
      <c r="AB2674" s="117">
        <f>IF($B2674="","",IF(OR($D2674="",$E2674="",$O2674=""),"EKSİK",IF($O2674&lt;=0,"SIFIR/NEGATİF",IF(COUNTIFS($C$6:$C$5000,$C2674,$O$6:$O$5000,$O2674,$B$6:$B$5000,$B2674)&gt;1,"MÜKERRER","OK"))))</f>
        <v/>
      </c>
    </row>
    <row r="2675" ht="16.5" customHeight="1" s="80">
      <c r="A2675" s="113" t="n"/>
      <c r="B2675" s="113" t="n"/>
      <c r="C2675" s="113" t="n"/>
      <c r="D2675" s="113" t="n"/>
      <c r="E2675" s="113" t="n"/>
      <c r="F2675" s="113" t="n"/>
      <c r="G2675" s="113" t="n"/>
      <c r="H2675" s="113" t="n"/>
      <c r="I2675" s="113" t="n"/>
      <c r="J2675" s="113" t="n"/>
      <c r="K2675" s="113" t="n"/>
      <c r="L2675" s="113" t="n"/>
      <c r="M2675" s="113" t="n"/>
      <c r="N2675" s="113" t="n"/>
      <c r="O2675" s="113" t="n"/>
      <c r="P2675" s="113" t="n"/>
      <c r="Q2675" s="113" t="n"/>
      <c r="R2675" s="113" t="n"/>
      <c r="S2675" s="113" t="n"/>
      <c r="T2675" s="113" t="n"/>
      <c r="U2675" s="113" t="n"/>
      <c r="V2675" s="113" t="n"/>
      <c r="W2675" s="113" t="n"/>
      <c r="X2675" s="113" t="n"/>
      <c r="Y2675" s="113" t="n"/>
      <c r="Z2675" s="117">
        <f>IF($B2675="",0,IF($S2675="EVET",IF($D2675="GELİR",$O2675,-$O2675),0))</f>
        <v/>
      </c>
      <c r="AA2675" s="117">
        <f>IF($B2675="",0,IF(OR($W2675="EVET",$X2675="EVET",$Y2675="EVET"),0,IF($D2675="GELİR",IF($E2675="SATIŞ İADESİ/İSKONTO",-$O2675,$O2675),-$O2675)))</f>
        <v/>
      </c>
      <c r="AB2675" s="117">
        <f>IF($B2675="","",IF(OR($D2675="",$E2675="",$O2675=""),"EKSİK",IF($O2675&lt;=0,"SIFIR/NEGATİF",IF(COUNTIFS($C$6:$C$5000,$C2675,$O$6:$O$5000,$O2675,$B$6:$B$5000,$B2675)&gt;1,"MÜKERRER","OK"))))</f>
        <v/>
      </c>
    </row>
    <row r="2676" ht="16.5" customHeight="1" s="80">
      <c r="A2676" s="113" t="n"/>
      <c r="B2676" s="113" t="n"/>
      <c r="C2676" s="113" t="n"/>
      <c r="D2676" s="113" t="n"/>
      <c r="E2676" s="113" t="n"/>
      <c r="F2676" s="113" t="n"/>
      <c r="G2676" s="113" t="n"/>
      <c r="H2676" s="113" t="n"/>
      <c r="I2676" s="113" t="n"/>
      <c r="J2676" s="113" t="n"/>
      <c r="K2676" s="113" t="n"/>
      <c r="L2676" s="113" t="n"/>
      <c r="M2676" s="113" t="n"/>
      <c r="N2676" s="113" t="n"/>
      <c r="O2676" s="113" t="n"/>
      <c r="P2676" s="113" t="n"/>
      <c r="Q2676" s="113" t="n"/>
      <c r="R2676" s="113" t="n"/>
      <c r="S2676" s="113" t="n"/>
      <c r="T2676" s="113" t="n"/>
      <c r="U2676" s="113" t="n"/>
      <c r="V2676" s="113" t="n"/>
      <c r="W2676" s="113" t="n"/>
      <c r="X2676" s="113" t="n"/>
      <c r="Y2676" s="113" t="n"/>
      <c r="Z2676" s="117">
        <f>IF($B2676="",0,IF($S2676="EVET",IF($D2676="GELİR",$O2676,-$O2676),0))</f>
        <v/>
      </c>
      <c r="AA2676" s="117">
        <f>IF($B2676="",0,IF(OR($W2676="EVET",$X2676="EVET",$Y2676="EVET"),0,IF($D2676="GELİR",IF($E2676="SATIŞ İADESİ/İSKONTO",-$O2676,$O2676),-$O2676)))</f>
        <v/>
      </c>
      <c r="AB2676" s="117">
        <f>IF($B2676="","",IF(OR($D2676="",$E2676="",$O2676=""),"EKSİK",IF($O2676&lt;=0,"SIFIR/NEGATİF",IF(COUNTIFS($C$6:$C$5000,$C2676,$O$6:$O$5000,$O2676,$B$6:$B$5000,$B2676)&gt;1,"MÜKERRER","OK"))))</f>
        <v/>
      </c>
    </row>
    <row r="2677" ht="16.5" customHeight="1" s="80">
      <c r="A2677" s="113" t="n"/>
      <c r="B2677" s="113" t="n"/>
      <c r="C2677" s="113" t="n"/>
      <c r="D2677" s="113" t="n"/>
      <c r="E2677" s="113" t="n"/>
      <c r="F2677" s="113" t="n"/>
      <c r="G2677" s="113" t="n"/>
      <c r="H2677" s="113" t="n"/>
      <c r="I2677" s="113" t="n"/>
      <c r="J2677" s="113" t="n"/>
      <c r="K2677" s="113" t="n"/>
      <c r="L2677" s="113" t="n"/>
      <c r="M2677" s="113" t="n"/>
      <c r="N2677" s="113" t="n"/>
      <c r="O2677" s="113" t="n"/>
      <c r="P2677" s="113" t="n"/>
      <c r="Q2677" s="113" t="n"/>
      <c r="R2677" s="113" t="n"/>
      <c r="S2677" s="113" t="n"/>
      <c r="T2677" s="113" t="n"/>
      <c r="U2677" s="113" t="n"/>
      <c r="V2677" s="113" t="n"/>
      <c r="W2677" s="113" t="n"/>
      <c r="X2677" s="113" t="n"/>
      <c r="Y2677" s="113" t="n"/>
      <c r="Z2677" s="117">
        <f>IF($B2677="",0,IF($S2677="EVET",IF($D2677="GELİR",$O2677,-$O2677),0))</f>
        <v/>
      </c>
      <c r="AA2677" s="117">
        <f>IF($B2677="",0,IF(OR($W2677="EVET",$X2677="EVET",$Y2677="EVET"),0,IF($D2677="GELİR",IF($E2677="SATIŞ İADESİ/İSKONTO",-$O2677,$O2677),-$O2677)))</f>
        <v/>
      </c>
      <c r="AB2677" s="117">
        <f>IF($B2677="","",IF(OR($D2677="",$E2677="",$O2677=""),"EKSİK",IF($O2677&lt;=0,"SIFIR/NEGATİF",IF(COUNTIFS($C$6:$C$5000,$C2677,$O$6:$O$5000,$O2677,$B$6:$B$5000,$B2677)&gt;1,"MÜKERRER","OK"))))</f>
        <v/>
      </c>
    </row>
    <row r="2678" ht="16.5" customHeight="1" s="80">
      <c r="A2678" s="113" t="n"/>
      <c r="B2678" s="113" t="n"/>
      <c r="C2678" s="113" t="n"/>
      <c r="D2678" s="113" t="n"/>
      <c r="E2678" s="113" t="n"/>
      <c r="F2678" s="113" t="n"/>
      <c r="G2678" s="113" t="n"/>
      <c r="H2678" s="113" t="n"/>
      <c r="I2678" s="113" t="n"/>
      <c r="J2678" s="113" t="n"/>
      <c r="K2678" s="113" t="n"/>
      <c r="L2678" s="113" t="n"/>
      <c r="M2678" s="113" t="n"/>
      <c r="N2678" s="113" t="n"/>
      <c r="O2678" s="113" t="n"/>
      <c r="P2678" s="113" t="n"/>
      <c r="Q2678" s="113" t="n"/>
      <c r="R2678" s="113" t="n"/>
      <c r="S2678" s="113" t="n"/>
      <c r="T2678" s="113" t="n"/>
      <c r="U2678" s="113" t="n"/>
      <c r="V2678" s="113" t="n"/>
      <c r="W2678" s="113" t="n"/>
      <c r="X2678" s="113" t="n"/>
      <c r="Y2678" s="113" t="n"/>
      <c r="Z2678" s="117">
        <f>IF($B2678="",0,IF($S2678="EVET",IF($D2678="GELİR",$O2678,-$O2678),0))</f>
        <v/>
      </c>
      <c r="AA2678" s="117">
        <f>IF($B2678="",0,IF(OR($W2678="EVET",$X2678="EVET",$Y2678="EVET"),0,IF($D2678="GELİR",IF($E2678="SATIŞ İADESİ/İSKONTO",-$O2678,$O2678),-$O2678)))</f>
        <v/>
      </c>
      <c r="AB2678" s="117">
        <f>IF($B2678="","",IF(OR($D2678="",$E2678="",$O2678=""),"EKSİK",IF($O2678&lt;=0,"SIFIR/NEGATİF",IF(COUNTIFS($C$6:$C$5000,$C2678,$O$6:$O$5000,$O2678,$B$6:$B$5000,$B2678)&gt;1,"MÜKERRER","OK"))))</f>
        <v/>
      </c>
    </row>
    <row r="2679" ht="16.5" customHeight="1" s="80">
      <c r="A2679" s="113" t="n"/>
      <c r="B2679" s="113" t="n"/>
      <c r="C2679" s="113" t="n"/>
      <c r="D2679" s="113" t="n"/>
      <c r="E2679" s="113" t="n"/>
      <c r="F2679" s="113" t="n"/>
      <c r="G2679" s="113" t="n"/>
      <c r="H2679" s="113" t="n"/>
      <c r="I2679" s="113" t="n"/>
      <c r="J2679" s="113" t="n"/>
      <c r="K2679" s="113" t="n"/>
      <c r="L2679" s="113" t="n"/>
      <c r="M2679" s="113" t="n"/>
      <c r="N2679" s="113" t="n"/>
      <c r="O2679" s="113" t="n"/>
      <c r="P2679" s="113" t="n"/>
      <c r="Q2679" s="113" t="n"/>
      <c r="R2679" s="113" t="n"/>
      <c r="S2679" s="113" t="n"/>
      <c r="T2679" s="113" t="n"/>
      <c r="U2679" s="113" t="n"/>
      <c r="V2679" s="113" t="n"/>
      <c r="W2679" s="113" t="n"/>
      <c r="X2679" s="113" t="n"/>
      <c r="Y2679" s="113" t="n"/>
      <c r="Z2679" s="117">
        <f>IF($B2679="",0,IF($S2679="EVET",IF($D2679="GELİR",$O2679,-$O2679),0))</f>
        <v/>
      </c>
      <c r="AA2679" s="117">
        <f>IF($B2679="",0,IF(OR($W2679="EVET",$X2679="EVET",$Y2679="EVET"),0,IF($D2679="GELİR",IF($E2679="SATIŞ İADESİ/İSKONTO",-$O2679,$O2679),-$O2679)))</f>
        <v/>
      </c>
      <c r="AB2679" s="117">
        <f>IF($B2679="","",IF(OR($D2679="",$E2679="",$O2679=""),"EKSİK",IF($O2679&lt;=0,"SIFIR/NEGATİF",IF(COUNTIFS($C$6:$C$5000,$C2679,$O$6:$O$5000,$O2679,$B$6:$B$5000,$B2679)&gt;1,"MÜKERRER","OK"))))</f>
        <v/>
      </c>
    </row>
    <row r="2680" ht="16.5" customHeight="1" s="80">
      <c r="A2680" s="113" t="n"/>
      <c r="B2680" s="113" t="n"/>
      <c r="C2680" s="113" t="n"/>
      <c r="D2680" s="113" t="n"/>
      <c r="E2680" s="113" t="n"/>
      <c r="F2680" s="113" t="n"/>
      <c r="G2680" s="113" t="n"/>
      <c r="H2680" s="113" t="n"/>
      <c r="I2680" s="113" t="n"/>
      <c r="J2680" s="113" t="n"/>
      <c r="K2680" s="113" t="n"/>
      <c r="L2680" s="113" t="n"/>
      <c r="M2680" s="113" t="n"/>
      <c r="N2680" s="113" t="n"/>
      <c r="O2680" s="113" t="n"/>
      <c r="P2680" s="113" t="n"/>
      <c r="Q2680" s="113" t="n"/>
      <c r="R2680" s="113" t="n"/>
      <c r="S2680" s="113" t="n"/>
      <c r="T2680" s="113" t="n"/>
      <c r="U2680" s="113" t="n"/>
      <c r="V2680" s="113" t="n"/>
      <c r="W2680" s="113" t="n"/>
      <c r="X2680" s="113" t="n"/>
      <c r="Y2680" s="113" t="n"/>
      <c r="Z2680" s="117">
        <f>IF($B2680="",0,IF($S2680="EVET",IF($D2680="GELİR",$O2680,-$O2680),0))</f>
        <v/>
      </c>
      <c r="AA2680" s="117">
        <f>IF($B2680="",0,IF(OR($W2680="EVET",$X2680="EVET",$Y2680="EVET"),0,IF($D2680="GELİR",IF($E2680="SATIŞ İADESİ/İSKONTO",-$O2680,$O2680),-$O2680)))</f>
        <v/>
      </c>
      <c r="AB2680" s="117">
        <f>IF($B2680="","",IF(OR($D2680="",$E2680="",$O2680=""),"EKSİK",IF($O2680&lt;=0,"SIFIR/NEGATİF",IF(COUNTIFS($C$6:$C$5000,$C2680,$O$6:$O$5000,$O2680,$B$6:$B$5000,$B2680)&gt;1,"MÜKERRER","OK"))))</f>
        <v/>
      </c>
    </row>
    <row r="2681" ht="16.5" customHeight="1" s="80">
      <c r="A2681" s="113" t="n"/>
      <c r="B2681" s="113" t="n"/>
      <c r="C2681" s="113" t="n"/>
      <c r="D2681" s="113" t="n"/>
      <c r="E2681" s="113" t="n"/>
      <c r="F2681" s="113" t="n"/>
      <c r="G2681" s="113" t="n"/>
      <c r="H2681" s="113" t="n"/>
      <c r="I2681" s="113" t="n"/>
      <c r="J2681" s="113" t="n"/>
      <c r="K2681" s="113" t="n"/>
      <c r="L2681" s="113" t="n"/>
      <c r="M2681" s="113" t="n"/>
      <c r="N2681" s="113" t="n"/>
      <c r="O2681" s="113" t="n"/>
      <c r="P2681" s="113" t="n"/>
      <c r="Q2681" s="113" t="n"/>
      <c r="R2681" s="113" t="n"/>
      <c r="S2681" s="113" t="n"/>
      <c r="T2681" s="113" t="n"/>
      <c r="U2681" s="113" t="n"/>
      <c r="V2681" s="113" t="n"/>
      <c r="W2681" s="113" t="n"/>
      <c r="X2681" s="113" t="n"/>
      <c r="Y2681" s="113" t="n"/>
      <c r="Z2681" s="117">
        <f>IF($B2681="",0,IF($S2681="EVET",IF($D2681="GELİR",$O2681,-$O2681),0))</f>
        <v/>
      </c>
      <c r="AA2681" s="117">
        <f>IF($B2681="",0,IF(OR($W2681="EVET",$X2681="EVET",$Y2681="EVET"),0,IF($D2681="GELİR",IF($E2681="SATIŞ İADESİ/İSKONTO",-$O2681,$O2681),-$O2681)))</f>
        <v/>
      </c>
      <c r="AB2681" s="117">
        <f>IF($B2681="","",IF(OR($D2681="",$E2681="",$O2681=""),"EKSİK",IF($O2681&lt;=0,"SIFIR/NEGATİF",IF(COUNTIFS($C$6:$C$5000,$C2681,$O$6:$O$5000,$O2681,$B$6:$B$5000,$B2681)&gt;1,"MÜKERRER","OK"))))</f>
        <v/>
      </c>
    </row>
    <row r="2682" ht="16.5" customHeight="1" s="80">
      <c r="A2682" s="113" t="n"/>
      <c r="B2682" s="113" t="n"/>
      <c r="C2682" s="113" t="n"/>
      <c r="D2682" s="113" t="n"/>
      <c r="E2682" s="113" t="n"/>
      <c r="F2682" s="113" t="n"/>
      <c r="G2682" s="113" t="n"/>
      <c r="H2682" s="113" t="n"/>
      <c r="I2682" s="113" t="n"/>
      <c r="J2682" s="113" t="n"/>
      <c r="K2682" s="113" t="n"/>
      <c r="L2682" s="113" t="n"/>
      <c r="M2682" s="113" t="n"/>
      <c r="N2682" s="113" t="n"/>
      <c r="O2682" s="113" t="n"/>
      <c r="P2682" s="113" t="n"/>
      <c r="Q2682" s="113" t="n"/>
      <c r="R2682" s="113" t="n"/>
      <c r="S2682" s="113" t="n"/>
      <c r="T2682" s="113" t="n"/>
      <c r="U2682" s="113" t="n"/>
      <c r="V2682" s="113" t="n"/>
      <c r="W2682" s="113" t="n"/>
      <c r="X2682" s="113" t="n"/>
      <c r="Y2682" s="113" t="n"/>
      <c r="Z2682" s="117">
        <f>IF($B2682="",0,IF($S2682="EVET",IF($D2682="GELİR",$O2682,-$O2682),0))</f>
        <v/>
      </c>
      <c r="AA2682" s="117">
        <f>IF($B2682="",0,IF(OR($W2682="EVET",$X2682="EVET",$Y2682="EVET"),0,IF($D2682="GELİR",IF($E2682="SATIŞ İADESİ/İSKONTO",-$O2682,$O2682),-$O2682)))</f>
        <v/>
      </c>
      <c r="AB2682" s="117">
        <f>IF($B2682="","",IF(OR($D2682="",$E2682="",$O2682=""),"EKSİK",IF($O2682&lt;=0,"SIFIR/NEGATİF",IF(COUNTIFS($C$6:$C$5000,$C2682,$O$6:$O$5000,$O2682,$B$6:$B$5000,$B2682)&gt;1,"MÜKERRER","OK"))))</f>
        <v/>
      </c>
    </row>
    <row r="2683" ht="16.5" customHeight="1" s="80">
      <c r="A2683" s="113" t="n"/>
      <c r="B2683" s="113" t="n"/>
      <c r="C2683" s="113" t="n"/>
      <c r="D2683" s="113" t="n"/>
      <c r="E2683" s="113" t="n"/>
      <c r="F2683" s="113" t="n"/>
      <c r="G2683" s="113" t="n"/>
      <c r="H2683" s="113" t="n"/>
      <c r="I2683" s="113" t="n"/>
      <c r="J2683" s="113" t="n"/>
      <c r="K2683" s="113" t="n"/>
      <c r="L2683" s="113" t="n"/>
      <c r="M2683" s="113" t="n"/>
      <c r="N2683" s="113" t="n"/>
      <c r="O2683" s="113" t="n"/>
      <c r="P2683" s="113" t="n"/>
      <c r="Q2683" s="113" t="n"/>
      <c r="R2683" s="113" t="n"/>
      <c r="S2683" s="113" t="n"/>
      <c r="T2683" s="113" t="n"/>
      <c r="U2683" s="113" t="n"/>
      <c r="V2683" s="113" t="n"/>
      <c r="W2683" s="113" t="n"/>
      <c r="X2683" s="113" t="n"/>
      <c r="Y2683" s="113" t="n"/>
      <c r="Z2683" s="117">
        <f>IF($B2683="",0,IF($S2683="EVET",IF($D2683="GELİR",$O2683,-$O2683),0))</f>
        <v/>
      </c>
      <c r="AA2683" s="117">
        <f>IF($B2683="",0,IF(OR($W2683="EVET",$X2683="EVET",$Y2683="EVET"),0,IF($D2683="GELİR",IF($E2683="SATIŞ İADESİ/İSKONTO",-$O2683,$O2683),-$O2683)))</f>
        <v/>
      </c>
      <c r="AB2683" s="117">
        <f>IF($B2683="","",IF(OR($D2683="",$E2683="",$O2683=""),"EKSİK",IF($O2683&lt;=0,"SIFIR/NEGATİF",IF(COUNTIFS($C$6:$C$5000,$C2683,$O$6:$O$5000,$O2683,$B$6:$B$5000,$B2683)&gt;1,"MÜKERRER","OK"))))</f>
        <v/>
      </c>
    </row>
    <row r="2684" ht="16.5" customHeight="1" s="80">
      <c r="A2684" s="113" t="n"/>
      <c r="B2684" s="113" t="n"/>
      <c r="C2684" s="113" t="n"/>
      <c r="D2684" s="113" t="n"/>
      <c r="E2684" s="113" t="n"/>
      <c r="F2684" s="113" t="n"/>
      <c r="G2684" s="113" t="n"/>
      <c r="H2684" s="113" t="n"/>
      <c r="I2684" s="113" t="n"/>
      <c r="J2684" s="113" t="n"/>
      <c r="K2684" s="113" t="n"/>
      <c r="L2684" s="113" t="n"/>
      <c r="M2684" s="113" t="n"/>
      <c r="N2684" s="113" t="n"/>
      <c r="O2684" s="113" t="n"/>
      <c r="P2684" s="113" t="n"/>
      <c r="Q2684" s="113" t="n"/>
      <c r="R2684" s="113" t="n"/>
      <c r="S2684" s="113" t="n"/>
      <c r="T2684" s="113" t="n"/>
      <c r="U2684" s="113" t="n"/>
      <c r="V2684" s="113" t="n"/>
      <c r="W2684" s="113" t="n"/>
      <c r="X2684" s="113" t="n"/>
      <c r="Y2684" s="113" t="n"/>
      <c r="Z2684" s="117">
        <f>IF($B2684="",0,IF($S2684="EVET",IF($D2684="GELİR",$O2684,-$O2684),0))</f>
        <v/>
      </c>
      <c r="AA2684" s="117">
        <f>IF($B2684="",0,IF(OR($W2684="EVET",$X2684="EVET",$Y2684="EVET"),0,IF($D2684="GELİR",IF($E2684="SATIŞ İADESİ/İSKONTO",-$O2684,$O2684),-$O2684)))</f>
        <v/>
      </c>
      <c r="AB2684" s="117">
        <f>IF($B2684="","",IF(OR($D2684="",$E2684="",$O2684=""),"EKSİK",IF($O2684&lt;=0,"SIFIR/NEGATİF",IF(COUNTIFS($C$6:$C$5000,$C2684,$O$6:$O$5000,$O2684,$B$6:$B$5000,$B2684)&gt;1,"MÜKERRER","OK"))))</f>
        <v/>
      </c>
    </row>
    <row r="2685" ht="16.5" customHeight="1" s="80">
      <c r="A2685" s="113" t="n"/>
      <c r="B2685" s="113" t="n"/>
      <c r="C2685" s="113" t="n"/>
      <c r="D2685" s="113" t="n"/>
      <c r="E2685" s="113" t="n"/>
      <c r="F2685" s="113" t="n"/>
      <c r="G2685" s="113" t="n"/>
      <c r="H2685" s="113" t="n"/>
      <c r="I2685" s="113" t="n"/>
      <c r="J2685" s="113" t="n"/>
      <c r="K2685" s="113" t="n"/>
      <c r="L2685" s="113" t="n"/>
      <c r="M2685" s="113" t="n"/>
      <c r="N2685" s="113" t="n"/>
      <c r="O2685" s="113" t="n"/>
      <c r="P2685" s="113" t="n"/>
      <c r="Q2685" s="113" t="n"/>
      <c r="R2685" s="113" t="n"/>
      <c r="S2685" s="113" t="n"/>
      <c r="T2685" s="113" t="n"/>
      <c r="U2685" s="113" t="n"/>
      <c r="V2685" s="113" t="n"/>
      <c r="W2685" s="113" t="n"/>
      <c r="X2685" s="113" t="n"/>
      <c r="Y2685" s="113" t="n"/>
      <c r="Z2685" s="117">
        <f>IF($B2685="",0,IF($S2685="EVET",IF($D2685="GELİR",$O2685,-$O2685),0))</f>
        <v/>
      </c>
      <c r="AA2685" s="117">
        <f>IF($B2685="",0,IF(OR($W2685="EVET",$X2685="EVET",$Y2685="EVET"),0,IF($D2685="GELİR",IF($E2685="SATIŞ İADESİ/İSKONTO",-$O2685,$O2685),-$O2685)))</f>
        <v/>
      </c>
      <c r="AB2685" s="117">
        <f>IF($B2685="","",IF(OR($D2685="",$E2685="",$O2685=""),"EKSİK",IF($O2685&lt;=0,"SIFIR/NEGATİF",IF(COUNTIFS($C$6:$C$5000,$C2685,$O$6:$O$5000,$O2685,$B$6:$B$5000,$B2685)&gt;1,"MÜKERRER","OK"))))</f>
        <v/>
      </c>
    </row>
    <row r="2686" ht="16.5" customHeight="1" s="80">
      <c r="A2686" s="113" t="n"/>
      <c r="B2686" s="113" t="n"/>
      <c r="C2686" s="113" t="n"/>
      <c r="D2686" s="113" t="n"/>
      <c r="E2686" s="113" t="n"/>
      <c r="F2686" s="113" t="n"/>
      <c r="G2686" s="113" t="n"/>
      <c r="H2686" s="113" t="n"/>
      <c r="I2686" s="113" t="n"/>
      <c r="J2686" s="113" t="n"/>
      <c r="K2686" s="113" t="n"/>
      <c r="L2686" s="113" t="n"/>
      <c r="M2686" s="113" t="n"/>
      <c r="N2686" s="113" t="n"/>
      <c r="O2686" s="113" t="n"/>
      <c r="P2686" s="113" t="n"/>
      <c r="Q2686" s="113" t="n"/>
      <c r="R2686" s="113" t="n"/>
      <c r="S2686" s="113" t="n"/>
      <c r="T2686" s="113" t="n"/>
      <c r="U2686" s="113" t="n"/>
      <c r="V2686" s="113" t="n"/>
      <c r="W2686" s="113" t="n"/>
      <c r="X2686" s="113" t="n"/>
      <c r="Y2686" s="113" t="n"/>
      <c r="Z2686" s="117">
        <f>IF($B2686="",0,IF($S2686="EVET",IF($D2686="GELİR",$O2686,-$O2686),0))</f>
        <v/>
      </c>
      <c r="AA2686" s="117">
        <f>IF($B2686="",0,IF(OR($W2686="EVET",$X2686="EVET",$Y2686="EVET"),0,IF($D2686="GELİR",IF($E2686="SATIŞ İADESİ/İSKONTO",-$O2686,$O2686),-$O2686)))</f>
        <v/>
      </c>
      <c r="AB2686" s="117">
        <f>IF($B2686="","",IF(OR($D2686="",$E2686="",$O2686=""),"EKSİK",IF($O2686&lt;=0,"SIFIR/NEGATİF",IF(COUNTIFS($C$6:$C$5000,$C2686,$O$6:$O$5000,$O2686,$B$6:$B$5000,$B2686)&gt;1,"MÜKERRER","OK"))))</f>
        <v/>
      </c>
    </row>
    <row r="2687" ht="16.5" customHeight="1" s="80">
      <c r="A2687" s="113" t="n"/>
      <c r="B2687" s="113" t="n"/>
      <c r="C2687" s="113" t="n"/>
      <c r="D2687" s="113" t="n"/>
      <c r="E2687" s="113" t="n"/>
      <c r="F2687" s="113" t="n"/>
      <c r="G2687" s="113" t="n"/>
      <c r="H2687" s="113" t="n"/>
      <c r="I2687" s="113" t="n"/>
      <c r="J2687" s="113" t="n"/>
      <c r="K2687" s="113" t="n"/>
      <c r="L2687" s="113" t="n"/>
      <c r="M2687" s="113" t="n"/>
      <c r="N2687" s="113" t="n"/>
      <c r="O2687" s="113" t="n"/>
      <c r="P2687" s="113" t="n"/>
      <c r="Q2687" s="113" t="n"/>
      <c r="R2687" s="113" t="n"/>
      <c r="S2687" s="113" t="n"/>
      <c r="T2687" s="113" t="n"/>
      <c r="U2687" s="113" t="n"/>
      <c r="V2687" s="113" t="n"/>
      <c r="W2687" s="113" t="n"/>
      <c r="X2687" s="113" t="n"/>
      <c r="Y2687" s="113" t="n"/>
      <c r="Z2687" s="117">
        <f>IF($B2687="",0,IF($S2687="EVET",IF($D2687="GELİR",$O2687,-$O2687),0))</f>
        <v/>
      </c>
      <c r="AA2687" s="117">
        <f>IF($B2687="",0,IF(OR($W2687="EVET",$X2687="EVET",$Y2687="EVET"),0,IF($D2687="GELİR",IF($E2687="SATIŞ İADESİ/İSKONTO",-$O2687,$O2687),-$O2687)))</f>
        <v/>
      </c>
      <c r="AB2687" s="117">
        <f>IF($B2687="","",IF(OR($D2687="",$E2687="",$O2687=""),"EKSİK",IF($O2687&lt;=0,"SIFIR/NEGATİF",IF(COUNTIFS($C$6:$C$5000,$C2687,$O$6:$O$5000,$O2687,$B$6:$B$5000,$B2687)&gt;1,"MÜKERRER","OK"))))</f>
        <v/>
      </c>
    </row>
    <row r="2688" ht="16.5" customHeight="1" s="80">
      <c r="A2688" s="113" t="n"/>
      <c r="B2688" s="113" t="n"/>
      <c r="C2688" s="113" t="n"/>
      <c r="D2688" s="113" t="n"/>
      <c r="E2688" s="113" t="n"/>
      <c r="F2688" s="113" t="n"/>
      <c r="G2688" s="113" t="n"/>
      <c r="H2688" s="113" t="n"/>
      <c r="I2688" s="113" t="n"/>
      <c r="J2688" s="113" t="n"/>
      <c r="K2688" s="113" t="n"/>
      <c r="L2688" s="113" t="n"/>
      <c r="M2688" s="113" t="n"/>
      <c r="N2688" s="113" t="n"/>
      <c r="O2688" s="113" t="n"/>
      <c r="P2688" s="113" t="n"/>
      <c r="Q2688" s="113" t="n"/>
      <c r="R2688" s="113" t="n"/>
      <c r="S2688" s="113" t="n"/>
      <c r="T2688" s="113" t="n"/>
      <c r="U2688" s="113" t="n"/>
      <c r="V2688" s="113" t="n"/>
      <c r="W2688" s="113" t="n"/>
      <c r="X2688" s="113" t="n"/>
      <c r="Y2688" s="113" t="n"/>
      <c r="Z2688" s="117">
        <f>IF($B2688="",0,IF($S2688="EVET",IF($D2688="GELİR",$O2688,-$O2688),0))</f>
        <v/>
      </c>
      <c r="AA2688" s="117">
        <f>IF($B2688="",0,IF(OR($W2688="EVET",$X2688="EVET",$Y2688="EVET"),0,IF($D2688="GELİR",IF($E2688="SATIŞ İADESİ/İSKONTO",-$O2688,$O2688),-$O2688)))</f>
        <v/>
      </c>
      <c r="AB2688" s="117">
        <f>IF($B2688="","",IF(OR($D2688="",$E2688="",$O2688=""),"EKSİK",IF($O2688&lt;=0,"SIFIR/NEGATİF",IF(COUNTIFS($C$6:$C$5000,$C2688,$O$6:$O$5000,$O2688,$B$6:$B$5000,$B2688)&gt;1,"MÜKERRER","OK"))))</f>
        <v/>
      </c>
    </row>
    <row r="2689" ht="16.5" customHeight="1" s="80">
      <c r="A2689" s="113" t="n"/>
      <c r="B2689" s="113" t="n"/>
      <c r="C2689" s="113" t="n"/>
      <c r="D2689" s="113" t="n"/>
      <c r="E2689" s="113" t="n"/>
      <c r="F2689" s="113" t="n"/>
      <c r="G2689" s="113" t="n"/>
      <c r="H2689" s="113" t="n"/>
      <c r="I2689" s="113" t="n"/>
      <c r="J2689" s="113" t="n"/>
      <c r="K2689" s="113" t="n"/>
      <c r="L2689" s="113" t="n"/>
      <c r="M2689" s="113" t="n"/>
      <c r="N2689" s="113" t="n"/>
      <c r="O2689" s="113" t="n"/>
      <c r="P2689" s="113" t="n"/>
      <c r="Q2689" s="113" t="n"/>
      <c r="R2689" s="113" t="n"/>
      <c r="S2689" s="113" t="n"/>
      <c r="T2689" s="113" t="n"/>
      <c r="U2689" s="113" t="n"/>
      <c r="V2689" s="113" t="n"/>
      <c r="W2689" s="113" t="n"/>
      <c r="X2689" s="113" t="n"/>
      <c r="Y2689" s="113" t="n"/>
      <c r="Z2689" s="117">
        <f>IF($B2689="",0,IF($S2689="EVET",IF($D2689="GELİR",$O2689,-$O2689),0))</f>
        <v/>
      </c>
      <c r="AA2689" s="117">
        <f>IF($B2689="",0,IF(OR($W2689="EVET",$X2689="EVET",$Y2689="EVET"),0,IF($D2689="GELİR",IF($E2689="SATIŞ İADESİ/İSKONTO",-$O2689,$O2689),-$O2689)))</f>
        <v/>
      </c>
      <c r="AB2689" s="117">
        <f>IF($B2689="","",IF(OR($D2689="",$E2689="",$O2689=""),"EKSİK",IF($O2689&lt;=0,"SIFIR/NEGATİF",IF(COUNTIFS($C$6:$C$5000,$C2689,$O$6:$O$5000,$O2689,$B$6:$B$5000,$B2689)&gt;1,"MÜKERRER","OK"))))</f>
        <v/>
      </c>
    </row>
    <row r="2690" ht="16.5" customHeight="1" s="80">
      <c r="A2690" s="113" t="n"/>
      <c r="B2690" s="113" t="n"/>
      <c r="C2690" s="113" t="n"/>
      <c r="D2690" s="113" t="n"/>
      <c r="E2690" s="113" t="n"/>
      <c r="F2690" s="113" t="n"/>
      <c r="G2690" s="113" t="n"/>
      <c r="H2690" s="113" t="n"/>
      <c r="I2690" s="113" t="n"/>
      <c r="J2690" s="113" t="n"/>
      <c r="K2690" s="113" t="n"/>
      <c r="L2690" s="113" t="n"/>
      <c r="M2690" s="113" t="n"/>
      <c r="N2690" s="113" t="n"/>
      <c r="O2690" s="113" t="n"/>
      <c r="P2690" s="113" t="n"/>
      <c r="Q2690" s="113" t="n"/>
      <c r="R2690" s="113" t="n"/>
      <c r="S2690" s="113" t="n"/>
      <c r="T2690" s="113" t="n"/>
      <c r="U2690" s="113" t="n"/>
      <c r="V2690" s="113" t="n"/>
      <c r="W2690" s="113" t="n"/>
      <c r="X2690" s="113" t="n"/>
      <c r="Y2690" s="113" t="n"/>
      <c r="Z2690" s="117">
        <f>IF($B2690="",0,IF($S2690="EVET",IF($D2690="GELİR",$O2690,-$O2690),0))</f>
        <v/>
      </c>
      <c r="AA2690" s="117">
        <f>IF($B2690="",0,IF(OR($W2690="EVET",$X2690="EVET",$Y2690="EVET"),0,IF($D2690="GELİR",IF($E2690="SATIŞ İADESİ/İSKONTO",-$O2690,$O2690),-$O2690)))</f>
        <v/>
      </c>
      <c r="AB2690" s="117">
        <f>IF($B2690="","",IF(OR($D2690="",$E2690="",$O2690=""),"EKSİK",IF($O2690&lt;=0,"SIFIR/NEGATİF",IF(COUNTIFS($C$6:$C$5000,$C2690,$O$6:$O$5000,$O2690,$B$6:$B$5000,$B2690)&gt;1,"MÜKERRER","OK"))))</f>
        <v/>
      </c>
    </row>
    <row r="2691" ht="16.5" customHeight="1" s="80">
      <c r="A2691" s="113" t="n"/>
      <c r="B2691" s="113" t="n"/>
      <c r="C2691" s="113" t="n"/>
      <c r="D2691" s="113" t="n"/>
      <c r="E2691" s="113" t="n"/>
      <c r="F2691" s="113" t="n"/>
      <c r="G2691" s="113" t="n"/>
      <c r="H2691" s="113" t="n"/>
      <c r="I2691" s="113" t="n"/>
      <c r="J2691" s="113" t="n"/>
      <c r="K2691" s="113" t="n"/>
      <c r="L2691" s="113" t="n"/>
      <c r="M2691" s="113" t="n"/>
      <c r="N2691" s="113" t="n"/>
      <c r="O2691" s="113" t="n"/>
      <c r="P2691" s="113" t="n"/>
      <c r="Q2691" s="113" t="n"/>
      <c r="R2691" s="113" t="n"/>
      <c r="S2691" s="113" t="n"/>
      <c r="T2691" s="113" t="n"/>
      <c r="U2691" s="113" t="n"/>
      <c r="V2691" s="113" t="n"/>
      <c r="W2691" s="113" t="n"/>
      <c r="X2691" s="113" t="n"/>
      <c r="Y2691" s="113" t="n"/>
      <c r="Z2691" s="117">
        <f>IF($B2691="",0,IF($S2691="EVET",IF($D2691="GELİR",$O2691,-$O2691),0))</f>
        <v/>
      </c>
      <c r="AA2691" s="117">
        <f>IF($B2691="",0,IF(OR($W2691="EVET",$X2691="EVET",$Y2691="EVET"),0,IF($D2691="GELİR",IF($E2691="SATIŞ İADESİ/İSKONTO",-$O2691,$O2691),-$O2691)))</f>
        <v/>
      </c>
      <c r="AB2691" s="117">
        <f>IF($B2691="","",IF(OR($D2691="",$E2691="",$O2691=""),"EKSİK",IF($O2691&lt;=0,"SIFIR/NEGATİF",IF(COUNTIFS($C$6:$C$5000,$C2691,$O$6:$O$5000,$O2691,$B$6:$B$5000,$B2691)&gt;1,"MÜKERRER","OK"))))</f>
        <v/>
      </c>
    </row>
    <row r="2692" ht="16.5" customHeight="1" s="80">
      <c r="A2692" s="113" t="n"/>
      <c r="B2692" s="113" t="n"/>
      <c r="C2692" s="113" t="n"/>
      <c r="D2692" s="113" t="n"/>
      <c r="E2692" s="113" t="n"/>
      <c r="F2692" s="113" t="n"/>
      <c r="G2692" s="113" t="n"/>
      <c r="H2692" s="113" t="n"/>
      <c r="I2692" s="113" t="n"/>
      <c r="J2692" s="113" t="n"/>
      <c r="K2692" s="113" t="n"/>
      <c r="L2692" s="113" t="n"/>
      <c r="M2692" s="113" t="n"/>
      <c r="N2692" s="113" t="n"/>
      <c r="O2692" s="113" t="n"/>
      <c r="P2692" s="113" t="n"/>
      <c r="Q2692" s="113" t="n"/>
      <c r="R2692" s="113" t="n"/>
      <c r="S2692" s="113" t="n"/>
      <c r="T2692" s="113" t="n"/>
      <c r="U2692" s="113" t="n"/>
      <c r="V2692" s="113" t="n"/>
      <c r="W2692" s="113" t="n"/>
      <c r="X2692" s="113" t="n"/>
      <c r="Y2692" s="113" t="n"/>
      <c r="Z2692" s="117">
        <f>IF($B2692="",0,IF($S2692="EVET",IF($D2692="GELİR",$O2692,-$O2692),0))</f>
        <v/>
      </c>
      <c r="AA2692" s="117">
        <f>IF($B2692="",0,IF(OR($W2692="EVET",$X2692="EVET",$Y2692="EVET"),0,IF($D2692="GELİR",IF($E2692="SATIŞ İADESİ/İSKONTO",-$O2692,$O2692),-$O2692)))</f>
        <v/>
      </c>
      <c r="AB2692" s="117">
        <f>IF($B2692="","",IF(OR($D2692="",$E2692="",$O2692=""),"EKSİK",IF($O2692&lt;=0,"SIFIR/NEGATİF",IF(COUNTIFS($C$6:$C$5000,$C2692,$O$6:$O$5000,$O2692,$B$6:$B$5000,$B2692)&gt;1,"MÜKERRER","OK"))))</f>
        <v/>
      </c>
    </row>
    <row r="2693" ht="16.5" customHeight="1" s="80">
      <c r="A2693" s="113" t="n"/>
      <c r="B2693" s="113" t="n"/>
      <c r="C2693" s="113" t="n"/>
      <c r="D2693" s="113" t="n"/>
      <c r="E2693" s="113" t="n"/>
      <c r="F2693" s="113" t="n"/>
      <c r="G2693" s="113" t="n"/>
      <c r="H2693" s="113" t="n"/>
      <c r="I2693" s="113" t="n"/>
      <c r="J2693" s="113" t="n"/>
      <c r="K2693" s="113" t="n"/>
      <c r="L2693" s="113" t="n"/>
      <c r="M2693" s="113" t="n"/>
      <c r="N2693" s="113" t="n"/>
      <c r="O2693" s="113" t="n"/>
      <c r="P2693" s="113" t="n"/>
      <c r="Q2693" s="113" t="n"/>
      <c r="R2693" s="113" t="n"/>
      <c r="S2693" s="113" t="n"/>
      <c r="T2693" s="113" t="n"/>
      <c r="U2693" s="113" t="n"/>
      <c r="V2693" s="113" t="n"/>
      <c r="W2693" s="113" t="n"/>
      <c r="X2693" s="113" t="n"/>
      <c r="Y2693" s="113" t="n"/>
      <c r="Z2693" s="117">
        <f>IF($B2693="",0,IF($S2693="EVET",IF($D2693="GELİR",$O2693,-$O2693),0))</f>
        <v/>
      </c>
      <c r="AA2693" s="117">
        <f>IF($B2693="",0,IF(OR($W2693="EVET",$X2693="EVET",$Y2693="EVET"),0,IF($D2693="GELİR",IF($E2693="SATIŞ İADESİ/İSKONTO",-$O2693,$O2693),-$O2693)))</f>
        <v/>
      </c>
      <c r="AB2693" s="117">
        <f>IF($B2693="","",IF(OR($D2693="",$E2693="",$O2693=""),"EKSİK",IF($O2693&lt;=0,"SIFIR/NEGATİF",IF(COUNTIFS($C$6:$C$5000,$C2693,$O$6:$O$5000,$O2693,$B$6:$B$5000,$B2693)&gt;1,"MÜKERRER","OK"))))</f>
        <v/>
      </c>
    </row>
    <row r="2694" ht="16.5" customHeight="1" s="80">
      <c r="A2694" s="113" t="n"/>
      <c r="B2694" s="113" t="n"/>
      <c r="C2694" s="113" t="n"/>
      <c r="D2694" s="113" t="n"/>
      <c r="E2694" s="113" t="n"/>
      <c r="F2694" s="113" t="n"/>
      <c r="G2694" s="113" t="n"/>
      <c r="H2694" s="113" t="n"/>
      <c r="I2694" s="113" t="n"/>
      <c r="J2694" s="113" t="n"/>
      <c r="K2694" s="113" t="n"/>
      <c r="L2694" s="113" t="n"/>
      <c r="M2694" s="113" t="n"/>
      <c r="N2694" s="113" t="n"/>
      <c r="O2694" s="113" t="n"/>
      <c r="P2694" s="113" t="n"/>
      <c r="Q2694" s="113" t="n"/>
      <c r="R2694" s="113" t="n"/>
      <c r="S2694" s="113" t="n"/>
      <c r="T2694" s="113" t="n"/>
      <c r="U2694" s="113" t="n"/>
      <c r="V2694" s="113" t="n"/>
      <c r="W2694" s="113" t="n"/>
      <c r="X2694" s="113" t="n"/>
      <c r="Y2694" s="113" t="n"/>
      <c r="Z2694" s="117">
        <f>IF($B2694="",0,IF($S2694="EVET",IF($D2694="GELİR",$O2694,-$O2694),0))</f>
        <v/>
      </c>
      <c r="AA2694" s="117">
        <f>IF($B2694="",0,IF(OR($W2694="EVET",$X2694="EVET",$Y2694="EVET"),0,IF($D2694="GELİR",IF($E2694="SATIŞ İADESİ/İSKONTO",-$O2694,$O2694),-$O2694)))</f>
        <v/>
      </c>
      <c r="AB2694" s="117">
        <f>IF($B2694="","",IF(OR($D2694="",$E2694="",$O2694=""),"EKSİK",IF($O2694&lt;=0,"SIFIR/NEGATİF",IF(COUNTIFS($C$6:$C$5000,$C2694,$O$6:$O$5000,$O2694,$B$6:$B$5000,$B2694)&gt;1,"MÜKERRER","OK"))))</f>
        <v/>
      </c>
    </row>
    <row r="2695" ht="16.5" customHeight="1" s="80">
      <c r="A2695" s="113" t="n"/>
      <c r="B2695" s="113" t="n"/>
      <c r="C2695" s="113" t="n"/>
      <c r="D2695" s="113" t="n"/>
      <c r="E2695" s="113" t="n"/>
      <c r="F2695" s="113" t="n"/>
      <c r="G2695" s="113" t="n"/>
      <c r="H2695" s="113" t="n"/>
      <c r="I2695" s="113" t="n"/>
      <c r="J2695" s="113" t="n"/>
      <c r="K2695" s="113" t="n"/>
      <c r="L2695" s="113" t="n"/>
      <c r="M2695" s="113" t="n"/>
      <c r="N2695" s="113" t="n"/>
      <c r="O2695" s="113" t="n"/>
      <c r="P2695" s="113" t="n"/>
      <c r="Q2695" s="113" t="n"/>
      <c r="R2695" s="113" t="n"/>
      <c r="S2695" s="113" t="n"/>
      <c r="T2695" s="113" t="n"/>
      <c r="U2695" s="113" t="n"/>
      <c r="V2695" s="113" t="n"/>
      <c r="W2695" s="113" t="n"/>
      <c r="X2695" s="113" t="n"/>
      <c r="Y2695" s="113" t="n"/>
      <c r="Z2695" s="117">
        <f>IF($B2695="",0,IF($S2695="EVET",IF($D2695="GELİR",$O2695,-$O2695),0))</f>
        <v/>
      </c>
      <c r="AA2695" s="117">
        <f>IF($B2695="",0,IF(OR($W2695="EVET",$X2695="EVET",$Y2695="EVET"),0,IF($D2695="GELİR",IF($E2695="SATIŞ İADESİ/İSKONTO",-$O2695,$O2695),-$O2695)))</f>
        <v/>
      </c>
      <c r="AB2695" s="117">
        <f>IF($B2695="","",IF(OR($D2695="",$E2695="",$O2695=""),"EKSİK",IF($O2695&lt;=0,"SIFIR/NEGATİF",IF(COUNTIFS($C$6:$C$5000,$C2695,$O$6:$O$5000,$O2695,$B$6:$B$5000,$B2695)&gt;1,"MÜKERRER","OK"))))</f>
        <v/>
      </c>
    </row>
    <row r="2696" ht="16.5" customHeight="1" s="80">
      <c r="A2696" s="113" t="n"/>
      <c r="B2696" s="113" t="n"/>
      <c r="C2696" s="113" t="n"/>
      <c r="D2696" s="113" t="n"/>
      <c r="E2696" s="113" t="n"/>
      <c r="F2696" s="113" t="n"/>
      <c r="G2696" s="113" t="n"/>
      <c r="H2696" s="113" t="n"/>
      <c r="I2696" s="113" t="n"/>
      <c r="J2696" s="113" t="n"/>
      <c r="K2696" s="113" t="n"/>
      <c r="L2696" s="113" t="n"/>
      <c r="M2696" s="113" t="n"/>
      <c r="N2696" s="113" t="n"/>
      <c r="O2696" s="113" t="n"/>
      <c r="P2696" s="113" t="n"/>
      <c r="Q2696" s="113" t="n"/>
      <c r="R2696" s="113" t="n"/>
      <c r="S2696" s="113" t="n"/>
      <c r="T2696" s="113" t="n"/>
      <c r="U2696" s="113" t="n"/>
      <c r="V2696" s="113" t="n"/>
      <c r="W2696" s="113" t="n"/>
      <c r="X2696" s="113" t="n"/>
      <c r="Y2696" s="113" t="n"/>
      <c r="Z2696" s="117">
        <f>IF($B2696="",0,IF($S2696="EVET",IF($D2696="GELİR",$O2696,-$O2696),0))</f>
        <v/>
      </c>
      <c r="AA2696" s="117">
        <f>IF($B2696="",0,IF(OR($W2696="EVET",$X2696="EVET",$Y2696="EVET"),0,IF($D2696="GELİR",IF($E2696="SATIŞ İADESİ/İSKONTO",-$O2696,$O2696),-$O2696)))</f>
        <v/>
      </c>
      <c r="AB2696" s="117">
        <f>IF($B2696="","",IF(OR($D2696="",$E2696="",$O2696=""),"EKSİK",IF($O2696&lt;=0,"SIFIR/NEGATİF",IF(COUNTIFS($C$6:$C$5000,$C2696,$O$6:$O$5000,$O2696,$B$6:$B$5000,$B2696)&gt;1,"MÜKERRER","OK"))))</f>
        <v/>
      </c>
    </row>
    <row r="2697" ht="16.5" customHeight="1" s="80">
      <c r="A2697" s="113" t="n"/>
      <c r="B2697" s="113" t="n"/>
      <c r="C2697" s="113" t="n"/>
      <c r="D2697" s="113" t="n"/>
      <c r="E2697" s="113" t="n"/>
      <c r="F2697" s="113" t="n"/>
      <c r="G2697" s="113" t="n"/>
      <c r="H2697" s="113" t="n"/>
      <c r="I2697" s="113" t="n"/>
      <c r="J2697" s="113" t="n"/>
      <c r="K2697" s="113" t="n"/>
      <c r="L2697" s="113" t="n"/>
      <c r="M2697" s="113" t="n"/>
      <c r="N2697" s="113" t="n"/>
      <c r="O2697" s="113" t="n"/>
      <c r="P2697" s="113" t="n"/>
      <c r="Q2697" s="113" t="n"/>
      <c r="R2697" s="113" t="n"/>
      <c r="S2697" s="113" t="n"/>
      <c r="T2697" s="113" t="n"/>
      <c r="U2697" s="113" t="n"/>
      <c r="V2697" s="113" t="n"/>
      <c r="W2697" s="113" t="n"/>
      <c r="X2697" s="113" t="n"/>
      <c r="Y2697" s="113" t="n"/>
      <c r="Z2697" s="117">
        <f>IF($B2697="",0,IF($S2697="EVET",IF($D2697="GELİR",$O2697,-$O2697),0))</f>
        <v/>
      </c>
      <c r="AA2697" s="117">
        <f>IF($B2697="",0,IF(OR($W2697="EVET",$X2697="EVET",$Y2697="EVET"),0,IF($D2697="GELİR",IF($E2697="SATIŞ İADESİ/İSKONTO",-$O2697,$O2697),-$O2697)))</f>
        <v/>
      </c>
      <c r="AB2697" s="117">
        <f>IF($B2697="","",IF(OR($D2697="",$E2697="",$O2697=""),"EKSİK",IF($O2697&lt;=0,"SIFIR/NEGATİF",IF(COUNTIFS($C$6:$C$5000,$C2697,$O$6:$O$5000,$O2697,$B$6:$B$5000,$B2697)&gt;1,"MÜKERRER","OK"))))</f>
        <v/>
      </c>
    </row>
    <row r="2698" ht="16.5" customHeight="1" s="80">
      <c r="A2698" s="113" t="n"/>
      <c r="B2698" s="113" t="n"/>
      <c r="C2698" s="113" t="n"/>
      <c r="D2698" s="113" t="n"/>
      <c r="E2698" s="113" t="n"/>
      <c r="F2698" s="113" t="n"/>
      <c r="G2698" s="113" t="n"/>
      <c r="H2698" s="113" t="n"/>
      <c r="I2698" s="113" t="n"/>
      <c r="J2698" s="113" t="n"/>
      <c r="K2698" s="113" t="n"/>
      <c r="L2698" s="113" t="n"/>
      <c r="M2698" s="113" t="n"/>
      <c r="N2698" s="113" t="n"/>
      <c r="O2698" s="113" t="n"/>
      <c r="P2698" s="113" t="n"/>
      <c r="Q2698" s="113" t="n"/>
      <c r="R2698" s="113" t="n"/>
      <c r="S2698" s="113" t="n"/>
      <c r="T2698" s="113" t="n"/>
      <c r="U2698" s="113" t="n"/>
      <c r="V2698" s="113" t="n"/>
      <c r="W2698" s="113" t="n"/>
      <c r="X2698" s="113" t="n"/>
      <c r="Y2698" s="113" t="n"/>
      <c r="Z2698" s="117">
        <f>IF($B2698="",0,IF($S2698="EVET",IF($D2698="GELİR",$O2698,-$O2698),0))</f>
        <v/>
      </c>
      <c r="AA2698" s="117">
        <f>IF($B2698="",0,IF(OR($W2698="EVET",$X2698="EVET",$Y2698="EVET"),0,IF($D2698="GELİR",IF($E2698="SATIŞ İADESİ/İSKONTO",-$O2698,$O2698),-$O2698)))</f>
        <v/>
      </c>
      <c r="AB2698" s="117">
        <f>IF($B2698="","",IF(OR($D2698="",$E2698="",$O2698=""),"EKSİK",IF($O2698&lt;=0,"SIFIR/NEGATİF",IF(COUNTIFS($C$6:$C$5000,$C2698,$O$6:$O$5000,$O2698,$B$6:$B$5000,$B2698)&gt;1,"MÜKERRER","OK"))))</f>
        <v/>
      </c>
    </row>
    <row r="2699" ht="16.5" customHeight="1" s="80">
      <c r="A2699" s="113" t="n"/>
      <c r="B2699" s="113" t="n"/>
      <c r="C2699" s="113" t="n"/>
      <c r="D2699" s="113" t="n"/>
      <c r="E2699" s="113" t="n"/>
      <c r="F2699" s="113" t="n"/>
      <c r="G2699" s="113" t="n"/>
      <c r="H2699" s="113" t="n"/>
      <c r="I2699" s="113" t="n"/>
      <c r="J2699" s="113" t="n"/>
      <c r="K2699" s="113" t="n"/>
      <c r="L2699" s="113" t="n"/>
      <c r="M2699" s="113" t="n"/>
      <c r="N2699" s="113" t="n"/>
      <c r="O2699" s="113" t="n"/>
      <c r="P2699" s="113" t="n"/>
      <c r="Q2699" s="113" t="n"/>
      <c r="R2699" s="113" t="n"/>
      <c r="S2699" s="113" t="n"/>
      <c r="T2699" s="113" t="n"/>
      <c r="U2699" s="113" t="n"/>
      <c r="V2699" s="113" t="n"/>
      <c r="W2699" s="113" t="n"/>
      <c r="X2699" s="113" t="n"/>
      <c r="Y2699" s="113" t="n"/>
      <c r="Z2699" s="117">
        <f>IF($B2699="",0,IF($S2699="EVET",IF($D2699="GELİR",$O2699,-$O2699),0))</f>
        <v/>
      </c>
      <c r="AA2699" s="117">
        <f>IF($B2699="",0,IF(OR($W2699="EVET",$X2699="EVET",$Y2699="EVET"),0,IF($D2699="GELİR",IF($E2699="SATIŞ İADESİ/İSKONTO",-$O2699,$O2699),-$O2699)))</f>
        <v/>
      </c>
      <c r="AB2699" s="117">
        <f>IF($B2699="","",IF(OR($D2699="",$E2699="",$O2699=""),"EKSİK",IF($O2699&lt;=0,"SIFIR/NEGATİF",IF(COUNTIFS($C$6:$C$5000,$C2699,$O$6:$O$5000,$O2699,$B$6:$B$5000,$B2699)&gt;1,"MÜKERRER","OK"))))</f>
        <v/>
      </c>
    </row>
    <row r="2700" ht="16.5" customHeight="1" s="80">
      <c r="A2700" s="113" t="n"/>
      <c r="B2700" s="113" t="n"/>
      <c r="C2700" s="113" t="n"/>
      <c r="D2700" s="113" t="n"/>
      <c r="E2700" s="113" t="n"/>
      <c r="F2700" s="113" t="n"/>
      <c r="G2700" s="113" t="n"/>
      <c r="H2700" s="113" t="n"/>
      <c r="I2700" s="113" t="n"/>
      <c r="J2700" s="113" t="n"/>
      <c r="K2700" s="113" t="n"/>
      <c r="L2700" s="113" t="n"/>
      <c r="M2700" s="113" t="n"/>
      <c r="N2700" s="113" t="n"/>
      <c r="O2700" s="113" t="n"/>
      <c r="P2700" s="113" t="n"/>
      <c r="Q2700" s="113" t="n"/>
      <c r="R2700" s="113" t="n"/>
      <c r="S2700" s="113" t="n"/>
      <c r="T2700" s="113" t="n"/>
      <c r="U2700" s="113" t="n"/>
      <c r="V2700" s="113" t="n"/>
      <c r="W2700" s="113" t="n"/>
      <c r="X2700" s="113" t="n"/>
      <c r="Y2700" s="113" t="n"/>
      <c r="Z2700" s="117">
        <f>IF($B2700="",0,IF($S2700="EVET",IF($D2700="GELİR",$O2700,-$O2700),0))</f>
        <v/>
      </c>
      <c r="AA2700" s="117">
        <f>IF($B2700="",0,IF(OR($W2700="EVET",$X2700="EVET",$Y2700="EVET"),0,IF($D2700="GELİR",IF($E2700="SATIŞ İADESİ/İSKONTO",-$O2700,$O2700),-$O2700)))</f>
        <v/>
      </c>
      <c r="AB2700" s="117">
        <f>IF($B2700="","",IF(OR($D2700="",$E2700="",$O2700=""),"EKSİK",IF($O2700&lt;=0,"SIFIR/NEGATİF",IF(COUNTIFS($C$6:$C$5000,$C2700,$O$6:$O$5000,$O2700,$B$6:$B$5000,$B2700)&gt;1,"MÜKERRER","OK"))))</f>
        <v/>
      </c>
    </row>
    <row r="2701" ht="16.5" customHeight="1" s="80">
      <c r="A2701" s="113" t="n"/>
      <c r="B2701" s="113" t="n"/>
      <c r="C2701" s="113" t="n"/>
      <c r="D2701" s="113" t="n"/>
      <c r="E2701" s="113" t="n"/>
      <c r="F2701" s="113" t="n"/>
      <c r="G2701" s="113" t="n"/>
      <c r="H2701" s="113" t="n"/>
      <c r="I2701" s="113" t="n"/>
      <c r="J2701" s="113" t="n"/>
      <c r="K2701" s="113" t="n"/>
      <c r="L2701" s="113" t="n"/>
      <c r="M2701" s="113" t="n"/>
      <c r="N2701" s="113" t="n"/>
      <c r="O2701" s="113" t="n"/>
      <c r="P2701" s="113" t="n"/>
      <c r="Q2701" s="113" t="n"/>
      <c r="R2701" s="113" t="n"/>
      <c r="S2701" s="113" t="n"/>
      <c r="T2701" s="113" t="n"/>
      <c r="U2701" s="113" t="n"/>
      <c r="V2701" s="113" t="n"/>
      <c r="W2701" s="113" t="n"/>
      <c r="X2701" s="113" t="n"/>
      <c r="Y2701" s="113" t="n"/>
      <c r="Z2701" s="117">
        <f>IF($B2701="",0,IF($S2701="EVET",IF($D2701="GELİR",$O2701,-$O2701),0))</f>
        <v/>
      </c>
      <c r="AA2701" s="117">
        <f>IF($B2701="",0,IF(OR($W2701="EVET",$X2701="EVET",$Y2701="EVET"),0,IF($D2701="GELİR",IF($E2701="SATIŞ İADESİ/İSKONTO",-$O2701,$O2701),-$O2701)))</f>
        <v/>
      </c>
      <c r="AB2701" s="117">
        <f>IF($B2701="","",IF(OR($D2701="",$E2701="",$O2701=""),"EKSİK",IF($O2701&lt;=0,"SIFIR/NEGATİF",IF(COUNTIFS($C$6:$C$5000,$C2701,$O$6:$O$5000,$O2701,$B$6:$B$5000,$B2701)&gt;1,"MÜKERRER","OK"))))</f>
        <v/>
      </c>
    </row>
    <row r="2702" ht="16.5" customHeight="1" s="80">
      <c r="A2702" s="113" t="n"/>
      <c r="B2702" s="113" t="n"/>
      <c r="C2702" s="113" t="n"/>
      <c r="D2702" s="113" t="n"/>
      <c r="E2702" s="113" t="n"/>
      <c r="F2702" s="113" t="n"/>
      <c r="G2702" s="113" t="n"/>
      <c r="H2702" s="113" t="n"/>
      <c r="I2702" s="113" t="n"/>
      <c r="J2702" s="113" t="n"/>
      <c r="K2702" s="113" t="n"/>
      <c r="L2702" s="113" t="n"/>
      <c r="M2702" s="113" t="n"/>
      <c r="N2702" s="113" t="n"/>
      <c r="O2702" s="113" t="n"/>
      <c r="P2702" s="113" t="n"/>
      <c r="Q2702" s="113" t="n"/>
      <c r="R2702" s="113" t="n"/>
      <c r="S2702" s="113" t="n"/>
      <c r="T2702" s="113" t="n"/>
      <c r="U2702" s="113" t="n"/>
      <c r="V2702" s="113" t="n"/>
      <c r="W2702" s="113" t="n"/>
      <c r="X2702" s="113" t="n"/>
      <c r="Y2702" s="113" t="n"/>
      <c r="Z2702" s="117">
        <f>IF($B2702="",0,IF($S2702="EVET",IF($D2702="GELİR",$O2702,-$O2702),0))</f>
        <v/>
      </c>
      <c r="AA2702" s="117">
        <f>IF($B2702="",0,IF(OR($W2702="EVET",$X2702="EVET",$Y2702="EVET"),0,IF($D2702="GELİR",IF($E2702="SATIŞ İADESİ/İSKONTO",-$O2702,$O2702),-$O2702)))</f>
        <v/>
      </c>
      <c r="AB2702" s="117">
        <f>IF($B2702="","",IF(OR($D2702="",$E2702="",$O2702=""),"EKSİK",IF($O2702&lt;=0,"SIFIR/NEGATİF",IF(COUNTIFS($C$6:$C$5000,$C2702,$O$6:$O$5000,$O2702,$B$6:$B$5000,$B2702)&gt;1,"MÜKERRER","OK"))))</f>
        <v/>
      </c>
    </row>
    <row r="2703" ht="16.5" customHeight="1" s="80">
      <c r="A2703" s="113" t="n"/>
      <c r="B2703" s="113" t="n"/>
      <c r="C2703" s="113" t="n"/>
      <c r="D2703" s="113" t="n"/>
      <c r="E2703" s="113" t="n"/>
      <c r="F2703" s="113" t="n"/>
      <c r="G2703" s="113" t="n"/>
      <c r="H2703" s="113" t="n"/>
      <c r="I2703" s="113" t="n"/>
      <c r="J2703" s="113" t="n"/>
      <c r="K2703" s="113" t="n"/>
      <c r="L2703" s="113" t="n"/>
      <c r="M2703" s="113" t="n"/>
      <c r="N2703" s="113" t="n"/>
      <c r="O2703" s="113" t="n"/>
      <c r="P2703" s="113" t="n"/>
      <c r="Q2703" s="113" t="n"/>
      <c r="R2703" s="113" t="n"/>
      <c r="S2703" s="113" t="n"/>
      <c r="T2703" s="113" t="n"/>
      <c r="U2703" s="113" t="n"/>
      <c r="V2703" s="113" t="n"/>
      <c r="W2703" s="113" t="n"/>
      <c r="X2703" s="113" t="n"/>
      <c r="Y2703" s="113" t="n"/>
      <c r="Z2703" s="117">
        <f>IF($B2703="",0,IF($S2703="EVET",IF($D2703="GELİR",$O2703,-$O2703),0))</f>
        <v/>
      </c>
      <c r="AA2703" s="117">
        <f>IF($B2703="",0,IF(OR($W2703="EVET",$X2703="EVET",$Y2703="EVET"),0,IF($D2703="GELİR",IF($E2703="SATIŞ İADESİ/İSKONTO",-$O2703,$O2703),-$O2703)))</f>
        <v/>
      </c>
      <c r="AB2703" s="117">
        <f>IF($B2703="","",IF(OR($D2703="",$E2703="",$O2703=""),"EKSİK",IF($O2703&lt;=0,"SIFIR/NEGATİF",IF(COUNTIFS($C$6:$C$5000,$C2703,$O$6:$O$5000,$O2703,$B$6:$B$5000,$B2703)&gt;1,"MÜKERRER","OK"))))</f>
        <v/>
      </c>
    </row>
    <row r="2704" ht="16.5" customHeight="1" s="80">
      <c r="A2704" s="113" t="n"/>
      <c r="B2704" s="113" t="n"/>
      <c r="C2704" s="113" t="n"/>
      <c r="D2704" s="113" t="n"/>
      <c r="E2704" s="113" t="n"/>
      <c r="F2704" s="113" t="n"/>
      <c r="G2704" s="113" t="n"/>
      <c r="H2704" s="113" t="n"/>
      <c r="I2704" s="113" t="n"/>
      <c r="J2704" s="113" t="n"/>
      <c r="K2704" s="113" t="n"/>
      <c r="L2704" s="113" t="n"/>
      <c r="M2704" s="113" t="n"/>
      <c r="N2704" s="113" t="n"/>
      <c r="O2704" s="113" t="n"/>
      <c r="P2704" s="113" t="n"/>
      <c r="Q2704" s="113" t="n"/>
      <c r="R2704" s="113" t="n"/>
      <c r="S2704" s="113" t="n"/>
      <c r="T2704" s="113" t="n"/>
      <c r="U2704" s="113" t="n"/>
      <c r="V2704" s="113" t="n"/>
      <c r="W2704" s="113" t="n"/>
      <c r="X2704" s="113" t="n"/>
      <c r="Y2704" s="113" t="n"/>
      <c r="Z2704" s="117">
        <f>IF($B2704="",0,IF($S2704="EVET",IF($D2704="GELİR",$O2704,-$O2704),0))</f>
        <v/>
      </c>
      <c r="AA2704" s="117">
        <f>IF($B2704="",0,IF(OR($W2704="EVET",$X2704="EVET",$Y2704="EVET"),0,IF($D2704="GELİR",IF($E2704="SATIŞ İADESİ/İSKONTO",-$O2704,$O2704),-$O2704)))</f>
        <v/>
      </c>
      <c r="AB2704" s="117">
        <f>IF($B2704="","",IF(OR($D2704="",$E2704="",$O2704=""),"EKSİK",IF($O2704&lt;=0,"SIFIR/NEGATİF",IF(COUNTIFS($C$6:$C$5000,$C2704,$O$6:$O$5000,$O2704,$B$6:$B$5000,$B2704)&gt;1,"MÜKERRER","OK"))))</f>
        <v/>
      </c>
    </row>
    <row r="2705" ht="16.5" customHeight="1" s="80">
      <c r="A2705" s="113" t="n"/>
      <c r="B2705" s="113" t="n"/>
      <c r="C2705" s="113" t="n"/>
      <c r="D2705" s="113" t="n"/>
      <c r="E2705" s="113" t="n"/>
      <c r="F2705" s="113" t="n"/>
      <c r="G2705" s="113" t="n"/>
      <c r="H2705" s="113" t="n"/>
      <c r="I2705" s="113" t="n"/>
      <c r="J2705" s="113" t="n"/>
      <c r="K2705" s="113" t="n"/>
      <c r="L2705" s="113" t="n"/>
      <c r="M2705" s="113" t="n"/>
      <c r="N2705" s="113" t="n"/>
      <c r="O2705" s="113" t="n"/>
      <c r="P2705" s="113" t="n"/>
      <c r="Q2705" s="113" t="n"/>
      <c r="R2705" s="113" t="n"/>
      <c r="S2705" s="113" t="n"/>
      <c r="T2705" s="113" t="n"/>
      <c r="U2705" s="113" t="n"/>
      <c r="V2705" s="113" t="n"/>
      <c r="W2705" s="113" t="n"/>
      <c r="X2705" s="113" t="n"/>
      <c r="Y2705" s="113" t="n"/>
      <c r="Z2705" s="117">
        <f>IF($B2705="",0,IF($S2705="EVET",IF($D2705="GELİR",$O2705,-$O2705),0))</f>
        <v/>
      </c>
      <c r="AA2705" s="117">
        <f>IF($B2705="",0,IF(OR($W2705="EVET",$X2705="EVET",$Y2705="EVET"),0,IF($D2705="GELİR",IF($E2705="SATIŞ İADESİ/İSKONTO",-$O2705,$O2705),-$O2705)))</f>
        <v/>
      </c>
      <c r="AB2705" s="117">
        <f>IF($B2705="","",IF(OR($D2705="",$E2705="",$O2705=""),"EKSİK",IF($O2705&lt;=0,"SIFIR/NEGATİF",IF(COUNTIFS($C$6:$C$5000,$C2705,$O$6:$O$5000,$O2705,$B$6:$B$5000,$B2705)&gt;1,"MÜKERRER","OK"))))</f>
        <v/>
      </c>
    </row>
    <row r="2706" ht="16.5" customHeight="1" s="80">
      <c r="A2706" s="113" t="n"/>
      <c r="B2706" s="113" t="n"/>
      <c r="C2706" s="113" t="n"/>
      <c r="D2706" s="113" t="n"/>
      <c r="E2706" s="113" t="n"/>
      <c r="F2706" s="113" t="n"/>
      <c r="G2706" s="113" t="n"/>
      <c r="H2706" s="113" t="n"/>
      <c r="I2706" s="113" t="n"/>
      <c r="J2706" s="113" t="n"/>
      <c r="K2706" s="113" t="n"/>
      <c r="L2706" s="113" t="n"/>
      <c r="M2706" s="113" t="n"/>
      <c r="N2706" s="113" t="n"/>
      <c r="O2706" s="113" t="n"/>
      <c r="P2706" s="113" t="n"/>
      <c r="Q2706" s="113" t="n"/>
      <c r="R2706" s="113" t="n"/>
      <c r="S2706" s="113" t="n"/>
      <c r="T2706" s="113" t="n"/>
      <c r="U2706" s="113" t="n"/>
      <c r="V2706" s="113" t="n"/>
      <c r="W2706" s="113" t="n"/>
      <c r="X2706" s="113" t="n"/>
      <c r="Y2706" s="113" t="n"/>
      <c r="Z2706" s="117">
        <f>IF($B2706="",0,IF($S2706="EVET",IF($D2706="GELİR",$O2706,-$O2706),0))</f>
        <v/>
      </c>
      <c r="AA2706" s="117">
        <f>IF($B2706="",0,IF(OR($W2706="EVET",$X2706="EVET",$Y2706="EVET"),0,IF($D2706="GELİR",IF($E2706="SATIŞ İADESİ/İSKONTO",-$O2706,$O2706),-$O2706)))</f>
        <v/>
      </c>
      <c r="AB2706" s="117">
        <f>IF($B2706="","",IF(OR($D2706="",$E2706="",$O2706=""),"EKSİK",IF($O2706&lt;=0,"SIFIR/NEGATİF",IF(COUNTIFS($C$6:$C$5000,$C2706,$O$6:$O$5000,$O2706,$B$6:$B$5000,$B2706)&gt;1,"MÜKERRER","OK"))))</f>
        <v/>
      </c>
    </row>
    <row r="2707" ht="16.5" customHeight="1" s="80">
      <c r="A2707" s="113" t="n"/>
      <c r="B2707" s="113" t="n"/>
      <c r="C2707" s="113" t="n"/>
      <c r="D2707" s="113" t="n"/>
      <c r="E2707" s="113" t="n"/>
      <c r="F2707" s="113" t="n"/>
      <c r="G2707" s="113" t="n"/>
      <c r="H2707" s="113" t="n"/>
      <c r="I2707" s="113" t="n"/>
      <c r="J2707" s="113" t="n"/>
      <c r="K2707" s="113" t="n"/>
      <c r="L2707" s="113" t="n"/>
      <c r="M2707" s="113" t="n"/>
      <c r="N2707" s="113" t="n"/>
      <c r="O2707" s="113" t="n"/>
      <c r="P2707" s="113" t="n"/>
      <c r="Q2707" s="113" t="n"/>
      <c r="R2707" s="113" t="n"/>
      <c r="S2707" s="113" t="n"/>
      <c r="T2707" s="113" t="n"/>
      <c r="U2707" s="113" t="n"/>
      <c r="V2707" s="113" t="n"/>
      <c r="W2707" s="113" t="n"/>
      <c r="X2707" s="113" t="n"/>
      <c r="Y2707" s="113" t="n"/>
      <c r="Z2707" s="117">
        <f>IF($B2707="",0,IF($S2707="EVET",IF($D2707="GELİR",$O2707,-$O2707),0))</f>
        <v/>
      </c>
      <c r="AA2707" s="117">
        <f>IF($B2707="",0,IF(OR($W2707="EVET",$X2707="EVET",$Y2707="EVET"),0,IF($D2707="GELİR",IF($E2707="SATIŞ İADESİ/İSKONTO",-$O2707,$O2707),-$O2707)))</f>
        <v/>
      </c>
      <c r="AB2707" s="117">
        <f>IF($B2707="","",IF(OR($D2707="",$E2707="",$O2707=""),"EKSİK",IF($O2707&lt;=0,"SIFIR/NEGATİF",IF(COUNTIFS($C$6:$C$5000,$C2707,$O$6:$O$5000,$O2707,$B$6:$B$5000,$B2707)&gt;1,"MÜKERRER","OK"))))</f>
        <v/>
      </c>
    </row>
    <row r="2708" ht="16.5" customHeight="1" s="80">
      <c r="A2708" s="113" t="n"/>
      <c r="B2708" s="113" t="n"/>
      <c r="C2708" s="113" t="n"/>
      <c r="D2708" s="113" t="n"/>
      <c r="E2708" s="113" t="n"/>
      <c r="F2708" s="113" t="n"/>
      <c r="G2708" s="113" t="n"/>
      <c r="H2708" s="113" t="n"/>
      <c r="I2708" s="113" t="n"/>
      <c r="J2708" s="113" t="n"/>
      <c r="K2708" s="113" t="n"/>
      <c r="L2708" s="113" t="n"/>
      <c r="M2708" s="113" t="n"/>
      <c r="N2708" s="113" t="n"/>
      <c r="O2708" s="113" t="n"/>
      <c r="P2708" s="113" t="n"/>
      <c r="Q2708" s="113" t="n"/>
      <c r="R2708" s="113" t="n"/>
      <c r="S2708" s="113" t="n"/>
      <c r="T2708" s="113" t="n"/>
      <c r="U2708" s="113" t="n"/>
      <c r="V2708" s="113" t="n"/>
      <c r="W2708" s="113" t="n"/>
      <c r="X2708" s="113" t="n"/>
      <c r="Y2708" s="113" t="n"/>
      <c r="Z2708" s="117">
        <f>IF($B2708="",0,IF($S2708="EVET",IF($D2708="GELİR",$O2708,-$O2708),0))</f>
        <v/>
      </c>
      <c r="AA2708" s="117">
        <f>IF($B2708="",0,IF(OR($W2708="EVET",$X2708="EVET",$Y2708="EVET"),0,IF($D2708="GELİR",IF($E2708="SATIŞ İADESİ/İSKONTO",-$O2708,$O2708),-$O2708)))</f>
        <v/>
      </c>
      <c r="AB2708" s="117">
        <f>IF($B2708="","",IF(OR($D2708="",$E2708="",$O2708=""),"EKSİK",IF($O2708&lt;=0,"SIFIR/NEGATİF",IF(COUNTIFS($C$6:$C$5000,$C2708,$O$6:$O$5000,$O2708,$B$6:$B$5000,$B2708)&gt;1,"MÜKERRER","OK"))))</f>
        <v/>
      </c>
    </row>
    <row r="2709" ht="16.5" customHeight="1" s="80">
      <c r="A2709" s="113" t="n"/>
      <c r="B2709" s="113" t="n"/>
      <c r="C2709" s="113" t="n"/>
      <c r="D2709" s="113" t="n"/>
      <c r="E2709" s="113" t="n"/>
      <c r="F2709" s="113" t="n"/>
      <c r="G2709" s="113" t="n"/>
      <c r="H2709" s="113" t="n"/>
      <c r="I2709" s="113" t="n"/>
      <c r="J2709" s="113" t="n"/>
      <c r="K2709" s="113" t="n"/>
      <c r="L2709" s="113" t="n"/>
      <c r="M2709" s="113" t="n"/>
      <c r="N2709" s="113" t="n"/>
      <c r="O2709" s="113" t="n"/>
      <c r="P2709" s="113" t="n"/>
      <c r="Q2709" s="113" t="n"/>
      <c r="R2709" s="113" t="n"/>
      <c r="S2709" s="113" t="n"/>
      <c r="T2709" s="113" t="n"/>
      <c r="U2709" s="113" t="n"/>
      <c r="V2709" s="113" t="n"/>
      <c r="W2709" s="113" t="n"/>
      <c r="X2709" s="113" t="n"/>
      <c r="Y2709" s="113" t="n"/>
      <c r="Z2709" s="117">
        <f>IF($B2709="",0,IF($S2709="EVET",IF($D2709="GELİR",$O2709,-$O2709),0))</f>
        <v/>
      </c>
      <c r="AA2709" s="117">
        <f>IF($B2709="",0,IF(OR($W2709="EVET",$X2709="EVET",$Y2709="EVET"),0,IF($D2709="GELİR",IF($E2709="SATIŞ İADESİ/İSKONTO",-$O2709,$O2709),-$O2709)))</f>
        <v/>
      </c>
      <c r="AB2709" s="117">
        <f>IF($B2709="","",IF(OR($D2709="",$E2709="",$O2709=""),"EKSİK",IF($O2709&lt;=0,"SIFIR/NEGATİF",IF(COUNTIFS($C$6:$C$5000,$C2709,$O$6:$O$5000,$O2709,$B$6:$B$5000,$B2709)&gt;1,"MÜKERRER","OK"))))</f>
        <v/>
      </c>
    </row>
    <row r="2710" ht="16.5" customHeight="1" s="80">
      <c r="A2710" s="113" t="n"/>
      <c r="B2710" s="113" t="n"/>
      <c r="C2710" s="113" t="n"/>
      <c r="D2710" s="113" t="n"/>
      <c r="E2710" s="113" t="n"/>
      <c r="F2710" s="113" t="n"/>
      <c r="G2710" s="113" t="n"/>
      <c r="H2710" s="113" t="n"/>
      <c r="I2710" s="113" t="n"/>
      <c r="J2710" s="113" t="n"/>
      <c r="K2710" s="113" t="n"/>
      <c r="L2710" s="113" t="n"/>
      <c r="M2710" s="113" t="n"/>
      <c r="N2710" s="113" t="n"/>
      <c r="O2710" s="113" t="n"/>
      <c r="P2710" s="113" t="n"/>
      <c r="Q2710" s="113" t="n"/>
      <c r="R2710" s="113" t="n"/>
      <c r="S2710" s="113" t="n"/>
      <c r="T2710" s="113" t="n"/>
      <c r="U2710" s="113" t="n"/>
      <c r="V2710" s="113" t="n"/>
      <c r="W2710" s="113" t="n"/>
      <c r="X2710" s="113" t="n"/>
      <c r="Y2710" s="113" t="n"/>
      <c r="Z2710" s="117">
        <f>IF($B2710="",0,IF($S2710="EVET",IF($D2710="GELİR",$O2710,-$O2710),0))</f>
        <v/>
      </c>
      <c r="AA2710" s="117">
        <f>IF($B2710="",0,IF(OR($W2710="EVET",$X2710="EVET",$Y2710="EVET"),0,IF($D2710="GELİR",IF($E2710="SATIŞ İADESİ/İSKONTO",-$O2710,$O2710),-$O2710)))</f>
        <v/>
      </c>
      <c r="AB2710" s="117">
        <f>IF($B2710="","",IF(OR($D2710="",$E2710="",$O2710=""),"EKSİK",IF($O2710&lt;=0,"SIFIR/NEGATİF",IF(COUNTIFS($C$6:$C$5000,$C2710,$O$6:$O$5000,$O2710,$B$6:$B$5000,$B2710)&gt;1,"MÜKERRER","OK"))))</f>
        <v/>
      </c>
    </row>
    <row r="2711" ht="16.5" customHeight="1" s="80">
      <c r="A2711" s="113" t="n"/>
      <c r="B2711" s="113" t="n"/>
      <c r="C2711" s="113" t="n"/>
      <c r="D2711" s="113" t="n"/>
      <c r="E2711" s="113" t="n"/>
      <c r="F2711" s="113" t="n"/>
      <c r="G2711" s="113" t="n"/>
      <c r="H2711" s="113" t="n"/>
      <c r="I2711" s="113" t="n"/>
      <c r="J2711" s="113" t="n"/>
      <c r="K2711" s="113" t="n"/>
      <c r="L2711" s="113" t="n"/>
      <c r="M2711" s="113" t="n"/>
      <c r="N2711" s="113" t="n"/>
      <c r="O2711" s="113" t="n"/>
      <c r="P2711" s="113" t="n"/>
      <c r="Q2711" s="113" t="n"/>
      <c r="R2711" s="113" t="n"/>
      <c r="S2711" s="113" t="n"/>
      <c r="T2711" s="113" t="n"/>
      <c r="U2711" s="113" t="n"/>
      <c r="V2711" s="113" t="n"/>
      <c r="W2711" s="113" t="n"/>
      <c r="X2711" s="113" t="n"/>
      <c r="Y2711" s="113" t="n"/>
      <c r="Z2711" s="117">
        <f>IF($B2711="",0,IF($S2711="EVET",IF($D2711="GELİR",$O2711,-$O2711),0))</f>
        <v/>
      </c>
      <c r="AA2711" s="117">
        <f>IF($B2711="",0,IF(OR($W2711="EVET",$X2711="EVET",$Y2711="EVET"),0,IF($D2711="GELİR",IF($E2711="SATIŞ İADESİ/İSKONTO",-$O2711,$O2711),-$O2711)))</f>
        <v/>
      </c>
      <c r="AB2711" s="117">
        <f>IF($B2711="","",IF(OR($D2711="",$E2711="",$O2711=""),"EKSİK",IF($O2711&lt;=0,"SIFIR/NEGATİF",IF(COUNTIFS($C$6:$C$5000,$C2711,$O$6:$O$5000,$O2711,$B$6:$B$5000,$B2711)&gt;1,"MÜKERRER","OK"))))</f>
        <v/>
      </c>
    </row>
    <row r="2712" ht="16.5" customHeight="1" s="80">
      <c r="A2712" s="113" t="n"/>
      <c r="B2712" s="113" t="n"/>
      <c r="C2712" s="113" t="n"/>
      <c r="D2712" s="113" t="n"/>
      <c r="E2712" s="113" t="n"/>
      <c r="F2712" s="113" t="n"/>
      <c r="G2712" s="113" t="n"/>
      <c r="H2712" s="113" t="n"/>
      <c r="I2712" s="113" t="n"/>
      <c r="J2712" s="113" t="n"/>
      <c r="K2712" s="113" t="n"/>
      <c r="L2712" s="113" t="n"/>
      <c r="M2712" s="113" t="n"/>
      <c r="N2712" s="113" t="n"/>
      <c r="O2712" s="113" t="n"/>
      <c r="P2712" s="113" t="n"/>
      <c r="Q2712" s="113" t="n"/>
      <c r="R2712" s="113" t="n"/>
      <c r="S2712" s="113" t="n"/>
      <c r="T2712" s="113" t="n"/>
      <c r="U2712" s="113" t="n"/>
      <c r="V2712" s="113" t="n"/>
      <c r="W2712" s="113" t="n"/>
      <c r="X2712" s="113" t="n"/>
      <c r="Y2712" s="113" t="n"/>
      <c r="Z2712" s="117">
        <f>IF($B2712="",0,IF($S2712="EVET",IF($D2712="GELİR",$O2712,-$O2712),0))</f>
        <v/>
      </c>
      <c r="AA2712" s="117">
        <f>IF($B2712="",0,IF(OR($W2712="EVET",$X2712="EVET",$Y2712="EVET"),0,IF($D2712="GELİR",IF($E2712="SATIŞ İADESİ/İSKONTO",-$O2712,$O2712),-$O2712)))</f>
        <v/>
      </c>
      <c r="AB2712" s="117">
        <f>IF($B2712="","",IF(OR($D2712="",$E2712="",$O2712=""),"EKSİK",IF($O2712&lt;=0,"SIFIR/NEGATİF",IF(COUNTIFS($C$6:$C$5000,$C2712,$O$6:$O$5000,$O2712,$B$6:$B$5000,$B2712)&gt;1,"MÜKERRER","OK"))))</f>
        <v/>
      </c>
    </row>
    <row r="2713" ht="16.5" customHeight="1" s="80">
      <c r="A2713" s="113" t="n"/>
      <c r="B2713" s="113" t="n"/>
      <c r="C2713" s="113" t="n"/>
      <c r="D2713" s="113" t="n"/>
      <c r="E2713" s="113" t="n"/>
      <c r="F2713" s="113" t="n"/>
      <c r="G2713" s="113" t="n"/>
      <c r="H2713" s="113" t="n"/>
      <c r="I2713" s="113" t="n"/>
      <c r="J2713" s="113" t="n"/>
      <c r="K2713" s="113" t="n"/>
      <c r="L2713" s="113" t="n"/>
      <c r="M2713" s="113" t="n"/>
      <c r="N2713" s="113" t="n"/>
      <c r="O2713" s="113" t="n"/>
      <c r="P2713" s="113" t="n"/>
      <c r="Q2713" s="113" t="n"/>
      <c r="R2713" s="113" t="n"/>
      <c r="S2713" s="113" t="n"/>
      <c r="T2713" s="113" t="n"/>
      <c r="U2713" s="113" t="n"/>
      <c r="V2713" s="113" t="n"/>
      <c r="W2713" s="113" t="n"/>
      <c r="X2713" s="113" t="n"/>
      <c r="Y2713" s="113" t="n"/>
      <c r="Z2713" s="117">
        <f>IF($B2713="",0,IF($S2713="EVET",IF($D2713="GELİR",$O2713,-$O2713),0))</f>
        <v/>
      </c>
      <c r="AA2713" s="117">
        <f>IF($B2713="",0,IF(OR($W2713="EVET",$X2713="EVET",$Y2713="EVET"),0,IF($D2713="GELİR",IF($E2713="SATIŞ İADESİ/İSKONTO",-$O2713,$O2713),-$O2713)))</f>
        <v/>
      </c>
      <c r="AB2713" s="117">
        <f>IF($B2713="","",IF(OR($D2713="",$E2713="",$O2713=""),"EKSİK",IF($O2713&lt;=0,"SIFIR/NEGATİF",IF(COUNTIFS($C$6:$C$5000,$C2713,$O$6:$O$5000,$O2713,$B$6:$B$5000,$B2713)&gt;1,"MÜKERRER","OK"))))</f>
        <v/>
      </c>
    </row>
    <row r="2714" ht="16.5" customHeight="1" s="80">
      <c r="A2714" s="113" t="n"/>
      <c r="B2714" s="113" t="n"/>
      <c r="C2714" s="113" t="n"/>
      <c r="D2714" s="113" t="n"/>
      <c r="E2714" s="113" t="n"/>
      <c r="F2714" s="113" t="n"/>
      <c r="G2714" s="113" t="n"/>
      <c r="H2714" s="113" t="n"/>
      <c r="I2714" s="113" t="n"/>
      <c r="J2714" s="113" t="n"/>
      <c r="K2714" s="113" t="n"/>
      <c r="L2714" s="113" t="n"/>
      <c r="M2714" s="113" t="n"/>
      <c r="N2714" s="113" t="n"/>
      <c r="O2714" s="113" t="n"/>
      <c r="P2714" s="113" t="n"/>
      <c r="Q2714" s="113" t="n"/>
      <c r="R2714" s="113" t="n"/>
      <c r="S2714" s="113" t="n"/>
      <c r="T2714" s="113" t="n"/>
      <c r="U2714" s="113" t="n"/>
      <c r="V2714" s="113" t="n"/>
      <c r="W2714" s="113" t="n"/>
      <c r="X2714" s="113" t="n"/>
      <c r="Y2714" s="113" t="n"/>
      <c r="Z2714" s="117">
        <f>IF($B2714="",0,IF($S2714="EVET",IF($D2714="GELİR",$O2714,-$O2714),0))</f>
        <v/>
      </c>
      <c r="AA2714" s="117">
        <f>IF($B2714="",0,IF(OR($W2714="EVET",$X2714="EVET",$Y2714="EVET"),0,IF($D2714="GELİR",IF($E2714="SATIŞ İADESİ/İSKONTO",-$O2714,$O2714),-$O2714)))</f>
        <v/>
      </c>
      <c r="AB2714" s="117">
        <f>IF($B2714="","",IF(OR($D2714="",$E2714="",$O2714=""),"EKSİK",IF($O2714&lt;=0,"SIFIR/NEGATİF",IF(COUNTIFS($C$6:$C$5000,$C2714,$O$6:$O$5000,$O2714,$B$6:$B$5000,$B2714)&gt;1,"MÜKERRER","OK"))))</f>
        <v/>
      </c>
    </row>
    <row r="2715" ht="16.5" customHeight="1" s="80">
      <c r="A2715" s="113" t="n"/>
      <c r="B2715" s="113" t="n"/>
      <c r="C2715" s="113" t="n"/>
      <c r="D2715" s="113" t="n"/>
      <c r="E2715" s="113" t="n"/>
      <c r="F2715" s="113" t="n"/>
      <c r="G2715" s="113" t="n"/>
      <c r="H2715" s="113" t="n"/>
      <c r="I2715" s="113" t="n"/>
      <c r="J2715" s="113" t="n"/>
      <c r="K2715" s="113" t="n"/>
      <c r="L2715" s="113" t="n"/>
      <c r="M2715" s="113" t="n"/>
      <c r="N2715" s="113" t="n"/>
      <c r="O2715" s="113" t="n"/>
      <c r="P2715" s="113" t="n"/>
      <c r="Q2715" s="113" t="n"/>
      <c r="R2715" s="113" t="n"/>
      <c r="S2715" s="113" t="n"/>
      <c r="T2715" s="113" t="n"/>
      <c r="U2715" s="113" t="n"/>
      <c r="V2715" s="113" t="n"/>
      <c r="W2715" s="113" t="n"/>
      <c r="X2715" s="113" t="n"/>
      <c r="Y2715" s="113" t="n"/>
      <c r="Z2715" s="117">
        <f>IF($B2715="",0,IF($S2715="EVET",IF($D2715="GELİR",$O2715,-$O2715),0))</f>
        <v/>
      </c>
      <c r="AA2715" s="117">
        <f>IF($B2715="",0,IF(OR($W2715="EVET",$X2715="EVET",$Y2715="EVET"),0,IF($D2715="GELİR",IF($E2715="SATIŞ İADESİ/İSKONTO",-$O2715,$O2715),-$O2715)))</f>
        <v/>
      </c>
      <c r="AB2715" s="117">
        <f>IF($B2715="","",IF(OR($D2715="",$E2715="",$O2715=""),"EKSİK",IF($O2715&lt;=0,"SIFIR/NEGATİF",IF(COUNTIFS($C$6:$C$5000,$C2715,$O$6:$O$5000,$O2715,$B$6:$B$5000,$B2715)&gt;1,"MÜKERRER","OK"))))</f>
        <v/>
      </c>
    </row>
    <row r="2716" ht="16.5" customHeight="1" s="80">
      <c r="A2716" s="113" t="n"/>
      <c r="B2716" s="113" t="n"/>
      <c r="C2716" s="113" t="n"/>
      <c r="D2716" s="113" t="n"/>
      <c r="E2716" s="113" t="n"/>
      <c r="F2716" s="113" t="n"/>
      <c r="G2716" s="113" t="n"/>
      <c r="H2716" s="113" t="n"/>
      <c r="I2716" s="113" t="n"/>
      <c r="J2716" s="113" t="n"/>
      <c r="K2716" s="113" t="n"/>
      <c r="L2716" s="113" t="n"/>
      <c r="M2716" s="113" t="n"/>
      <c r="N2716" s="113" t="n"/>
      <c r="O2716" s="113" t="n"/>
      <c r="P2716" s="113" t="n"/>
      <c r="Q2716" s="113" t="n"/>
      <c r="R2716" s="113" t="n"/>
      <c r="S2716" s="113" t="n"/>
      <c r="T2716" s="113" t="n"/>
      <c r="U2716" s="113" t="n"/>
      <c r="V2716" s="113" t="n"/>
      <c r="W2716" s="113" t="n"/>
      <c r="X2716" s="113" t="n"/>
      <c r="Y2716" s="113" t="n"/>
      <c r="Z2716" s="117">
        <f>IF($B2716="",0,IF($S2716="EVET",IF($D2716="GELİR",$O2716,-$O2716),0))</f>
        <v/>
      </c>
      <c r="AA2716" s="117">
        <f>IF($B2716="",0,IF(OR($W2716="EVET",$X2716="EVET",$Y2716="EVET"),0,IF($D2716="GELİR",IF($E2716="SATIŞ İADESİ/İSKONTO",-$O2716,$O2716),-$O2716)))</f>
        <v/>
      </c>
      <c r="AB2716" s="117">
        <f>IF($B2716="","",IF(OR($D2716="",$E2716="",$O2716=""),"EKSİK",IF($O2716&lt;=0,"SIFIR/NEGATİF",IF(COUNTIFS($C$6:$C$5000,$C2716,$O$6:$O$5000,$O2716,$B$6:$B$5000,$B2716)&gt;1,"MÜKERRER","OK"))))</f>
        <v/>
      </c>
    </row>
    <row r="2717" ht="16.5" customHeight="1" s="80">
      <c r="A2717" s="113" t="n"/>
      <c r="B2717" s="113" t="n"/>
      <c r="C2717" s="113" t="n"/>
      <c r="D2717" s="113" t="n"/>
      <c r="E2717" s="113" t="n"/>
      <c r="F2717" s="113" t="n"/>
      <c r="G2717" s="113" t="n"/>
      <c r="H2717" s="113" t="n"/>
      <c r="I2717" s="113" t="n"/>
      <c r="J2717" s="113" t="n"/>
      <c r="K2717" s="113" t="n"/>
      <c r="L2717" s="113" t="n"/>
      <c r="M2717" s="113" t="n"/>
      <c r="N2717" s="113" t="n"/>
      <c r="O2717" s="113" t="n"/>
      <c r="P2717" s="113" t="n"/>
      <c r="Q2717" s="113" t="n"/>
      <c r="R2717" s="113" t="n"/>
      <c r="S2717" s="113" t="n"/>
      <c r="T2717" s="113" t="n"/>
      <c r="U2717" s="113" t="n"/>
      <c r="V2717" s="113" t="n"/>
      <c r="W2717" s="113" t="n"/>
      <c r="X2717" s="113" t="n"/>
      <c r="Y2717" s="113" t="n"/>
      <c r="Z2717" s="117">
        <f>IF($B2717="",0,IF($S2717="EVET",IF($D2717="GELİR",$O2717,-$O2717),0))</f>
        <v/>
      </c>
      <c r="AA2717" s="117">
        <f>IF($B2717="",0,IF(OR($W2717="EVET",$X2717="EVET",$Y2717="EVET"),0,IF($D2717="GELİR",IF($E2717="SATIŞ İADESİ/İSKONTO",-$O2717,$O2717),-$O2717)))</f>
        <v/>
      </c>
      <c r="AB2717" s="117">
        <f>IF($B2717="","",IF(OR($D2717="",$E2717="",$O2717=""),"EKSİK",IF($O2717&lt;=0,"SIFIR/NEGATİF",IF(COUNTIFS($C$6:$C$5000,$C2717,$O$6:$O$5000,$O2717,$B$6:$B$5000,$B2717)&gt;1,"MÜKERRER","OK"))))</f>
        <v/>
      </c>
    </row>
    <row r="2718" ht="16.5" customHeight="1" s="80">
      <c r="A2718" s="113" t="n"/>
      <c r="B2718" s="113" t="n"/>
      <c r="C2718" s="113" t="n"/>
      <c r="D2718" s="113" t="n"/>
      <c r="E2718" s="113" t="n"/>
      <c r="F2718" s="113" t="n"/>
      <c r="G2718" s="113" t="n"/>
      <c r="H2718" s="113" t="n"/>
      <c r="I2718" s="113" t="n"/>
      <c r="J2718" s="113" t="n"/>
      <c r="K2718" s="113" t="n"/>
      <c r="L2718" s="113" t="n"/>
      <c r="M2718" s="113" t="n"/>
      <c r="N2718" s="113" t="n"/>
      <c r="O2718" s="113" t="n"/>
      <c r="P2718" s="113" t="n"/>
      <c r="Q2718" s="113" t="n"/>
      <c r="R2718" s="113" t="n"/>
      <c r="S2718" s="113" t="n"/>
      <c r="T2718" s="113" t="n"/>
      <c r="U2718" s="113" t="n"/>
      <c r="V2718" s="113" t="n"/>
      <c r="W2718" s="113" t="n"/>
      <c r="X2718" s="113" t="n"/>
      <c r="Y2718" s="113" t="n"/>
      <c r="Z2718" s="117">
        <f>IF($B2718="",0,IF($S2718="EVET",IF($D2718="GELİR",$O2718,-$O2718),0))</f>
        <v/>
      </c>
      <c r="AA2718" s="117">
        <f>IF($B2718="",0,IF(OR($W2718="EVET",$X2718="EVET",$Y2718="EVET"),0,IF($D2718="GELİR",IF($E2718="SATIŞ İADESİ/İSKONTO",-$O2718,$O2718),-$O2718)))</f>
        <v/>
      </c>
      <c r="AB2718" s="117">
        <f>IF($B2718="","",IF(OR($D2718="",$E2718="",$O2718=""),"EKSİK",IF($O2718&lt;=0,"SIFIR/NEGATİF",IF(COUNTIFS($C$6:$C$5000,$C2718,$O$6:$O$5000,$O2718,$B$6:$B$5000,$B2718)&gt;1,"MÜKERRER","OK"))))</f>
        <v/>
      </c>
    </row>
    <row r="2719" ht="16.5" customHeight="1" s="80">
      <c r="A2719" s="113" t="n"/>
      <c r="B2719" s="113" t="n"/>
      <c r="C2719" s="113" t="n"/>
      <c r="D2719" s="113" t="n"/>
      <c r="E2719" s="113" t="n"/>
      <c r="F2719" s="113" t="n"/>
      <c r="G2719" s="113" t="n"/>
      <c r="H2719" s="113" t="n"/>
      <c r="I2719" s="113" t="n"/>
      <c r="J2719" s="113" t="n"/>
      <c r="K2719" s="113" t="n"/>
      <c r="L2719" s="113" t="n"/>
      <c r="M2719" s="113" t="n"/>
      <c r="N2719" s="113" t="n"/>
      <c r="O2719" s="113" t="n"/>
      <c r="P2719" s="113" t="n"/>
      <c r="Q2719" s="113" t="n"/>
      <c r="R2719" s="113" t="n"/>
      <c r="S2719" s="113" t="n"/>
      <c r="T2719" s="113" t="n"/>
      <c r="U2719" s="113" t="n"/>
      <c r="V2719" s="113" t="n"/>
      <c r="W2719" s="113" t="n"/>
      <c r="X2719" s="113" t="n"/>
      <c r="Y2719" s="113" t="n"/>
      <c r="Z2719" s="117">
        <f>IF($B2719="",0,IF($S2719="EVET",IF($D2719="GELİR",$O2719,-$O2719),0))</f>
        <v/>
      </c>
      <c r="AA2719" s="117">
        <f>IF($B2719="",0,IF(OR($W2719="EVET",$X2719="EVET",$Y2719="EVET"),0,IF($D2719="GELİR",IF($E2719="SATIŞ İADESİ/İSKONTO",-$O2719,$O2719),-$O2719)))</f>
        <v/>
      </c>
      <c r="AB2719" s="117">
        <f>IF($B2719="","",IF(OR($D2719="",$E2719="",$O2719=""),"EKSİK",IF($O2719&lt;=0,"SIFIR/NEGATİF",IF(COUNTIFS($C$6:$C$5000,$C2719,$O$6:$O$5000,$O2719,$B$6:$B$5000,$B2719)&gt;1,"MÜKERRER","OK"))))</f>
        <v/>
      </c>
    </row>
    <row r="2720" ht="16.5" customHeight="1" s="80">
      <c r="A2720" s="113" t="n"/>
      <c r="B2720" s="113" t="n"/>
      <c r="C2720" s="113" t="n"/>
      <c r="D2720" s="113" t="n"/>
      <c r="E2720" s="113" t="n"/>
      <c r="F2720" s="113" t="n"/>
      <c r="G2720" s="113" t="n"/>
      <c r="H2720" s="113" t="n"/>
      <c r="I2720" s="113" t="n"/>
      <c r="J2720" s="113" t="n"/>
      <c r="K2720" s="113" t="n"/>
      <c r="L2720" s="113" t="n"/>
      <c r="M2720" s="113" t="n"/>
      <c r="N2720" s="113" t="n"/>
      <c r="O2720" s="113" t="n"/>
      <c r="P2720" s="113" t="n"/>
      <c r="Q2720" s="113" t="n"/>
      <c r="R2720" s="113" t="n"/>
      <c r="S2720" s="113" t="n"/>
      <c r="T2720" s="113" t="n"/>
      <c r="U2720" s="113" t="n"/>
      <c r="V2720" s="113" t="n"/>
      <c r="W2720" s="113" t="n"/>
      <c r="X2720" s="113" t="n"/>
      <c r="Y2720" s="113" t="n"/>
      <c r="Z2720" s="117">
        <f>IF($B2720="",0,IF($S2720="EVET",IF($D2720="GELİR",$O2720,-$O2720),0))</f>
        <v/>
      </c>
      <c r="AA2720" s="117">
        <f>IF($B2720="",0,IF(OR($W2720="EVET",$X2720="EVET",$Y2720="EVET"),0,IF($D2720="GELİR",IF($E2720="SATIŞ İADESİ/İSKONTO",-$O2720,$O2720),-$O2720)))</f>
        <v/>
      </c>
      <c r="AB2720" s="117">
        <f>IF($B2720="","",IF(OR($D2720="",$E2720="",$O2720=""),"EKSİK",IF($O2720&lt;=0,"SIFIR/NEGATİF",IF(COUNTIFS($C$6:$C$5000,$C2720,$O$6:$O$5000,$O2720,$B$6:$B$5000,$B2720)&gt;1,"MÜKERRER","OK"))))</f>
        <v/>
      </c>
    </row>
    <row r="2721" ht="16.5" customHeight="1" s="80">
      <c r="A2721" s="113" t="n"/>
      <c r="B2721" s="113" t="n"/>
      <c r="C2721" s="113" t="n"/>
      <c r="D2721" s="113" t="n"/>
      <c r="E2721" s="113" t="n"/>
      <c r="F2721" s="113" t="n"/>
      <c r="G2721" s="113" t="n"/>
      <c r="H2721" s="113" t="n"/>
      <c r="I2721" s="113" t="n"/>
      <c r="J2721" s="113" t="n"/>
      <c r="K2721" s="113" t="n"/>
      <c r="L2721" s="113" t="n"/>
      <c r="M2721" s="113" t="n"/>
      <c r="N2721" s="113" t="n"/>
      <c r="O2721" s="113" t="n"/>
      <c r="P2721" s="113" t="n"/>
      <c r="Q2721" s="113" t="n"/>
      <c r="R2721" s="113" t="n"/>
      <c r="S2721" s="113" t="n"/>
      <c r="T2721" s="113" t="n"/>
      <c r="U2721" s="113" t="n"/>
      <c r="V2721" s="113" t="n"/>
      <c r="W2721" s="113" t="n"/>
      <c r="X2721" s="113" t="n"/>
      <c r="Y2721" s="113" t="n"/>
      <c r="Z2721" s="117">
        <f>IF($B2721="",0,IF($S2721="EVET",IF($D2721="GELİR",$O2721,-$O2721),0))</f>
        <v/>
      </c>
      <c r="AA2721" s="117">
        <f>IF($B2721="",0,IF(OR($W2721="EVET",$X2721="EVET",$Y2721="EVET"),0,IF($D2721="GELİR",IF($E2721="SATIŞ İADESİ/İSKONTO",-$O2721,$O2721),-$O2721)))</f>
        <v/>
      </c>
      <c r="AB2721" s="117">
        <f>IF($B2721="","",IF(OR($D2721="",$E2721="",$O2721=""),"EKSİK",IF($O2721&lt;=0,"SIFIR/NEGATİF",IF(COUNTIFS($C$6:$C$5000,$C2721,$O$6:$O$5000,$O2721,$B$6:$B$5000,$B2721)&gt;1,"MÜKERRER","OK"))))</f>
        <v/>
      </c>
    </row>
    <row r="2722" ht="16.5" customHeight="1" s="80">
      <c r="A2722" s="113" t="n"/>
      <c r="B2722" s="113" t="n"/>
      <c r="C2722" s="113" t="n"/>
      <c r="D2722" s="113" t="n"/>
      <c r="E2722" s="113" t="n"/>
      <c r="F2722" s="113" t="n"/>
      <c r="G2722" s="113" t="n"/>
      <c r="H2722" s="113" t="n"/>
      <c r="I2722" s="113" t="n"/>
      <c r="J2722" s="113" t="n"/>
      <c r="K2722" s="113" t="n"/>
      <c r="L2722" s="113" t="n"/>
      <c r="M2722" s="113" t="n"/>
      <c r="N2722" s="113" t="n"/>
      <c r="O2722" s="113" t="n"/>
      <c r="P2722" s="113" t="n"/>
      <c r="Q2722" s="113" t="n"/>
      <c r="R2722" s="113" t="n"/>
      <c r="S2722" s="113" t="n"/>
      <c r="T2722" s="113" t="n"/>
      <c r="U2722" s="113" t="n"/>
      <c r="V2722" s="113" t="n"/>
      <c r="W2722" s="113" t="n"/>
      <c r="X2722" s="113" t="n"/>
      <c r="Y2722" s="113" t="n"/>
      <c r="Z2722" s="117">
        <f>IF($B2722="",0,IF($S2722="EVET",IF($D2722="GELİR",$O2722,-$O2722),0))</f>
        <v/>
      </c>
      <c r="AA2722" s="117">
        <f>IF($B2722="",0,IF(OR($W2722="EVET",$X2722="EVET",$Y2722="EVET"),0,IF($D2722="GELİR",IF($E2722="SATIŞ İADESİ/İSKONTO",-$O2722,$O2722),-$O2722)))</f>
        <v/>
      </c>
      <c r="AB2722" s="117">
        <f>IF($B2722="","",IF(OR($D2722="",$E2722="",$O2722=""),"EKSİK",IF($O2722&lt;=0,"SIFIR/NEGATİF",IF(COUNTIFS($C$6:$C$5000,$C2722,$O$6:$O$5000,$O2722,$B$6:$B$5000,$B2722)&gt;1,"MÜKERRER","OK"))))</f>
        <v/>
      </c>
    </row>
    <row r="2723" ht="16.5" customHeight="1" s="80">
      <c r="A2723" s="113" t="n"/>
      <c r="B2723" s="113" t="n"/>
      <c r="C2723" s="113" t="n"/>
      <c r="D2723" s="113" t="n"/>
      <c r="E2723" s="113" t="n"/>
      <c r="F2723" s="113" t="n"/>
      <c r="G2723" s="113" t="n"/>
      <c r="H2723" s="113" t="n"/>
      <c r="I2723" s="113" t="n"/>
      <c r="J2723" s="113" t="n"/>
      <c r="K2723" s="113" t="n"/>
      <c r="L2723" s="113" t="n"/>
      <c r="M2723" s="113" t="n"/>
      <c r="N2723" s="113" t="n"/>
      <c r="O2723" s="113" t="n"/>
      <c r="P2723" s="113" t="n"/>
      <c r="Q2723" s="113" t="n"/>
      <c r="R2723" s="113" t="n"/>
      <c r="S2723" s="113" t="n"/>
      <c r="T2723" s="113" t="n"/>
      <c r="U2723" s="113" t="n"/>
      <c r="V2723" s="113" t="n"/>
      <c r="W2723" s="113" t="n"/>
      <c r="X2723" s="113" t="n"/>
      <c r="Y2723" s="113" t="n"/>
      <c r="Z2723" s="117">
        <f>IF($B2723="",0,IF($S2723="EVET",IF($D2723="GELİR",$O2723,-$O2723),0))</f>
        <v/>
      </c>
      <c r="AA2723" s="117">
        <f>IF($B2723="",0,IF(OR($W2723="EVET",$X2723="EVET",$Y2723="EVET"),0,IF($D2723="GELİR",IF($E2723="SATIŞ İADESİ/İSKONTO",-$O2723,$O2723),-$O2723)))</f>
        <v/>
      </c>
      <c r="AB2723" s="117">
        <f>IF($B2723="","",IF(OR($D2723="",$E2723="",$O2723=""),"EKSİK",IF($O2723&lt;=0,"SIFIR/NEGATİF",IF(COUNTIFS($C$6:$C$5000,$C2723,$O$6:$O$5000,$O2723,$B$6:$B$5000,$B2723)&gt;1,"MÜKERRER","OK"))))</f>
        <v/>
      </c>
    </row>
    <row r="2724" ht="16.5" customHeight="1" s="80">
      <c r="A2724" s="113" t="n"/>
      <c r="B2724" s="113" t="n"/>
      <c r="C2724" s="113" t="n"/>
      <c r="D2724" s="113" t="n"/>
      <c r="E2724" s="113" t="n"/>
      <c r="F2724" s="113" t="n"/>
      <c r="G2724" s="113" t="n"/>
      <c r="H2724" s="113" t="n"/>
      <c r="I2724" s="113" t="n"/>
      <c r="J2724" s="113" t="n"/>
      <c r="K2724" s="113" t="n"/>
      <c r="L2724" s="113" t="n"/>
      <c r="M2724" s="113" t="n"/>
      <c r="N2724" s="113" t="n"/>
      <c r="O2724" s="113" t="n"/>
      <c r="P2724" s="113" t="n"/>
      <c r="Q2724" s="113" t="n"/>
      <c r="R2724" s="113" t="n"/>
      <c r="S2724" s="113" t="n"/>
      <c r="T2724" s="113" t="n"/>
      <c r="U2724" s="113" t="n"/>
      <c r="V2724" s="113" t="n"/>
      <c r="W2724" s="113" t="n"/>
      <c r="X2724" s="113" t="n"/>
      <c r="Y2724" s="113" t="n"/>
      <c r="Z2724" s="117">
        <f>IF($B2724="",0,IF($S2724="EVET",IF($D2724="GELİR",$O2724,-$O2724),0))</f>
        <v/>
      </c>
      <c r="AA2724" s="117">
        <f>IF($B2724="",0,IF(OR($W2724="EVET",$X2724="EVET",$Y2724="EVET"),0,IF($D2724="GELİR",IF($E2724="SATIŞ İADESİ/İSKONTO",-$O2724,$O2724),-$O2724)))</f>
        <v/>
      </c>
      <c r="AB2724" s="117">
        <f>IF($B2724="","",IF(OR($D2724="",$E2724="",$O2724=""),"EKSİK",IF($O2724&lt;=0,"SIFIR/NEGATİF",IF(COUNTIFS($C$6:$C$5000,$C2724,$O$6:$O$5000,$O2724,$B$6:$B$5000,$B2724)&gt;1,"MÜKERRER","OK"))))</f>
        <v/>
      </c>
    </row>
    <row r="2725" ht="16.5" customHeight="1" s="80">
      <c r="A2725" s="113" t="n"/>
      <c r="B2725" s="113" t="n"/>
      <c r="C2725" s="113" t="n"/>
      <c r="D2725" s="113" t="n"/>
      <c r="E2725" s="113" t="n"/>
      <c r="F2725" s="113" t="n"/>
      <c r="G2725" s="113" t="n"/>
      <c r="H2725" s="113" t="n"/>
      <c r="I2725" s="113" t="n"/>
      <c r="J2725" s="113" t="n"/>
      <c r="K2725" s="113" t="n"/>
      <c r="L2725" s="113" t="n"/>
      <c r="M2725" s="113" t="n"/>
      <c r="N2725" s="113" t="n"/>
      <c r="O2725" s="113" t="n"/>
      <c r="P2725" s="113" t="n"/>
      <c r="Q2725" s="113" t="n"/>
      <c r="R2725" s="113" t="n"/>
      <c r="S2725" s="113" t="n"/>
      <c r="T2725" s="113" t="n"/>
      <c r="U2725" s="113" t="n"/>
      <c r="V2725" s="113" t="n"/>
      <c r="W2725" s="113" t="n"/>
      <c r="X2725" s="113" t="n"/>
      <c r="Y2725" s="113" t="n"/>
      <c r="Z2725" s="117">
        <f>IF($B2725="",0,IF($S2725="EVET",IF($D2725="GELİR",$O2725,-$O2725),0))</f>
        <v/>
      </c>
      <c r="AA2725" s="117">
        <f>IF($B2725="",0,IF(OR($W2725="EVET",$X2725="EVET",$Y2725="EVET"),0,IF($D2725="GELİR",IF($E2725="SATIŞ İADESİ/İSKONTO",-$O2725,$O2725),-$O2725)))</f>
        <v/>
      </c>
      <c r="AB2725" s="117">
        <f>IF($B2725="","",IF(OR($D2725="",$E2725="",$O2725=""),"EKSİK",IF($O2725&lt;=0,"SIFIR/NEGATİF",IF(COUNTIFS($C$6:$C$5000,$C2725,$O$6:$O$5000,$O2725,$B$6:$B$5000,$B2725)&gt;1,"MÜKERRER","OK"))))</f>
        <v/>
      </c>
    </row>
    <row r="2726" ht="16.5" customHeight="1" s="80">
      <c r="A2726" s="113" t="n"/>
      <c r="B2726" s="113" t="n"/>
      <c r="C2726" s="113" t="n"/>
      <c r="D2726" s="113" t="n"/>
      <c r="E2726" s="113" t="n"/>
      <c r="F2726" s="113" t="n"/>
      <c r="G2726" s="113" t="n"/>
      <c r="H2726" s="113" t="n"/>
      <c r="I2726" s="113" t="n"/>
      <c r="J2726" s="113" t="n"/>
      <c r="K2726" s="113" t="n"/>
      <c r="L2726" s="113" t="n"/>
      <c r="M2726" s="113" t="n"/>
      <c r="N2726" s="113" t="n"/>
      <c r="O2726" s="113" t="n"/>
      <c r="P2726" s="113" t="n"/>
      <c r="Q2726" s="113" t="n"/>
      <c r="R2726" s="113" t="n"/>
      <c r="S2726" s="113" t="n"/>
      <c r="T2726" s="113" t="n"/>
      <c r="U2726" s="113" t="n"/>
      <c r="V2726" s="113" t="n"/>
      <c r="W2726" s="113" t="n"/>
      <c r="X2726" s="113" t="n"/>
      <c r="Y2726" s="113" t="n"/>
      <c r="Z2726" s="117">
        <f>IF($B2726="",0,IF($S2726="EVET",IF($D2726="GELİR",$O2726,-$O2726),0))</f>
        <v/>
      </c>
      <c r="AA2726" s="117">
        <f>IF($B2726="",0,IF(OR($W2726="EVET",$X2726="EVET",$Y2726="EVET"),0,IF($D2726="GELİR",IF($E2726="SATIŞ İADESİ/İSKONTO",-$O2726,$O2726),-$O2726)))</f>
        <v/>
      </c>
      <c r="AB2726" s="117">
        <f>IF($B2726="","",IF(OR($D2726="",$E2726="",$O2726=""),"EKSİK",IF($O2726&lt;=0,"SIFIR/NEGATİF",IF(COUNTIFS($C$6:$C$5000,$C2726,$O$6:$O$5000,$O2726,$B$6:$B$5000,$B2726)&gt;1,"MÜKERRER","OK"))))</f>
        <v/>
      </c>
    </row>
    <row r="2727" ht="16.5" customHeight="1" s="80">
      <c r="A2727" s="113" t="n"/>
      <c r="B2727" s="113" t="n"/>
      <c r="C2727" s="113" t="n"/>
      <c r="D2727" s="113" t="n"/>
      <c r="E2727" s="113" t="n"/>
      <c r="F2727" s="113" t="n"/>
      <c r="G2727" s="113" t="n"/>
      <c r="H2727" s="113" t="n"/>
      <c r="I2727" s="113" t="n"/>
      <c r="J2727" s="113" t="n"/>
      <c r="K2727" s="113" t="n"/>
      <c r="L2727" s="113" t="n"/>
      <c r="M2727" s="113" t="n"/>
      <c r="N2727" s="113" t="n"/>
      <c r="O2727" s="113" t="n"/>
      <c r="P2727" s="113" t="n"/>
      <c r="Q2727" s="113" t="n"/>
      <c r="R2727" s="113" t="n"/>
      <c r="S2727" s="113" t="n"/>
      <c r="T2727" s="113" t="n"/>
      <c r="U2727" s="113" t="n"/>
      <c r="V2727" s="113" t="n"/>
      <c r="W2727" s="113" t="n"/>
      <c r="X2727" s="113" t="n"/>
      <c r="Y2727" s="113" t="n"/>
      <c r="Z2727" s="117">
        <f>IF($B2727="",0,IF($S2727="EVET",IF($D2727="GELİR",$O2727,-$O2727),0))</f>
        <v/>
      </c>
      <c r="AA2727" s="117">
        <f>IF($B2727="",0,IF(OR($W2727="EVET",$X2727="EVET",$Y2727="EVET"),0,IF($D2727="GELİR",IF($E2727="SATIŞ İADESİ/İSKONTO",-$O2727,$O2727),-$O2727)))</f>
        <v/>
      </c>
      <c r="AB2727" s="117">
        <f>IF($B2727="","",IF(OR($D2727="",$E2727="",$O2727=""),"EKSİK",IF($O2727&lt;=0,"SIFIR/NEGATİF",IF(COUNTIFS($C$6:$C$5000,$C2727,$O$6:$O$5000,$O2727,$B$6:$B$5000,$B2727)&gt;1,"MÜKERRER","OK"))))</f>
        <v/>
      </c>
    </row>
    <row r="2728" ht="16.5" customHeight="1" s="80">
      <c r="A2728" s="113" t="n"/>
      <c r="B2728" s="113" t="n"/>
      <c r="C2728" s="113" t="n"/>
      <c r="D2728" s="113" t="n"/>
      <c r="E2728" s="113" t="n"/>
      <c r="F2728" s="113" t="n"/>
      <c r="G2728" s="113" t="n"/>
      <c r="H2728" s="113" t="n"/>
      <c r="I2728" s="113" t="n"/>
      <c r="J2728" s="113" t="n"/>
      <c r="K2728" s="113" t="n"/>
      <c r="L2728" s="113" t="n"/>
      <c r="M2728" s="113" t="n"/>
      <c r="N2728" s="113" t="n"/>
      <c r="O2728" s="113" t="n"/>
      <c r="P2728" s="113" t="n"/>
      <c r="Q2728" s="113" t="n"/>
      <c r="R2728" s="113" t="n"/>
      <c r="S2728" s="113" t="n"/>
      <c r="T2728" s="113" t="n"/>
      <c r="U2728" s="113" t="n"/>
      <c r="V2728" s="113" t="n"/>
      <c r="W2728" s="113" t="n"/>
      <c r="X2728" s="113" t="n"/>
      <c r="Y2728" s="113" t="n"/>
      <c r="Z2728" s="117">
        <f>IF($B2728="",0,IF($S2728="EVET",IF($D2728="GELİR",$O2728,-$O2728),0))</f>
        <v/>
      </c>
      <c r="AA2728" s="117">
        <f>IF($B2728="",0,IF(OR($W2728="EVET",$X2728="EVET",$Y2728="EVET"),0,IF($D2728="GELİR",IF($E2728="SATIŞ İADESİ/İSKONTO",-$O2728,$O2728),-$O2728)))</f>
        <v/>
      </c>
      <c r="AB2728" s="117">
        <f>IF($B2728="","",IF(OR($D2728="",$E2728="",$O2728=""),"EKSİK",IF($O2728&lt;=0,"SIFIR/NEGATİF",IF(COUNTIFS($C$6:$C$5000,$C2728,$O$6:$O$5000,$O2728,$B$6:$B$5000,$B2728)&gt;1,"MÜKERRER","OK"))))</f>
        <v/>
      </c>
    </row>
    <row r="2729" ht="16.5" customHeight="1" s="80">
      <c r="A2729" s="113" t="n"/>
      <c r="B2729" s="113" t="n"/>
      <c r="C2729" s="113" t="n"/>
      <c r="D2729" s="113" t="n"/>
      <c r="E2729" s="113" t="n"/>
      <c r="F2729" s="113" t="n"/>
      <c r="G2729" s="113" t="n"/>
      <c r="H2729" s="113" t="n"/>
      <c r="I2729" s="113" t="n"/>
      <c r="J2729" s="113" t="n"/>
      <c r="K2729" s="113" t="n"/>
      <c r="L2729" s="113" t="n"/>
      <c r="M2729" s="113" t="n"/>
      <c r="N2729" s="113" t="n"/>
      <c r="O2729" s="113" t="n"/>
      <c r="P2729" s="113" t="n"/>
      <c r="Q2729" s="113" t="n"/>
      <c r="R2729" s="113" t="n"/>
      <c r="S2729" s="113" t="n"/>
      <c r="T2729" s="113" t="n"/>
      <c r="U2729" s="113" t="n"/>
      <c r="V2729" s="113" t="n"/>
      <c r="W2729" s="113" t="n"/>
      <c r="X2729" s="113" t="n"/>
      <c r="Y2729" s="113" t="n"/>
      <c r="Z2729" s="117">
        <f>IF($B2729="",0,IF($S2729="EVET",IF($D2729="GELİR",$O2729,-$O2729),0))</f>
        <v/>
      </c>
      <c r="AA2729" s="117">
        <f>IF($B2729="",0,IF(OR($W2729="EVET",$X2729="EVET",$Y2729="EVET"),0,IF($D2729="GELİR",IF($E2729="SATIŞ İADESİ/İSKONTO",-$O2729,$O2729),-$O2729)))</f>
        <v/>
      </c>
      <c r="AB2729" s="117">
        <f>IF($B2729="","",IF(OR($D2729="",$E2729="",$O2729=""),"EKSİK",IF($O2729&lt;=0,"SIFIR/NEGATİF",IF(COUNTIFS($C$6:$C$5000,$C2729,$O$6:$O$5000,$O2729,$B$6:$B$5000,$B2729)&gt;1,"MÜKERRER","OK"))))</f>
        <v/>
      </c>
    </row>
    <row r="2730" ht="16.5" customHeight="1" s="80">
      <c r="A2730" s="113" t="n"/>
      <c r="B2730" s="113" t="n"/>
      <c r="C2730" s="113" t="n"/>
      <c r="D2730" s="113" t="n"/>
      <c r="E2730" s="113" t="n"/>
      <c r="F2730" s="113" t="n"/>
      <c r="G2730" s="113" t="n"/>
      <c r="H2730" s="113" t="n"/>
      <c r="I2730" s="113" t="n"/>
      <c r="J2730" s="113" t="n"/>
      <c r="K2730" s="113" t="n"/>
      <c r="L2730" s="113" t="n"/>
      <c r="M2730" s="113" t="n"/>
      <c r="N2730" s="113" t="n"/>
      <c r="O2730" s="113" t="n"/>
      <c r="P2730" s="113" t="n"/>
      <c r="Q2730" s="113" t="n"/>
      <c r="R2730" s="113" t="n"/>
      <c r="S2730" s="113" t="n"/>
      <c r="T2730" s="113" t="n"/>
      <c r="U2730" s="113" t="n"/>
      <c r="V2730" s="113" t="n"/>
      <c r="W2730" s="113" t="n"/>
      <c r="X2730" s="113" t="n"/>
      <c r="Y2730" s="113" t="n"/>
      <c r="Z2730" s="117">
        <f>IF($B2730="",0,IF($S2730="EVET",IF($D2730="GELİR",$O2730,-$O2730),0))</f>
        <v/>
      </c>
      <c r="AA2730" s="117">
        <f>IF($B2730="",0,IF(OR($W2730="EVET",$X2730="EVET",$Y2730="EVET"),0,IF($D2730="GELİR",IF($E2730="SATIŞ İADESİ/İSKONTO",-$O2730,$O2730),-$O2730)))</f>
        <v/>
      </c>
      <c r="AB2730" s="117">
        <f>IF($B2730="","",IF(OR($D2730="",$E2730="",$O2730=""),"EKSİK",IF($O2730&lt;=0,"SIFIR/NEGATİF",IF(COUNTIFS($C$6:$C$5000,$C2730,$O$6:$O$5000,$O2730,$B$6:$B$5000,$B2730)&gt;1,"MÜKERRER","OK"))))</f>
        <v/>
      </c>
    </row>
    <row r="2731" ht="16.5" customHeight="1" s="80">
      <c r="A2731" s="113" t="n"/>
      <c r="B2731" s="113" t="n"/>
      <c r="C2731" s="113" t="n"/>
      <c r="D2731" s="113" t="n"/>
      <c r="E2731" s="113" t="n"/>
      <c r="F2731" s="113" t="n"/>
      <c r="G2731" s="113" t="n"/>
      <c r="H2731" s="113" t="n"/>
      <c r="I2731" s="113" t="n"/>
      <c r="J2731" s="113" t="n"/>
      <c r="K2731" s="113" t="n"/>
      <c r="L2731" s="113" t="n"/>
      <c r="M2731" s="113" t="n"/>
      <c r="N2731" s="113" t="n"/>
      <c r="O2731" s="113" t="n"/>
      <c r="P2731" s="113" t="n"/>
      <c r="Q2731" s="113" t="n"/>
      <c r="R2731" s="113" t="n"/>
      <c r="S2731" s="113" t="n"/>
      <c r="T2731" s="113" t="n"/>
      <c r="U2731" s="113" t="n"/>
      <c r="V2731" s="113" t="n"/>
      <c r="W2731" s="113" t="n"/>
      <c r="X2731" s="113" t="n"/>
      <c r="Y2731" s="113" t="n"/>
      <c r="Z2731" s="117">
        <f>IF($B2731="",0,IF($S2731="EVET",IF($D2731="GELİR",$O2731,-$O2731),0))</f>
        <v/>
      </c>
      <c r="AA2731" s="117">
        <f>IF($B2731="",0,IF(OR($W2731="EVET",$X2731="EVET",$Y2731="EVET"),0,IF($D2731="GELİR",IF($E2731="SATIŞ İADESİ/İSKONTO",-$O2731,$O2731),-$O2731)))</f>
        <v/>
      </c>
      <c r="AB2731" s="117">
        <f>IF($B2731="","",IF(OR($D2731="",$E2731="",$O2731=""),"EKSİK",IF($O2731&lt;=0,"SIFIR/NEGATİF",IF(COUNTIFS($C$6:$C$5000,$C2731,$O$6:$O$5000,$O2731,$B$6:$B$5000,$B2731)&gt;1,"MÜKERRER","OK"))))</f>
        <v/>
      </c>
    </row>
    <row r="2732" ht="16.5" customHeight="1" s="80">
      <c r="A2732" s="113" t="n"/>
      <c r="B2732" s="113" t="n"/>
      <c r="C2732" s="113" t="n"/>
      <c r="D2732" s="113" t="n"/>
      <c r="E2732" s="113" t="n"/>
      <c r="F2732" s="113" t="n"/>
      <c r="G2732" s="113" t="n"/>
      <c r="H2732" s="113" t="n"/>
      <c r="I2732" s="113" t="n"/>
      <c r="J2732" s="113" t="n"/>
      <c r="K2732" s="113" t="n"/>
      <c r="L2732" s="113" t="n"/>
      <c r="M2732" s="113" t="n"/>
      <c r="N2732" s="113" t="n"/>
      <c r="O2732" s="113" t="n"/>
      <c r="P2732" s="113" t="n"/>
      <c r="Q2732" s="113" t="n"/>
      <c r="R2732" s="113" t="n"/>
      <c r="S2732" s="113" t="n"/>
      <c r="T2732" s="113" t="n"/>
      <c r="U2732" s="113" t="n"/>
      <c r="V2732" s="113" t="n"/>
      <c r="W2732" s="113" t="n"/>
      <c r="X2732" s="113" t="n"/>
      <c r="Y2732" s="113" t="n"/>
      <c r="Z2732" s="117">
        <f>IF($B2732="",0,IF($S2732="EVET",IF($D2732="GELİR",$O2732,-$O2732),0))</f>
        <v/>
      </c>
      <c r="AA2732" s="117">
        <f>IF($B2732="",0,IF(OR($W2732="EVET",$X2732="EVET",$Y2732="EVET"),0,IF($D2732="GELİR",IF($E2732="SATIŞ İADESİ/İSKONTO",-$O2732,$O2732),-$O2732)))</f>
        <v/>
      </c>
      <c r="AB2732" s="117">
        <f>IF($B2732="","",IF(OR($D2732="",$E2732="",$O2732=""),"EKSİK",IF($O2732&lt;=0,"SIFIR/NEGATİF",IF(COUNTIFS($C$6:$C$5000,$C2732,$O$6:$O$5000,$O2732,$B$6:$B$5000,$B2732)&gt;1,"MÜKERRER","OK"))))</f>
        <v/>
      </c>
    </row>
    <row r="2733" ht="16.5" customHeight="1" s="80">
      <c r="A2733" s="113" t="n"/>
      <c r="B2733" s="113" t="n"/>
      <c r="C2733" s="113" t="n"/>
      <c r="D2733" s="113" t="n"/>
      <c r="E2733" s="113" t="n"/>
      <c r="F2733" s="113" t="n"/>
      <c r="G2733" s="113" t="n"/>
      <c r="H2733" s="113" t="n"/>
      <c r="I2733" s="113" t="n"/>
      <c r="J2733" s="113" t="n"/>
      <c r="K2733" s="113" t="n"/>
      <c r="L2733" s="113" t="n"/>
      <c r="M2733" s="113" t="n"/>
      <c r="N2733" s="113" t="n"/>
      <c r="O2733" s="113" t="n"/>
      <c r="P2733" s="113" t="n"/>
      <c r="Q2733" s="113" t="n"/>
      <c r="R2733" s="113" t="n"/>
      <c r="S2733" s="113" t="n"/>
      <c r="T2733" s="113" t="n"/>
      <c r="U2733" s="113" t="n"/>
      <c r="V2733" s="113" t="n"/>
      <c r="W2733" s="113" t="n"/>
      <c r="X2733" s="113" t="n"/>
      <c r="Y2733" s="113" t="n"/>
      <c r="Z2733" s="117">
        <f>IF($B2733="",0,IF($S2733="EVET",IF($D2733="GELİR",$O2733,-$O2733),0))</f>
        <v/>
      </c>
      <c r="AA2733" s="117">
        <f>IF($B2733="",0,IF(OR($W2733="EVET",$X2733="EVET",$Y2733="EVET"),0,IF($D2733="GELİR",IF($E2733="SATIŞ İADESİ/İSKONTO",-$O2733,$O2733),-$O2733)))</f>
        <v/>
      </c>
      <c r="AB2733" s="117">
        <f>IF($B2733="","",IF(OR($D2733="",$E2733="",$O2733=""),"EKSİK",IF($O2733&lt;=0,"SIFIR/NEGATİF",IF(COUNTIFS($C$6:$C$5000,$C2733,$O$6:$O$5000,$O2733,$B$6:$B$5000,$B2733)&gt;1,"MÜKERRER","OK"))))</f>
        <v/>
      </c>
    </row>
    <row r="2734" ht="16.5" customHeight="1" s="80">
      <c r="A2734" s="113" t="n"/>
      <c r="B2734" s="113" t="n"/>
      <c r="C2734" s="113" t="n"/>
      <c r="D2734" s="113" t="n"/>
      <c r="E2734" s="113" t="n"/>
      <c r="F2734" s="113" t="n"/>
      <c r="G2734" s="113" t="n"/>
      <c r="H2734" s="113" t="n"/>
      <c r="I2734" s="113" t="n"/>
      <c r="J2734" s="113" t="n"/>
      <c r="K2734" s="113" t="n"/>
      <c r="L2734" s="113" t="n"/>
      <c r="M2734" s="113" t="n"/>
      <c r="N2734" s="113" t="n"/>
      <c r="O2734" s="113" t="n"/>
      <c r="P2734" s="113" t="n"/>
      <c r="Q2734" s="113" t="n"/>
      <c r="R2734" s="113" t="n"/>
      <c r="S2734" s="113" t="n"/>
      <c r="T2734" s="113" t="n"/>
      <c r="U2734" s="113" t="n"/>
      <c r="V2734" s="113" t="n"/>
      <c r="W2734" s="113" t="n"/>
      <c r="X2734" s="113" t="n"/>
      <c r="Y2734" s="113" t="n"/>
      <c r="Z2734" s="117">
        <f>IF($B2734="",0,IF($S2734="EVET",IF($D2734="GELİR",$O2734,-$O2734),0))</f>
        <v/>
      </c>
      <c r="AA2734" s="117">
        <f>IF($B2734="",0,IF(OR($W2734="EVET",$X2734="EVET",$Y2734="EVET"),0,IF($D2734="GELİR",IF($E2734="SATIŞ İADESİ/İSKONTO",-$O2734,$O2734),-$O2734)))</f>
        <v/>
      </c>
      <c r="AB2734" s="117">
        <f>IF($B2734="","",IF(OR($D2734="",$E2734="",$O2734=""),"EKSİK",IF($O2734&lt;=0,"SIFIR/NEGATİF",IF(COUNTIFS($C$6:$C$5000,$C2734,$O$6:$O$5000,$O2734,$B$6:$B$5000,$B2734)&gt;1,"MÜKERRER","OK"))))</f>
        <v/>
      </c>
    </row>
    <row r="2735" ht="16.5" customHeight="1" s="80">
      <c r="A2735" s="113" t="n"/>
      <c r="B2735" s="113" t="n"/>
      <c r="C2735" s="113" t="n"/>
      <c r="D2735" s="113" t="n"/>
      <c r="E2735" s="113" t="n"/>
      <c r="F2735" s="113" t="n"/>
      <c r="G2735" s="113" t="n"/>
      <c r="H2735" s="113" t="n"/>
      <c r="I2735" s="113" t="n"/>
      <c r="J2735" s="113" t="n"/>
      <c r="K2735" s="113" t="n"/>
      <c r="L2735" s="113" t="n"/>
      <c r="M2735" s="113" t="n"/>
      <c r="N2735" s="113" t="n"/>
      <c r="O2735" s="113" t="n"/>
      <c r="P2735" s="113" t="n"/>
      <c r="Q2735" s="113" t="n"/>
      <c r="R2735" s="113" t="n"/>
      <c r="S2735" s="113" t="n"/>
      <c r="T2735" s="113" t="n"/>
      <c r="U2735" s="113" t="n"/>
      <c r="V2735" s="113" t="n"/>
      <c r="W2735" s="113" t="n"/>
      <c r="X2735" s="113" t="n"/>
      <c r="Y2735" s="113" t="n"/>
      <c r="Z2735" s="117">
        <f>IF($B2735="",0,IF($S2735="EVET",IF($D2735="GELİR",$O2735,-$O2735),0))</f>
        <v/>
      </c>
      <c r="AA2735" s="117">
        <f>IF($B2735="",0,IF(OR($W2735="EVET",$X2735="EVET",$Y2735="EVET"),0,IF($D2735="GELİR",IF($E2735="SATIŞ İADESİ/İSKONTO",-$O2735,$O2735),-$O2735)))</f>
        <v/>
      </c>
      <c r="AB2735" s="117">
        <f>IF($B2735="","",IF(OR($D2735="",$E2735="",$O2735=""),"EKSİK",IF($O2735&lt;=0,"SIFIR/NEGATİF",IF(COUNTIFS($C$6:$C$5000,$C2735,$O$6:$O$5000,$O2735,$B$6:$B$5000,$B2735)&gt;1,"MÜKERRER","OK"))))</f>
        <v/>
      </c>
    </row>
    <row r="2736" ht="16.5" customHeight="1" s="80">
      <c r="A2736" s="113" t="n"/>
      <c r="B2736" s="113" t="n"/>
      <c r="C2736" s="113" t="n"/>
      <c r="D2736" s="113" t="n"/>
      <c r="E2736" s="113" t="n"/>
      <c r="F2736" s="113" t="n"/>
      <c r="G2736" s="113" t="n"/>
      <c r="H2736" s="113" t="n"/>
      <c r="I2736" s="113" t="n"/>
      <c r="J2736" s="113" t="n"/>
      <c r="K2736" s="113" t="n"/>
      <c r="L2736" s="113" t="n"/>
      <c r="M2736" s="113" t="n"/>
      <c r="N2736" s="113" t="n"/>
      <c r="O2736" s="113" t="n"/>
      <c r="P2736" s="113" t="n"/>
      <c r="Q2736" s="113" t="n"/>
      <c r="R2736" s="113" t="n"/>
      <c r="S2736" s="113" t="n"/>
      <c r="T2736" s="113" t="n"/>
      <c r="U2736" s="113" t="n"/>
      <c r="V2736" s="113" t="n"/>
      <c r="W2736" s="113" t="n"/>
      <c r="X2736" s="113" t="n"/>
      <c r="Y2736" s="113" t="n"/>
      <c r="Z2736" s="117">
        <f>IF($B2736="",0,IF($S2736="EVET",IF($D2736="GELİR",$O2736,-$O2736),0))</f>
        <v/>
      </c>
      <c r="AA2736" s="117">
        <f>IF($B2736="",0,IF(OR($W2736="EVET",$X2736="EVET",$Y2736="EVET"),0,IF($D2736="GELİR",IF($E2736="SATIŞ İADESİ/İSKONTO",-$O2736,$O2736),-$O2736)))</f>
        <v/>
      </c>
      <c r="AB2736" s="117">
        <f>IF($B2736="","",IF(OR($D2736="",$E2736="",$O2736=""),"EKSİK",IF($O2736&lt;=0,"SIFIR/NEGATİF",IF(COUNTIFS($C$6:$C$5000,$C2736,$O$6:$O$5000,$O2736,$B$6:$B$5000,$B2736)&gt;1,"MÜKERRER","OK"))))</f>
        <v/>
      </c>
    </row>
    <row r="2737" ht="16.5" customHeight="1" s="80">
      <c r="A2737" s="113" t="n"/>
      <c r="B2737" s="113" t="n"/>
      <c r="C2737" s="113" t="n"/>
      <c r="D2737" s="113" t="n"/>
      <c r="E2737" s="113" t="n"/>
      <c r="F2737" s="113" t="n"/>
      <c r="G2737" s="113" t="n"/>
      <c r="H2737" s="113" t="n"/>
      <c r="I2737" s="113" t="n"/>
      <c r="J2737" s="113" t="n"/>
      <c r="K2737" s="113" t="n"/>
      <c r="L2737" s="113" t="n"/>
      <c r="M2737" s="113" t="n"/>
      <c r="N2737" s="113" t="n"/>
      <c r="O2737" s="113" t="n"/>
      <c r="P2737" s="113" t="n"/>
      <c r="Q2737" s="113" t="n"/>
      <c r="R2737" s="113" t="n"/>
      <c r="S2737" s="113" t="n"/>
      <c r="T2737" s="113" t="n"/>
      <c r="U2737" s="113" t="n"/>
      <c r="V2737" s="113" t="n"/>
      <c r="W2737" s="113" t="n"/>
      <c r="X2737" s="113" t="n"/>
      <c r="Y2737" s="113" t="n"/>
      <c r="Z2737" s="117">
        <f>IF($B2737="",0,IF($S2737="EVET",IF($D2737="GELİR",$O2737,-$O2737),0))</f>
        <v/>
      </c>
      <c r="AA2737" s="117">
        <f>IF($B2737="",0,IF(OR($W2737="EVET",$X2737="EVET",$Y2737="EVET"),0,IF($D2737="GELİR",IF($E2737="SATIŞ İADESİ/İSKONTO",-$O2737,$O2737),-$O2737)))</f>
        <v/>
      </c>
      <c r="AB2737" s="117">
        <f>IF($B2737="","",IF(OR($D2737="",$E2737="",$O2737=""),"EKSİK",IF($O2737&lt;=0,"SIFIR/NEGATİF",IF(COUNTIFS($C$6:$C$5000,$C2737,$O$6:$O$5000,$O2737,$B$6:$B$5000,$B2737)&gt;1,"MÜKERRER","OK"))))</f>
        <v/>
      </c>
    </row>
    <row r="2738" ht="16.5" customHeight="1" s="80">
      <c r="A2738" s="113" t="n"/>
      <c r="B2738" s="113" t="n"/>
      <c r="C2738" s="113" t="n"/>
      <c r="D2738" s="113" t="n"/>
      <c r="E2738" s="113" t="n"/>
      <c r="F2738" s="113" t="n"/>
      <c r="G2738" s="113" t="n"/>
      <c r="H2738" s="113" t="n"/>
      <c r="I2738" s="113" t="n"/>
      <c r="J2738" s="113" t="n"/>
      <c r="K2738" s="113" t="n"/>
      <c r="L2738" s="113" t="n"/>
      <c r="M2738" s="113" t="n"/>
      <c r="N2738" s="113" t="n"/>
      <c r="O2738" s="113" t="n"/>
      <c r="P2738" s="113" t="n"/>
      <c r="Q2738" s="113" t="n"/>
      <c r="R2738" s="113" t="n"/>
      <c r="S2738" s="113" t="n"/>
      <c r="T2738" s="113" t="n"/>
      <c r="U2738" s="113" t="n"/>
      <c r="V2738" s="113" t="n"/>
      <c r="W2738" s="113" t="n"/>
      <c r="X2738" s="113" t="n"/>
      <c r="Y2738" s="113" t="n"/>
      <c r="Z2738" s="117">
        <f>IF($B2738="",0,IF($S2738="EVET",IF($D2738="GELİR",$O2738,-$O2738),0))</f>
        <v/>
      </c>
      <c r="AA2738" s="117">
        <f>IF($B2738="",0,IF(OR($W2738="EVET",$X2738="EVET",$Y2738="EVET"),0,IF($D2738="GELİR",IF($E2738="SATIŞ İADESİ/İSKONTO",-$O2738,$O2738),-$O2738)))</f>
        <v/>
      </c>
      <c r="AB2738" s="117">
        <f>IF($B2738="","",IF(OR($D2738="",$E2738="",$O2738=""),"EKSİK",IF($O2738&lt;=0,"SIFIR/NEGATİF",IF(COUNTIFS($C$6:$C$5000,$C2738,$O$6:$O$5000,$O2738,$B$6:$B$5000,$B2738)&gt;1,"MÜKERRER","OK"))))</f>
        <v/>
      </c>
    </row>
    <row r="2739" ht="16.5" customHeight="1" s="80">
      <c r="A2739" s="113" t="n"/>
      <c r="B2739" s="113" t="n"/>
      <c r="C2739" s="113" t="n"/>
      <c r="D2739" s="113" t="n"/>
      <c r="E2739" s="113" t="n"/>
      <c r="F2739" s="113" t="n"/>
      <c r="G2739" s="113" t="n"/>
      <c r="H2739" s="113" t="n"/>
      <c r="I2739" s="113" t="n"/>
      <c r="J2739" s="113" t="n"/>
      <c r="K2739" s="113" t="n"/>
      <c r="L2739" s="113" t="n"/>
      <c r="M2739" s="113" t="n"/>
      <c r="N2739" s="113" t="n"/>
      <c r="O2739" s="113" t="n"/>
      <c r="P2739" s="113" t="n"/>
      <c r="Q2739" s="113" t="n"/>
      <c r="R2739" s="113" t="n"/>
      <c r="S2739" s="113" t="n"/>
      <c r="T2739" s="113" t="n"/>
      <c r="U2739" s="113" t="n"/>
      <c r="V2739" s="113" t="n"/>
      <c r="W2739" s="113" t="n"/>
      <c r="X2739" s="113" t="n"/>
      <c r="Y2739" s="113" t="n"/>
      <c r="Z2739" s="117">
        <f>IF($B2739="",0,IF($S2739="EVET",IF($D2739="GELİR",$O2739,-$O2739),0))</f>
        <v/>
      </c>
      <c r="AA2739" s="117">
        <f>IF($B2739="",0,IF(OR($W2739="EVET",$X2739="EVET",$Y2739="EVET"),0,IF($D2739="GELİR",IF($E2739="SATIŞ İADESİ/İSKONTO",-$O2739,$O2739),-$O2739)))</f>
        <v/>
      </c>
      <c r="AB2739" s="117">
        <f>IF($B2739="","",IF(OR($D2739="",$E2739="",$O2739=""),"EKSİK",IF($O2739&lt;=0,"SIFIR/NEGATİF",IF(COUNTIFS($C$6:$C$5000,$C2739,$O$6:$O$5000,$O2739,$B$6:$B$5000,$B2739)&gt;1,"MÜKERRER","OK"))))</f>
        <v/>
      </c>
    </row>
    <row r="2740" ht="16.5" customHeight="1" s="80">
      <c r="A2740" s="113" t="n"/>
      <c r="B2740" s="113" t="n"/>
      <c r="C2740" s="113" t="n"/>
      <c r="D2740" s="113" t="n"/>
      <c r="E2740" s="113" t="n"/>
      <c r="F2740" s="113" t="n"/>
      <c r="G2740" s="113" t="n"/>
      <c r="H2740" s="113" t="n"/>
      <c r="I2740" s="113" t="n"/>
      <c r="J2740" s="113" t="n"/>
      <c r="K2740" s="113" t="n"/>
      <c r="L2740" s="113" t="n"/>
      <c r="M2740" s="113" t="n"/>
      <c r="N2740" s="113" t="n"/>
      <c r="O2740" s="113" t="n"/>
      <c r="P2740" s="113" t="n"/>
      <c r="Q2740" s="113" t="n"/>
      <c r="R2740" s="113" t="n"/>
      <c r="S2740" s="113" t="n"/>
      <c r="T2740" s="113" t="n"/>
      <c r="U2740" s="113" t="n"/>
      <c r="V2740" s="113" t="n"/>
      <c r="W2740" s="113" t="n"/>
      <c r="X2740" s="113" t="n"/>
      <c r="Y2740" s="113" t="n"/>
      <c r="Z2740" s="117">
        <f>IF($B2740="",0,IF($S2740="EVET",IF($D2740="GELİR",$O2740,-$O2740),0))</f>
        <v/>
      </c>
      <c r="AA2740" s="117">
        <f>IF($B2740="",0,IF(OR($W2740="EVET",$X2740="EVET",$Y2740="EVET"),0,IF($D2740="GELİR",IF($E2740="SATIŞ İADESİ/İSKONTO",-$O2740,$O2740),-$O2740)))</f>
        <v/>
      </c>
      <c r="AB2740" s="117">
        <f>IF($B2740="","",IF(OR($D2740="",$E2740="",$O2740=""),"EKSİK",IF($O2740&lt;=0,"SIFIR/NEGATİF",IF(COUNTIFS($C$6:$C$5000,$C2740,$O$6:$O$5000,$O2740,$B$6:$B$5000,$B2740)&gt;1,"MÜKERRER","OK"))))</f>
        <v/>
      </c>
    </row>
    <row r="2741" ht="16.5" customHeight="1" s="80">
      <c r="A2741" s="113" t="n"/>
      <c r="B2741" s="113" t="n"/>
      <c r="C2741" s="113" t="n"/>
      <c r="D2741" s="113" t="n"/>
      <c r="E2741" s="113" t="n"/>
      <c r="F2741" s="113" t="n"/>
      <c r="G2741" s="113" t="n"/>
      <c r="H2741" s="113" t="n"/>
      <c r="I2741" s="113" t="n"/>
      <c r="J2741" s="113" t="n"/>
      <c r="K2741" s="113" t="n"/>
      <c r="L2741" s="113" t="n"/>
      <c r="M2741" s="113" t="n"/>
      <c r="N2741" s="113" t="n"/>
      <c r="O2741" s="113" t="n"/>
      <c r="P2741" s="113" t="n"/>
      <c r="Q2741" s="113" t="n"/>
      <c r="R2741" s="113" t="n"/>
      <c r="S2741" s="113" t="n"/>
      <c r="T2741" s="113" t="n"/>
      <c r="U2741" s="113" t="n"/>
      <c r="V2741" s="113" t="n"/>
      <c r="W2741" s="113" t="n"/>
      <c r="X2741" s="113" t="n"/>
      <c r="Y2741" s="113" t="n"/>
      <c r="Z2741" s="117">
        <f>IF($B2741="",0,IF($S2741="EVET",IF($D2741="GELİR",$O2741,-$O2741),0))</f>
        <v/>
      </c>
      <c r="AA2741" s="117">
        <f>IF($B2741="",0,IF(OR($W2741="EVET",$X2741="EVET",$Y2741="EVET"),0,IF($D2741="GELİR",IF($E2741="SATIŞ İADESİ/İSKONTO",-$O2741,$O2741),-$O2741)))</f>
        <v/>
      </c>
      <c r="AB2741" s="117">
        <f>IF($B2741="","",IF(OR($D2741="",$E2741="",$O2741=""),"EKSİK",IF($O2741&lt;=0,"SIFIR/NEGATİF",IF(COUNTIFS($C$6:$C$5000,$C2741,$O$6:$O$5000,$O2741,$B$6:$B$5000,$B2741)&gt;1,"MÜKERRER","OK"))))</f>
        <v/>
      </c>
    </row>
    <row r="2742" ht="16.5" customHeight="1" s="80">
      <c r="A2742" s="113" t="n"/>
      <c r="B2742" s="113" t="n"/>
      <c r="C2742" s="113" t="n"/>
      <c r="D2742" s="113" t="n"/>
      <c r="E2742" s="113" t="n"/>
      <c r="F2742" s="113" t="n"/>
      <c r="G2742" s="113" t="n"/>
      <c r="H2742" s="113" t="n"/>
      <c r="I2742" s="113" t="n"/>
      <c r="J2742" s="113" t="n"/>
      <c r="K2742" s="113" t="n"/>
      <c r="L2742" s="113" t="n"/>
      <c r="M2742" s="113" t="n"/>
      <c r="N2742" s="113" t="n"/>
      <c r="O2742" s="113" t="n"/>
      <c r="P2742" s="113" t="n"/>
      <c r="Q2742" s="113" t="n"/>
      <c r="R2742" s="113" t="n"/>
      <c r="S2742" s="113" t="n"/>
      <c r="T2742" s="113" t="n"/>
      <c r="U2742" s="113" t="n"/>
      <c r="V2742" s="113" t="n"/>
      <c r="W2742" s="113" t="n"/>
      <c r="X2742" s="113" t="n"/>
      <c r="Y2742" s="113" t="n"/>
      <c r="Z2742" s="117">
        <f>IF($B2742="",0,IF($S2742="EVET",IF($D2742="GELİR",$O2742,-$O2742),0))</f>
        <v/>
      </c>
      <c r="AA2742" s="117">
        <f>IF($B2742="",0,IF(OR($W2742="EVET",$X2742="EVET",$Y2742="EVET"),0,IF($D2742="GELİR",IF($E2742="SATIŞ İADESİ/İSKONTO",-$O2742,$O2742),-$O2742)))</f>
        <v/>
      </c>
      <c r="AB2742" s="117">
        <f>IF($B2742="","",IF(OR($D2742="",$E2742="",$O2742=""),"EKSİK",IF($O2742&lt;=0,"SIFIR/NEGATİF",IF(COUNTIFS($C$6:$C$5000,$C2742,$O$6:$O$5000,$O2742,$B$6:$B$5000,$B2742)&gt;1,"MÜKERRER","OK"))))</f>
        <v/>
      </c>
    </row>
    <row r="2743" ht="16.5" customHeight="1" s="80">
      <c r="A2743" s="113" t="n"/>
      <c r="B2743" s="113" t="n"/>
      <c r="C2743" s="113" t="n"/>
      <c r="D2743" s="113" t="n"/>
      <c r="E2743" s="113" t="n"/>
      <c r="F2743" s="113" t="n"/>
      <c r="G2743" s="113" t="n"/>
      <c r="H2743" s="113" t="n"/>
      <c r="I2743" s="113" t="n"/>
      <c r="J2743" s="113" t="n"/>
      <c r="K2743" s="113" t="n"/>
      <c r="L2743" s="113" t="n"/>
      <c r="M2743" s="113" t="n"/>
      <c r="N2743" s="113" t="n"/>
      <c r="O2743" s="113" t="n"/>
      <c r="P2743" s="113" t="n"/>
      <c r="Q2743" s="113" t="n"/>
      <c r="R2743" s="113" t="n"/>
      <c r="S2743" s="113" t="n"/>
      <c r="T2743" s="113" t="n"/>
      <c r="U2743" s="113" t="n"/>
      <c r="V2743" s="113" t="n"/>
      <c r="W2743" s="113" t="n"/>
      <c r="X2743" s="113" t="n"/>
      <c r="Y2743" s="113" t="n"/>
      <c r="Z2743" s="117">
        <f>IF($B2743="",0,IF($S2743="EVET",IF($D2743="GELİR",$O2743,-$O2743),0))</f>
        <v/>
      </c>
      <c r="AA2743" s="117">
        <f>IF($B2743="",0,IF(OR($W2743="EVET",$X2743="EVET",$Y2743="EVET"),0,IF($D2743="GELİR",IF($E2743="SATIŞ İADESİ/İSKONTO",-$O2743,$O2743),-$O2743)))</f>
        <v/>
      </c>
      <c r="AB2743" s="117">
        <f>IF($B2743="","",IF(OR($D2743="",$E2743="",$O2743=""),"EKSİK",IF($O2743&lt;=0,"SIFIR/NEGATİF",IF(COUNTIFS($C$6:$C$5000,$C2743,$O$6:$O$5000,$O2743,$B$6:$B$5000,$B2743)&gt;1,"MÜKERRER","OK"))))</f>
        <v/>
      </c>
    </row>
    <row r="2744" ht="16.5" customHeight="1" s="80">
      <c r="A2744" s="113" t="n"/>
      <c r="B2744" s="113" t="n"/>
      <c r="C2744" s="113" t="n"/>
      <c r="D2744" s="113" t="n"/>
      <c r="E2744" s="113" t="n"/>
      <c r="F2744" s="113" t="n"/>
      <c r="G2744" s="113" t="n"/>
      <c r="H2744" s="113" t="n"/>
      <c r="I2744" s="113" t="n"/>
      <c r="J2744" s="113" t="n"/>
      <c r="K2744" s="113" t="n"/>
      <c r="L2744" s="113" t="n"/>
      <c r="M2744" s="113" t="n"/>
      <c r="N2744" s="113" t="n"/>
      <c r="O2744" s="113" t="n"/>
      <c r="P2744" s="113" t="n"/>
      <c r="Q2744" s="113" t="n"/>
      <c r="R2744" s="113" t="n"/>
      <c r="S2744" s="113" t="n"/>
      <c r="T2744" s="113" t="n"/>
      <c r="U2744" s="113" t="n"/>
      <c r="V2744" s="113" t="n"/>
      <c r="W2744" s="113" t="n"/>
      <c r="X2744" s="113" t="n"/>
      <c r="Y2744" s="113" t="n"/>
      <c r="Z2744" s="117">
        <f>IF($B2744="",0,IF($S2744="EVET",IF($D2744="GELİR",$O2744,-$O2744),0))</f>
        <v/>
      </c>
      <c r="AA2744" s="117">
        <f>IF($B2744="",0,IF(OR($W2744="EVET",$X2744="EVET",$Y2744="EVET"),0,IF($D2744="GELİR",IF($E2744="SATIŞ İADESİ/İSKONTO",-$O2744,$O2744),-$O2744)))</f>
        <v/>
      </c>
      <c r="AB2744" s="117">
        <f>IF($B2744="","",IF(OR($D2744="",$E2744="",$O2744=""),"EKSİK",IF($O2744&lt;=0,"SIFIR/NEGATİF",IF(COUNTIFS($C$6:$C$5000,$C2744,$O$6:$O$5000,$O2744,$B$6:$B$5000,$B2744)&gt;1,"MÜKERRER","OK"))))</f>
        <v/>
      </c>
    </row>
    <row r="2745" ht="16.5" customHeight="1" s="80">
      <c r="A2745" s="113" t="n"/>
      <c r="B2745" s="113" t="n"/>
      <c r="C2745" s="113" t="n"/>
      <c r="D2745" s="113" t="n"/>
      <c r="E2745" s="113" t="n"/>
      <c r="F2745" s="113" t="n"/>
      <c r="G2745" s="113" t="n"/>
      <c r="H2745" s="113" t="n"/>
      <c r="I2745" s="113" t="n"/>
      <c r="J2745" s="113" t="n"/>
      <c r="K2745" s="113" t="n"/>
      <c r="L2745" s="113" t="n"/>
      <c r="M2745" s="113" t="n"/>
      <c r="N2745" s="113" t="n"/>
      <c r="O2745" s="113" t="n"/>
      <c r="P2745" s="113" t="n"/>
      <c r="Q2745" s="113" t="n"/>
      <c r="R2745" s="113" t="n"/>
      <c r="S2745" s="113" t="n"/>
      <c r="T2745" s="113" t="n"/>
      <c r="U2745" s="113" t="n"/>
      <c r="V2745" s="113" t="n"/>
      <c r="W2745" s="113" t="n"/>
      <c r="X2745" s="113" t="n"/>
      <c r="Y2745" s="113" t="n"/>
      <c r="Z2745" s="117">
        <f>IF($B2745="",0,IF($S2745="EVET",IF($D2745="GELİR",$O2745,-$O2745),0))</f>
        <v/>
      </c>
      <c r="AA2745" s="117">
        <f>IF($B2745="",0,IF(OR($W2745="EVET",$X2745="EVET",$Y2745="EVET"),0,IF($D2745="GELİR",IF($E2745="SATIŞ İADESİ/İSKONTO",-$O2745,$O2745),-$O2745)))</f>
        <v/>
      </c>
      <c r="AB2745" s="117">
        <f>IF($B2745="","",IF(OR($D2745="",$E2745="",$O2745=""),"EKSİK",IF($O2745&lt;=0,"SIFIR/NEGATİF",IF(COUNTIFS($C$6:$C$5000,$C2745,$O$6:$O$5000,$O2745,$B$6:$B$5000,$B2745)&gt;1,"MÜKERRER","OK"))))</f>
        <v/>
      </c>
    </row>
    <row r="2746" ht="16.5" customHeight="1" s="80">
      <c r="A2746" s="113" t="n"/>
      <c r="B2746" s="113" t="n"/>
      <c r="C2746" s="113" t="n"/>
      <c r="D2746" s="113" t="n"/>
      <c r="E2746" s="113" t="n"/>
      <c r="F2746" s="113" t="n"/>
      <c r="G2746" s="113" t="n"/>
      <c r="H2746" s="113" t="n"/>
      <c r="I2746" s="113" t="n"/>
      <c r="J2746" s="113" t="n"/>
      <c r="K2746" s="113" t="n"/>
      <c r="L2746" s="113" t="n"/>
      <c r="M2746" s="113" t="n"/>
      <c r="N2746" s="113" t="n"/>
      <c r="O2746" s="113" t="n"/>
      <c r="P2746" s="113" t="n"/>
      <c r="Q2746" s="113" t="n"/>
      <c r="R2746" s="113" t="n"/>
      <c r="S2746" s="113" t="n"/>
      <c r="T2746" s="113" t="n"/>
      <c r="U2746" s="113" t="n"/>
      <c r="V2746" s="113" t="n"/>
      <c r="W2746" s="113" t="n"/>
      <c r="X2746" s="113" t="n"/>
      <c r="Y2746" s="113" t="n"/>
      <c r="Z2746" s="117">
        <f>IF($B2746="",0,IF($S2746="EVET",IF($D2746="GELİR",$O2746,-$O2746),0))</f>
        <v/>
      </c>
      <c r="AA2746" s="117">
        <f>IF($B2746="",0,IF(OR($W2746="EVET",$X2746="EVET",$Y2746="EVET"),0,IF($D2746="GELİR",IF($E2746="SATIŞ İADESİ/İSKONTO",-$O2746,$O2746),-$O2746)))</f>
        <v/>
      </c>
      <c r="AB2746" s="117">
        <f>IF($B2746="","",IF(OR($D2746="",$E2746="",$O2746=""),"EKSİK",IF($O2746&lt;=0,"SIFIR/NEGATİF",IF(COUNTIFS($C$6:$C$5000,$C2746,$O$6:$O$5000,$O2746,$B$6:$B$5000,$B2746)&gt;1,"MÜKERRER","OK"))))</f>
        <v/>
      </c>
    </row>
    <row r="2747" ht="16.5" customHeight="1" s="80">
      <c r="A2747" s="113" t="n"/>
      <c r="B2747" s="113" t="n"/>
      <c r="C2747" s="113" t="n"/>
      <c r="D2747" s="113" t="n"/>
      <c r="E2747" s="113" t="n"/>
      <c r="F2747" s="113" t="n"/>
      <c r="G2747" s="113" t="n"/>
      <c r="H2747" s="113" t="n"/>
      <c r="I2747" s="113" t="n"/>
      <c r="J2747" s="113" t="n"/>
      <c r="K2747" s="113" t="n"/>
      <c r="L2747" s="113" t="n"/>
      <c r="M2747" s="113" t="n"/>
      <c r="N2747" s="113" t="n"/>
      <c r="O2747" s="113" t="n"/>
      <c r="P2747" s="113" t="n"/>
      <c r="Q2747" s="113" t="n"/>
      <c r="R2747" s="113" t="n"/>
      <c r="S2747" s="113" t="n"/>
      <c r="T2747" s="113" t="n"/>
      <c r="U2747" s="113" t="n"/>
      <c r="V2747" s="113" t="n"/>
      <c r="W2747" s="113" t="n"/>
      <c r="X2747" s="113" t="n"/>
      <c r="Y2747" s="113" t="n"/>
      <c r="Z2747" s="117">
        <f>IF($B2747="",0,IF($S2747="EVET",IF($D2747="GELİR",$O2747,-$O2747),0))</f>
        <v/>
      </c>
      <c r="AA2747" s="117">
        <f>IF($B2747="",0,IF(OR($W2747="EVET",$X2747="EVET",$Y2747="EVET"),0,IF($D2747="GELİR",IF($E2747="SATIŞ İADESİ/İSKONTO",-$O2747,$O2747),-$O2747)))</f>
        <v/>
      </c>
      <c r="AB2747" s="117">
        <f>IF($B2747="","",IF(OR($D2747="",$E2747="",$O2747=""),"EKSİK",IF($O2747&lt;=0,"SIFIR/NEGATİF",IF(COUNTIFS($C$6:$C$5000,$C2747,$O$6:$O$5000,$O2747,$B$6:$B$5000,$B2747)&gt;1,"MÜKERRER","OK"))))</f>
        <v/>
      </c>
    </row>
    <row r="2748" ht="16.5" customHeight="1" s="80">
      <c r="A2748" s="113" t="n"/>
      <c r="B2748" s="113" t="n"/>
      <c r="C2748" s="113" t="n"/>
      <c r="D2748" s="113" t="n"/>
      <c r="E2748" s="113" t="n"/>
      <c r="F2748" s="113" t="n"/>
      <c r="G2748" s="113" t="n"/>
      <c r="H2748" s="113" t="n"/>
      <c r="I2748" s="113" t="n"/>
      <c r="J2748" s="113" t="n"/>
      <c r="K2748" s="113" t="n"/>
      <c r="L2748" s="113" t="n"/>
      <c r="M2748" s="113" t="n"/>
      <c r="N2748" s="113" t="n"/>
      <c r="O2748" s="113" t="n"/>
      <c r="P2748" s="113" t="n"/>
      <c r="Q2748" s="113" t="n"/>
      <c r="R2748" s="113" t="n"/>
      <c r="S2748" s="113" t="n"/>
      <c r="T2748" s="113" t="n"/>
      <c r="U2748" s="113" t="n"/>
      <c r="V2748" s="113" t="n"/>
      <c r="W2748" s="113" t="n"/>
      <c r="X2748" s="113" t="n"/>
      <c r="Y2748" s="113" t="n"/>
      <c r="Z2748" s="117">
        <f>IF($B2748="",0,IF($S2748="EVET",IF($D2748="GELİR",$O2748,-$O2748),0))</f>
        <v/>
      </c>
      <c r="AA2748" s="117">
        <f>IF($B2748="",0,IF(OR($W2748="EVET",$X2748="EVET",$Y2748="EVET"),0,IF($D2748="GELİR",IF($E2748="SATIŞ İADESİ/İSKONTO",-$O2748,$O2748),-$O2748)))</f>
        <v/>
      </c>
      <c r="AB2748" s="117">
        <f>IF($B2748="","",IF(OR($D2748="",$E2748="",$O2748=""),"EKSİK",IF($O2748&lt;=0,"SIFIR/NEGATİF",IF(COUNTIFS($C$6:$C$5000,$C2748,$O$6:$O$5000,$O2748,$B$6:$B$5000,$B2748)&gt;1,"MÜKERRER","OK"))))</f>
        <v/>
      </c>
    </row>
    <row r="2749" ht="16.5" customHeight="1" s="80">
      <c r="A2749" s="113" t="n"/>
      <c r="B2749" s="113" t="n"/>
      <c r="C2749" s="113" t="n"/>
      <c r="D2749" s="113" t="n"/>
      <c r="E2749" s="113" t="n"/>
      <c r="F2749" s="113" t="n"/>
      <c r="G2749" s="113" t="n"/>
      <c r="H2749" s="113" t="n"/>
      <c r="I2749" s="113" t="n"/>
      <c r="J2749" s="113" t="n"/>
      <c r="K2749" s="113" t="n"/>
      <c r="L2749" s="113" t="n"/>
      <c r="M2749" s="113" t="n"/>
      <c r="N2749" s="113" t="n"/>
      <c r="O2749" s="113" t="n"/>
      <c r="P2749" s="113" t="n"/>
      <c r="Q2749" s="113" t="n"/>
      <c r="R2749" s="113" t="n"/>
      <c r="S2749" s="113" t="n"/>
      <c r="T2749" s="113" t="n"/>
      <c r="U2749" s="113" t="n"/>
      <c r="V2749" s="113" t="n"/>
      <c r="W2749" s="113" t="n"/>
      <c r="X2749" s="113" t="n"/>
      <c r="Y2749" s="113" t="n"/>
      <c r="Z2749" s="117">
        <f>IF($B2749="",0,IF($S2749="EVET",IF($D2749="GELİR",$O2749,-$O2749),0))</f>
        <v/>
      </c>
      <c r="AA2749" s="117">
        <f>IF($B2749="",0,IF(OR($W2749="EVET",$X2749="EVET",$Y2749="EVET"),0,IF($D2749="GELİR",IF($E2749="SATIŞ İADESİ/İSKONTO",-$O2749,$O2749),-$O2749)))</f>
        <v/>
      </c>
      <c r="AB2749" s="117">
        <f>IF($B2749="","",IF(OR($D2749="",$E2749="",$O2749=""),"EKSİK",IF($O2749&lt;=0,"SIFIR/NEGATİF",IF(COUNTIFS($C$6:$C$5000,$C2749,$O$6:$O$5000,$O2749,$B$6:$B$5000,$B2749)&gt;1,"MÜKERRER","OK"))))</f>
        <v/>
      </c>
    </row>
    <row r="2750" ht="16.5" customHeight="1" s="80">
      <c r="A2750" s="113" t="n"/>
      <c r="B2750" s="113" t="n"/>
      <c r="C2750" s="113" t="n"/>
      <c r="D2750" s="113" t="n"/>
      <c r="E2750" s="113" t="n"/>
      <c r="F2750" s="113" t="n"/>
      <c r="G2750" s="113" t="n"/>
      <c r="H2750" s="113" t="n"/>
      <c r="I2750" s="113" t="n"/>
      <c r="J2750" s="113" t="n"/>
      <c r="K2750" s="113" t="n"/>
      <c r="L2750" s="113" t="n"/>
      <c r="M2750" s="113" t="n"/>
      <c r="N2750" s="113" t="n"/>
      <c r="O2750" s="113" t="n"/>
      <c r="P2750" s="113" t="n"/>
      <c r="Q2750" s="113" t="n"/>
      <c r="R2750" s="113" t="n"/>
      <c r="S2750" s="113" t="n"/>
      <c r="T2750" s="113" t="n"/>
      <c r="U2750" s="113" t="n"/>
      <c r="V2750" s="113" t="n"/>
      <c r="W2750" s="113" t="n"/>
      <c r="X2750" s="113" t="n"/>
      <c r="Y2750" s="113" t="n"/>
      <c r="Z2750" s="117">
        <f>IF($B2750="",0,IF($S2750="EVET",IF($D2750="GELİR",$O2750,-$O2750),0))</f>
        <v/>
      </c>
      <c r="AA2750" s="117">
        <f>IF($B2750="",0,IF(OR($W2750="EVET",$X2750="EVET",$Y2750="EVET"),0,IF($D2750="GELİR",IF($E2750="SATIŞ İADESİ/İSKONTO",-$O2750,$O2750),-$O2750)))</f>
        <v/>
      </c>
      <c r="AB2750" s="117">
        <f>IF($B2750="","",IF(OR($D2750="",$E2750="",$O2750=""),"EKSİK",IF($O2750&lt;=0,"SIFIR/NEGATİF",IF(COUNTIFS($C$6:$C$5000,$C2750,$O$6:$O$5000,$O2750,$B$6:$B$5000,$B2750)&gt;1,"MÜKERRER","OK"))))</f>
        <v/>
      </c>
    </row>
    <row r="2751" ht="16.5" customHeight="1" s="80">
      <c r="A2751" s="113" t="n"/>
      <c r="B2751" s="113" t="n"/>
      <c r="C2751" s="113" t="n"/>
      <c r="D2751" s="113" t="n"/>
      <c r="E2751" s="113" t="n"/>
      <c r="F2751" s="113" t="n"/>
      <c r="G2751" s="113" t="n"/>
      <c r="H2751" s="113" t="n"/>
      <c r="I2751" s="113" t="n"/>
      <c r="J2751" s="113" t="n"/>
      <c r="K2751" s="113" t="n"/>
      <c r="L2751" s="113" t="n"/>
      <c r="M2751" s="113" t="n"/>
      <c r="N2751" s="113" t="n"/>
      <c r="O2751" s="113" t="n"/>
      <c r="P2751" s="113" t="n"/>
      <c r="Q2751" s="113" t="n"/>
      <c r="R2751" s="113" t="n"/>
      <c r="S2751" s="113" t="n"/>
      <c r="T2751" s="113" t="n"/>
      <c r="U2751" s="113" t="n"/>
      <c r="V2751" s="113" t="n"/>
      <c r="W2751" s="113" t="n"/>
      <c r="X2751" s="113" t="n"/>
      <c r="Y2751" s="113" t="n"/>
      <c r="Z2751" s="117">
        <f>IF($B2751="",0,IF($S2751="EVET",IF($D2751="GELİR",$O2751,-$O2751),0))</f>
        <v/>
      </c>
      <c r="AA2751" s="117">
        <f>IF($B2751="",0,IF(OR($W2751="EVET",$X2751="EVET",$Y2751="EVET"),0,IF($D2751="GELİR",IF($E2751="SATIŞ İADESİ/İSKONTO",-$O2751,$O2751),-$O2751)))</f>
        <v/>
      </c>
      <c r="AB2751" s="117">
        <f>IF($B2751="","",IF(OR($D2751="",$E2751="",$O2751=""),"EKSİK",IF($O2751&lt;=0,"SIFIR/NEGATİF",IF(COUNTIFS($C$6:$C$5000,$C2751,$O$6:$O$5000,$O2751,$B$6:$B$5000,$B2751)&gt;1,"MÜKERRER","OK"))))</f>
        <v/>
      </c>
    </row>
    <row r="2752" ht="16.5" customHeight="1" s="80">
      <c r="A2752" s="113" t="n"/>
      <c r="B2752" s="113" t="n"/>
      <c r="C2752" s="113" t="n"/>
      <c r="D2752" s="113" t="n"/>
      <c r="E2752" s="113" t="n"/>
      <c r="F2752" s="113" t="n"/>
      <c r="G2752" s="113" t="n"/>
      <c r="H2752" s="113" t="n"/>
      <c r="I2752" s="113" t="n"/>
      <c r="J2752" s="113" t="n"/>
      <c r="K2752" s="113" t="n"/>
      <c r="L2752" s="113" t="n"/>
      <c r="M2752" s="113" t="n"/>
      <c r="N2752" s="113" t="n"/>
      <c r="O2752" s="113" t="n"/>
      <c r="P2752" s="113" t="n"/>
      <c r="Q2752" s="113" t="n"/>
      <c r="R2752" s="113" t="n"/>
      <c r="S2752" s="113" t="n"/>
      <c r="T2752" s="113" t="n"/>
      <c r="U2752" s="113" t="n"/>
      <c r="V2752" s="113" t="n"/>
      <c r="W2752" s="113" t="n"/>
      <c r="X2752" s="113" t="n"/>
      <c r="Y2752" s="113" t="n"/>
      <c r="Z2752" s="117">
        <f>IF($B2752="",0,IF($S2752="EVET",IF($D2752="GELİR",$O2752,-$O2752),0))</f>
        <v/>
      </c>
      <c r="AA2752" s="117">
        <f>IF($B2752="",0,IF(OR($W2752="EVET",$X2752="EVET",$Y2752="EVET"),0,IF($D2752="GELİR",IF($E2752="SATIŞ İADESİ/İSKONTO",-$O2752,$O2752),-$O2752)))</f>
        <v/>
      </c>
      <c r="AB2752" s="117">
        <f>IF($B2752="","",IF(OR($D2752="",$E2752="",$O2752=""),"EKSİK",IF($O2752&lt;=0,"SIFIR/NEGATİF",IF(COUNTIFS($C$6:$C$5000,$C2752,$O$6:$O$5000,$O2752,$B$6:$B$5000,$B2752)&gt;1,"MÜKERRER","OK"))))</f>
        <v/>
      </c>
    </row>
    <row r="2753" ht="16.5" customHeight="1" s="80">
      <c r="A2753" s="113" t="n"/>
      <c r="B2753" s="113" t="n"/>
      <c r="C2753" s="113" t="n"/>
      <c r="D2753" s="113" t="n"/>
      <c r="E2753" s="113" t="n"/>
      <c r="F2753" s="113" t="n"/>
      <c r="G2753" s="113" t="n"/>
      <c r="H2753" s="113" t="n"/>
      <c r="I2753" s="113" t="n"/>
      <c r="J2753" s="113" t="n"/>
      <c r="K2753" s="113" t="n"/>
      <c r="L2753" s="113" t="n"/>
      <c r="M2753" s="113" t="n"/>
      <c r="N2753" s="113" t="n"/>
      <c r="O2753" s="113" t="n"/>
      <c r="P2753" s="113" t="n"/>
      <c r="Q2753" s="113" t="n"/>
      <c r="R2753" s="113" t="n"/>
      <c r="S2753" s="113" t="n"/>
      <c r="T2753" s="113" t="n"/>
      <c r="U2753" s="113" t="n"/>
      <c r="V2753" s="113" t="n"/>
      <c r="W2753" s="113" t="n"/>
      <c r="X2753" s="113" t="n"/>
      <c r="Y2753" s="113" t="n"/>
      <c r="Z2753" s="117">
        <f>IF($B2753="",0,IF($S2753="EVET",IF($D2753="GELİR",$O2753,-$O2753),0))</f>
        <v/>
      </c>
      <c r="AA2753" s="117">
        <f>IF($B2753="",0,IF(OR($W2753="EVET",$X2753="EVET",$Y2753="EVET"),0,IF($D2753="GELİR",IF($E2753="SATIŞ İADESİ/İSKONTO",-$O2753,$O2753),-$O2753)))</f>
        <v/>
      </c>
      <c r="AB2753" s="117">
        <f>IF($B2753="","",IF(OR($D2753="",$E2753="",$O2753=""),"EKSİK",IF($O2753&lt;=0,"SIFIR/NEGATİF",IF(COUNTIFS($C$6:$C$5000,$C2753,$O$6:$O$5000,$O2753,$B$6:$B$5000,$B2753)&gt;1,"MÜKERRER","OK"))))</f>
        <v/>
      </c>
    </row>
    <row r="2754" ht="16.5" customHeight="1" s="80">
      <c r="A2754" s="113" t="n"/>
      <c r="B2754" s="113" t="n"/>
      <c r="C2754" s="113" t="n"/>
      <c r="D2754" s="113" t="n"/>
      <c r="E2754" s="113" t="n"/>
      <c r="F2754" s="113" t="n"/>
      <c r="G2754" s="113" t="n"/>
      <c r="H2754" s="113" t="n"/>
      <c r="I2754" s="113" t="n"/>
      <c r="J2754" s="113" t="n"/>
      <c r="K2754" s="113" t="n"/>
      <c r="L2754" s="113" t="n"/>
      <c r="M2754" s="113" t="n"/>
      <c r="N2754" s="113" t="n"/>
      <c r="O2754" s="113" t="n"/>
      <c r="P2754" s="113" t="n"/>
      <c r="Q2754" s="113" t="n"/>
      <c r="R2754" s="113" t="n"/>
      <c r="S2754" s="113" t="n"/>
      <c r="T2754" s="113" t="n"/>
      <c r="U2754" s="113" t="n"/>
      <c r="V2754" s="113" t="n"/>
      <c r="W2754" s="113" t="n"/>
      <c r="X2754" s="113" t="n"/>
      <c r="Y2754" s="113" t="n"/>
      <c r="Z2754" s="117">
        <f>IF($B2754="",0,IF($S2754="EVET",IF($D2754="GELİR",$O2754,-$O2754),0))</f>
        <v/>
      </c>
      <c r="AA2754" s="117">
        <f>IF($B2754="",0,IF(OR($W2754="EVET",$X2754="EVET",$Y2754="EVET"),0,IF($D2754="GELİR",IF($E2754="SATIŞ İADESİ/İSKONTO",-$O2754,$O2754),-$O2754)))</f>
        <v/>
      </c>
      <c r="AB2754" s="117">
        <f>IF($B2754="","",IF(OR($D2754="",$E2754="",$O2754=""),"EKSİK",IF($O2754&lt;=0,"SIFIR/NEGATİF",IF(COUNTIFS($C$6:$C$5000,$C2754,$O$6:$O$5000,$O2754,$B$6:$B$5000,$B2754)&gt;1,"MÜKERRER","OK"))))</f>
        <v/>
      </c>
    </row>
    <row r="2755" ht="16.5" customHeight="1" s="80">
      <c r="A2755" s="113" t="n"/>
      <c r="B2755" s="113" t="n"/>
      <c r="C2755" s="113" t="n"/>
      <c r="D2755" s="113" t="n"/>
      <c r="E2755" s="113" t="n"/>
      <c r="F2755" s="113" t="n"/>
      <c r="G2755" s="113" t="n"/>
      <c r="H2755" s="113" t="n"/>
      <c r="I2755" s="113" t="n"/>
      <c r="J2755" s="113" t="n"/>
      <c r="K2755" s="113" t="n"/>
      <c r="L2755" s="113" t="n"/>
      <c r="M2755" s="113" t="n"/>
      <c r="N2755" s="113" t="n"/>
      <c r="O2755" s="113" t="n"/>
      <c r="P2755" s="113" t="n"/>
      <c r="Q2755" s="113" t="n"/>
      <c r="R2755" s="113" t="n"/>
      <c r="S2755" s="113" t="n"/>
      <c r="T2755" s="113" t="n"/>
      <c r="U2755" s="113" t="n"/>
      <c r="V2755" s="113" t="n"/>
      <c r="W2755" s="113" t="n"/>
      <c r="X2755" s="113" t="n"/>
      <c r="Y2755" s="113" t="n"/>
      <c r="Z2755" s="117">
        <f>IF($B2755="",0,IF($S2755="EVET",IF($D2755="GELİR",$O2755,-$O2755),0))</f>
        <v/>
      </c>
      <c r="AA2755" s="117">
        <f>IF($B2755="",0,IF(OR($W2755="EVET",$X2755="EVET",$Y2755="EVET"),0,IF($D2755="GELİR",IF($E2755="SATIŞ İADESİ/İSKONTO",-$O2755,$O2755),-$O2755)))</f>
        <v/>
      </c>
      <c r="AB2755" s="117">
        <f>IF($B2755="","",IF(OR($D2755="",$E2755="",$O2755=""),"EKSİK",IF($O2755&lt;=0,"SIFIR/NEGATİF",IF(COUNTIFS($C$6:$C$5000,$C2755,$O$6:$O$5000,$O2755,$B$6:$B$5000,$B2755)&gt;1,"MÜKERRER","OK"))))</f>
        <v/>
      </c>
    </row>
    <row r="2756" ht="16.5" customHeight="1" s="80">
      <c r="A2756" s="113" t="n"/>
      <c r="B2756" s="113" t="n"/>
      <c r="C2756" s="113" t="n"/>
      <c r="D2756" s="113" t="n"/>
      <c r="E2756" s="113" t="n"/>
      <c r="F2756" s="113" t="n"/>
      <c r="G2756" s="113" t="n"/>
      <c r="H2756" s="113" t="n"/>
      <c r="I2756" s="113" t="n"/>
      <c r="J2756" s="113" t="n"/>
      <c r="K2756" s="113" t="n"/>
      <c r="L2756" s="113" t="n"/>
      <c r="M2756" s="113" t="n"/>
      <c r="N2756" s="113" t="n"/>
      <c r="O2756" s="113" t="n"/>
      <c r="P2756" s="113" t="n"/>
      <c r="Q2756" s="113" t="n"/>
      <c r="R2756" s="113" t="n"/>
      <c r="S2756" s="113" t="n"/>
      <c r="T2756" s="113" t="n"/>
      <c r="U2756" s="113" t="n"/>
      <c r="V2756" s="113" t="n"/>
      <c r="W2756" s="113" t="n"/>
      <c r="X2756" s="113" t="n"/>
      <c r="Y2756" s="113" t="n"/>
      <c r="Z2756" s="117">
        <f>IF($B2756="",0,IF($S2756="EVET",IF($D2756="GELİR",$O2756,-$O2756),0))</f>
        <v/>
      </c>
      <c r="AA2756" s="117">
        <f>IF($B2756="",0,IF(OR($W2756="EVET",$X2756="EVET",$Y2756="EVET"),0,IF($D2756="GELİR",IF($E2756="SATIŞ İADESİ/İSKONTO",-$O2756,$O2756),-$O2756)))</f>
        <v/>
      </c>
      <c r="AB2756" s="117">
        <f>IF($B2756="","",IF(OR($D2756="",$E2756="",$O2756=""),"EKSİK",IF($O2756&lt;=0,"SIFIR/NEGATİF",IF(COUNTIFS($C$6:$C$5000,$C2756,$O$6:$O$5000,$O2756,$B$6:$B$5000,$B2756)&gt;1,"MÜKERRER","OK"))))</f>
        <v/>
      </c>
    </row>
    <row r="2757" ht="16.5" customHeight="1" s="80">
      <c r="A2757" s="113" t="n"/>
      <c r="B2757" s="113" t="n"/>
      <c r="C2757" s="113" t="n"/>
      <c r="D2757" s="113" t="n"/>
      <c r="E2757" s="113" t="n"/>
      <c r="F2757" s="113" t="n"/>
      <c r="G2757" s="113" t="n"/>
      <c r="H2757" s="113" t="n"/>
      <c r="I2757" s="113" t="n"/>
      <c r="J2757" s="113" t="n"/>
      <c r="K2757" s="113" t="n"/>
      <c r="L2757" s="113" t="n"/>
      <c r="M2757" s="113" t="n"/>
      <c r="N2757" s="113" t="n"/>
      <c r="O2757" s="113" t="n"/>
      <c r="P2757" s="113" t="n"/>
      <c r="Q2757" s="113" t="n"/>
      <c r="R2757" s="113" t="n"/>
      <c r="S2757" s="113" t="n"/>
      <c r="T2757" s="113" t="n"/>
      <c r="U2757" s="113" t="n"/>
      <c r="V2757" s="113" t="n"/>
      <c r="W2757" s="113" t="n"/>
      <c r="X2757" s="113" t="n"/>
      <c r="Y2757" s="113" t="n"/>
      <c r="Z2757" s="117">
        <f>IF($B2757="",0,IF($S2757="EVET",IF($D2757="GELİR",$O2757,-$O2757),0))</f>
        <v/>
      </c>
      <c r="AA2757" s="117">
        <f>IF($B2757="",0,IF(OR($W2757="EVET",$X2757="EVET",$Y2757="EVET"),0,IF($D2757="GELİR",IF($E2757="SATIŞ İADESİ/İSKONTO",-$O2757,$O2757),-$O2757)))</f>
        <v/>
      </c>
      <c r="AB2757" s="117">
        <f>IF($B2757="","",IF(OR($D2757="",$E2757="",$O2757=""),"EKSİK",IF($O2757&lt;=0,"SIFIR/NEGATİF",IF(COUNTIFS($C$6:$C$5000,$C2757,$O$6:$O$5000,$O2757,$B$6:$B$5000,$B2757)&gt;1,"MÜKERRER","OK"))))</f>
        <v/>
      </c>
    </row>
    <row r="2758" ht="16.5" customHeight="1" s="80">
      <c r="A2758" s="113" t="n"/>
      <c r="B2758" s="113" t="n"/>
      <c r="C2758" s="113" t="n"/>
      <c r="D2758" s="113" t="n"/>
      <c r="E2758" s="113" t="n"/>
      <c r="F2758" s="113" t="n"/>
      <c r="G2758" s="113" t="n"/>
      <c r="H2758" s="113" t="n"/>
      <c r="I2758" s="113" t="n"/>
      <c r="J2758" s="113" t="n"/>
      <c r="K2758" s="113" t="n"/>
      <c r="L2758" s="113" t="n"/>
      <c r="M2758" s="113" t="n"/>
      <c r="N2758" s="113" t="n"/>
      <c r="O2758" s="113" t="n"/>
      <c r="P2758" s="113" t="n"/>
      <c r="Q2758" s="113" t="n"/>
      <c r="R2758" s="113" t="n"/>
      <c r="S2758" s="113" t="n"/>
      <c r="T2758" s="113" t="n"/>
      <c r="U2758" s="113" t="n"/>
      <c r="V2758" s="113" t="n"/>
      <c r="W2758" s="113" t="n"/>
      <c r="X2758" s="113" t="n"/>
      <c r="Y2758" s="113" t="n"/>
      <c r="Z2758" s="117">
        <f>IF($B2758="",0,IF($S2758="EVET",IF($D2758="GELİR",$O2758,-$O2758),0))</f>
        <v/>
      </c>
      <c r="AA2758" s="117">
        <f>IF($B2758="",0,IF(OR($W2758="EVET",$X2758="EVET",$Y2758="EVET"),0,IF($D2758="GELİR",IF($E2758="SATIŞ İADESİ/İSKONTO",-$O2758,$O2758),-$O2758)))</f>
        <v/>
      </c>
      <c r="AB2758" s="117">
        <f>IF($B2758="","",IF(OR($D2758="",$E2758="",$O2758=""),"EKSİK",IF($O2758&lt;=0,"SIFIR/NEGATİF",IF(COUNTIFS($C$6:$C$5000,$C2758,$O$6:$O$5000,$O2758,$B$6:$B$5000,$B2758)&gt;1,"MÜKERRER","OK"))))</f>
        <v/>
      </c>
    </row>
    <row r="2759" ht="16.5" customHeight="1" s="80">
      <c r="A2759" s="113" t="n"/>
      <c r="B2759" s="113" t="n"/>
      <c r="C2759" s="113" t="n"/>
      <c r="D2759" s="113" t="n"/>
      <c r="E2759" s="113" t="n"/>
      <c r="F2759" s="113" t="n"/>
      <c r="G2759" s="113" t="n"/>
      <c r="H2759" s="113" t="n"/>
      <c r="I2759" s="113" t="n"/>
      <c r="J2759" s="113" t="n"/>
      <c r="K2759" s="113" t="n"/>
      <c r="L2759" s="113" t="n"/>
      <c r="M2759" s="113" t="n"/>
      <c r="N2759" s="113" t="n"/>
      <c r="O2759" s="113" t="n"/>
      <c r="P2759" s="113" t="n"/>
      <c r="Q2759" s="113" t="n"/>
      <c r="R2759" s="113" t="n"/>
      <c r="S2759" s="113" t="n"/>
      <c r="T2759" s="113" t="n"/>
      <c r="U2759" s="113" t="n"/>
      <c r="V2759" s="113" t="n"/>
      <c r="W2759" s="113" t="n"/>
      <c r="X2759" s="113" t="n"/>
      <c r="Y2759" s="113" t="n"/>
      <c r="Z2759" s="117">
        <f>IF($B2759="",0,IF($S2759="EVET",IF($D2759="GELİR",$O2759,-$O2759),0))</f>
        <v/>
      </c>
      <c r="AA2759" s="117">
        <f>IF($B2759="",0,IF(OR($W2759="EVET",$X2759="EVET",$Y2759="EVET"),0,IF($D2759="GELİR",IF($E2759="SATIŞ İADESİ/İSKONTO",-$O2759,$O2759),-$O2759)))</f>
        <v/>
      </c>
      <c r="AB2759" s="117">
        <f>IF($B2759="","",IF(OR($D2759="",$E2759="",$O2759=""),"EKSİK",IF($O2759&lt;=0,"SIFIR/NEGATİF",IF(COUNTIFS($C$6:$C$5000,$C2759,$O$6:$O$5000,$O2759,$B$6:$B$5000,$B2759)&gt;1,"MÜKERRER","OK"))))</f>
        <v/>
      </c>
    </row>
    <row r="2760" ht="16.5" customHeight="1" s="80">
      <c r="A2760" s="113" t="n"/>
      <c r="B2760" s="113" t="n"/>
      <c r="C2760" s="113" t="n"/>
      <c r="D2760" s="113" t="n"/>
      <c r="E2760" s="113" t="n"/>
      <c r="F2760" s="113" t="n"/>
      <c r="G2760" s="113" t="n"/>
      <c r="H2760" s="113" t="n"/>
      <c r="I2760" s="113" t="n"/>
      <c r="J2760" s="113" t="n"/>
      <c r="K2760" s="113" t="n"/>
      <c r="L2760" s="113" t="n"/>
      <c r="M2760" s="113" t="n"/>
      <c r="N2760" s="113" t="n"/>
      <c r="O2760" s="113" t="n"/>
      <c r="P2760" s="113" t="n"/>
      <c r="Q2760" s="113" t="n"/>
      <c r="R2760" s="113" t="n"/>
      <c r="S2760" s="113" t="n"/>
      <c r="T2760" s="113" t="n"/>
      <c r="U2760" s="113" t="n"/>
      <c r="V2760" s="113" t="n"/>
      <c r="W2760" s="113" t="n"/>
      <c r="X2760" s="113" t="n"/>
      <c r="Y2760" s="113" t="n"/>
      <c r="Z2760" s="117">
        <f>IF($B2760="",0,IF($S2760="EVET",IF($D2760="GELİR",$O2760,-$O2760),0))</f>
        <v/>
      </c>
      <c r="AA2760" s="117">
        <f>IF($B2760="",0,IF(OR($W2760="EVET",$X2760="EVET",$Y2760="EVET"),0,IF($D2760="GELİR",IF($E2760="SATIŞ İADESİ/İSKONTO",-$O2760,$O2760),-$O2760)))</f>
        <v/>
      </c>
      <c r="AB2760" s="117">
        <f>IF($B2760="","",IF(OR($D2760="",$E2760="",$O2760=""),"EKSİK",IF($O2760&lt;=0,"SIFIR/NEGATİF",IF(COUNTIFS($C$6:$C$5000,$C2760,$O$6:$O$5000,$O2760,$B$6:$B$5000,$B2760)&gt;1,"MÜKERRER","OK"))))</f>
        <v/>
      </c>
    </row>
    <row r="2761" ht="16.5" customHeight="1" s="80">
      <c r="A2761" s="113" t="n"/>
      <c r="B2761" s="113" t="n"/>
      <c r="C2761" s="113" t="n"/>
      <c r="D2761" s="113" t="n"/>
      <c r="E2761" s="113" t="n"/>
      <c r="F2761" s="113" t="n"/>
      <c r="G2761" s="113" t="n"/>
      <c r="H2761" s="113" t="n"/>
      <c r="I2761" s="113" t="n"/>
      <c r="J2761" s="113" t="n"/>
      <c r="K2761" s="113" t="n"/>
      <c r="L2761" s="113" t="n"/>
      <c r="M2761" s="113" t="n"/>
      <c r="N2761" s="113" t="n"/>
      <c r="O2761" s="113" t="n"/>
      <c r="P2761" s="113" t="n"/>
      <c r="Q2761" s="113" t="n"/>
      <c r="R2761" s="113" t="n"/>
      <c r="S2761" s="113" t="n"/>
      <c r="T2761" s="113" t="n"/>
      <c r="U2761" s="113" t="n"/>
      <c r="V2761" s="113" t="n"/>
      <c r="W2761" s="113" t="n"/>
      <c r="X2761" s="113" t="n"/>
      <c r="Y2761" s="113" t="n"/>
      <c r="Z2761" s="117">
        <f>IF($B2761="",0,IF($S2761="EVET",IF($D2761="GELİR",$O2761,-$O2761),0))</f>
        <v/>
      </c>
      <c r="AA2761" s="117">
        <f>IF($B2761="",0,IF(OR($W2761="EVET",$X2761="EVET",$Y2761="EVET"),0,IF($D2761="GELİR",IF($E2761="SATIŞ İADESİ/İSKONTO",-$O2761,$O2761),-$O2761)))</f>
        <v/>
      </c>
      <c r="AB2761" s="117">
        <f>IF($B2761="","",IF(OR($D2761="",$E2761="",$O2761=""),"EKSİK",IF($O2761&lt;=0,"SIFIR/NEGATİF",IF(COUNTIFS($C$6:$C$5000,$C2761,$O$6:$O$5000,$O2761,$B$6:$B$5000,$B2761)&gt;1,"MÜKERRER","OK"))))</f>
        <v/>
      </c>
    </row>
    <row r="2762" ht="16.5" customHeight="1" s="80">
      <c r="A2762" s="113" t="n"/>
      <c r="B2762" s="113" t="n"/>
      <c r="C2762" s="113" t="n"/>
      <c r="D2762" s="113" t="n"/>
      <c r="E2762" s="113" t="n"/>
      <c r="F2762" s="113" t="n"/>
      <c r="G2762" s="113" t="n"/>
      <c r="H2762" s="113" t="n"/>
      <c r="I2762" s="113" t="n"/>
      <c r="J2762" s="113" t="n"/>
      <c r="K2762" s="113" t="n"/>
      <c r="L2762" s="113" t="n"/>
      <c r="M2762" s="113" t="n"/>
      <c r="N2762" s="113" t="n"/>
      <c r="O2762" s="113" t="n"/>
      <c r="P2762" s="113" t="n"/>
      <c r="Q2762" s="113" t="n"/>
      <c r="R2762" s="113" t="n"/>
      <c r="S2762" s="113" t="n"/>
      <c r="T2762" s="113" t="n"/>
      <c r="U2762" s="113" t="n"/>
      <c r="V2762" s="113" t="n"/>
      <c r="W2762" s="113" t="n"/>
      <c r="X2762" s="113" t="n"/>
      <c r="Y2762" s="113" t="n"/>
      <c r="Z2762" s="117">
        <f>IF($B2762="",0,IF($S2762="EVET",IF($D2762="GELİR",$O2762,-$O2762),0))</f>
        <v/>
      </c>
      <c r="AA2762" s="117">
        <f>IF($B2762="",0,IF(OR($W2762="EVET",$X2762="EVET",$Y2762="EVET"),0,IF($D2762="GELİR",IF($E2762="SATIŞ İADESİ/İSKONTO",-$O2762,$O2762),-$O2762)))</f>
        <v/>
      </c>
      <c r="AB2762" s="117">
        <f>IF($B2762="","",IF(OR($D2762="",$E2762="",$O2762=""),"EKSİK",IF($O2762&lt;=0,"SIFIR/NEGATİF",IF(COUNTIFS($C$6:$C$5000,$C2762,$O$6:$O$5000,$O2762,$B$6:$B$5000,$B2762)&gt;1,"MÜKERRER","OK"))))</f>
        <v/>
      </c>
    </row>
    <row r="2763" ht="16.5" customHeight="1" s="80">
      <c r="A2763" s="113" t="n"/>
      <c r="B2763" s="113" t="n"/>
      <c r="C2763" s="113" t="n"/>
      <c r="D2763" s="113" t="n"/>
      <c r="E2763" s="113" t="n"/>
      <c r="F2763" s="113" t="n"/>
      <c r="G2763" s="113" t="n"/>
      <c r="H2763" s="113" t="n"/>
      <c r="I2763" s="113" t="n"/>
      <c r="J2763" s="113" t="n"/>
      <c r="K2763" s="113" t="n"/>
      <c r="L2763" s="113" t="n"/>
      <c r="M2763" s="113" t="n"/>
      <c r="N2763" s="113" t="n"/>
      <c r="O2763" s="113" t="n"/>
      <c r="P2763" s="113" t="n"/>
      <c r="Q2763" s="113" t="n"/>
      <c r="R2763" s="113" t="n"/>
      <c r="S2763" s="113" t="n"/>
      <c r="T2763" s="113" t="n"/>
      <c r="U2763" s="113" t="n"/>
      <c r="V2763" s="113" t="n"/>
      <c r="W2763" s="113" t="n"/>
      <c r="X2763" s="113" t="n"/>
      <c r="Y2763" s="113" t="n"/>
      <c r="Z2763" s="117">
        <f>IF($B2763="",0,IF($S2763="EVET",IF($D2763="GELİR",$O2763,-$O2763),0))</f>
        <v/>
      </c>
      <c r="AA2763" s="117">
        <f>IF($B2763="",0,IF(OR($W2763="EVET",$X2763="EVET",$Y2763="EVET"),0,IF($D2763="GELİR",IF($E2763="SATIŞ İADESİ/İSKONTO",-$O2763,$O2763),-$O2763)))</f>
        <v/>
      </c>
      <c r="AB2763" s="117">
        <f>IF($B2763="","",IF(OR($D2763="",$E2763="",$O2763=""),"EKSİK",IF($O2763&lt;=0,"SIFIR/NEGATİF",IF(COUNTIFS($C$6:$C$5000,$C2763,$O$6:$O$5000,$O2763,$B$6:$B$5000,$B2763)&gt;1,"MÜKERRER","OK"))))</f>
        <v/>
      </c>
    </row>
    <row r="2764" ht="16.5" customHeight="1" s="80">
      <c r="A2764" s="113" t="n"/>
      <c r="B2764" s="113" t="n"/>
      <c r="C2764" s="113" t="n"/>
      <c r="D2764" s="113" t="n"/>
      <c r="E2764" s="113" t="n"/>
      <c r="F2764" s="113" t="n"/>
      <c r="G2764" s="113" t="n"/>
      <c r="H2764" s="113" t="n"/>
      <c r="I2764" s="113" t="n"/>
      <c r="J2764" s="113" t="n"/>
      <c r="K2764" s="113" t="n"/>
      <c r="L2764" s="113" t="n"/>
      <c r="M2764" s="113" t="n"/>
      <c r="N2764" s="113" t="n"/>
      <c r="O2764" s="113" t="n"/>
      <c r="P2764" s="113" t="n"/>
      <c r="Q2764" s="113" t="n"/>
      <c r="R2764" s="113" t="n"/>
      <c r="S2764" s="113" t="n"/>
      <c r="T2764" s="113" t="n"/>
      <c r="U2764" s="113" t="n"/>
      <c r="V2764" s="113" t="n"/>
      <c r="W2764" s="113" t="n"/>
      <c r="X2764" s="113" t="n"/>
      <c r="Y2764" s="113" t="n"/>
      <c r="Z2764" s="117">
        <f>IF($B2764="",0,IF($S2764="EVET",IF($D2764="GELİR",$O2764,-$O2764),0))</f>
        <v/>
      </c>
      <c r="AA2764" s="117">
        <f>IF($B2764="",0,IF(OR($W2764="EVET",$X2764="EVET",$Y2764="EVET"),0,IF($D2764="GELİR",IF($E2764="SATIŞ İADESİ/İSKONTO",-$O2764,$O2764),-$O2764)))</f>
        <v/>
      </c>
      <c r="AB2764" s="117">
        <f>IF($B2764="","",IF(OR($D2764="",$E2764="",$O2764=""),"EKSİK",IF($O2764&lt;=0,"SIFIR/NEGATİF",IF(COUNTIFS($C$6:$C$5000,$C2764,$O$6:$O$5000,$O2764,$B$6:$B$5000,$B2764)&gt;1,"MÜKERRER","OK"))))</f>
        <v/>
      </c>
    </row>
    <row r="2765" ht="16.5" customHeight="1" s="80">
      <c r="A2765" s="113" t="n"/>
      <c r="B2765" s="113" t="n"/>
      <c r="C2765" s="113" t="n"/>
      <c r="D2765" s="113" t="n"/>
      <c r="E2765" s="113" t="n"/>
      <c r="F2765" s="113" t="n"/>
      <c r="G2765" s="113" t="n"/>
      <c r="H2765" s="113" t="n"/>
      <c r="I2765" s="113" t="n"/>
      <c r="J2765" s="113" t="n"/>
      <c r="K2765" s="113" t="n"/>
      <c r="L2765" s="113" t="n"/>
      <c r="M2765" s="113" t="n"/>
      <c r="N2765" s="113" t="n"/>
      <c r="O2765" s="113" t="n"/>
      <c r="P2765" s="113" t="n"/>
      <c r="Q2765" s="113" t="n"/>
      <c r="R2765" s="113" t="n"/>
      <c r="S2765" s="113" t="n"/>
      <c r="T2765" s="113" t="n"/>
      <c r="U2765" s="113" t="n"/>
      <c r="V2765" s="113" t="n"/>
      <c r="W2765" s="113" t="n"/>
      <c r="X2765" s="113" t="n"/>
      <c r="Y2765" s="113" t="n"/>
      <c r="Z2765" s="117">
        <f>IF($B2765="",0,IF($S2765="EVET",IF($D2765="GELİR",$O2765,-$O2765),0))</f>
        <v/>
      </c>
      <c r="AA2765" s="117">
        <f>IF($B2765="",0,IF(OR($W2765="EVET",$X2765="EVET",$Y2765="EVET"),0,IF($D2765="GELİR",IF($E2765="SATIŞ İADESİ/İSKONTO",-$O2765,$O2765),-$O2765)))</f>
        <v/>
      </c>
      <c r="AB2765" s="117">
        <f>IF($B2765="","",IF(OR($D2765="",$E2765="",$O2765=""),"EKSİK",IF($O2765&lt;=0,"SIFIR/NEGATİF",IF(COUNTIFS($C$6:$C$5000,$C2765,$O$6:$O$5000,$O2765,$B$6:$B$5000,$B2765)&gt;1,"MÜKERRER","OK"))))</f>
        <v/>
      </c>
    </row>
    <row r="2766" ht="16.5" customHeight="1" s="80">
      <c r="A2766" s="113" t="n"/>
      <c r="B2766" s="113" t="n"/>
      <c r="C2766" s="113" t="n"/>
      <c r="D2766" s="113" t="n"/>
      <c r="E2766" s="113" t="n"/>
      <c r="F2766" s="113" t="n"/>
      <c r="G2766" s="113" t="n"/>
      <c r="H2766" s="113" t="n"/>
      <c r="I2766" s="113" t="n"/>
      <c r="J2766" s="113" t="n"/>
      <c r="K2766" s="113" t="n"/>
      <c r="L2766" s="113" t="n"/>
      <c r="M2766" s="113" t="n"/>
      <c r="N2766" s="113" t="n"/>
      <c r="O2766" s="113" t="n"/>
      <c r="P2766" s="113" t="n"/>
      <c r="Q2766" s="113" t="n"/>
      <c r="R2766" s="113" t="n"/>
      <c r="S2766" s="113" t="n"/>
      <c r="T2766" s="113" t="n"/>
      <c r="U2766" s="113" t="n"/>
      <c r="V2766" s="113" t="n"/>
      <c r="W2766" s="113" t="n"/>
      <c r="X2766" s="113" t="n"/>
      <c r="Y2766" s="113" t="n"/>
      <c r="Z2766" s="117">
        <f>IF($B2766="",0,IF($S2766="EVET",IF($D2766="GELİR",$O2766,-$O2766),0))</f>
        <v/>
      </c>
      <c r="AA2766" s="117">
        <f>IF($B2766="",0,IF(OR($W2766="EVET",$X2766="EVET",$Y2766="EVET"),0,IF($D2766="GELİR",IF($E2766="SATIŞ İADESİ/İSKONTO",-$O2766,$O2766),-$O2766)))</f>
        <v/>
      </c>
      <c r="AB2766" s="117">
        <f>IF($B2766="","",IF(OR($D2766="",$E2766="",$O2766=""),"EKSİK",IF($O2766&lt;=0,"SIFIR/NEGATİF",IF(COUNTIFS($C$6:$C$5000,$C2766,$O$6:$O$5000,$O2766,$B$6:$B$5000,$B2766)&gt;1,"MÜKERRER","OK"))))</f>
        <v/>
      </c>
    </row>
    <row r="2767" ht="16.5" customHeight="1" s="80">
      <c r="A2767" s="113" t="n"/>
      <c r="B2767" s="113" t="n"/>
      <c r="C2767" s="113" t="n"/>
      <c r="D2767" s="113" t="n"/>
      <c r="E2767" s="113" t="n"/>
      <c r="F2767" s="113" t="n"/>
      <c r="G2767" s="113" t="n"/>
      <c r="H2767" s="113" t="n"/>
      <c r="I2767" s="113" t="n"/>
      <c r="J2767" s="113" t="n"/>
      <c r="K2767" s="113" t="n"/>
      <c r="L2767" s="113" t="n"/>
      <c r="M2767" s="113" t="n"/>
      <c r="N2767" s="113" t="n"/>
      <c r="O2767" s="113" t="n"/>
      <c r="P2767" s="113" t="n"/>
      <c r="Q2767" s="113" t="n"/>
      <c r="R2767" s="113" t="n"/>
      <c r="S2767" s="113" t="n"/>
      <c r="T2767" s="113" t="n"/>
      <c r="U2767" s="113" t="n"/>
      <c r="V2767" s="113" t="n"/>
      <c r="W2767" s="113" t="n"/>
      <c r="X2767" s="113" t="n"/>
      <c r="Y2767" s="113" t="n"/>
      <c r="Z2767" s="117">
        <f>IF($B2767="",0,IF($S2767="EVET",IF($D2767="GELİR",$O2767,-$O2767),0))</f>
        <v/>
      </c>
      <c r="AA2767" s="117">
        <f>IF($B2767="",0,IF(OR($W2767="EVET",$X2767="EVET",$Y2767="EVET"),0,IF($D2767="GELİR",IF($E2767="SATIŞ İADESİ/İSKONTO",-$O2767,$O2767),-$O2767)))</f>
        <v/>
      </c>
      <c r="AB2767" s="117">
        <f>IF($B2767="","",IF(OR($D2767="",$E2767="",$O2767=""),"EKSİK",IF($O2767&lt;=0,"SIFIR/NEGATİF",IF(COUNTIFS($C$6:$C$5000,$C2767,$O$6:$O$5000,$O2767,$B$6:$B$5000,$B2767)&gt;1,"MÜKERRER","OK"))))</f>
        <v/>
      </c>
    </row>
    <row r="2768" ht="16.5" customHeight="1" s="80">
      <c r="A2768" s="113" t="n"/>
      <c r="B2768" s="113" t="n"/>
      <c r="C2768" s="113" t="n"/>
      <c r="D2768" s="113" t="n"/>
      <c r="E2768" s="113" t="n"/>
      <c r="F2768" s="113" t="n"/>
      <c r="G2768" s="113" t="n"/>
      <c r="H2768" s="113" t="n"/>
      <c r="I2768" s="113" t="n"/>
      <c r="J2768" s="113" t="n"/>
      <c r="K2768" s="113" t="n"/>
      <c r="L2768" s="113" t="n"/>
      <c r="M2768" s="113" t="n"/>
      <c r="N2768" s="113" t="n"/>
      <c r="O2768" s="113" t="n"/>
      <c r="P2768" s="113" t="n"/>
      <c r="Q2768" s="113" t="n"/>
      <c r="R2768" s="113" t="n"/>
      <c r="S2768" s="113" t="n"/>
      <c r="T2768" s="113" t="n"/>
      <c r="U2768" s="113" t="n"/>
      <c r="V2768" s="113" t="n"/>
      <c r="W2768" s="113" t="n"/>
      <c r="X2768" s="113" t="n"/>
      <c r="Y2768" s="113" t="n"/>
      <c r="Z2768" s="117">
        <f>IF($B2768="",0,IF($S2768="EVET",IF($D2768="GELİR",$O2768,-$O2768),0))</f>
        <v/>
      </c>
      <c r="AA2768" s="117">
        <f>IF($B2768="",0,IF(OR($W2768="EVET",$X2768="EVET",$Y2768="EVET"),0,IF($D2768="GELİR",IF($E2768="SATIŞ İADESİ/İSKONTO",-$O2768,$O2768),-$O2768)))</f>
        <v/>
      </c>
      <c r="AB2768" s="117">
        <f>IF($B2768="","",IF(OR($D2768="",$E2768="",$O2768=""),"EKSİK",IF($O2768&lt;=0,"SIFIR/NEGATİF",IF(COUNTIFS($C$6:$C$5000,$C2768,$O$6:$O$5000,$O2768,$B$6:$B$5000,$B2768)&gt;1,"MÜKERRER","OK"))))</f>
        <v/>
      </c>
    </row>
    <row r="2769" ht="16.5" customHeight="1" s="80">
      <c r="A2769" s="113" t="n"/>
      <c r="B2769" s="113" t="n"/>
      <c r="C2769" s="113" t="n"/>
      <c r="D2769" s="113" t="n"/>
      <c r="E2769" s="113" t="n"/>
      <c r="F2769" s="113" t="n"/>
      <c r="G2769" s="113" t="n"/>
      <c r="H2769" s="113" t="n"/>
      <c r="I2769" s="113" t="n"/>
      <c r="J2769" s="113" t="n"/>
      <c r="K2769" s="113" t="n"/>
      <c r="L2769" s="113" t="n"/>
      <c r="M2769" s="113" t="n"/>
      <c r="N2769" s="113" t="n"/>
      <c r="O2769" s="113" t="n"/>
      <c r="P2769" s="113" t="n"/>
      <c r="Q2769" s="113" t="n"/>
      <c r="R2769" s="113" t="n"/>
      <c r="S2769" s="113" t="n"/>
      <c r="T2769" s="113" t="n"/>
      <c r="U2769" s="113" t="n"/>
      <c r="V2769" s="113" t="n"/>
      <c r="W2769" s="113" t="n"/>
      <c r="X2769" s="113" t="n"/>
      <c r="Y2769" s="113" t="n"/>
      <c r="Z2769" s="117">
        <f>IF($B2769="",0,IF($S2769="EVET",IF($D2769="GELİR",$O2769,-$O2769),0))</f>
        <v/>
      </c>
      <c r="AA2769" s="117">
        <f>IF($B2769="",0,IF(OR($W2769="EVET",$X2769="EVET",$Y2769="EVET"),0,IF($D2769="GELİR",IF($E2769="SATIŞ İADESİ/İSKONTO",-$O2769,$O2769),-$O2769)))</f>
        <v/>
      </c>
      <c r="AB2769" s="117">
        <f>IF($B2769="","",IF(OR($D2769="",$E2769="",$O2769=""),"EKSİK",IF($O2769&lt;=0,"SIFIR/NEGATİF",IF(COUNTIFS($C$6:$C$5000,$C2769,$O$6:$O$5000,$O2769,$B$6:$B$5000,$B2769)&gt;1,"MÜKERRER","OK"))))</f>
        <v/>
      </c>
    </row>
    <row r="2770" ht="16.5" customHeight="1" s="80">
      <c r="A2770" s="113" t="n"/>
      <c r="B2770" s="113" t="n"/>
      <c r="C2770" s="113" t="n"/>
      <c r="D2770" s="113" t="n"/>
      <c r="E2770" s="113" t="n"/>
      <c r="F2770" s="113" t="n"/>
      <c r="G2770" s="113" t="n"/>
      <c r="H2770" s="113" t="n"/>
      <c r="I2770" s="113" t="n"/>
      <c r="J2770" s="113" t="n"/>
      <c r="K2770" s="113" t="n"/>
      <c r="L2770" s="113" t="n"/>
      <c r="M2770" s="113" t="n"/>
      <c r="N2770" s="113" t="n"/>
      <c r="O2770" s="113" t="n"/>
      <c r="P2770" s="113" t="n"/>
      <c r="Q2770" s="113" t="n"/>
      <c r="R2770" s="113" t="n"/>
      <c r="S2770" s="113" t="n"/>
      <c r="T2770" s="113" t="n"/>
      <c r="U2770" s="113" t="n"/>
      <c r="V2770" s="113" t="n"/>
      <c r="W2770" s="113" t="n"/>
      <c r="X2770" s="113" t="n"/>
      <c r="Y2770" s="113" t="n"/>
      <c r="Z2770" s="117">
        <f>IF($B2770="",0,IF($S2770="EVET",IF($D2770="GELİR",$O2770,-$O2770),0))</f>
        <v/>
      </c>
      <c r="AA2770" s="117">
        <f>IF($B2770="",0,IF(OR($W2770="EVET",$X2770="EVET",$Y2770="EVET"),0,IF($D2770="GELİR",IF($E2770="SATIŞ İADESİ/İSKONTO",-$O2770,$O2770),-$O2770)))</f>
        <v/>
      </c>
      <c r="AB2770" s="117">
        <f>IF($B2770="","",IF(OR($D2770="",$E2770="",$O2770=""),"EKSİK",IF($O2770&lt;=0,"SIFIR/NEGATİF",IF(COUNTIFS($C$6:$C$5000,$C2770,$O$6:$O$5000,$O2770,$B$6:$B$5000,$B2770)&gt;1,"MÜKERRER","OK"))))</f>
        <v/>
      </c>
    </row>
    <row r="2771" ht="16.5" customHeight="1" s="80">
      <c r="A2771" s="113" t="n"/>
      <c r="B2771" s="113" t="n"/>
      <c r="C2771" s="113" t="n"/>
      <c r="D2771" s="113" t="n"/>
      <c r="E2771" s="113" t="n"/>
      <c r="F2771" s="113" t="n"/>
      <c r="G2771" s="113" t="n"/>
      <c r="H2771" s="113" t="n"/>
      <c r="I2771" s="113" t="n"/>
      <c r="J2771" s="113" t="n"/>
      <c r="K2771" s="113" t="n"/>
      <c r="L2771" s="113" t="n"/>
      <c r="M2771" s="113" t="n"/>
      <c r="N2771" s="113" t="n"/>
      <c r="O2771" s="113" t="n"/>
      <c r="P2771" s="113" t="n"/>
      <c r="Q2771" s="113" t="n"/>
      <c r="R2771" s="113" t="n"/>
      <c r="S2771" s="113" t="n"/>
      <c r="T2771" s="113" t="n"/>
      <c r="U2771" s="113" t="n"/>
      <c r="V2771" s="113" t="n"/>
      <c r="W2771" s="113" t="n"/>
      <c r="X2771" s="113" t="n"/>
      <c r="Y2771" s="113" t="n"/>
      <c r="Z2771" s="117">
        <f>IF($B2771="",0,IF($S2771="EVET",IF($D2771="GELİR",$O2771,-$O2771),0))</f>
        <v/>
      </c>
      <c r="AA2771" s="117">
        <f>IF($B2771="",0,IF(OR($W2771="EVET",$X2771="EVET",$Y2771="EVET"),0,IF($D2771="GELİR",IF($E2771="SATIŞ İADESİ/İSKONTO",-$O2771,$O2771),-$O2771)))</f>
        <v/>
      </c>
      <c r="AB2771" s="117">
        <f>IF($B2771="","",IF(OR($D2771="",$E2771="",$O2771=""),"EKSİK",IF($O2771&lt;=0,"SIFIR/NEGATİF",IF(COUNTIFS($C$6:$C$5000,$C2771,$O$6:$O$5000,$O2771,$B$6:$B$5000,$B2771)&gt;1,"MÜKERRER","OK"))))</f>
        <v/>
      </c>
    </row>
    <row r="2772" ht="16.5" customHeight="1" s="80">
      <c r="A2772" s="113" t="n"/>
      <c r="B2772" s="113" t="n"/>
      <c r="C2772" s="113" t="n"/>
      <c r="D2772" s="113" t="n"/>
      <c r="E2772" s="113" t="n"/>
      <c r="F2772" s="113" t="n"/>
      <c r="G2772" s="113" t="n"/>
      <c r="H2772" s="113" t="n"/>
      <c r="I2772" s="113" t="n"/>
      <c r="J2772" s="113" t="n"/>
      <c r="K2772" s="113" t="n"/>
      <c r="L2772" s="113" t="n"/>
      <c r="M2772" s="113" t="n"/>
      <c r="N2772" s="113" t="n"/>
      <c r="O2772" s="113" t="n"/>
      <c r="P2772" s="113" t="n"/>
      <c r="Q2772" s="113" t="n"/>
      <c r="R2772" s="113" t="n"/>
      <c r="S2772" s="113" t="n"/>
      <c r="T2772" s="113" t="n"/>
      <c r="U2772" s="113" t="n"/>
      <c r="V2772" s="113" t="n"/>
      <c r="W2772" s="113" t="n"/>
      <c r="X2772" s="113" t="n"/>
      <c r="Y2772" s="113" t="n"/>
      <c r="Z2772" s="117">
        <f>IF($B2772="",0,IF($S2772="EVET",IF($D2772="GELİR",$O2772,-$O2772),0))</f>
        <v/>
      </c>
      <c r="AA2772" s="117">
        <f>IF($B2772="",0,IF(OR($W2772="EVET",$X2772="EVET",$Y2772="EVET"),0,IF($D2772="GELİR",IF($E2772="SATIŞ İADESİ/İSKONTO",-$O2772,$O2772),-$O2772)))</f>
        <v/>
      </c>
      <c r="AB2772" s="117">
        <f>IF($B2772="","",IF(OR($D2772="",$E2772="",$O2772=""),"EKSİK",IF($O2772&lt;=0,"SIFIR/NEGATİF",IF(COUNTIFS($C$6:$C$5000,$C2772,$O$6:$O$5000,$O2772,$B$6:$B$5000,$B2772)&gt;1,"MÜKERRER","OK"))))</f>
        <v/>
      </c>
    </row>
    <row r="2773" ht="16.5" customHeight="1" s="80">
      <c r="A2773" s="113" t="n"/>
      <c r="B2773" s="113" t="n"/>
      <c r="C2773" s="113" t="n"/>
      <c r="D2773" s="113" t="n"/>
      <c r="E2773" s="113" t="n"/>
      <c r="F2773" s="113" t="n"/>
      <c r="G2773" s="113" t="n"/>
      <c r="H2773" s="113" t="n"/>
      <c r="I2773" s="113" t="n"/>
      <c r="J2773" s="113" t="n"/>
      <c r="K2773" s="113" t="n"/>
      <c r="L2773" s="113" t="n"/>
      <c r="M2773" s="113" t="n"/>
      <c r="N2773" s="113" t="n"/>
      <c r="O2773" s="113" t="n"/>
      <c r="P2773" s="113" t="n"/>
      <c r="Q2773" s="113" t="n"/>
      <c r="R2773" s="113" t="n"/>
      <c r="S2773" s="113" t="n"/>
      <c r="T2773" s="113" t="n"/>
      <c r="U2773" s="113" t="n"/>
      <c r="V2773" s="113" t="n"/>
      <c r="W2773" s="113" t="n"/>
      <c r="X2773" s="113" t="n"/>
      <c r="Y2773" s="113" t="n"/>
      <c r="Z2773" s="117">
        <f>IF($B2773="",0,IF($S2773="EVET",IF($D2773="GELİR",$O2773,-$O2773),0))</f>
        <v/>
      </c>
      <c r="AA2773" s="117">
        <f>IF($B2773="",0,IF(OR($W2773="EVET",$X2773="EVET",$Y2773="EVET"),0,IF($D2773="GELİR",IF($E2773="SATIŞ İADESİ/İSKONTO",-$O2773,$O2773),-$O2773)))</f>
        <v/>
      </c>
      <c r="AB2773" s="117">
        <f>IF($B2773="","",IF(OR($D2773="",$E2773="",$O2773=""),"EKSİK",IF($O2773&lt;=0,"SIFIR/NEGATİF",IF(COUNTIFS($C$6:$C$5000,$C2773,$O$6:$O$5000,$O2773,$B$6:$B$5000,$B2773)&gt;1,"MÜKERRER","OK"))))</f>
        <v/>
      </c>
    </row>
    <row r="2774" ht="16.5" customHeight="1" s="80">
      <c r="A2774" s="113" t="n"/>
      <c r="B2774" s="113" t="n"/>
      <c r="C2774" s="113" t="n"/>
      <c r="D2774" s="113" t="n"/>
      <c r="E2774" s="113" t="n"/>
      <c r="F2774" s="113" t="n"/>
      <c r="G2774" s="113" t="n"/>
      <c r="H2774" s="113" t="n"/>
      <c r="I2774" s="113" t="n"/>
      <c r="J2774" s="113" t="n"/>
      <c r="K2774" s="113" t="n"/>
      <c r="L2774" s="113" t="n"/>
      <c r="M2774" s="113" t="n"/>
      <c r="N2774" s="113" t="n"/>
      <c r="O2774" s="113" t="n"/>
      <c r="P2774" s="113" t="n"/>
      <c r="Q2774" s="113" t="n"/>
      <c r="R2774" s="113" t="n"/>
      <c r="S2774" s="113" t="n"/>
      <c r="T2774" s="113" t="n"/>
      <c r="U2774" s="113" t="n"/>
      <c r="V2774" s="113" t="n"/>
      <c r="W2774" s="113" t="n"/>
      <c r="X2774" s="113" t="n"/>
      <c r="Y2774" s="113" t="n"/>
      <c r="Z2774" s="117">
        <f>IF($B2774="",0,IF($S2774="EVET",IF($D2774="GELİR",$O2774,-$O2774),0))</f>
        <v/>
      </c>
      <c r="AA2774" s="117">
        <f>IF($B2774="",0,IF(OR($W2774="EVET",$X2774="EVET",$Y2774="EVET"),0,IF($D2774="GELİR",IF($E2774="SATIŞ İADESİ/İSKONTO",-$O2774,$O2774),-$O2774)))</f>
        <v/>
      </c>
      <c r="AB2774" s="117">
        <f>IF($B2774="","",IF(OR($D2774="",$E2774="",$O2774=""),"EKSİK",IF($O2774&lt;=0,"SIFIR/NEGATİF",IF(COUNTIFS($C$6:$C$5000,$C2774,$O$6:$O$5000,$O2774,$B$6:$B$5000,$B2774)&gt;1,"MÜKERRER","OK"))))</f>
        <v/>
      </c>
    </row>
    <row r="2775" ht="16.5" customHeight="1" s="80">
      <c r="A2775" s="113" t="n"/>
      <c r="B2775" s="113" t="n"/>
      <c r="C2775" s="113" t="n"/>
      <c r="D2775" s="113" t="n"/>
      <c r="E2775" s="113" t="n"/>
      <c r="F2775" s="113" t="n"/>
      <c r="G2775" s="113" t="n"/>
      <c r="H2775" s="113" t="n"/>
      <c r="I2775" s="113" t="n"/>
      <c r="J2775" s="113" t="n"/>
      <c r="K2775" s="113" t="n"/>
      <c r="L2775" s="113" t="n"/>
      <c r="M2775" s="113" t="n"/>
      <c r="N2775" s="113" t="n"/>
      <c r="O2775" s="113" t="n"/>
      <c r="P2775" s="113" t="n"/>
      <c r="Q2775" s="113" t="n"/>
      <c r="R2775" s="113" t="n"/>
      <c r="S2775" s="113" t="n"/>
      <c r="T2775" s="113" t="n"/>
      <c r="U2775" s="113" t="n"/>
      <c r="V2775" s="113" t="n"/>
      <c r="W2775" s="113" t="n"/>
      <c r="X2775" s="113" t="n"/>
      <c r="Y2775" s="113" t="n"/>
      <c r="Z2775" s="117">
        <f>IF($B2775="",0,IF($S2775="EVET",IF($D2775="GELİR",$O2775,-$O2775),0))</f>
        <v/>
      </c>
      <c r="AA2775" s="117">
        <f>IF($B2775="",0,IF(OR($W2775="EVET",$X2775="EVET",$Y2775="EVET"),0,IF($D2775="GELİR",IF($E2775="SATIŞ İADESİ/İSKONTO",-$O2775,$O2775),-$O2775)))</f>
        <v/>
      </c>
      <c r="AB2775" s="117">
        <f>IF($B2775="","",IF(OR($D2775="",$E2775="",$O2775=""),"EKSİK",IF($O2775&lt;=0,"SIFIR/NEGATİF",IF(COUNTIFS($C$6:$C$5000,$C2775,$O$6:$O$5000,$O2775,$B$6:$B$5000,$B2775)&gt;1,"MÜKERRER","OK"))))</f>
        <v/>
      </c>
    </row>
    <row r="2776" ht="16.5" customHeight="1" s="80">
      <c r="A2776" s="113" t="n"/>
      <c r="B2776" s="113" t="n"/>
      <c r="C2776" s="113" t="n"/>
      <c r="D2776" s="113" t="n"/>
      <c r="E2776" s="113" t="n"/>
      <c r="F2776" s="113" t="n"/>
      <c r="G2776" s="113" t="n"/>
      <c r="H2776" s="113" t="n"/>
      <c r="I2776" s="113" t="n"/>
      <c r="J2776" s="113" t="n"/>
      <c r="K2776" s="113" t="n"/>
      <c r="L2776" s="113" t="n"/>
      <c r="M2776" s="113" t="n"/>
      <c r="N2776" s="113" t="n"/>
      <c r="O2776" s="113" t="n"/>
      <c r="P2776" s="113" t="n"/>
      <c r="Q2776" s="113" t="n"/>
      <c r="R2776" s="113" t="n"/>
      <c r="S2776" s="113" t="n"/>
      <c r="T2776" s="113" t="n"/>
      <c r="U2776" s="113" t="n"/>
      <c r="V2776" s="113" t="n"/>
      <c r="W2776" s="113" t="n"/>
      <c r="X2776" s="113" t="n"/>
      <c r="Y2776" s="113" t="n"/>
      <c r="Z2776" s="117">
        <f>IF($B2776="",0,IF($S2776="EVET",IF($D2776="GELİR",$O2776,-$O2776),0))</f>
        <v/>
      </c>
      <c r="AA2776" s="117">
        <f>IF($B2776="",0,IF(OR($W2776="EVET",$X2776="EVET",$Y2776="EVET"),0,IF($D2776="GELİR",IF($E2776="SATIŞ İADESİ/İSKONTO",-$O2776,$O2776),-$O2776)))</f>
        <v/>
      </c>
      <c r="AB2776" s="117">
        <f>IF($B2776="","",IF(OR($D2776="",$E2776="",$O2776=""),"EKSİK",IF($O2776&lt;=0,"SIFIR/NEGATİF",IF(COUNTIFS($C$6:$C$5000,$C2776,$O$6:$O$5000,$O2776,$B$6:$B$5000,$B2776)&gt;1,"MÜKERRER","OK"))))</f>
        <v/>
      </c>
    </row>
    <row r="2777" ht="16.5" customHeight="1" s="80">
      <c r="A2777" s="113" t="n"/>
      <c r="B2777" s="113" t="n"/>
      <c r="C2777" s="113" t="n"/>
      <c r="D2777" s="113" t="n"/>
      <c r="E2777" s="113" t="n"/>
      <c r="F2777" s="113" t="n"/>
      <c r="G2777" s="113" t="n"/>
      <c r="H2777" s="113" t="n"/>
      <c r="I2777" s="113" t="n"/>
      <c r="J2777" s="113" t="n"/>
      <c r="K2777" s="113" t="n"/>
      <c r="L2777" s="113" t="n"/>
      <c r="M2777" s="113" t="n"/>
      <c r="N2777" s="113" t="n"/>
      <c r="O2777" s="113" t="n"/>
      <c r="P2777" s="113" t="n"/>
      <c r="Q2777" s="113" t="n"/>
      <c r="R2777" s="113" t="n"/>
      <c r="S2777" s="113" t="n"/>
      <c r="T2777" s="113" t="n"/>
      <c r="U2777" s="113" t="n"/>
      <c r="V2777" s="113" t="n"/>
      <c r="W2777" s="113" t="n"/>
      <c r="X2777" s="113" t="n"/>
      <c r="Y2777" s="113" t="n"/>
      <c r="Z2777" s="117">
        <f>IF($B2777="",0,IF($S2777="EVET",IF($D2777="GELİR",$O2777,-$O2777),0))</f>
        <v/>
      </c>
      <c r="AA2777" s="117">
        <f>IF($B2777="",0,IF(OR($W2777="EVET",$X2777="EVET",$Y2777="EVET"),0,IF($D2777="GELİR",IF($E2777="SATIŞ İADESİ/İSKONTO",-$O2777,$O2777),-$O2777)))</f>
        <v/>
      </c>
      <c r="AB2777" s="117">
        <f>IF($B2777="","",IF(OR($D2777="",$E2777="",$O2777=""),"EKSİK",IF($O2777&lt;=0,"SIFIR/NEGATİF",IF(COUNTIFS($C$6:$C$5000,$C2777,$O$6:$O$5000,$O2777,$B$6:$B$5000,$B2777)&gt;1,"MÜKERRER","OK"))))</f>
        <v/>
      </c>
    </row>
    <row r="2778" ht="16.5" customHeight="1" s="80">
      <c r="A2778" s="113" t="n"/>
      <c r="B2778" s="113" t="n"/>
      <c r="C2778" s="113" t="n"/>
      <c r="D2778" s="113" t="n"/>
      <c r="E2778" s="113" t="n"/>
      <c r="F2778" s="113" t="n"/>
      <c r="G2778" s="113" t="n"/>
      <c r="H2778" s="113" t="n"/>
      <c r="I2778" s="113" t="n"/>
      <c r="J2778" s="113" t="n"/>
      <c r="K2778" s="113" t="n"/>
      <c r="L2778" s="113" t="n"/>
      <c r="M2778" s="113" t="n"/>
      <c r="N2778" s="113" t="n"/>
      <c r="O2778" s="113" t="n"/>
      <c r="P2778" s="113" t="n"/>
      <c r="Q2778" s="113" t="n"/>
      <c r="R2778" s="113" t="n"/>
      <c r="S2778" s="113" t="n"/>
      <c r="T2778" s="113" t="n"/>
      <c r="U2778" s="113" t="n"/>
      <c r="V2778" s="113" t="n"/>
      <c r="W2778" s="113" t="n"/>
      <c r="X2778" s="113" t="n"/>
      <c r="Y2778" s="113" t="n"/>
      <c r="Z2778" s="117">
        <f>IF($B2778="",0,IF($S2778="EVET",IF($D2778="GELİR",$O2778,-$O2778),0))</f>
        <v/>
      </c>
      <c r="AA2778" s="117">
        <f>IF($B2778="",0,IF(OR($W2778="EVET",$X2778="EVET",$Y2778="EVET"),0,IF($D2778="GELİR",IF($E2778="SATIŞ İADESİ/İSKONTO",-$O2778,$O2778),-$O2778)))</f>
        <v/>
      </c>
      <c r="AB2778" s="117">
        <f>IF($B2778="","",IF(OR($D2778="",$E2778="",$O2778=""),"EKSİK",IF($O2778&lt;=0,"SIFIR/NEGATİF",IF(COUNTIFS($C$6:$C$5000,$C2778,$O$6:$O$5000,$O2778,$B$6:$B$5000,$B2778)&gt;1,"MÜKERRER","OK"))))</f>
        <v/>
      </c>
    </row>
    <row r="2779" ht="16.5" customHeight="1" s="80">
      <c r="A2779" s="113" t="n"/>
      <c r="B2779" s="113" t="n"/>
      <c r="C2779" s="113" t="n"/>
      <c r="D2779" s="113" t="n"/>
      <c r="E2779" s="113" t="n"/>
      <c r="F2779" s="113" t="n"/>
      <c r="G2779" s="113" t="n"/>
      <c r="H2779" s="113" t="n"/>
      <c r="I2779" s="113" t="n"/>
      <c r="J2779" s="113" t="n"/>
      <c r="K2779" s="113" t="n"/>
      <c r="L2779" s="113" t="n"/>
      <c r="M2779" s="113" t="n"/>
      <c r="N2779" s="113" t="n"/>
      <c r="O2779" s="113" t="n"/>
      <c r="P2779" s="113" t="n"/>
      <c r="Q2779" s="113" t="n"/>
      <c r="R2779" s="113" t="n"/>
      <c r="S2779" s="113" t="n"/>
      <c r="T2779" s="113" t="n"/>
      <c r="U2779" s="113" t="n"/>
      <c r="V2779" s="113" t="n"/>
      <c r="W2779" s="113" t="n"/>
      <c r="X2779" s="113" t="n"/>
      <c r="Y2779" s="113" t="n"/>
      <c r="Z2779" s="117">
        <f>IF($B2779="",0,IF($S2779="EVET",IF($D2779="GELİR",$O2779,-$O2779),0))</f>
        <v/>
      </c>
      <c r="AA2779" s="117">
        <f>IF($B2779="",0,IF(OR($W2779="EVET",$X2779="EVET",$Y2779="EVET"),0,IF($D2779="GELİR",IF($E2779="SATIŞ İADESİ/İSKONTO",-$O2779,$O2779),-$O2779)))</f>
        <v/>
      </c>
      <c r="AB2779" s="117">
        <f>IF($B2779="","",IF(OR($D2779="",$E2779="",$O2779=""),"EKSİK",IF($O2779&lt;=0,"SIFIR/NEGATİF",IF(COUNTIFS($C$6:$C$5000,$C2779,$O$6:$O$5000,$O2779,$B$6:$B$5000,$B2779)&gt;1,"MÜKERRER","OK"))))</f>
        <v/>
      </c>
    </row>
    <row r="2780" ht="16.5" customHeight="1" s="80">
      <c r="A2780" s="113" t="n"/>
      <c r="B2780" s="113" t="n"/>
      <c r="C2780" s="113" t="n"/>
      <c r="D2780" s="113" t="n"/>
      <c r="E2780" s="113" t="n"/>
      <c r="F2780" s="113" t="n"/>
      <c r="G2780" s="113" t="n"/>
      <c r="H2780" s="113" t="n"/>
      <c r="I2780" s="113" t="n"/>
      <c r="J2780" s="113" t="n"/>
      <c r="K2780" s="113" t="n"/>
      <c r="L2780" s="113" t="n"/>
      <c r="M2780" s="113" t="n"/>
      <c r="N2780" s="113" t="n"/>
      <c r="O2780" s="113" t="n"/>
      <c r="P2780" s="113" t="n"/>
      <c r="Q2780" s="113" t="n"/>
      <c r="R2780" s="113" t="n"/>
      <c r="S2780" s="113" t="n"/>
      <c r="T2780" s="113" t="n"/>
      <c r="U2780" s="113" t="n"/>
      <c r="V2780" s="113" t="n"/>
      <c r="W2780" s="113" t="n"/>
      <c r="X2780" s="113" t="n"/>
      <c r="Y2780" s="113" t="n"/>
      <c r="Z2780" s="117">
        <f>IF($B2780="",0,IF($S2780="EVET",IF($D2780="GELİR",$O2780,-$O2780),0))</f>
        <v/>
      </c>
      <c r="AA2780" s="117">
        <f>IF($B2780="",0,IF(OR($W2780="EVET",$X2780="EVET",$Y2780="EVET"),0,IF($D2780="GELİR",IF($E2780="SATIŞ İADESİ/İSKONTO",-$O2780,$O2780),-$O2780)))</f>
        <v/>
      </c>
      <c r="AB2780" s="117">
        <f>IF($B2780="","",IF(OR($D2780="",$E2780="",$O2780=""),"EKSİK",IF($O2780&lt;=0,"SIFIR/NEGATİF",IF(COUNTIFS($C$6:$C$5000,$C2780,$O$6:$O$5000,$O2780,$B$6:$B$5000,$B2780)&gt;1,"MÜKERRER","OK"))))</f>
        <v/>
      </c>
    </row>
    <row r="2781" ht="16.5" customHeight="1" s="80">
      <c r="A2781" s="113" t="n"/>
      <c r="B2781" s="113" t="n"/>
      <c r="C2781" s="113" t="n"/>
      <c r="D2781" s="113" t="n"/>
      <c r="E2781" s="113" t="n"/>
      <c r="F2781" s="113" t="n"/>
      <c r="G2781" s="113" t="n"/>
      <c r="H2781" s="113" t="n"/>
      <c r="I2781" s="113" t="n"/>
      <c r="J2781" s="113" t="n"/>
      <c r="K2781" s="113" t="n"/>
      <c r="L2781" s="113" t="n"/>
      <c r="M2781" s="113" t="n"/>
      <c r="N2781" s="113" t="n"/>
      <c r="O2781" s="113" t="n"/>
      <c r="P2781" s="113" t="n"/>
      <c r="Q2781" s="113" t="n"/>
      <c r="R2781" s="113" t="n"/>
      <c r="S2781" s="113" t="n"/>
      <c r="T2781" s="113" t="n"/>
      <c r="U2781" s="113" t="n"/>
      <c r="V2781" s="113" t="n"/>
      <c r="W2781" s="113" t="n"/>
      <c r="X2781" s="113" t="n"/>
      <c r="Y2781" s="113" t="n"/>
      <c r="Z2781" s="117">
        <f>IF($B2781="",0,IF($S2781="EVET",IF($D2781="GELİR",$O2781,-$O2781),0))</f>
        <v/>
      </c>
      <c r="AA2781" s="117">
        <f>IF($B2781="",0,IF(OR($W2781="EVET",$X2781="EVET",$Y2781="EVET"),0,IF($D2781="GELİR",IF($E2781="SATIŞ İADESİ/İSKONTO",-$O2781,$O2781),-$O2781)))</f>
        <v/>
      </c>
      <c r="AB2781" s="117">
        <f>IF($B2781="","",IF(OR($D2781="",$E2781="",$O2781=""),"EKSİK",IF($O2781&lt;=0,"SIFIR/NEGATİF",IF(COUNTIFS($C$6:$C$5000,$C2781,$O$6:$O$5000,$O2781,$B$6:$B$5000,$B2781)&gt;1,"MÜKERRER","OK"))))</f>
        <v/>
      </c>
    </row>
    <row r="2782" ht="16.5" customHeight="1" s="80">
      <c r="A2782" s="113" t="n"/>
      <c r="B2782" s="113" t="n"/>
      <c r="C2782" s="113" t="n"/>
      <c r="D2782" s="113" t="n"/>
      <c r="E2782" s="113" t="n"/>
      <c r="F2782" s="113" t="n"/>
      <c r="G2782" s="113" t="n"/>
      <c r="H2782" s="113" t="n"/>
      <c r="I2782" s="113" t="n"/>
      <c r="J2782" s="113" t="n"/>
      <c r="K2782" s="113" t="n"/>
      <c r="L2782" s="113" t="n"/>
      <c r="M2782" s="113" t="n"/>
      <c r="N2782" s="113" t="n"/>
      <c r="O2782" s="113" t="n"/>
      <c r="P2782" s="113" t="n"/>
      <c r="Q2782" s="113" t="n"/>
      <c r="R2782" s="113" t="n"/>
      <c r="S2782" s="113" t="n"/>
      <c r="T2782" s="113" t="n"/>
      <c r="U2782" s="113" t="n"/>
      <c r="V2782" s="113" t="n"/>
      <c r="W2782" s="113" t="n"/>
      <c r="X2782" s="113" t="n"/>
      <c r="Y2782" s="113" t="n"/>
      <c r="Z2782" s="117">
        <f>IF($B2782="",0,IF($S2782="EVET",IF($D2782="GELİR",$O2782,-$O2782),0))</f>
        <v/>
      </c>
      <c r="AA2782" s="117">
        <f>IF($B2782="",0,IF(OR($W2782="EVET",$X2782="EVET",$Y2782="EVET"),0,IF($D2782="GELİR",IF($E2782="SATIŞ İADESİ/İSKONTO",-$O2782,$O2782),-$O2782)))</f>
        <v/>
      </c>
      <c r="AB2782" s="117">
        <f>IF($B2782="","",IF(OR($D2782="",$E2782="",$O2782=""),"EKSİK",IF($O2782&lt;=0,"SIFIR/NEGATİF",IF(COUNTIFS($C$6:$C$5000,$C2782,$O$6:$O$5000,$O2782,$B$6:$B$5000,$B2782)&gt;1,"MÜKERRER","OK"))))</f>
        <v/>
      </c>
    </row>
    <row r="2783" ht="16.5" customHeight="1" s="80">
      <c r="A2783" s="113" t="n"/>
      <c r="B2783" s="113" t="n"/>
      <c r="C2783" s="113" t="n"/>
      <c r="D2783" s="113" t="n"/>
      <c r="E2783" s="113" t="n"/>
      <c r="F2783" s="113" t="n"/>
      <c r="G2783" s="113" t="n"/>
      <c r="H2783" s="113" t="n"/>
      <c r="I2783" s="113" t="n"/>
      <c r="J2783" s="113" t="n"/>
      <c r="K2783" s="113" t="n"/>
      <c r="L2783" s="113" t="n"/>
      <c r="M2783" s="113" t="n"/>
      <c r="N2783" s="113" t="n"/>
      <c r="O2783" s="113" t="n"/>
      <c r="P2783" s="113" t="n"/>
      <c r="Q2783" s="113" t="n"/>
      <c r="R2783" s="113" t="n"/>
      <c r="S2783" s="113" t="n"/>
      <c r="T2783" s="113" t="n"/>
      <c r="U2783" s="113" t="n"/>
      <c r="V2783" s="113" t="n"/>
      <c r="W2783" s="113" t="n"/>
      <c r="X2783" s="113" t="n"/>
      <c r="Y2783" s="113" t="n"/>
      <c r="Z2783" s="117">
        <f>IF($B2783="",0,IF($S2783="EVET",IF($D2783="GELİR",$O2783,-$O2783),0))</f>
        <v/>
      </c>
      <c r="AA2783" s="117">
        <f>IF($B2783="",0,IF(OR($W2783="EVET",$X2783="EVET",$Y2783="EVET"),0,IF($D2783="GELİR",IF($E2783="SATIŞ İADESİ/İSKONTO",-$O2783,$O2783),-$O2783)))</f>
        <v/>
      </c>
      <c r="AB2783" s="117">
        <f>IF($B2783="","",IF(OR($D2783="",$E2783="",$O2783=""),"EKSİK",IF($O2783&lt;=0,"SIFIR/NEGATİF",IF(COUNTIFS($C$6:$C$5000,$C2783,$O$6:$O$5000,$O2783,$B$6:$B$5000,$B2783)&gt;1,"MÜKERRER","OK"))))</f>
        <v/>
      </c>
    </row>
    <row r="2784" ht="16.5" customHeight="1" s="80">
      <c r="A2784" s="113" t="n"/>
      <c r="B2784" s="113" t="n"/>
      <c r="C2784" s="113" t="n"/>
      <c r="D2784" s="113" t="n"/>
      <c r="E2784" s="113" t="n"/>
      <c r="F2784" s="113" t="n"/>
      <c r="G2784" s="113" t="n"/>
      <c r="H2784" s="113" t="n"/>
      <c r="I2784" s="113" t="n"/>
      <c r="J2784" s="113" t="n"/>
      <c r="K2784" s="113" t="n"/>
      <c r="L2784" s="113" t="n"/>
      <c r="M2784" s="113" t="n"/>
      <c r="N2784" s="113" t="n"/>
      <c r="O2784" s="113" t="n"/>
      <c r="P2784" s="113" t="n"/>
      <c r="Q2784" s="113" t="n"/>
      <c r="R2784" s="113" t="n"/>
      <c r="S2784" s="113" t="n"/>
      <c r="T2784" s="113" t="n"/>
      <c r="U2784" s="113" t="n"/>
      <c r="V2784" s="113" t="n"/>
      <c r="W2784" s="113" t="n"/>
      <c r="X2784" s="113" t="n"/>
      <c r="Y2784" s="113" t="n"/>
      <c r="Z2784" s="117">
        <f>IF($B2784="",0,IF($S2784="EVET",IF($D2784="GELİR",$O2784,-$O2784),0))</f>
        <v/>
      </c>
      <c r="AA2784" s="117">
        <f>IF($B2784="",0,IF(OR($W2784="EVET",$X2784="EVET",$Y2784="EVET"),0,IF($D2784="GELİR",IF($E2784="SATIŞ İADESİ/İSKONTO",-$O2784,$O2784),-$O2784)))</f>
        <v/>
      </c>
      <c r="AB2784" s="117">
        <f>IF($B2784="","",IF(OR($D2784="",$E2784="",$O2784=""),"EKSİK",IF($O2784&lt;=0,"SIFIR/NEGATİF",IF(COUNTIFS($C$6:$C$5000,$C2784,$O$6:$O$5000,$O2784,$B$6:$B$5000,$B2784)&gt;1,"MÜKERRER","OK"))))</f>
        <v/>
      </c>
    </row>
    <row r="2785" ht="16.5" customHeight="1" s="80">
      <c r="A2785" s="113" t="n"/>
      <c r="B2785" s="113" t="n"/>
      <c r="C2785" s="113" t="n"/>
      <c r="D2785" s="113" t="n"/>
      <c r="E2785" s="113" t="n"/>
      <c r="F2785" s="113" t="n"/>
      <c r="G2785" s="113" t="n"/>
      <c r="H2785" s="113" t="n"/>
      <c r="I2785" s="113" t="n"/>
      <c r="J2785" s="113" t="n"/>
      <c r="K2785" s="113" t="n"/>
      <c r="L2785" s="113" t="n"/>
      <c r="M2785" s="113" t="n"/>
      <c r="N2785" s="113" t="n"/>
      <c r="O2785" s="113" t="n"/>
      <c r="P2785" s="113" t="n"/>
      <c r="Q2785" s="113" t="n"/>
      <c r="R2785" s="113" t="n"/>
      <c r="S2785" s="113" t="n"/>
      <c r="T2785" s="113" t="n"/>
      <c r="U2785" s="113" t="n"/>
      <c r="V2785" s="113" t="n"/>
      <c r="W2785" s="113" t="n"/>
      <c r="X2785" s="113" t="n"/>
      <c r="Y2785" s="113" t="n"/>
      <c r="Z2785" s="117">
        <f>IF($B2785="",0,IF($S2785="EVET",IF($D2785="GELİR",$O2785,-$O2785),0))</f>
        <v/>
      </c>
      <c r="AA2785" s="117">
        <f>IF($B2785="",0,IF(OR($W2785="EVET",$X2785="EVET",$Y2785="EVET"),0,IF($D2785="GELİR",IF($E2785="SATIŞ İADESİ/İSKONTO",-$O2785,$O2785),-$O2785)))</f>
        <v/>
      </c>
      <c r="AB2785" s="117">
        <f>IF($B2785="","",IF(OR($D2785="",$E2785="",$O2785=""),"EKSİK",IF($O2785&lt;=0,"SIFIR/NEGATİF",IF(COUNTIFS($C$6:$C$5000,$C2785,$O$6:$O$5000,$O2785,$B$6:$B$5000,$B2785)&gt;1,"MÜKERRER","OK"))))</f>
        <v/>
      </c>
    </row>
    <row r="2786" ht="16.5" customHeight="1" s="80">
      <c r="A2786" s="113" t="n"/>
      <c r="B2786" s="113" t="n"/>
      <c r="C2786" s="113" t="n"/>
      <c r="D2786" s="113" t="n"/>
      <c r="E2786" s="113" t="n"/>
      <c r="F2786" s="113" t="n"/>
      <c r="G2786" s="113" t="n"/>
      <c r="H2786" s="113" t="n"/>
      <c r="I2786" s="113" t="n"/>
      <c r="J2786" s="113" t="n"/>
      <c r="K2786" s="113" t="n"/>
      <c r="L2786" s="113" t="n"/>
      <c r="M2786" s="113" t="n"/>
      <c r="N2786" s="113" t="n"/>
      <c r="O2786" s="113" t="n"/>
      <c r="P2786" s="113" t="n"/>
      <c r="Q2786" s="113" t="n"/>
      <c r="R2786" s="113" t="n"/>
      <c r="S2786" s="113" t="n"/>
      <c r="T2786" s="113" t="n"/>
      <c r="U2786" s="113" t="n"/>
      <c r="V2786" s="113" t="n"/>
      <c r="W2786" s="113" t="n"/>
      <c r="X2786" s="113" t="n"/>
      <c r="Y2786" s="113" t="n"/>
      <c r="Z2786" s="117">
        <f>IF($B2786="",0,IF($S2786="EVET",IF($D2786="GELİR",$O2786,-$O2786),0))</f>
        <v/>
      </c>
      <c r="AA2786" s="117">
        <f>IF($B2786="",0,IF(OR($W2786="EVET",$X2786="EVET",$Y2786="EVET"),0,IF($D2786="GELİR",IF($E2786="SATIŞ İADESİ/İSKONTO",-$O2786,$O2786),-$O2786)))</f>
        <v/>
      </c>
      <c r="AB2786" s="117">
        <f>IF($B2786="","",IF(OR($D2786="",$E2786="",$O2786=""),"EKSİK",IF($O2786&lt;=0,"SIFIR/NEGATİF",IF(COUNTIFS($C$6:$C$5000,$C2786,$O$6:$O$5000,$O2786,$B$6:$B$5000,$B2786)&gt;1,"MÜKERRER","OK"))))</f>
        <v/>
      </c>
    </row>
    <row r="2787" ht="16.5" customHeight="1" s="80">
      <c r="A2787" s="113" t="n"/>
      <c r="B2787" s="113" t="n"/>
      <c r="C2787" s="113" t="n"/>
      <c r="D2787" s="113" t="n"/>
      <c r="E2787" s="113" t="n"/>
      <c r="F2787" s="113" t="n"/>
      <c r="G2787" s="113" t="n"/>
      <c r="H2787" s="113" t="n"/>
      <c r="I2787" s="113" t="n"/>
      <c r="J2787" s="113" t="n"/>
      <c r="K2787" s="113" t="n"/>
      <c r="L2787" s="113" t="n"/>
      <c r="M2787" s="113" t="n"/>
      <c r="N2787" s="113" t="n"/>
      <c r="O2787" s="113" t="n"/>
      <c r="P2787" s="113" t="n"/>
      <c r="Q2787" s="113" t="n"/>
      <c r="R2787" s="113" t="n"/>
      <c r="S2787" s="113" t="n"/>
      <c r="T2787" s="113" t="n"/>
      <c r="U2787" s="113" t="n"/>
      <c r="V2787" s="113" t="n"/>
      <c r="W2787" s="113" t="n"/>
      <c r="X2787" s="113" t="n"/>
      <c r="Y2787" s="113" t="n"/>
      <c r="Z2787" s="117">
        <f>IF($B2787="",0,IF($S2787="EVET",IF($D2787="GELİR",$O2787,-$O2787),0))</f>
        <v/>
      </c>
      <c r="AA2787" s="117">
        <f>IF($B2787="",0,IF(OR($W2787="EVET",$X2787="EVET",$Y2787="EVET"),0,IF($D2787="GELİR",IF($E2787="SATIŞ İADESİ/İSKONTO",-$O2787,$O2787),-$O2787)))</f>
        <v/>
      </c>
      <c r="AB2787" s="117">
        <f>IF($B2787="","",IF(OR($D2787="",$E2787="",$O2787=""),"EKSİK",IF($O2787&lt;=0,"SIFIR/NEGATİF",IF(COUNTIFS($C$6:$C$5000,$C2787,$O$6:$O$5000,$O2787,$B$6:$B$5000,$B2787)&gt;1,"MÜKERRER","OK"))))</f>
        <v/>
      </c>
    </row>
    <row r="2788" ht="16.5" customHeight="1" s="80">
      <c r="A2788" s="113" t="n"/>
      <c r="B2788" s="113" t="n"/>
      <c r="C2788" s="113" t="n"/>
      <c r="D2788" s="113" t="n"/>
      <c r="E2788" s="113" t="n"/>
      <c r="F2788" s="113" t="n"/>
      <c r="G2788" s="113" t="n"/>
      <c r="H2788" s="113" t="n"/>
      <c r="I2788" s="113" t="n"/>
      <c r="J2788" s="113" t="n"/>
      <c r="K2788" s="113" t="n"/>
      <c r="L2788" s="113" t="n"/>
      <c r="M2788" s="113" t="n"/>
      <c r="N2788" s="113" t="n"/>
      <c r="O2788" s="113" t="n"/>
      <c r="P2788" s="113" t="n"/>
      <c r="Q2788" s="113" t="n"/>
      <c r="R2788" s="113" t="n"/>
      <c r="S2788" s="113" t="n"/>
      <c r="T2788" s="113" t="n"/>
      <c r="U2788" s="113" t="n"/>
      <c r="V2788" s="113" t="n"/>
      <c r="W2788" s="113" t="n"/>
      <c r="X2788" s="113" t="n"/>
      <c r="Y2788" s="113" t="n"/>
      <c r="Z2788" s="117">
        <f>IF($B2788="",0,IF($S2788="EVET",IF($D2788="GELİR",$O2788,-$O2788),0))</f>
        <v/>
      </c>
      <c r="AA2788" s="117">
        <f>IF($B2788="",0,IF(OR($W2788="EVET",$X2788="EVET",$Y2788="EVET"),0,IF($D2788="GELİR",IF($E2788="SATIŞ İADESİ/İSKONTO",-$O2788,$O2788),-$O2788)))</f>
        <v/>
      </c>
      <c r="AB2788" s="117">
        <f>IF($B2788="","",IF(OR($D2788="",$E2788="",$O2788=""),"EKSİK",IF($O2788&lt;=0,"SIFIR/NEGATİF",IF(COUNTIFS($C$6:$C$5000,$C2788,$O$6:$O$5000,$O2788,$B$6:$B$5000,$B2788)&gt;1,"MÜKERRER","OK"))))</f>
        <v/>
      </c>
    </row>
    <row r="2789" ht="16.5" customHeight="1" s="80">
      <c r="A2789" s="113" t="n"/>
      <c r="B2789" s="113" t="n"/>
      <c r="C2789" s="113" t="n"/>
      <c r="D2789" s="113" t="n"/>
      <c r="E2789" s="113" t="n"/>
      <c r="F2789" s="113" t="n"/>
      <c r="G2789" s="113" t="n"/>
      <c r="H2789" s="113" t="n"/>
      <c r="I2789" s="113" t="n"/>
      <c r="J2789" s="113" t="n"/>
      <c r="K2789" s="113" t="n"/>
      <c r="L2789" s="113" t="n"/>
      <c r="M2789" s="113" t="n"/>
      <c r="N2789" s="113" t="n"/>
      <c r="O2789" s="113" t="n"/>
      <c r="P2789" s="113" t="n"/>
      <c r="Q2789" s="113" t="n"/>
      <c r="R2789" s="113" t="n"/>
      <c r="S2789" s="113" t="n"/>
      <c r="T2789" s="113" t="n"/>
      <c r="U2789" s="113" t="n"/>
      <c r="V2789" s="113" t="n"/>
      <c r="W2789" s="113" t="n"/>
      <c r="X2789" s="113" t="n"/>
      <c r="Y2789" s="113" t="n"/>
      <c r="Z2789" s="117">
        <f>IF($B2789="",0,IF($S2789="EVET",IF($D2789="GELİR",$O2789,-$O2789),0))</f>
        <v/>
      </c>
      <c r="AA2789" s="117">
        <f>IF($B2789="",0,IF(OR($W2789="EVET",$X2789="EVET",$Y2789="EVET"),0,IF($D2789="GELİR",IF($E2789="SATIŞ İADESİ/İSKONTO",-$O2789,$O2789),-$O2789)))</f>
        <v/>
      </c>
      <c r="AB2789" s="117">
        <f>IF($B2789="","",IF(OR($D2789="",$E2789="",$O2789=""),"EKSİK",IF($O2789&lt;=0,"SIFIR/NEGATİF",IF(COUNTIFS($C$6:$C$5000,$C2789,$O$6:$O$5000,$O2789,$B$6:$B$5000,$B2789)&gt;1,"MÜKERRER","OK"))))</f>
        <v/>
      </c>
    </row>
    <row r="2790" ht="16.5" customHeight="1" s="80">
      <c r="A2790" s="113" t="n"/>
      <c r="B2790" s="113" t="n"/>
      <c r="C2790" s="113" t="n"/>
      <c r="D2790" s="113" t="n"/>
      <c r="E2790" s="113" t="n"/>
      <c r="F2790" s="113" t="n"/>
      <c r="G2790" s="113" t="n"/>
      <c r="H2790" s="113" t="n"/>
      <c r="I2790" s="113" t="n"/>
      <c r="J2790" s="113" t="n"/>
      <c r="K2790" s="113" t="n"/>
      <c r="L2790" s="113" t="n"/>
      <c r="M2790" s="113" t="n"/>
      <c r="N2790" s="113" t="n"/>
      <c r="O2790" s="113" t="n"/>
      <c r="P2790" s="113" t="n"/>
      <c r="Q2790" s="113" t="n"/>
      <c r="R2790" s="113" t="n"/>
      <c r="S2790" s="113" t="n"/>
      <c r="T2790" s="113" t="n"/>
      <c r="U2790" s="113" t="n"/>
      <c r="V2790" s="113" t="n"/>
      <c r="W2790" s="113" t="n"/>
      <c r="X2790" s="113" t="n"/>
      <c r="Y2790" s="113" t="n"/>
      <c r="Z2790" s="117">
        <f>IF($B2790="",0,IF($S2790="EVET",IF($D2790="GELİR",$O2790,-$O2790),0))</f>
        <v/>
      </c>
      <c r="AA2790" s="117">
        <f>IF($B2790="",0,IF(OR($W2790="EVET",$X2790="EVET",$Y2790="EVET"),0,IF($D2790="GELİR",IF($E2790="SATIŞ İADESİ/İSKONTO",-$O2790,$O2790),-$O2790)))</f>
        <v/>
      </c>
      <c r="AB2790" s="117">
        <f>IF($B2790="","",IF(OR($D2790="",$E2790="",$O2790=""),"EKSİK",IF($O2790&lt;=0,"SIFIR/NEGATİF",IF(COUNTIFS($C$6:$C$5000,$C2790,$O$6:$O$5000,$O2790,$B$6:$B$5000,$B2790)&gt;1,"MÜKERRER","OK"))))</f>
        <v/>
      </c>
    </row>
    <row r="2791" ht="16.5" customHeight="1" s="80">
      <c r="A2791" s="113" t="n"/>
      <c r="B2791" s="113" t="n"/>
      <c r="C2791" s="113" t="n"/>
      <c r="D2791" s="113" t="n"/>
      <c r="E2791" s="113" t="n"/>
      <c r="F2791" s="113" t="n"/>
      <c r="G2791" s="113" t="n"/>
      <c r="H2791" s="113" t="n"/>
      <c r="I2791" s="113" t="n"/>
      <c r="J2791" s="113" t="n"/>
      <c r="K2791" s="113" t="n"/>
      <c r="L2791" s="113" t="n"/>
      <c r="M2791" s="113" t="n"/>
      <c r="N2791" s="113" t="n"/>
      <c r="O2791" s="113" t="n"/>
      <c r="P2791" s="113" t="n"/>
      <c r="Q2791" s="113" t="n"/>
      <c r="R2791" s="113" t="n"/>
      <c r="S2791" s="113" t="n"/>
      <c r="T2791" s="113" t="n"/>
      <c r="U2791" s="113" t="n"/>
      <c r="V2791" s="113" t="n"/>
      <c r="W2791" s="113" t="n"/>
      <c r="X2791" s="113" t="n"/>
      <c r="Y2791" s="113" t="n"/>
      <c r="Z2791" s="117">
        <f>IF($B2791="",0,IF($S2791="EVET",IF($D2791="GELİR",$O2791,-$O2791),0))</f>
        <v/>
      </c>
      <c r="AA2791" s="117">
        <f>IF($B2791="",0,IF(OR($W2791="EVET",$X2791="EVET",$Y2791="EVET"),0,IF($D2791="GELİR",IF($E2791="SATIŞ İADESİ/İSKONTO",-$O2791,$O2791),-$O2791)))</f>
        <v/>
      </c>
      <c r="AB2791" s="117">
        <f>IF($B2791="","",IF(OR($D2791="",$E2791="",$O2791=""),"EKSİK",IF($O2791&lt;=0,"SIFIR/NEGATİF",IF(COUNTIFS($C$6:$C$5000,$C2791,$O$6:$O$5000,$O2791,$B$6:$B$5000,$B2791)&gt;1,"MÜKERRER","OK"))))</f>
        <v/>
      </c>
    </row>
    <row r="2792" ht="16.5" customHeight="1" s="80">
      <c r="A2792" s="113" t="n"/>
      <c r="B2792" s="113" t="n"/>
      <c r="C2792" s="113" t="n"/>
      <c r="D2792" s="113" t="n"/>
      <c r="E2792" s="113" t="n"/>
      <c r="F2792" s="113" t="n"/>
      <c r="G2792" s="113" t="n"/>
      <c r="H2792" s="113" t="n"/>
      <c r="I2792" s="113" t="n"/>
      <c r="J2792" s="113" t="n"/>
      <c r="K2792" s="113" t="n"/>
      <c r="L2792" s="113" t="n"/>
      <c r="M2792" s="113" t="n"/>
      <c r="N2792" s="113" t="n"/>
      <c r="O2792" s="113" t="n"/>
      <c r="P2792" s="113" t="n"/>
      <c r="Q2792" s="113" t="n"/>
      <c r="R2792" s="113" t="n"/>
      <c r="S2792" s="113" t="n"/>
      <c r="T2792" s="113" t="n"/>
      <c r="U2792" s="113" t="n"/>
      <c r="V2792" s="113" t="n"/>
      <c r="W2792" s="113" t="n"/>
      <c r="X2792" s="113" t="n"/>
      <c r="Y2792" s="113" t="n"/>
      <c r="Z2792" s="117">
        <f>IF($B2792="",0,IF($S2792="EVET",IF($D2792="GELİR",$O2792,-$O2792),0))</f>
        <v/>
      </c>
      <c r="AA2792" s="117">
        <f>IF($B2792="",0,IF(OR($W2792="EVET",$X2792="EVET",$Y2792="EVET"),0,IF($D2792="GELİR",IF($E2792="SATIŞ İADESİ/İSKONTO",-$O2792,$O2792),-$O2792)))</f>
        <v/>
      </c>
      <c r="AB2792" s="117">
        <f>IF($B2792="","",IF(OR($D2792="",$E2792="",$O2792=""),"EKSİK",IF($O2792&lt;=0,"SIFIR/NEGATİF",IF(COUNTIFS($C$6:$C$5000,$C2792,$O$6:$O$5000,$O2792,$B$6:$B$5000,$B2792)&gt;1,"MÜKERRER","OK"))))</f>
        <v/>
      </c>
    </row>
    <row r="2793" ht="16.5" customHeight="1" s="80">
      <c r="A2793" s="113" t="n"/>
      <c r="B2793" s="113" t="n"/>
      <c r="C2793" s="113" t="n"/>
      <c r="D2793" s="113" t="n"/>
      <c r="E2793" s="113" t="n"/>
      <c r="F2793" s="113" t="n"/>
      <c r="G2793" s="113" t="n"/>
      <c r="H2793" s="113" t="n"/>
      <c r="I2793" s="113" t="n"/>
      <c r="J2793" s="113" t="n"/>
      <c r="K2793" s="113" t="n"/>
      <c r="L2793" s="113" t="n"/>
      <c r="M2793" s="113" t="n"/>
      <c r="N2793" s="113" t="n"/>
      <c r="O2793" s="113" t="n"/>
      <c r="P2793" s="113" t="n"/>
      <c r="Q2793" s="113" t="n"/>
      <c r="R2793" s="113" t="n"/>
      <c r="S2793" s="113" t="n"/>
      <c r="T2793" s="113" t="n"/>
      <c r="U2793" s="113" t="n"/>
      <c r="V2793" s="113" t="n"/>
      <c r="W2793" s="113" t="n"/>
      <c r="X2793" s="113" t="n"/>
      <c r="Y2793" s="113" t="n"/>
      <c r="Z2793" s="117">
        <f>IF($B2793="",0,IF($S2793="EVET",IF($D2793="GELİR",$O2793,-$O2793),0))</f>
        <v/>
      </c>
      <c r="AA2793" s="117">
        <f>IF($B2793="",0,IF(OR($W2793="EVET",$X2793="EVET",$Y2793="EVET"),0,IF($D2793="GELİR",IF($E2793="SATIŞ İADESİ/İSKONTO",-$O2793,$O2793),-$O2793)))</f>
        <v/>
      </c>
      <c r="AB2793" s="117">
        <f>IF($B2793="","",IF(OR($D2793="",$E2793="",$O2793=""),"EKSİK",IF($O2793&lt;=0,"SIFIR/NEGATİF",IF(COUNTIFS($C$6:$C$5000,$C2793,$O$6:$O$5000,$O2793,$B$6:$B$5000,$B2793)&gt;1,"MÜKERRER","OK"))))</f>
        <v/>
      </c>
    </row>
    <row r="2794" ht="16.5" customHeight="1" s="80">
      <c r="A2794" s="113" t="n"/>
      <c r="B2794" s="113" t="n"/>
      <c r="C2794" s="113" t="n"/>
      <c r="D2794" s="113" t="n"/>
      <c r="E2794" s="113" t="n"/>
      <c r="F2794" s="113" t="n"/>
      <c r="G2794" s="113" t="n"/>
      <c r="H2794" s="113" t="n"/>
      <c r="I2794" s="113" t="n"/>
      <c r="J2794" s="113" t="n"/>
      <c r="K2794" s="113" t="n"/>
      <c r="L2794" s="113" t="n"/>
      <c r="M2794" s="113" t="n"/>
      <c r="N2794" s="113" t="n"/>
      <c r="O2794" s="113" t="n"/>
      <c r="P2794" s="113" t="n"/>
      <c r="Q2794" s="113" t="n"/>
      <c r="R2794" s="113" t="n"/>
      <c r="S2794" s="113" t="n"/>
      <c r="T2794" s="113" t="n"/>
      <c r="U2794" s="113" t="n"/>
      <c r="V2794" s="113" t="n"/>
      <c r="W2794" s="113" t="n"/>
      <c r="X2794" s="113" t="n"/>
      <c r="Y2794" s="113" t="n"/>
      <c r="Z2794" s="117">
        <f>IF($B2794="",0,IF($S2794="EVET",IF($D2794="GELİR",$O2794,-$O2794),0))</f>
        <v/>
      </c>
      <c r="AA2794" s="117">
        <f>IF($B2794="",0,IF(OR($W2794="EVET",$X2794="EVET",$Y2794="EVET"),0,IF($D2794="GELİR",IF($E2794="SATIŞ İADESİ/İSKONTO",-$O2794,$O2794),-$O2794)))</f>
        <v/>
      </c>
      <c r="AB2794" s="117">
        <f>IF($B2794="","",IF(OR($D2794="",$E2794="",$O2794=""),"EKSİK",IF($O2794&lt;=0,"SIFIR/NEGATİF",IF(COUNTIFS($C$6:$C$5000,$C2794,$O$6:$O$5000,$O2794,$B$6:$B$5000,$B2794)&gt;1,"MÜKERRER","OK"))))</f>
        <v/>
      </c>
    </row>
    <row r="2795" ht="16.5" customHeight="1" s="80">
      <c r="A2795" s="113" t="n"/>
      <c r="B2795" s="113" t="n"/>
      <c r="C2795" s="113" t="n"/>
      <c r="D2795" s="113" t="n"/>
      <c r="E2795" s="113" t="n"/>
      <c r="F2795" s="113" t="n"/>
      <c r="G2795" s="113" t="n"/>
      <c r="H2795" s="113" t="n"/>
      <c r="I2795" s="113" t="n"/>
      <c r="J2795" s="113" t="n"/>
      <c r="K2795" s="113" t="n"/>
      <c r="L2795" s="113" t="n"/>
      <c r="M2795" s="113" t="n"/>
      <c r="N2795" s="113" t="n"/>
      <c r="O2795" s="113" t="n"/>
      <c r="P2795" s="113" t="n"/>
      <c r="Q2795" s="113" t="n"/>
      <c r="R2795" s="113" t="n"/>
      <c r="S2795" s="113" t="n"/>
      <c r="T2795" s="113" t="n"/>
      <c r="U2795" s="113" t="n"/>
      <c r="V2795" s="113" t="n"/>
      <c r="W2795" s="113" t="n"/>
      <c r="X2795" s="113" t="n"/>
      <c r="Y2795" s="113" t="n"/>
      <c r="Z2795" s="117">
        <f>IF($B2795="",0,IF($S2795="EVET",IF($D2795="GELİR",$O2795,-$O2795),0))</f>
        <v/>
      </c>
      <c r="AA2795" s="117">
        <f>IF($B2795="",0,IF(OR($W2795="EVET",$X2795="EVET",$Y2795="EVET"),0,IF($D2795="GELİR",IF($E2795="SATIŞ İADESİ/İSKONTO",-$O2795,$O2795),-$O2795)))</f>
        <v/>
      </c>
      <c r="AB2795" s="117">
        <f>IF($B2795="","",IF(OR($D2795="",$E2795="",$O2795=""),"EKSİK",IF($O2795&lt;=0,"SIFIR/NEGATİF",IF(COUNTIFS($C$6:$C$5000,$C2795,$O$6:$O$5000,$O2795,$B$6:$B$5000,$B2795)&gt;1,"MÜKERRER","OK"))))</f>
        <v/>
      </c>
    </row>
    <row r="2796" ht="16.5" customHeight="1" s="80">
      <c r="A2796" s="113" t="n"/>
      <c r="B2796" s="113" t="n"/>
      <c r="C2796" s="113" t="n"/>
      <c r="D2796" s="113" t="n"/>
      <c r="E2796" s="113" t="n"/>
      <c r="F2796" s="113" t="n"/>
      <c r="G2796" s="113" t="n"/>
      <c r="H2796" s="113" t="n"/>
      <c r="I2796" s="113" t="n"/>
      <c r="J2796" s="113" t="n"/>
      <c r="K2796" s="113" t="n"/>
      <c r="L2796" s="113" t="n"/>
      <c r="M2796" s="113" t="n"/>
      <c r="N2796" s="113" t="n"/>
      <c r="O2796" s="113" t="n"/>
      <c r="P2796" s="113" t="n"/>
      <c r="Q2796" s="113" t="n"/>
      <c r="R2796" s="113" t="n"/>
      <c r="S2796" s="113" t="n"/>
      <c r="T2796" s="113" t="n"/>
      <c r="U2796" s="113" t="n"/>
      <c r="V2796" s="113" t="n"/>
      <c r="W2796" s="113" t="n"/>
      <c r="X2796" s="113" t="n"/>
      <c r="Y2796" s="113" t="n"/>
      <c r="Z2796" s="117">
        <f>IF($B2796="",0,IF($S2796="EVET",IF($D2796="GELİR",$O2796,-$O2796),0))</f>
        <v/>
      </c>
      <c r="AA2796" s="117">
        <f>IF($B2796="",0,IF(OR($W2796="EVET",$X2796="EVET",$Y2796="EVET"),0,IF($D2796="GELİR",IF($E2796="SATIŞ İADESİ/İSKONTO",-$O2796,$O2796),-$O2796)))</f>
        <v/>
      </c>
      <c r="AB2796" s="117">
        <f>IF($B2796="","",IF(OR($D2796="",$E2796="",$O2796=""),"EKSİK",IF($O2796&lt;=0,"SIFIR/NEGATİF",IF(COUNTIFS($C$6:$C$5000,$C2796,$O$6:$O$5000,$O2796,$B$6:$B$5000,$B2796)&gt;1,"MÜKERRER","OK"))))</f>
        <v/>
      </c>
    </row>
    <row r="2797" ht="16.5" customHeight="1" s="80">
      <c r="A2797" s="113" t="n"/>
      <c r="B2797" s="113" t="n"/>
      <c r="C2797" s="113" t="n"/>
      <c r="D2797" s="113" t="n"/>
      <c r="E2797" s="113" t="n"/>
      <c r="F2797" s="113" t="n"/>
      <c r="G2797" s="113" t="n"/>
      <c r="H2797" s="113" t="n"/>
      <c r="I2797" s="113" t="n"/>
      <c r="J2797" s="113" t="n"/>
      <c r="K2797" s="113" t="n"/>
      <c r="L2797" s="113" t="n"/>
      <c r="M2797" s="113" t="n"/>
      <c r="N2797" s="113" t="n"/>
      <c r="O2797" s="113" t="n"/>
      <c r="P2797" s="113" t="n"/>
      <c r="Q2797" s="113" t="n"/>
      <c r="R2797" s="113" t="n"/>
      <c r="S2797" s="113" t="n"/>
      <c r="T2797" s="113" t="n"/>
      <c r="U2797" s="113" t="n"/>
      <c r="V2797" s="113" t="n"/>
      <c r="W2797" s="113" t="n"/>
      <c r="X2797" s="113" t="n"/>
      <c r="Y2797" s="113" t="n"/>
      <c r="Z2797" s="117">
        <f>IF($B2797="",0,IF($S2797="EVET",IF($D2797="GELİR",$O2797,-$O2797),0))</f>
        <v/>
      </c>
      <c r="AA2797" s="117">
        <f>IF($B2797="",0,IF(OR($W2797="EVET",$X2797="EVET",$Y2797="EVET"),0,IF($D2797="GELİR",IF($E2797="SATIŞ İADESİ/İSKONTO",-$O2797,$O2797),-$O2797)))</f>
        <v/>
      </c>
      <c r="AB2797" s="117">
        <f>IF($B2797="","",IF(OR($D2797="",$E2797="",$O2797=""),"EKSİK",IF($O2797&lt;=0,"SIFIR/NEGATİF",IF(COUNTIFS($C$6:$C$5000,$C2797,$O$6:$O$5000,$O2797,$B$6:$B$5000,$B2797)&gt;1,"MÜKERRER","OK"))))</f>
        <v/>
      </c>
    </row>
    <row r="2798" ht="16.5" customHeight="1" s="80">
      <c r="A2798" s="113" t="n"/>
      <c r="B2798" s="113" t="n"/>
      <c r="C2798" s="113" t="n"/>
      <c r="D2798" s="113" t="n"/>
      <c r="E2798" s="113" t="n"/>
      <c r="F2798" s="113" t="n"/>
      <c r="G2798" s="113" t="n"/>
      <c r="H2798" s="113" t="n"/>
      <c r="I2798" s="113" t="n"/>
      <c r="J2798" s="113" t="n"/>
      <c r="K2798" s="113" t="n"/>
      <c r="L2798" s="113" t="n"/>
      <c r="M2798" s="113" t="n"/>
      <c r="N2798" s="113" t="n"/>
      <c r="O2798" s="113" t="n"/>
      <c r="P2798" s="113" t="n"/>
      <c r="Q2798" s="113" t="n"/>
      <c r="R2798" s="113" t="n"/>
      <c r="S2798" s="113" t="n"/>
      <c r="T2798" s="113" t="n"/>
      <c r="U2798" s="113" t="n"/>
      <c r="V2798" s="113" t="n"/>
      <c r="W2798" s="113" t="n"/>
      <c r="X2798" s="113" t="n"/>
      <c r="Y2798" s="113" t="n"/>
      <c r="Z2798" s="117">
        <f>IF($B2798="",0,IF($S2798="EVET",IF($D2798="GELİR",$O2798,-$O2798),0))</f>
        <v/>
      </c>
      <c r="AA2798" s="117">
        <f>IF($B2798="",0,IF(OR($W2798="EVET",$X2798="EVET",$Y2798="EVET"),0,IF($D2798="GELİR",IF($E2798="SATIŞ İADESİ/İSKONTO",-$O2798,$O2798),-$O2798)))</f>
        <v/>
      </c>
      <c r="AB2798" s="117">
        <f>IF($B2798="","",IF(OR($D2798="",$E2798="",$O2798=""),"EKSİK",IF($O2798&lt;=0,"SIFIR/NEGATİF",IF(COUNTIFS($C$6:$C$5000,$C2798,$O$6:$O$5000,$O2798,$B$6:$B$5000,$B2798)&gt;1,"MÜKERRER","OK"))))</f>
        <v/>
      </c>
    </row>
    <row r="2799" ht="16.5" customHeight="1" s="80">
      <c r="A2799" s="113" t="n"/>
      <c r="B2799" s="113" t="n"/>
      <c r="C2799" s="113" t="n"/>
      <c r="D2799" s="113" t="n"/>
      <c r="E2799" s="113" t="n"/>
      <c r="F2799" s="113" t="n"/>
      <c r="G2799" s="113" t="n"/>
      <c r="H2799" s="113" t="n"/>
      <c r="I2799" s="113" t="n"/>
      <c r="J2799" s="113" t="n"/>
      <c r="K2799" s="113" t="n"/>
      <c r="L2799" s="113" t="n"/>
      <c r="M2799" s="113" t="n"/>
      <c r="N2799" s="113" t="n"/>
      <c r="O2799" s="113" t="n"/>
      <c r="P2799" s="113" t="n"/>
      <c r="Q2799" s="113" t="n"/>
      <c r="R2799" s="113" t="n"/>
      <c r="S2799" s="113" t="n"/>
      <c r="T2799" s="113" t="n"/>
      <c r="U2799" s="113" t="n"/>
      <c r="V2799" s="113" t="n"/>
      <c r="W2799" s="113" t="n"/>
      <c r="X2799" s="113" t="n"/>
      <c r="Y2799" s="113" t="n"/>
      <c r="Z2799" s="117">
        <f>IF($B2799="",0,IF($S2799="EVET",IF($D2799="GELİR",$O2799,-$O2799),0))</f>
        <v/>
      </c>
      <c r="AA2799" s="117">
        <f>IF($B2799="",0,IF(OR($W2799="EVET",$X2799="EVET",$Y2799="EVET"),0,IF($D2799="GELİR",IF($E2799="SATIŞ İADESİ/İSKONTO",-$O2799,$O2799),-$O2799)))</f>
        <v/>
      </c>
      <c r="AB2799" s="117">
        <f>IF($B2799="","",IF(OR($D2799="",$E2799="",$O2799=""),"EKSİK",IF($O2799&lt;=0,"SIFIR/NEGATİF",IF(COUNTIFS($C$6:$C$5000,$C2799,$O$6:$O$5000,$O2799,$B$6:$B$5000,$B2799)&gt;1,"MÜKERRER","OK"))))</f>
        <v/>
      </c>
    </row>
    <row r="2800" ht="16.5" customHeight="1" s="80">
      <c r="A2800" s="113" t="n"/>
      <c r="B2800" s="113" t="n"/>
      <c r="C2800" s="113" t="n"/>
      <c r="D2800" s="113" t="n"/>
      <c r="E2800" s="113" t="n"/>
      <c r="F2800" s="113" t="n"/>
      <c r="G2800" s="113" t="n"/>
      <c r="H2800" s="113" t="n"/>
      <c r="I2800" s="113" t="n"/>
      <c r="J2800" s="113" t="n"/>
      <c r="K2800" s="113" t="n"/>
      <c r="L2800" s="113" t="n"/>
      <c r="M2800" s="113" t="n"/>
      <c r="N2800" s="113" t="n"/>
      <c r="O2800" s="113" t="n"/>
      <c r="P2800" s="113" t="n"/>
      <c r="Q2800" s="113" t="n"/>
      <c r="R2800" s="113" t="n"/>
      <c r="S2800" s="113" t="n"/>
      <c r="T2800" s="113" t="n"/>
      <c r="U2800" s="113" t="n"/>
      <c r="V2800" s="113" t="n"/>
      <c r="W2800" s="113" t="n"/>
      <c r="X2800" s="113" t="n"/>
      <c r="Y2800" s="113" t="n"/>
      <c r="Z2800" s="117">
        <f>IF($B2800="",0,IF($S2800="EVET",IF($D2800="GELİR",$O2800,-$O2800),0))</f>
        <v/>
      </c>
      <c r="AA2800" s="117">
        <f>IF($B2800="",0,IF(OR($W2800="EVET",$X2800="EVET",$Y2800="EVET"),0,IF($D2800="GELİR",IF($E2800="SATIŞ İADESİ/İSKONTO",-$O2800,$O2800),-$O2800)))</f>
        <v/>
      </c>
      <c r="AB2800" s="117">
        <f>IF($B2800="","",IF(OR($D2800="",$E2800="",$O2800=""),"EKSİK",IF($O2800&lt;=0,"SIFIR/NEGATİF",IF(COUNTIFS($C$6:$C$5000,$C2800,$O$6:$O$5000,$O2800,$B$6:$B$5000,$B2800)&gt;1,"MÜKERRER","OK"))))</f>
        <v/>
      </c>
    </row>
    <row r="2801" ht="16.5" customHeight="1" s="80">
      <c r="A2801" s="113" t="n"/>
      <c r="B2801" s="113" t="n"/>
      <c r="C2801" s="113" t="n"/>
      <c r="D2801" s="113" t="n"/>
      <c r="E2801" s="113" t="n"/>
      <c r="F2801" s="113" t="n"/>
      <c r="G2801" s="113" t="n"/>
      <c r="H2801" s="113" t="n"/>
      <c r="I2801" s="113" t="n"/>
      <c r="J2801" s="113" t="n"/>
      <c r="K2801" s="113" t="n"/>
      <c r="L2801" s="113" t="n"/>
      <c r="M2801" s="113" t="n"/>
      <c r="N2801" s="113" t="n"/>
      <c r="O2801" s="113" t="n"/>
      <c r="P2801" s="113" t="n"/>
      <c r="Q2801" s="113" t="n"/>
      <c r="R2801" s="113" t="n"/>
      <c r="S2801" s="113" t="n"/>
      <c r="T2801" s="113" t="n"/>
      <c r="U2801" s="113" t="n"/>
      <c r="V2801" s="113" t="n"/>
      <c r="W2801" s="113" t="n"/>
      <c r="X2801" s="113" t="n"/>
      <c r="Y2801" s="113" t="n"/>
      <c r="Z2801" s="117">
        <f>IF($B2801="",0,IF($S2801="EVET",IF($D2801="GELİR",$O2801,-$O2801),0))</f>
        <v/>
      </c>
      <c r="AA2801" s="117">
        <f>IF($B2801="",0,IF(OR($W2801="EVET",$X2801="EVET",$Y2801="EVET"),0,IF($D2801="GELİR",IF($E2801="SATIŞ İADESİ/İSKONTO",-$O2801,$O2801),-$O2801)))</f>
        <v/>
      </c>
      <c r="AB2801" s="117">
        <f>IF($B2801="","",IF(OR($D2801="",$E2801="",$O2801=""),"EKSİK",IF($O2801&lt;=0,"SIFIR/NEGATİF",IF(COUNTIFS($C$6:$C$5000,$C2801,$O$6:$O$5000,$O2801,$B$6:$B$5000,$B2801)&gt;1,"MÜKERRER","OK"))))</f>
        <v/>
      </c>
    </row>
    <row r="2802" ht="16.5" customHeight="1" s="80">
      <c r="A2802" s="113" t="n"/>
      <c r="B2802" s="113" t="n"/>
      <c r="C2802" s="113" t="n"/>
      <c r="D2802" s="113" t="n"/>
      <c r="E2802" s="113" t="n"/>
      <c r="F2802" s="113" t="n"/>
      <c r="G2802" s="113" t="n"/>
      <c r="H2802" s="113" t="n"/>
      <c r="I2802" s="113" t="n"/>
      <c r="J2802" s="113" t="n"/>
      <c r="K2802" s="113" t="n"/>
      <c r="L2802" s="113" t="n"/>
      <c r="M2802" s="113" t="n"/>
      <c r="N2802" s="113" t="n"/>
      <c r="O2802" s="113" t="n"/>
      <c r="P2802" s="113" t="n"/>
      <c r="Q2802" s="113" t="n"/>
      <c r="R2802" s="113" t="n"/>
      <c r="S2802" s="113" t="n"/>
      <c r="T2802" s="113" t="n"/>
      <c r="U2802" s="113" t="n"/>
      <c r="V2802" s="113" t="n"/>
      <c r="W2802" s="113" t="n"/>
      <c r="X2802" s="113" t="n"/>
      <c r="Y2802" s="113" t="n"/>
      <c r="Z2802" s="117">
        <f>IF($B2802="",0,IF($S2802="EVET",IF($D2802="GELİR",$O2802,-$O2802),0))</f>
        <v/>
      </c>
      <c r="AA2802" s="117">
        <f>IF($B2802="",0,IF(OR($W2802="EVET",$X2802="EVET",$Y2802="EVET"),0,IF($D2802="GELİR",IF($E2802="SATIŞ İADESİ/İSKONTO",-$O2802,$O2802),-$O2802)))</f>
        <v/>
      </c>
      <c r="AB2802" s="117">
        <f>IF($B2802="","",IF(OR($D2802="",$E2802="",$O2802=""),"EKSİK",IF($O2802&lt;=0,"SIFIR/NEGATİF",IF(COUNTIFS($C$6:$C$5000,$C2802,$O$6:$O$5000,$O2802,$B$6:$B$5000,$B2802)&gt;1,"MÜKERRER","OK"))))</f>
        <v/>
      </c>
    </row>
    <row r="2803" ht="16.5" customHeight="1" s="80">
      <c r="A2803" s="113" t="n"/>
      <c r="B2803" s="113" t="n"/>
      <c r="C2803" s="113" t="n"/>
      <c r="D2803" s="113" t="n"/>
      <c r="E2803" s="113" t="n"/>
      <c r="F2803" s="113" t="n"/>
      <c r="G2803" s="113" t="n"/>
      <c r="H2803" s="113" t="n"/>
      <c r="I2803" s="113" t="n"/>
      <c r="J2803" s="113" t="n"/>
      <c r="K2803" s="113" t="n"/>
      <c r="L2803" s="113" t="n"/>
      <c r="M2803" s="113" t="n"/>
      <c r="N2803" s="113" t="n"/>
      <c r="O2803" s="113" t="n"/>
      <c r="P2803" s="113" t="n"/>
      <c r="Q2803" s="113" t="n"/>
      <c r="R2803" s="113" t="n"/>
      <c r="S2803" s="113" t="n"/>
      <c r="T2803" s="113" t="n"/>
      <c r="U2803" s="113" t="n"/>
      <c r="V2803" s="113" t="n"/>
      <c r="W2803" s="113" t="n"/>
      <c r="X2803" s="113" t="n"/>
      <c r="Y2803" s="113" t="n"/>
      <c r="Z2803" s="117">
        <f>IF($B2803="",0,IF($S2803="EVET",IF($D2803="GELİR",$O2803,-$O2803),0))</f>
        <v/>
      </c>
      <c r="AA2803" s="117">
        <f>IF($B2803="",0,IF(OR($W2803="EVET",$X2803="EVET",$Y2803="EVET"),0,IF($D2803="GELİR",IF($E2803="SATIŞ İADESİ/İSKONTO",-$O2803,$O2803),-$O2803)))</f>
        <v/>
      </c>
      <c r="AB2803" s="117">
        <f>IF($B2803="","",IF(OR($D2803="",$E2803="",$O2803=""),"EKSİK",IF($O2803&lt;=0,"SIFIR/NEGATİF",IF(COUNTIFS($C$6:$C$5000,$C2803,$O$6:$O$5000,$O2803,$B$6:$B$5000,$B2803)&gt;1,"MÜKERRER","OK"))))</f>
        <v/>
      </c>
    </row>
    <row r="2804" ht="16.5" customHeight="1" s="80">
      <c r="A2804" s="113" t="n"/>
      <c r="B2804" s="113" t="n"/>
      <c r="C2804" s="113" t="n"/>
      <c r="D2804" s="113" t="n"/>
      <c r="E2804" s="113" t="n"/>
      <c r="F2804" s="113" t="n"/>
      <c r="G2804" s="113" t="n"/>
      <c r="H2804" s="113" t="n"/>
      <c r="I2804" s="113" t="n"/>
      <c r="J2804" s="113" t="n"/>
      <c r="K2804" s="113" t="n"/>
      <c r="L2804" s="113" t="n"/>
      <c r="M2804" s="113" t="n"/>
      <c r="N2804" s="113" t="n"/>
      <c r="O2804" s="113" t="n"/>
      <c r="P2804" s="113" t="n"/>
      <c r="Q2804" s="113" t="n"/>
      <c r="R2804" s="113" t="n"/>
      <c r="S2804" s="113" t="n"/>
      <c r="T2804" s="113" t="n"/>
      <c r="U2804" s="113" t="n"/>
      <c r="V2804" s="113" t="n"/>
      <c r="W2804" s="113" t="n"/>
      <c r="X2804" s="113" t="n"/>
      <c r="Y2804" s="113" t="n"/>
      <c r="Z2804" s="117">
        <f>IF($B2804="",0,IF($S2804="EVET",IF($D2804="GELİR",$O2804,-$O2804),0))</f>
        <v/>
      </c>
      <c r="AA2804" s="117">
        <f>IF($B2804="",0,IF(OR($W2804="EVET",$X2804="EVET",$Y2804="EVET"),0,IF($D2804="GELİR",IF($E2804="SATIŞ İADESİ/İSKONTO",-$O2804,$O2804),-$O2804)))</f>
        <v/>
      </c>
      <c r="AB2804" s="117">
        <f>IF($B2804="","",IF(OR($D2804="",$E2804="",$O2804=""),"EKSİK",IF($O2804&lt;=0,"SIFIR/NEGATİF",IF(COUNTIFS($C$6:$C$5000,$C2804,$O$6:$O$5000,$O2804,$B$6:$B$5000,$B2804)&gt;1,"MÜKERRER","OK"))))</f>
        <v/>
      </c>
    </row>
    <row r="2805" ht="16.5" customHeight="1" s="80">
      <c r="A2805" s="113" t="n"/>
      <c r="B2805" s="113" t="n"/>
      <c r="C2805" s="113" t="n"/>
      <c r="D2805" s="113" t="n"/>
      <c r="E2805" s="113" t="n"/>
      <c r="F2805" s="113" t="n"/>
      <c r="G2805" s="113" t="n"/>
      <c r="H2805" s="113" t="n"/>
      <c r="I2805" s="113" t="n"/>
      <c r="J2805" s="113" t="n"/>
      <c r="K2805" s="113" t="n"/>
      <c r="L2805" s="113" t="n"/>
      <c r="M2805" s="113" t="n"/>
      <c r="N2805" s="113" t="n"/>
      <c r="O2805" s="113" t="n"/>
      <c r="P2805" s="113" t="n"/>
      <c r="Q2805" s="113" t="n"/>
      <c r="R2805" s="113" t="n"/>
      <c r="S2805" s="113" t="n"/>
      <c r="T2805" s="113" t="n"/>
      <c r="U2805" s="113" t="n"/>
      <c r="V2805" s="113" t="n"/>
      <c r="W2805" s="113" t="n"/>
      <c r="X2805" s="113" t="n"/>
      <c r="Y2805" s="113" t="n"/>
      <c r="Z2805" s="117">
        <f>IF($B2805="",0,IF($S2805="EVET",IF($D2805="GELİR",$O2805,-$O2805),0))</f>
        <v/>
      </c>
      <c r="AA2805" s="117">
        <f>IF($B2805="",0,IF(OR($W2805="EVET",$X2805="EVET",$Y2805="EVET"),0,IF($D2805="GELİR",IF($E2805="SATIŞ İADESİ/İSKONTO",-$O2805,$O2805),-$O2805)))</f>
        <v/>
      </c>
      <c r="AB2805" s="117">
        <f>IF($B2805="","",IF(OR($D2805="",$E2805="",$O2805=""),"EKSİK",IF($O2805&lt;=0,"SIFIR/NEGATİF",IF(COUNTIFS($C$6:$C$5000,$C2805,$O$6:$O$5000,$O2805,$B$6:$B$5000,$B2805)&gt;1,"MÜKERRER","OK"))))</f>
        <v/>
      </c>
    </row>
    <row r="2806" ht="16.5" customHeight="1" s="80">
      <c r="A2806" s="113" t="n"/>
      <c r="B2806" s="113" t="n"/>
      <c r="C2806" s="113" t="n"/>
      <c r="D2806" s="113" t="n"/>
      <c r="E2806" s="113" t="n"/>
      <c r="F2806" s="113" t="n"/>
      <c r="G2806" s="113" t="n"/>
      <c r="H2806" s="113" t="n"/>
      <c r="I2806" s="113" t="n"/>
      <c r="J2806" s="113" t="n"/>
      <c r="K2806" s="113" t="n"/>
      <c r="L2806" s="113" t="n"/>
      <c r="M2806" s="113" t="n"/>
      <c r="N2806" s="113" t="n"/>
      <c r="O2806" s="113" t="n"/>
      <c r="P2806" s="113" t="n"/>
      <c r="Q2806" s="113" t="n"/>
      <c r="R2806" s="113" t="n"/>
      <c r="S2806" s="113" t="n"/>
      <c r="T2806" s="113" t="n"/>
      <c r="U2806" s="113" t="n"/>
      <c r="V2806" s="113" t="n"/>
      <c r="W2806" s="113" t="n"/>
      <c r="X2806" s="113" t="n"/>
      <c r="Y2806" s="113" t="n"/>
      <c r="Z2806" s="117">
        <f>IF($B2806="",0,IF($S2806="EVET",IF($D2806="GELİR",$O2806,-$O2806),0))</f>
        <v/>
      </c>
      <c r="AA2806" s="117">
        <f>IF($B2806="",0,IF(OR($W2806="EVET",$X2806="EVET",$Y2806="EVET"),0,IF($D2806="GELİR",IF($E2806="SATIŞ İADESİ/İSKONTO",-$O2806,$O2806),-$O2806)))</f>
        <v/>
      </c>
      <c r="AB2806" s="117">
        <f>IF($B2806="","",IF(OR($D2806="",$E2806="",$O2806=""),"EKSİK",IF($O2806&lt;=0,"SIFIR/NEGATİF",IF(COUNTIFS($C$6:$C$5000,$C2806,$O$6:$O$5000,$O2806,$B$6:$B$5000,$B2806)&gt;1,"MÜKERRER","OK"))))</f>
        <v/>
      </c>
    </row>
    <row r="2807" ht="16.5" customHeight="1" s="80">
      <c r="A2807" s="113" t="n"/>
      <c r="B2807" s="113" t="n"/>
      <c r="C2807" s="113" t="n"/>
      <c r="D2807" s="113" t="n"/>
      <c r="E2807" s="113" t="n"/>
      <c r="F2807" s="113" t="n"/>
      <c r="G2807" s="113" t="n"/>
      <c r="H2807" s="113" t="n"/>
      <c r="I2807" s="113" t="n"/>
      <c r="J2807" s="113" t="n"/>
      <c r="K2807" s="113" t="n"/>
      <c r="L2807" s="113" t="n"/>
      <c r="M2807" s="113" t="n"/>
      <c r="N2807" s="113" t="n"/>
      <c r="O2807" s="113" t="n"/>
      <c r="P2807" s="113" t="n"/>
      <c r="Q2807" s="113" t="n"/>
      <c r="R2807" s="113" t="n"/>
      <c r="S2807" s="113" t="n"/>
      <c r="T2807" s="113" t="n"/>
      <c r="U2807" s="113" t="n"/>
      <c r="V2807" s="113" t="n"/>
      <c r="W2807" s="113" t="n"/>
      <c r="X2807" s="113" t="n"/>
      <c r="Y2807" s="113" t="n"/>
      <c r="Z2807" s="117">
        <f>IF($B2807="",0,IF($S2807="EVET",IF($D2807="GELİR",$O2807,-$O2807),0))</f>
        <v/>
      </c>
      <c r="AA2807" s="117">
        <f>IF($B2807="",0,IF(OR($W2807="EVET",$X2807="EVET",$Y2807="EVET"),0,IF($D2807="GELİR",IF($E2807="SATIŞ İADESİ/İSKONTO",-$O2807,$O2807),-$O2807)))</f>
        <v/>
      </c>
      <c r="AB2807" s="117">
        <f>IF($B2807="","",IF(OR($D2807="",$E2807="",$O2807=""),"EKSİK",IF($O2807&lt;=0,"SIFIR/NEGATİF",IF(COUNTIFS($C$6:$C$5000,$C2807,$O$6:$O$5000,$O2807,$B$6:$B$5000,$B2807)&gt;1,"MÜKERRER","OK"))))</f>
        <v/>
      </c>
    </row>
    <row r="2808" ht="16.5" customHeight="1" s="80">
      <c r="A2808" s="113" t="n"/>
      <c r="B2808" s="113" t="n"/>
      <c r="C2808" s="113" t="n"/>
      <c r="D2808" s="113" t="n"/>
      <c r="E2808" s="113" t="n"/>
      <c r="F2808" s="113" t="n"/>
      <c r="G2808" s="113" t="n"/>
      <c r="H2808" s="113" t="n"/>
      <c r="I2808" s="113" t="n"/>
      <c r="J2808" s="113" t="n"/>
      <c r="K2808" s="113" t="n"/>
      <c r="L2808" s="113" t="n"/>
      <c r="M2808" s="113" t="n"/>
      <c r="N2808" s="113" t="n"/>
      <c r="O2808" s="113" t="n"/>
      <c r="P2808" s="113" t="n"/>
      <c r="Q2808" s="113" t="n"/>
      <c r="R2808" s="113" t="n"/>
      <c r="S2808" s="113" t="n"/>
      <c r="T2808" s="113" t="n"/>
      <c r="U2808" s="113" t="n"/>
      <c r="V2808" s="113" t="n"/>
      <c r="W2808" s="113" t="n"/>
      <c r="X2808" s="113" t="n"/>
      <c r="Y2808" s="113" t="n"/>
      <c r="Z2808" s="117">
        <f>IF($B2808="",0,IF($S2808="EVET",IF($D2808="GELİR",$O2808,-$O2808),0))</f>
        <v/>
      </c>
      <c r="AA2808" s="117">
        <f>IF($B2808="",0,IF(OR($W2808="EVET",$X2808="EVET",$Y2808="EVET"),0,IF($D2808="GELİR",IF($E2808="SATIŞ İADESİ/İSKONTO",-$O2808,$O2808),-$O2808)))</f>
        <v/>
      </c>
      <c r="AB2808" s="117">
        <f>IF($B2808="","",IF(OR($D2808="",$E2808="",$O2808=""),"EKSİK",IF($O2808&lt;=0,"SIFIR/NEGATİF",IF(COUNTIFS($C$6:$C$5000,$C2808,$O$6:$O$5000,$O2808,$B$6:$B$5000,$B2808)&gt;1,"MÜKERRER","OK"))))</f>
        <v/>
      </c>
    </row>
    <row r="2809" ht="16.5" customHeight="1" s="80">
      <c r="A2809" s="113" t="n"/>
      <c r="B2809" s="113" t="n"/>
      <c r="C2809" s="113" t="n"/>
      <c r="D2809" s="113" t="n"/>
      <c r="E2809" s="113" t="n"/>
      <c r="F2809" s="113" t="n"/>
      <c r="G2809" s="113" t="n"/>
      <c r="H2809" s="113" t="n"/>
      <c r="I2809" s="113" t="n"/>
      <c r="J2809" s="113" t="n"/>
      <c r="K2809" s="113" t="n"/>
      <c r="L2809" s="113" t="n"/>
      <c r="M2809" s="113" t="n"/>
      <c r="N2809" s="113" t="n"/>
      <c r="O2809" s="113" t="n"/>
      <c r="P2809" s="113" t="n"/>
      <c r="Q2809" s="113" t="n"/>
      <c r="R2809" s="113" t="n"/>
      <c r="S2809" s="113" t="n"/>
      <c r="T2809" s="113" t="n"/>
      <c r="U2809" s="113" t="n"/>
      <c r="V2809" s="113" t="n"/>
      <c r="W2809" s="113" t="n"/>
      <c r="X2809" s="113" t="n"/>
      <c r="Y2809" s="113" t="n"/>
      <c r="Z2809" s="117">
        <f>IF($B2809="",0,IF($S2809="EVET",IF($D2809="GELİR",$O2809,-$O2809),0))</f>
        <v/>
      </c>
      <c r="AA2809" s="117">
        <f>IF($B2809="",0,IF(OR($W2809="EVET",$X2809="EVET",$Y2809="EVET"),0,IF($D2809="GELİR",IF($E2809="SATIŞ İADESİ/İSKONTO",-$O2809,$O2809),-$O2809)))</f>
        <v/>
      </c>
      <c r="AB2809" s="117">
        <f>IF($B2809="","",IF(OR($D2809="",$E2809="",$O2809=""),"EKSİK",IF($O2809&lt;=0,"SIFIR/NEGATİF",IF(COUNTIFS($C$6:$C$5000,$C2809,$O$6:$O$5000,$O2809,$B$6:$B$5000,$B2809)&gt;1,"MÜKERRER","OK"))))</f>
        <v/>
      </c>
    </row>
    <row r="2810" ht="16.5" customHeight="1" s="80">
      <c r="A2810" s="113" t="n"/>
      <c r="B2810" s="113" t="n"/>
      <c r="C2810" s="113" t="n"/>
      <c r="D2810" s="113" t="n"/>
      <c r="E2810" s="113" t="n"/>
      <c r="F2810" s="113" t="n"/>
      <c r="G2810" s="113" t="n"/>
      <c r="H2810" s="113" t="n"/>
      <c r="I2810" s="113" t="n"/>
      <c r="J2810" s="113" t="n"/>
      <c r="K2810" s="113" t="n"/>
      <c r="L2810" s="113" t="n"/>
      <c r="M2810" s="113" t="n"/>
      <c r="N2810" s="113" t="n"/>
      <c r="O2810" s="113" t="n"/>
      <c r="P2810" s="113" t="n"/>
      <c r="Q2810" s="113" t="n"/>
      <c r="R2810" s="113" t="n"/>
      <c r="S2810" s="113" t="n"/>
      <c r="T2810" s="113" t="n"/>
      <c r="U2810" s="113" t="n"/>
      <c r="V2810" s="113" t="n"/>
      <c r="W2810" s="113" t="n"/>
      <c r="X2810" s="113" t="n"/>
      <c r="Y2810" s="113" t="n"/>
      <c r="Z2810" s="117">
        <f>IF($B2810="",0,IF($S2810="EVET",IF($D2810="GELİR",$O2810,-$O2810),0))</f>
        <v/>
      </c>
      <c r="AA2810" s="117">
        <f>IF($B2810="",0,IF(OR($W2810="EVET",$X2810="EVET",$Y2810="EVET"),0,IF($D2810="GELİR",IF($E2810="SATIŞ İADESİ/İSKONTO",-$O2810,$O2810),-$O2810)))</f>
        <v/>
      </c>
      <c r="AB2810" s="117">
        <f>IF($B2810="","",IF(OR($D2810="",$E2810="",$O2810=""),"EKSİK",IF($O2810&lt;=0,"SIFIR/NEGATİF",IF(COUNTIFS($C$6:$C$5000,$C2810,$O$6:$O$5000,$O2810,$B$6:$B$5000,$B2810)&gt;1,"MÜKERRER","OK"))))</f>
        <v/>
      </c>
    </row>
    <row r="2811" ht="16.5" customHeight="1" s="80">
      <c r="A2811" s="113" t="n"/>
      <c r="B2811" s="113" t="n"/>
      <c r="C2811" s="113" t="n"/>
      <c r="D2811" s="113" t="n"/>
      <c r="E2811" s="113" t="n"/>
      <c r="F2811" s="113" t="n"/>
      <c r="G2811" s="113" t="n"/>
      <c r="H2811" s="113" t="n"/>
      <c r="I2811" s="113" t="n"/>
      <c r="J2811" s="113" t="n"/>
      <c r="K2811" s="113" t="n"/>
      <c r="L2811" s="113" t="n"/>
      <c r="M2811" s="113" t="n"/>
      <c r="N2811" s="113" t="n"/>
      <c r="O2811" s="113" t="n"/>
      <c r="P2811" s="113" t="n"/>
      <c r="Q2811" s="113" t="n"/>
      <c r="R2811" s="113" t="n"/>
      <c r="S2811" s="113" t="n"/>
      <c r="T2811" s="113" t="n"/>
      <c r="U2811" s="113" t="n"/>
      <c r="V2811" s="113" t="n"/>
      <c r="W2811" s="113" t="n"/>
      <c r="X2811" s="113" t="n"/>
      <c r="Y2811" s="113" t="n"/>
      <c r="Z2811" s="117">
        <f>IF($B2811="",0,IF($S2811="EVET",IF($D2811="GELİR",$O2811,-$O2811),0))</f>
        <v/>
      </c>
      <c r="AA2811" s="117">
        <f>IF($B2811="",0,IF(OR($W2811="EVET",$X2811="EVET",$Y2811="EVET"),0,IF($D2811="GELİR",IF($E2811="SATIŞ İADESİ/İSKONTO",-$O2811,$O2811),-$O2811)))</f>
        <v/>
      </c>
      <c r="AB2811" s="117">
        <f>IF($B2811="","",IF(OR($D2811="",$E2811="",$O2811=""),"EKSİK",IF($O2811&lt;=0,"SIFIR/NEGATİF",IF(COUNTIFS($C$6:$C$5000,$C2811,$O$6:$O$5000,$O2811,$B$6:$B$5000,$B2811)&gt;1,"MÜKERRER","OK"))))</f>
        <v/>
      </c>
    </row>
    <row r="2812" ht="16.5" customHeight="1" s="80">
      <c r="A2812" s="113" t="n"/>
      <c r="B2812" s="113" t="n"/>
      <c r="C2812" s="113" t="n"/>
      <c r="D2812" s="113" t="n"/>
      <c r="E2812" s="113" t="n"/>
      <c r="F2812" s="113" t="n"/>
      <c r="G2812" s="113" t="n"/>
      <c r="H2812" s="113" t="n"/>
      <c r="I2812" s="113" t="n"/>
      <c r="J2812" s="113" t="n"/>
      <c r="K2812" s="113" t="n"/>
      <c r="L2812" s="113" t="n"/>
      <c r="M2812" s="113" t="n"/>
      <c r="N2812" s="113" t="n"/>
      <c r="O2812" s="113" t="n"/>
      <c r="P2812" s="113" t="n"/>
      <c r="Q2812" s="113" t="n"/>
      <c r="R2812" s="113" t="n"/>
      <c r="S2812" s="113" t="n"/>
      <c r="T2812" s="113" t="n"/>
      <c r="U2812" s="113" t="n"/>
      <c r="V2812" s="113" t="n"/>
      <c r="W2812" s="113" t="n"/>
      <c r="X2812" s="113" t="n"/>
      <c r="Y2812" s="113" t="n"/>
      <c r="Z2812" s="117">
        <f>IF($B2812="",0,IF($S2812="EVET",IF($D2812="GELİR",$O2812,-$O2812),0))</f>
        <v/>
      </c>
      <c r="AA2812" s="117">
        <f>IF($B2812="",0,IF(OR($W2812="EVET",$X2812="EVET",$Y2812="EVET"),0,IF($D2812="GELİR",IF($E2812="SATIŞ İADESİ/İSKONTO",-$O2812,$O2812),-$O2812)))</f>
        <v/>
      </c>
      <c r="AB2812" s="117">
        <f>IF($B2812="","",IF(OR($D2812="",$E2812="",$O2812=""),"EKSİK",IF($O2812&lt;=0,"SIFIR/NEGATİF",IF(COUNTIFS($C$6:$C$5000,$C2812,$O$6:$O$5000,$O2812,$B$6:$B$5000,$B2812)&gt;1,"MÜKERRER","OK"))))</f>
        <v/>
      </c>
    </row>
    <row r="2813" ht="16.5" customHeight="1" s="80">
      <c r="A2813" s="113" t="n"/>
      <c r="B2813" s="113" t="n"/>
      <c r="C2813" s="113" t="n"/>
      <c r="D2813" s="113" t="n"/>
      <c r="E2813" s="113" t="n"/>
      <c r="F2813" s="113" t="n"/>
      <c r="G2813" s="113" t="n"/>
      <c r="H2813" s="113" t="n"/>
      <c r="I2813" s="113" t="n"/>
      <c r="J2813" s="113" t="n"/>
      <c r="K2813" s="113" t="n"/>
      <c r="L2813" s="113" t="n"/>
      <c r="M2813" s="113" t="n"/>
      <c r="N2813" s="113" t="n"/>
      <c r="O2813" s="113" t="n"/>
      <c r="P2813" s="113" t="n"/>
      <c r="Q2813" s="113" t="n"/>
      <c r="R2813" s="113" t="n"/>
      <c r="S2813" s="113" t="n"/>
      <c r="T2813" s="113" t="n"/>
      <c r="U2813" s="113" t="n"/>
      <c r="V2813" s="113" t="n"/>
      <c r="W2813" s="113" t="n"/>
      <c r="X2813" s="113" t="n"/>
      <c r="Y2813" s="113" t="n"/>
      <c r="Z2813" s="117">
        <f>IF($B2813="",0,IF($S2813="EVET",IF($D2813="GELİR",$O2813,-$O2813),0))</f>
        <v/>
      </c>
      <c r="AA2813" s="117">
        <f>IF($B2813="",0,IF(OR($W2813="EVET",$X2813="EVET",$Y2813="EVET"),0,IF($D2813="GELİR",IF($E2813="SATIŞ İADESİ/İSKONTO",-$O2813,$O2813),-$O2813)))</f>
        <v/>
      </c>
      <c r="AB2813" s="117">
        <f>IF($B2813="","",IF(OR($D2813="",$E2813="",$O2813=""),"EKSİK",IF($O2813&lt;=0,"SIFIR/NEGATİF",IF(COUNTIFS($C$6:$C$5000,$C2813,$O$6:$O$5000,$O2813,$B$6:$B$5000,$B2813)&gt;1,"MÜKERRER","OK"))))</f>
        <v/>
      </c>
    </row>
    <row r="2814" ht="16.5" customHeight="1" s="80">
      <c r="A2814" s="113" t="n"/>
      <c r="B2814" s="113" t="n"/>
      <c r="C2814" s="113" t="n"/>
      <c r="D2814" s="113" t="n"/>
      <c r="E2814" s="113" t="n"/>
      <c r="F2814" s="113" t="n"/>
      <c r="G2814" s="113" t="n"/>
      <c r="H2814" s="113" t="n"/>
      <c r="I2814" s="113" t="n"/>
      <c r="J2814" s="113" t="n"/>
      <c r="K2814" s="113" t="n"/>
      <c r="L2814" s="113" t="n"/>
      <c r="M2814" s="113" t="n"/>
      <c r="N2814" s="113" t="n"/>
      <c r="O2814" s="113" t="n"/>
      <c r="P2814" s="113" t="n"/>
      <c r="Q2814" s="113" t="n"/>
      <c r="R2814" s="113" t="n"/>
      <c r="S2814" s="113" t="n"/>
      <c r="T2814" s="113" t="n"/>
      <c r="U2814" s="113" t="n"/>
      <c r="V2814" s="113" t="n"/>
      <c r="W2814" s="113" t="n"/>
      <c r="X2814" s="113" t="n"/>
      <c r="Y2814" s="113" t="n"/>
      <c r="Z2814" s="117">
        <f>IF($B2814="",0,IF($S2814="EVET",IF($D2814="GELİR",$O2814,-$O2814),0))</f>
        <v/>
      </c>
      <c r="AA2814" s="117">
        <f>IF($B2814="",0,IF(OR($W2814="EVET",$X2814="EVET",$Y2814="EVET"),0,IF($D2814="GELİR",IF($E2814="SATIŞ İADESİ/İSKONTO",-$O2814,$O2814),-$O2814)))</f>
        <v/>
      </c>
      <c r="AB2814" s="117">
        <f>IF($B2814="","",IF(OR($D2814="",$E2814="",$O2814=""),"EKSİK",IF($O2814&lt;=0,"SIFIR/NEGATİF",IF(COUNTIFS($C$6:$C$5000,$C2814,$O$6:$O$5000,$O2814,$B$6:$B$5000,$B2814)&gt;1,"MÜKERRER","OK"))))</f>
        <v/>
      </c>
    </row>
    <row r="2815" ht="16.5" customHeight="1" s="80">
      <c r="A2815" s="113" t="n"/>
      <c r="B2815" s="113" t="n"/>
      <c r="C2815" s="113" t="n"/>
      <c r="D2815" s="113" t="n"/>
      <c r="E2815" s="113" t="n"/>
      <c r="F2815" s="113" t="n"/>
      <c r="G2815" s="113" t="n"/>
      <c r="H2815" s="113" t="n"/>
      <c r="I2815" s="113" t="n"/>
      <c r="J2815" s="113" t="n"/>
      <c r="K2815" s="113" t="n"/>
      <c r="L2815" s="113" t="n"/>
      <c r="M2815" s="113" t="n"/>
      <c r="N2815" s="113" t="n"/>
      <c r="O2815" s="113" t="n"/>
      <c r="P2815" s="113" t="n"/>
      <c r="Q2815" s="113" t="n"/>
      <c r="R2815" s="113" t="n"/>
      <c r="S2815" s="113" t="n"/>
      <c r="T2815" s="113" t="n"/>
      <c r="U2815" s="113" t="n"/>
      <c r="V2815" s="113" t="n"/>
      <c r="W2815" s="113" t="n"/>
      <c r="X2815" s="113" t="n"/>
      <c r="Y2815" s="113" t="n"/>
      <c r="Z2815" s="117">
        <f>IF($B2815="",0,IF($S2815="EVET",IF($D2815="GELİR",$O2815,-$O2815),0))</f>
        <v/>
      </c>
      <c r="AA2815" s="117">
        <f>IF($B2815="",0,IF(OR($W2815="EVET",$X2815="EVET",$Y2815="EVET"),0,IF($D2815="GELİR",IF($E2815="SATIŞ İADESİ/İSKONTO",-$O2815,$O2815),-$O2815)))</f>
        <v/>
      </c>
      <c r="AB2815" s="117">
        <f>IF($B2815="","",IF(OR($D2815="",$E2815="",$O2815=""),"EKSİK",IF($O2815&lt;=0,"SIFIR/NEGATİF",IF(COUNTIFS($C$6:$C$5000,$C2815,$O$6:$O$5000,$O2815,$B$6:$B$5000,$B2815)&gt;1,"MÜKERRER","OK"))))</f>
        <v/>
      </c>
    </row>
    <row r="2816" ht="16.5" customHeight="1" s="80">
      <c r="A2816" s="113" t="n"/>
      <c r="B2816" s="113" t="n"/>
      <c r="C2816" s="113" t="n"/>
      <c r="D2816" s="113" t="n"/>
      <c r="E2816" s="113" t="n"/>
      <c r="F2816" s="113" t="n"/>
      <c r="G2816" s="113" t="n"/>
      <c r="H2816" s="113" t="n"/>
      <c r="I2816" s="113" t="n"/>
      <c r="J2816" s="113" t="n"/>
      <c r="K2816" s="113" t="n"/>
      <c r="L2816" s="113" t="n"/>
      <c r="M2816" s="113" t="n"/>
      <c r="N2816" s="113" t="n"/>
      <c r="O2816" s="113" t="n"/>
      <c r="P2816" s="113" t="n"/>
      <c r="Q2816" s="113" t="n"/>
      <c r="R2816" s="113" t="n"/>
      <c r="S2816" s="113" t="n"/>
      <c r="T2816" s="113" t="n"/>
      <c r="U2816" s="113" t="n"/>
      <c r="V2816" s="113" t="n"/>
      <c r="W2816" s="113" t="n"/>
      <c r="X2816" s="113" t="n"/>
      <c r="Y2816" s="113" t="n"/>
      <c r="Z2816" s="117">
        <f>IF($B2816="",0,IF($S2816="EVET",IF($D2816="GELİR",$O2816,-$O2816),0))</f>
        <v/>
      </c>
      <c r="AA2816" s="117">
        <f>IF($B2816="",0,IF(OR($W2816="EVET",$X2816="EVET",$Y2816="EVET"),0,IF($D2816="GELİR",IF($E2816="SATIŞ İADESİ/İSKONTO",-$O2816,$O2816),-$O2816)))</f>
        <v/>
      </c>
      <c r="AB2816" s="117">
        <f>IF($B2816="","",IF(OR($D2816="",$E2816="",$O2816=""),"EKSİK",IF($O2816&lt;=0,"SIFIR/NEGATİF",IF(COUNTIFS($C$6:$C$5000,$C2816,$O$6:$O$5000,$O2816,$B$6:$B$5000,$B2816)&gt;1,"MÜKERRER","OK"))))</f>
        <v/>
      </c>
    </row>
    <row r="2817" ht="16.5" customHeight="1" s="80">
      <c r="A2817" s="113" t="n"/>
      <c r="B2817" s="113" t="n"/>
      <c r="C2817" s="113" t="n"/>
      <c r="D2817" s="113" t="n"/>
      <c r="E2817" s="113" t="n"/>
      <c r="F2817" s="113" t="n"/>
      <c r="G2817" s="113" t="n"/>
      <c r="H2817" s="113" t="n"/>
      <c r="I2817" s="113" t="n"/>
      <c r="J2817" s="113" t="n"/>
      <c r="K2817" s="113" t="n"/>
      <c r="L2817" s="113" t="n"/>
      <c r="M2817" s="113" t="n"/>
      <c r="N2817" s="113" t="n"/>
      <c r="O2817" s="113" t="n"/>
      <c r="P2817" s="113" t="n"/>
      <c r="Q2817" s="113" t="n"/>
      <c r="R2817" s="113" t="n"/>
      <c r="S2817" s="113" t="n"/>
      <c r="T2817" s="113" t="n"/>
      <c r="U2817" s="113" t="n"/>
      <c r="V2817" s="113" t="n"/>
      <c r="W2817" s="113" t="n"/>
      <c r="X2817" s="113" t="n"/>
      <c r="Y2817" s="113" t="n"/>
      <c r="Z2817" s="117">
        <f>IF($B2817="",0,IF($S2817="EVET",IF($D2817="GELİR",$O2817,-$O2817),0))</f>
        <v/>
      </c>
      <c r="AA2817" s="117">
        <f>IF($B2817="",0,IF(OR($W2817="EVET",$X2817="EVET",$Y2817="EVET"),0,IF($D2817="GELİR",IF($E2817="SATIŞ İADESİ/İSKONTO",-$O2817,$O2817),-$O2817)))</f>
        <v/>
      </c>
      <c r="AB2817" s="117">
        <f>IF($B2817="","",IF(OR($D2817="",$E2817="",$O2817=""),"EKSİK",IF($O2817&lt;=0,"SIFIR/NEGATİF",IF(COUNTIFS($C$6:$C$5000,$C2817,$O$6:$O$5000,$O2817,$B$6:$B$5000,$B2817)&gt;1,"MÜKERRER","OK"))))</f>
        <v/>
      </c>
    </row>
    <row r="2818" ht="16.5" customHeight="1" s="80">
      <c r="A2818" s="113" t="n"/>
      <c r="B2818" s="113" t="n"/>
      <c r="C2818" s="113" t="n"/>
      <c r="D2818" s="113" t="n"/>
      <c r="E2818" s="113" t="n"/>
      <c r="F2818" s="113" t="n"/>
      <c r="G2818" s="113" t="n"/>
      <c r="H2818" s="113" t="n"/>
      <c r="I2818" s="113" t="n"/>
      <c r="J2818" s="113" t="n"/>
      <c r="K2818" s="113" t="n"/>
      <c r="L2818" s="113" t="n"/>
      <c r="M2818" s="113" t="n"/>
      <c r="N2818" s="113" t="n"/>
      <c r="O2818" s="113" t="n"/>
      <c r="P2818" s="113" t="n"/>
      <c r="Q2818" s="113" t="n"/>
      <c r="R2818" s="113" t="n"/>
      <c r="S2818" s="113" t="n"/>
      <c r="T2818" s="113" t="n"/>
      <c r="U2818" s="113" t="n"/>
      <c r="V2818" s="113" t="n"/>
      <c r="W2818" s="113" t="n"/>
      <c r="X2818" s="113" t="n"/>
      <c r="Y2818" s="113" t="n"/>
      <c r="Z2818" s="117">
        <f>IF($B2818="",0,IF($S2818="EVET",IF($D2818="GELİR",$O2818,-$O2818),0))</f>
        <v/>
      </c>
      <c r="AA2818" s="117">
        <f>IF($B2818="",0,IF(OR($W2818="EVET",$X2818="EVET",$Y2818="EVET"),0,IF($D2818="GELİR",IF($E2818="SATIŞ İADESİ/İSKONTO",-$O2818,$O2818),-$O2818)))</f>
        <v/>
      </c>
      <c r="AB2818" s="117">
        <f>IF($B2818="","",IF(OR($D2818="",$E2818="",$O2818=""),"EKSİK",IF($O2818&lt;=0,"SIFIR/NEGATİF",IF(COUNTIFS($C$6:$C$5000,$C2818,$O$6:$O$5000,$O2818,$B$6:$B$5000,$B2818)&gt;1,"MÜKERRER","OK"))))</f>
        <v/>
      </c>
    </row>
    <row r="2819" ht="16.5" customHeight="1" s="80">
      <c r="A2819" s="113" t="n"/>
      <c r="B2819" s="113" t="n"/>
      <c r="C2819" s="113" t="n"/>
      <c r="D2819" s="113" t="n"/>
      <c r="E2819" s="113" t="n"/>
      <c r="F2819" s="113" t="n"/>
      <c r="G2819" s="113" t="n"/>
      <c r="H2819" s="113" t="n"/>
      <c r="I2819" s="113" t="n"/>
      <c r="J2819" s="113" t="n"/>
      <c r="K2819" s="113" t="n"/>
      <c r="L2819" s="113" t="n"/>
      <c r="M2819" s="113" t="n"/>
      <c r="N2819" s="113" t="n"/>
      <c r="O2819" s="113" t="n"/>
      <c r="P2819" s="113" t="n"/>
      <c r="Q2819" s="113" t="n"/>
      <c r="R2819" s="113" t="n"/>
      <c r="S2819" s="113" t="n"/>
      <c r="T2819" s="113" t="n"/>
      <c r="U2819" s="113" t="n"/>
      <c r="V2819" s="113" t="n"/>
      <c r="W2819" s="113" t="n"/>
      <c r="X2819" s="113" t="n"/>
      <c r="Y2819" s="113" t="n"/>
      <c r="Z2819" s="117">
        <f>IF($B2819="",0,IF($S2819="EVET",IF($D2819="GELİR",$O2819,-$O2819),0))</f>
        <v/>
      </c>
      <c r="AA2819" s="117">
        <f>IF($B2819="",0,IF(OR($W2819="EVET",$X2819="EVET",$Y2819="EVET"),0,IF($D2819="GELİR",IF($E2819="SATIŞ İADESİ/İSKONTO",-$O2819,$O2819),-$O2819)))</f>
        <v/>
      </c>
      <c r="AB2819" s="117">
        <f>IF($B2819="","",IF(OR($D2819="",$E2819="",$O2819=""),"EKSİK",IF($O2819&lt;=0,"SIFIR/NEGATİF",IF(COUNTIFS($C$6:$C$5000,$C2819,$O$6:$O$5000,$O2819,$B$6:$B$5000,$B2819)&gt;1,"MÜKERRER","OK"))))</f>
        <v/>
      </c>
    </row>
    <row r="2820" ht="16.5" customHeight="1" s="80">
      <c r="A2820" s="113" t="n"/>
      <c r="B2820" s="113" t="n"/>
      <c r="C2820" s="113" t="n"/>
      <c r="D2820" s="113" t="n"/>
      <c r="E2820" s="113" t="n"/>
      <c r="F2820" s="113" t="n"/>
      <c r="G2820" s="113" t="n"/>
      <c r="H2820" s="113" t="n"/>
      <c r="I2820" s="113" t="n"/>
      <c r="J2820" s="113" t="n"/>
      <c r="K2820" s="113" t="n"/>
      <c r="L2820" s="113" t="n"/>
      <c r="M2820" s="113" t="n"/>
      <c r="N2820" s="113" t="n"/>
      <c r="O2820" s="113" t="n"/>
      <c r="P2820" s="113" t="n"/>
      <c r="Q2820" s="113" t="n"/>
      <c r="R2820" s="113" t="n"/>
      <c r="S2820" s="113" t="n"/>
      <c r="T2820" s="113" t="n"/>
      <c r="U2820" s="113" t="n"/>
      <c r="V2820" s="113" t="n"/>
      <c r="W2820" s="113" t="n"/>
      <c r="X2820" s="113" t="n"/>
      <c r="Y2820" s="113" t="n"/>
      <c r="Z2820" s="117">
        <f>IF($B2820="",0,IF($S2820="EVET",IF($D2820="GELİR",$O2820,-$O2820),0))</f>
        <v/>
      </c>
      <c r="AA2820" s="117">
        <f>IF($B2820="",0,IF(OR($W2820="EVET",$X2820="EVET",$Y2820="EVET"),0,IF($D2820="GELİR",IF($E2820="SATIŞ İADESİ/İSKONTO",-$O2820,$O2820),-$O2820)))</f>
        <v/>
      </c>
      <c r="AB2820" s="117">
        <f>IF($B2820="","",IF(OR($D2820="",$E2820="",$O2820=""),"EKSİK",IF($O2820&lt;=0,"SIFIR/NEGATİF",IF(COUNTIFS($C$6:$C$5000,$C2820,$O$6:$O$5000,$O2820,$B$6:$B$5000,$B2820)&gt;1,"MÜKERRER","OK"))))</f>
        <v/>
      </c>
    </row>
    <row r="2821" ht="16.5" customHeight="1" s="80">
      <c r="A2821" s="113" t="n"/>
      <c r="B2821" s="113" t="n"/>
      <c r="C2821" s="113" t="n"/>
      <c r="D2821" s="113" t="n"/>
      <c r="E2821" s="113" t="n"/>
      <c r="F2821" s="113" t="n"/>
      <c r="G2821" s="113" t="n"/>
      <c r="H2821" s="113" t="n"/>
      <c r="I2821" s="113" t="n"/>
      <c r="J2821" s="113" t="n"/>
      <c r="K2821" s="113" t="n"/>
      <c r="L2821" s="113" t="n"/>
      <c r="M2821" s="113" t="n"/>
      <c r="N2821" s="113" t="n"/>
      <c r="O2821" s="113" t="n"/>
      <c r="P2821" s="113" t="n"/>
      <c r="Q2821" s="113" t="n"/>
      <c r="R2821" s="113" t="n"/>
      <c r="S2821" s="113" t="n"/>
      <c r="T2821" s="113" t="n"/>
      <c r="U2821" s="113" t="n"/>
      <c r="V2821" s="113" t="n"/>
      <c r="W2821" s="113" t="n"/>
      <c r="X2821" s="113" t="n"/>
      <c r="Y2821" s="113" t="n"/>
      <c r="Z2821" s="117">
        <f>IF($B2821="",0,IF($S2821="EVET",IF($D2821="GELİR",$O2821,-$O2821),0))</f>
        <v/>
      </c>
      <c r="AA2821" s="117">
        <f>IF($B2821="",0,IF(OR($W2821="EVET",$X2821="EVET",$Y2821="EVET"),0,IF($D2821="GELİR",IF($E2821="SATIŞ İADESİ/İSKONTO",-$O2821,$O2821),-$O2821)))</f>
        <v/>
      </c>
      <c r="AB2821" s="117">
        <f>IF($B2821="","",IF(OR($D2821="",$E2821="",$O2821=""),"EKSİK",IF($O2821&lt;=0,"SIFIR/NEGATİF",IF(COUNTIFS($C$6:$C$5000,$C2821,$O$6:$O$5000,$O2821,$B$6:$B$5000,$B2821)&gt;1,"MÜKERRER","OK"))))</f>
        <v/>
      </c>
    </row>
    <row r="2822" ht="16.5" customHeight="1" s="80">
      <c r="A2822" s="113" t="n"/>
      <c r="B2822" s="113" t="n"/>
      <c r="C2822" s="113" t="n"/>
      <c r="D2822" s="113" t="n"/>
      <c r="E2822" s="113" t="n"/>
      <c r="F2822" s="113" t="n"/>
      <c r="G2822" s="113" t="n"/>
      <c r="H2822" s="113" t="n"/>
      <c r="I2822" s="113" t="n"/>
      <c r="J2822" s="113" t="n"/>
      <c r="K2822" s="113" t="n"/>
      <c r="L2822" s="113" t="n"/>
      <c r="M2822" s="113" t="n"/>
      <c r="N2822" s="113" t="n"/>
      <c r="O2822" s="113" t="n"/>
      <c r="P2822" s="113" t="n"/>
      <c r="Q2822" s="113" t="n"/>
      <c r="R2822" s="113" t="n"/>
      <c r="S2822" s="113" t="n"/>
      <c r="T2822" s="113" t="n"/>
      <c r="U2822" s="113" t="n"/>
      <c r="V2822" s="113" t="n"/>
      <c r="W2822" s="113" t="n"/>
      <c r="X2822" s="113" t="n"/>
      <c r="Y2822" s="113" t="n"/>
      <c r="Z2822" s="117">
        <f>IF($B2822="",0,IF($S2822="EVET",IF($D2822="GELİR",$O2822,-$O2822),0))</f>
        <v/>
      </c>
      <c r="AA2822" s="117">
        <f>IF($B2822="",0,IF(OR($W2822="EVET",$X2822="EVET",$Y2822="EVET"),0,IF($D2822="GELİR",IF($E2822="SATIŞ İADESİ/İSKONTO",-$O2822,$O2822),-$O2822)))</f>
        <v/>
      </c>
      <c r="AB2822" s="117">
        <f>IF($B2822="","",IF(OR($D2822="",$E2822="",$O2822=""),"EKSİK",IF($O2822&lt;=0,"SIFIR/NEGATİF",IF(COUNTIFS($C$6:$C$5000,$C2822,$O$6:$O$5000,$O2822,$B$6:$B$5000,$B2822)&gt;1,"MÜKERRER","OK"))))</f>
        <v/>
      </c>
    </row>
    <row r="2823" ht="16.5" customHeight="1" s="80">
      <c r="A2823" s="113" t="n"/>
      <c r="B2823" s="113" t="n"/>
      <c r="C2823" s="113" t="n"/>
      <c r="D2823" s="113" t="n"/>
      <c r="E2823" s="113" t="n"/>
      <c r="F2823" s="113" t="n"/>
      <c r="G2823" s="113" t="n"/>
      <c r="H2823" s="113" t="n"/>
      <c r="I2823" s="113" t="n"/>
      <c r="J2823" s="113" t="n"/>
      <c r="K2823" s="113" t="n"/>
      <c r="L2823" s="113" t="n"/>
      <c r="M2823" s="113" t="n"/>
      <c r="N2823" s="113" t="n"/>
      <c r="O2823" s="113" t="n"/>
      <c r="P2823" s="113" t="n"/>
      <c r="Q2823" s="113" t="n"/>
      <c r="R2823" s="113" t="n"/>
      <c r="S2823" s="113" t="n"/>
      <c r="T2823" s="113" t="n"/>
      <c r="U2823" s="113" t="n"/>
      <c r="V2823" s="113" t="n"/>
      <c r="W2823" s="113" t="n"/>
      <c r="X2823" s="113" t="n"/>
      <c r="Y2823" s="113" t="n"/>
      <c r="Z2823" s="117">
        <f>IF($B2823="",0,IF($S2823="EVET",IF($D2823="GELİR",$O2823,-$O2823),0))</f>
        <v/>
      </c>
      <c r="AA2823" s="117">
        <f>IF($B2823="",0,IF(OR($W2823="EVET",$X2823="EVET",$Y2823="EVET"),0,IF($D2823="GELİR",IF($E2823="SATIŞ İADESİ/İSKONTO",-$O2823,$O2823),-$O2823)))</f>
        <v/>
      </c>
      <c r="AB2823" s="117">
        <f>IF($B2823="","",IF(OR($D2823="",$E2823="",$O2823=""),"EKSİK",IF($O2823&lt;=0,"SIFIR/NEGATİF",IF(COUNTIFS($C$6:$C$5000,$C2823,$O$6:$O$5000,$O2823,$B$6:$B$5000,$B2823)&gt;1,"MÜKERRER","OK"))))</f>
        <v/>
      </c>
    </row>
    <row r="2824" ht="16.5" customHeight="1" s="80">
      <c r="A2824" s="113" t="n"/>
      <c r="B2824" s="113" t="n"/>
      <c r="C2824" s="113" t="n"/>
      <c r="D2824" s="113" t="n"/>
      <c r="E2824" s="113" t="n"/>
      <c r="F2824" s="113" t="n"/>
      <c r="G2824" s="113" t="n"/>
      <c r="H2824" s="113" t="n"/>
      <c r="I2824" s="113" t="n"/>
      <c r="J2824" s="113" t="n"/>
      <c r="K2824" s="113" t="n"/>
      <c r="L2824" s="113" t="n"/>
      <c r="M2824" s="113" t="n"/>
      <c r="N2824" s="113" t="n"/>
      <c r="O2824" s="113" t="n"/>
      <c r="P2824" s="113" t="n"/>
      <c r="Q2824" s="113" t="n"/>
      <c r="R2824" s="113" t="n"/>
      <c r="S2824" s="113" t="n"/>
      <c r="T2824" s="113" t="n"/>
      <c r="U2824" s="113" t="n"/>
      <c r="V2824" s="113" t="n"/>
      <c r="W2824" s="113" t="n"/>
      <c r="X2824" s="113" t="n"/>
      <c r="Y2824" s="113" t="n"/>
      <c r="Z2824" s="117">
        <f>IF($B2824="",0,IF($S2824="EVET",IF($D2824="GELİR",$O2824,-$O2824),0))</f>
        <v/>
      </c>
      <c r="AA2824" s="117">
        <f>IF($B2824="",0,IF(OR($W2824="EVET",$X2824="EVET",$Y2824="EVET"),0,IF($D2824="GELİR",IF($E2824="SATIŞ İADESİ/İSKONTO",-$O2824,$O2824),-$O2824)))</f>
        <v/>
      </c>
      <c r="AB2824" s="117">
        <f>IF($B2824="","",IF(OR($D2824="",$E2824="",$O2824=""),"EKSİK",IF($O2824&lt;=0,"SIFIR/NEGATİF",IF(COUNTIFS($C$6:$C$5000,$C2824,$O$6:$O$5000,$O2824,$B$6:$B$5000,$B2824)&gt;1,"MÜKERRER","OK"))))</f>
        <v/>
      </c>
    </row>
    <row r="2825" ht="16.5" customHeight="1" s="80">
      <c r="A2825" s="113" t="n"/>
      <c r="B2825" s="113" t="n"/>
      <c r="C2825" s="113" t="n"/>
      <c r="D2825" s="113" t="n"/>
      <c r="E2825" s="113" t="n"/>
      <c r="F2825" s="113" t="n"/>
      <c r="G2825" s="113" t="n"/>
      <c r="H2825" s="113" t="n"/>
      <c r="I2825" s="113" t="n"/>
      <c r="J2825" s="113" t="n"/>
      <c r="K2825" s="113" t="n"/>
      <c r="L2825" s="113" t="n"/>
      <c r="M2825" s="113" t="n"/>
      <c r="N2825" s="113" t="n"/>
      <c r="O2825" s="113" t="n"/>
      <c r="P2825" s="113" t="n"/>
      <c r="Q2825" s="113" t="n"/>
      <c r="R2825" s="113" t="n"/>
      <c r="S2825" s="113" t="n"/>
      <c r="T2825" s="113" t="n"/>
      <c r="U2825" s="113" t="n"/>
      <c r="V2825" s="113" t="n"/>
      <c r="W2825" s="113" t="n"/>
      <c r="X2825" s="113" t="n"/>
      <c r="Y2825" s="113" t="n"/>
      <c r="Z2825" s="117">
        <f>IF($B2825="",0,IF($S2825="EVET",IF($D2825="GELİR",$O2825,-$O2825),0))</f>
        <v/>
      </c>
      <c r="AA2825" s="117">
        <f>IF($B2825="",0,IF(OR($W2825="EVET",$X2825="EVET",$Y2825="EVET"),0,IF($D2825="GELİR",IF($E2825="SATIŞ İADESİ/İSKONTO",-$O2825,$O2825),-$O2825)))</f>
        <v/>
      </c>
      <c r="AB2825" s="117">
        <f>IF($B2825="","",IF(OR($D2825="",$E2825="",$O2825=""),"EKSİK",IF($O2825&lt;=0,"SIFIR/NEGATİF",IF(COUNTIFS($C$6:$C$5000,$C2825,$O$6:$O$5000,$O2825,$B$6:$B$5000,$B2825)&gt;1,"MÜKERRER","OK"))))</f>
        <v/>
      </c>
    </row>
    <row r="2826" ht="16.5" customHeight="1" s="80">
      <c r="A2826" s="113" t="n"/>
      <c r="B2826" s="113" t="n"/>
      <c r="C2826" s="113" t="n"/>
      <c r="D2826" s="113" t="n"/>
      <c r="E2826" s="113" t="n"/>
      <c r="F2826" s="113" t="n"/>
      <c r="G2826" s="113" t="n"/>
      <c r="H2826" s="113" t="n"/>
      <c r="I2826" s="113" t="n"/>
      <c r="J2826" s="113" t="n"/>
      <c r="K2826" s="113" t="n"/>
      <c r="L2826" s="113" t="n"/>
      <c r="M2826" s="113" t="n"/>
      <c r="N2826" s="113" t="n"/>
      <c r="O2826" s="113" t="n"/>
      <c r="P2826" s="113" t="n"/>
      <c r="Q2826" s="113" t="n"/>
      <c r="R2826" s="113" t="n"/>
      <c r="S2826" s="113" t="n"/>
      <c r="T2826" s="113" t="n"/>
      <c r="U2826" s="113" t="n"/>
      <c r="V2826" s="113" t="n"/>
      <c r="W2826" s="113" t="n"/>
      <c r="X2826" s="113" t="n"/>
      <c r="Y2826" s="113" t="n"/>
      <c r="Z2826" s="117">
        <f>IF($B2826="",0,IF($S2826="EVET",IF($D2826="GELİR",$O2826,-$O2826),0))</f>
        <v/>
      </c>
      <c r="AA2826" s="117">
        <f>IF($B2826="",0,IF(OR($W2826="EVET",$X2826="EVET",$Y2826="EVET"),0,IF($D2826="GELİR",IF($E2826="SATIŞ İADESİ/İSKONTO",-$O2826,$O2826),-$O2826)))</f>
        <v/>
      </c>
      <c r="AB2826" s="117">
        <f>IF($B2826="","",IF(OR($D2826="",$E2826="",$O2826=""),"EKSİK",IF($O2826&lt;=0,"SIFIR/NEGATİF",IF(COUNTIFS($C$6:$C$5000,$C2826,$O$6:$O$5000,$O2826,$B$6:$B$5000,$B2826)&gt;1,"MÜKERRER","OK"))))</f>
        <v/>
      </c>
    </row>
    <row r="2827" ht="16.5" customHeight="1" s="80">
      <c r="A2827" s="113" t="n"/>
      <c r="B2827" s="113" t="n"/>
      <c r="C2827" s="113" t="n"/>
      <c r="D2827" s="113" t="n"/>
      <c r="E2827" s="113" t="n"/>
      <c r="F2827" s="113" t="n"/>
      <c r="G2827" s="113" t="n"/>
      <c r="H2827" s="113" t="n"/>
      <c r="I2827" s="113" t="n"/>
      <c r="J2827" s="113" t="n"/>
      <c r="K2827" s="113" t="n"/>
      <c r="L2827" s="113" t="n"/>
      <c r="M2827" s="113" t="n"/>
      <c r="N2827" s="113" t="n"/>
      <c r="O2827" s="113" t="n"/>
      <c r="P2827" s="113" t="n"/>
      <c r="Q2827" s="113" t="n"/>
      <c r="R2827" s="113" t="n"/>
      <c r="S2827" s="113" t="n"/>
      <c r="T2827" s="113" t="n"/>
      <c r="U2827" s="113" t="n"/>
      <c r="V2827" s="113" t="n"/>
      <c r="W2827" s="113" t="n"/>
      <c r="X2827" s="113" t="n"/>
      <c r="Y2827" s="113" t="n"/>
      <c r="Z2827" s="117">
        <f>IF($B2827="",0,IF($S2827="EVET",IF($D2827="GELİR",$O2827,-$O2827),0))</f>
        <v/>
      </c>
      <c r="AA2827" s="117">
        <f>IF($B2827="",0,IF(OR($W2827="EVET",$X2827="EVET",$Y2827="EVET"),0,IF($D2827="GELİR",IF($E2827="SATIŞ İADESİ/İSKONTO",-$O2827,$O2827),-$O2827)))</f>
        <v/>
      </c>
      <c r="AB2827" s="117">
        <f>IF($B2827="","",IF(OR($D2827="",$E2827="",$O2827=""),"EKSİK",IF($O2827&lt;=0,"SIFIR/NEGATİF",IF(COUNTIFS($C$6:$C$5000,$C2827,$O$6:$O$5000,$O2827,$B$6:$B$5000,$B2827)&gt;1,"MÜKERRER","OK"))))</f>
        <v/>
      </c>
    </row>
    <row r="2828" ht="16.5" customHeight="1" s="80">
      <c r="A2828" s="113" t="n"/>
      <c r="B2828" s="113" t="n"/>
      <c r="C2828" s="113" t="n"/>
      <c r="D2828" s="113" t="n"/>
      <c r="E2828" s="113" t="n"/>
      <c r="F2828" s="113" t="n"/>
      <c r="G2828" s="113" t="n"/>
      <c r="H2828" s="113" t="n"/>
      <c r="I2828" s="113" t="n"/>
      <c r="J2828" s="113" t="n"/>
      <c r="K2828" s="113" t="n"/>
      <c r="L2828" s="113" t="n"/>
      <c r="M2828" s="113" t="n"/>
      <c r="N2828" s="113" t="n"/>
      <c r="O2828" s="113" t="n"/>
      <c r="P2828" s="113" t="n"/>
      <c r="Q2828" s="113" t="n"/>
      <c r="R2828" s="113" t="n"/>
      <c r="S2828" s="113" t="n"/>
      <c r="T2828" s="113" t="n"/>
      <c r="U2828" s="113" t="n"/>
      <c r="V2828" s="113" t="n"/>
      <c r="W2828" s="113" t="n"/>
      <c r="X2828" s="113" t="n"/>
      <c r="Y2828" s="113" t="n"/>
      <c r="Z2828" s="117">
        <f>IF($B2828="",0,IF($S2828="EVET",IF($D2828="GELİR",$O2828,-$O2828),0))</f>
        <v/>
      </c>
      <c r="AA2828" s="117">
        <f>IF($B2828="",0,IF(OR($W2828="EVET",$X2828="EVET",$Y2828="EVET"),0,IF($D2828="GELİR",IF($E2828="SATIŞ İADESİ/İSKONTO",-$O2828,$O2828),-$O2828)))</f>
        <v/>
      </c>
      <c r="AB2828" s="117">
        <f>IF($B2828="","",IF(OR($D2828="",$E2828="",$O2828=""),"EKSİK",IF($O2828&lt;=0,"SIFIR/NEGATİF",IF(COUNTIFS($C$6:$C$5000,$C2828,$O$6:$O$5000,$O2828,$B$6:$B$5000,$B2828)&gt;1,"MÜKERRER","OK"))))</f>
        <v/>
      </c>
    </row>
    <row r="2829" ht="16.5" customHeight="1" s="80">
      <c r="A2829" s="113" t="n"/>
      <c r="B2829" s="113" t="n"/>
      <c r="C2829" s="113" t="n"/>
      <c r="D2829" s="113" t="n"/>
      <c r="E2829" s="113" t="n"/>
      <c r="F2829" s="113" t="n"/>
      <c r="G2829" s="113" t="n"/>
      <c r="H2829" s="113" t="n"/>
      <c r="I2829" s="113" t="n"/>
      <c r="J2829" s="113" t="n"/>
      <c r="K2829" s="113" t="n"/>
      <c r="L2829" s="113" t="n"/>
      <c r="M2829" s="113" t="n"/>
      <c r="N2829" s="113" t="n"/>
      <c r="O2829" s="113" t="n"/>
      <c r="P2829" s="113" t="n"/>
      <c r="Q2829" s="113" t="n"/>
      <c r="R2829" s="113" t="n"/>
      <c r="S2829" s="113" t="n"/>
      <c r="T2829" s="113" t="n"/>
      <c r="U2829" s="113" t="n"/>
      <c r="V2829" s="113" t="n"/>
      <c r="W2829" s="113" t="n"/>
      <c r="X2829" s="113" t="n"/>
      <c r="Y2829" s="113" t="n"/>
      <c r="Z2829" s="117">
        <f>IF($B2829="",0,IF($S2829="EVET",IF($D2829="GELİR",$O2829,-$O2829),0))</f>
        <v/>
      </c>
      <c r="AA2829" s="117">
        <f>IF($B2829="",0,IF(OR($W2829="EVET",$X2829="EVET",$Y2829="EVET"),0,IF($D2829="GELİR",IF($E2829="SATIŞ İADESİ/İSKONTO",-$O2829,$O2829),-$O2829)))</f>
        <v/>
      </c>
      <c r="AB2829" s="117">
        <f>IF($B2829="","",IF(OR($D2829="",$E2829="",$O2829=""),"EKSİK",IF($O2829&lt;=0,"SIFIR/NEGATİF",IF(COUNTIFS($C$6:$C$5000,$C2829,$O$6:$O$5000,$O2829,$B$6:$B$5000,$B2829)&gt;1,"MÜKERRER","OK"))))</f>
        <v/>
      </c>
    </row>
    <row r="2830" ht="16.5" customHeight="1" s="80">
      <c r="A2830" s="113" t="n"/>
      <c r="B2830" s="113" t="n"/>
      <c r="C2830" s="113" t="n"/>
      <c r="D2830" s="113" t="n"/>
      <c r="E2830" s="113" t="n"/>
      <c r="F2830" s="113" t="n"/>
      <c r="G2830" s="113" t="n"/>
      <c r="H2830" s="113" t="n"/>
      <c r="I2830" s="113" t="n"/>
      <c r="J2830" s="113" t="n"/>
      <c r="K2830" s="113" t="n"/>
      <c r="L2830" s="113" t="n"/>
      <c r="M2830" s="113" t="n"/>
      <c r="N2830" s="113" t="n"/>
      <c r="O2830" s="113" t="n"/>
      <c r="P2830" s="113" t="n"/>
      <c r="Q2830" s="113" t="n"/>
      <c r="R2830" s="113" t="n"/>
      <c r="S2830" s="113" t="n"/>
      <c r="T2830" s="113" t="n"/>
      <c r="U2830" s="113" t="n"/>
      <c r="V2830" s="113" t="n"/>
      <c r="W2830" s="113" t="n"/>
      <c r="X2830" s="113" t="n"/>
      <c r="Y2830" s="113" t="n"/>
      <c r="Z2830" s="117">
        <f>IF($B2830="",0,IF($S2830="EVET",IF($D2830="GELİR",$O2830,-$O2830),0))</f>
        <v/>
      </c>
      <c r="AA2830" s="117">
        <f>IF($B2830="",0,IF(OR($W2830="EVET",$X2830="EVET",$Y2830="EVET"),0,IF($D2830="GELİR",IF($E2830="SATIŞ İADESİ/İSKONTO",-$O2830,$O2830),-$O2830)))</f>
        <v/>
      </c>
      <c r="AB2830" s="117">
        <f>IF($B2830="","",IF(OR($D2830="",$E2830="",$O2830=""),"EKSİK",IF($O2830&lt;=0,"SIFIR/NEGATİF",IF(COUNTIFS($C$6:$C$5000,$C2830,$O$6:$O$5000,$O2830,$B$6:$B$5000,$B2830)&gt;1,"MÜKERRER","OK"))))</f>
        <v/>
      </c>
    </row>
    <row r="2831" ht="16.5" customHeight="1" s="80">
      <c r="A2831" s="113" t="n"/>
      <c r="B2831" s="113" t="n"/>
      <c r="C2831" s="113" t="n"/>
      <c r="D2831" s="113" t="n"/>
      <c r="E2831" s="113" t="n"/>
      <c r="F2831" s="113" t="n"/>
      <c r="G2831" s="113" t="n"/>
      <c r="H2831" s="113" t="n"/>
      <c r="I2831" s="113" t="n"/>
      <c r="J2831" s="113" t="n"/>
      <c r="K2831" s="113" t="n"/>
      <c r="L2831" s="113" t="n"/>
      <c r="M2831" s="113" t="n"/>
      <c r="N2831" s="113" t="n"/>
      <c r="O2831" s="113" t="n"/>
      <c r="P2831" s="113" t="n"/>
      <c r="Q2831" s="113" t="n"/>
      <c r="R2831" s="113" t="n"/>
      <c r="S2831" s="113" t="n"/>
      <c r="T2831" s="113" t="n"/>
      <c r="U2831" s="113" t="n"/>
      <c r="V2831" s="113" t="n"/>
      <c r="W2831" s="113" t="n"/>
      <c r="X2831" s="113" t="n"/>
      <c r="Y2831" s="113" t="n"/>
      <c r="Z2831" s="117">
        <f>IF($B2831="",0,IF($S2831="EVET",IF($D2831="GELİR",$O2831,-$O2831),0))</f>
        <v/>
      </c>
      <c r="AA2831" s="117">
        <f>IF($B2831="",0,IF(OR($W2831="EVET",$X2831="EVET",$Y2831="EVET"),0,IF($D2831="GELİR",IF($E2831="SATIŞ İADESİ/İSKONTO",-$O2831,$O2831),-$O2831)))</f>
        <v/>
      </c>
      <c r="AB2831" s="117">
        <f>IF($B2831="","",IF(OR($D2831="",$E2831="",$O2831=""),"EKSİK",IF($O2831&lt;=0,"SIFIR/NEGATİF",IF(COUNTIFS($C$6:$C$5000,$C2831,$O$6:$O$5000,$O2831,$B$6:$B$5000,$B2831)&gt;1,"MÜKERRER","OK"))))</f>
        <v/>
      </c>
    </row>
    <row r="2832" ht="16.5" customHeight="1" s="80">
      <c r="A2832" s="113" t="n"/>
      <c r="B2832" s="113" t="n"/>
      <c r="C2832" s="113" t="n"/>
      <c r="D2832" s="113" t="n"/>
      <c r="E2832" s="113" t="n"/>
      <c r="F2832" s="113" t="n"/>
      <c r="G2832" s="113" t="n"/>
      <c r="H2832" s="113" t="n"/>
      <c r="I2832" s="113" t="n"/>
      <c r="J2832" s="113" t="n"/>
      <c r="K2832" s="113" t="n"/>
      <c r="L2832" s="113" t="n"/>
      <c r="M2832" s="113" t="n"/>
      <c r="N2832" s="113" t="n"/>
      <c r="O2832" s="113" t="n"/>
      <c r="P2832" s="113" t="n"/>
      <c r="Q2832" s="113" t="n"/>
      <c r="R2832" s="113" t="n"/>
      <c r="S2832" s="113" t="n"/>
      <c r="T2832" s="113" t="n"/>
      <c r="U2832" s="113" t="n"/>
      <c r="V2832" s="113" t="n"/>
      <c r="W2832" s="113" t="n"/>
      <c r="X2832" s="113" t="n"/>
      <c r="Y2832" s="113" t="n"/>
      <c r="Z2832" s="117">
        <f>IF($B2832="",0,IF($S2832="EVET",IF($D2832="GELİR",$O2832,-$O2832),0))</f>
        <v/>
      </c>
      <c r="AA2832" s="117">
        <f>IF($B2832="",0,IF(OR($W2832="EVET",$X2832="EVET",$Y2832="EVET"),0,IF($D2832="GELİR",IF($E2832="SATIŞ İADESİ/İSKONTO",-$O2832,$O2832),-$O2832)))</f>
        <v/>
      </c>
      <c r="AB2832" s="117">
        <f>IF($B2832="","",IF(OR($D2832="",$E2832="",$O2832=""),"EKSİK",IF($O2832&lt;=0,"SIFIR/NEGATİF",IF(COUNTIFS($C$6:$C$5000,$C2832,$O$6:$O$5000,$O2832,$B$6:$B$5000,$B2832)&gt;1,"MÜKERRER","OK"))))</f>
        <v/>
      </c>
    </row>
    <row r="2833" ht="16.5" customHeight="1" s="80">
      <c r="A2833" s="113" t="n"/>
      <c r="B2833" s="113" t="n"/>
      <c r="C2833" s="113" t="n"/>
      <c r="D2833" s="113" t="n"/>
      <c r="E2833" s="113" t="n"/>
      <c r="F2833" s="113" t="n"/>
      <c r="G2833" s="113" t="n"/>
      <c r="H2833" s="113" t="n"/>
      <c r="I2833" s="113" t="n"/>
      <c r="J2833" s="113" t="n"/>
      <c r="K2833" s="113" t="n"/>
      <c r="L2833" s="113" t="n"/>
      <c r="M2833" s="113" t="n"/>
      <c r="N2833" s="113" t="n"/>
      <c r="O2833" s="113" t="n"/>
      <c r="P2833" s="113" t="n"/>
      <c r="Q2833" s="113" t="n"/>
      <c r="R2833" s="113" t="n"/>
      <c r="S2833" s="113" t="n"/>
      <c r="T2833" s="113" t="n"/>
      <c r="U2833" s="113" t="n"/>
      <c r="V2833" s="113" t="n"/>
      <c r="W2833" s="113" t="n"/>
      <c r="X2833" s="113" t="n"/>
      <c r="Y2833" s="113" t="n"/>
      <c r="Z2833" s="117">
        <f>IF($B2833="",0,IF($S2833="EVET",IF($D2833="GELİR",$O2833,-$O2833),0))</f>
        <v/>
      </c>
      <c r="AA2833" s="117">
        <f>IF($B2833="",0,IF(OR($W2833="EVET",$X2833="EVET",$Y2833="EVET"),0,IF($D2833="GELİR",IF($E2833="SATIŞ İADESİ/İSKONTO",-$O2833,$O2833),-$O2833)))</f>
        <v/>
      </c>
      <c r="AB2833" s="117">
        <f>IF($B2833="","",IF(OR($D2833="",$E2833="",$O2833=""),"EKSİK",IF($O2833&lt;=0,"SIFIR/NEGATİF",IF(COUNTIFS($C$6:$C$5000,$C2833,$O$6:$O$5000,$O2833,$B$6:$B$5000,$B2833)&gt;1,"MÜKERRER","OK"))))</f>
        <v/>
      </c>
    </row>
    <row r="2834" ht="16.5" customHeight="1" s="80">
      <c r="A2834" s="113" t="n"/>
      <c r="B2834" s="113" t="n"/>
      <c r="C2834" s="113" t="n"/>
      <c r="D2834" s="113" t="n"/>
      <c r="E2834" s="113" t="n"/>
      <c r="F2834" s="113" t="n"/>
      <c r="G2834" s="113" t="n"/>
      <c r="H2834" s="113" t="n"/>
      <c r="I2834" s="113" t="n"/>
      <c r="J2834" s="113" t="n"/>
      <c r="K2834" s="113" t="n"/>
      <c r="L2834" s="113" t="n"/>
      <c r="M2834" s="113" t="n"/>
      <c r="N2834" s="113" t="n"/>
      <c r="O2834" s="113" t="n"/>
      <c r="P2834" s="113" t="n"/>
      <c r="Q2834" s="113" t="n"/>
      <c r="R2834" s="113" t="n"/>
      <c r="S2834" s="113" t="n"/>
      <c r="T2834" s="113" t="n"/>
      <c r="U2834" s="113" t="n"/>
      <c r="V2834" s="113" t="n"/>
      <c r="W2834" s="113" t="n"/>
      <c r="X2834" s="113" t="n"/>
      <c r="Y2834" s="113" t="n"/>
      <c r="Z2834" s="117">
        <f>IF($B2834="",0,IF($S2834="EVET",IF($D2834="GELİR",$O2834,-$O2834),0))</f>
        <v/>
      </c>
      <c r="AA2834" s="117">
        <f>IF($B2834="",0,IF(OR($W2834="EVET",$X2834="EVET",$Y2834="EVET"),0,IF($D2834="GELİR",IF($E2834="SATIŞ İADESİ/İSKONTO",-$O2834,$O2834),-$O2834)))</f>
        <v/>
      </c>
      <c r="AB2834" s="117">
        <f>IF($B2834="","",IF(OR($D2834="",$E2834="",$O2834=""),"EKSİK",IF($O2834&lt;=0,"SIFIR/NEGATİF",IF(COUNTIFS($C$6:$C$5000,$C2834,$O$6:$O$5000,$O2834,$B$6:$B$5000,$B2834)&gt;1,"MÜKERRER","OK"))))</f>
        <v/>
      </c>
    </row>
    <row r="2835" ht="16.5" customHeight="1" s="80">
      <c r="A2835" s="113" t="n"/>
      <c r="B2835" s="113" t="n"/>
      <c r="C2835" s="113" t="n"/>
      <c r="D2835" s="113" t="n"/>
      <c r="E2835" s="113" t="n"/>
      <c r="F2835" s="113" t="n"/>
      <c r="G2835" s="113" t="n"/>
      <c r="H2835" s="113" t="n"/>
      <c r="I2835" s="113" t="n"/>
      <c r="J2835" s="113" t="n"/>
      <c r="K2835" s="113" t="n"/>
      <c r="L2835" s="113" t="n"/>
      <c r="M2835" s="113" t="n"/>
      <c r="N2835" s="113" t="n"/>
      <c r="O2835" s="113" t="n"/>
      <c r="P2835" s="113" t="n"/>
      <c r="Q2835" s="113" t="n"/>
      <c r="R2835" s="113" t="n"/>
      <c r="S2835" s="113" t="n"/>
      <c r="T2835" s="113" t="n"/>
      <c r="U2835" s="113" t="n"/>
      <c r="V2835" s="113" t="n"/>
      <c r="W2835" s="113" t="n"/>
      <c r="X2835" s="113" t="n"/>
      <c r="Y2835" s="113" t="n"/>
      <c r="Z2835" s="117">
        <f>IF($B2835="",0,IF($S2835="EVET",IF($D2835="GELİR",$O2835,-$O2835),0))</f>
        <v/>
      </c>
      <c r="AA2835" s="117">
        <f>IF($B2835="",0,IF(OR($W2835="EVET",$X2835="EVET",$Y2835="EVET"),0,IF($D2835="GELİR",IF($E2835="SATIŞ İADESİ/İSKONTO",-$O2835,$O2835),-$O2835)))</f>
        <v/>
      </c>
      <c r="AB2835" s="117">
        <f>IF($B2835="","",IF(OR($D2835="",$E2835="",$O2835=""),"EKSİK",IF($O2835&lt;=0,"SIFIR/NEGATİF",IF(COUNTIFS($C$6:$C$5000,$C2835,$O$6:$O$5000,$O2835,$B$6:$B$5000,$B2835)&gt;1,"MÜKERRER","OK"))))</f>
        <v/>
      </c>
    </row>
    <row r="2836" ht="16.5" customHeight="1" s="80">
      <c r="A2836" s="113" t="n"/>
      <c r="B2836" s="113" t="n"/>
      <c r="C2836" s="113" t="n"/>
      <c r="D2836" s="113" t="n"/>
      <c r="E2836" s="113" t="n"/>
      <c r="F2836" s="113" t="n"/>
      <c r="G2836" s="113" t="n"/>
      <c r="H2836" s="113" t="n"/>
      <c r="I2836" s="113" t="n"/>
      <c r="J2836" s="113" t="n"/>
      <c r="K2836" s="113" t="n"/>
      <c r="L2836" s="113" t="n"/>
      <c r="M2836" s="113" t="n"/>
      <c r="N2836" s="113" t="n"/>
      <c r="O2836" s="113" t="n"/>
      <c r="P2836" s="113" t="n"/>
      <c r="Q2836" s="113" t="n"/>
      <c r="R2836" s="113" t="n"/>
      <c r="S2836" s="113" t="n"/>
      <c r="T2836" s="113" t="n"/>
      <c r="U2836" s="113" t="n"/>
      <c r="V2836" s="113" t="n"/>
      <c r="W2836" s="113" t="n"/>
      <c r="X2836" s="113" t="n"/>
      <c r="Y2836" s="113" t="n"/>
      <c r="Z2836" s="117">
        <f>IF($B2836="",0,IF($S2836="EVET",IF($D2836="GELİR",$O2836,-$O2836),0))</f>
        <v/>
      </c>
      <c r="AA2836" s="117">
        <f>IF($B2836="",0,IF(OR($W2836="EVET",$X2836="EVET",$Y2836="EVET"),0,IF($D2836="GELİR",IF($E2836="SATIŞ İADESİ/İSKONTO",-$O2836,$O2836),-$O2836)))</f>
        <v/>
      </c>
      <c r="AB2836" s="117">
        <f>IF($B2836="","",IF(OR($D2836="",$E2836="",$O2836=""),"EKSİK",IF($O2836&lt;=0,"SIFIR/NEGATİF",IF(COUNTIFS($C$6:$C$5000,$C2836,$O$6:$O$5000,$O2836,$B$6:$B$5000,$B2836)&gt;1,"MÜKERRER","OK"))))</f>
        <v/>
      </c>
    </row>
    <row r="2837" ht="16.5" customHeight="1" s="80">
      <c r="A2837" s="113" t="n"/>
      <c r="B2837" s="113" t="n"/>
      <c r="C2837" s="113" t="n"/>
      <c r="D2837" s="113" t="n"/>
      <c r="E2837" s="113" t="n"/>
      <c r="F2837" s="113" t="n"/>
      <c r="G2837" s="113" t="n"/>
      <c r="H2837" s="113" t="n"/>
      <c r="I2837" s="113" t="n"/>
      <c r="J2837" s="113" t="n"/>
      <c r="K2837" s="113" t="n"/>
      <c r="L2837" s="113" t="n"/>
      <c r="M2837" s="113" t="n"/>
      <c r="N2837" s="113" t="n"/>
      <c r="O2837" s="113" t="n"/>
      <c r="P2837" s="113" t="n"/>
      <c r="Q2837" s="113" t="n"/>
      <c r="R2837" s="113" t="n"/>
      <c r="S2837" s="113" t="n"/>
      <c r="T2837" s="113" t="n"/>
      <c r="U2837" s="113" t="n"/>
      <c r="V2837" s="113" t="n"/>
      <c r="W2837" s="113" t="n"/>
      <c r="X2837" s="113" t="n"/>
      <c r="Y2837" s="113" t="n"/>
      <c r="Z2837" s="117">
        <f>IF($B2837="",0,IF($S2837="EVET",IF($D2837="GELİR",$O2837,-$O2837),0))</f>
        <v/>
      </c>
      <c r="AA2837" s="117">
        <f>IF($B2837="",0,IF(OR($W2837="EVET",$X2837="EVET",$Y2837="EVET"),0,IF($D2837="GELİR",IF($E2837="SATIŞ İADESİ/İSKONTO",-$O2837,$O2837),-$O2837)))</f>
        <v/>
      </c>
      <c r="AB2837" s="117">
        <f>IF($B2837="","",IF(OR($D2837="",$E2837="",$O2837=""),"EKSİK",IF($O2837&lt;=0,"SIFIR/NEGATİF",IF(COUNTIFS($C$6:$C$5000,$C2837,$O$6:$O$5000,$O2837,$B$6:$B$5000,$B2837)&gt;1,"MÜKERRER","OK"))))</f>
        <v/>
      </c>
    </row>
    <row r="2838" ht="16.5" customHeight="1" s="80">
      <c r="A2838" s="113" t="n"/>
      <c r="B2838" s="113" t="n"/>
      <c r="C2838" s="113" t="n"/>
      <c r="D2838" s="113" t="n"/>
      <c r="E2838" s="113" t="n"/>
      <c r="F2838" s="113" t="n"/>
      <c r="G2838" s="113" t="n"/>
      <c r="H2838" s="113" t="n"/>
      <c r="I2838" s="113" t="n"/>
      <c r="J2838" s="113" t="n"/>
      <c r="K2838" s="113" t="n"/>
      <c r="L2838" s="113" t="n"/>
      <c r="M2838" s="113" t="n"/>
      <c r="N2838" s="113" t="n"/>
      <c r="O2838" s="113" t="n"/>
      <c r="P2838" s="113" t="n"/>
      <c r="Q2838" s="113" t="n"/>
      <c r="R2838" s="113" t="n"/>
      <c r="S2838" s="113" t="n"/>
      <c r="T2838" s="113" t="n"/>
      <c r="U2838" s="113" t="n"/>
      <c r="V2838" s="113" t="n"/>
      <c r="W2838" s="113" t="n"/>
      <c r="X2838" s="113" t="n"/>
      <c r="Y2838" s="113" t="n"/>
      <c r="Z2838" s="117">
        <f>IF($B2838="",0,IF($S2838="EVET",IF($D2838="GELİR",$O2838,-$O2838),0))</f>
        <v/>
      </c>
      <c r="AA2838" s="117">
        <f>IF($B2838="",0,IF(OR($W2838="EVET",$X2838="EVET",$Y2838="EVET"),0,IF($D2838="GELİR",IF($E2838="SATIŞ İADESİ/İSKONTO",-$O2838,$O2838),-$O2838)))</f>
        <v/>
      </c>
      <c r="AB2838" s="117">
        <f>IF($B2838="","",IF(OR($D2838="",$E2838="",$O2838=""),"EKSİK",IF($O2838&lt;=0,"SIFIR/NEGATİF",IF(COUNTIFS($C$6:$C$5000,$C2838,$O$6:$O$5000,$O2838,$B$6:$B$5000,$B2838)&gt;1,"MÜKERRER","OK"))))</f>
        <v/>
      </c>
    </row>
    <row r="2839" ht="16.5" customHeight="1" s="80">
      <c r="A2839" s="113" t="n"/>
      <c r="B2839" s="113" t="n"/>
      <c r="C2839" s="113" t="n"/>
      <c r="D2839" s="113" t="n"/>
      <c r="E2839" s="113" t="n"/>
      <c r="F2839" s="113" t="n"/>
      <c r="G2839" s="113" t="n"/>
      <c r="H2839" s="113" t="n"/>
      <c r="I2839" s="113" t="n"/>
      <c r="J2839" s="113" t="n"/>
      <c r="K2839" s="113" t="n"/>
      <c r="L2839" s="113" t="n"/>
      <c r="M2839" s="113" t="n"/>
      <c r="N2839" s="113" t="n"/>
      <c r="O2839" s="113" t="n"/>
      <c r="P2839" s="113" t="n"/>
      <c r="Q2839" s="113" t="n"/>
      <c r="R2839" s="113" t="n"/>
      <c r="S2839" s="113" t="n"/>
      <c r="T2839" s="113" t="n"/>
      <c r="U2839" s="113" t="n"/>
      <c r="V2839" s="113" t="n"/>
      <c r="W2839" s="113" t="n"/>
      <c r="X2839" s="113" t="n"/>
      <c r="Y2839" s="113" t="n"/>
      <c r="Z2839" s="117">
        <f>IF($B2839="",0,IF($S2839="EVET",IF($D2839="GELİR",$O2839,-$O2839),0))</f>
        <v/>
      </c>
      <c r="AA2839" s="117">
        <f>IF($B2839="",0,IF(OR($W2839="EVET",$X2839="EVET",$Y2839="EVET"),0,IF($D2839="GELİR",IF($E2839="SATIŞ İADESİ/İSKONTO",-$O2839,$O2839),-$O2839)))</f>
        <v/>
      </c>
      <c r="AB2839" s="117">
        <f>IF($B2839="","",IF(OR($D2839="",$E2839="",$O2839=""),"EKSİK",IF($O2839&lt;=0,"SIFIR/NEGATİF",IF(COUNTIFS($C$6:$C$5000,$C2839,$O$6:$O$5000,$O2839,$B$6:$B$5000,$B2839)&gt;1,"MÜKERRER","OK"))))</f>
        <v/>
      </c>
    </row>
    <row r="2840" ht="16.5" customHeight="1" s="80">
      <c r="A2840" s="113" t="n"/>
      <c r="B2840" s="113" t="n"/>
      <c r="C2840" s="113" t="n"/>
      <c r="D2840" s="113" t="n"/>
      <c r="E2840" s="113" t="n"/>
      <c r="F2840" s="113" t="n"/>
      <c r="G2840" s="113" t="n"/>
      <c r="H2840" s="113" t="n"/>
      <c r="I2840" s="113" t="n"/>
      <c r="J2840" s="113" t="n"/>
      <c r="K2840" s="113" t="n"/>
      <c r="L2840" s="113" t="n"/>
      <c r="M2840" s="113" t="n"/>
      <c r="N2840" s="113" t="n"/>
      <c r="O2840" s="113" t="n"/>
      <c r="P2840" s="113" t="n"/>
      <c r="Q2840" s="113" t="n"/>
      <c r="R2840" s="113" t="n"/>
      <c r="S2840" s="113" t="n"/>
      <c r="T2840" s="113" t="n"/>
      <c r="U2840" s="113" t="n"/>
      <c r="V2840" s="113" t="n"/>
      <c r="W2840" s="113" t="n"/>
      <c r="X2840" s="113" t="n"/>
      <c r="Y2840" s="113" t="n"/>
      <c r="Z2840" s="117">
        <f>IF($B2840="",0,IF($S2840="EVET",IF($D2840="GELİR",$O2840,-$O2840),0))</f>
        <v/>
      </c>
      <c r="AA2840" s="117">
        <f>IF($B2840="",0,IF(OR($W2840="EVET",$X2840="EVET",$Y2840="EVET"),0,IF($D2840="GELİR",IF($E2840="SATIŞ İADESİ/İSKONTO",-$O2840,$O2840),-$O2840)))</f>
        <v/>
      </c>
      <c r="AB2840" s="117">
        <f>IF($B2840="","",IF(OR($D2840="",$E2840="",$O2840=""),"EKSİK",IF($O2840&lt;=0,"SIFIR/NEGATİF",IF(COUNTIFS($C$6:$C$5000,$C2840,$O$6:$O$5000,$O2840,$B$6:$B$5000,$B2840)&gt;1,"MÜKERRER","OK"))))</f>
        <v/>
      </c>
    </row>
    <row r="2841" ht="16.5" customHeight="1" s="80">
      <c r="A2841" s="113" t="n"/>
      <c r="B2841" s="113" t="n"/>
      <c r="C2841" s="113" t="n"/>
      <c r="D2841" s="113" t="n"/>
      <c r="E2841" s="113" t="n"/>
      <c r="F2841" s="113" t="n"/>
      <c r="G2841" s="113" t="n"/>
      <c r="H2841" s="113" t="n"/>
      <c r="I2841" s="113" t="n"/>
      <c r="J2841" s="113" t="n"/>
      <c r="K2841" s="113" t="n"/>
      <c r="L2841" s="113" t="n"/>
      <c r="M2841" s="113" t="n"/>
      <c r="N2841" s="113" t="n"/>
      <c r="O2841" s="113" t="n"/>
      <c r="P2841" s="113" t="n"/>
      <c r="Q2841" s="113" t="n"/>
      <c r="R2841" s="113" t="n"/>
      <c r="S2841" s="113" t="n"/>
      <c r="T2841" s="113" t="n"/>
      <c r="U2841" s="113" t="n"/>
      <c r="V2841" s="113" t="n"/>
      <c r="W2841" s="113" t="n"/>
      <c r="X2841" s="113" t="n"/>
      <c r="Y2841" s="113" t="n"/>
      <c r="Z2841" s="117">
        <f>IF($B2841="",0,IF($S2841="EVET",IF($D2841="GELİR",$O2841,-$O2841),0))</f>
        <v/>
      </c>
      <c r="AA2841" s="117">
        <f>IF($B2841="",0,IF(OR($W2841="EVET",$X2841="EVET",$Y2841="EVET"),0,IF($D2841="GELİR",IF($E2841="SATIŞ İADESİ/İSKONTO",-$O2841,$O2841),-$O2841)))</f>
        <v/>
      </c>
      <c r="AB2841" s="117">
        <f>IF($B2841="","",IF(OR($D2841="",$E2841="",$O2841=""),"EKSİK",IF($O2841&lt;=0,"SIFIR/NEGATİF",IF(COUNTIFS($C$6:$C$5000,$C2841,$O$6:$O$5000,$O2841,$B$6:$B$5000,$B2841)&gt;1,"MÜKERRER","OK"))))</f>
        <v/>
      </c>
    </row>
    <row r="2842" ht="16.5" customHeight="1" s="80">
      <c r="A2842" s="113" t="n"/>
      <c r="B2842" s="113" t="n"/>
      <c r="C2842" s="113" t="n"/>
      <c r="D2842" s="113" t="n"/>
      <c r="E2842" s="113" t="n"/>
      <c r="F2842" s="113" t="n"/>
      <c r="G2842" s="113" t="n"/>
      <c r="H2842" s="113" t="n"/>
      <c r="I2842" s="113" t="n"/>
      <c r="J2842" s="113" t="n"/>
      <c r="K2842" s="113" t="n"/>
      <c r="L2842" s="113" t="n"/>
      <c r="M2842" s="113" t="n"/>
      <c r="N2842" s="113" t="n"/>
      <c r="O2842" s="113" t="n"/>
      <c r="P2842" s="113" t="n"/>
      <c r="Q2842" s="113" t="n"/>
      <c r="R2842" s="113" t="n"/>
      <c r="S2842" s="113" t="n"/>
      <c r="T2842" s="113" t="n"/>
      <c r="U2842" s="113" t="n"/>
      <c r="V2842" s="113" t="n"/>
      <c r="W2842" s="113" t="n"/>
      <c r="X2842" s="113" t="n"/>
      <c r="Y2842" s="113" t="n"/>
      <c r="Z2842" s="117">
        <f>IF($B2842="",0,IF($S2842="EVET",IF($D2842="GELİR",$O2842,-$O2842),0))</f>
        <v/>
      </c>
      <c r="AA2842" s="117">
        <f>IF($B2842="",0,IF(OR($W2842="EVET",$X2842="EVET",$Y2842="EVET"),0,IF($D2842="GELİR",IF($E2842="SATIŞ İADESİ/İSKONTO",-$O2842,$O2842),-$O2842)))</f>
        <v/>
      </c>
      <c r="AB2842" s="117">
        <f>IF($B2842="","",IF(OR($D2842="",$E2842="",$O2842=""),"EKSİK",IF($O2842&lt;=0,"SIFIR/NEGATİF",IF(COUNTIFS($C$6:$C$5000,$C2842,$O$6:$O$5000,$O2842,$B$6:$B$5000,$B2842)&gt;1,"MÜKERRER","OK"))))</f>
        <v/>
      </c>
    </row>
    <row r="2843" ht="16.5" customHeight="1" s="80">
      <c r="A2843" s="113" t="n"/>
      <c r="B2843" s="113" t="n"/>
      <c r="C2843" s="113" t="n"/>
      <c r="D2843" s="113" t="n"/>
      <c r="E2843" s="113" t="n"/>
      <c r="F2843" s="113" t="n"/>
      <c r="G2843" s="113" t="n"/>
      <c r="H2843" s="113" t="n"/>
      <c r="I2843" s="113" t="n"/>
      <c r="J2843" s="113" t="n"/>
      <c r="K2843" s="113" t="n"/>
      <c r="L2843" s="113" t="n"/>
      <c r="M2843" s="113" t="n"/>
      <c r="N2843" s="113" t="n"/>
      <c r="O2843" s="113" t="n"/>
      <c r="P2843" s="113" t="n"/>
      <c r="Q2843" s="113" t="n"/>
      <c r="R2843" s="113" t="n"/>
      <c r="S2843" s="113" t="n"/>
      <c r="T2843" s="113" t="n"/>
      <c r="U2843" s="113" t="n"/>
      <c r="V2843" s="113" t="n"/>
      <c r="W2843" s="113" t="n"/>
      <c r="X2843" s="113" t="n"/>
      <c r="Y2843" s="113" t="n"/>
      <c r="Z2843" s="117">
        <f>IF($B2843="",0,IF($S2843="EVET",IF($D2843="GELİR",$O2843,-$O2843),0))</f>
        <v/>
      </c>
      <c r="AA2843" s="117">
        <f>IF($B2843="",0,IF(OR($W2843="EVET",$X2843="EVET",$Y2843="EVET"),0,IF($D2843="GELİR",IF($E2843="SATIŞ İADESİ/İSKONTO",-$O2843,$O2843),-$O2843)))</f>
        <v/>
      </c>
      <c r="AB2843" s="117">
        <f>IF($B2843="","",IF(OR($D2843="",$E2843="",$O2843=""),"EKSİK",IF($O2843&lt;=0,"SIFIR/NEGATİF",IF(COUNTIFS($C$6:$C$5000,$C2843,$O$6:$O$5000,$O2843,$B$6:$B$5000,$B2843)&gt;1,"MÜKERRER","OK"))))</f>
        <v/>
      </c>
    </row>
    <row r="2844" ht="16.5" customHeight="1" s="80">
      <c r="A2844" s="113" t="n"/>
      <c r="B2844" s="113" t="n"/>
      <c r="C2844" s="113" t="n"/>
      <c r="D2844" s="113" t="n"/>
      <c r="E2844" s="113" t="n"/>
      <c r="F2844" s="113" t="n"/>
      <c r="G2844" s="113" t="n"/>
      <c r="H2844" s="113" t="n"/>
      <c r="I2844" s="113" t="n"/>
      <c r="J2844" s="113" t="n"/>
      <c r="K2844" s="113" t="n"/>
      <c r="L2844" s="113" t="n"/>
      <c r="M2844" s="113" t="n"/>
      <c r="N2844" s="113" t="n"/>
      <c r="O2844" s="113" t="n"/>
      <c r="P2844" s="113" t="n"/>
      <c r="Q2844" s="113" t="n"/>
      <c r="R2844" s="113" t="n"/>
      <c r="S2844" s="113" t="n"/>
      <c r="T2844" s="113" t="n"/>
      <c r="U2844" s="113" t="n"/>
      <c r="V2844" s="113" t="n"/>
      <c r="W2844" s="113" t="n"/>
      <c r="X2844" s="113" t="n"/>
      <c r="Y2844" s="113" t="n"/>
      <c r="Z2844" s="117">
        <f>IF($B2844="",0,IF($S2844="EVET",IF($D2844="GELİR",$O2844,-$O2844),0))</f>
        <v/>
      </c>
      <c r="AA2844" s="117">
        <f>IF($B2844="",0,IF(OR($W2844="EVET",$X2844="EVET",$Y2844="EVET"),0,IF($D2844="GELİR",IF($E2844="SATIŞ İADESİ/İSKONTO",-$O2844,$O2844),-$O2844)))</f>
        <v/>
      </c>
      <c r="AB2844" s="117">
        <f>IF($B2844="","",IF(OR($D2844="",$E2844="",$O2844=""),"EKSİK",IF($O2844&lt;=0,"SIFIR/NEGATİF",IF(COUNTIFS($C$6:$C$5000,$C2844,$O$6:$O$5000,$O2844,$B$6:$B$5000,$B2844)&gt;1,"MÜKERRER","OK"))))</f>
        <v/>
      </c>
    </row>
    <row r="2845" ht="16.5" customHeight="1" s="80">
      <c r="A2845" s="113" t="n"/>
      <c r="B2845" s="113" t="n"/>
      <c r="C2845" s="113" t="n"/>
      <c r="D2845" s="113" t="n"/>
      <c r="E2845" s="113" t="n"/>
      <c r="F2845" s="113" t="n"/>
      <c r="G2845" s="113" t="n"/>
      <c r="H2845" s="113" t="n"/>
      <c r="I2845" s="113" t="n"/>
      <c r="J2845" s="113" t="n"/>
      <c r="K2845" s="113" t="n"/>
      <c r="L2845" s="113" t="n"/>
      <c r="M2845" s="113" t="n"/>
      <c r="N2845" s="113" t="n"/>
      <c r="O2845" s="113" t="n"/>
      <c r="P2845" s="113" t="n"/>
      <c r="Q2845" s="113" t="n"/>
      <c r="R2845" s="113" t="n"/>
      <c r="S2845" s="113" t="n"/>
      <c r="T2845" s="113" t="n"/>
      <c r="U2845" s="113" t="n"/>
      <c r="V2845" s="113" t="n"/>
      <c r="W2845" s="113" t="n"/>
      <c r="X2845" s="113" t="n"/>
      <c r="Y2845" s="113" t="n"/>
      <c r="Z2845" s="117">
        <f>IF($B2845="",0,IF($S2845="EVET",IF($D2845="GELİR",$O2845,-$O2845),0))</f>
        <v/>
      </c>
      <c r="AA2845" s="117">
        <f>IF($B2845="",0,IF(OR($W2845="EVET",$X2845="EVET",$Y2845="EVET"),0,IF($D2845="GELİR",IF($E2845="SATIŞ İADESİ/İSKONTO",-$O2845,$O2845),-$O2845)))</f>
        <v/>
      </c>
      <c r="AB2845" s="117">
        <f>IF($B2845="","",IF(OR($D2845="",$E2845="",$O2845=""),"EKSİK",IF($O2845&lt;=0,"SIFIR/NEGATİF",IF(COUNTIFS($C$6:$C$5000,$C2845,$O$6:$O$5000,$O2845,$B$6:$B$5000,$B2845)&gt;1,"MÜKERRER","OK"))))</f>
        <v/>
      </c>
    </row>
    <row r="2846" ht="16.5" customHeight="1" s="80">
      <c r="A2846" s="113" t="n"/>
      <c r="B2846" s="113" t="n"/>
      <c r="C2846" s="113" t="n"/>
      <c r="D2846" s="113" t="n"/>
      <c r="E2846" s="113" t="n"/>
      <c r="F2846" s="113" t="n"/>
      <c r="G2846" s="113" t="n"/>
      <c r="H2846" s="113" t="n"/>
      <c r="I2846" s="113" t="n"/>
      <c r="J2846" s="113" t="n"/>
      <c r="K2846" s="113" t="n"/>
      <c r="L2846" s="113" t="n"/>
      <c r="M2846" s="113" t="n"/>
      <c r="N2846" s="113" t="n"/>
      <c r="O2846" s="113" t="n"/>
      <c r="P2846" s="113" t="n"/>
      <c r="Q2846" s="113" t="n"/>
      <c r="R2846" s="113" t="n"/>
      <c r="S2846" s="113" t="n"/>
      <c r="T2846" s="113" t="n"/>
      <c r="U2846" s="113" t="n"/>
      <c r="V2846" s="113" t="n"/>
      <c r="W2846" s="113" t="n"/>
      <c r="X2846" s="113" t="n"/>
      <c r="Y2846" s="113" t="n"/>
      <c r="Z2846" s="117">
        <f>IF($B2846="",0,IF($S2846="EVET",IF($D2846="GELİR",$O2846,-$O2846),0))</f>
        <v/>
      </c>
      <c r="AA2846" s="117">
        <f>IF($B2846="",0,IF(OR($W2846="EVET",$X2846="EVET",$Y2846="EVET"),0,IF($D2846="GELİR",IF($E2846="SATIŞ İADESİ/İSKONTO",-$O2846,$O2846),-$O2846)))</f>
        <v/>
      </c>
      <c r="AB2846" s="117">
        <f>IF($B2846="","",IF(OR($D2846="",$E2846="",$O2846=""),"EKSİK",IF($O2846&lt;=0,"SIFIR/NEGATİF",IF(COUNTIFS($C$6:$C$5000,$C2846,$O$6:$O$5000,$O2846,$B$6:$B$5000,$B2846)&gt;1,"MÜKERRER","OK"))))</f>
        <v/>
      </c>
    </row>
    <row r="2847" ht="16.5" customHeight="1" s="80">
      <c r="A2847" s="113" t="n"/>
      <c r="B2847" s="113" t="n"/>
      <c r="C2847" s="113" t="n"/>
      <c r="D2847" s="113" t="n"/>
      <c r="E2847" s="113" t="n"/>
      <c r="F2847" s="113" t="n"/>
      <c r="G2847" s="113" t="n"/>
      <c r="H2847" s="113" t="n"/>
      <c r="I2847" s="113" t="n"/>
      <c r="J2847" s="113" t="n"/>
      <c r="K2847" s="113" t="n"/>
      <c r="L2847" s="113" t="n"/>
      <c r="M2847" s="113" t="n"/>
      <c r="N2847" s="113" t="n"/>
      <c r="O2847" s="113" t="n"/>
      <c r="P2847" s="113" t="n"/>
      <c r="Q2847" s="113" t="n"/>
      <c r="R2847" s="113" t="n"/>
      <c r="S2847" s="113" t="n"/>
      <c r="T2847" s="113" t="n"/>
      <c r="U2847" s="113" t="n"/>
      <c r="V2847" s="113" t="n"/>
      <c r="W2847" s="113" t="n"/>
      <c r="X2847" s="113" t="n"/>
      <c r="Y2847" s="113" t="n"/>
      <c r="Z2847" s="117">
        <f>IF($B2847="",0,IF($S2847="EVET",IF($D2847="GELİR",$O2847,-$O2847),0))</f>
        <v/>
      </c>
      <c r="AA2847" s="117">
        <f>IF($B2847="",0,IF(OR($W2847="EVET",$X2847="EVET",$Y2847="EVET"),0,IF($D2847="GELİR",IF($E2847="SATIŞ İADESİ/İSKONTO",-$O2847,$O2847),-$O2847)))</f>
        <v/>
      </c>
      <c r="AB2847" s="117">
        <f>IF($B2847="","",IF(OR($D2847="",$E2847="",$O2847=""),"EKSİK",IF($O2847&lt;=0,"SIFIR/NEGATİF",IF(COUNTIFS($C$6:$C$5000,$C2847,$O$6:$O$5000,$O2847,$B$6:$B$5000,$B2847)&gt;1,"MÜKERRER","OK"))))</f>
        <v/>
      </c>
    </row>
    <row r="2848" ht="16.5" customHeight="1" s="80">
      <c r="A2848" s="113" t="n"/>
      <c r="B2848" s="113" t="n"/>
      <c r="C2848" s="113" t="n"/>
      <c r="D2848" s="113" t="n"/>
      <c r="E2848" s="113" t="n"/>
      <c r="F2848" s="113" t="n"/>
      <c r="G2848" s="113" t="n"/>
      <c r="H2848" s="113" t="n"/>
      <c r="I2848" s="113" t="n"/>
      <c r="J2848" s="113" t="n"/>
      <c r="K2848" s="113" t="n"/>
      <c r="L2848" s="113" t="n"/>
      <c r="M2848" s="113" t="n"/>
      <c r="N2848" s="113" t="n"/>
      <c r="O2848" s="113" t="n"/>
      <c r="P2848" s="113" t="n"/>
      <c r="Q2848" s="113" t="n"/>
      <c r="R2848" s="113" t="n"/>
      <c r="S2848" s="113" t="n"/>
      <c r="T2848" s="113" t="n"/>
      <c r="U2848" s="113" t="n"/>
      <c r="V2848" s="113" t="n"/>
      <c r="W2848" s="113" t="n"/>
      <c r="X2848" s="113" t="n"/>
      <c r="Y2848" s="113" t="n"/>
      <c r="Z2848" s="117">
        <f>IF($B2848="",0,IF($S2848="EVET",IF($D2848="GELİR",$O2848,-$O2848),0))</f>
        <v/>
      </c>
      <c r="AA2848" s="117">
        <f>IF($B2848="",0,IF(OR($W2848="EVET",$X2848="EVET",$Y2848="EVET"),0,IF($D2848="GELİR",IF($E2848="SATIŞ İADESİ/İSKONTO",-$O2848,$O2848),-$O2848)))</f>
        <v/>
      </c>
      <c r="AB2848" s="117">
        <f>IF($B2848="","",IF(OR($D2848="",$E2848="",$O2848=""),"EKSİK",IF($O2848&lt;=0,"SIFIR/NEGATİF",IF(COUNTIFS($C$6:$C$5000,$C2848,$O$6:$O$5000,$O2848,$B$6:$B$5000,$B2848)&gt;1,"MÜKERRER","OK"))))</f>
        <v/>
      </c>
    </row>
    <row r="2849" ht="16.5" customHeight="1" s="80">
      <c r="A2849" s="113" t="n"/>
      <c r="B2849" s="113" t="n"/>
      <c r="C2849" s="113" t="n"/>
      <c r="D2849" s="113" t="n"/>
      <c r="E2849" s="113" t="n"/>
      <c r="F2849" s="113" t="n"/>
      <c r="G2849" s="113" t="n"/>
      <c r="H2849" s="113" t="n"/>
      <c r="I2849" s="113" t="n"/>
      <c r="J2849" s="113" t="n"/>
      <c r="K2849" s="113" t="n"/>
      <c r="L2849" s="113" t="n"/>
      <c r="M2849" s="113" t="n"/>
      <c r="N2849" s="113" t="n"/>
      <c r="O2849" s="113" t="n"/>
      <c r="P2849" s="113" t="n"/>
      <c r="Q2849" s="113" t="n"/>
      <c r="R2849" s="113" t="n"/>
      <c r="S2849" s="113" t="n"/>
      <c r="T2849" s="113" t="n"/>
      <c r="U2849" s="113" t="n"/>
      <c r="V2849" s="113" t="n"/>
      <c r="W2849" s="113" t="n"/>
      <c r="X2849" s="113" t="n"/>
      <c r="Y2849" s="113" t="n"/>
      <c r="Z2849" s="117">
        <f>IF($B2849="",0,IF($S2849="EVET",IF($D2849="GELİR",$O2849,-$O2849),0))</f>
        <v/>
      </c>
      <c r="AA2849" s="117">
        <f>IF($B2849="",0,IF(OR($W2849="EVET",$X2849="EVET",$Y2849="EVET"),0,IF($D2849="GELİR",IF($E2849="SATIŞ İADESİ/İSKONTO",-$O2849,$O2849),-$O2849)))</f>
        <v/>
      </c>
      <c r="AB2849" s="117">
        <f>IF($B2849="","",IF(OR($D2849="",$E2849="",$O2849=""),"EKSİK",IF($O2849&lt;=0,"SIFIR/NEGATİF",IF(COUNTIFS($C$6:$C$5000,$C2849,$O$6:$O$5000,$O2849,$B$6:$B$5000,$B2849)&gt;1,"MÜKERRER","OK"))))</f>
        <v/>
      </c>
    </row>
    <row r="2850" ht="16.5" customHeight="1" s="80">
      <c r="A2850" s="113" t="n"/>
      <c r="B2850" s="113" t="n"/>
      <c r="C2850" s="113" t="n"/>
      <c r="D2850" s="113" t="n"/>
      <c r="E2850" s="113" t="n"/>
      <c r="F2850" s="113" t="n"/>
      <c r="G2850" s="113" t="n"/>
      <c r="H2850" s="113" t="n"/>
      <c r="I2850" s="113" t="n"/>
      <c r="J2850" s="113" t="n"/>
      <c r="K2850" s="113" t="n"/>
      <c r="L2850" s="113" t="n"/>
      <c r="M2850" s="113" t="n"/>
      <c r="N2850" s="113" t="n"/>
      <c r="O2850" s="113" t="n"/>
      <c r="P2850" s="113" t="n"/>
      <c r="Q2850" s="113" t="n"/>
      <c r="R2850" s="113" t="n"/>
      <c r="S2850" s="113" t="n"/>
      <c r="T2850" s="113" t="n"/>
      <c r="U2850" s="113" t="n"/>
      <c r="V2850" s="113" t="n"/>
      <c r="W2850" s="113" t="n"/>
      <c r="X2850" s="113" t="n"/>
      <c r="Y2850" s="113" t="n"/>
      <c r="Z2850" s="117">
        <f>IF($B2850="",0,IF($S2850="EVET",IF($D2850="GELİR",$O2850,-$O2850),0))</f>
        <v/>
      </c>
      <c r="AA2850" s="117">
        <f>IF($B2850="",0,IF(OR($W2850="EVET",$X2850="EVET",$Y2850="EVET"),0,IF($D2850="GELİR",IF($E2850="SATIŞ İADESİ/İSKONTO",-$O2850,$O2850),-$O2850)))</f>
        <v/>
      </c>
      <c r="AB2850" s="117">
        <f>IF($B2850="","",IF(OR($D2850="",$E2850="",$O2850=""),"EKSİK",IF($O2850&lt;=0,"SIFIR/NEGATİF",IF(COUNTIFS($C$6:$C$5000,$C2850,$O$6:$O$5000,$O2850,$B$6:$B$5000,$B2850)&gt;1,"MÜKERRER","OK"))))</f>
        <v/>
      </c>
    </row>
    <row r="2851" ht="16.5" customHeight="1" s="80">
      <c r="A2851" s="113" t="n"/>
      <c r="B2851" s="113" t="n"/>
      <c r="C2851" s="113" t="n"/>
      <c r="D2851" s="113" t="n"/>
      <c r="E2851" s="113" t="n"/>
      <c r="F2851" s="113" t="n"/>
      <c r="G2851" s="113" t="n"/>
      <c r="H2851" s="113" t="n"/>
      <c r="I2851" s="113" t="n"/>
      <c r="J2851" s="113" t="n"/>
      <c r="K2851" s="113" t="n"/>
      <c r="L2851" s="113" t="n"/>
      <c r="M2851" s="113" t="n"/>
      <c r="N2851" s="113" t="n"/>
      <c r="O2851" s="113" t="n"/>
      <c r="P2851" s="113" t="n"/>
      <c r="Q2851" s="113" t="n"/>
      <c r="R2851" s="113" t="n"/>
      <c r="S2851" s="113" t="n"/>
      <c r="T2851" s="113" t="n"/>
      <c r="U2851" s="113" t="n"/>
      <c r="V2851" s="113" t="n"/>
      <c r="W2851" s="113" t="n"/>
      <c r="X2851" s="113" t="n"/>
      <c r="Y2851" s="113" t="n"/>
      <c r="Z2851" s="117">
        <f>IF($B2851="",0,IF($S2851="EVET",IF($D2851="GELİR",$O2851,-$O2851),0))</f>
        <v/>
      </c>
      <c r="AA2851" s="117">
        <f>IF($B2851="",0,IF(OR($W2851="EVET",$X2851="EVET",$Y2851="EVET"),0,IF($D2851="GELİR",IF($E2851="SATIŞ İADESİ/İSKONTO",-$O2851,$O2851),-$O2851)))</f>
        <v/>
      </c>
      <c r="AB2851" s="117">
        <f>IF($B2851="","",IF(OR($D2851="",$E2851="",$O2851=""),"EKSİK",IF($O2851&lt;=0,"SIFIR/NEGATİF",IF(COUNTIFS($C$6:$C$5000,$C2851,$O$6:$O$5000,$O2851,$B$6:$B$5000,$B2851)&gt;1,"MÜKERRER","OK"))))</f>
        <v/>
      </c>
    </row>
    <row r="2852" ht="16.5" customHeight="1" s="80">
      <c r="A2852" s="113" t="n"/>
      <c r="B2852" s="113" t="n"/>
      <c r="C2852" s="113" t="n"/>
      <c r="D2852" s="113" t="n"/>
      <c r="E2852" s="113" t="n"/>
      <c r="F2852" s="113" t="n"/>
      <c r="G2852" s="113" t="n"/>
      <c r="H2852" s="113" t="n"/>
      <c r="I2852" s="113" t="n"/>
      <c r="J2852" s="113" t="n"/>
      <c r="K2852" s="113" t="n"/>
      <c r="L2852" s="113" t="n"/>
      <c r="M2852" s="113" t="n"/>
      <c r="N2852" s="113" t="n"/>
      <c r="O2852" s="113" t="n"/>
      <c r="P2852" s="113" t="n"/>
      <c r="Q2852" s="113" t="n"/>
      <c r="R2852" s="113" t="n"/>
      <c r="S2852" s="113" t="n"/>
      <c r="T2852" s="113" t="n"/>
      <c r="U2852" s="113" t="n"/>
      <c r="V2852" s="113" t="n"/>
      <c r="W2852" s="113" t="n"/>
      <c r="X2852" s="113" t="n"/>
      <c r="Y2852" s="113" t="n"/>
      <c r="Z2852" s="117">
        <f>IF($B2852="",0,IF($S2852="EVET",IF($D2852="GELİR",$O2852,-$O2852),0))</f>
        <v/>
      </c>
      <c r="AA2852" s="117">
        <f>IF($B2852="",0,IF(OR($W2852="EVET",$X2852="EVET",$Y2852="EVET"),0,IF($D2852="GELİR",IF($E2852="SATIŞ İADESİ/İSKONTO",-$O2852,$O2852),-$O2852)))</f>
        <v/>
      </c>
      <c r="AB2852" s="117">
        <f>IF($B2852="","",IF(OR($D2852="",$E2852="",$O2852=""),"EKSİK",IF($O2852&lt;=0,"SIFIR/NEGATİF",IF(COUNTIFS($C$6:$C$5000,$C2852,$O$6:$O$5000,$O2852,$B$6:$B$5000,$B2852)&gt;1,"MÜKERRER","OK"))))</f>
        <v/>
      </c>
    </row>
    <row r="2853" ht="16.5" customHeight="1" s="80">
      <c r="A2853" s="113" t="n"/>
      <c r="B2853" s="113" t="n"/>
      <c r="C2853" s="113" t="n"/>
      <c r="D2853" s="113" t="n"/>
      <c r="E2853" s="113" t="n"/>
      <c r="F2853" s="113" t="n"/>
      <c r="G2853" s="113" t="n"/>
      <c r="H2853" s="113" t="n"/>
      <c r="I2853" s="113" t="n"/>
      <c r="J2853" s="113" t="n"/>
      <c r="K2853" s="113" t="n"/>
      <c r="L2853" s="113" t="n"/>
      <c r="M2853" s="113" t="n"/>
      <c r="N2853" s="113" t="n"/>
      <c r="O2853" s="113" t="n"/>
      <c r="P2853" s="113" t="n"/>
      <c r="Q2853" s="113" t="n"/>
      <c r="R2853" s="113" t="n"/>
      <c r="S2853" s="113" t="n"/>
      <c r="T2853" s="113" t="n"/>
      <c r="U2853" s="113" t="n"/>
      <c r="V2853" s="113" t="n"/>
      <c r="W2853" s="113" t="n"/>
      <c r="X2853" s="113" t="n"/>
      <c r="Y2853" s="113" t="n"/>
      <c r="Z2853" s="117">
        <f>IF($B2853="",0,IF($S2853="EVET",IF($D2853="GELİR",$O2853,-$O2853),0))</f>
        <v/>
      </c>
      <c r="AA2853" s="117">
        <f>IF($B2853="",0,IF(OR($W2853="EVET",$X2853="EVET",$Y2853="EVET"),0,IF($D2853="GELİR",IF($E2853="SATIŞ İADESİ/İSKONTO",-$O2853,$O2853),-$O2853)))</f>
        <v/>
      </c>
      <c r="AB2853" s="117">
        <f>IF($B2853="","",IF(OR($D2853="",$E2853="",$O2853=""),"EKSİK",IF($O2853&lt;=0,"SIFIR/NEGATİF",IF(COUNTIFS($C$6:$C$5000,$C2853,$O$6:$O$5000,$O2853,$B$6:$B$5000,$B2853)&gt;1,"MÜKERRER","OK"))))</f>
        <v/>
      </c>
    </row>
    <row r="2854" ht="16.5" customHeight="1" s="80">
      <c r="A2854" s="113" t="n"/>
      <c r="B2854" s="113" t="n"/>
      <c r="C2854" s="113" t="n"/>
      <c r="D2854" s="113" t="n"/>
      <c r="E2854" s="113" t="n"/>
      <c r="F2854" s="113" t="n"/>
      <c r="G2854" s="113" t="n"/>
      <c r="H2854" s="113" t="n"/>
      <c r="I2854" s="113" t="n"/>
      <c r="J2854" s="113" t="n"/>
      <c r="K2854" s="113" t="n"/>
      <c r="L2854" s="113" t="n"/>
      <c r="M2854" s="113" t="n"/>
      <c r="N2854" s="113" t="n"/>
      <c r="O2854" s="113" t="n"/>
      <c r="P2854" s="113" t="n"/>
      <c r="Q2854" s="113" t="n"/>
      <c r="R2854" s="113" t="n"/>
      <c r="S2854" s="113" t="n"/>
      <c r="T2854" s="113" t="n"/>
      <c r="U2854" s="113" t="n"/>
      <c r="V2854" s="113" t="n"/>
      <c r="W2854" s="113" t="n"/>
      <c r="X2854" s="113" t="n"/>
      <c r="Y2854" s="113" t="n"/>
      <c r="Z2854" s="117">
        <f>IF($B2854="",0,IF($S2854="EVET",IF($D2854="GELİR",$O2854,-$O2854),0))</f>
        <v/>
      </c>
      <c r="AA2854" s="117">
        <f>IF($B2854="",0,IF(OR($W2854="EVET",$X2854="EVET",$Y2854="EVET"),0,IF($D2854="GELİR",IF($E2854="SATIŞ İADESİ/İSKONTO",-$O2854,$O2854),-$O2854)))</f>
        <v/>
      </c>
      <c r="AB2854" s="117">
        <f>IF($B2854="","",IF(OR($D2854="",$E2854="",$O2854=""),"EKSİK",IF($O2854&lt;=0,"SIFIR/NEGATİF",IF(COUNTIFS($C$6:$C$5000,$C2854,$O$6:$O$5000,$O2854,$B$6:$B$5000,$B2854)&gt;1,"MÜKERRER","OK"))))</f>
        <v/>
      </c>
    </row>
    <row r="2855" ht="16.5" customHeight="1" s="80">
      <c r="A2855" s="113" t="n"/>
      <c r="B2855" s="113" t="n"/>
      <c r="C2855" s="113" t="n"/>
      <c r="D2855" s="113" t="n"/>
      <c r="E2855" s="113" t="n"/>
      <c r="F2855" s="113" t="n"/>
      <c r="G2855" s="113" t="n"/>
      <c r="H2855" s="113" t="n"/>
      <c r="I2855" s="113" t="n"/>
      <c r="J2855" s="113" t="n"/>
      <c r="K2855" s="113" t="n"/>
      <c r="L2855" s="113" t="n"/>
      <c r="M2855" s="113" t="n"/>
      <c r="N2855" s="113" t="n"/>
      <c r="O2855" s="113" t="n"/>
      <c r="P2855" s="113" t="n"/>
      <c r="Q2855" s="113" t="n"/>
      <c r="R2855" s="113" t="n"/>
      <c r="S2855" s="113" t="n"/>
      <c r="T2855" s="113" t="n"/>
      <c r="U2855" s="113" t="n"/>
      <c r="V2855" s="113" t="n"/>
      <c r="W2855" s="113" t="n"/>
      <c r="X2855" s="113" t="n"/>
      <c r="Y2855" s="113" t="n"/>
      <c r="Z2855" s="117">
        <f>IF($B2855="",0,IF($S2855="EVET",IF($D2855="GELİR",$O2855,-$O2855),0))</f>
        <v/>
      </c>
      <c r="AA2855" s="117">
        <f>IF($B2855="",0,IF(OR($W2855="EVET",$X2855="EVET",$Y2855="EVET"),0,IF($D2855="GELİR",IF($E2855="SATIŞ İADESİ/İSKONTO",-$O2855,$O2855),-$O2855)))</f>
        <v/>
      </c>
      <c r="AB2855" s="117">
        <f>IF($B2855="","",IF(OR($D2855="",$E2855="",$O2855=""),"EKSİK",IF($O2855&lt;=0,"SIFIR/NEGATİF",IF(COUNTIFS($C$6:$C$5000,$C2855,$O$6:$O$5000,$O2855,$B$6:$B$5000,$B2855)&gt;1,"MÜKERRER","OK"))))</f>
        <v/>
      </c>
    </row>
    <row r="2856" ht="16.5" customHeight="1" s="80">
      <c r="A2856" s="113" t="n"/>
      <c r="B2856" s="113" t="n"/>
      <c r="C2856" s="113" t="n"/>
      <c r="D2856" s="113" t="n"/>
      <c r="E2856" s="113" t="n"/>
      <c r="F2856" s="113" t="n"/>
      <c r="G2856" s="113" t="n"/>
      <c r="H2856" s="113" t="n"/>
      <c r="I2856" s="113" t="n"/>
      <c r="J2856" s="113" t="n"/>
      <c r="K2856" s="113" t="n"/>
      <c r="L2856" s="113" t="n"/>
      <c r="M2856" s="113" t="n"/>
      <c r="N2856" s="113" t="n"/>
      <c r="O2856" s="113" t="n"/>
      <c r="P2856" s="113" t="n"/>
      <c r="Q2856" s="113" t="n"/>
      <c r="R2856" s="113" t="n"/>
      <c r="S2856" s="113" t="n"/>
      <c r="T2856" s="113" t="n"/>
      <c r="U2856" s="113" t="n"/>
      <c r="V2856" s="113" t="n"/>
      <c r="W2856" s="113" t="n"/>
      <c r="X2856" s="113" t="n"/>
      <c r="Y2856" s="113" t="n"/>
      <c r="Z2856" s="117">
        <f>IF($B2856="",0,IF($S2856="EVET",IF($D2856="GELİR",$O2856,-$O2856),0))</f>
        <v/>
      </c>
      <c r="AA2856" s="117">
        <f>IF($B2856="",0,IF(OR($W2856="EVET",$X2856="EVET",$Y2856="EVET"),0,IF($D2856="GELİR",IF($E2856="SATIŞ İADESİ/İSKONTO",-$O2856,$O2856),-$O2856)))</f>
        <v/>
      </c>
      <c r="AB2856" s="117">
        <f>IF($B2856="","",IF(OR($D2856="",$E2856="",$O2856=""),"EKSİK",IF($O2856&lt;=0,"SIFIR/NEGATİF",IF(COUNTIFS($C$6:$C$5000,$C2856,$O$6:$O$5000,$O2856,$B$6:$B$5000,$B2856)&gt;1,"MÜKERRER","OK"))))</f>
        <v/>
      </c>
    </row>
    <row r="2857" ht="16.5" customHeight="1" s="80">
      <c r="A2857" s="113" t="n"/>
      <c r="B2857" s="113" t="n"/>
      <c r="C2857" s="113" t="n"/>
      <c r="D2857" s="113" t="n"/>
      <c r="E2857" s="113" t="n"/>
      <c r="F2857" s="113" t="n"/>
      <c r="G2857" s="113" t="n"/>
      <c r="H2857" s="113" t="n"/>
      <c r="I2857" s="113" t="n"/>
      <c r="J2857" s="113" t="n"/>
      <c r="K2857" s="113" t="n"/>
      <c r="L2857" s="113" t="n"/>
      <c r="M2857" s="113" t="n"/>
      <c r="N2857" s="113" t="n"/>
      <c r="O2857" s="113" t="n"/>
      <c r="P2857" s="113" t="n"/>
      <c r="Q2857" s="113" t="n"/>
      <c r="R2857" s="113" t="n"/>
      <c r="S2857" s="113" t="n"/>
      <c r="T2857" s="113" t="n"/>
      <c r="U2857" s="113" t="n"/>
      <c r="V2857" s="113" t="n"/>
      <c r="W2857" s="113" t="n"/>
      <c r="X2857" s="113" t="n"/>
      <c r="Y2857" s="113" t="n"/>
      <c r="Z2857" s="117">
        <f>IF($B2857="",0,IF($S2857="EVET",IF($D2857="GELİR",$O2857,-$O2857),0))</f>
        <v/>
      </c>
      <c r="AA2857" s="117">
        <f>IF($B2857="",0,IF(OR($W2857="EVET",$X2857="EVET",$Y2857="EVET"),0,IF($D2857="GELİR",IF($E2857="SATIŞ İADESİ/İSKONTO",-$O2857,$O2857),-$O2857)))</f>
        <v/>
      </c>
      <c r="AB2857" s="117">
        <f>IF($B2857="","",IF(OR($D2857="",$E2857="",$O2857=""),"EKSİK",IF($O2857&lt;=0,"SIFIR/NEGATİF",IF(COUNTIFS($C$6:$C$5000,$C2857,$O$6:$O$5000,$O2857,$B$6:$B$5000,$B2857)&gt;1,"MÜKERRER","OK"))))</f>
        <v/>
      </c>
    </row>
    <row r="2858" ht="16.5" customHeight="1" s="80">
      <c r="A2858" s="113" t="n"/>
      <c r="B2858" s="113" t="n"/>
      <c r="C2858" s="113" t="n"/>
      <c r="D2858" s="113" t="n"/>
      <c r="E2858" s="113" t="n"/>
      <c r="F2858" s="113" t="n"/>
      <c r="G2858" s="113" t="n"/>
      <c r="H2858" s="113" t="n"/>
      <c r="I2858" s="113" t="n"/>
      <c r="J2858" s="113" t="n"/>
      <c r="K2858" s="113" t="n"/>
      <c r="L2858" s="113" t="n"/>
      <c r="M2858" s="113" t="n"/>
      <c r="N2858" s="113" t="n"/>
      <c r="O2858" s="113" t="n"/>
      <c r="P2858" s="113" t="n"/>
      <c r="Q2858" s="113" t="n"/>
      <c r="R2858" s="113" t="n"/>
      <c r="S2858" s="113" t="n"/>
      <c r="T2858" s="113" t="n"/>
      <c r="U2858" s="113" t="n"/>
      <c r="V2858" s="113" t="n"/>
      <c r="W2858" s="113" t="n"/>
      <c r="X2858" s="113" t="n"/>
      <c r="Y2858" s="113" t="n"/>
      <c r="Z2858" s="117">
        <f>IF($B2858="",0,IF($S2858="EVET",IF($D2858="GELİR",$O2858,-$O2858),0))</f>
        <v/>
      </c>
      <c r="AA2858" s="117">
        <f>IF($B2858="",0,IF(OR($W2858="EVET",$X2858="EVET",$Y2858="EVET"),0,IF($D2858="GELİR",IF($E2858="SATIŞ İADESİ/İSKONTO",-$O2858,$O2858),-$O2858)))</f>
        <v/>
      </c>
      <c r="AB2858" s="117">
        <f>IF($B2858="","",IF(OR($D2858="",$E2858="",$O2858=""),"EKSİK",IF($O2858&lt;=0,"SIFIR/NEGATİF",IF(COUNTIFS($C$6:$C$5000,$C2858,$O$6:$O$5000,$O2858,$B$6:$B$5000,$B2858)&gt;1,"MÜKERRER","OK"))))</f>
        <v/>
      </c>
    </row>
    <row r="2859" ht="16.5" customHeight="1" s="80">
      <c r="A2859" s="113" t="n"/>
      <c r="B2859" s="113" t="n"/>
      <c r="C2859" s="113" t="n"/>
      <c r="D2859" s="113" t="n"/>
      <c r="E2859" s="113" t="n"/>
      <c r="F2859" s="113" t="n"/>
      <c r="G2859" s="113" t="n"/>
      <c r="H2859" s="113" t="n"/>
      <c r="I2859" s="113" t="n"/>
      <c r="J2859" s="113" t="n"/>
      <c r="K2859" s="113" t="n"/>
      <c r="L2859" s="113" t="n"/>
      <c r="M2859" s="113" t="n"/>
      <c r="N2859" s="113" t="n"/>
      <c r="O2859" s="113" t="n"/>
      <c r="P2859" s="113" t="n"/>
      <c r="Q2859" s="113" t="n"/>
      <c r="R2859" s="113" t="n"/>
      <c r="S2859" s="113" t="n"/>
      <c r="T2859" s="113" t="n"/>
      <c r="U2859" s="113" t="n"/>
      <c r="V2859" s="113" t="n"/>
      <c r="W2859" s="113" t="n"/>
      <c r="X2859" s="113" t="n"/>
      <c r="Y2859" s="113" t="n"/>
      <c r="Z2859" s="117">
        <f>IF($B2859="",0,IF($S2859="EVET",IF($D2859="GELİR",$O2859,-$O2859),0))</f>
        <v/>
      </c>
      <c r="AA2859" s="117">
        <f>IF($B2859="",0,IF(OR($W2859="EVET",$X2859="EVET",$Y2859="EVET"),0,IF($D2859="GELİR",IF($E2859="SATIŞ İADESİ/İSKONTO",-$O2859,$O2859),-$O2859)))</f>
        <v/>
      </c>
      <c r="AB2859" s="117">
        <f>IF($B2859="","",IF(OR($D2859="",$E2859="",$O2859=""),"EKSİK",IF($O2859&lt;=0,"SIFIR/NEGATİF",IF(COUNTIFS($C$6:$C$5000,$C2859,$O$6:$O$5000,$O2859,$B$6:$B$5000,$B2859)&gt;1,"MÜKERRER","OK"))))</f>
        <v/>
      </c>
    </row>
    <row r="2860" ht="16.5" customHeight="1" s="80">
      <c r="A2860" s="113" t="n"/>
      <c r="B2860" s="113" t="n"/>
      <c r="C2860" s="113" t="n"/>
      <c r="D2860" s="113" t="n"/>
      <c r="E2860" s="113" t="n"/>
      <c r="F2860" s="113" t="n"/>
      <c r="G2860" s="113" t="n"/>
      <c r="H2860" s="113" t="n"/>
      <c r="I2860" s="113" t="n"/>
      <c r="J2860" s="113" t="n"/>
      <c r="K2860" s="113" t="n"/>
      <c r="L2860" s="113" t="n"/>
      <c r="M2860" s="113" t="n"/>
      <c r="N2860" s="113" t="n"/>
      <c r="O2860" s="113" t="n"/>
      <c r="P2860" s="113" t="n"/>
      <c r="Q2860" s="113" t="n"/>
      <c r="R2860" s="113" t="n"/>
      <c r="S2860" s="113" t="n"/>
      <c r="T2860" s="113" t="n"/>
      <c r="U2860" s="113" t="n"/>
      <c r="V2860" s="113" t="n"/>
      <c r="W2860" s="113" t="n"/>
      <c r="X2860" s="113" t="n"/>
      <c r="Y2860" s="113" t="n"/>
      <c r="Z2860" s="117">
        <f>IF($B2860="",0,IF($S2860="EVET",IF($D2860="GELİR",$O2860,-$O2860),0))</f>
        <v/>
      </c>
      <c r="AA2860" s="117">
        <f>IF($B2860="",0,IF(OR($W2860="EVET",$X2860="EVET",$Y2860="EVET"),0,IF($D2860="GELİR",IF($E2860="SATIŞ İADESİ/İSKONTO",-$O2860,$O2860),-$O2860)))</f>
        <v/>
      </c>
      <c r="AB2860" s="117">
        <f>IF($B2860="","",IF(OR($D2860="",$E2860="",$O2860=""),"EKSİK",IF($O2860&lt;=0,"SIFIR/NEGATİF",IF(COUNTIFS($C$6:$C$5000,$C2860,$O$6:$O$5000,$O2860,$B$6:$B$5000,$B2860)&gt;1,"MÜKERRER","OK"))))</f>
        <v/>
      </c>
    </row>
    <row r="2861" ht="16.5" customHeight="1" s="80">
      <c r="A2861" s="113" t="n"/>
      <c r="B2861" s="113" t="n"/>
      <c r="C2861" s="113" t="n"/>
      <c r="D2861" s="113" t="n"/>
      <c r="E2861" s="113" t="n"/>
      <c r="F2861" s="113" t="n"/>
      <c r="G2861" s="113" t="n"/>
      <c r="H2861" s="113" t="n"/>
      <c r="I2861" s="113" t="n"/>
      <c r="J2861" s="113" t="n"/>
      <c r="K2861" s="113" t="n"/>
      <c r="L2861" s="113" t="n"/>
      <c r="M2861" s="113" t="n"/>
      <c r="N2861" s="113" t="n"/>
      <c r="O2861" s="113" t="n"/>
      <c r="P2861" s="113" t="n"/>
      <c r="Q2861" s="113" t="n"/>
      <c r="R2861" s="113" t="n"/>
      <c r="S2861" s="113" t="n"/>
      <c r="T2861" s="113" t="n"/>
      <c r="U2861" s="113" t="n"/>
      <c r="V2861" s="113" t="n"/>
      <c r="W2861" s="113" t="n"/>
      <c r="X2861" s="113" t="n"/>
      <c r="Y2861" s="113" t="n"/>
      <c r="Z2861" s="117">
        <f>IF($B2861="",0,IF($S2861="EVET",IF($D2861="GELİR",$O2861,-$O2861),0))</f>
        <v/>
      </c>
      <c r="AA2861" s="117">
        <f>IF($B2861="",0,IF(OR($W2861="EVET",$X2861="EVET",$Y2861="EVET"),0,IF($D2861="GELİR",IF($E2861="SATIŞ İADESİ/İSKONTO",-$O2861,$O2861),-$O2861)))</f>
        <v/>
      </c>
      <c r="AB2861" s="117">
        <f>IF($B2861="","",IF(OR($D2861="",$E2861="",$O2861=""),"EKSİK",IF($O2861&lt;=0,"SIFIR/NEGATİF",IF(COUNTIFS($C$6:$C$5000,$C2861,$O$6:$O$5000,$O2861,$B$6:$B$5000,$B2861)&gt;1,"MÜKERRER","OK"))))</f>
        <v/>
      </c>
    </row>
    <row r="2862" ht="16.5" customHeight="1" s="80">
      <c r="A2862" s="113" t="n"/>
      <c r="B2862" s="113" t="n"/>
      <c r="C2862" s="113" t="n"/>
      <c r="D2862" s="113" t="n"/>
      <c r="E2862" s="113" t="n"/>
      <c r="F2862" s="113" t="n"/>
      <c r="G2862" s="113" t="n"/>
      <c r="H2862" s="113" t="n"/>
      <c r="I2862" s="113" t="n"/>
      <c r="J2862" s="113" t="n"/>
      <c r="K2862" s="113" t="n"/>
      <c r="L2862" s="113" t="n"/>
      <c r="M2862" s="113" t="n"/>
      <c r="N2862" s="113" t="n"/>
      <c r="O2862" s="113" t="n"/>
      <c r="P2862" s="113" t="n"/>
      <c r="Q2862" s="113" t="n"/>
      <c r="R2862" s="113" t="n"/>
      <c r="S2862" s="113" t="n"/>
      <c r="T2862" s="113" t="n"/>
      <c r="U2862" s="113" t="n"/>
      <c r="V2862" s="113" t="n"/>
      <c r="W2862" s="113" t="n"/>
      <c r="X2862" s="113" t="n"/>
      <c r="Y2862" s="113" t="n"/>
      <c r="Z2862" s="117">
        <f>IF($B2862="",0,IF($S2862="EVET",IF($D2862="GELİR",$O2862,-$O2862),0))</f>
        <v/>
      </c>
      <c r="AA2862" s="117">
        <f>IF($B2862="",0,IF(OR($W2862="EVET",$X2862="EVET",$Y2862="EVET"),0,IF($D2862="GELİR",IF($E2862="SATIŞ İADESİ/İSKONTO",-$O2862,$O2862),-$O2862)))</f>
        <v/>
      </c>
      <c r="AB2862" s="117">
        <f>IF($B2862="","",IF(OR($D2862="",$E2862="",$O2862=""),"EKSİK",IF($O2862&lt;=0,"SIFIR/NEGATİF",IF(COUNTIFS($C$6:$C$5000,$C2862,$O$6:$O$5000,$O2862,$B$6:$B$5000,$B2862)&gt;1,"MÜKERRER","OK"))))</f>
        <v/>
      </c>
    </row>
    <row r="2863" ht="16.5" customHeight="1" s="80">
      <c r="A2863" s="113" t="n"/>
      <c r="B2863" s="113" t="n"/>
      <c r="C2863" s="113" t="n"/>
      <c r="D2863" s="113" t="n"/>
      <c r="E2863" s="113" t="n"/>
      <c r="F2863" s="113" t="n"/>
      <c r="G2863" s="113" t="n"/>
      <c r="H2863" s="113" t="n"/>
      <c r="I2863" s="113" t="n"/>
      <c r="J2863" s="113" t="n"/>
      <c r="K2863" s="113" t="n"/>
      <c r="L2863" s="113" t="n"/>
      <c r="M2863" s="113" t="n"/>
      <c r="N2863" s="113" t="n"/>
      <c r="O2863" s="113" t="n"/>
      <c r="P2863" s="113" t="n"/>
      <c r="Q2863" s="113" t="n"/>
      <c r="R2863" s="113" t="n"/>
      <c r="S2863" s="113" t="n"/>
      <c r="T2863" s="113" t="n"/>
      <c r="U2863" s="113" t="n"/>
      <c r="V2863" s="113" t="n"/>
      <c r="W2863" s="113" t="n"/>
      <c r="X2863" s="113" t="n"/>
      <c r="Y2863" s="113" t="n"/>
      <c r="Z2863" s="117">
        <f>IF($B2863="",0,IF($S2863="EVET",IF($D2863="GELİR",$O2863,-$O2863),0))</f>
        <v/>
      </c>
      <c r="AA2863" s="117">
        <f>IF($B2863="",0,IF(OR($W2863="EVET",$X2863="EVET",$Y2863="EVET"),0,IF($D2863="GELİR",IF($E2863="SATIŞ İADESİ/İSKONTO",-$O2863,$O2863),-$O2863)))</f>
        <v/>
      </c>
      <c r="AB2863" s="117">
        <f>IF($B2863="","",IF(OR($D2863="",$E2863="",$O2863=""),"EKSİK",IF($O2863&lt;=0,"SIFIR/NEGATİF",IF(COUNTIFS($C$6:$C$5000,$C2863,$O$6:$O$5000,$O2863,$B$6:$B$5000,$B2863)&gt;1,"MÜKERRER","OK"))))</f>
        <v/>
      </c>
    </row>
    <row r="2864" ht="16.5" customHeight="1" s="80">
      <c r="A2864" s="113" t="n"/>
      <c r="B2864" s="113" t="n"/>
      <c r="C2864" s="113" t="n"/>
      <c r="D2864" s="113" t="n"/>
      <c r="E2864" s="113" t="n"/>
      <c r="F2864" s="113" t="n"/>
      <c r="G2864" s="113" t="n"/>
      <c r="H2864" s="113" t="n"/>
      <c r="I2864" s="113" t="n"/>
      <c r="J2864" s="113" t="n"/>
      <c r="K2864" s="113" t="n"/>
      <c r="L2864" s="113" t="n"/>
      <c r="M2864" s="113" t="n"/>
      <c r="N2864" s="113" t="n"/>
      <c r="O2864" s="113" t="n"/>
      <c r="P2864" s="113" t="n"/>
      <c r="Q2864" s="113" t="n"/>
      <c r="R2864" s="113" t="n"/>
      <c r="S2864" s="113" t="n"/>
      <c r="T2864" s="113" t="n"/>
      <c r="U2864" s="113" t="n"/>
      <c r="V2864" s="113" t="n"/>
      <c r="W2864" s="113" t="n"/>
      <c r="X2864" s="113" t="n"/>
      <c r="Y2864" s="113" t="n"/>
      <c r="Z2864" s="117">
        <f>IF($B2864="",0,IF($S2864="EVET",IF($D2864="GELİR",$O2864,-$O2864),0))</f>
        <v/>
      </c>
      <c r="AA2864" s="117">
        <f>IF($B2864="",0,IF(OR($W2864="EVET",$X2864="EVET",$Y2864="EVET"),0,IF($D2864="GELİR",IF($E2864="SATIŞ İADESİ/İSKONTO",-$O2864,$O2864),-$O2864)))</f>
        <v/>
      </c>
      <c r="AB2864" s="117">
        <f>IF($B2864="","",IF(OR($D2864="",$E2864="",$O2864=""),"EKSİK",IF($O2864&lt;=0,"SIFIR/NEGATİF",IF(COUNTIFS($C$6:$C$5000,$C2864,$O$6:$O$5000,$O2864,$B$6:$B$5000,$B2864)&gt;1,"MÜKERRER","OK"))))</f>
        <v/>
      </c>
    </row>
    <row r="2865" ht="16.5" customHeight="1" s="80">
      <c r="A2865" s="113" t="n"/>
      <c r="B2865" s="113" t="n"/>
      <c r="C2865" s="113" t="n"/>
      <c r="D2865" s="113" t="n"/>
      <c r="E2865" s="113" t="n"/>
      <c r="F2865" s="113" t="n"/>
      <c r="G2865" s="113" t="n"/>
      <c r="H2865" s="113" t="n"/>
      <c r="I2865" s="113" t="n"/>
      <c r="J2865" s="113" t="n"/>
      <c r="K2865" s="113" t="n"/>
      <c r="L2865" s="113" t="n"/>
      <c r="M2865" s="113" t="n"/>
      <c r="N2865" s="113" t="n"/>
      <c r="O2865" s="113" t="n"/>
      <c r="P2865" s="113" t="n"/>
      <c r="Q2865" s="113" t="n"/>
      <c r="R2865" s="113" t="n"/>
      <c r="S2865" s="113" t="n"/>
      <c r="T2865" s="113" t="n"/>
      <c r="U2865" s="113" t="n"/>
      <c r="V2865" s="113" t="n"/>
      <c r="W2865" s="113" t="n"/>
      <c r="X2865" s="113" t="n"/>
      <c r="Y2865" s="113" t="n"/>
      <c r="Z2865" s="117">
        <f>IF($B2865="",0,IF($S2865="EVET",IF($D2865="GELİR",$O2865,-$O2865),0))</f>
        <v/>
      </c>
      <c r="AA2865" s="117">
        <f>IF($B2865="",0,IF(OR($W2865="EVET",$X2865="EVET",$Y2865="EVET"),0,IF($D2865="GELİR",IF($E2865="SATIŞ İADESİ/İSKONTO",-$O2865,$O2865),-$O2865)))</f>
        <v/>
      </c>
      <c r="AB2865" s="117">
        <f>IF($B2865="","",IF(OR($D2865="",$E2865="",$O2865=""),"EKSİK",IF($O2865&lt;=0,"SIFIR/NEGATİF",IF(COUNTIFS($C$6:$C$5000,$C2865,$O$6:$O$5000,$O2865,$B$6:$B$5000,$B2865)&gt;1,"MÜKERRER","OK"))))</f>
        <v/>
      </c>
    </row>
    <row r="2866" ht="16.5" customHeight="1" s="80">
      <c r="A2866" s="113" t="n"/>
      <c r="B2866" s="113" t="n"/>
      <c r="C2866" s="113" t="n"/>
      <c r="D2866" s="113" t="n"/>
      <c r="E2866" s="113" t="n"/>
      <c r="F2866" s="113" t="n"/>
      <c r="G2866" s="113" t="n"/>
      <c r="H2866" s="113" t="n"/>
      <c r="I2866" s="113" t="n"/>
      <c r="J2866" s="113" t="n"/>
      <c r="K2866" s="113" t="n"/>
      <c r="L2866" s="113" t="n"/>
      <c r="M2866" s="113" t="n"/>
      <c r="N2866" s="113" t="n"/>
      <c r="O2866" s="113" t="n"/>
      <c r="P2866" s="113" t="n"/>
      <c r="Q2866" s="113" t="n"/>
      <c r="R2866" s="113" t="n"/>
      <c r="S2866" s="113" t="n"/>
      <c r="T2866" s="113" t="n"/>
      <c r="U2866" s="113" t="n"/>
      <c r="V2866" s="113" t="n"/>
      <c r="W2866" s="113" t="n"/>
      <c r="X2866" s="113" t="n"/>
      <c r="Y2866" s="113" t="n"/>
      <c r="Z2866" s="117">
        <f>IF($B2866="",0,IF($S2866="EVET",IF($D2866="GELİR",$O2866,-$O2866),0))</f>
        <v/>
      </c>
      <c r="AA2866" s="117">
        <f>IF($B2866="",0,IF(OR($W2866="EVET",$X2866="EVET",$Y2866="EVET"),0,IF($D2866="GELİR",IF($E2866="SATIŞ İADESİ/İSKONTO",-$O2866,$O2866),-$O2866)))</f>
        <v/>
      </c>
      <c r="AB2866" s="117">
        <f>IF($B2866="","",IF(OR($D2866="",$E2866="",$O2866=""),"EKSİK",IF($O2866&lt;=0,"SIFIR/NEGATİF",IF(COUNTIFS($C$6:$C$5000,$C2866,$O$6:$O$5000,$O2866,$B$6:$B$5000,$B2866)&gt;1,"MÜKERRER","OK"))))</f>
        <v/>
      </c>
    </row>
    <row r="2867" ht="16.5" customHeight="1" s="80">
      <c r="A2867" s="113" t="n"/>
      <c r="B2867" s="113" t="n"/>
      <c r="C2867" s="113" t="n"/>
      <c r="D2867" s="113" t="n"/>
      <c r="E2867" s="113" t="n"/>
      <c r="F2867" s="113" t="n"/>
      <c r="G2867" s="113" t="n"/>
      <c r="H2867" s="113" t="n"/>
      <c r="I2867" s="113" t="n"/>
      <c r="J2867" s="113" t="n"/>
      <c r="K2867" s="113" t="n"/>
      <c r="L2867" s="113" t="n"/>
      <c r="M2867" s="113" t="n"/>
      <c r="N2867" s="113" t="n"/>
      <c r="O2867" s="113" t="n"/>
      <c r="P2867" s="113" t="n"/>
      <c r="Q2867" s="113" t="n"/>
      <c r="R2867" s="113" t="n"/>
      <c r="S2867" s="113" t="n"/>
      <c r="T2867" s="113" t="n"/>
      <c r="U2867" s="113" t="n"/>
      <c r="V2867" s="113" t="n"/>
      <c r="W2867" s="113" t="n"/>
      <c r="X2867" s="113" t="n"/>
      <c r="Y2867" s="113" t="n"/>
      <c r="Z2867" s="117">
        <f>IF($B2867="",0,IF($S2867="EVET",IF($D2867="GELİR",$O2867,-$O2867),0))</f>
        <v/>
      </c>
      <c r="AA2867" s="117">
        <f>IF($B2867="",0,IF(OR($W2867="EVET",$X2867="EVET",$Y2867="EVET"),0,IF($D2867="GELİR",IF($E2867="SATIŞ İADESİ/İSKONTO",-$O2867,$O2867),-$O2867)))</f>
        <v/>
      </c>
      <c r="AB2867" s="117">
        <f>IF($B2867="","",IF(OR($D2867="",$E2867="",$O2867=""),"EKSİK",IF($O2867&lt;=0,"SIFIR/NEGATİF",IF(COUNTIFS($C$6:$C$5000,$C2867,$O$6:$O$5000,$O2867,$B$6:$B$5000,$B2867)&gt;1,"MÜKERRER","OK"))))</f>
        <v/>
      </c>
    </row>
    <row r="2868" ht="16.5" customHeight="1" s="80">
      <c r="A2868" s="113" t="n"/>
      <c r="B2868" s="113" t="n"/>
      <c r="C2868" s="113" t="n"/>
      <c r="D2868" s="113" t="n"/>
      <c r="E2868" s="113" t="n"/>
      <c r="F2868" s="113" t="n"/>
      <c r="G2868" s="113" t="n"/>
      <c r="H2868" s="113" t="n"/>
      <c r="I2868" s="113" t="n"/>
      <c r="J2868" s="113" t="n"/>
      <c r="K2868" s="113" t="n"/>
      <c r="L2868" s="113" t="n"/>
      <c r="M2868" s="113" t="n"/>
      <c r="N2868" s="113" t="n"/>
      <c r="O2868" s="113" t="n"/>
      <c r="P2868" s="113" t="n"/>
      <c r="Q2868" s="113" t="n"/>
      <c r="R2868" s="113" t="n"/>
      <c r="S2868" s="113" t="n"/>
      <c r="T2868" s="113" t="n"/>
      <c r="U2868" s="113" t="n"/>
      <c r="V2868" s="113" t="n"/>
      <c r="W2868" s="113" t="n"/>
      <c r="X2868" s="113" t="n"/>
      <c r="Y2868" s="113" t="n"/>
      <c r="Z2868" s="117">
        <f>IF($B2868="",0,IF($S2868="EVET",IF($D2868="GELİR",$O2868,-$O2868),0))</f>
        <v/>
      </c>
      <c r="AA2868" s="117">
        <f>IF($B2868="",0,IF(OR($W2868="EVET",$X2868="EVET",$Y2868="EVET"),0,IF($D2868="GELİR",IF($E2868="SATIŞ İADESİ/İSKONTO",-$O2868,$O2868),-$O2868)))</f>
        <v/>
      </c>
      <c r="AB2868" s="117">
        <f>IF($B2868="","",IF(OR($D2868="",$E2868="",$O2868=""),"EKSİK",IF($O2868&lt;=0,"SIFIR/NEGATİF",IF(COUNTIFS($C$6:$C$5000,$C2868,$O$6:$O$5000,$O2868,$B$6:$B$5000,$B2868)&gt;1,"MÜKERRER","OK"))))</f>
        <v/>
      </c>
    </row>
    <row r="2869" ht="16.5" customHeight="1" s="80">
      <c r="A2869" s="113" t="n"/>
      <c r="B2869" s="113" t="n"/>
      <c r="C2869" s="113" t="n"/>
      <c r="D2869" s="113" t="n"/>
      <c r="E2869" s="113" t="n"/>
      <c r="F2869" s="113" t="n"/>
      <c r="G2869" s="113" t="n"/>
      <c r="H2869" s="113" t="n"/>
      <c r="I2869" s="113" t="n"/>
      <c r="J2869" s="113" t="n"/>
      <c r="K2869" s="113" t="n"/>
      <c r="L2869" s="113" t="n"/>
      <c r="M2869" s="113" t="n"/>
      <c r="N2869" s="113" t="n"/>
      <c r="O2869" s="113" t="n"/>
      <c r="P2869" s="113" t="n"/>
      <c r="Q2869" s="113" t="n"/>
      <c r="R2869" s="113" t="n"/>
      <c r="S2869" s="113" t="n"/>
      <c r="T2869" s="113" t="n"/>
      <c r="U2869" s="113" t="n"/>
      <c r="V2869" s="113" t="n"/>
      <c r="W2869" s="113" t="n"/>
      <c r="X2869" s="113" t="n"/>
      <c r="Y2869" s="113" t="n"/>
      <c r="Z2869" s="117">
        <f>IF($B2869="",0,IF($S2869="EVET",IF($D2869="GELİR",$O2869,-$O2869),0))</f>
        <v/>
      </c>
      <c r="AA2869" s="117">
        <f>IF($B2869="",0,IF(OR($W2869="EVET",$X2869="EVET",$Y2869="EVET"),0,IF($D2869="GELİR",IF($E2869="SATIŞ İADESİ/İSKONTO",-$O2869,$O2869),-$O2869)))</f>
        <v/>
      </c>
      <c r="AB2869" s="117">
        <f>IF($B2869="","",IF(OR($D2869="",$E2869="",$O2869=""),"EKSİK",IF($O2869&lt;=0,"SIFIR/NEGATİF",IF(COUNTIFS($C$6:$C$5000,$C2869,$O$6:$O$5000,$O2869,$B$6:$B$5000,$B2869)&gt;1,"MÜKERRER","OK"))))</f>
        <v/>
      </c>
    </row>
    <row r="2870" ht="16.5" customHeight="1" s="80">
      <c r="A2870" s="113" t="n"/>
      <c r="B2870" s="113" t="n"/>
      <c r="C2870" s="113" t="n"/>
      <c r="D2870" s="113" t="n"/>
      <c r="E2870" s="113" t="n"/>
      <c r="F2870" s="113" t="n"/>
      <c r="G2870" s="113" t="n"/>
      <c r="H2870" s="113" t="n"/>
      <c r="I2870" s="113" t="n"/>
      <c r="J2870" s="113" t="n"/>
      <c r="K2870" s="113" t="n"/>
      <c r="L2870" s="113" t="n"/>
      <c r="M2870" s="113" t="n"/>
      <c r="N2870" s="113" t="n"/>
      <c r="O2870" s="113" t="n"/>
      <c r="P2870" s="113" t="n"/>
      <c r="Q2870" s="113" t="n"/>
      <c r="R2870" s="113" t="n"/>
      <c r="S2870" s="113" t="n"/>
      <c r="T2870" s="113" t="n"/>
      <c r="U2870" s="113" t="n"/>
      <c r="V2870" s="113" t="n"/>
      <c r="W2870" s="113" t="n"/>
      <c r="X2870" s="113" t="n"/>
      <c r="Y2870" s="113" t="n"/>
      <c r="Z2870" s="117">
        <f>IF($B2870="",0,IF($S2870="EVET",IF($D2870="GELİR",$O2870,-$O2870),0))</f>
        <v/>
      </c>
      <c r="AA2870" s="117">
        <f>IF($B2870="",0,IF(OR($W2870="EVET",$X2870="EVET",$Y2870="EVET"),0,IF($D2870="GELİR",IF($E2870="SATIŞ İADESİ/İSKONTO",-$O2870,$O2870),-$O2870)))</f>
        <v/>
      </c>
      <c r="AB2870" s="117">
        <f>IF($B2870="","",IF(OR($D2870="",$E2870="",$O2870=""),"EKSİK",IF($O2870&lt;=0,"SIFIR/NEGATİF",IF(COUNTIFS($C$6:$C$5000,$C2870,$O$6:$O$5000,$O2870,$B$6:$B$5000,$B2870)&gt;1,"MÜKERRER","OK"))))</f>
        <v/>
      </c>
    </row>
    <row r="2871" ht="16.5" customHeight="1" s="80">
      <c r="A2871" s="113" t="n"/>
      <c r="B2871" s="113" t="n"/>
      <c r="C2871" s="113" t="n"/>
      <c r="D2871" s="113" t="n"/>
      <c r="E2871" s="113" t="n"/>
      <c r="F2871" s="113" t="n"/>
      <c r="G2871" s="113" t="n"/>
      <c r="H2871" s="113" t="n"/>
      <c r="I2871" s="113" t="n"/>
      <c r="J2871" s="113" t="n"/>
      <c r="K2871" s="113" t="n"/>
      <c r="L2871" s="113" t="n"/>
      <c r="M2871" s="113" t="n"/>
      <c r="N2871" s="113" t="n"/>
      <c r="O2871" s="113" t="n"/>
      <c r="P2871" s="113" t="n"/>
      <c r="Q2871" s="113" t="n"/>
      <c r="R2871" s="113" t="n"/>
      <c r="S2871" s="113" t="n"/>
      <c r="T2871" s="113" t="n"/>
      <c r="U2871" s="113" t="n"/>
      <c r="V2871" s="113" t="n"/>
      <c r="W2871" s="113" t="n"/>
      <c r="X2871" s="113" t="n"/>
      <c r="Y2871" s="113" t="n"/>
      <c r="Z2871" s="117">
        <f>IF($B2871="",0,IF($S2871="EVET",IF($D2871="GELİR",$O2871,-$O2871),0))</f>
        <v/>
      </c>
      <c r="AA2871" s="117">
        <f>IF($B2871="",0,IF(OR($W2871="EVET",$X2871="EVET",$Y2871="EVET"),0,IF($D2871="GELİR",IF($E2871="SATIŞ İADESİ/İSKONTO",-$O2871,$O2871),-$O2871)))</f>
        <v/>
      </c>
      <c r="AB2871" s="117">
        <f>IF($B2871="","",IF(OR($D2871="",$E2871="",$O2871=""),"EKSİK",IF($O2871&lt;=0,"SIFIR/NEGATİF",IF(COUNTIFS($C$6:$C$5000,$C2871,$O$6:$O$5000,$O2871,$B$6:$B$5000,$B2871)&gt;1,"MÜKERRER","OK"))))</f>
        <v/>
      </c>
    </row>
    <row r="2872" ht="16.5" customHeight="1" s="80">
      <c r="A2872" s="113" t="n"/>
      <c r="B2872" s="113" t="n"/>
      <c r="C2872" s="113" t="n"/>
      <c r="D2872" s="113" t="n"/>
      <c r="E2872" s="113" t="n"/>
      <c r="F2872" s="113" t="n"/>
      <c r="G2872" s="113" t="n"/>
      <c r="H2872" s="113" t="n"/>
      <c r="I2872" s="113" t="n"/>
      <c r="J2872" s="113" t="n"/>
      <c r="K2872" s="113" t="n"/>
      <c r="L2872" s="113" t="n"/>
      <c r="M2872" s="113" t="n"/>
      <c r="N2872" s="113" t="n"/>
      <c r="O2872" s="113" t="n"/>
      <c r="P2872" s="113" t="n"/>
      <c r="Q2872" s="113" t="n"/>
      <c r="R2872" s="113" t="n"/>
      <c r="S2872" s="113" t="n"/>
      <c r="T2872" s="113" t="n"/>
      <c r="U2872" s="113" t="n"/>
      <c r="V2872" s="113" t="n"/>
      <c r="W2872" s="113" t="n"/>
      <c r="X2872" s="113" t="n"/>
      <c r="Y2872" s="113" t="n"/>
      <c r="Z2872" s="117">
        <f>IF($B2872="",0,IF($S2872="EVET",IF($D2872="GELİR",$O2872,-$O2872),0))</f>
        <v/>
      </c>
      <c r="AA2872" s="117">
        <f>IF($B2872="",0,IF(OR($W2872="EVET",$X2872="EVET",$Y2872="EVET"),0,IF($D2872="GELİR",IF($E2872="SATIŞ İADESİ/İSKONTO",-$O2872,$O2872),-$O2872)))</f>
        <v/>
      </c>
      <c r="AB2872" s="117">
        <f>IF($B2872="","",IF(OR($D2872="",$E2872="",$O2872=""),"EKSİK",IF($O2872&lt;=0,"SIFIR/NEGATİF",IF(COUNTIFS($C$6:$C$5000,$C2872,$O$6:$O$5000,$O2872,$B$6:$B$5000,$B2872)&gt;1,"MÜKERRER","OK"))))</f>
        <v/>
      </c>
    </row>
    <row r="2873" ht="16.5" customHeight="1" s="80">
      <c r="A2873" s="113" t="n"/>
      <c r="B2873" s="113" t="n"/>
      <c r="C2873" s="113" t="n"/>
      <c r="D2873" s="113" t="n"/>
      <c r="E2873" s="113" t="n"/>
      <c r="F2873" s="113" t="n"/>
      <c r="G2873" s="113" t="n"/>
      <c r="H2873" s="113" t="n"/>
      <c r="I2873" s="113" t="n"/>
      <c r="J2873" s="113" t="n"/>
      <c r="K2873" s="113" t="n"/>
      <c r="L2873" s="113" t="n"/>
      <c r="M2873" s="113" t="n"/>
      <c r="N2873" s="113" t="n"/>
      <c r="O2873" s="113" t="n"/>
      <c r="P2873" s="113" t="n"/>
      <c r="Q2873" s="113" t="n"/>
      <c r="R2873" s="113" t="n"/>
      <c r="S2873" s="113" t="n"/>
      <c r="T2873" s="113" t="n"/>
      <c r="U2873" s="113" t="n"/>
      <c r="V2873" s="113" t="n"/>
      <c r="W2873" s="113" t="n"/>
      <c r="X2873" s="113" t="n"/>
      <c r="Y2873" s="113" t="n"/>
      <c r="Z2873" s="117">
        <f>IF($B2873="",0,IF($S2873="EVET",IF($D2873="GELİR",$O2873,-$O2873),0))</f>
        <v/>
      </c>
      <c r="AA2873" s="117">
        <f>IF($B2873="",0,IF(OR($W2873="EVET",$X2873="EVET",$Y2873="EVET"),0,IF($D2873="GELİR",IF($E2873="SATIŞ İADESİ/İSKONTO",-$O2873,$O2873),-$O2873)))</f>
        <v/>
      </c>
      <c r="AB2873" s="117">
        <f>IF($B2873="","",IF(OR($D2873="",$E2873="",$O2873=""),"EKSİK",IF($O2873&lt;=0,"SIFIR/NEGATİF",IF(COUNTIFS($C$6:$C$5000,$C2873,$O$6:$O$5000,$O2873,$B$6:$B$5000,$B2873)&gt;1,"MÜKERRER","OK"))))</f>
        <v/>
      </c>
    </row>
    <row r="2874" ht="16.5" customHeight="1" s="80">
      <c r="A2874" s="113" t="n"/>
      <c r="B2874" s="113" t="n"/>
      <c r="C2874" s="113" t="n"/>
      <c r="D2874" s="113" t="n"/>
      <c r="E2874" s="113" t="n"/>
      <c r="F2874" s="113" t="n"/>
      <c r="G2874" s="113" t="n"/>
      <c r="H2874" s="113" t="n"/>
      <c r="I2874" s="113" t="n"/>
      <c r="J2874" s="113" t="n"/>
      <c r="K2874" s="113" t="n"/>
      <c r="L2874" s="113" t="n"/>
      <c r="M2874" s="113" t="n"/>
      <c r="N2874" s="113" t="n"/>
      <c r="O2874" s="113" t="n"/>
      <c r="P2874" s="113" t="n"/>
      <c r="Q2874" s="113" t="n"/>
      <c r="R2874" s="113" t="n"/>
      <c r="S2874" s="113" t="n"/>
      <c r="T2874" s="113" t="n"/>
      <c r="U2874" s="113" t="n"/>
      <c r="V2874" s="113" t="n"/>
      <c r="W2874" s="113" t="n"/>
      <c r="X2874" s="113" t="n"/>
      <c r="Y2874" s="113" t="n"/>
      <c r="Z2874" s="117">
        <f>IF($B2874="",0,IF($S2874="EVET",IF($D2874="GELİR",$O2874,-$O2874),0))</f>
        <v/>
      </c>
      <c r="AA2874" s="117">
        <f>IF($B2874="",0,IF(OR($W2874="EVET",$X2874="EVET",$Y2874="EVET"),0,IF($D2874="GELİR",IF($E2874="SATIŞ İADESİ/İSKONTO",-$O2874,$O2874),-$O2874)))</f>
        <v/>
      </c>
      <c r="AB2874" s="117">
        <f>IF($B2874="","",IF(OR($D2874="",$E2874="",$O2874=""),"EKSİK",IF($O2874&lt;=0,"SIFIR/NEGATİF",IF(COUNTIFS($C$6:$C$5000,$C2874,$O$6:$O$5000,$O2874,$B$6:$B$5000,$B2874)&gt;1,"MÜKERRER","OK"))))</f>
        <v/>
      </c>
    </row>
    <row r="2875" ht="16.5" customHeight="1" s="80">
      <c r="A2875" s="113" t="n"/>
      <c r="B2875" s="113" t="n"/>
      <c r="C2875" s="113" t="n"/>
      <c r="D2875" s="113" t="n"/>
      <c r="E2875" s="113" t="n"/>
      <c r="F2875" s="113" t="n"/>
      <c r="G2875" s="113" t="n"/>
      <c r="H2875" s="113" t="n"/>
      <c r="I2875" s="113" t="n"/>
      <c r="J2875" s="113" t="n"/>
      <c r="K2875" s="113" t="n"/>
      <c r="L2875" s="113" t="n"/>
      <c r="M2875" s="113" t="n"/>
      <c r="N2875" s="113" t="n"/>
      <c r="O2875" s="113" t="n"/>
      <c r="P2875" s="113" t="n"/>
      <c r="Q2875" s="113" t="n"/>
      <c r="R2875" s="113" t="n"/>
      <c r="S2875" s="113" t="n"/>
      <c r="T2875" s="113" t="n"/>
      <c r="U2875" s="113" t="n"/>
      <c r="V2875" s="113" t="n"/>
      <c r="W2875" s="113" t="n"/>
      <c r="X2875" s="113" t="n"/>
      <c r="Y2875" s="113" t="n"/>
      <c r="Z2875" s="117">
        <f>IF($B2875="",0,IF($S2875="EVET",IF($D2875="GELİR",$O2875,-$O2875),0))</f>
        <v/>
      </c>
      <c r="AA2875" s="117">
        <f>IF($B2875="",0,IF(OR($W2875="EVET",$X2875="EVET",$Y2875="EVET"),0,IF($D2875="GELİR",IF($E2875="SATIŞ İADESİ/İSKONTO",-$O2875,$O2875),-$O2875)))</f>
        <v/>
      </c>
      <c r="AB2875" s="117">
        <f>IF($B2875="","",IF(OR($D2875="",$E2875="",$O2875=""),"EKSİK",IF($O2875&lt;=0,"SIFIR/NEGATİF",IF(COUNTIFS($C$6:$C$5000,$C2875,$O$6:$O$5000,$O2875,$B$6:$B$5000,$B2875)&gt;1,"MÜKERRER","OK"))))</f>
        <v/>
      </c>
    </row>
    <row r="2876" ht="16.5" customHeight="1" s="80">
      <c r="A2876" s="113" t="n"/>
      <c r="B2876" s="113" t="n"/>
      <c r="C2876" s="113" t="n"/>
      <c r="D2876" s="113" t="n"/>
      <c r="E2876" s="113" t="n"/>
      <c r="F2876" s="113" t="n"/>
      <c r="G2876" s="113" t="n"/>
      <c r="H2876" s="113" t="n"/>
      <c r="I2876" s="113" t="n"/>
      <c r="J2876" s="113" t="n"/>
      <c r="K2876" s="113" t="n"/>
      <c r="L2876" s="113" t="n"/>
      <c r="M2876" s="113" t="n"/>
      <c r="N2876" s="113" t="n"/>
      <c r="O2876" s="113" t="n"/>
      <c r="P2876" s="113" t="n"/>
      <c r="Q2876" s="113" t="n"/>
      <c r="R2876" s="113" t="n"/>
      <c r="S2876" s="113" t="n"/>
      <c r="T2876" s="113" t="n"/>
      <c r="U2876" s="113" t="n"/>
      <c r="V2876" s="113" t="n"/>
      <c r="W2876" s="113" t="n"/>
      <c r="X2876" s="113" t="n"/>
      <c r="Y2876" s="113" t="n"/>
      <c r="Z2876" s="117">
        <f>IF($B2876="",0,IF($S2876="EVET",IF($D2876="GELİR",$O2876,-$O2876),0))</f>
        <v/>
      </c>
      <c r="AA2876" s="117">
        <f>IF($B2876="",0,IF(OR($W2876="EVET",$X2876="EVET",$Y2876="EVET"),0,IF($D2876="GELİR",IF($E2876="SATIŞ İADESİ/İSKONTO",-$O2876,$O2876),-$O2876)))</f>
        <v/>
      </c>
      <c r="AB2876" s="117">
        <f>IF($B2876="","",IF(OR($D2876="",$E2876="",$O2876=""),"EKSİK",IF($O2876&lt;=0,"SIFIR/NEGATİF",IF(COUNTIFS($C$6:$C$5000,$C2876,$O$6:$O$5000,$O2876,$B$6:$B$5000,$B2876)&gt;1,"MÜKERRER","OK"))))</f>
        <v/>
      </c>
    </row>
    <row r="2877" ht="16.5" customHeight="1" s="80">
      <c r="A2877" s="113" t="n"/>
      <c r="B2877" s="113" t="n"/>
      <c r="C2877" s="113" t="n"/>
      <c r="D2877" s="113" t="n"/>
      <c r="E2877" s="113" t="n"/>
      <c r="F2877" s="113" t="n"/>
      <c r="G2877" s="113" t="n"/>
      <c r="H2877" s="113" t="n"/>
      <c r="I2877" s="113" t="n"/>
      <c r="J2877" s="113" t="n"/>
      <c r="K2877" s="113" t="n"/>
      <c r="L2877" s="113" t="n"/>
      <c r="M2877" s="113" t="n"/>
      <c r="N2877" s="113" t="n"/>
      <c r="O2877" s="113" t="n"/>
      <c r="P2877" s="113" t="n"/>
      <c r="Q2877" s="113" t="n"/>
      <c r="R2877" s="113" t="n"/>
      <c r="S2877" s="113" t="n"/>
      <c r="T2877" s="113" t="n"/>
      <c r="U2877" s="113" t="n"/>
      <c r="V2877" s="113" t="n"/>
      <c r="W2877" s="113" t="n"/>
      <c r="X2877" s="113" t="n"/>
      <c r="Y2877" s="113" t="n"/>
      <c r="Z2877" s="117">
        <f>IF($B2877="",0,IF($S2877="EVET",IF($D2877="GELİR",$O2877,-$O2877),0))</f>
        <v/>
      </c>
      <c r="AA2877" s="117">
        <f>IF($B2877="",0,IF(OR($W2877="EVET",$X2877="EVET",$Y2877="EVET"),0,IF($D2877="GELİR",IF($E2877="SATIŞ İADESİ/İSKONTO",-$O2877,$O2877),-$O2877)))</f>
        <v/>
      </c>
      <c r="AB2877" s="117">
        <f>IF($B2877="","",IF(OR($D2877="",$E2877="",$O2877=""),"EKSİK",IF($O2877&lt;=0,"SIFIR/NEGATİF",IF(COUNTIFS($C$6:$C$5000,$C2877,$O$6:$O$5000,$O2877,$B$6:$B$5000,$B2877)&gt;1,"MÜKERRER","OK"))))</f>
        <v/>
      </c>
    </row>
    <row r="2878" ht="16.5" customHeight="1" s="80">
      <c r="A2878" s="113" t="n"/>
      <c r="B2878" s="113" t="n"/>
      <c r="C2878" s="113" t="n"/>
      <c r="D2878" s="113" t="n"/>
      <c r="E2878" s="113" t="n"/>
      <c r="F2878" s="113" t="n"/>
      <c r="G2878" s="113" t="n"/>
      <c r="H2878" s="113" t="n"/>
      <c r="I2878" s="113" t="n"/>
      <c r="J2878" s="113" t="n"/>
      <c r="K2878" s="113" t="n"/>
      <c r="L2878" s="113" t="n"/>
      <c r="M2878" s="113" t="n"/>
      <c r="N2878" s="113" t="n"/>
      <c r="O2878" s="113" t="n"/>
      <c r="P2878" s="113" t="n"/>
      <c r="Q2878" s="113" t="n"/>
      <c r="R2878" s="113" t="n"/>
      <c r="S2878" s="113" t="n"/>
      <c r="T2878" s="113" t="n"/>
      <c r="U2878" s="113" t="n"/>
      <c r="V2878" s="113" t="n"/>
      <c r="W2878" s="113" t="n"/>
      <c r="X2878" s="113" t="n"/>
      <c r="Y2878" s="113" t="n"/>
      <c r="Z2878" s="117">
        <f>IF($B2878="",0,IF($S2878="EVET",IF($D2878="GELİR",$O2878,-$O2878),0))</f>
        <v/>
      </c>
      <c r="AA2878" s="117">
        <f>IF($B2878="",0,IF(OR($W2878="EVET",$X2878="EVET",$Y2878="EVET"),0,IF($D2878="GELİR",IF($E2878="SATIŞ İADESİ/İSKONTO",-$O2878,$O2878),-$O2878)))</f>
        <v/>
      </c>
      <c r="AB2878" s="117">
        <f>IF($B2878="","",IF(OR($D2878="",$E2878="",$O2878=""),"EKSİK",IF($O2878&lt;=0,"SIFIR/NEGATİF",IF(COUNTIFS($C$6:$C$5000,$C2878,$O$6:$O$5000,$O2878,$B$6:$B$5000,$B2878)&gt;1,"MÜKERRER","OK"))))</f>
        <v/>
      </c>
    </row>
    <row r="2879" ht="16.5" customHeight="1" s="80">
      <c r="A2879" s="113" t="n"/>
      <c r="B2879" s="113" t="n"/>
      <c r="C2879" s="113" t="n"/>
      <c r="D2879" s="113" t="n"/>
      <c r="E2879" s="113" t="n"/>
      <c r="F2879" s="113" t="n"/>
      <c r="G2879" s="113" t="n"/>
      <c r="H2879" s="113" t="n"/>
      <c r="I2879" s="113" t="n"/>
      <c r="J2879" s="113" t="n"/>
      <c r="K2879" s="113" t="n"/>
      <c r="L2879" s="113" t="n"/>
      <c r="M2879" s="113" t="n"/>
      <c r="N2879" s="113" t="n"/>
      <c r="O2879" s="113" t="n"/>
      <c r="P2879" s="113" t="n"/>
      <c r="Q2879" s="113" t="n"/>
      <c r="R2879" s="113" t="n"/>
      <c r="S2879" s="113" t="n"/>
      <c r="T2879" s="113" t="n"/>
      <c r="U2879" s="113" t="n"/>
      <c r="V2879" s="113" t="n"/>
      <c r="W2879" s="113" t="n"/>
      <c r="X2879" s="113" t="n"/>
      <c r="Y2879" s="113" t="n"/>
      <c r="Z2879" s="117">
        <f>IF($B2879="",0,IF($S2879="EVET",IF($D2879="GELİR",$O2879,-$O2879),0))</f>
        <v/>
      </c>
      <c r="AA2879" s="117">
        <f>IF($B2879="",0,IF(OR($W2879="EVET",$X2879="EVET",$Y2879="EVET"),0,IF($D2879="GELİR",IF($E2879="SATIŞ İADESİ/İSKONTO",-$O2879,$O2879),-$O2879)))</f>
        <v/>
      </c>
      <c r="AB2879" s="117">
        <f>IF($B2879="","",IF(OR($D2879="",$E2879="",$O2879=""),"EKSİK",IF($O2879&lt;=0,"SIFIR/NEGATİF",IF(COUNTIFS($C$6:$C$5000,$C2879,$O$6:$O$5000,$O2879,$B$6:$B$5000,$B2879)&gt;1,"MÜKERRER","OK"))))</f>
        <v/>
      </c>
    </row>
    <row r="2880" ht="16.5" customHeight="1" s="80">
      <c r="A2880" s="113" t="n"/>
      <c r="B2880" s="113" t="n"/>
      <c r="C2880" s="113" t="n"/>
      <c r="D2880" s="113" t="n"/>
      <c r="E2880" s="113" t="n"/>
      <c r="F2880" s="113" t="n"/>
      <c r="G2880" s="113" t="n"/>
      <c r="H2880" s="113" t="n"/>
      <c r="I2880" s="113" t="n"/>
      <c r="J2880" s="113" t="n"/>
      <c r="K2880" s="113" t="n"/>
      <c r="L2880" s="113" t="n"/>
      <c r="M2880" s="113" t="n"/>
      <c r="N2880" s="113" t="n"/>
      <c r="O2880" s="113" t="n"/>
      <c r="P2880" s="113" t="n"/>
      <c r="Q2880" s="113" t="n"/>
      <c r="R2880" s="113" t="n"/>
      <c r="S2880" s="113" t="n"/>
      <c r="T2880" s="113" t="n"/>
      <c r="U2880" s="113" t="n"/>
      <c r="V2880" s="113" t="n"/>
      <c r="W2880" s="113" t="n"/>
      <c r="X2880" s="113" t="n"/>
      <c r="Y2880" s="113" t="n"/>
      <c r="Z2880" s="117">
        <f>IF($B2880="",0,IF($S2880="EVET",IF($D2880="GELİR",$O2880,-$O2880),0))</f>
        <v/>
      </c>
      <c r="AA2880" s="117">
        <f>IF($B2880="",0,IF(OR($W2880="EVET",$X2880="EVET",$Y2880="EVET"),0,IF($D2880="GELİR",IF($E2880="SATIŞ İADESİ/İSKONTO",-$O2880,$O2880),-$O2880)))</f>
        <v/>
      </c>
      <c r="AB2880" s="117">
        <f>IF($B2880="","",IF(OR($D2880="",$E2880="",$O2880=""),"EKSİK",IF($O2880&lt;=0,"SIFIR/NEGATİF",IF(COUNTIFS($C$6:$C$5000,$C2880,$O$6:$O$5000,$O2880,$B$6:$B$5000,$B2880)&gt;1,"MÜKERRER","OK"))))</f>
        <v/>
      </c>
    </row>
    <row r="2881" ht="16.5" customHeight="1" s="80">
      <c r="A2881" s="113" t="n"/>
      <c r="B2881" s="113" t="n"/>
      <c r="C2881" s="113" t="n"/>
      <c r="D2881" s="113" t="n"/>
      <c r="E2881" s="113" t="n"/>
      <c r="F2881" s="113" t="n"/>
      <c r="G2881" s="113" t="n"/>
      <c r="H2881" s="113" t="n"/>
      <c r="I2881" s="113" t="n"/>
      <c r="J2881" s="113" t="n"/>
      <c r="K2881" s="113" t="n"/>
      <c r="L2881" s="113" t="n"/>
      <c r="M2881" s="113" t="n"/>
      <c r="N2881" s="113" t="n"/>
      <c r="O2881" s="113" t="n"/>
      <c r="P2881" s="113" t="n"/>
      <c r="Q2881" s="113" t="n"/>
      <c r="R2881" s="113" t="n"/>
      <c r="S2881" s="113" t="n"/>
      <c r="T2881" s="113" t="n"/>
      <c r="U2881" s="113" t="n"/>
      <c r="V2881" s="113" t="n"/>
      <c r="W2881" s="113" t="n"/>
      <c r="X2881" s="113" t="n"/>
      <c r="Y2881" s="113" t="n"/>
      <c r="Z2881" s="117">
        <f>IF($B2881="",0,IF($S2881="EVET",IF($D2881="GELİR",$O2881,-$O2881),0))</f>
        <v/>
      </c>
      <c r="AA2881" s="117">
        <f>IF($B2881="",0,IF(OR($W2881="EVET",$X2881="EVET",$Y2881="EVET"),0,IF($D2881="GELİR",IF($E2881="SATIŞ İADESİ/İSKONTO",-$O2881,$O2881),-$O2881)))</f>
        <v/>
      </c>
      <c r="AB2881" s="117">
        <f>IF($B2881="","",IF(OR($D2881="",$E2881="",$O2881=""),"EKSİK",IF($O2881&lt;=0,"SIFIR/NEGATİF",IF(COUNTIFS($C$6:$C$5000,$C2881,$O$6:$O$5000,$O2881,$B$6:$B$5000,$B2881)&gt;1,"MÜKERRER","OK"))))</f>
        <v/>
      </c>
    </row>
    <row r="2882" ht="16.5" customHeight="1" s="80">
      <c r="A2882" s="113" t="n"/>
      <c r="B2882" s="113" t="n"/>
      <c r="C2882" s="113" t="n"/>
      <c r="D2882" s="113" t="n"/>
      <c r="E2882" s="113" t="n"/>
      <c r="F2882" s="113" t="n"/>
      <c r="G2882" s="113" t="n"/>
      <c r="H2882" s="113" t="n"/>
      <c r="I2882" s="113" t="n"/>
      <c r="J2882" s="113" t="n"/>
      <c r="K2882" s="113" t="n"/>
      <c r="L2882" s="113" t="n"/>
      <c r="M2882" s="113" t="n"/>
      <c r="N2882" s="113" t="n"/>
      <c r="O2882" s="113" t="n"/>
      <c r="P2882" s="113" t="n"/>
      <c r="Q2882" s="113" t="n"/>
      <c r="R2882" s="113" t="n"/>
      <c r="S2882" s="113" t="n"/>
      <c r="T2882" s="113" t="n"/>
      <c r="U2882" s="113" t="n"/>
      <c r="V2882" s="113" t="n"/>
      <c r="W2882" s="113" t="n"/>
      <c r="X2882" s="113" t="n"/>
      <c r="Y2882" s="113" t="n"/>
      <c r="Z2882" s="117">
        <f>IF($B2882="",0,IF($S2882="EVET",IF($D2882="GELİR",$O2882,-$O2882),0))</f>
        <v/>
      </c>
      <c r="AA2882" s="117">
        <f>IF($B2882="",0,IF(OR($W2882="EVET",$X2882="EVET",$Y2882="EVET"),0,IF($D2882="GELİR",IF($E2882="SATIŞ İADESİ/İSKONTO",-$O2882,$O2882),-$O2882)))</f>
        <v/>
      </c>
      <c r="AB2882" s="117">
        <f>IF($B2882="","",IF(OR($D2882="",$E2882="",$O2882=""),"EKSİK",IF($O2882&lt;=0,"SIFIR/NEGATİF",IF(COUNTIFS($C$6:$C$5000,$C2882,$O$6:$O$5000,$O2882,$B$6:$B$5000,$B2882)&gt;1,"MÜKERRER","OK"))))</f>
        <v/>
      </c>
    </row>
    <row r="2883" ht="16.5" customHeight="1" s="80">
      <c r="A2883" s="113" t="n"/>
      <c r="B2883" s="113" t="n"/>
      <c r="C2883" s="113" t="n"/>
      <c r="D2883" s="113" t="n"/>
      <c r="E2883" s="113" t="n"/>
      <c r="F2883" s="113" t="n"/>
      <c r="G2883" s="113" t="n"/>
      <c r="H2883" s="113" t="n"/>
      <c r="I2883" s="113" t="n"/>
      <c r="J2883" s="113" t="n"/>
      <c r="K2883" s="113" t="n"/>
      <c r="L2883" s="113" t="n"/>
      <c r="M2883" s="113" t="n"/>
      <c r="N2883" s="113" t="n"/>
      <c r="O2883" s="113" t="n"/>
      <c r="P2883" s="113" t="n"/>
      <c r="Q2883" s="113" t="n"/>
      <c r="R2883" s="113" t="n"/>
      <c r="S2883" s="113" t="n"/>
      <c r="T2883" s="113" t="n"/>
      <c r="U2883" s="113" t="n"/>
      <c r="V2883" s="113" t="n"/>
      <c r="W2883" s="113" t="n"/>
      <c r="X2883" s="113" t="n"/>
      <c r="Y2883" s="113" t="n"/>
      <c r="Z2883" s="117">
        <f>IF($B2883="",0,IF($S2883="EVET",IF($D2883="GELİR",$O2883,-$O2883),0))</f>
        <v/>
      </c>
      <c r="AA2883" s="117">
        <f>IF($B2883="",0,IF(OR($W2883="EVET",$X2883="EVET",$Y2883="EVET"),0,IF($D2883="GELİR",IF($E2883="SATIŞ İADESİ/İSKONTO",-$O2883,$O2883),-$O2883)))</f>
        <v/>
      </c>
      <c r="AB2883" s="117">
        <f>IF($B2883="","",IF(OR($D2883="",$E2883="",$O2883=""),"EKSİK",IF($O2883&lt;=0,"SIFIR/NEGATİF",IF(COUNTIFS($C$6:$C$5000,$C2883,$O$6:$O$5000,$O2883,$B$6:$B$5000,$B2883)&gt;1,"MÜKERRER","OK"))))</f>
        <v/>
      </c>
    </row>
    <row r="2884" ht="16.5" customHeight="1" s="80">
      <c r="A2884" s="113" t="n"/>
      <c r="B2884" s="113" t="n"/>
      <c r="C2884" s="113" t="n"/>
      <c r="D2884" s="113" t="n"/>
      <c r="E2884" s="113" t="n"/>
      <c r="F2884" s="113" t="n"/>
      <c r="G2884" s="113" t="n"/>
      <c r="H2884" s="113" t="n"/>
      <c r="I2884" s="113" t="n"/>
      <c r="J2884" s="113" t="n"/>
      <c r="K2884" s="113" t="n"/>
      <c r="L2884" s="113" t="n"/>
      <c r="M2884" s="113" t="n"/>
      <c r="N2884" s="113" t="n"/>
      <c r="O2884" s="113" t="n"/>
      <c r="P2884" s="113" t="n"/>
      <c r="Q2884" s="113" t="n"/>
      <c r="R2884" s="113" t="n"/>
      <c r="S2884" s="113" t="n"/>
      <c r="T2884" s="113" t="n"/>
      <c r="U2884" s="113" t="n"/>
      <c r="V2884" s="113" t="n"/>
      <c r="W2884" s="113" t="n"/>
      <c r="X2884" s="113" t="n"/>
      <c r="Y2884" s="113" t="n"/>
      <c r="Z2884" s="117">
        <f>IF($B2884="",0,IF($S2884="EVET",IF($D2884="GELİR",$O2884,-$O2884),0))</f>
        <v/>
      </c>
      <c r="AA2884" s="117">
        <f>IF($B2884="",0,IF(OR($W2884="EVET",$X2884="EVET",$Y2884="EVET"),0,IF($D2884="GELİR",IF($E2884="SATIŞ İADESİ/İSKONTO",-$O2884,$O2884),-$O2884)))</f>
        <v/>
      </c>
      <c r="AB2884" s="117">
        <f>IF($B2884="","",IF(OR($D2884="",$E2884="",$O2884=""),"EKSİK",IF($O2884&lt;=0,"SIFIR/NEGATİF",IF(COUNTIFS($C$6:$C$5000,$C2884,$O$6:$O$5000,$O2884,$B$6:$B$5000,$B2884)&gt;1,"MÜKERRER","OK"))))</f>
        <v/>
      </c>
    </row>
    <row r="2885" ht="16.5" customHeight="1" s="80">
      <c r="A2885" s="113" t="n"/>
      <c r="B2885" s="113" t="n"/>
      <c r="C2885" s="113" t="n"/>
      <c r="D2885" s="113" t="n"/>
      <c r="E2885" s="113" t="n"/>
      <c r="F2885" s="113" t="n"/>
      <c r="G2885" s="113" t="n"/>
      <c r="H2885" s="113" t="n"/>
      <c r="I2885" s="113" t="n"/>
      <c r="J2885" s="113" t="n"/>
      <c r="K2885" s="113" t="n"/>
      <c r="L2885" s="113" t="n"/>
      <c r="M2885" s="113" t="n"/>
      <c r="N2885" s="113" t="n"/>
      <c r="O2885" s="113" t="n"/>
      <c r="P2885" s="113" t="n"/>
      <c r="Q2885" s="113" t="n"/>
      <c r="R2885" s="113" t="n"/>
      <c r="S2885" s="113" t="n"/>
      <c r="T2885" s="113" t="n"/>
      <c r="U2885" s="113" t="n"/>
      <c r="V2885" s="113" t="n"/>
      <c r="W2885" s="113" t="n"/>
      <c r="X2885" s="113" t="n"/>
      <c r="Y2885" s="113" t="n"/>
      <c r="Z2885" s="117">
        <f>IF($B2885="",0,IF($S2885="EVET",IF($D2885="GELİR",$O2885,-$O2885),0))</f>
        <v/>
      </c>
      <c r="AA2885" s="117">
        <f>IF($B2885="",0,IF(OR($W2885="EVET",$X2885="EVET",$Y2885="EVET"),0,IF($D2885="GELİR",IF($E2885="SATIŞ İADESİ/İSKONTO",-$O2885,$O2885),-$O2885)))</f>
        <v/>
      </c>
      <c r="AB2885" s="117">
        <f>IF($B2885="","",IF(OR($D2885="",$E2885="",$O2885=""),"EKSİK",IF($O2885&lt;=0,"SIFIR/NEGATİF",IF(COUNTIFS($C$6:$C$5000,$C2885,$O$6:$O$5000,$O2885,$B$6:$B$5000,$B2885)&gt;1,"MÜKERRER","OK"))))</f>
        <v/>
      </c>
    </row>
    <row r="2886" ht="16.5" customHeight="1" s="80">
      <c r="A2886" s="113" t="n"/>
      <c r="B2886" s="113" t="n"/>
      <c r="C2886" s="113" t="n"/>
      <c r="D2886" s="113" t="n"/>
      <c r="E2886" s="113" t="n"/>
      <c r="F2886" s="113" t="n"/>
      <c r="G2886" s="113" t="n"/>
      <c r="H2886" s="113" t="n"/>
      <c r="I2886" s="113" t="n"/>
      <c r="J2886" s="113" t="n"/>
      <c r="K2886" s="113" t="n"/>
      <c r="L2886" s="113" t="n"/>
      <c r="M2886" s="113" t="n"/>
      <c r="N2886" s="113" t="n"/>
      <c r="O2886" s="113" t="n"/>
      <c r="P2886" s="113" t="n"/>
      <c r="Q2886" s="113" t="n"/>
      <c r="R2886" s="113" t="n"/>
      <c r="S2886" s="113" t="n"/>
      <c r="T2886" s="113" t="n"/>
      <c r="U2886" s="113" t="n"/>
      <c r="V2886" s="113" t="n"/>
      <c r="W2886" s="113" t="n"/>
      <c r="X2886" s="113" t="n"/>
      <c r="Y2886" s="113" t="n"/>
      <c r="Z2886" s="117">
        <f>IF($B2886="",0,IF($S2886="EVET",IF($D2886="GELİR",$O2886,-$O2886),0))</f>
        <v/>
      </c>
      <c r="AA2886" s="117">
        <f>IF($B2886="",0,IF(OR($W2886="EVET",$X2886="EVET",$Y2886="EVET"),0,IF($D2886="GELİR",IF($E2886="SATIŞ İADESİ/İSKONTO",-$O2886,$O2886),-$O2886)))</f>
        <v/>
      </c>
      <c r="AB2886" s="117">
        <f>IF($B2886="","",IF(OR($D2886="",$E2886="",$O2886=""),"EKSİK",IF($O2886&lt;=0,"SIFIR/NEGATİF",IF(COUNTIFS($C$6:$C$5000,$C2886,$O$6:$O$5000,$O2886,$B$6:$B$5000,$B2886)&gt;1,"MÜKERRER","OK"))))</f>
        <v/>
      </c>
    </row>
    <row r="2887" ht="16.5" customHeight="1" s="80">
      <c r="A2887" s="113" t="n"/>
      <c r="B2887" s="113" t="n"/>
      <c r="C2887" s="113" t="n"/>
      <c r="D2887" s="113" t="n"/>
      <c r="E2887" s="113" t="n"/>
      <c r="F2887" s="113" t="n"/>
      <c r="G2887" s="113" t="n"/>
      <c r="H2887" s="113" t="n"/>
      <c r="I2887" s="113" t="n"/>
      <c r="J2887" s="113" t="n"/>
      <c r="K2887" s="113" t="n"/>
      <c r="L2887" s="113" t="n"/>
      <c r="M2887" s="113" t="n"/>
      <c r="N2887" s="113" t="n"/>
      <c r="O2887" s="113" t="n"/>
      <c r="P2887" s="113" t="n"/>
      <c r="Q2887" s="113" t="n"/>
      <c r="R2887" s="113" t="n"/>
      <c r="S2887" s="113" t="n"/>
      <c r="T2887" s="113" t="n"/>
      <c r="U2887" s="113" t="n"/>
      <c r="V2887" s="113" t="n"/>
      <c r="W2887" s="113" t="n"/>
      <c r="X2887" s="113" t="n"/>
      <c r="Y2887" s="113" t="n"/>
      <c r="Z2887" s="117">
        <f>IF($B2887="",0,IF($S2887="EVET",IF($D2887="GELİR",$O2887,-$O2887),0))</f>
        <v/>
      </c>
      <c r="AA2887" s="117">
        <f>IF($B2887="",0,IF(OR($W2887="EVET",$X2887="EVET",$Y2887="EVET"),0,IF($D2887="GELİR",IF($E2887="SATIŞ İADESİ/İSKONTO",-$O2887,$O2887),-$O2887)))</f>
        <v/>
      </c>
      <c r="AB2887" s="117">
        <f>IF($B2887="","",IF(OR($D2887="",$E2887="",$O2887=""),"EKSİK",IF($O2887&lt;=0,"SIFIR/NEGATİF",IF(COUNTIFS($C$6:$C$5000,$C2887,$O$6:$O$5000,$O2887,$B$6:$B$5000,$B2887)&gt;1,"MÜKERRER","OK"))))</f>
        <v/>
      </c>
    </row>
    <row r="2888" ht="16.5" customHeight="1" s="80">
      <c r="A2888" s="113" t="n"/>
      <c r="B2888" s="113" t="n"/>
      <c r="C2888" s="113" t="n"/>
      <c r="D2888" s="113" t="n"/>
      <c r="E2888" s="113" t="n"/>
      <c r="F2888" s="113" t="n"/>
      <c r="G2888" s="113" t="n"/>
      <c r="H2888" s="113" t="n"/>
      <c r="I2888" s="113" t="n"/>
      <c r="J2888" s="113" t="n"/>
      <c r="K2888" s="113" t="n"/>
      <c r="L2888" s="113" t="n"/>
      <c r="M2888" s="113" t="n"/>
      <c r="N2888" s="113" t="n"/>
      <c r="O2888" s="113" t="n"/>
      <c r="P2888" s="113" t="n"/>
      <c r="Q2888" s="113" t="n"/>
      <c r="R2888" s="113" t="n"/>
      <c r="S2888" s="113" t="n"/>
      <c r="T2888" s="113" t="n"/>
      <c r="U2888" s="113" t="n"/>
      <c r="V2888" s="113" t="n"/>
      <c r="W2888" s="113" t="n"/>
      <c r="X2888" s="113" t="n"/>
      <c r="Y2888" s="113" t="n"/>
      <c r="Z2888" s="117">
        <f>IF($B2888="",0,IF($S2888="EVET",IF($D2888="GELİR",$O2888,-$O2888),0))</f>
        <v/>
      </c>
      <c r="AA2888" s="117">
        <f>IF($B2888="",0,IF(OR($W2888="EVET",$X2888="EVET",$Y2888="EVET"),0,IF($D2888="GELİR",IF($E2888="SATIŞ İADESİ/İSKONTO",-$O2888,$O2888),-$O2888)))</f>
        <v/>
      </c>
      <c r="AB2888" s="117">
        <f>IF($B2888="","",IF(OR($D2888="",$E2888="",$O2888=""),"EKSİK",IF($O2888&lt;=0,"SIFIR/NEGATİF",IF(COUNTIFS($C$6:$C$5000,$C2888,$O$6:$O$5000,$O2888,$B$6:$B$5000,$B2888)&gt;1,"MÜKERRER","OK"))))</f>
        <v/>
      </c>
    </row>
    <row r="2889" ht="16.5" customHeight="1" s="80">
      <c r="A2889" s="113" t="n"/>
      <c r="B2889" s="113" t="n"/>
      <c r="C2889" s="113" t="n"/>
      <c r="D2889" s="113" t="n"/>
      <c r="E2889" s="113" t="n"/>
      <c r="F2889" s="113" t="n"/>
      <c r="G2889" s="113" t="n"/>
      <c r="H2889" s="113" t="n"/>
      <c r="I2889" s="113" t="n"/>
      <c r="J2889" s="113" t="n"/>
      <c r="K2889" s="113" t="n"/>
      <c r="L2889" s="113" t="n"/>
      <c r="M2889" s="113" t="n"/>
      <c r="N2889" s="113" t="n"/>
      <c r="O2889" s="113" t="n"/>
      <c r="P2889" s="113" t="n"/>
      <c r="Q2889" s="113" t="n"/>
      <c r="R2889" s="113" t="n"/>
      <c r="S2889" s="113" t="n"/>
      <c r="T2889" s="113" t="n"/>
      <c r="U2889" s="113" t="n"/>
      <c r="V2889" s="113" t="n"/>
      <c r="W2889" s="113" t="n"/>
      <c r="X2889" s="113" t="n"/>
      <c r="Y2889" s="113" t="n"/>
      <c r="Z2889" s="117">
        <f>IF($B2889="",0,IF($S2889="EVET",IF($D2889="GELİR",$O2889,-$O2889),0))</f>
        <v/>
      </c>
      <c r="AA2889" s="117">
        <f>IF($B2889="",0,IF(OR($W2889="EVET",$X2889="EVET",$Y2889="EVET"),0,IF($D2889="GELİR",IF($E2889="SATIŞ İADESİ/İSKONTO",-$O2889,$O2889),-$O2889)))</f>
        <v/>
      </c>
      <c r="AB2889" s="117">
        <f>IF($B2889="","",IF(OR($D2889="",$E2889="",$O2889=""),"EKSİK",IF($O2889&lt;=0,"SIFIR/NEGATİF",IF(COUNTIFS($C$6:$C$5000,$C2889,$O$6:$O$5000,$O2889,$B$6:$B$5000,$B2889)&gt;1,"MÜKERRER","OK"))))</f>
        <v/>
      </c>
    </row>
    <row r="2890" ht="16.5" customHeight="1" s="80">
      <c r="A2890" s="113" t="n"/>
      <c r="B2890" s="113" t="n"/>
      <c r="C2890" s="113" t="n"/>
      <c r="D2890" s="113" t="n"/>
      <c r="E2890" s="113" t="n"/>
      <c r="F2890" s="113" t="n"/>
      <c r="G2890" s="113" t="n"/>
      <c r="H2890" s="113" t="n"/>
      <c r="I2890" s="113" t="n"/>
      <c r="J2890" s="113" t="n"/>
      <c r="K2890" s="113" t="n"/>
      <c r="L2890" s="113" t="n"/>
      <c r="M2890" s="113" t="n"/>
      <c r="N2890" s="113" t="n"/>
      <c r="O2890" s="113" t="n"/>
      <c r="P2890" s="113" t="n"/>
      <c r="Q2890" s="113" t="n"/>
      <c r="R2890" s="113" t="n"/>
      <c r="S2890" s="113" t="n"/>
      <c r="T2890" s="113" t="n"/>
      <c r="U2890" s="113" t="n"/>
      <c r="V2890" s="113" t="n"/>
      <c r="W2890" s="113" t="n"/>
      <c r="X2890" s="113" t="n"/>
      <c r="Y2890" s="113" t="n"/>
      <c r="Z2890" s="117">
        <f>IF($B2890="",0,IF($S2890="EVET",IF($D2890="GELİR",$O2890,-$O2890),0))</f>
        <v/>
      </c>
      <c r="AA2890" s="117">
        <f>IF($B2890="",0,IF(OR($W2890="EVET",$X2890="EVET",$Y2890="EVET"),0,IF($D2890="GELİR",IF($E2890="SATIŞ İADESİ/İSKONTO",-$O2890,$O2890),-$O2890)))</f>
        <v/>
      </c>
      <c r="AB2890" s="117">
        <f>IF($B2890="","",IF(OR($D2890="",$E2890="",$O2890=""),"EKSİK",IF($O2890&lt;=0,"SIFIR/NEGATİF",IF(COUNTIFS($C$6:$C$5000,$C2890,$O$6:$O$5000,$O2890,$B$6:$B$5000,$B2890)&gt;1,"MÜKERRER","OK"))))</f>
        <v/>
      </c>
    </row>
    <row r="2891" ht="16.5" customHeight="1" s="80">
      <c r="A2891" s="113" t="n"/>
      <c r="B2891" s="113" t="n"/>
      <c r="C2891" s="113" t="n"/>
      <c r="D2891" s="113" t="n"/>
      <c r="E2891" s="113" t="n"/>
      <c r="F2891" s="113" t="n"/>
      <c r="G2891" s="113" t="n"/>
      <c r="H2891" s="113" t="n"/>
      <c r="I2891" s="113" t="n"/>
      <c r="J2891" s="113" t="n"/>
      <c r="K2891" s="113" t="n"/>
      <c r="L2891" s="113" t="n"/>
      <c r="M2891" s="113" t="n"/>
      <c r="N2891" s="113" t="n"/>
      <c r="O2891" s="113" t="n"/>
      <c r="P2891" s="113" t="n"/>
      <c r="Q2891" s="113" t="n"/>
      <c r="R2891" s="113" t="n"/>
      <c r="S2891" s="113" t="n"/>
      <c r="T2891" s="113" t="n"/>
      <c r="U2891" s="113" t="n"/>
      <c r="V2891" s="113" t="n"/>
      <c r="W2891" s="113" t="n"/>
      <c r="X2891" s="113" t="n"/>
      <c r="Y2891" s="113" t="n"/>
      <c r="Z2891" s="117">
        <f>IF($B2891="",0,IF($S2891="EVET",IF($D2891="GELİR",$O2891,-$O2891),0))</f>
        <v/>
      </c>
      <c r="AA2891" s="117">
        <f>IF($B2891="",0,IF(OR($W2891="EVET",$X2891="EVET",$Y2891="EVET"),0,IF($D2891="GELİR",IF($E2891="SATIŞ İADESİ/İSKONTO",-$O2891,$O2891),-$O2891)))</f>
        <v/>
      </c>
      <c r="AB2891" s="117">
        <f>IF($B2891="","",IF(OR($D2891="",$E2891="",$O2891=""),"EKSİK",IF($O2891&lt;=0,"SIFIR/NEGATİF",IF(COUNTIFS($C$6:$C$5000,$C2891,$O$6:$O$5000,$O2891,$B$6:$B$5000,$B2891)&gt;1,"MÜKERRER","OK"))))</f>
        <v/>
      </c>
    </row>
    <row r="2892" ht="16.5" customHeight="1" s="80">
      <c r="A2892" s="113" t="n"/>
      <c r="B2892" s="113" t="n"/>
      <c r="C2892" s="113" t="n"/>
      <c r="D2892" s="113" t="n"/>
      <c r="E2892" s="113" t="n"/>
      <c r="F2892" s="113" t="n"/>
      <c r="G2892" s="113" t="n"/>
      <c r="H2892" s="113" t="n"/>
      <c r="I2892" s="113" t="n"/>
      <c r="J2892" s="113" t="n"/>
      <c r="K2892" s="113" t="n"/>
      <c r="L2892" s="113" t="n"/>
      <c r="M2892" s="113" t="n"/>
      <c r="N2892" s="113" t="n"/>
      <c r="O2892" s="113" t="n"/>
      <c r="P2892" s="113" t="n"/>
      <c r="Q2892" s="113" t="n"/>
      <c r="R2892" s="113" t="n"/>
      <c r="S2892" s="113" t="n"/>
      <c r="T2892" s="113" t="n"/>
      <c r="U2892" s="113" t="n"/>
      <c r="V2892" s="113" t="n"/>
      <c r="W2892" s="113" t="n"/>
      <c r="X2892" s="113" t="n"/>
      <c r="Y2892" s="113" t="n"/>
      <c r="Z2892" s="117">
        <f>IF($B2892="",0,IF($S2892="EVET",IF($D2892="GELİR",$O2892,-$O2892),0))</f>
        <v/>
      </c>
      <c r="AA2892" s="117">
        <f>IF($B2892="",0,IF(OR($W2892="EVET",$X2892="EVET",$Y2892="EVET"),0,IF($D2892="GELİR",IF($E2892="SATIŞ İADESİ/İSKONTO",-$O2892,$O2892),-$O2892)))</f>
        <v/>
      </c>
      <c r="AB2892" s="117">
        <f>IF($B2892="","",IF(OR($D2892="",$E2892="",$O2892=""),"EKSİK",IF($O2892&lt;=0,"SIFIR/NEGATİF",IF(COUNTIFS($C$6:$C$5000,$C2892,$O$6:$O$5000,$O2892,$B$6:$B$5000,$B2892)&gt;1,"MÜKERRER","OK"))))</f>
        <v/>
      </c>
    </row>
    <row r="2893" ht="16.5" customHeight="1" s="80">
      <c r="A2893" s="113" t="n"/>
      <c r="B2893" s="113" t="n"/>
      <c r="C2893" s="113" t="n"/>
      <c r="D2893" s="113" t="n"/>
      <c r="E2893" s="113" t="n"/>
      <c r="F2893" s="113" t="n"/>
      <c r="G2893" s="113" t="n"/>
      <c r="H2893" s="113" t="n"/>
      <c r="I2893" s="113" t="n"/>
      <c r="J2893" s="113" t="n"/>
      <c r="K2893" s="113" t="n"/>
      <c r="L2893" s="113" t="n"/>
      <c r="M2893" s="113" t="n"/>
      <c r="N2893" s="113" t="n"/>
      <c r="O2893" s="113" t="n"/>
      <c r="P2893" s="113" t="n"/>
      <c r="Q2893" s="113" t="n"/>
      <c r="R2893" s="113" t="n"/>
      <c r="S2893" s="113" t="n"/>
      <c r="T2893" s="113" t="n"/>
      <c r="U2893" s="113" t="n"/>
      <c r="V2893" s="113" t="n"/>
      <c r="W2893" s="113" t="n"/>
      <c r="X2893" s="113" t="n"/>
      <c r="Y2893" s="113" t="n"/>
      <c r="Z2893" s="117">
        <f>IF($B2893="",0,IF($S2893="EVET",IF($D2893="GELİR",$O2893,-$O2893),0))</f>
        <v/>
      </c>
      <c r="AA2893" s="117">
        <f>IF($B2893="",0,IF(OR($W2893="EVET",$X2893="EVET",$Y2893="EVET"),0,IF($D2893="GELİR",IF($E2893="SATIŞ İADESİ/İSKONTO",-$O2893,$O2893),-$O2893)))</f>
        <v/>
      </c>
      <c r="AB2893" s="117">
        <f>IF($B2893="","",IF(OR($D2893="",$E2893="",$O2893=""),"EKSİK",IF($O2893&lt;=0,"SIFIR/NEGATİF",IF(COUNTIFS($C$6:$C$5000,$C2893,$O$6:$O$5000,$O2893,$B$6:$B$5000,$B2893)&gt;1,"MÜKERRER","OK"))))</f>
        <v/>
      </c>
    </row>
    <row r="2894" ht="16.5" customHeight="1" s="80">
      <c r="A2894" s="113" t="n"/>
      <c r="B2894" s="113" t="n"/>
      <c r="C2894" s="113" t="n"/>
      <c r="D2894" s="113" t="n"/>
      <c r="E2894" s="113" t="n"/>
      <c r="F2894" s="113" t="n"/>
      <c r="G2894" s="113" t="n"/>
      <c r="H2894" s="113" t="n"/>
      <c r="I2894" s="113" t="n"/>
      <c r="J2894" s="113" t="n"/>
      <c r="K2894" s="113" t="n"/>
      <c r="L2894" s="113" t="n"/>
      <c r="M2894" s="113" t="n"/>
      <c r="N2894" s="113" t="n"/>
      <c r="O2894" s="113" t="n"/>
      <c r="P2894" s="113" t="n"/>
      <c r="Q2894" s="113" t="n"/>
      <c r="R2894" s="113" t="n"/>
      <c r="S2894" s="113" t="n"/>
      <c r="T2894" s="113" t="n"/>
      <c r="U2894" s="113" t="n"/>
      <c r="V2894" s="113" t="n"/>
      <c r="W2894" s="113" t="n"/>
      <c r="X2894" s="113" t="n"/>
      <c r="Y2894" s="113" t="n"/>
      <c r="Z2894" s="117">
        <f>IF($B2894="",0,IF($S2894="EVET",IF($D2894="GELİR",$O2894,-$O2894),0))</f>
        <v/>
      </c>
      <c r="AA2894" s="117">
        <f>IF($B2894="",0,IF(OR($W2894="EVET",$X2894="EVET",$Y2894="EVET"),0,IF($D2894="GELİR",IF($E2894="SATIŞ İADESİ/İSKONTO",-$O2894,$O2894),-$O2894)))</f>
        <v/>
      </c>
      <c r="AB2894" s="117">
        <f>IF($B2894="","",IF(OR($D2894="",$E2894="",$O2894=""),"EKSİK",IF($O2894&lt;=0,"SIFIR/NEGATİF",IF(COUNTIFS($C$6:$C$5000,$C2894,$O$6:$O$5000,$O2894,$B$6:$B$5000,$B2894)&gt;1,"MÜKERRER","OK"))))</f>
        <v/>
      </c>
    </row>
    <row r="2895" ht="16.5" customHeight="1" s="80">
      <c r="A2895" s="113" t="n"/>
      <c r="B2895" s="113" t="n"/>
      <c r="C2895" s="113" t="n"/>
      <c r="D2895" s="113" t="n"/>
      <c r="E2895" s="113" t="n"/>
      <c r="F2895" s="113" t="n"/>
      <c r="G2895" s="113" t="n"/>
      <c r="H2895" s="113" t="n"/>
      <c r="I2895" s="113" t="n"/>
      <c r="J2895" s="113" t="n"/>
      <c r="K2895" s="113" t="n"/>
      <c r="L2895" s="113" t="n"/>
      <c r="M2895" s="113" t="n"/>
      <c r="N2895" s="113" t="n"/>
      <c r="O2895" s="113" t="n"/>
      <c r="P2895" s="113" t="n"/>
      <c r="Q2895" s="113" t="n"/>
      <c r="R2895" s="113" t="n"/>
      <c r="S2895" s="113" t="n"/>
      <c r="T2895" s="113" t="n"/>
      <c r="U2895" s="113" t="n"/>
      <c r="V2895" s="113" t="n"/>
      <c r="W2895" s="113" t="n"/>
      <c r="X2895" s="113" t="n"/>
      <c r="Y2895" s="113" t="n"/>
      <c r="Z2895" s="117">
        <f>IF($B2895="",0,IF($S2895="EVET",IF($D2895="GELİR",$O2895,-$O2895),0))</f>
        <v/>
      </c>
      <c r="AA2895" s="117">
        <f>IF($B2895="",0,IF(OR($W2895="EVET",$X2895="EVET",$Y2895="EVET"),0,IF($D2895="GELİR",IF($E2895="SATIŞ İADESİ/İSKONTO",-$O2895,$O2895),-$O2895)))</f>
        <v/>
      </c>
      <c r="AB2895" s="117">
        <f>IF($B2895="","",IF(OR($D2895="",$E2895="",$O2895=""),"EKSİK",IF($O2895&lt;=0,"SIFIR/NEGATİF",IF(COUNTIFS($C$6:$C$5000,$C2895,$O$6:$O$5000,$O2895,$B$6:$B$5000,$B2895)&gt;1,"MÜKERRER","OK"))))</f>
        <v/>
      </c>
    </row>
    <row r="2896" ht="16.5" customHeight="1" s="80">
      <c r="A2896" s="113" t="n"/>
      <c r="B2896" s="113" t="n"/>
      <c r="C2896" s="113" t="n"/>
      <c r="D2896" s="113" t="n"/>
      <c r="E2896" s="113" t="n"/>
      <c r="F2896" s="113" t="n"/>
      <c r="G2896" s="113" t="n"/>
      <c r="H2896" s="113" t="n"/>
      <c r="I2896" s="113" t="n"/>
      <c r="J2896" s="113" t="n"/>
      <c r="K2896" s="113" t="n"/>
      <c r="L2896" s="113" t="n"/>
      <c r="M2896" s="113" t="n"/>
      <c r="N2896" s="113" t="n"/>
      <c r="O2896" s="113" t="n"/>
      <c r="P2896" s="113" t="n"/>
      <c r="Q2896" s="113" t="n"/>
      <c r="R2896" s="113" t="n"/>
      <c r="S2896" s="113" t="n"/>
      <c r="T2896" s="113" t="n"/>
      <c r="U2896" s="113" t="n"/>
      <c r="V2896" s="113" t="n"/>
      <c r="W2896" s="113" t="n"/>
      <c r="X2896" s="113" t="n"/>
      <c r="Y2896" s="113" t="n"/>
      <c r="Z2896" s="117">
        <f>IF($B2896="",0,IF($S2896="EVET",IF($D2896="GELİR",$O2896,-$O2896),0))</f>
        <v/>
      </c>
      <c r="AA2896" s="117">
        <f>IF($B2896="",0,IF(OR($W2896="EVET",$X2896="EVET",$Y2896="EVET"),0,IF($D2896="GELİR",IF($E2896="SATIŞ İADESİ/İSKONTO",-$O2896,$O2896),-$O2896)))</f>
        <v/>
      </c>
      <c r="AB2896" s="117">
        <f>IF($B2896="","",IF(OR($D2896="",$E2896="",$O2896=""),"EKSİK",IF($O2896&lt;=0,"SIFIR/NEGATİF",IF(COUNTIFS($C$6:$C$5000,$C2896,$O$6:$O$5000,$O2896,$B$6:$B$5000,$B2896)&gt;1,"MÜKERRER","OK"))))</f>
        <v/>
      </c>
    </row>
    <row r="2897" ht="16.5" customHeight="1" s="80">
      <c r="A2897" s="113" t="n"/>
      <c r="B2897" s="113" t="n"/>
      <c r="C2897" s="113" t="n"/>
      <c r="D2897" s="113" t="n"/>
      <c r="E2897" s="113" t="n"/>
      <c r="F2897" s="113" t="n"/>
      <c r="G2897" s="113" t="n"/>
      <c r="H2897" s="113" t="n"/>
      <c r="I2897" s="113" t="n"/>
      <c r="J2897" s="113" t="n"/>
      <c r="K2897" s="113" t="n"/>
      <c r="L2897" s="113" t="n"/>
      <c r="M2897" s="113" t="n"/>
      <c r="N2897" s="113" t="n"/>
      <c r="O2897" s="113" t="n"/>
      <c r="P2897" s="113" t="n"/>
      <c r="Q2897" s="113" t="n"/>
      <c r="R2897" s="113" t="n"/>
      <c r="S2897" s="113" t="n"/>
      <c r="T2897" s="113" t="n"/>
      <c r="U2897" s="113" t="n"/>
      <c r="V2897" s="113" t="n"/>
      <c r="W2897" s="113" t="n"/>
      <c r="X2897" s="113" t="n"/>
      <c r="Y2897" s="113" t="n"/>
      <c r="Z2897" s="117">
        <f>IF($B2897="",0,IF($S2897="EVET",IF($D2897="GELİR",$O2897,-$O2897),0))</f>
        <v/>
      </c>
      <c r="AA2897" s="117">
        <f>IF($B2897="",0,IF(OR($W2897="EVET",$X2897="EVET",$Y2897="EVET"),0,IF($D2897="GELİR",IF($E2897="SATIŞ İADESİ/İSKONTO",-$O2897,$O2897),-$O2897)))</f>
        <v/>
      </c>
      <c r="AB2897" s="117">
        <f>IF($B2897="","",IF(OR($D2897="",$E2897="",$O2897=""),"EKSİK",IF($O2897&lt;=0,"SIFIR/NEGATİF",IF(COUNTIFS($C$6:$C$5000,$C2897,$O$6:$O$5000,$O2897,$B$6:$B$5000,$B2897)&gt;1,"MÜKERRER","OK"))))</f>
        <v/>
      </c>
    </row>
    <row r="2898" ht="16.5" customHeight="1" s="80">
      <c r="A2898" s="113" t="n"/>
      <c r="B2898" s="113" t="n"/>
      <c r="C2898" s="113" t="n"/>
      <c r="D2898" s="113" t="n"/>
      <c r="E2898" s="113" t="n"/>
      <c r="F2898" s="113" t="n"/>
      <c r="G2898" s="113" t="n"/>
      <c r="H2898" s="113" t="n"/>
      <c r="I2898" s="113" t="n"/>
      <c r="J2898" s="113" t="n"/>
      <c r="K2898" s="113" t="n"/>
      <c r="L2898" s="113" t="n"/>
      <c r="M2898" s="113" t="n"/>
      <c r="N2898" s="113" t="n"/>
      <c r="O2898" s="113" t="n"/>
      <c r="P2898" s="113" t="n"/>
      <c r="Q2898" s="113" t="n"/>
      <c r="R2898" s="113" t="n"/>
      <c r="S2898" s="113" t="n"/>
      <c r="T2898" s="113" t="n"/>
      <c r="U2898" s="113" t="n"/>
      <c r="V2898" s="113" t="n"/>
      <c r="W2898" s="113" t="n"/>
      <c r="X2898" s="113" t="n"/>
      <c r="Y2898" s="113" t="n"/>
      <c r="Z2898" s="117">
        <f>IF($B2898="",0,IF($S2898="EVET",IF($D2898="GELİR",$O2898,-$O2898),0))</f>
        <v/>
      </c>
      <c r="AA2898" s="117">
        <f>IF($B2898="",0,IF(OR($W2898="EVET",$X2898="EVET",$Y2898="EVET"),0,IF($D2898="GELİR",IF($E2898="SATIŞ İADESİ/İSKONTO",-$O2898,$O2898),-$O2898)))</f>
        <v/>
      </c>
      <c r="AB2898" s="117">
        <f>IF($B2898="","",IF(OR($D2898="",$E2898="",$O2898=""),"EKSİK",IF($O2898&lt;=0,"SIFIR/NEGATİF",IF(COUNTIFS($C$6:$C$5000,$C2898,$O$6:$O$5000,$O2898,$B$6:$B$5000,$B2898)&gt;1,"MÜKERRER","OK"))))</f>
        <v/>
      </c>
    </row>
    <row r="2899" ht="16.5" customHeight="1" s="80">
      <c r="A2899" s="113" t="n"/>
      <c r="B2899" s="113" t="n"/>
      <c r="C2899" s="113" t="n"/>
      <c r="D2899" s="113" t="n"/>
      <c r="E2899" s="113" t="n"/>
      <c r="F2899" s="113" t="n"/>
      <c r="G2899" s="113" t="n"/>
      <c r="H2899" s="113" t="n"/>
      <c r="I2899" s="113" t="n"/>
      <c r="J2899" s="113" t="n"/>
      <c r="K2899" s="113" t="n"/>
      <c r="L2899" s="113" t="n"/>
      <c r="M2899" s="113" t="n"/>
      <c r="N2899" s="113" t="n"/>
      <c r="O2899" s="113" t="n"/>
      <c r="P2899" s="113" t="n"/>
      <c r="Q2899" s="113" t="n"/>
      <c r="R2899" s="113" t="n"/>
      <c r="S2899" s="113" t="n"/>
      <c r="T2899" s="113" t="n"/>
      <c r="U2899" s="113" t="n"/>
      <c r="V2899" s="113" t="n"/>
      <c r="W2899" s="113" t="n"/>
      <c r="X2899" s="113" t="n"/>
      <c r="Y2899" s="113" t="n"/>
      <c r="Z2899" s="117">
        <f>IF($B2899="",0,IF($S2899="EVET",IF($D2899="GELİR",$O2899,-$O2899),0))</f>
        <v/>
      </c>
      <c r="AA2899" s="117">
        <f>IF($B2899="",0,IF(OR($W2899="EVET",$X2899="EVET",$Y2899="EVET"),0,IF($D2899="GELİR",IF($E2899="SATIŞ İADESİ/İSKONTO",-$O2899,$O2899),-$O2899)))</f>
        <v/>
      </c>
      <c r="AB2899" s="117">
        <f>IF($B2899="","",IF(OR($D2899="",$E2899="",$O2899=""),"EKSİK",IF($O2899&lt;=0,"SIFIR/NEGATİF",IF(COUNTIFS($C$6:$C$5000,$C2899,$O$6:$O$5000,$O2899,$B$6:$B$5000,$B2899)&gt;1,"MÜKERRER","OK"))))</f>
        <v/>
      </c>
    </row>
    <row r="2900" ht="16.5" customHeight="1" s="80">
      <c r="A2900" s="113" t="n"/>
      <c r="B2900" s="113" t="n"/>
      <c r="C2900" s="113" t="n"/>
      <c r="D2900" s="113" t="n"/>
      <c r="E2900" s="113" t="n"/>
      <c r="F2900" s="113" t="n"/>
      <c r="G2900" s="113" t="n"/>
      <c r="H2900" s="113" t="n"/>
      <c r="I2900" s="113" t="n"/>
      <c r="J2900" s="113" t="n"/>
      <c r="K2900" s="113" t="n"/>
      <c r="L2900" s="113" t="n"/>
      <c r="M2900" s="113" t="n"/>
      <c r="N2900" s="113" t="n"/>
      <c r="O2900" s="113" t="n"/>
      <c r="P2900" s="113" t="n"/>
      <c r="Q2900" s="113" t="n"/>
      <c r="R2900" s="113" t="n"/>
      <c r="S2900" s="113" t="n"/>
      <c r="T2900" s="113" t="n"/>
      <c r="U2900" s="113" t="n"/>
      <c r="V2900" s="113" t="n"/>
      <c r="W2900" s="113" t="n"/>
      <c r="X2900" s="113" t="n"/>
      <c r="Y2900" s="113" t="n"/>
      <c r="Z2900" s="117">
        <f>IF($B2900="",0,IF($S2900="EVET",IF($D2900="GELİR",$O2900,-$O2900),0))</f>
        <v/>
      </c>
      <c r="AA2900" s="117">
        <f>IF($B2900="",0,IF(OR($W2900="EVET",$X2900="EVET",$Y2900="EVET"),0,IF($D2900="GELİR",IF($E2900="SATIŞ İADESİ/İSKONTO",-$O2900,$O2900),-$O2900)))</f>
        <v/>
      </c>
      <c r="AB2900" s="117">
        <f>IF($B2900="","",IF(OR($D2900="",$E2900="",$O2900=""),"EKSİK",IF($O2900&lt;=0,"SIFIR/NEGATİF",IF(COUNTIFS($C$6:$C$5000,$C2900,$O$6:$O$5000,$O2900,$B$6:$B$5000,$B2900)&gt;1,"MÜKERRER","OK"))))</f>
        <v/>
      </c>
    </row>
    <row r="2901" ht="16.5" customHeight="1" s="80">
      <c r="A2901" s="113" t="n"/>
      <c r="B2901" s="113" t="n"/>
      <c r="C2901" s="113" t="n"/>
      <c r="D2901" s="113" t="n"/>
      <c r="E2901" s="113" t="n"/>
      <c r="F2901" s="113" t="n"/>
      <c r="G2901" s="113" t="n"/>
      <c r="H2901" s="113" t="n"/>
      <c r="I2901" s="113" t="n"/>
      <c r="J2901" s="113" t="n"/>
      <c r="K2901" s="113" t="n"/>
      <c r="L2901" s="113" t="n"/>
      <c r="M2901" s="113" t="n"/>
      <c r="N2901" s="113" t="n"/>
      <c r="O2901" s="113" t="n"/>
      <c r="P2901" s="113" t="n"/>
      <c r="Q2901" s="113" t="n"/>
      <c r="R2901" s="113" t="n"/>
      <c r="S2901" s="113" t="n"/>
      <c r="T2901" s="113" t="n"/>
      <c r="U2901" s="113" t="n"/>
      <c r="V2901" s="113" t="n"/>
      <c r="W2901" s="113" t="n"/>
      <c r="X2901" s="113" t="n"/>
      <c r="Y2901" s="113" t="n"/>
      <c r="Z2901" s="117">
        <f>IF($B2901="",0,IF($S2901="EVET",IF($D2901="GELİR",$O2901,-$O2901),0))</f>
        <v/>
      </c>
      <c r="AA2901" s="117">
        <f>IF($B2901="",0,IF(OR($W2901="EVET",$X2901="EVET",$Y2901="EVET"),0,IF($D2901="GELİR",IF($E2901="SATIŞ İADESİ/İSKONTO",-$O2901,$O2901),-$O2901)))</f>
        <v/>
      </c>
      <c r="AB2901" s="117">
        <f>IF($B2901="","",IF(OR($D2901="",$E2901="",$O2901=""),"EKSİK",IF($O2901&lt;=0,"SIFIR/NEGATİF",IF(COUNTIFS($C$6:$C$5000,$C2901,$O$6:$O$5000,$O2901,$B$6:$B$5000,$B2901)&gt;1,"MÜKERRER","OK"))))</f>
        <v/>
      </c>
    </row>
    <row r="2902" ht="16.5" customHeight="1" s="80">
      <c r="A2902" s="113" t="n"/>
      <c r="B2902" s="113" t="n"/>
      <c r="C2902" s="113" t="n"/>
      <c r="D2902" s="113" t="n"/>
      <c r="E2902" s="113" t="n"/>
      <c r="F2902" s="113" t="n"/>
      <c r="G2902" s="113" t="n"/>
      <c r="H2902" s="113" t="n"/>
      <c r="I2902" s="113" t="n"/>
      <c r="J2902" s="113" t="n"/>
      <c r="K2902" s="113" t="n"/>
      <c r="L2902" s="113" t="n"/>
      <c r="M2902" s="113" t="n"/>
      <c r="N2902" s="113" t="n"/>
      <c r="O2902" s="113" t="n"/>
      <c r="P2902" s="113" t="n"/>
      <c r="Q2902" s="113" t="n"/>
      <c r="R2902" s="113" t="n"/>
      <c r="S2902" s="113" t="n"/>
      <c r="T2902" s="113" t="n"/>
      <c r="U2902" s="113" t="n"/>
      <c r="V2902" s="113" t="n"/>
      <c r="W2902" s="113" t="n"/>
      <c r="X2902" s="113" t="n"/>
      <c r="Y2902" s="113" t="n"/>
      <c r="Z2902" s="117">
        <f>IF($B2902="",0,IF($S2902="EVET",IF($D2902="GELİR",$O2902,-$O2902),0))</f>
        <v/>
      </c>
      <c r="AA2902" s="117">
        <f>IF($B2902="",0,IF(OR($W2902="EVET",$X2902="EVET",$Y2902="EVET"),0,IF($D2902="GELİR",IF($E2902="SATIŞ İADESİ/İSKONTO",-$O2902,$O2902),-$O2902)))</f>
        <v/>
      </c>
      <c r="AB2902" s="117">
        <f>IF($B2902="","",IF(OR($D2902="",$E2902="",$O2902=""),"EKSİK",IF($O2902&lt;=0,"SIFIR/NEGATİF",IF(COUNTIFS($C$6:$C$5000,$C2902,$O$6:$O$5000,$O2902,$B$6:$B$5000,$B2902)&gt;1,"MÜKERRER","OK"))))</f>
        <v/>
      </c>
    </row>
    <row r="2903" ht="16.5" customHeight="1" s="80">
      <c r="A2903" s="113" t="n"/>
      <c r="B2903" s="113" t="n"/>
      <c r="C2903" s="113" t="n"/>
      <c r="D2903" s="113" t="n"/>
      <c r="E2903" s="113" t="n"/>
      <c r="F2903" s="113" t="n"/>
      <c r="G2903" s="113" t="n"/>
      <c r="H2903" s="113" t="n"/>
      <c r="I2903" s="113" t="n"/>
      <c r="J2903" s="113" t="n"/>
      <c r="K2903" s="113" t="n"/>
      <c r="L2903" s="113" t="n"/>
      <c r="M2903" s="113" t="n"/>
      <c r="N2903" s="113" t="n"/>
      <c r="O2903" s="113" t="n"/>
      <c r="P2903" s="113" t="n"/>
      <c r="Q2903" s="113" t="n"/>
      <c r="R2903" s="113" t="n"/>
      <c r="S2903" s="113" t="n"/>
      <c r="T2903" s="113" t="n"/>
      <c r="U2903" s="113" t="n"/>
      <c r="V2903" s="113" t="n"/>
      <c r="W2903" s="113" t="n"/>
      <c r="X2903" s="113" t="n"/>
      <c r="Y2903" s="113" t="n"/>
      <c r="Z2903" s="117">
        <f>IF($B2903="",0,IF($S2903="EVET",IF($D2903="GELİR",$O2903,-$O2903),0))</f>
        <v/>
      </c>
      <c r="AA2903" s="117">
        <f>IF($B2903="",0,IF(OR($W2903="EVET",$X2903="EVET",$Y2903="EVET"),0,IF($D2903="GELİR",IF($E2903="SATIŞ İADESİ/İSKONTO",-$O2903,$O2903),-$O2903)))</f>
        <v/>
      </c>
      <c r="AB2903" s="117">
        <f>IF($B2903="","",IF(OR($D2903="",$E2903="",$O2903=""),"EKSİK",IF($O2903&lt;=0,"SIFIR/NEGATİF",IF(COUNTIFS($C$6:$C$5000,$C2903,$O$6:$O$5000,$O2903,$B$6:$B$5000,$B2903)&gt;1,"MÜKERRER","OK"))))</f>
        <v/>
      </c>
    </row>
    <row r="2904" ht="16.5" customHeight="1" s="80">
      <c r="A2904" s="113" t="n"/>
      <c r="B2904" s="113" t="n"/>
      <c r="C2904" s="113" t="n"/>
      <c r="D2904" s="113" t="n"/>
      <c r="E2904" s="113" t="n"/>
      <c r="F2904" s="113" t="n"/>
      <c r="G2904" s="113" t="n"/>
      <c r="H2904" s="113" t="n"/>
      <c r="I2904" s="113" t="n"/>
      <c r="J2904" s="113" t="n"/>
      <c r="K2904" s="113" t="n"/>
      <c r="L2904" s="113" t="n"/>
      <c r="M2904" s="113" t="n"/>
      <c r="N2904" s="113" t="n"/>
      <c r="O2904" s="113" t="n"/>
      <c r="P2904" s="113" t="n"/>
      <c r="Q2904" s="113" t="n"/>
      <c r="R2904" s="113" t="n"/>
      <c r="S2904" s="113" t="n"/>
      <c r="T2904" s="113" t="n"/>
      <c r="U2904" s="113" t="n"/>
      <c r="V2904" s="113" t="n"/>
      <c r="W2904" s="113" t="n"/>
      <c r="X2904" s="113" t="n"/>
      <c r="Y2904" s="113" t="n"/>
      <c r="Z2904" s="117">
        <f>IF($B2904="",0,IF($S2904="EVET",IF($D2904="GELİR",$O2904,-$O2904),0))</f>
        <v/>
      </c>
      <c r="AA2904" s="117">
        <f>IF($B2904="",0,IF(OR($W2904="EVET",$X2904="EVET",$Y2904="EVET"),0,IF($D2904="GELİR",IF($E2904="SATIŞ İADESİ/İSKONTO",-$O2904,$O2904),-$O2904)))</f>
        <v/>
      </c>
      <c r="AB2904" s="117">
        <f>IF($B2904="","",IF(OR($D2904="",$E2904="",$O2904=""),"EKSİK",IF($O2904&lt;=0,"SIFIR/NEGATİF",IF(COUNTIFS($C$6:$C$5000,$C2904,$O$6:$O$5000,$O2904,$B$6:$B$5000,$B2904)&gt;1,"MÜKERRER","OK"))))</f>
        <v/>
      </c>
    </row>
    <row r="2905" ht="16.5" customHeight="1" s="80">
      <c r="A2905" s="113" t="n"/>
      <c r="B2905" s="113" t="n"/>
      <c r="C2905" s="113" t="n"/>
      <c r="D2905" s="113" t="n"/>
      <c r="E2905" s="113" t="n"/>
      <c r="F2905" s="113" t="n"/>
      <c r="G2905" s="113" t="n"/>
      <c r="H2905" s="113" t="n"/>
      <c r="I2905" s="113" t="n"/>
      <c r="J2905" s="113" t="n"/>
      <c r="K2905" s="113" t="n"/>
      <c r="L2905" s="113" t="n"/>
      <c r="M2905" s="113" t="n"/>
      <c r="N2905" s="113" t="n"/>
      <c r="O2905" s="113" t="n"/>
      <c r="P2905" s="113" t="n"/>
      <c r="Q2905" s="113" t="n"/>
      <c r="R2905" s="113" t="n"/>
      <c r="S2905" s="113" t="n"/>
      <c r="T2905" s="113" t="n"/>
      <c r="U2905" s="113" t="n"/>
      <c r="V2905" s="113" t="n"/>
      <c r="W2905" s="113" t="n"/>
      <c r="X2905" s="113" t="n"/>
      <c r="Y2905" s="113" t="n"/>
      <c r="Z2905" s="117">
        <f>IF($B2905="",0,IF($S2905="EVET",IF($D2905="GELİR",$O2905,-$O2905),0))</f>
        <v/>
      </c>
      <c r="AA2905" s="117">
        <f>IF($B2905="",0,IF(OR($W2905="EVET",$X2905="EVET",$Y2905="EVET"),0,IF($D2905="GELİR",IF($E2905="SATIŞ İADESİ/İSKONTO",-$O2905,$O2905),-$O2905)))</f>
        <v/>
      </c>
      <c r="AB2905" s="117">
        <f>IF($B2905="","",IF(OR($D2905="",$E2905="",$O2905=""),"EKSİK",IF($O2905&lt;=0,"SIFIR/NEGATİF",IF(COUNTIFS($C$6:$C$5000,$C2905,$O$6:$O$5000,$O2905,$B$6:$B$5000,$B2905)&gt;1,"MÜKERRER","OK"))))</f>
        <v/>
      </c>
    </row>
    <row r="2906" ht="16.5" customHeight="1" s="80">
      <c r="A2906" s="113" t="n"/>
      <c r="B2906" s="113" t="n"/>
      <c r="C2906" s="113" t="n"/>
      <c r="D2906" s="113" t="n"/>
      <c r="E2906" s="113" t="n"/>
      <c r="F2906" s="113" t="n"/>
      <c r="G2906" s="113" t="n"/>
      <c r="H2906" s="113" t="n"/>
      <c r="I2906" s="113" t="n"/>
      <c r="J2906" s="113" t="n"/>
      <c r="K2906" s="113" t="n"/>
      <c r="L2906" s="113" t="n"/>
      <c r="M2906" s="113" t="n"/>
      <c r="N2906" s="113" t="n"/>
      <c r="O2906" s="113" t="n"/>
      <c r="P2906" s="113" t="n"/>
      <c r="Q2906" s="113" t="n"/>
      <c r="R2906" s="113" t="n"/>
      <c r="S2906" s="113" t="n"/>
      <c r="T2906" s="113" t="n"/>
      <c r="U2906" s="113" t="n"/>
      <c r="V2906" s="113" t="n"/>
      <c r="W2906" s="113" t="n"/>
      <c r="X2906" s="113" t="n"/>
      <c r="Y2906" s="113" t="n"/>
      <c r="Z2906" s="117">
        <f>IF($B2906="",0,IF($S2906="EVET",IF($D2906="GELİR",$O2906,-$O2906),0))</f>
        <v/>
      </c>
      <c r="AA2906" s="117">
        <f>IF($B2906="",0,IF(OR($W2906="EVET",$X2906="EVET",$Y2906="EVET"),0,IF($D2906="GELİR",IF($E2906="SATIŞ İADESİ/İSKONTO",-$O2906,$O2906),-$O2906)))</f>
        <v/>
      </c>
      <c r="AB2906" s="117">
        <f>IF($B2906="","",IF(OR($D2906="",$E2906="",$O2906=""),"EKSİK",IF($O2906&lt;=0,"SIFIR/NEGATİF",IF(COUNTIFS($C$6:$C$5000,$C2906,$O$6:$O$5000,$O2906,$B$6:$B$5000,$B2906)&gt;1,"MÜKERRER","OK"))))</f>
        <v/>
      </c>
    </row>
    <row r="2907" ht="16.5" customHeight="1" s="80">
      <c r="A2907" s="113" t="n"/>
      <c r="B2907" s="113" t="n"/>
      <c r="C2907" s="113" t="n"/>
      <c r="D2907" s="113" t="n"/>
      <c r="E2907" s="113" t="n"/>
      <c r="F2907" s="113" t="n"/>
      <c r="G2907" s="113" t="n"/>
      <c r="H2907" s="113" t="n"/>
      <c r="I2907" s="113" t="n"/>
      <c r="J2907" s="113" t="n"/>
      <c r="K2907" s="113" t="n"/>
      <c r="L2907" s="113" t="n"/>
      <c r="M2907" s="113" t="n"/>
      <c r="N2907" s="113" t="n"/>
      <c r="O2907" s="113" t="n"/>
      <c r="P2907" s="113" t="n"/>
      <c r="Q2907" s="113" t="n"/>
      <c r="R2907" s="113" t="n"/>
      <c r="S2907" s="113" t="n"/>
      <c r="T2907" s="113" t="n"/>
      <c r="U2907" s="113" t="n"/>
      <c r="V2907" s="113" t="n"/>
      <c r="W2907" s="113" t="n"/>
      <c r="X2907" s="113" t="n"/>
      <c r="Y2907" s="113" t="n"/>
      <c r="Z2907" s="117">
        <f>IF($B2907="",0,IF($S2907="EVET",IF($D2907="GELİR",$O2907,-$O2907),0))</f>
        <v/>
      </c>
      <c r="AA2907" s="117">
        <f>IF($B2907="",0,IF(OR($W2907="EVET",$X2907="EVET",$Y2907="EVET"),0,IF($D2907="GELİR",IF($E2907="SATIŞ İADESİ/İSKONTO",-$O2907,$O2907),-$O2907)))</f>
        <v/>
      </c>
      <c r="AB2907" s="117">
        <f>IF($B2907="","",IF(OR($D2907="",$E2907="",$O2907=""),"EKSİK",IF($O2907&lt;=0,"SIFIR/NEGATİF",IF(COUNTIFS($C$6:$C$5000,$C2907,$O$6:$O$5000,$O2907,$B$6:$B$5000,$B2907)&gt;1,"MÜKERRER","OK"))))</f>
        <v/>
      </c>
    </row>
    <row r="2908" ht="16.5" customHeight="1" s="80">
      <c r="A2908" s="113" t="n"/>
      <c r="B2908" s="113" t="n"/>
      <c r="C2908" s="113" t="n"/>
      <c r="D2908" s="113" t="n"/>
      <c r="E2908" s="113" t="n"/>
      <c r="F2908" s="113" t="n"/>
      <c r="G2908" s="113" t="n"/>
      <c r="H2908" s="113" t="n"/>
      <c r="I2908" s="113" t="n"/>
      <c r="J2908" s="113" t="n"/>
      <c r="K2908" s="113" t="n"/>
      <c r="L2908" s="113" t="n"/>
      <c r="M2908" s="113" t="n"/>
      <c r="N2908" s="113" t="n"/>
      <c r="O2908" s="113" t="n"/>
      <c r="P2908" s="113" t="n"/>
      <c r="Q2908" s="113" t="n"/>
      <c r="R2908" s="113" t="n"/>
      <c r="S2908" s="113" t="n"/>
      <c r="T2908" s="113" t="n"/>
      <c r="U2908" s="113" t="n"/>
      <c r="V2908" s="113" t="n"/>
      <c r="W2908" s="113" t="n"/>
      <c r="X2908" s="113" t="n"/>
      <c r="Y2908" s="113" t="n"/>
      <c r="Z2908" s="117">
        <f>IF($B2908="",0,IF($S2908="EVET",IF($D2908="GELİR",$O2908,-$O2908),0))</f>
        <v/>
      </c>
      <c r="AA2908" s="117">
        <f>IF($B2908="",0,IF(OR($W2908="EVET",$X2908="EVET",$Y2908="EVET"),0,IF($D2908="GELİR",IF($E2908="SATIŞ İADESİ/İSKONTO",-$O2908,$O2908),-$O2908)))</f>
        <v/>
      </c>
      <c r="AB2908" s="117">
        <f>IF($B2908="","",IF(OR($D2908="",$E2908="",$O2908=""),"EKSİK",IF($O2908&lt;=0,"SIFIR/NEGATİF",IF(COUNTIFS($C$6:$C$5000,$C2908,$O$6:$O$5000,$O2908,$B$6:$B$5000,$B2908)&gt;1,"MÜKERRER","OK"))))</f>
        <v/>
      </c>
    </row>
    <row r="2909" ht="16.5" customHeight="1" s="80">
      <c r="A2909" s="113" t="n"/>
      <c r="B2909" s="113" t="n"/>
      <c r="C2909" s="113" t="n"/>
      <c r="D2909" s="113" t="n"/>
      <c r="E2909" s="113" t="n"/>
      <c r="F2909" s="113" t="n"/>
      <c r="G2909" s="113" t="n"/>
      <c r="H2909" s="113" t="n"/>
      <c r="I2909" s="113" t="n"/>
      <c r="J2909" s="113" t="n"/>
      <c r="K2909" s="113" t="n"/>
      <c r="L2909" s="113" t="n"/>
      <c r="M2909" s="113" t="n"/>
      <c r="N2909" s="113" t="n"/>
      <c r="O2909" s="113" t="n"/>
      <c r="P2909" s="113" t="n"/>
      <c r="Q2909" s="113" t="n"/>
      <c r="R2909" s="113" t="n"/>
      <c r="S2909" s="113" t="n"/>
      <c r="T2909" s="113" t="n"/>
      <c r="U2909" s="113" t="n"/>
      <c r="V2909" s="113" t="n"/>
      <c r="W2909" s="113" t="n"/>
      <c r="X2909" s="113" t="n"/>
      <c r="Y2909" s="113" t="n"/>
      <c r="Z2909" s="117">
        <f>IF($B2909="",0,IF($S2909="EVET",IF($D2909="GELİR",$O2909,-$O2909),0))</f>
        <v/>
      </c>
      <c r="AA2909" s="117">
        <f>IF($B2909="",0,IF(OR($W2909="EVET",$X2909="EVET",$Y2909="EVET"),0,IF($D2909="GELİR",IF($E2909="SATIŞ İADESİ/İSKONTO",-$O2909,$O2909),-$O2909)))</f>
        <v/>
      </c>
      <c r="AB2909" s="117">
        <f>IF($B2909="","",IF(OR($D2909="",$E2909="",$O2909=""),"EKSİK",IF($O2909&lt;=0,"SIFIR/NEGATİF",IF(COUNTIFS($C$6:$C$5000,$C2909,$O$6:$O$5000,$O2909,$B$6:$B$5000,$B2909)&gt;1,"MÜKERRER","OK"))))</f>
        <v/>
      </c>
    </row>
    <row r="2910" ht="16.5" customHeight="1" s="80">
      <c r="A2910" s="113" t="n"/>
      <c r="B2910" s="113" t="n"/>
      <c r="C2910" s="113" t="n"/>
      <c r="D2910" s="113" t="n"/>
      <c r="E2910" s="113" t="n"/>
      <c r="F2910" s="113" t="n"/>
      <c r="G2910" s="113" t="n"/>
      <c r="H2910" s="113" t="n"/>
      <c r="I2910" s="113" t="n"/>
      <c r="J2910" s="113" t="n"/>
      <c r="K2910" s="113" t="n"/>
      <c r="L2910" s="113" t="n"/>
      <c r="M2910" s="113" t="n"/>
      <c r="N2910" s="113" t="n"/>
      <c r="O2910" s="113" t="n"/>
      <c r="P2910" s="113" t="n"/>
      <c r="Q2910" s="113" t="n"/>
      <c r="R2910" s="113" t="n"/>
      <c r="S2910" s="113" t="n"/>
      <c r="T2910" s="113" t="n"/>
      <c r="U2910" s="113" t="n"/>
      <c r="V2910" s="113" t="n"/>
      <c r="W2910" s="113" t="n"/>
      <c r="X2910" s="113" t="n"/>
      <c r="Y2910" s="113" t="n"/>
      <c r="Z2910" s="117">
        <f>IF($B2910="",0,IF($S2910="EVET",IF($D2910="GELİR",$O2910,-$O2910),0))</f>
        <v/>
      </c>
      <c r="AA2910" s="117">
        <f>IF($B2910="",0,IF(OR($W2910="EVET",$X2910="EVET",$Y2910="EVET"),0,IF($D2910="GELİR",IF($E2910="SATIŞ İADESİ/İSKONTO",-$O2910,$O2910),-$O2910)))</f>
        <v/>
      </c>
      <c r="AB2910" s="117">
        <f>IF($B2910="","",IF(OR($D2910="",$E2910="",$O2910=""),"EKSİK",IF($O2910&lt;=0,"SIFIR/NEGATİF",IF(COUNTIFS($C$6:$C$5000,$C2910,$O$6:$O$5000,$O2910,$B$6:$B$5000,$B2910)&gt;1,"MÜKERRER","OK"))))</f>
        <v/>
      </c>
    </row>
    <row r="2911" ht="16.5" customHeight="1" s="80">
      <c r="A2911" s="113" t="n"/>
      <c r="B2911" s="113" t="n"/>
      <c r="C2911" s="113" t="n"/>
      <c r="D2911" s="113" t="n"/>
      <c r="E2911" s="113" t="n"/>
      <c r="F2911" s="113" t="n"/>
      <c r="G2911" s="113" t="n"/>
      <c r="H2911" s="113" t="n"/>
      <c r="I2911" s="113" t="n"/>
      <c r="J2911" s="113" t="n"/>
      <c r="K2911" s="113" t="n"/>
      <c r="L2911" s="113" t="n"/>
      <c r="M2911" s="113" t="n"/>
      <c r="N2911" s="113" t="n"/>
      <c r="O2911" s="113" t="n"/>
      <c r="P2911" s="113" t="n"/>
      <c r="Q2911" s="113" t="n"/>
      <c r="R2911" s="113" t="n"/>
      <c r="S2911" s="113" t="n"/>
      <c r="T2911" s="113" t="n"/>
      <c r="U2911" s="113" t="n"/>
      <c r="V2911" s="113" t="n"/>
      <c r="W2911" s="113" t="n"/>
      <c r="X2911" s="113" t="n"/>
      <c r="Y2911" s="113" t="n"/>
      <c r="Z2911" s="117">
        <f>IF($B2911="",0,IF($S2911="EVET",IF($D2911="GELİR",$O2911,-$O2911),0))</f>
        <v/>
      </c>
      <c r="AA2911" s="117">
        <f>IF($B2911="",0,IF(OR($W2911="EVET",$X2911="EVET",$Y2911="EVET"),0,IF($D2911="GELİR",IF($E2911="SATIŞ İADESİ/İSKONTO",-$O2911,$O2911),-$O2911)))</f>
        <v/>
      </c>
      <c r="AB2911" s="117">
        <f>IF($B2911="","",IF(OR($D2911="",$E2911="",$O2911=""),"EKSİK",IF($O2911&lt;=0,"SIFIR/NEGATİF",IF(COUNTIFS($C$6:$C$5000,$C2911,$O$6:$O$5000,$O2911,$B$6:$B$5000,$B2911)&gt;1,"MÜKERRER","OK"))))</f>
        <v/>
      </c>
    </row>
    <row r="2912" ht="16.5" customHeight="1" s="80">
      <c r="A2912" s="113" t="n"/>
      <c r="B2912" s="113" t="n"/>
      <c r="C2912" s="113" t="n"/>
      <c r="D2912" s="113" t="n"/>
      <c r="E2912" s="113" t="n"/>
      <c r="F2912" s="113" t="n"/>
      <c r="G2912" s="113" t="n"/>
      <c r="H2912" s="113" t="n"/>
      <c r="I2912" s="113" t="n"/>
      <c r="J2912" s="113" t="n"/>
      <c r="K2912" s="113" t="n"/>
      <c r="L2912" s="113" t="n"/>
      <c r="M2912" s="113" t="n"/>
      <c r="N2912" s="113" t="n"/>
      <c r="O2912" s="113" t="n"/>
      <c r="P2912" s="113" t="n"/>
      <c r="Q2912" s="113" t="n"/>
      <c r="R2912" s="113" t="n"/>
      <c r="S2912" s="113" t="n"/>
      <c r="T2912" s="113" t="n"/>
      <c r="U2912" s="113" t="n"/>
      <c r="V2912" s="113" t="n"/>
      <c r="W2912" s="113" t="n"/>
      <c r="X2912" s="113" t="n"/>
      <c r="Y2912" s="113" t="n"/>
      <c r="Z2912" s="117">
        <f>IF($B2912="",0,IF($S2912="EVET",IF($D2912="GELİR",$O2912,-$O2912),0))</f>
        <v/>
      </c>
      <c r="AA2912" s="117">
        <f>IF($B2912="",0,IF(OR($W2912="EVET",$X2912="EVET",$Y2912="EVET"),0,IF($D2912="GELİR",IF($E2912="SATIŞ İADESİ/İSKONTO",-$O2912,$O2912),-$O2912)))</f>
        <v/>
      </c>
      <c r="AB2912" s="117">
        <f>IF($B2912="","",IF(OR($D2912="",$E2912="",$O2912=""),"EKSİK",IF($O2912&lt;=0,"SIFIR/NEGATİF",IF(COUNTIFS($C$6:$C$5000,$C2912,$O$6:$O$5000,$O2912,$B$6:$B$5000,$B2912)&gt;1,"MÜKERRER","OK"))))</f>
        <v/>
      </c>
    </row>
    <row r="2913" ht="16.5" customHeight="1" s="80">
      <c r="A2913" s="113" t="n"/>
      <c r="B2913" s="113" t="n"/>
      <c r="C2913" s="113" t="n"/>
      <c r="D2913" s="113" t="n"/>
      <c r="E2913" s="113" t="n"/>
      <c r="F2913" s="113" t="n"/>
      <c r="G2913" s="113" t="n"/>
      <c r="H2913" s="113" t="n"/>
      <c r="I2913" s="113" t="n"/>
      <c r="J2913" s="113" t="n"/>
      <c r="K2913" s="113" t="n"/>
      <c r="L2913" s="113" t="n"/>
      <c r="M2913" s="113" t="n"/>
      <c r="N2913" s="113" t="n"/>
      <c r="O2913" s="113" t="n"/>
      <c r="P2913" s="113" t="n"/>
      <c r="Q2913" s="113" t="n"/>
      <c r="R2913" s="113" t="n"/>
      <c r="S2913" s="113" t="n"/>
      <c r="T2913" s="113" t="n"/>
      <c r="U2913" s="113" t="n"/>
      <c r="V2913" s="113" t="n"/>
      <c r="W2913" s="113" t="n"/>
      <c r="X2913" s="113" t="n"/>
      <c r="Y2913" s="113" t="n"/>
      <c r="Z2913" s="117">
        <f>IF($B2913="",0,IF($S2913="EVET",IF($D2913="GELİR",$O2913,-$O2913),0))</f>
        <v/>
      </c>
      <c r="AA2913" s="117">
        <f>IF($B2913="",0,IF(OR($W2913="EVET",$X2913="EVET",$Y2913="EVET"),0,IF($D2913="GELİR",IF($E2913="SATIŞ İADESİ/İSKONTO",-$O2913,$O2913),-$O2913)))</f>
        <v/>
      </c>
      <c r="AB2913" s="117">
        <f>IF($B2913="","",IF(OR($D2913="",$E2913="",$O2913=""),"EKSİK",IF($O2913&lt;=0,"SIFIR/NEGATİF",IF(COUNTIFS($C$6:$C$5000,$C2913,$O$6:$O$5000,$O2913,$B$6:$B$5000,$B2913)&gt;1,"MÜKERRER","OK"))))</f>
        <v/>
      </c>
    </row>
    <row r="2914" ht="16.5" customHeight="1" s="80">
      <c r="A2914" s="113" t="n"/>
      <c r="B2914" s="113" t="n"/>
      <c r="C2914" s="113" t="n"/>
      <c r="D2914" s="113" t="n"/>
      <c r="E2914" s="113" t="n"/>
      <c r="F2914" s="113" t="n"/>
      <c r="G2914" s="113" t="n"/>
      <c r="H2914" s="113" t="n"/>
      <c r="I2914" s="113" t="n"/>
      <c r="J2914" s="113" t="n"/>
      <c r="K2914" s="113" t="n"/>
      <c r="L2914" s="113" t="n"/>
      <c r="M2914" s="113" t="n"/>
      <c r="N2914" s="113" t="n"/>
      <c r="O2914" s="113" t="n"/>
      <c r="P2914" s="113" t="n"/>
      <c r="Q2914" s="113" t="n"/>
      <c r="R2914" s="113" t="n"/>
      <c r="S2914" s="113" t="n"/>
      <c r="T2914" s="113" t="n"/>
      <c r="U2914" s="113" t="n"/>
      <c r="V2914" s="113" t="n"/>
      <c r="W2914" s="113" t="n"/>
      <c r="X2914" s="113" t="n"/>
      <c r="Y2914" s="113" t="n"/>
      <c r="Z2914" s="117">
        <f>IF($B2914="",0,IF($S2914="EVET",IF($D2914="GELİR",$O2914,-$O2914),0))</f>
        <v/>
      </c>
      <c r="AA2914" s="117">
        <f>IF($B2914="",0,IF(OR($W2914="EVET",$X2914="EVET",$Y2914="EVET"),0,IF($D2914="GELİR",IF($E2914="SATIŞ İADESİ/İSKONTO",-$O2914,$O2914),-$O2914)))</f>
        <v/>
      </c>
      <c r="AB2914" s="117">
        <f>IF($B2914="","",IF(OR($D2914="",$E2914="",$O2914=""),"EKSİK",IF($O2914&lt;=0,"SIFIR/NEGATİF",IF(COUNTIFS($C$6:$C$5000,$C2914,$O$6:$O$5000,$O2914,$B$6:$B$5000,$B2914)&gt;1,"MÜKERRER","OK"))))</f>
        <v/>
      </c>
    </row>
    <row r="2915" ht="16.5" customHeight="1" s="80">
      <c r="A2915" s="113" t="n"/>
      <c r="B2915" s="113" t="n"/>
      <c r="C2915" s="113" t="n"/>
      <c r="D2915" s="113" t="n"/>
      <c r="E2915" s="113" t="n"/>
      <c r="F2915" s="113" t="n"/>
      <c r="G2915" s="113" t="n"/>
      <c r="H2915" s="113" t="n"/>
      <c r="I2915" s="113" t="n"/>
      <c r="J2915" s="113" t="n"/>
      <c r="K2915" s="113" t="n"/>
      <c r="L2915" s="113" t="n"/>
      <c r="M2915" s="113" t="n"/>
      <c r="N2915" s="113" t="n"/>
      <c r="O2915" s="113" t="n"/>
      <c r="P2915" s="113" t="n"/>
      <c r="Q2915" s="113" t="n"/>
      <c r="R2915" s="113" t="n"/>
      <c r="S2915" s="113" t="n"/>
      <c r="T2915" s="113" t="n"/>
      <c r="U2915" s="113" t="n"/>
      <c r="V2915" s="113" t="n"/>
      <c r="W2915" s="113" t="n"/>
      <c r="X2915" s="113" t="n"/>
      <c r="Y2915" s="113" t="n"/>
      <c r="Z2915" s="117">
        <f>IF($B2915="",0,IF($S2915="EVET",IF($D2915="GELİR",$O2915,-$O2915),0))</f>
        <v/>
      </c>
      <c r="AA2915" s="117">
        <f>IF($B2915="",0,IF(OR($W2915="EVET",$X2915="EVET",$Y2915="EVET"),0,IF($D2915="GELİR",IF($E2915="SATIŞ İADESİ/İSKONTO",-$O2915,$O2915),-$O2915)))</f>
        <v/>
      </c>
      <c r="AB2915" s="117">
        <f>IF($B2915="","",IF(OR($D2915="",$E2915="",$O2915=""),"EKSİK",IF($O2915&lt;=0,"SIFIR/NEGATİF",IF(COUNTIFS($C$6:$C$5000,$C2915,$O$6:$O$5000,$O2915,$B$6:$B$5000,$B2915)&gt;1,"MÜKERRER","OK"))))</f>
        <v/>
      </c>
    </row>
    <row r="2916" ht="16.5" customHeight="1" s="80">
      <c r="A2916" s="113" t="n"/>
      <c r="B2916" s="113" t="n"/>
      <c r="C2916" s="113" t="n"/>
      <c r="D2916" s="113" t="n"/>
      <c r="E2916" s="113" t="n"/>
      <c r="F2916" s="113" t="n"/>
      <c r="G2916" s="113" t="n"/>
      <c r="H2916" s="113" t="n"/>
      <c r="I2916" s="113" t="n"/>
      <c r="J2916" s="113" t="n"/>
      <c r="K2916" s="113" t="n"/>
      <c r="L2916" s="113" t="n"/>
      <c r="M2916" s="113" t="n"/>
      <c r="N2916" s="113" t="n"/>
      <c r="O2916" s="113" t="n"/>
      <c r="P2916" s="113" t="n"/>
      <c r="Q2916" s="113" t="n"/>
      <c r="R2916" s="113" t="n"/>
      <c r="S2916" s="113" t="n"/>
      <c r="T2916" s="113" t="n"/>
      <c r="U2916" s="113" t="n"/>
      <c r="V2916" s="113" t="n"/>
      <c r="W2916" s="113" t="n"/>
      <c r="X2916" s="113" t="n"/>
      <c r="Y2916" s="113" t="n"/>
      <c r="Z2916" s="117">
        <f>IF($B2916="",0,IF($S2916="EVET",IF($D2916="GELİR",$O2916,-$O2916),0))</f>
        <v/>
      </c>
      <c r="AA2916" s="117">
        <f>IF($B2916="",0,IF(OR($W2916="EVET",$X2916="EVET",$Y2916="EVET"),0,IF($D2916="GELİR",IF($E2916="SATIŞ İADESİ/İSKONTO",-$O2916,$O2916),-$O2916)))</f>
        <v/>
      </c>
      <c r="AB2916" s="117">
        <f>IF($B2916="","",IF(OR($D2916="",$E2916="",$O2916=""),"EKSİK",IF($O2916&lt;=0,"SIFIR/NEGATİF",IF(COUNTIFS($C$6:$C$5000,$C2916,$O$6:$O$5000,$O2916,$B$6:$B$5000,$B2916)&gt;1,"MÜKERRER","OK"))))</f>
        <v/>
      </c>
    </row>
    <row r="2917" ht="16.5" customHeight="1" s="80">
      <c r="A2917" s="113" t="n"/>
      <c r="B2917" s="113" t="n"/>
      <c r="C2917" s="113" t="n"/>
      <c r="D2917" s="113" t="n"/>
      <c r="E2917" s="113" t="n"/>
      <c r="F2917" s="113" t="n"/>
      <c r="G2917" s="113" t="n"/>
      <c r="H2917" s="113" t="n"/>
      <c r="I2917" s="113" t="n"/>
      <c r="J2917" s="113" t="n"/>
      <c r="K2917" s="113" t="n"/>
      <c r="L2917" s="113" t="n"/>
      <c r="M2917" s="113" t="n"/>
      <c r="N2917" s="113" t="n"/>
      <c r="O2917" s="113" t="n"/>
      <c r="P2917" s="113" t="n"/>
      <c r="Q2917" s="113" t="n"/>
      <c r="R2917" s="113" t="n"/>
      <c r="S2917" s="113" t="n"/>
      <c r="T2917" s="113" t="n"/>
      <c r="U2917" s="113" t="n"/>
      <c r="V2917" s="113" t="n"/>
      <c r="W2917" s="113" t="n"/>
      <c r="X2917" s="113" t="n"/>
      <c r="Y2917" s="113" t="n"/>
      <c r="Z2917" s="117">
        <f>IF($B2917="",0,IF($S2917="EVET",IF($D2917="GELİR",$O2917,-$O2917),0))</f>
        <v/>
      </c>
      <c r="AA2917" s="117">
        <f>IF($B2917="",0,IF(OR($W2917="EVET",$X2917="EVET",$Y2917="EVET"),0,IF($D2917="GELİR",IF($E2917="SATIŞ İADESİ/İSKONTO",-$O2917,$O2917),-$O2917)))</f>
        <v/>
      </c>
      <c r="AB2917" s="117">
        <f>IF($B2917="","",IF(OR($D2917="",$E2917="",$O2917=""),"EKSİK",IF($O2917&lt;=0,"SIFIR/NEGATİF",IF(COUNTIFS($C$6:$C$5000,$C2917,$O$6:$O$5000,$O2917,$B$6:$B$5000,$B2917)&gt;1,"MÜKERRER","OK"))))</f>
        <v/>
      </c>
    </row>
    <row r="2918" ht="16.5" customHeight="1" s="80">
      <c r="A2918" s="113" t="n"/>
      <c r="B2918" s="113" t="n"/>
      <c r="C2918" s="113" t="n"/>
      <c r="D2918" s="113" t="n"/>
      <c r="E2918" s="113" t="n"/>
      <c r="F2918" s="113" t="n"/>
      <c r="G2918" s="113" t="n"/>
      <c r="H2918" s="113" t="n"/>
      <c r="I2918" s="113" t="n"/>
      <c r="J2918" s="113" t="n"/>
      <c r="K2918" s="113" t="n"/>
      <c r="L2918" s="113" t="n"/>
      <c r="M2918" s="113" t="n"/>
      <c r="N2918" s="113" t="n"/>
      <c r="O2918" s="113" t="n"/>
      <c r="P2918" s="113" t="n"/>
      <c r="Q2918" s="113" t="n"/>
      <c r="R2918" s="113" t="n"/>
      <c r="S2918" s="113" t="n"/>
      <c r="T2918" s="113" t="n"/>
      <c r="U2918" s="113" t="n"/>
      <c r="V2918" s="113" t="n"/>
      <c r="W2918" s="113" t="n"/>
      <c r="X2918" s="113" t="n"/>
      <c r="Y2918" s="113" t="n"/>
      <c r="Z2918" s="117">
        <f>IF($B2918="",0,IF($S2918="EVET",IF($D2918="GELİR",$O2918,-$O2918),0))</f>
        <v/>
      </c>
      <c r="AA2918" s="117">
        <f>IF($B2918="",0,IF(OR($W2918="EVET",$X2918="EVET",$Y2918="EVET"),0,IF($D2918="GELİR",IF($E2918="SATIŞ İADESİ/İSKONTO",-$O2918,$O2918),-$O2918)))</f>
        <v/>
      </c>
      <c r="AB2918" s="117">
        <f>IF($B2918="","",IF(OR($D2918="",$E2918="",$O2918=""),"EKSİK",IF($O2918&lt;=0,"SIFIR/NEGATİF",IF(COUNTIFS($C$6:$C$5000,$C2918,$O$6:$O$5000,$O2918,$B$6:$B$5000,$B2918)&gt;1,"MÜKERRER","OK"))))</f>
        <v/>
      </c>
    </row>
    <row r="2919" ht="16.5" customHeight="1" s="80">
      <c r="A2919" s="113" t="n"/>
      <c r="B2919" s="113" t="n"/>
      <c r="C2919" s="113" t="n"/>
      <c r="D2919" s="113" t="n"/>
      <c r="E2919" s="113" t="n"/>
      <c r="F2919" s="113" t="n"/>
      <c r="G2919" s="113" t="n"/>
      <c r="H2919" s="113" t="n"/>
      <c r="I2919" s="113" t="n"/>
      <c r="J2919" s="113" t="n"/>
      <c r="K2919" s="113" t="n"/>
      <c r="L2919" s="113" t="n"/>
      <c r="M2919" s="113" t="n"/>
      <c r="N2919" s="113" t="n"/>
      <c r="O2919" s="113" t="n"/>
      <c r="P2919" s="113" t="n"/>
      <c r="Q2919" s="113" t="n"/>
      <c r="R2919" s="113" t="n"/>
      <c r="S2919" s="113" t="n"/>
      <c r="T2919" s="113" t="n"/>
      <c r="U2919" s="113" t="n"/>
      <c r="V2919" s="113" t="n"/>
      <c r="W2919" s="113" t="n"/>
      <c r="X2919" s="113" t="n"/>
      <c r="Y2919" s="113" t="n"/>
      <c r="Z2919" s="117">
        <f>IF($B2919="",0,IF($S2919="EVET",IF($D2919="GELİR",$O2919,-$O2919),0))</f>
        <v/>
      </c>
      <c r="AA2919" s="117">
        <f>IF($B2919="",0,IF(OR($W2919="EVET",$X2919="EVET",$Y2919="EVET"),0,IF($D2919="GELİR",IF($E2919="SATIŞ İADESİ/İSKONTO",-$O2919,$O2919),-$O2919)))</f>
        <v/>
      </c>
      <c r="AB2919" s="117">
        <f>IF($B2919="","",IF(OR($D2919="",$E2919="",$O2919=""),"EKSİK",IF($O2919&lt;=0,"SIFIR/NEGATİF",IF(COUNTIFS($C$6:$C$5000,$C2919,$O$6:$O$5000,$O2919,$B$6:$B$5000,$B2919)&gt;1,"MÜKERRER","OK"))))</f>
        <v/>
      </c>
    </row>
    <row r="2920" ht="16.5" customHeight="1" s="80">
      <c r="A2920" s="113" t="n"/>
      <c r="B2920" s="113" t="n"/>
      <c r="C2920" s="113" t="n"/>
      <c r="D2920" s="113" t="n"/>
      <c r="E2920" s="113" t="n"/>
      <c r="F2920" s="113" t="n"/>
      <c r="G2920" s="113" t="n"/>
      <c r="H2920" s="113" t="n"/>
      <c r="I2920" s="113" t="n"/>
      <c r="J2920" s="113" t="n"/>
      <c r="K2920" s="113" t="n"/>
      <c r="L2920" s="113" t="n"/>
      <c r="M2920" s="113" t="n"/>
      <c r="N2920" s="113" t="n"/>
      <c r="O2920" s="113" t="n"/>
      <c r="P2920" s="113" t="n"/>
      <c r="Q2920" s="113" t="n"/>
      <c r="R2920" s="113" t="n"/>
      <c r="S2920" s="113" t="n"/>
      <c r="T2920" s="113" t="n"/>
      <c r="U2920" s="113" t="n"/>
      <c r="V2920" s="113" t="n"/>
      <c r="W2920" s="113" t="n"/>
      <c r="X2920" s="113" t="n"/>
      <c r="Y2920" s="113" t="n"/>
      <c r="Z2920" s="117">
        <f>IF($B2920="",0,IF($S2920="EVET",IF($D2920="GELİR",$O2920,-$O2920),0))</f>
        <v/>
      </c>
      <c r="AA2920" s="117">
        <f>IF($B2920="",0,IF(OR($W2920="EVET",$X2920="EVET",$Y2920="EVET"),0,IF($D2920="GELİR",IF($E2920="SATIŞ İADESİ/İSKONTO",-$O2920,$O2920),-$O2920)))</f>
        <v/>
      </c>
      <c r="AB2920" s="117">
        <f>IF($B2920="","",IF(OR($D2920="",$E2920="",$O2920=""),"EKSİK",IF($O2920&lt;=0,"SIFIR/NEGATİF",IF(COUNTIFS($C$6:$C$5000,$C2920,$O$6:$O$5000,$O2920,$B$6:$B$5000,$B2920)&gt;1,"MÜKERRER","OK"))))</f>
        <v/>
      </c>
    </row>
    <row r="2921" ht="16.5" customHeight="1" s="80">
      <c r="A2921" s="113" t="n"/>
      <c r="B2921" s="113" t="n"/>
      <c r="C2921" s="113" t="n"/>
      <c r="D2921" s="113" t="n"/>
      <c r="E2921" s="113" t="n"/>
      <c r="F2921" s="113" t="n"/>
      <c r="G2921" s="113" t="n"/>
      <c r="H2921" s="113" t="n"/>
      <c r="I2921" s="113" t="n"/>
      <c r="J2921" s="113" t="n"/>
      <c r="K2921" s="113" t="n"/>
      <c r="L2921" s="113" t="n"/>
      <c r="M2921" s="113" t="n"/>
      <c r="N2921" s="113" t="n"/>
      <c r="O2921" s="113" t="n"/>
      <c r="P2921" s="113" t="n"/>
      <c r="Q2921" s="113" t="n"/>
      <c r="R2921" s="113" t="n"/>
      <c r="S2921" s="113" t="n"/>
      <c r="T2921" s="113" t="n"/>
      <c r="U2921" s="113" t="n"/>
      <c r="V2921" s="113" t="n"/>
      <c r="W2921" s="113" t="n"/>
      <c r="X2921" s="113" t="n"/>
      <c r="Y2921" s="113" t="n"/>
      <c r="Z2921" s="117">
        <f>IF($B2921="",0,IF($S2921="EVET",IF($D2921="GELİR",$O2921,-$O2921),0))</f>
        <v/>
      </c>
      <c r="AA2921" s="117">
        <f>IF($B2921="",0,IF(OR($W2921="EVET",$X2921="EVET",$Y2921="EVET"),0,IF($D2921="GELİR",IF($E2921="SATIŞ İADESİ/İSKONTO",-$O2921,$O2921),-$O2921)))</f>
        <v/>
      </c>
      <c r="AB2921" s="117">
        <f>IF($B2921="","",IF(OR($D2921="",$E2921="",$O2921=""),"EKSİK",IF($O2921&lt;=0,"SIFIR/NEGATİF",IF(COUNTIFS($C$6:$C$5000,$C2921,$O$6:$O$5000,$O2921,$B$6:$B$5000,$B2921)&gt;1,"MÜKERRER","OK"))))</f>
        <v/>
      </c>
    </row>
    <row r="2922" ht="16.5" customHeight="1" s="80">
      <c r="A2922" s="113" t="n"/>
      <c r="B2922" s="113" t="n"/>
      <c r="C2922" s="113" t="n"/>
      <c r="D2922" s="113" t="n"/>
      <c r="E2922" s="113" t="n"/>
      <c r="F2922" s="113" t="n"/>
      <c r="G2922" s="113" t="n"/>
      <c r="H2922" s="113" t="n"/>
      <c r="I2922" s="113" t="n"/>
      <c r="J2922" s="113" t="n"/>
      <c r="K2922" s="113" t="n"/>
      <c r="L2922" s="113" t="n"/>
      <c r="M2922" s="113" t="n"/>
      <c r="N2922" s="113" t="n"/>
      <c r="O2922" s="113" t="n"/>
      <c r="P2922" s="113" t="n"/>
      <c r="Q2922" s="113" t="n"/>
      <c r="R2922" s="113" t="n"/>
      <c r="S2922" s="113" t="n"/>
      <c r="T2922" s="113" t="n"/>
      <c r="U2922" s="113" t="n"/>
      <c r="V2922" s="113" t="n"/>
      <c r="W2922" s="113" t="n"/>
      <c r="X2922" s="113" t="n"/>
      <c r="Y2922" s="113" t="n"/>
      <c r="Z2922" s="117">
        <f>IF($B2922="",0,IF($S2922="EVET",IF($D2922="GELİR",$O2922,-$O2922),0))</f>
        <v/>
      </c>
      <c r="AA2922" s="117">
        <f>IF($B2922="",0,IF(OR($W2922="EVET",$X2922="EVET",$Y2922="EVET"),0,IF($D2922="GELİR",IF($E2922="SATIŞ İADESİ/İSKONTO",-$O2922,$O2922),-$O2922)))</f>
        <v/>
      </c>
      <c r="AB2922" s="117">
        <f>IF($B2922="","",IF(OR($D2922="",$E2922="",$O2922=""),"EKSİK",IF($O2922&lt;=0,"SIFIR/NEGATİF",IF(COUNTIFS($C$6:$C$5000,$C2922,$O$6:$O$5000,$O2922,$B$6:$B$5000,$B2922)&gt;1,"MÜKERRER","OK"))))</f>
        <v/>
      </c>
    </row>
    <row r="2923" ht="16.5" customHeight="1" s="80">
      <c r="A2923" s="113" t="n"/>
      <c r="B2923" s="113" t="n"/>
      <c r="C2923" s="113" t="n"/>
      <c r="D2923" s="113" t="n"/>
      <c r="E2923" s="113" t="n"/>
      <c r="F2923" s="113" t="n"/>
      <c r="G2923" s="113" t="n"/>
      <c r="H2923" s="113" t="n"/>
      <c r="I2923" s="113" t="n"/>
      <c r="J2923" s="113" t="n"/>
      <c r="K2923" s="113" t="n"/>
      <c r="L2923" s="113" t="n"/>
      <c r="M2923" s="113" t="n"/>
      <c r="N2923" s="113" t="n"/>
      <c r="O2923" s="113" t="n"/>
      <c r="P2923" s="113" t="n"/>
      <c r="Q2923" s="113" t="n"/>
      <c r="R2923" s="113" t="n"/>
      <c r="S2923" s="113" t="n"/>
      <c r="T2923" s="113" t="n"/>
      <c r="U2923" s="113" t="n"/>
      <c r="V2923" s="113" t="n"/>
      <c r="W2923" s="113" t="n"/>
      <c r="X2923" s="113" t="n"/>
      <c r="Y2923" s="113" t="n"/>
      <c r="Z2923" s="117">
        <f>IF($B2923="",0,IF($S2923="EVET",IF($D2923="GELİR",$O2923,-$O2923),0))</f>
        <v/>
      </c>
      <c r="AA2923" s="117">
        <f>IF($B2923="",0,IF(OR($W2923="EVET",$X2923="EVET",$Y2923="EVET"),0,IF($D2923="GELİR",IF($E2923="SATIŞ İADESİ/İSKONTO",-$O2923,$O2923),-$O2923)))</f>
        <v/>
      </c>
      <c r="AB2923" s="117">
        <f>IF($B2923="","",IF(OR($D2923="",$E2923="",$O2923=""),"EKSİK",IF($O2923&lt;=0,"SIFIR/NEGATİF",IF(COUNTIFS($C$6:$C$5000,$C2923,$O$6:$O$5000,$O2923,$B$6:$B$5000,$B2923)&gt;1,"MÜKERRER","OK"))))</f>
        <v/>
      </c>
    </row>
    <row r="2924" ht="16.5" customHeight="1" s="80">
      <c r="A2924" s="113" t="n"/>
      <c r="B2924" s="113" t="n"/>
      <c r="C2924" s="113" t="n"/>
      <c r="D2924" s="113" t="n"/>
      <c r="E2924" s="113" t="n"/>
      <c r="F2924" s="113" t="n"/>
      <c r="G2924" s="113" t="n"/>
      <c r="H2924" s="113" t="n"/>
      <c r="I2924" s="113" t="n"/>
      <c r="J2924" s="113" t="n"/>
      <c r="K2924" s="113" t="n"/>
      <c r="L2924" s="113" t="n"/>
      <c r="M2924" s="113" t="n"/>
      <c r="N2924" s="113" t="n"/>
      <c r="O2924" s="113" t="n"/>
      <c r="P2924" s="113" t="n"/>
      <c r="Q2924" s="113" t="n"/>
      <c r="R2924" s="113" t="n"/>
      <c r="S2924" s="113" t="n"/>
      <c r="T2924" s="113" t="n"/>
      <c r="U2924" s="113" t="n"/>
      <c r="V2924" s="113" t="n"/>
      <c r="W2924" s="113" t="n"/>
      <c r="X2924" s="113" t="n"/>
      <c r="Y2924" s="113" t="n"/>
      <c r="Z2924" s="117">
        <f>IF($B2924="",0,IF($S2924="EVET",IF($D2924="GELİR",$O2924,-$O2924),0))</f>
        <v/>
      </c>
      <c r="AA2924" s="117">
        <f>IF($B2924="",0,IF(OR($W2924="EVET",$X2924="EVET",$Y2924="EVET"),0,IF($D2924="GELİR",IF($E2924="SATIŞ İADESİ/İSKONTO",-$O2924,$O2924),-$O2924)))</f>
        <v/>
      </c>
      <c r="AB2924" s="117">
        <f>IF($B2924="","",IF(OR($D2924="",$E2924="",$O2924=""),"EKSİK",IF($O2924&lt;=0,"SIFIR/NEGATİF",IF(COUNTIFS($C$6:$C$5000,$C2924,$O$6:$O$5000,$O2924,$B$6:$B$5000,$B2924)&gt;1,"MÜKERRER","OK"))))</f>
        <v/>
      </c>
    </row>
    <row r="2925" ht="16.5" customHeight="1" s="80">
      <c r="A2925" s="113" t="n"/>
      <c r="B2925" s="113" t="n"/>
      <c r="C2925" s="113" t="n"/>
      <c r="D2925" s="113" t="n"/>
      <c r="E2925" s="113" t="n"/>
      <c r="F2925" s="113" t="n"/>
      <c r="G2925" s="113" t="n"/>
      <c r="H2925" s="113" t="n"/>
      <c r="I2925" s="113" t="n"/>
      <c r="J2925" s="113" t="n"/>
      <c r="K2925" s="113" t="n"/>
      <c r="L2925" s="113" t="n"/>
      <c r="M2925" s="113" t="n"/>
      <c r="N2925" s="113" t="n"/>
      <c r="O2925" s="113" t="n"/>
      <c r="P2925" s="113" t="n"/>
      <c r="Q2925" s="113" t="n"/>
      <c r="R2925" s="113" t="n"/>
      <c r="S2925" s="113" t="n"/>
      <c r="T2925" s="113" t="n"/>
      <c r="U2925" s="113" t="n"/>
      <c r="V2925" s="113" t="n"/>
      <c r="W2925" s="113" t="n"/>
      <c r="X2925" s="113" t="n"/>
      <c r="Y2925" s="113" t="n"/>
      <c r="Z2925" s="117">
        <f>IF($B2925="",0,IF($S2925="EVET",IF($D2925="GELİR",$O2925,-$O2925),0))</f>
        <v/>
      </c>
      <c r="AA2925" s="117">
        <f>IF($B2925="",0,IF(OR($W2925="EVET",$X2925="EVET",$Y2925="EVET"),0,IF($D2925="GELİR",IF($E2925="SATIŞ İADESİ/İSKONTO",-$O2925,$O2925),-$O2925)))</f>
        <v/>
      </c>
      <c r="AB2925" s="117">
        <f>IF($B2925="","",IF(OR($D2925="",$E2925="",$O2925=""),"EKSİK",IF($O2925&lt;=0,"SIFIR/NEGATİF",IF(COUNTIFS($C$6:$C$5000,$C2925,$O$6:$O$5000,$O2925,$B$6:$B$5000,$B2925)&gt;1,"MÜKERRER","OK"))))</f>
        <v/>
      </c>
    </row>
    <row r="2926" ht="16.5" customHeight="1" s="80">
      <c r="A2926" s="113" t="n"/>
      <c r="B2926" s="113" t="n"/>
      <c r="C2926" s="113" t="n"/>
      <c r="D2926" s="113" t="n"/>
      <c r="E2926" s="113" t="n"/>
      <c r="F2926" s="113" t="n"/>
      <c r="G2926" s="113" t="n"/>
      <c r="H2926" s="113" t="n"/>
      <c r="I2926" s="113" t="n"/>
      <c r="J2926" s="113" t="n"/>
      <c r="K2926" s="113" t="n"/>
      <c r="L2926" s="113" t="n"/>
      <c r="M2926" s="113" t="n"/>
      <c r="N2926" s="113" t="n"/>
      <c r="O2926" s="113" t="n"/>
      <c r="P2926" s="113" t="n"/>
      <c r="Q2926" s="113" t="n"/>
      <c r="R2926" s="113" t="n"/>
      <c r="S2926" s="113" t="n"/>
      <c r="T2926" s="113" t="n"/>
      <c r="U2926" s="113" t="n"/>
      <c r="V2926" s="113" t="n"/>
      <c r="W2926" s="113" t="n"/>
      <c r="X2926" s="113" t="n"/>
      <c r="Y2926" s="113" t="n"/>
      <c r="Z2926" s="117">
        <f>IF($B2926="",0,IF($S2926="EVET",IF($D2926="GELİR",$O2926,-$O2926),0))</f>
        <v/>
      </c>
      <c r="AA2926" s="117">
        <f>IF($B2926="",0,IF(OR($W2926="EVET",$X2926="EVET",$Y2926="EVET"),0,IF($D2926="GELİR",IF($E2926="SATIŞ İADESİ/İSKONTO",-$O2926,$O2926),-$O2926)))</f>
        <v/>
      </c>
      <c r="AB2926" s="117">
        <f>IF($B2926="","",IF(OR($D2926="",$E2926="",$O2926=""),"EKSİK",IF($O2926&lt;=0,"SIFIR/NEGATİF",IF(COUNTIFS($C$6:$C$5000,$C2926,$O$6:$O$5000,$O2926,$B$6:$B$5000,$B2926)&gt;1,"MÜKERRER","OK"))))</f>
        <v/>
      </c>
    </row>
    <row r="2927" ht="16.5" customHeight="1" s="80">
      <c r="A2927" s="113" t="n"/>
      <c r="B2927" s="113" t="n"/>
      <c r="C2927" s="113" t="n"/>
      <c r="D2927" s="113" t="n"/>
      <c r="E2927" s="113" t="n"/>
      <c r="F2927" s="113" t="n"/>
      <c r="G2927" s="113" t="n"/>
      <c r="H2927" s="113" t="n"/>
      <c r="I2927" s="113" t="n"/>
      <c r="J2927" s="113" t="n"/>
      <c r="K2927" s="113" t="n"/>
      <c r="L2927" s="113" t="n"/>
      <c r="M2927" s="113" t="n"/>
      <c r="N2927" s="113" t="n"/>
      <c r="O2927" s="113" t="n"/>
      <c r="P2927" s="113" t="n"/>
      <c r="Q2927" s="113" t="n"/>
      <c r="R2927" s="113" t="n"/>
      <c r="S2927" s="113" t="n"/>
      <c r="T2927" s="113" t="n"/>
      <c r="U2927" s="113" t="n"/>
      <c r="V2927" s="113" t="n"/>
      <c r="W2927" s="113" t="n"/>
      <c r="X2927" s="113" t="n"/>
      <c r="Y2927" s="113" t="n"/>
      <c r="Z2927" s="117">
        <f>IF($B2927="",0,IF($S2927="EVET",IF($D2927="GELİR",$O2927,-$O2927),0))</f>
        <v/>
      </c>
      <c r="AA2927" s="117">
        <f>IF($B2927="",0,IF(OR($W2927="EVET",$X2927="EVET",$Y2927="EVET"),0,IF($D2927="GELİR",IF($E2927="SATIŞ İADESİ/İSKONTO",-$O2927,$O2927),-$O2927)))</f>
        <v/>
      </c>
      <c r="AB2927" s="117">
        <f>IF($B2927="","",IF(OR($D2927="",$E2927="",$O2927=""),"EKSİK",IF($O2927&lt;=0,"SIFIR/NEGATİF",IF(COUNTIFS($C$6:$C$5000,$C2927,$O$6:$O$5000,$O2927,$B$6:$B$5000,$B2927)&gt;1,"MÜKERRER","OK"))))</f>
        <v/>
      </c>
    </row>
    <row r="2928" ht="16.5" customHeight="1" s="80">
      <c r="A2928" s="113" t="n"/>
      <c r="B2928" s="113" t="n"/>
      <c r="C2928" s="113" t="n"/>
      <c r="D2928" s="113" t="n"/>
      <c r="E2928" s="113" t="n"/>
      <c r="F2928" s="113" t="n"/>
      <c r="G2928" s="113" t="n"/>
      <c r="H2928" s="113" t="n"/>
      <c r="I2928" s="113" t="n"/>
      <c r="J2928" s="113" t="n"/>
      <c r="K2928" s="113" t="n"/>
      <c r="L2928" s="113" t="n"/>
      <c r="M2928" s="113" t="n"/>
      <c r="N2928" s="113" t="n"/>
      <c r="O2928" s="113" t="n"/>
      <c r="P2928" s="113" t="n"/>
      <c r="Q2928" s="113" t="n"/>
      <c r="R2928" s="113" t="n"/>
      <c r="S2928" s="113" t="n"/>
      <c r="T2928" s="113" t="n"/>
      <c r="U2928" s="113" t="n"/>
      <c r="V2928" s="113" t="n"/>
      <c r="W2928" s="113" t="n"/>
      <c r="X2928" s="113" t="n"/>
      <c r="Y2928" s="113" t="n"/>
      <c r="Z2928" s="117">
        <f>IF($B2928="",0,IF($S2928="EVET",IF($D2928="GELİR",$O2928,-$O2928),0))</f>
        <v/>
      </c>
      <c r="AA2928" s="117">
        <f>IF($B2928="",0,IF(OR($W2928="EVET",$X2928="EVET",$Y2928="EVET"),0,IF($D2928="GELİR",IF($E2928="SATIŞ İADESİ/İSKONTO",-$O2928,$O2928),-$O2928)))</f>
        <v/>
      </c>
      <c r="AB2928" s="117">
        <f>IF($B2928="","",IF(OR($D2928="",$E2928="",$O2928=""),"EKSİK",IF($O2928&lt;=0,"SIFIR/NEGATİF",IF(COUNTIFS($C$6:$C$5000,$C2928,$O$6:$O$5000,$O2928,$B$6:$B$5000,$B2928)&gt;1,"MÜKERRER","OK"))))</f>
        <v/>
      </c>
    </row>
    <row r="2929" ht="16.5" customHeight="1" s="80">
      <c r="A2929" s="113" t="n"/>
      <c r="B2929" s="113" t="n"/>
      <c r="C2929" s="113" t="n"/>
      <c r="D2929" s="113" t="n"/>
      <c r="E2929" s="113" t="n"/>
      <c r="F2929" s="113" t="n"/>
      <c r="G2929" s="113" t="n"/>
      <c r="H2929" s="113" t="n"/>
      <c r="I2929" s="113" t="n"/>
      <c r="J2929" s="113" t="n"/>
      <c r="K2929" s="113" t="n"/>
      <c r="L2929" s="113" t="n"/>
      <c r="M2929" s="113" t="n"/>
      <c r="N2929" s="113" t="n"/>
      <c r="O2929" s="113" t="n"/>
      <c r="P2929" s="113" t="n"/>
      <c r="Q2929" s="113" t="n"/>
      <c r="R2929" s="113" t="n"/>
      <c r="S2929" s="113" t="n"/>
      <c r="T2929" s="113" t="n"/>
      <c r="U2929" s="113" t="n"/>
      <c r="V2929" s="113" t="n"/>
      <c r="W2929" s="113" t="n"/>
      <c r="X2929" s="113" t="n"/>
      <c r="Y2929" s="113" t="n"/>
      <c r="Z2929" s="117">
        <f>IF($B2929="",0,IF($S2929="EVET",IF($D2929="GELİR",$O2929,-$O2929),0))</f>
        <v/>
      </c>
      <c r="AA2929" s="117">
        <f>IF($B2929="",0,IF(OR($W2929="EVET",$X2929="EVET",$Y2929="EVET"),0,IF($D2929="GELİR",IF($E2929="SATIŞ İADESİ/İSKONTO",-$O2929,$O2929),-$O2929)))</f>
        <v/>
      </c>
      <c r="AB2929" s="117">
        <f>IF($B2929="","",IF(OR($D2929="",$E2929="",$O2929=""),"EKSİK",IF($O2929&lt;=0,"SIFIR/NEGATİF",IF(COUNTIFS($C$6:$C$5000,$C2929,$O$6:$O$5000,$O2929,$B$6:$B$5000,$B2929)&gt;1,"MÜKERRER","OK"))))</f>
        <v/>
      </c>
    </row>
    <row r="2930" ht="16.5" customHeight="1" s="80">
      <c r="A2930" s="113" t="n"/>
      <c r="B2930" s="113" t="n"/>
      <c r="C2930" s="113" t="n"/>
      <c r="D2930" s="113" t="n"/>
      <c r="E2930" s="113" t="n"/>
      <c r="F2930" s="113" t="n"/>
      <c r="G2930" s="113" t="n"/>
      <c r="H2930" s="113" t="n"/>
      <c r="I2930" s="113" t="n"/>
      <c r="J2930" s="113" t="n"/>
      <c r="K2930" s="113" t="n"/>
      <c r="L2930" s="113" t="n"/>
      <c r="M2930" s="113" t="n"/>
      <c r="N2930" s="113" t="n"/>
      <c r="O2930" s="113" t="n"/>
      <c r="P2930" s="113" t="n"/>
      <c r="Q2930" s="113" t="n"/>
      <c r="R2930" s="113" t="n"/>
      <c r="S2930" s="113" t="n"/>
      <c r="T2930" s="113" t="n"/>
      <c r="U2930" s="113" t="n"/>
      <c r="V2930" s="113" t="n"/>
      <c r="W2930" s="113" t="n"/>
      <c r="X2930" s="113" t="n"/>
      <c r="Y2930" s="113" t="n"/>
      <c r="Z2930" s="117">
        <f>IF($B2930="",0,IF($S2930="EVET",IF($D2930="GELİR",$O2930,-$O2930),0))</f>
        <v/>
      </c>
      <c r="AA2930" s="117">
        <f>IF($B2930="",0,IF(OR($W2930="EVET",$X2930="EVET",$Y2930="EVET"),0,IF($D2930="GELİR",IF($E2930="SATIŞ İADESİ/İSKONTO",-$O2930,$O2930),-$O2930)))</f>
        <v/>
      </c>
      <c r="AB2930" s="117">
        <f>IF($B2930="","",IF(OR($D2930="",$E2930="",$O2930=""),"EKSİK",IF($O2930&lt;=0,"SIFIR/NEGATİF",IF(COUNTIFS($C$6:$C$5000,$C2930,$O$6:$O$5000,$O2930,$B$6:$B$5000,$B2930)&gt;1,"MÜKERRER","OK"))))</f>
        <v/>
      </c>
    </row>
    <row r="2931" ht="16.5" customHeight="1" s="80">
      <c r="A2931" s="113" t="n"/>
      <c r="B2931" s="113" t="n"/>
      <c r="C2931" s="113" t="n"/>
      <c r="D2931" s="113" t="n"/>
      <c r="E2931" s="113" t="n"/>
      <c r="F2931" s="113" t="n"/>
      <c r="G2931" s="113" t="n"/>
      <c r="H2931" s="113" t="n"/>
      <c r="I2931" s="113" t="n"/>
      <c r="J2931" s="113" t="n"/>
      <c r="K2931" s="113" t="n"/>
      <c r="L2931" s="113" t="n"/>
      <c r="M2931" s="113" t="n"/>
      <c r="N2931" s="113" t="n"/>
      <c r="O2931" s="113" t="n"/>
      <c r="P2931" s="113" t="n"/>
      <c r="Q2931" s="113" t="n"/>
      <c r="R2931" s="113" t="n"/>
      <c r="S2931" s="113" t="n"/>
      <c r="T2931" s="113" t="n"/>
      <c r="U2931" s="113" t="n"/>
      <c r="V2931" s="113" t="n"/>
      <c r="W2931" s="113" t="n"/>
      <c r="X2931" s="113" t="n"/>
      <c r="Y2931" s="113" t="n"/>
      <c r="Z2931" s="117">
        <f>IF($B2931="",0,IF($S2931="EVET",IF($D2931="GELİR",$O2931,-$O2931),0))</f>
        <v/>
      </c>
      <c r="AA2931" s="117">
        <f>IF($B2931="",0,IF(OR($W2931="EVET",$X2931="EVET",$Y2931="EVET"),0,IF($D2931="GELİR",IF($E2931="SATIŞ İADESİ/İSKONTO",-$O2931,$O2931),-$O2931)))</f>
        <v/>
      </c>
      <c r="AB2931" s="117">
        <f>IF($B2931="","",IF(OR($D2931="",$E2931="",$O2931=""),"EKSİK",IF($O2931&lt;=0,"SIFIR/NEGATİF",IF(COUNTIFS($C$6:$C$5000,$C2931,$O$6:$O$5000,$O2931,$B$6:$B$5000,$B2931)&gt;1,"MÜKERRER","OK"))))</f>
        <v/>
      </c>
    </row>
    <row r="2932" ht="16.5" customHeight="1" s="80">
      <c r="A2932" s="113" t="n"/>
      <c r="B2932" s="113" t="n"/>
      <c r="C2932" s="113" t="n"/>
      <c r="D2932" s="113" t="n"/>
      <c r="E2932" s="113" t="n"/>
      <c r="F2932" s="113" t="n"/>
      <c r="G2932" s="113" t="n"/>
      <c r="H2932" s="113" t="n"/>
      <c r="I2932" s="113" t="n"/>
      <c r="J2932" s="113" t="n"/>
      <c r="K2932" s="113" t="n"/>
      <c r="L2932" s="113" t="n"/>
      <c r="M2932" s="113" t="n"/>
      <c r="N2932" s="113" t="n"/>
      <c r="O2932" s="113" t="n"/>
      <c r="P2932" s="113" t="n"/>
      <c r="Q2932" s="113" t="n"/>
      <c r="R2932" s="113" t="n"/>
      <c r="S2932" s="113" t="n"/>
      <c r="T2932" s="113" t="n"/>
      <c r="U2932" s="113" t="n"/>
      <c r="V2932" s="113" t="n"/>
      <c r="W2932" s="113" t="n"/>
      <c r="X2932" s="113" t="n"/>
      <c r="Y2932" s="113" t="n"/>
      <c r="Z2932" s="117">
        <f>IF($B2932="",0,IF($S2932="EVET",IF($D2932="GELİR",$O2932,-$O2932),0))</f>
        <v/>
      </c>
      <c r="AA2932" s="117">
        <f>IF($B2932="",0,IF(OR($W2932="EVET",$X2932="EVET",$Y2932="EVET"),0,IF($D2932="GELİR",IF($E2932="SATIŞ İADESİ/İSKONTO",-$O2932,$O2932),-$O2932)))</f>
        <v/>
      </c>
      <c r="AB2932" s="117">
        <f>IF($B2932="","",IF(OR($D2932="",$E2932="",$O2932=""),"EKSİK",IF($O2932&lt;=0,"SIFIR/NEGATİF",IF(COUNTIFS($C$6:$C$5000,$C2932,$O$6:$O$5000,$O2932,$B$6:$B$5000,$B2932)&gt;1,"MÜKERRER","OK"))))</f>
        <v/>
      </c>
    </row>
    <row r="2933" ht="16.5" customHeight="1" s="80">
      <c r="A2933" s="113" t="n"/>
      <c r="B2933" s="113" t="n"/>
      <c r="C2933" s="113" t="n"/>
      <c r="D2933" s="113" t="n"/>
      <c r="E2933" s="113" t="n"/>
      <c r="F2933" s="113" t="n"/>
      <c r="G2933" s="113" t="n"/>
      <c r="H2933" s="113" t="n"/>
      <c r="I2933" s="113" t="n"/>
      <c r="J2933" s="113" t="n"/>
      <c r="K2933" s="113" t="n"/>
      <c r="L2933" s="113" t="n"/>
      <c r="M2933" s="113" t="n"/>
      <c r="N2933" s="113" t="n"/>
      <c r="O2933" s="113" t="n"/>
      <c r="P2933" s="113" t="n"/>
      <c r="Q2933" s="113" t="n"/>
      <c r="R2933" s="113" t="n"/>
      <c r="S2933" s="113" t="n"/>
      <c r="T2933" s="113" t="n"/>
      <c r="U2933" s="113" t="n"/>
      <c r="V2933" s="113" t="n"/>
      <c r="W2933" s="113" t="n"/>
      <c r="X2933" s="113" t="n"/>
      <c r="Y2933" s="113" t="n"/>
      <c r="Z2933" s="117">
        <f>IF($B2933="",0,IF($S2933="EVET",IF($D2933="GELİR",$O2933,-$O2933),0))</f>
        <v/>
      </c>
      <c r="AA2933" s="117">
        <f>IF($B2933="",0,IF(OR($W2933="EVET",$X2933="EVET",$Y2933="EVET"),0,IF($D2933="GELİR",IF($E2933="SATIŞ İADESİ/İSKONTO",-$O2933,$O2933),-$O2933)))</f>
        <v/>
      </c>
      <c r="AB2933" s="117">
        <f>IF($B2933="","",IF(OR($D2933="",$E2933="",$O2933=""),"EKSİK",IF($O2933&lt;=0,"SIFIR/NEGATİF",IF(COUNTIFS($C$6:$C$5000,$C2933,$O$6:$O$5000,$O2933,$B$6:$B$5000,$B2933)&gt;1,"MÜKERRER","OK"))))</f>
        <v/>
      </c>
    </row>
    <row r="2934" ht="16.5" customHeight="1" s="80">
      <c r="A2934" s="113" t="n"/>
      <c r="B2934" s="113" t="n"/>
      <c r="C2934" s="113" t="n"/>
      <c r="D2934" s="113" t="n"/>
      <c r="E2934" s="113" t="n"/>
      <c r="F2934" s="113" t="n"/>
      <c r="G2934" s="113" t="n"/>
      <c r="H2934" s="113" t="n"/>
      <c r="I2934" s="113" t="n"/>
      <c r="J2934" s="113" t="n"/>
      <c r="K2934" s="113" t="n"/>
      <c r="L2934" s="113" t="n"/>
      <c r="M2934" s="113" t="n"/>
      <c r="N2934" s="113" t="n"/>
      <c r="O2934" s="113" t="n"/>
      <c r="P2934" s="113" t="n"/>
      <c r="Q2934" s="113" t="n"/>
      <c r="R2934" s="113" t="n"/>
      <c r="S2934" s="113" t="n"/>
      <c r="T2934" s="113" t="n"/>
      <c r="U2934" s="113" t="n"/>
      <c r="V2934" s="113" t="n"/>
      <c r="W2934" s="113" t="n"/>
      <c r="X2934" s="113" t="n"/>
      <c r="Y2934" s="113" t="n"/>
      <c r="Z2934" s="117">
        <f>IF($B2934="",0,IF($S2934="EVET",IF($D2934="GELİR",$O2934,-$O2934),0))</f>
        <v/>
      </c>
      <c r="AA2934" s="117">
        <f>IF($B2934="",0,IF(OR($W2934="EVET",$X2934="EVET",$Y2934="EVET"),0,IF($D2934="GELİR",IF($E2934="SATIŞ İADESİ/İSKONTO",-$O2934,$O2934),-$O2934)))</f>
        <v/>
      </c>
      <c r="AB2934" s="117">
        <f>IF($B2934="","",IF(OR($D2934="",$E2934="",$O2934=""),"EKSİK",IF($O2934&lt;=0,"SIFIR/NEGATİF",IF(COUNTIFS($C$6:$C$5000,$C2934,$O$6:$O$5000,$O2934,$B$6:$B$5000,$B2934)&gt;1,"MÜKERRER","OK"))))</f>
        <v/>
      </c>
    </row>
    <row r="2935" ht="16.5" customHeight="1" s="80">
      <c r="A2935" s="113" t="n"/>
      <c r="B2935" s="113" t="n"/>
      <c r="C2935" s="113" t="n"/>
      <c r="D2935" s="113" t="n"/>
      <c r="E2935" s="113" t="n"/>
      <c r="F2935" s="113" t="n"/>
      <c r="G2935" s="113" t="n"/>
      <c r="H2935" s="113" t="n"/>
      <c r="I2935" s="113" t="n"/>
      <c r="J2935" s="113" t="n"/>
      <c r="K2935" s="113" t="n"/>
      <c r="L2935" s="113" t="n"/>
      <c r="M2935" s="113" t="n"/>
      <c r="N2935" s="113" t="n"/>
      <c r="O2935" s="113" t="n"/>
      <c r="P2935" s="113" t="n"/>
      <c r="Q2935" s="113" t="n"/>
      <c r="R2935" s="113" t="n"/>
      <c r="S2935" s="113" t="n"/>
      <c r="T2935" s="113" t="n"/>
      <c r="U2935" s="113" t="n"/>
      <c r="V2935" s="113" t="n"/>
      <c r="W2935" s="113" t="n"/>
      <c r="X2935" s="113" t="n"/>
      <c r="Y2935" s="113" t="n"/>
      <c r="Z2935" s="117">
        <f>IF($B2935="",0,IF($S2935="EVET",IF($D2935="GELİR",$O2935,-$O2935),0))</f>
        <v/>
      </c>
      <c r="AA2935" s="117">
        <f>IF($B2935="",0,IF(OR($W2935="EVET",$X2935="EVET",$Y2935="EVET"),0,IF($D2935="GELİR",IF($E2935="SATIŞ İADESİ/İSKONTO",-$O2935,$O2935),-$O2935)))</f>
        <v/>
      </c>
      <c r="AB2935" s="117">
        <f>IF($B2935="","",IF(OR($D2935="",$E2935="",$O2935=""),"EKSİK",IF($O2935&lt;=0,"SIFIR/NEGATİF",IF(COUNTIFS($C$6:$C$5000,$C2935,$O$6:$O$5000,$O2935,$B$6:$B$5000,$B2935)&gt;1,"MÜKERRER","OK"))))</f>
        <v/>
      </c>
    </row>
    <row r="2936" ht="16.5" customHeight="1" s="80">
      <c r="A2936" s="113" t="n"/>
      <c r="B2936" s="113" t="n"/>
      <c r="C2936" s="113" t="n"/>
      <c r="D2936" s="113" t="n"/>
      <c r="E2936" s="113" t="n"/>
      <c r="F2936" s="113" t="n"/>
      <c r="G2936" s="113" t="n"/>
      <c r="H2936" s="113" t="n"/>
      <c r="I2936" s="113" t="n"/>
      <c r="J2936" s="113" t="n"/>
      <c r="K2936" s="113" t="n"/>
      <c r="L2936" s="113" t="n"/>
      <c r="M2936" s="113" t="n"/>
      <c r="N2936" s="113" t="n"/>
      <c r="O2936" s="113" t="n"/>
      <c r="P2936" s="113" t="n"/>
      <c r="Q2936" s="113" t="n"/>
      <c r="R2936" s="113" t="n"/>
      <c r="S2936" s="113" t="n"/>
      <c r="T2936" s="113" t="n"/>
      <c r="U2936" s="113" t="n"/>
      <c r="V2936" s="113" t="n"/>
      <c r="W2936" s="113" t="n"/>
      <c r="X2936" s="113" t="n"/>
      <c r="Y2936" s="113" t="n"/>
      <c r="Z2936" s="117">
        <f>IF($B2936="",0,IF($S2936="EVET",IF($D2936="GELİR",$O2936,-$O2936),0))</f>
        <v/>
      </c>
      <c r="AA2936" s="117">
        <f>IF($B2936="",0,IF(OR($W2936="EVET",$X2936="EVET",$Y2936="EVET"),0,IF($D2936="GELİR",IF($E2936="SATIŞ İADESİ/İSKONTO",-$O2936,$O2936),-$O2936)))</f>
        <v/>
      </c>
      <c r="AB2936" s="117">
        <f>IF($B2936="","",IF(OR($D2936="",$E2936="",$O2936=""),"EKSİK",IF($O2936&lt;=0,"SIFIR/NEGATİF",IF(COUNTIFS($C$6:$C$5000,$C2936,$O$6:$O$5000,$O2936,$B$6:$B$5000,$B2936)&gt;1,"MÜKERRER","OK"))))</f>
        <v/>
      </c>
    </row>
    <row r="2937" ht="16.5" customHeight="1" s="80">
      <c r="A2937" s="113" t="n"/>
      <c r="B2937" s="113" t="n"/>
      <c r="C2937" s="113" t="n"/>
      <c r="D2937" s="113" t="n"/>
      <c r="E2937" s="113" t="n"/>
      <c r="F2937" s="113" t="n"/>
      <c r="G2937" s="113" t="n"/>
      <c r="H2937" s="113" t="n"/>
      <c r="I2937" s="113" t="n"/>
      <c r="J2937" s="113" t="n"/>
      <c r="K2937" s="113" t="n"/>
      <c r="L2937" s="113" t="n"/>
      <c r="M2937" s="113" t="n"/>
      <c r="N2937" s="113" t="n"/>
      <c r="O2937" s="113" t="n"/>
      <c r="P2937" s="113" t="n"/>
      <c r="Q2937" s="113" t="n"/>
      <c r="R2937" s="113" t="n"/>
      <c r="S2937" s="113" t="n"/>
      <c r="T2937" s="113" t="n"/>
      <c r="U2937" s="113" t="n"/>
      <c r="V2937" s="113" t="n"/>
      <c r="W2937" s="113" t="n"/>
      <c r="X2937" s="113" t="n"/>
      <c r="Y2937" s="113" t="n"/>
      <c r="Z2937" s="117">
        <f>IF($B2937="",0,IF($S2937="EVET",IF($D2937="GELİR",$O2937,-$O2937),0))</f>
        <v/>
      </c>
      <c r="AA2937" s="117">
        <f>IF($B2937="",0,IF(OR($W2937="EVET",$X2937="EVET",$Y2937="EVET"),0,IF($D2937="GELİR",IF($E2937="SATIŞ İADESİ/İSKONTO",-$O2937,$O2937),-$O2937)))</f>
        <v/>
      </c>
      <c r="AB2937" s="117">
        <f>IF($B2937="","",IF(OR($D2937="",$E2937="",$O2937=""),"EKSİK",IF($O2937&lt;=0,"SIFIR/NEGATİF",IF(COUNTIFS($C$6:$C$5000,$C2937,$O$6:$O$5000,$O2937,$B$6:$B$5000,$B2937)&gt;1,"MÜKERRER","OK"))))</f>
        <v/>
      </c>
    </row>
    <row r="2938" ht="16.5" customHeight="1" s="80">
      <c r="A2938" s="113" t="n"/>
      <c r="B2938" s="113" t="n"/>
      <c r="C2938" s="113" t="n"/>
      <c r="D2938" s="113" t="n"/>
      <c r="E2938" s="113" t="n"/>
      <c r="F2938" s="113" t="n"/>
      <c r="G2938" s="113" t="n"/>
      <c r="H2938" s="113" t="n"/>
      <c r="I2938" s="113" t="n"/>
      <c r="J2938" s="113" t="n"/>
      <c r="K2938" s="113" t="n"/>
      <c r="L2938" s="113" t="n"/>
      <c r="M2938" s="113" t="n"/>
      <c r="N2938" s="113" t="n"/>
      <c r="O2938" s="113" t="n"/>
      <c r="P2938" s="113" t="n"/>
      <c r="Q2938" s="113" t="n"/>
      <c r="R2938" s="113" t="n"/>
      <c r="S2938" s="113" t="n"/>
      <c r="T2938" s="113" t="n"/>
      <c r="U2938" s="113" t="n"/>
      <c r="V2938" s="113" t="n"/>
      <c r="W2938" s="113" t="n"/>
      <c r="X2938" s="113" t="n"/>
      <c r="Y2938" s="113" t="n"/>
      <c r="Z2938" s="117">
        <f>IF($B2938="",0,IF($S2938="EVET",IF($D2938="GELİR",$O2938,-$O2938),0))</f>
        <v/>
      </c>
      <c r="AA2938" s="117">
        <f>IF($B2938="",0,IF(OR($W2938="EVET",$X2938="EVET",$Y2938="EVET"),0,IF($D2938="GELİR",IF($E2938="SATIŞ İADESİ/İSKONTO",-$O2938,$O2938),-$O2938)))</f>
        <v/>
      </c>
      <c r="AB2938" s="117">
        <f>IF($B2938="","",IF(OR($D2938="",$E2938="",$O2938=""),"EKSİK",IF($O2938&lt;=0,"SIFIR/NEGATİF",IF(COUNTIFS($C$6:$C$5000,$C2938,$O$6:$O$5000,$O2938,$B$6:$B$5000,$B2938)&gt;1,"MÜKERRER","OK"))))</f>
        <v/>
      </c>
    </row>
    <row r="2939" ht="16.5" customHeight="1" s="80">
      <c r="A2939" s="113" t="n"/>
      <c r="B2939" s="113" t="n"/>
      <c r="C2939" s="113" t="n"/>
      <c r="D2939" s="113" t="n"/>
      <c r="E2939" s="113" t="n"/>
      <c r="F2939" s="113" t="n"/>
      <c r="G2939" s="113" t="n"/>
      <c r="H2939" s="113" t="n"/>
      <c r="I2939" s="113" t="n"/>
      <c r="J2939" s="113" t="n"/>
      <c r="K2939" s="113" t="n"/>
      <c r="L2939" s="113" t="n"/>
      <c r="M2939" s="113" t="n"/>
      <c r="N2939" s="113" t="n"/>
      <c r="O2939" s="113" t="n"/>
      <c r="P2939" s="113" t="n"/>
      <c r="Q2939" s="113" t="n"/>
      <c r="R2939" s="113" t="n"/>
      <c r="S2939" s="113" t="n"/>
      <c r="T2939" s="113" t="n"/>
      <c r="U2939" s="113" t="n"/>
      <c r="V2939" s="113" t="n"/>
      <c r="W2939" s="113" t="n"/>
      <c r="X2939" s="113" t="n"/>
      <c r="Y2939" s="113" t="n"/>
      <c r="Z2939" s="117">
        <f>IF($B2939="",0,IF($S2939="EVET",IF($D2939="GELİR",$O2939,-$O2939),0))</f>
        <v/>
      </c>
      <c r="AA2939" s="117">
        <f>IF($B2939="",0,IF(OR($W2939="EVET",$X2939="EVET",$Y2939="EVET"),0,IF($D2939="GELİR",IF($E2939="SATIŞ İADESİ/İSKONTO",-$O2939,$O2939),-$O2939)))</f>
        <v/>
      </c>
      <c r="AB2939" s="117">
        <f>IF($B2939="","",IF(OR($D2939="",$E2939="",$O2939=""),"EKSİK",IF($O2939&lt;=0,"SIFIR/NEGATİF",IF(COUNTIFS($C$6:$C$5000,$C2939,$O$6:$O$5000,$O2939,$B$6:$B$5000,$B2939)&gt;1,"MÜKERRER","OK"))))</f>
        <v/>
      </c>
    </row>
    <row r="2940" ht="16.5" customHeight="1" s="80">
      <c r="A2940" s="113" t="n"/>
      <c r="B2940" s="113" t="n"/>
      <c r="C2940" s="113" t="n"/>
      <c r="D2940" s="113" t="n"/>
      <c r="E2940" s="113" t="n"/>
      <c r="F2940" s="113" t="n"/>
      <c r="G2940" s="113" t="n"/>
      <c r="H2940" s="113" t="n"/>
      <c r="I2940" s="113" t="n"/>
      <c r="J2940" s="113" t="n"/>
      <c r="K2940" s="113" t="n"/>
      <c r="L2940" s="113" t="n"/>
      <c r="M2940" s="113" t="n"/>
      <c r="N2940" s="113" t="n"/>
      <c r="O2940" s="113" t="n"/>
      <c r="P2940" s="113" t="n"/>
      <c r="Q2940" s="113" t="n"/>
      <c r="R2940" s="113" t="n"/>
      <c r="S2940" s="113" t="n"/>
      <c r="T2940" s="113" t="n"/>
      <c r="U2940" s="113" t="n"/>
      <c r="V2940" s="113" t="n"/>
      <c r="W2940" s="113" t="n"/>
      <c r="X2940" s="113" t="n"/>
      <c r="Y2940" s="113" t="n"/>
      <c r="Z2940" s="117">
        <f>IF($B2940="",0,IF($S2940="EVET",IF($D2940="GELİR",$O2940,-$O2940),0))</f>
        <v/>
      </c>
      <c r="AA2940" s="117">
        <f>IF($B2940="",0,IF(OR($W2940="EVET",$X2940="EVET",$Y2940="EVET"),0,IF($D2940="GELİR",IF($E2940="SATIŞ İADESİ/İSKONTO",-$O2940,$O2940),-$O2940)))</f>
        <v/>
      </c>
      <c r="AB2940" s="117">
        <f>IF($B2940="","",IF(OR($D2940="",$E2940="",$O2940=""),"EKSİK",IF($O2940&lt;=0,"SIFIR/NEGATİF",IF(COUNTIFS($C$6:$C$5000,$C2940,$O$6:$O$5000,$O2940,$B$6:$B$5000,$B2940)&gt;1,"MÜKERRER","OK"))))</f>
        <v/>
      </c>
    </row>
    <row r="2941" ht="16.5" customHeight="1" s="80">
      <c r="A2941" s="113" t="n"/>
      <c r="B2941" s="113" t="n"/>
      <c r="C2941" s="113" t="n"/>
      <c r="D2941" s="113" t="n"/>
      <c r="E2941" s="113" t="n"/>
      <c r="F2941" s="113" t="n"/>
      <c r="G2941" s="113" t="n"/>
      <c r="H2941" s="113" t="n"/>
      <c r="I2941" s="113" t="n"/>
      <c r="J2941" s="113" t="n"/>
      <c r="K2941" s="113" t="n"/>
      <c r="L2941" s="113" t="n"/>
      <c r="M2941" s="113" t="n"/>
      <c r="N2941" s="113" t="n"/>
      <c r="O2941" s="113" t="n"/>
      <c r="P2941" s="113" t="n"/>
      <c r="Q2941" s="113" t="n"/>
      <c r="R2941" s="113" t="n"/>
      <c r="S2941" s="113" t="n"/>
      <c r="T2941" s="113" t="n"/>
      <c r="U2941" s="113" t="n"/>
      <c r="V2941" s="113" t="n"/>
      <c r="W2941" s="113" t="n"/>
      <c r="X2941" s="113" t="n"/>
      <c r="Y2941" s="113" t="n"/>
      <c r="Z2941" s="117">
        <f>IF($B2941="",0,IF($S2941="EVET",IF($D2941="GELİR",$O2941,-$O2941),0))</f>
        <v/>
      </c>
      <c r="AA2941" s="117">
        <f>IF($B2941="",0,IF(OR($W2941="EVET",$X2941="EVET",$Y2941="EVET"),0,IF($D2941="GELİR",IF($E2941="SATIŞ İADESİ/İSKONTO",-$O2941,$O2941),-$O2941)))</f>
        <v/>
      </c>
      <c r="AB2941" s="117">
        <f>IF($B2941="","",IF(OR($D2941="",$E2941="",$O2941=""),"EKSİK",IF($O2941&lt;=0,"SIFIR/NEGATİF",IF(COUNTIFS($C$6:$C$5000,$C2941,$O$6:$O$5000,$O2941,$B$6:$B$5000,$B2941)&gt;1,"MÜKERRER","OK"))))</f>
        <v/>
      </c>
    </row>
    <row r="2942" ht="16.5" customHeight="1" s="80">
      <c r="A2942" s="113" t="n"/>
      <c r="B2942" s="113" t="n"/>
      <c r="C2942" s="113" t="n"/>
      <c r="D2942" s="113" t="n"/>
      <c r="E2942" s="113" t="n"/>
      <c r="F2942" s="113" t="n"/>
      <c r="G2942" s="113" t="n"/>
      <c r="H2942" s="113" t="n"/>
      <c r="I2942" s="113" t="n"/>
      <c r="J2942" s="113" t="n"/>
      <c r="K2942" s="113" t="n"/>
      <c r="L2942" s="113" t="n"/>
      <c r="M2942" s="113" t="n"/>
      <c r="N2942" s="113" t="n"/>
      <c r="O2942" s="113" t="n"/>
      <c r="P2942" s="113" t="n"/>
      <c r="Q2942" s="113" t="n"/>
      <c r="R2942" s="113" t="n"/>
      <c r="S2942" s="113" t="n"/>
      <c r="T2942" s="113" t="n"/>
      <c r="U2942" s="113" t="n"/>
      <c r="V2942" s="113" t="n"/>
      <c r="W2942" s="113" t="n"/>
      <c r="X2942" s="113" t="n"/>
      <c r="Y2942" s="113" t="n"/>
      <c r="Z2942" s="117">
        <f>IF($B2942="",0,IF($S2942="EVET",IF($D2942="GELİR",$O2942,-$O2942),0))</f>
        <v/>
      </c>
      <c r="AA2942" s="117">
        <f>IF($B2942="",0,IF(OR($W2942="EVET",$X2942="EVET",$Y2942="EVET"),0,IF($D2942="GELİR",IF($E2942="SATIŞ İADESİ/İSKONTO",-$O2942,$O2942),-$O2942)))</f>
        <v/>
      </c>
      <c r="AB2942" s="117">
        <f>IF($B2942="","",IF(OR($D2942="",$E2942="",$O2942=""),"EKSİK",IF($O2942&lt;=0,"SIFIR/NEGATİF",IF(COUNTIFS($C$6:$C$5000,$C2942,$O$6:$O$5000,$O2942,$B$6:$B$5000,$B2942)&gt;1,"MÜKERRER","OK"))))</f>
        <v/>
      </c>
    </row>
    <row r="2943" ht="16.5" customHeight="1" s="80">
      <c r="A2943" s="113" t="n"/>
      <c r="B2943" s="113" t="n"/>
      <c r="C2943" s="113" t="n"/>
      <c r="D2943" s="113" t="n"/>
      <c r="E2943" s="113" t="n"/>
      <c r="F2943" s="113" t="n"/>
      <c r="G2943" s="113" t="n"/>
      <c r="H2943" s="113" t="n"/>
      <c r="I2943" s="113" t="n"/>
      <c r="J2943" s="113" t="n"/>
      <c r="K2943" s="113" t="n"/>
      <c r="L2943" s="113" t="n"/>
      <c r="M2943" s="113" t="n"/>
      <c r="N2943" s="113" t="n"/>
      <c r="O2943" s="113" t="n"/>
      <c r="P2943" s="113" t="n"/>
      <c r="Q2943" s="113" t="n"/>
      <c r="R2943" s="113" t="n"/>
      <c r="S2943" s="113" t="n"/>
      <c r="T2943" s="113" t="n"/>
      <c r="U2943" s="113" t="n"/>
      <c r="V2943" s="113" t="n"/>
      <c r="W2943" s="113" t="n"/>
      <c r="X2943" s="113" t="n"/>
      <c r="Y2943" s="113" t="n"/>
      <c r="Z2943" s="117">
        <f>IF($B2943="",0,IF($S2943="EVET",IF($D2943="GELİR",$O2943,-$O2943),0))</f>
        <v/>
      </c>
      <c r="AA2943" s="117">
        <f>IF($B2943="",0,IF(OR($W2943="EVET",$X2943="EVET",$Y2943="EVET"),0,IF($D2943="GELİR",IF($E2943="SATIŞ İADESİ/İSKONTO",-$O2943,$O2943),-$O2943)))</f>
        <v/>
      </c>
      <c r="AB2943" s="117">
        <f>IF($B2943="","",IF(OR($D2943="",$E2943="",$O2943=""),"EKSİK",IF($O2943&lt;=0,"SIFIR/NEGATİF",IF(COUNTIFS($C$6:$C$5000,$C2943,$O$6:$O$5000,$O2943,$B$6:$B$5000,$B2943)&gt;1,"MÜKERRER","OK"))))</f>
        <v/>
      </c>
    </row>
    <row r="2944" ht="16.5" customHeight="1" s="80">
      <c r="A2944" s="113" t="n"/>
      <c r="B2944" s="113" t="n"/>
      <c r="C2944" s="113" t="n"/>
      <c r="D2944" s="113" t="n"/>
      <c r="E2944" s="113" t="n"/>
      <c r="F2944" s="113" t="n"/>
      <c r="G2944" s="113" t="n"/>
      <c r="H2944" s="113" t="n"/>
      <c r="I2944" s="113" t="n"/>
      <c r="J2944" s="113" t="n"/>
      <c r="K2944" s="113" t="n"/>
      <c r="L2944" s="113" t="n"/>
      <c r="M2944" s="113" t="n"/>
      <c r="N2944" s="113" t="n"/>
      <c r="O2944" s="113" t="n"/>
      <c r="P2944" s="113" t="n"/>
      <c r="Q2944" s="113" t="n"/>
      <c r="R2944" s="113" t="n"/>
      <c r="S2944" s="113" t="n"/>
      <c r="T2944" s="113" t="n"/>
      <c r="U2944" s="113" t="n"/>
      <c r="V2944" s="113" t="n"/>
      <c r="W2944" s="113" t="n"/>
      <c r="X2944" s="113" t="n"/>
      <c r="Y2944" s="113" t="n"/>
      <c r="Z2944" s="117">
        <f>IF($B2944="",0,IF($S2944="EVET",IF($D2944="GELİR",$O2944,-$O2944),0))</f>
        <v/>
      </c>
      <c r="AA2944" s="117">
        <f>IF($B2944="",0,IF(OR($W2944="EVET",$X2944="EVET",$Y2944="EVET"),0,IF($D2944="GELİR",IF($E2944="SATIŞ İADESİ/İSKONTO",-$O2944,$O2944),-$O2944)))</f>
        <v/>
      </c>
      <c r="AB2944" s="117">
        <f>IF($B2944="","",IF(OR($D2944="",$E2944="",$O2944=""),"EKSİK",IF($O2944&lt;=0,"SIFIR/NEGATİF",IF(COUNTIFS($C$6:$C$5000,$C2944,$O$6:$O$5000,$O2944,$B$6:$B$5000,$B2944)&gt;1,"MÜKERRER","OK"))))</f>
        <v/>
      </c>
    </row>
    <row r="2945" ht="16.5" customHeight="1" s="80">
      <c r="A2945" s="113" t="n"/>
      <c r="B2945" s="113" t="n"/>
      <c r="C2945" s="113" t="n"/>
      <c r="D2945" s="113" t="n"/>
      <c r="E2945" s="113" t="n"/>
      <c r="F2945" s="113" t="n"/>
      <c r="G2945" s="113" t="n"/>
      <c r="H2945" s="113" t="n"/>
      <c r="I2945" s="113" t="n"/>
      <c r="J2945" s="113" t="n"/>
      <c r="K2945" s="113" t="n"/>
      <c r="L2945" s="113" t="n"/>
      <c r="M2945" s="113" t="n"/>
      <c r="N2945" s="113" t="n"/>
      <c r="O2945" s="113" t="n"/>
      <c r="P2945" s="113" t="n"/>
      <c r="Q2945" s="113" t="n"/>
      <c r="R2945" s="113" t="n"/>
      <c r="S2945" s="113" t="n"/>
      <c r="T2945" s="113" t="n"/>
      <c r="U2945" s="113" t="n"/>
      <c r="V2945" s="113" t="n"/>
      <c r="W2945" s="113" t="n"/>
      <c r="X2945" s="113" t="n"/>
      <c r="Y2945" s="113" t="n"/>
      <c r="Z2945" s="117">
        <f>IF($B2945="",0,IF($S2945="EVET",IF($D2945="GELİR",$O2945,-$O2945),0))</f>
        <v/>
      </c>
      <c r="AA2945" s="117">
        <f>IF($B2945="",0,IF(OR($W2945="EVET",$X2945="EVET",$Y2945="EVET"),0,IF($D2945="GELİR",IF($E2945="SATIŞ İADESİ/İSKONTO",-$O2945,$O2945),-$O2945)))</f>
        <v/>
      </c>
      <c r="AB2945" s="117">
        <f>IF($B2945="","",IF(OR($D2945="",$E2945="",$O2945=""),"EKSİK",IF($O2945&lt;=0,"SIFIR/NEGATİF",IF(COUNTIFS($C$6:$C$5000,$C2945,$O$6:$O$5000,$O2945,$B$6:$B$5000,$B2945)&gt;1,"MÜKERRER","OK"))))</f>
        <v/>
      </c>
    </row>
    <row r="2946" ht="16.5" customHeight="1" s="80">
      <c r="A2946" s="113" t="n"/>
      <c r="B2946" s="113" t="n"/>
      <c r="C2946" s="113" t="n"/>
      <c r="D2946" s="113" t="n"/>
      <c r="E2946" s="113" t="n"/>
      <c r="F2946" s="113" t="n"/>
      <c r="G2946" s="113" t="n"/>
      <c r="H2946" s="113" t="n"/>
      <c r="I2946" s="113" t="n"/>
      <c r="J2946" s="113" t="n"/>
      <c r="K2946" s="113" t="n"/>
      <c r="L2946" s="113" t="n"/>
      <c r="M2946" s="113" t="n"/>
      <c r="N2946" s="113" t="n"/>
      <c r="O2946" s="113" t="n"/>
      <c r="P2946" s="113" t="n"/>
      <c r="Q2946" s="113" t="n"/>
      <c r="R2946" s="113" t="n"/>
      <c r="S2946" s="113" t="n"/>
      <c r="T2946" s="113" t="n"/>
      <c r="U2946" s="113" t="n"/>
      <c r="V2946" s="113" t="n"/>
      <c r="W2946" s="113" t="n"/>
      <c r="X2946" s="113" t="n"/>
      <c r="Y2946" s="113" t="n"/>
      <c r="Z2946" s="117">
        <f>IF($B2946="",0,IF($S2946="EVET",IF($D2946="GELİR",$O2946,-$O2946),0))</f>
        <v/>
      </c>
      <c r="AA2946" s="117">
        <f>IF($B2946="",0,IF(OR($W2946="EVET",$X2946="EVET",$Y2946="EVET"),0,IF($D2946="GELİR",IF($E2946="SATIŞ İADESİ/İSKONTO",-$O2946,$O2946),-$O2946)))</f>
        <v/>
      </c>
      <c r="AB2946" s="117">
        <f>IF($B2946="","",IF(OR($D2946="",$E2946="",$O2946=""),"EKSİK",IF($O2946&lt;=0,"SIFIR/NEGATİF",IF(COUNTIFS($C$6:$C$5000,$C2946,$O$6:$O$5000,$O2946,$B$6:$B$5000,$B2946)&gt;1,"MÜKERRER","OK"))))</f>
        <v/>
      </c>
    </row>
    <row r="2947" ht="16.5" customHeight="1" s="80">
      <c r="A2947" s="113" t="n"/>
      <c r="B2947" s="113" t="n"/>
      <c r="C2947" s="113" t="n"/>
      <c r="D2947" s="113" t="n"/>
      <c r="E2947" s="113" t="n"/>
      <c r="F2947" s="113" t="n"/>
      <c r="G2947" s="113" t="n"/>
      <c r="H2947" s="113" t="n"/>
      <c r="I2947" s="113" t="n"/>
      <c r="J2947" s="113" t="n"/>
      <c r="K2947" s="113" t="n"/>
      <c r="L2947" s="113" t="n"/>
      <c r="M2947" s="113" t="n"/>
      <c r="N2947" s="113" t="n"/>
      <c r="O2947" s="113" t="n"/>
      <c r="P2947" s="113" t="n"/>
      <c r="Q2947" s="113" t="n"/>
      <c r="R2947" s="113" t="n"/>
      <c r="S2947" s="113" t="n"/>
      <c r="T2947" s="113" t="n"/>
      <c r="U2947" s="113" t="n"/>
      <c r="V2947" s="113" t="n"/>
      <c r="W2947" s="113" t="n"/>
      <c r="X2947" s="113" t="n"/>
      <c r="Y2947" s="113" t="n"/>
      <c r="Z2947" s="117">
        <f>IF($B2947="",0,IF($S2947="EVET",IF($D2947="GELİR",$O2947,-$O2947),0))</f>
        <v/>
      </c>
      <c r="AA2947" s="117">
        <f>IF($B2947="",0,IF(OR($W2947="EVET",$X2947="EVET",$Y2947="EVET"),0,IF($D2947="GELİR",IF($E2947="SATIŞ İADESİ/İSKONTO",-$O2947,$O2947),-$O2947)))</f>
        <v/>
      </c>
      <c r="AB2947" s="117">
        <f>IF($B2947="","",IF(OR($D2947="",$E2947="",$O2947=""),"EKSİK",IF($O2947&lt;=0,"SIFIR/NEGATİF",IF(COUNTIFS($C$6:$C$5000,$C2947,$O$6:$O$5000,$O2947,$B$6:$B$5000,$B2947)&gt;1,"MÜKERRER","OK"))))</f>
        <v/>
      </c>
    </row>
    <row r="2948" ht="16.5" customHeight="1" s="80">
      <c r="A2948" s="113" t="n"/>
      <c r="B2948" s="113" t="n"/>
      <c r="C2948" s="113" t="n"/>
      <c r="D2948" s="113" t="n"/>
      <c r="E2948" s="113" t="n"/>
      <c r="F2948" s="113" t="n"/>
      <c r="G2948" s="113" t="n"/>
      <c r="H2948" s="113" t="n"/>
      <c r="I2948" s="113" t="n"/>
      <c r="J2948" s="113" t="n"/>
      <c r="K2948" s="113" t="n"/>
      <c r="L2948" s="113" t="n"/>
      <c r="M2948" s="113" t="n"/>
      <c r="N2948" s="113" t="n"/>
      <c r="O2948" s="113" t="n"/>
      <c r="P2948" s="113" t="n"/>
      <c r="Q2948" s="113" t="n"/>
      <c r="R2948" s="113" t="n"/>
      <c r="S2948" s="113" t="n"/>
      <c r="T2948" s="113" t="n"/>
      <c r="U2948" s="113" t="n"/>
      <c r="V2948" s="113" t="n"/>
      <c r="W2948" s="113" t="n"/>
      <c r="X2948" s="113" t="n"/>
      <c r="Y2948" s="113" t="n"/>
      <c r="Z2948" s="117">
        <f>IF($B2948="",0,IF($S2948="EVET",IF($D2948="GELİR",$O2948,-$O2948),0))</f>
        <v/>
      </c>
      <c r="AA2948" s="117">
        <f>IF($B2948="",0,IF(OR($W2948="EVET",$X2948="EVET",$Y2948="EVET"),0,IF($D2948="GELİR",IF($E2948="SATIŞ İADESİ/İSKONTO",-$O2948,$O2948),-$O2948)))</f>
        <v/>
      </c>
      <c r="AB2948" s="117">
        <f>IF($B2948="","",IF(OR($D2948="",$E2948="",$O2948=""),"EKSİK",IF($O2948&lt;=0,"SIFIR/NEGATİF",IF(COUNTIFS($C$6:$C$5000,$C2948,$O$6:$O$5000,$O2948,$B$6:$B$5000,$B2948)&gt;1,"MÜKERRER","OK"))))</f>
        <v/>
      </c>
    </row>
    <row r="2949" ht="16.5" customHeight="1" s="80">
      <c r="A2949" s="113" t="n"/>
      <c r="B2949" s="113" t="n"/>
      <c r="C2949" s="113" t="n"/>
      <c r="D2949" s="113" t="n"/>
      <c r="E2949" s="113" t="n"/>
      <c r="F2949" s="113" t="n"/>
      <c r="G2949" s="113" t="n"/>
      <c r="H2949" s="113" t="n"/>
      <c r="I2949" s="113" t="n"/>
      <c r="J2949" s="113" t="n"/>
      <c r="K2949" s="113" t="n"/>
      <c r="L2949" s="113" t="n"/>
      <c r="M2949" s="113" t="n"/>
      <c r="N2949" s="113" t="n"/>
      <c r="O2949" s="113" t="n"/>
      <c r="P2949" s="113" t="n"/>
      <c r="Q2949" s="113" t="n"/>
      <c r="R2949" s="113" t="n"/>
      <c r="S2949" s="113" t="n"/>
      <c r="T2949" s="113" t="n"/>
      <c r="U2949" s="113" t="n"/>
      <c r="V2949" s="113" t="n"/>
      <c r="W2949" s="113" t="n"/>
      <c r="X2949" s="113" t="n"/>
      <c r="Y2949" s="113" t="n"/>
      <c r="Z2949" s="117">
        <f>IF($B2949="",0,IF($S2949="EVET",IF($D2949="GELİR",$O2949,-$O2949),0))</f>
        <v/>
      </c>
      <c r="AA2949" s="117">
        <f>IF($B2949="",0,IF(OR($W2949="EVET",$X2949="EVET",$Y2949="EVET"),0,IF($D2949="GELİR",IF($E2949="SATIŞ İADESİ/İSKONTO",-$O2949,$O2949),-$O2949)))</f>
        <v/>
      </c>
      <c r="AB2949" s="117">
        <f>IF($B2949="","",IF(OR($D2949="",$E2949="",$O2949=""),"EKSİK",IF($O2949&lt;=0,"SIFIR/NEGATİF",IF(COUNTIFS($C$6:$C$5000,$C2949,$O$6:$O$5000,$O2949,$B$6:$B$5000,$B2949)&gt;1,"MÜKERRER","OK"))))</f>
        <v/>
      </c>
    </row>
    <row r="2950" ht="16.5" customHeight="1" s="80">
      <c r="A2950" s="113" t="n"/>
      <c r="B2950" s="113" t="n"/>
      <c r="C2950" s="113" t="n"/>
      <c r="D2950" s="113" t="n"/>
      <c r="E2950" s="113" t="n"/>
      <c r="F2950" s="113" t="n"/>
      <c r="G2950" s="113" t="n"/>
      <c r="H2950" s="113" t="n"/>
      <c r="I2950" s="113" t="n"/>
      <c r="J2950" s="113" t="n"/>
      <c r="K2950" s="113" t="n"/>
      <c r="L2950" s="113" t="n"/>
      <c r="M2950" s="113" t="n"/>
      <c r="N2950" s="113" t="n"/>
      <c r="O2950" s="113" t="n"/>
      <c r="P2950" s="113" t="n"/>
      <c r="Q2950" s="113" t="n"/>
      <c r="R2950" s="113" t="n"/>
      <c r="S2950" s="113" t="n"/>
      <c r="T2950" s="113" t="n"/>
      <c r="U2950" s="113" t="n"/>
      <c r="V2950" s="113" t="n"/>
      <c r="W2950" s="113" t="n"/>
      <c r="X2950" s="113" t="n"/>
      <c r="Y2950" s="113" t="n"/>
      <c r="Z2950" s="117">
        <f>IF($B2950="",0,IF($S2950="EVET",IF($D2950="GELİR",$O2950,-$O2950),0))</f>
        <v/>
      </c>
      <c r="AA2950" s="117">
        <f>IF($B2950="",0,IF(OR($W2950="EVET",$X2950="EVET",$Y2950="EVET"),0,IF($D2950="GELİR",IF($E2950="SATIŞ İADESİ/İSKONTO",-$O2950,$O2950),-$O2950)))</f>
        <v/>
      </c>
      <c r="AB2950" s="117">
        <f>IF($B2950="","",IF(OR($D2950="",$E2950="",$O2950=""),"EKSİK",IF($O2950&lt;=0,"SIFIR/NEGATİF",IF(COUNTIFS($C$6:$C$5000,$C2950,$O$6:$O$5000,$O2950,$B$6:$B$5000,$B2950)&gt;1,"MÜKERRER","OK"))))</f>
        <v/>
      </c>
    </row>
    <row r="2951" ht="16.5" customHeight="1" s="80">
      <c r="A2951" s="113" t="n"/>
      <c r="B2951" s="113" t="n"/>
      <c r="C2951" s="113" t="n"/>
      <c r="D2951" s="113" t="n"/>
      <c r="E2951" s="113" t="n"/>
      <c r="F2951" s="113" t="n"/>
      <c r="G2951" s="113" t="n"/>
      <c r="H2951" s="113" t="n"/>
      <c r="I2951" s="113" t="n"/>
      <c r="J2951" s="113" t="n"/>
      <c r="K2951" s="113" t="n"/>
      <c r="L2951" s="113" t="n"/>
      <c r="M2951" s="113" t="n"/>
      <c r="N2951" s="113" t="n"/>
      <c r="O2951" s="113" t="n"/>
      <c r="P2951" s="113" t="n"/>
      <c r="Q2951" s="113" t="n"/>
      <c r="R2951" s="113" t="n"/>
      <c r="S2951" s="113" t="n"/>
      <c r="T2951" s="113" t="n"/>
      <c r="U2951" s="113" t="n"/>
      <c r="V2951" s="113" t="n"/>
      <c r="W2951" s="113" t="n"/>
      <c r="X2951" s="113" t="n"/>
      <c r="Y2951" s="113" t="n"/>
      <c r="Z2951" s="117">
        <f>IF($B2951="",0,IF($S2951="EVET",IF($D2951="GELİR",$O2951,-$O2951),0))</f>
        <v/>
      </c>
      <c r="AA2951" s="117">
        <f>IF($B2951="",0,IF(OR($W2951="EVET",$X2951="EVET",$Y2951="EVET"),0,IF($D2951="GELİR",IF($E2951="SATIŞ İADESİ/İSKONTO",-$O2951,$O2951),-$O2951)))</f>
        <v/>
      </c>
      <c r="AB2951" s="117">
        <f>IF($B2951="","",IF(OR($D2951="",$E2951="",$O2951=""),"EKSİK",IF($O2951&lt;=0,"SIFIR/NEGATİF",IF(COUNTIFS($C$6:$C$5000,$C2951,$O$6:$O$5000,$O2951,$B$6:$B$5000,$B2951)&gt;1,"MÜKERRER","OK"))))</f>
        <v/>
      </c>
    </row>
    <row r="2952" ht="16.5" customHeight="1" s="80">
      <c r="A2952" s="113" t="n"/>
      <c r="B2952" s="113" t="n"/>
      <c r="C2952" s="113" t="n"/>
      <c r="D2952" s="113" t="n"/>
      <c r="E2952" s="113" t="n"/>
      <c r="F2952" s="113" t="n"/>
      <c r="G2952" s="113" t="n"/>
      <c r="H2952" s="113" t="n"/>
      <c r="I2952" s="113" t="n"/>
      <c r="J2952" s="113" t="n"/>
      <c r="K2952" s="113" t="n"/>
      <c r="L2952" s="113" t="n"/>
      <c r="M2952" s="113" t="n"/>
      <c r="N2952" s="113" t="n"/>
      <c r="O2952" s="113" t="n"/>
      <c r="P2952" s="113" t="n"/>
      <c r="Q2952" s="113" t="n"/>
      <c r="R2952" s="113" t="n"/>
      <c r="S2952" s="113" t="n"/>
      <c r="T2952" s="113" t="n"/>
      <c r="U2952" s="113" t="n"/>
      <c r="V2952" s="113" t="n"/>
      <c r="W2952" s="113" t="n"/>
      <c r="X2952" s="113" t="n"/>
      <c r="Y2952" s="113" t="n"/>
      <c r="Z2952" s="117">
        <f>IF($B2952="",0,IF($S2952="EVET",IF($D2952="GELİR",$O2952,-$O2952),0))</f>
        <v/>
      </c>
      <c r="AA2952" s="117">
        <f>IF($B2952="",0,IF(OR($W2952="EVET",$X2952="EVET",$Y2952="EVET"),0,IF($D2952="GELİR",IF($E2952="SATIŞ İADESİ/İSKONTO",-$O2952,$O2952),-$O2952)))</f>
        <v/>
      </c>
      <c r="AB2952" s="117">
        <f>IF($B2952="","",IF(OR($D2952="",$E2952="",$O2952=""),"EKSİK",IF($O2952&lt;=0,"SIFIR/NEGATİF",IF(COUNTIFS($C$6:$C$5000,$C2952,$O$6:$O$5000,$O2952,$B$6:$B$5000,$B2952)&gt;1,"MÜKERRER","OK"))))</f>
        <v/>
      </c>
    </row>
    <row r="2953" ht="16.5" customHeight="1" s="80">
      <c r="A2953" s="113" t="n"/>
      <c r="B2953" s="113" t="n"/>
      <c r="C2953" s="113" t="n"/>
      <c r="D2953" s="113" t="n"/>
      <c r="E2953" s="113" t="n"/>
      <c r="F2953" s="113" t="n"/>
      <c r="G2953" s="113" t="n"/>
      <c r="H2953" s="113" t="n"/>
      <c r="I2953" s="113" t="n"/>
      <c r="J2953" s="113" t="n"/>
      <c r="K2953" s="113" t="n"/>
      <c r="L2953" s="113" t="n"/>
      <c r="M2953" s="113" t="n"/>
      <c r="N2953" s="113" t="n"/>
      <c r="O2953" s="113" t="n"/>
      <c r="P2953" s="113" t="n"/>
      <c r="Q2953" s="113" t="n"/>
      <c r="R2953" s="113" t="n"/>
      <c r="S2953" s="113" t="n"/>
      <c r="T2953" s="113" t="n"/>
      <c r="U2953" s="113" t="n"/>
      <c r="V2953" s="113" t="n"/>
      <c r="W2953" s="113" t="n"/>
      <c r="X2953" s="113" t="n"/>
      <c r="Y2953" s="113" t="n"/>
      <c r="Z2953" s="117">
        <f>IF($B2953="",0,IF($S2953="EVET",IF($D2953="GELİR",$O2953,-$O2953),0))</f>
        <v/>
      </c>
      <c r="AA2953" s="117">
        <f>IF($B2953="",0,IF(OR($W2953="EVET",$X2953="EVET",$Y2953="EVET"),0,IF($D2953="GELİR",IF($E2953="SATIŞ İADESİ/İSKONTO",-$O2953,$O2953),-$O2953)))</f>
        <v/>
      </c>
      <c r="AB2953" s="117">
        <f>IF($B2953="","",IF(OR($D2953="",$E2953="",$O2953=""),"EKSİK",IF($O2953&lt;=0,"SIFIR/NEGATİF",IF(COUNTIFS($C$6:$C$5000,$C2953,$O$6:$O$5000,$O2953,$B$6:$B$5000,$B2953)&gt;1,"MÜKERRER","OK"))))</f>
        <v/>
      </c>
    </row>
    <row r="2954" ht="16.5" customHeight="1" s="80">
      <c r="A2954" s="113" t="n"/>
      <c r="B2954" s="113" t="n"/>
      <c r="C2954" s="113" t="n"/>
      <c r="D2954" s="113" t="n"/>
      <c r="E2954" s="113" t="n"/>
      <c r="F2954" s="113" t="n"/>
      <c r="G2954" s="113" t="n"/>
      <c r="H2954" s="113" t="n"/>
      <c r="I2954" s="113" t="n"/>
      <c r="J2954" s="113" t="n"/>
      <c r="K2954" s="113" t="n"/>
      <c r="L2954" s="113" t="n"/>
      <c r="M2954" s="113" t="n"/>
      <c r="N2954" s="113" t="n"/>
      <c r="O2954" s="113" t="n"/>
      <c r="P2954" s="113" t="n"/>
      <c r="Q2954" s="113" t="n"/>
      <c r="R2954" s="113" t="n"/>
      <c r="S2954" s="113" t="n"/>
      <c r="T2954" s="113" t="n"/>
      <c r="U2954" s="113" t="n"/>
      <c r="V2954" s="113" t="n"/>
      <c r="W2954" s="113" t="n"/>
      <c r="X2954" s="113" t="n"/>
      <c r="Y2954" s="113" t="n"/>
      <c r="Z2954" s="117">
        <f>IF($B2954="",0,IF($S2954="EVET",IF($D2954="GELİR",$O2954,-$O2954),0))</f>
        <v/>
      </c>
      <c r="AA2954" s="117">
        <f>IF($B2954="",0,IF(OR($W2954="EVET",$X2954="EVET",$Y2954="EVET"),0,IF($D2954="GELİR",IF($E2954="SATIŞ İADESİ/İSKONTO",-$O2954,$O2954),-$O2954)))</f>
        <v/>
      </c>
      <c r="AB2954" s="117">
        <f>IF($B2954="","",IF(OR($D2954="",$E2954="",$O2954=""),"EKSİK",IF($O2954&lt;=0,"SIFIR/NEGATİF",IF(COUNTIFS($C$6:$C$5000,$C2954,$O$6:$O$5000,$O2954,$B$6:$B$5000,$B2954)&gt;1,"MÜKERRER","OK"))))</f>
        <v/>
      </c>
    </row>
    <row r="2955" ht="16.5" customHeight="1" s="80">
      <c r="A2955" s="113" t="n"/>
      <c r="B2955" s="113" t="n"/>
      <c r="C2955" s="113" t="n"/>
      <c r="D2955" s="113" t="n"/>
      <c r="E2955" s="113" t="n"/>
      <c r="F2955" s="113" t="n"/>
      <c r="G2955" s="113" t="n"/>
      <c r="H2955" s="113" t="n"/>
      <c r="I2955" s="113" t="n"/>
      <c r="J2955" s="113" t="n"/>
      <c r="K2955" s="113" t="n"/>
      <c r="L2955" s="113" t="n"/>
      <c r="M2955" s="113" t="n"/>
      <c r="N2955" s="113" t="n"/>
      <c r="O2955" s="113" t="n"/>
      <c r="P2955" s="113" t="n"/>
      <c r="Q2955" s="113" t="n"/>
      <c r="R2955" s="113" t="n"/>
      <c r="S2955" s="113" t="n"/>
      <c r="T2955" s="113" t="n"/>
      <c r="U2955" s="113" t="n"/>
      <c r="V2955" s="113" t="n"/>
      <c r="W2955" s="113" t="n"/>
      <c r="X2955" s="113" t="n"/>
      <c r="Y2955" s="113" t="n"/>
      <c r="Z2955" s="117">
        <f>IF($B2955="",0,IF($S2955="EVET",IF($D2955="GELİR",$O2955,-$O2955),0))</f>
        <v/>
      </c>
      <c r="AA2955" s="117">
        <f>IF($B2955="",0,IF(OR($W2955="EVET",$X2955="EVET",$Y2955="EVET"),0,IF($D2955="GELİR",IF($E2955="SATIŞ İADESİ/İSKONTO",-$O2955,$O2955),-$O2955)))</f>
        <v/>
      </c>
      <c r="AB2955" s="117">
        <f>IF($B2955="","",IF(OR($D2955="",$E2955="",$O2955=""),"EKSİK",IF($O2955&lt;=0,"SIFIR/NEGATİF",IF(COUNTIFS($C$6:$C$5000,$C2955,$O$6:$O$5000,$O2955,$B$6:$B$5000,$B2955)&gt;1,"MÜKERRER","OK"))))</f>
        <v/>
      </c>
    </row>
    <row r="2956" ht="16.5" customHeight="1" s="80">
      <c r="A2956" s="113" t="n"/>
      <c r="B2956" s="113" t="n"/>
      <c r="C2956" s="113" t="n"/>
      <c r="D2956" s="113" t="n"/>
      <c r="E2956" s="113" t="n"/>
      <c r="F2956" s="113" t="n"/>
      <c r="G2956" s="113" t="n"/>
      <c r="H2956" s="113" t="n"/>
      <c r="I2956" s="113" t="n"/>
      <c r="J2956" s="113" t="n"/>
      <c r="K2956" s="113" t="n"/>
      <c r="L2956" s="113" t="n"/>
      <c r="M2956" s="113" t="n"/>
      <c r="N2956" s="113" t="n"/>
      <c r="O2956" s="113" t="n"/>
      <c r="P2956" s="113" t="n"/>
      <c r="Q2956" s="113" t="n"/>
      <c r="R2956" s="113" t="n"/>
      <c r="S2956" s="113" t="n"/>
      <c r="T2956" s="113" t="n"/>
      <c r="U2956" s="113" t="n"/>
      <c r="V2956" s="113" t="n"/>
      <c r="W2956" s="113" t="n"/>
      <c r="X2956" s="113" t="n"/>
      <c r="Y2956" s="113" t="n"/>
      <c r="Z2956" s="117">
        <f>IF($B2956="",0,IF($S2956="EVET",IF($D2956="GELİR",$O2956,-$O2956),0))</f>
        <v/>
      </c>
      <c r="AA2956" s="117">
        <f>IF($B2956="",0,IF(OR($W2956="EVET",$X2956="EVET",$Y2956="EVET"),0,IF($D2956="GELİR",IF($E2956="SATIŞ İADESİ/İSKONTO",-$O2956,$O2956),-$O2956)))</f>
        <v/>
      </c>
      <c r="AB2956" s="117">
        <f>IF($B2956="","",IF(OR($D2956="",$E2956="",$O2956=""),"EKSİK",IF($O2956&lt;=0,"SIFIR/NEGATİF",IF(COUNTIFS($C$6:$C$5000,$C2956,$O$6:$O$5000,$O2956,$B$6:$B$5000,$B2956)&gt;1,"MÜKERRER","OK"))))</f>
        <v/>
      </c>
    </row>
    <row r="2957" ht="16.5" customHeight="1" s="80">
      <c r="A2957" s="113" t="n"/>
      <c r="B2957" s="113" t="n"/>
      <c r="C2957" s="113" t="n"/>
      <c r="D2957" s="113" t="n"/>
      <c r="E2957" s="113" t="n"/>
      <c r="F2957" s="113" t="n"/>
      <c r="G2957" s="113" t="n"/>
      <c r="H2957" s="113" t="n"/>
      <c r="I2957" s="113" t="n"/>
      <c r="J2957" s="113" t="n"/>
      <c r="K2957" s="113" t="n"/>
      <c r="L2957" s="113" t="n"/>
      <c r="M2957" s="113" t="n"/>
      <c r="N2957" s="113" t="n"/>
      <c r="O2957" s="113" t="n"/>
      <c r="P2957" s="113" t="n"/>
      <c r="Q2957" s="113" t="n"/>
      <c r="R2957" s="113" t="n"/>
      <c r="S2957" s="113" t="n"/>
      <c r="T2957" s="113" t="n"/>
      <c r="U2957" s="113" t="n"/>
      <c r="V2957" s="113" t="n"/>
      <c r="W2957" s="113" t="n"/>
      <c r="X2957" s="113" t="n"/>
      <c r="Y2957" s="113" t="n"/>
      <c r="Z2957" s="117">
        <f>IF($B2957="",0,IF($S2957="EVET",IF($D2957="GELİR",$O2957,-$O2957),0))</f>
        <v/>
      </c>
      <c r="AA2957" s="117">
        <f>IF($B2957="",0,IF(OR($W2957="EVET",$X2957="EVET",$Y2957="EVET"),0,IF($D2957="GELİR",IF($E2957="SATIŞ İADESİ/İSKONTO",-$O2957,$O2957),-$O2957)))</f>
        <v/>
      </c>
      <c r="AB2957" s="117">
        <f>IF($B2957="","",IF(OR($D2957="",$E2957="",$O2957=""),"EKSİK",IF($O2957&lt;=0,"SIFIR/NEGATİF",IF(COUNTIFS($C$6:$C$5000,$C2957,$O$6:$O$5000,$O2957,$B$6:$B$5000,$B2957)&gt;1,"MÜKERRER","OK"))))</f>
        <v/>
      </c>
    </row>
    <row r="2958" ht="16.5" customHeight="1" s="80">
      <c r="A2958" s="113" t="n"/>
      <c r="B2958" s="113" t="n"/>
      <c r="C2958" s="113" t="n"/>
      <c r="D2958" s="113" t="n"/>
      <c r="E2958" s="113" t="n"/>
      <c r="F2958" s="113" t="n"/>
      <c r="G2958" s="113" t="n"/>
      <c r="H2958" s="113" t="n"/>
      <c r="I2958" s="113" t="n"/>
      <c r="J2958" s="113" t="n"/>
      <c r="K2958" s="113" t="n"/>
      <c r="L2958" s="113" t="n"/>
      <c r="M2958" s="113" t="n"/>
      <c r="N2958" s="113" t="n"/>
      <c r="O2958" s="113" t="n"/>
      <c r="P2958" s="113" t="n"/>
      <c r="Q2958" s="113" t="n"/>
      <c r="R2958" s="113" t="n"/>
      <c r="S2958" s="113" t="n"/>
      <c r="T2958" s="113" t="n"/>
      <c r="U2958" s="113" t="n"/>
      <c r="V2958" s="113" t="n"/>
      <c r="W2958" s="113" t="n"/>
      <c r="X2958" s="113" t="n"/>
      <c r="Y2958" s="113" t="n"/>
      <c r="Z2958" s="117">
        <f>IF($B2958="",0,IF($S2958="EVET",IF($D2958="GELİR",$O2958,-$O2958),0))</f>
        <v/>
      </c>
      <c r="AA2958" s="117">
        <f>IF($B2958="",0,IF(OR($W2958="EVET",$X2958="EVET",$Y2958="EVET"),0,IF($D2958="GELİR",IF($E2958="SATIŞ İADESİ/İSKONTO",-$O2958,$O2958),-$O2958)))</f>
        <v/>
      </c>
      <c r="AB2958" s="117">
        <f>IF($B2958="","",IF(OR($D2958="",$E2958="",$O2958=""),"EKSİK",IF($O2958&lt;=0,"SIFIR/NEGATİF",IF(COUNTIFS($C$6:$C$5000,$C2958,$O$6:$O$5000,$O2958,$B$6:$B$5000,$B2958)&gt;1,"MÜKERRER","OK"))))</f>
        <v/>
      </c>
    </row>
    <row r="2959" ht="16.5" customHeight="1" s="80">
      <c r="A2959" s="113" t="n"/>
      <c r="B2959" s="113" t="n"/>
      <c r="C2959" s="113" t="n"/>
      <c r="D2959" s="113" t="n"/>
      <c r="E2959" s="113" t="n"/>
      <c r="F2959" s="113" t="n"/>
      <c r="G2959" s="113" t="n"/>
      <c r="H2959" s="113" t="n"/>
      <c r="I2959" s="113" t="n"/>
      <c r="J2959" s="113" t="n"/>
      <c r="K2959" s="113" t="n"/>
      <c r="L2959" s="113" t="n"/>
      <c r="M2959" s="113" t="n"/>
      <c r="N2959" s="113" t="n"/>
      <c r="O2959" s="113" t="n"/>
      <c r="P2959" s="113" t="n"/>
      <c r="Q2959" s="113" t="n"/>
      <c r="R2959" s="113" t="n"/>
      <c r="S2959" s="113" t="n"/>
      <c r="T2959" s="113" t="n"/>
      <c r="U2959" s="113" t="n"/>
      <c r="V2959" s="113" t="n"/>
      <c r="W2959" s="113" t="n"/>
      <c r="X2959" s="113" t="n"/>
      <c r="Y2959" s="113" t="n"/>
      <c r="Z2959" s="117">
        <f>IF($B2959="",0,IF($S2959="EVET",IF($D2959="GELİR",$O2959,-$O2959),0))</f>
        <v/>
      </c>
      <c r="AA2959" s="117">
        <f>IF($B2959="",0,IF(OR($W2959="EVET",$X2959="EVET",$Y2959="EVET"),0,IF($D2959="GELİR",IF($E2959="SATIŞ İADESİ/İSKONTO",-$O2959,$O2959),-$O2959)))</f>
        <v/>
      </c>
      <c r="AB2959" s="117">
        <f>IF($B2959="","",IF(OR($D2959="",$E2959="",$O2959=""),"EKSİK",IF($O2959&lt;=0,"SIFIR/NEGATİF",IF(COUNTIFS($C$6:$C$5000,$C2959,$O$6:$O$5000,$O2959,$B$6:$B$5000,$B2959)&gt;1,"MÜKERRER","OK"))))</f>
        <v/>
      </c>
    </row>
    <row r="2960" ht="16.5" customHeight="1" s="80">
      <c r="A2960" s="113" t="n"/>
      <c r="B2960" s="113" t="n"/>
      <c r="C2960" s="113" t="n"/>
      <c r="D2960" s="113" t="n"/>
      <c r="E2960" s="113" t="n"/>
      <c r="F2960" s="113" t="n"/>
      <c r="G2960" s="113" t="n"/>
      <c r="H2960" s="113" t="n"/>
      <c r="I2960" s="113" t="n"/>
      <c r="J2960" s="113" t="n"/>
      <c r="K2960" s="113" t="n"/>
      <c r="L2960" s="113" t="n"/>
      <c r="M2960" s="113" t="n"/>
      <c r="N2960" s="113" t="n"/>
      <c r="O2960" s="113" t="n"/>
      <c r="P2960" s="113" t="n"/>
      <c r="Q2960" s="113" t="n"/>
      <c r="R2960" s="113" t="n"/>
      <c r="S2960" s="113" t="n"/>
      <c r="T2960" s="113" t="n"/>
      <c r="U2960" s="113" t="n"/>
      <c r="V2960" s="113" t="n"/>
      <c r="W2960" s="113" t="n"/>
      <c r="X2960" s="113" t="n"/>
      <c r="Y2960" s="113" t="n"/>
      <c r="Z2960" s="117">
        <f>IF($B2960="",0,IF($S2960="EVET",IF($D2960="GELİR",$O2960,-$O2960),0))</f>
        <v/>
      </c>
      <c r="AA2960" s="117">
        <f>IF($B2960="",0,IF(OR($W2960="EVET",$X2960="EVET",$Y2960="EVET"),0,IF($D2960="GELİR",IF($E2960="SATIŞ İADESİ/İSKONTO",-$O2960,$O2960),-$O2960)))</f>
        <v/>
      </c>
      <c r="AB2960" s="117">
        <f>IF($B2960="","",IF(OR($D2960="",$E2960="",$O2960=""),"EKSİK",IF($O2960&lt;=0,"SIFIR/NEGATİF",IF(COUNTIFS($C$6:$C$5000,$C2960,$O$6:$O$5000,$O2960,$B$6:$B$5000,$B2960)&gt;1,"MÜKERRER","OK"))))</f>
        <v/>
      </c>
    </row>
    <row r="2961" ht="16.5" customHeight="1" s="80">
      <c r="A2961" s="113" t="n"/>
      <c r="B2961" s="113" t="n"/>
      <c r="C2961" s="113" t="n"/>
      <c r="D2961" s="113" t="n"/>
      <c r="E2961" s="113" t="n"/>
      <c r="F2961" s="113" t="n"/>
      <c r="G2961" s="113" t="n"/>
      <c r="H2961" s="113" t="n"/>
      <c r="I2961" s="113" t="n"/>
      <c r="J2961" s="113" t="n"/>
      <c r="K2961" s="113" t="n"/>
      <c r="L2961" s="113" t="n"/>
      <c r="M2961" s="113" t="n"/>
      <c r="N2961" s="113" t="n"/>
      <c r="O2961" s="113" t="n"/>
      <c r="P2961" s="113" t="n"/>
      <c r="Q2961" s="113" t="n"/>
      <c r="R2961" s="113" t="n"/>
      <c r="S2961" s="113" t="n"/>
      <c r="T2961" s="113" t="n"/>
      <c r="U2961" s="113" t="n"/>
      <c r="V2961" s="113" t="n"/>
      <c r="W2961" s="113" t="n"/>
      <c r="X2961" s="113" t="n"/>
      <c r="Y2961" s="113" t="n"/>
      <c r="Z2961" s="117">
        <f>IF($B2961="",0,IF($S2961="EVET",IF($D2961="GELİR",$O2961,-$O2961),0))</f>
        <v/>
      </c>
      <c r="AA2961" s="117">
        <f>IF($B2961="",0,IF(OR($W2961="EVET",$X2961="EVET",$Y2961="EVET"),0,IF($D2961="GELİR",IF($E2961="SATIŞ İADESİ/İSKONTO",-$O2961,$O2961),-$O2961)))</f>
        <v/>
      </c>
      <c r="AB2961" s="117">
        <f>IF($B2961="","",IF(OR($D2961="",$E2961="",$O2961=""),"EKSİK",IF($O2961&lt;=0,"SIFIR/NEGATİF",IF(COUNTIFS($C$6:$C$5000,$C2961,$O$6:$O$5000,$O2961,$B$6:$B$5000,$B2961)&gt;1,"MÜKERRER","OK"))))</f>
        <v/>
      </c>
    </row>
    <row r="2962" ht="16.5" customHeight="1" s="80">
      <c r="A2962" s="113" t="n"/>
      <c r="B2962" s="113" t="n"/>
      <c r="C2962" s="113" t="n"/>
      <c r="D2962" s="113" t="n"/>
      <c r="E2962" s="113" t="n"/>
      <c r="F2962" s="113" t="n"/>
      <c r="G2962" s="113" t="n"/>
      <c r="H2962" s="113" t="n"/>
      <c r="I2962" s="113" t="n"/>
      <c r="J2962" s="113" t="n"/>
      <c r="K2962" s="113" t="n"/>
      <c r="L2962" s="113" t="n"/>
      <c r="M2962" s="113" t="n"/>
      <c r="N2962" s="113" t="n"/>
      <c r="O2962" s="113" t="n"/>
      <c r="P2962" s="113" t="n"/>
      <c r="Q2962" s="113" t="n"/>
      <c r="R2962" s="113" t="n"/>
      <c r="S2962" s="113" t="n"/>
      <c r="T2962" s="113" t="n"/>
      <c r="U2962" s="113" t="n"/>
      <c r="V2962" s="113" t="n"/>
      <c r="W2962" s="113" t="n"/>
      <c r="X2962" s="113" t="n"/>
      <c r="Y2962" s="113" t="n"/>
      <c r="Z2962" s="117">
        <f>IF($B2962="",0,IF($S2962="EVET",IF($D2962="GELİR",$O2962,-$O2962),0))</f>
        <v/>
      </c>
      <c r="AA2962" s="117">
        <f>IF($B2962="",0,IF(OR($W2962="EVET",$X2962="EVET",$Y2962="EVET"),0,IF($D2962="GELİR",IF($E2962="SATIŞ İADESİ/İSKONTO",-$O2962,$O2962),-$O2962)))</f>
        <v/>
      </c>
      <c r="AB2962" s="117">
        <f>IF($B2962="","",IF(OR($D2962="",$E2962="",$O2962=""),"EKSİK",IF($O2962&lt;=0,"SIFIR/NEGATİF",IF(COUNTIFS($C$6:$C$5000,$C2962,$O$6:$O$5000,$O2962,$B$6:$B$5000,$B2962)&gt;1,"MÜKERRER","OK"))))</f>
        <v/>
      </c>
    </row>
    <row r="2963" ht="16.5" customHeight="1" s="80">
      <c r="A2963" s="113" t="n"/>
      <c r="B2963" s="113" t="n"/>
      <c r="C2963" s="113" t="n"/>
      <c r="D2963" s="113" t="n"/>
      <c r="E2963" s="113" t="n"/>
      <c r="F2963" s="113" t="n"/>
      <c r="G2963" s="113" t="n"/>
      <c r="H2963" s="113" t="n"/>
      <c r="I2963" s="113" t="n"/>
      <c r="J2963" s="113" t="n"/>
      <c r="K2963" s="113" t="n"/>
      <c r="L2963" s="113" t="n"/>
      <c r="M2963" s="113" t="n"/>
      <c r="N2963" s="113" t="n"/>
      <c r="O2963" s="113" t="n"/>
      <c r="P2963" s="113" t="n"/>
      <c r="Q2963" s="113" t="n"/>
      <c r="R2963" s="113" t="n"/>
      <c r="S2963" s="113" t="n"/>
      <c r="T2963" s="113" t="n"/>
      <c r="U2963" s="113" t="n"/>
      <c r="V2963" s="113" t="n"/>
      <c r="W2963" s="113" t="n"/>
      <c r="X2963" s="113" t="n"/>
      <c r="Y2963" s="113" t="n"/>
      <c r="Z2963" s="117">
        <f>IF($B2963="",0,IF($S2963="EVET",IF($D2963="GELİR",$O2963,-$O2963),0))</f>
        <v/>
      </c>
      <c r="AA2963" s="117">
        <f>IF($B2963="",0,IF(OR($W2963="EVET",$X2963="EVET",$Y2963="EVET"),0,IF($D2963="GELİR",IF($E2963="SATIŞ İADESİ/İSKONTO",-$O2963,$O2963),-$O2963)))</f>
        <v/>
      </c>
      <c r="AB2963" s="117">
        <f>IF($B2963="","",IF(OR($D2963="",$E2963="",$O2963=""),"EKSİK",IF($O2963&lt;=0,"SIFIR/NEGATİF",IF(COUNTIFS($C$6:$C$5000,$C2963,$O$6:$O$5000,$O2963,$B$6:$B$5000,$B2963)&gt;1,"MÜKERRER","OK"))))</f>
        <v/>
      </c>
    </row>
    <row r="2964" ht="16.5" customHeight="1" s="80">
      <c r="A2964" s="113" t="n"/>
      <c r="B2964" s="113" t="n"/>
      <c r="C2964" s="113" t="n"/>
      <c r="D2964" s="113" t="n"/>
      <c r="E2964" s="113" t="n"/>
      <c r="F2964" s="113" t="n"/>
      <c r="G2964" s="113" t="n"/>
      <c r="H2964" s="113" t="n"/>
      <c r="I2964" s="113" t="n"/>
      <c r="J2964" s="113" t="n"/>
      <c r="K2964" s="113" t="n"/>
      <c r="L2964" s="113" t="n"/>
      <c r="M2964" s="113" t="n"/>
      <c r="N2964" s="113" t="n"/>
      <c r="O2964" s="113" t="n"/>
      <c r="P2964" s="113" t="n"/>
      <c r="Q2964" s="113" t="n"/>
      <c r="R2964" s="113" t="n"/>
      <c r="S2964" s="113" t="n"/>
      <c r="T2964" s="113" t="n"/>
      <c r="U2964" s="113" t="n"/>
      <c r="V2964" s="113" t="n"/>
      <c r="W2964" s="113" t="n"/>
      <c r="X2964" s="113" t="n"/>
      <c r="Y2964" s="113" t="n"/>
      <c r="Z2964" s="117">
        <f>IF($B2964="",0,IF($S2964="EVET",IF($D2964="GELİR",$O2964,-$O2964),0))</f>
        <v/>
      </c>
      <c r="AA2964" s="117">
        <f>IF($B2964="",0,IF(OR($W2964="EVET",$X2964="EVET",$Y2964="EVET"),0,IF($D2964="GELİR",IF($E2964="SATIŞ İADESİ/İSKONTO",-$O2964,$O2964),-$O2964)))</f>
        <v/>
      </c>
      <c r="AB2964" s="117">
        <f>IF($B2964="","",IF(OR($D2964="",$E2964="",$O2964=""),"EKSİK",IF($O2964&lt;=0,"SIFIR/NEGATİF",IF(COUNTIFS($C$6:$C$5000,$C2964,$O$6:$O$5000,$O2964,$B$6:$B$5000,$B2964)&gt;1,"MÜKERRER","OK"))))</f>
        <v/>
      </c>
    </row>
    <row r="2965" ht="16.5" customHeight="1" s="80">
      <c r="A2965" s="113" t="n"/>
      <c r="B2965" s="113" t="n"/>
      <c r="C2965" s="113" t="n"/>
      <c r="D2965" s="113" t="n"/>
      <c r="E2965" s="113" t="n"/>
      <c r="F2965" s="113" t="n"/>
      <c r="G2965" s="113" t="n"/>
      <c r="H2965" s="113" t="n"/>
      <c r="I2965" s="113" t="n"/>
      <c r="J2965" s="113" t="n"/>
      <c r="K2965" s="113" t="n"/>
      <c r="L2965" s="113" t="n"/>
      <c r="M2965" s="113" t="n"/>
      <c r="N2965" s="113" t="n"/>
      <c r="O2965" s="113" t="n"/>
      <c r="P2965" s="113" t="n"/>
      <c r="Q2965" s="113" t="n"/>
      <c r="R2965" s="113" t="n"/>
      <c r="S2965" s="113" t="n"/>
      <c r="T2965" s="113" t="n"/>
      <c r="U2965" s="113" t="n"/>
      <c r="V2965" s="113" t="n"/>
      <c r="W2965" s="113" t="n"/>
      <c r="X2965" s="113" t="n"/>
      <c r="Y2965" s="113" t="n"/>
      <c r="Z2965" s="117">
        <f>IF($B2965="",0,IF($S2965="EVET",IF($D2965="GELİR",$O2965,-$O2965),0))</f>
        <v/>
      </c>
      <c r="AA2965" s="117">
        <f>IF($B2965="",0,IF(OR($W2965="EVET",$X2965="EVET",$Y2965="EVET"),0,IF($D2965="GELİR",IF($E2965="SATIŞ İADESİ/İSKONTO",-$O2965,$O2965),-$O2965)))</f>
        <v/>
      </c>
      <c r="AB2965" s="117">
        <f>IF($B2965="","",IF(OR($D2965="",$E2965="",$O2965=""),"EKSİK",IF($O2965&lt;=0,"SIFIR/NEGATİF",IF(COUNTIFS($C$6:$C$5000,$C2965,$O$6:$O$5000,$O2965,$B$6:$B$5000,$B2965)&gt;1,"MÜKERRER","OK"))))</f>
        <v/>
      </c>
    </row>
    <row r="2966" ht="16.5" customHeight="1" s="80">
      <c r="A2966" s="113" t="n"/>
      <c r="B2966" s="113" t="n"/>
      <c r="C2966" s="113" t="n"/>
      <c r="D2966" s="113" t="n"/>
      <c r="E2966" s="113" t="n"/>
      <c r="F2966" s="113" t="n"/>
      <c r="G2966" s="113" t="n"/>
      <c r="H2966" s="113" t="n"/>
      <c r="I2966" s="113" t="n"/>
      <c r="J2966" s="113" t="n"/>
      <c r="K2966" s="113" t="n"/>
      <c r="L2966" s="113" t="n"/>
      <c r="M2966" s="113" t="n"/>
      <c r="N2966" s="113" t="n"/>
      <c r="O2966" s="113" t="n"/>
      <c r="P2966" s="113" t="n"/>
      <c r="Q2966" s="113" t="n"/>
      <c r="R2966" s="113" t="n"/>
      <c r="S2966" s="113" t="n"/>
      <c r="T2966" s="113" t="n"/>
      <c r="U2966" s="113" t="n"/>
      <c r="V2966" s="113" t="n"/>
      <c r="W2966" s="113" t="n"/>
      <c r="X2966" s="113" t="n"/>
      <c r="Y2966" s="113" t="n"/>
      <c r="Z2966" s="117">
        <f>IF($B2966="",0,IF($S2966="EVET",IF($D2966="GELİR",$O2966,-$O2966),0))</f>
        <v/>
      </c>
      <c r="AA2966" s="117">
        <f>IF($B2966="",0,IF(OR($W2966="EVET",$X2966="EVET",$Y2966="EVET"),0,IF($D2966="GELİR",IF($E2966="SATIŞ İADESİ/İSKONTO",-$O2966,$O2966),-$O2966)))</f>
        <v/>
      </c>
      <c r="AB2966" s="117">
        <f>IF($B2966="","",IF(OR($D2966="",$E2966="",$O2966=""),"EKSİK",IF($O2966&lt;=0,"SIFIR/NEGATİF",IF(COUNTIFS($C$6:$C$5000,$C2966,$O$6:$O$5000,$O2966,$B$6:$B$5000,$B2966)&gt;1,"MÜKERRER","OK"))))</f>
        <v/>
      </c>
    </row>
    <row r="2967" ht="16.5" customHeight="1" s="80">
      <c r="A2967" s="113" t="n"/>
      <c r="B2967" s="113" t="n"/>
      <c r="C2967" s="113" t="n"/>
      <c r="D2967" s="113" t="n"/>
      <c r="E2967" s="113" t="n"/>
      <c r="F2967" s="113" t="n"/>
      <c r="G2967" s="113" t="n"/>
      <c r="H2967" s="113" t="n"/>
      <c r="I2967" s="113" t="n"/>
      <c r="J2967" s="113" t="n"/>
      <c r="K2967" s="113" t="n"/>
      <c r="L2967" s="113" t="n"/>
      <c r="M2967" s="113" t="n"/>
      <c r="N2967" s="113" t="n"/>
      <c r="O2967" s="113" t="n"/>
      <c r="P2967" s="113" t="n"/>
      <c r="Q2967" s="113" t="n"/>
      <c r="R2967" s="113" t="n"/>
      <c r="S2967" s="113" t="n"/>
      <c r="T2967" s="113" t="n"/>
      <c r="U2967" s="113" t="n"/>
      <c r="V2967" s="113" t="n"/>
      <c r="W2967" s="113" t="n"/>
      <c r="X2967" s="113" t="n"/>
      <c r="Y2967" s="113" t="n"/>
      <c r="Z2967" s="117">
        <f>IF($B2967="",0,IF($S2967="EVET",IF($D2967="GELİR",$O2967,-$O2967),0))</f>
        <v/>
      </c>
      <c r="AA2967" s="117">
        <f>IF($B2967="",0,IF(OR($W2967="EVET",$X2967="EVET",$Y2967="EVET"),0,IF($D2967="GELİR",IF($E2967="SATIŞ İADESİ/İSKONTO",-$O2967,$O2967),-$O2967)))</f>
        <v/>
      </c>
      <c r="AB2967" s="117">
        <f>IF($B2967="","",IF(OR($D2967="",$E2967="",$O2967=""),"EKSİK",IF($O2967&lt;=0,"SIFIR/NEGATİF",IF(COUNTIFS($C$6:$C$5000,$C2967,$O$6:$O$5000,$O2967,$B$6:$B$5000,$B2967)&gt;1,"MÜKERRER","OK"))))</f>
        <v/>
      </c>
    </row>
    <row r="2968" ht="16.5" customHeight="1" s="80">
      <c r="A2968" s="113" t="n"/>
      <c r="B2968" s="113" t="n"/>
      <c r="C2968" s="113" t="n"/>
      <c r="D2968" s="113" t="n"/>
      <c r="E2968" s="113" t="n"/>
      <c r="F2968" s="113" t="n"/>
      <c r="G2968" s="113" t="n"/>
      <c r="H2968" s="113" t="n"/>
      <c r="I2968" s="113" t="n"/>
      <c r="J2968" s="113" t="n"/>
      <c r="K2968" s="113" t="n"/>
      <c r="L2968" s="113" t="n"/>
      <c r="M2968" s="113" t="n"/>
      <c r="N2968" s="113" t="n"/>
      <c r="O2968" s="113" t="n"/>
      <c r="P2968" s="113" t="n"/>
      <c r="Q2968" s="113" t="n"/>
      <c r="R2968" s="113" t="n"/>
      <c r="S2968" s="113" t="n"/>
      <c r="T2968" s="113" t="n"/>
      <c r="U2968" s="113" t="n"/>
      <c r="V2968" s="113" t="n"/>
      <c r="W2968" s="113" t="n"/>
      <c r="X2968" s="113" t="n"/>
      <c r="Y2968" s="113" t="n"/>
      <c r="Z2968" s="117">
        <f>IF($B2968="",0,IF($S2968="EVET",IF($D2968="GELİR",$O2968,-$O2968),0))</f>
        <v/>
      </c>
      <c r="AA2968" s="117">
        <f>IF($B2968="",0,IF(OR($W2968="EVET",$X2968="EVET",$Y2968="EVET"),0,IF($D2968="GELİR",IF($E2968="SATIŞ İADESİ/İSKONTO",-$O2968,$O2968),-$O2968)))</f>
        <v/>
      </c>
      <c r="AB2968" s="117">
        <f>IF($B2968="","",IF(OR($D2968="",$E2968="",$O2968=""),"EKSİK",IF($O2968&lt;=0,"SIFIR/NEGATİF",IF(COUNTIFS($C$6:$C$5000,$C2968,$O$6:$O$5000,$O2968,$B$6:$B$5000,$B2968)&gt;1,"MÜKERRER","OK"))))</f>
        <v/>
      </c>
    </row>
    <row r="2969" ht="16.5" customHeight="1" s="80">
      <c r="A2969" s="113" t="n"/>
      <c r="B2969" s="113" t="n"/>
      <c r="C2969" s="113" t="n"/>
      <c r="D2969" s="113" t="n"/>
      <c r="E2969" s="113" t="n"/>
      <c r="F2969" s="113" t="n"/>
      <c r="G2969" s="113" t="n"/>
      <c r="H2969" s="113" t="n"/>
      <c r="I2969" s="113" t="n"/>
      <c r="J2969" s="113" t="n"/>
      <c r="K2969" s="113" t="n"/>
      <c r="L2969" s="113" t="n"/>
      <c r="M2969" s="113" t="n"/>
      <c r="N2969" s="113" t="n"/>
      <c r="O2969" s="113" t="n"/>
      <c r="P2969" s="113" t="n"/>
      <c r="Q2969" s="113" t="n"/>
      <c r="R2969" s="113" t="n"/>
      <c r="S2969" s="113" t="n"/>
      <c r="T2969" s="113" t="n"/>
      <c r="U2969" s="113" t="n"/>
      <c r="V2969" s="113" t="n"/>
      <c r="W2969" s="113" t="n"/>
      <c r="X2969" s="113" t="n"/>
      <c r="Y2969" s="113" t="n"/>
      <c r="Z2969" s="117">
        <f>IF($B2969="",0,IF($S2969="EVET",IF($D2969="GELİR",$O2969,-$O2969),0))</f>
        <v/>
      </c>
      <c r="AA2969" s="117">
        <f>IF($B2969="",0,IF(OR($W2969="EVET",$X2969="EVET",$Y2969="EVET"),0,IF($D2969="GELİR",IF($E2969="SATIŞ İADESİ/İSKONTO",-$O2969,$O2969),-$O2969)))</f>
        <v/>
      </c>
      <c r="AB2969" s="117">
        <f>IF($B2969="","",IF(OR($D2969="",$E2969="",$O2969=""),"EKSİK",IF($O2969&lt;=0,"SIFIR/NEGATİF",IF(COUNTIFS($C$6:$C$5000,$C2969,$O$6:$O$5000,$O2969,$B$6:$B$5000,$B2969)&gt;1,"MÜKERRER","OK"))))</f>
        <v/>
      </c>
    </row>
    <row r="2970" ht="16.5" customHeight="1" s="80">
      <c r="A2970" s="113" t="n"/>
      <c r="B2970" s="113" t="n"/>
      <c r="C2970" s="113" t="n"/>
      <c r="D2970" s="113" t="n"/>
      <c r="E2970" s="113" t="n"/>
      <c r="F2970" s="113" t="n"/>
      <c r="G2970" s="113" t="n"/>
      <c r="H2970" s="113" t="n"/>
      <c r="I2970" s="113" t="n"/>
      <c r="J2970" s="113" t="n"/>
      <c r="K2970" s="113" t="n"/>
      <c r="L2970" s="113" t="n"/>
      <c r="M2970" s="113" t="n"/>
      <c r="N2970" s="113" t="n"/>
      <c r="O2970" s="113" t="n"/>
      <c r="P2970" s="113" t="n"/>
      <c r="Q2970" s="113" t="n"/>
      <c r="R2970" s="113" t="n"/>
      <c r="S2970" s="113" t="n"/>
      <c r="T2970" s="113" t="n"/>
      <c r="U2970" s="113" t="n"/>
      <c r="V2970" s="113" t="n"/>
      <c r="W2970" s="113" t="n"/>
      <c r="X2970" s="113" t="n"/>
      <c r="Y2970" s="113" t="n"/>
      <c r="Z2970" s="117">
        <f>IF($B2970="",0,IF($S2970="EVET",IF($D2970="GELİR",$O2970,-$O2970),0))</f>
        <v/>
      </c>
      <c r="AA2970" s="117">
        <f>IF($B2970="",0,IF(OR($W2970="EVET",$X2970="EVET",$Y2970="EVET"),0,IF($D2970="GELİR",IF($E2970="SATIŞ İADESİ/İSKONTO",-$O2970,$O2970),-$O2970)))</f>
        <v/>
      </c>
      <c r="AB2970" s="117">
        <f>IF($B2970="","",IF(OR($D2970="",$E2970="",$O2970=""),"EKSİK",IF($O2970&lt;=0,"SIFIR/NEGATİF",IF(COUNTIFS($C$6:$C$5000,$C2970,$O$6:$O$5000,$O2970,$B$6:$B$5000,$B2970)&gt;1,"MÜKERRER","OK"))))</f>
        <v/>
      </c>
    </row>
    <row r="2971" ht="16.5" customHeight="1" s="80">
      <c r="A2971" s="113" t="n"/>
      <c r="B2971" s="113" t="n"/>
      <c r="C2971" s="113" t="n"/>
      <c r="D2971" s="113" t="n"/>
      <c r="E2971" s="113" t="n"/>
      <c r="F2971" s="113" t="n"/>
      <c r="G2971" s="113" t="n"/>
      <c r="H2971" s="113" t="n"/>
      <c r="I2971" s="113" t="n"/>
      <c r="J2971" s="113" t="n"/>
      <c r="K2971" s="113" t="n"/>
      <c r="L2971" s="113" t="n"/>
      <c r="M2971" s="113" t="n"/>
      <c r="N2971" s="113" t="n"/>
      <c r="O2971" s="113" t="n"/>
      <c r="P2971" s="113" t="n"/>
      <c r="Q2971" s="113" t="n"/>
      <c r="R2971" s="113" t="n"/>
      <c r="S2971" s="113" t="n"/>
      <c r="T2971" s="113" t="n"/>
      <c r="U2971" s="113" t="n"/>
      <c r="V2971" s="113" t="n"/>
      <c r="W2971" s="113" t="n"/>
      <c r="X2971" s="113" t="n"/>
      <c r="Y2971" s="113" t="n"/>
      <c r="Z2971" s="117">
        <f>IF($B2971="",0,IF($S2971="EVET",IF($D2971="GELİR",$O2971,-$O2971),0))</f>
        <v/>
      </c>
      <c r="AA2971" s="117">
        <f>IF($B2971="",0,IF(OR($W2971="EVET",$X2971="EVET",$Y2971="EVET"),0,IF($D2971="GELİR",IF($E2971="SATIŞ İADESİ/İSKONTO",-$O2971,$O2971),-$O2971)))</f>
        <v/>
      </c>
      <c r="AB2971" s="117">
        <f>IF($B2971="","",IF(OR($D2971="",$E2971="",$O2971=""),"EKSİK",IF($O2971&lt;=0,"SIFIR/NEGATİF",IF(COUNTIFS($C$6:$C$5000,$C2971,$O$6:$O$5000,$O2971,$B$6:$B$5000,$B2971)&gt;1,"MÜKERRER","OK"))))</f>
        <v/>
      </c>
    </row>
    <row r="2972" ht="16.5" customHeight="1" s="80">
      <c r="A2972" s="113" t="n"/>
      <c r="B2972" s="113" t="n"/>
      <c r="C2972" s="113" t="n"/>
      <c r="D2972" s="113" t="n"/>
      <c r="E2972" s="113" t="n"/>
      <c r="F2972" s="113" t="n"/>
      <c r="G2972" s="113" t="n"/>
      <c r="H2972" s="113" t="n"/>
      <c r="I2972" s="113" t="n"/>
      <c r="J2972" s="113" t="n"/>
      <c r="K2972" s="113" t="n"/>
      <c r="L2972" s="113" t="n"/>
      <c r="M2972" s="113" t="n"/>
      <c r="N2972" s="113" t="n"/>
      <c r="O2972" s="113" t="n"/>
      <c r="P2972" s="113" t="n"/>
      <c r="Q2972" s="113" t="n"/>
      <c r="R2972" s="113" t="n"/>
      <c r="S2972" s="113" t="n"/>
      <c r="T2972" s="113" t="n"/>
      <c r="U2972" s="113" t="n"/>
      <c r="V2972" s="113" t="n"/>
      <c r="W2972" s="113" t="n"/>
      <c r="X2972" s="113" t="n"/>
      <c r="Y2972" s="113" t="n"/>
      <c r="Z2972" s="117">
        <f>IF($B2972="",0,IF($S2972="EVET",IF($D2972="GELİR",$O2972,-$O2972),0))</f>
        <v/>
      </c>
      <c r="AA2972" s="117">
        <f>IF($B2972="",0,IF(OR($W2972="EVET",$X2972="EVET",$Y2972="EVET"),0,IF($D2972="GELİR",IF($E2972="SATIŞ İADESİ/İSKONTO",-$O2972,$O2972),-$O2972)))</f>
        <v/>
      </c>
      <c r="AB2972" s="117">
        <f>IF($B2972="","",IF(OR($D2972="",$E2972="",$O2972=""),"EKSİK",IF($O2972&lt;=0,"SIFIR/NEGATİF",IF(COUNTIFS($C$6:$C$5000,$C2972,$O$6:$O$5000,$O2972,$B$6:$B$5000,$B2972)&gt;1,"MÜKERRER","OK"))))</f>
        <v/>
      </c>
    </row>
    <row r="2973" ht="16.5" customHeight="1" s="80">
      <c r="A2973" s="113" t="n"/>
      <c r="B2973" s="113" t="n"/>
      <c r="C2973" s="113" t="n"/>
      <c r="D2973" s="113" t="n"/>
      <c r="E2973" s="113" t="n"/>
      <c r="F2973" s="113" t="n"/>
      <c r="G2973" s="113" t="n"/>
      <c r="H2973" s="113" t="n"/>
      <c r="I2973" s="113" t="n"/>
      <c r="J2973" s="113" t="n"/>
      <c r="K2973" s="113" t="n"/>
      <c r="L2973" s="113" t="n"/>
      <c r="M2973" s="113" t="n"/>
      <c r="N2973" s="113" t="n"/>
      <c r="O2973" s="113" t="n"/>
      <c r="P2973" s="113" t="n"/>
      <c r="Q2973" s="113" t="n"/>
      <c r="R2973" s="113" t="n"/>
      <c r="S2973" s="113" t="n"/>
      <c r="T2973" s="113" t="n"/>
      <c r="U2973" s="113" t="n"/>
      <c r="V2973" s="113" t="n"/>
      <c r="W2973" s="113" t="n"/>
      <c r="X2973" s="113" t="n"/>
      <c r="Y2973" s="113" t="n"/>
      <c r="Z2973" s="117">
        <f>IF($B2973="",0,IF($S2973="EVET",IF($D2973="GELİR",$O2973,-$O2973),0))</f>
        <v/>
      </c>
      <c r="AA2973" s="117">
        <f>IF($B2973="",0,IF(OR($W2973="EVET",$X2973="EVET",$Y2973="EVET"),0,IF($D2973="GELİR",IF($E2973="SATIŞ İADESİ/İSKONTO",-$O2973,$O2973),-$O2973)))</f>
        <v/>
      </c>
      <c r="AB2973" s="117">
        <f>IF($B2973="","",IF(OR($D2973="",$E2973="",$O2973=""),"EKSİK",IF($O2973&lt;=0,"SIFIR/NEGATİF",IF(COUNTIFS($C$6:$C$5000,$C2973,$O$6:$O$5000,$O2973,$B$6:$B$5000,$B2973)&gt;1,"MÜKERRER","OK"))))</f>
        <v/>
      </c>
    </row>
    <row r="2974" ht="16.5" customHeight="1" s="80">
      <c r="A2974" s="113" t="n"/>
      <c r="B2974" s="113" t="n"/>
      <c r="C2974" s="113" t="n"/>
      <c r="D2974" s="113" t="n"/>
      <c r="E2974" s="113" t="n"/>
      <c r="F2974" s="113" t="n"/>
      <c r="G2974" s="113" t="n"/>
      <c r="H2974" s="113" t="n"/>
      <c r="I2974" s="113" t="n"/>
      <c r="J2974" s="113" t="n"/>
      <c r="K2974" s="113" t="n"/>
      <c r="L2974" s="113" t="n"/>
      <c r="M2974" s="113" t="n"/>
      <c r="N2974" s="113" t="n"/>
      <c r="O2974" s="113" t="n"/>
      <c r="P2974" s="113" t="n"/>
      <c r="Q2974" s="113" t="n"/>
      <c r="R2974" s="113" t="n"/>
      <c r="S2974" s="113" t="n"/>
      <c r="T2974" s="113" t="n"/>
      <c r="U2974" s="113" t="n"/>
      <c r="V2974" s="113" t="n"/>
      <c r="W2974" s="113" t="n"/>
      <c r="X2974" s="113" t="n"/>
      <c r="Y2974" s="113" t="n"/>
      <c r="Z2974" s="117">
        <f>IF($B2974="",0,IF($S2974="EVET",IF($D2974="GELİR",$O2974,-$O2974),0))</f>
        <v/>
      </c>
      <c r="AA2974" s="117">
        <f>IF($B2974="",0,IF(OR($W2974="EVET",$X2974="EVET",$Y2974="EVET"),0,IF($D2974="GELİR",IF($E2974="SATIŞ İADESİ/İSKONTO",-$O2974,$O2974),-$O2974)))</f>
        <v/>
      </c>
      <c r="AB2974" s="117">
        <f>IF($B2974="","",IF(OR($D2974="",$E2974="",$O2974=""),"EKSİK",IF($O2974&lt;=0,"SIFIR/NEGATİF",IF(COUNTIFS($C$6:$C$5000,$C2974,$O$6:$O$5000,$O2974,$B$6:$B$5000,$B2974)&gt;1,"MÜKERRER","OK"))))</f>
        <v/>
      </c>
    </row>
    <row r="2975" ht="16.5" customHeight="1" s="80">
      <c r="A2975" s="113" t="n"/>
      <c r="B2975" s="113" t="n"/>
      <c r="C2975" s="113" t="n"/>
      <c r="D2975" s="113" t="n"/>
      <c r="E2975" s="113" t="n"/>
      <c r="F2975" s="113" t="n"/>
      <c r="G2975" s="113" t="n"/>
      <c r="H2975" s="113" t="n"/>
      <c r="I2975" s="113" t="n"/>
      <c r="J2975" s="113" t="n"/>
      <c r="K2975" s="113" t="n"/>
      <c r="L2975" s="113" t="n"/>
      <c r="M2975" s="113" t="n"/>
      <c r="N2975" s="113" t="n"/>
      <c r="O2975" s="113" t="n"/>
      <c r="P2975" s="113" t="n"/>
      <c r="Q2975" s="113" t="n"/>
      <c r="R2975" s="113" t="n"/>
      <c r="S2975" s="113" t="n"/>
      <c r="T2975" s="113" t="n"/>
      <c r="U2975" s="113" t="n"/>
      <c r="V2975" s="113" t="n"/>
      <c r="W2975" s="113" t="n"/>
      <c r="X2975" s="113" t="n"/>
      <c r="Y2975" s="113" t="n"/>
      <c r="Z2975" s="117">
        <f>IF($B2975="",0,IF($S2975="EVET",IF($D2975="GELİR",$O2975,-$O2975),0))</f>
        <v/>
      </c>
      <c r="AA2975" s="117">
        <f>IF($B2975="",0,IF(OR($W2975="EVET",$X2975="EVET",$Y2975="EVET"),0,IF($D2975="GELİR",IF($E2975="SATIŞ İADESİ/İSKONTO",-$O2975,$O2975),-$O2975)))</f>
        <v/>
      </c>
      <c r="AB2975" s="117">
        <f>IF($B2975="","",IF(OR($D2975="",$E2975="",$O2975=""),"EKSİK",IF($O2975&lt;=0,"SIFIR/NEGATİF",IF(COUNTIFS($C$6:$C$5000,$C2975,$O$6:$O$5000,$O2975,$B$6:$B$5000,$B2975)&gt;1,"MÜKERRER","OK"))))</f>
        <v/>
      </c>
    </row>
    <row r="2976" ht="16.5" customHeight="1" s="80">
      <c r="A2976" s="113" t="n"/>
      <c r="B2976" s="113" t="n"/>
      <c r="C2976" s="113" t="n"/>
      <c r="D2976" s="113" t="n"/>
      <c r="E2976" s="113" t="n"/>
      <c r="F2976" s="113" t="n"/>
      <c r="G2976" s="113" t="n"/>
      <c r="H2976" s="113" t="n"/>
      <c r="I2976" s="113" t="n"/>
      <c r="J2976" s="113" t="n"/>
      <c r="K2976" s="113" t="n"/>
      <c r="L2976" s="113" t="n"/>
      <c r="M2976" s="113" t="n"/>
      <c r="N2976" s="113" t="n"/>
      <c r="O2976" s="113" t="n"/>
      <c r="P2976" s="113" t="n"/>
      <c r="Q2976" s="113" t="n"/>
      <c r="R2976" s="113" t="n"/>
      <c r="S2976" s="113" t="n"/>
      <c r="T2976" s="113" t="n"/>
      <c r="U2976" s="113" t="n"/>
      <c r="V2976" s="113" t="n"/>
      <c r="W2976" s="113" t="n"/>
      <c r="X2976" s="113" t="n"/>
      <c r="Y2976" s="113" t="n"/>
      <c r="Z2976" s="117">
        <f>IF($B2976="",0,IF($S2976="EVET",IF($D2976="GELİR",$O2976,-$O2976),0))</f>
        <v/>
      </c>
      <c r="AA2976" s="117">
        <f>IF($B2976="",0,IF(OR($W2976="EVET",$X2976="EVET",$Y2976="EVET"),0,IF($D2976="GELİR",IF($E2976="SATIŞ İADESİ/İSKONTO",-$O2976,$O2976),-$O2976)))</f>
        <v/>
      </c>
      <c r="AB2976" s="117">
        <f>IF($B2976="","",IF(OR($D2976="",$E2976="",$O2976=""),"EKSİK",IF($O2976&lt;=0,"SIFIR/NEGATİF",IF(COUNTIFS($C$6:$C$5000,$C2976,$O$6:$O$5000,$O2976,$B$6:$B$5000,$B2976)&gt;1,"MÜKERRER","OK"))))</f>
        <v/>
      </c>
    </row>
    <row r="2977" ht="16.5" customHeight="1" s="80">
      <c r="A2977" s="113" t="n"/>
      <c r="B2977" s="113" t="n"/>
      <c r="C2977" s="113" t="n"/>
      <c r="D2977" s="113" t="n"/>
      <c r="E2977" s="113" t="n"/>
      <c r="F2977" s="113" t="n"/>
      <c r="G2977" s="113" t="n"/>
      <c r="H2977" s="113" t="n"/>
      <c r="I2977" s="113" t="n"/>
      <c r="J2977" s="113" t="n"/>
      <c r="K2977" s="113" t="n"/>
      <c r="L2977" s="113" t="n"/>
      <c r="M2977" s="113" t="n"/>
      <c r="N2977" s="113" t="n"/>
      <c r="O2977" s="113" t="n"/>
      <c r="P2977" s="113" t="n"/>
      <c r="Q2977" s="113" t="n"/>
      <c r="R2977" s="113" t="n"/>
      <c r="S2977" s="113" t="n"/>
      <c r="T2977" s="113" t="n"/>
      <c r="U2977" s="113" t="n"/>
      <c r="V2977" s="113" t="n"/>
      <c r="W2977" s="113" t="n"/>
      <c r="X2977" s="113" t="n"/>
      <c r="Y2977" s="113" t="n"/>
      <c r="Z2977" s="117">
        <f>IF($B2977="",0,IF($S2977="EVET",IF($D2977="GELİR",$O2977,-$O2977),0))</f>
        <v/>
      </c>
      <c r="AA2977" s="117">
        <f>IF($B2977="",0,IF(OR($W2977="EVET",$X2977="EVET",$Y2977="EVET"),0,IF($D2977="GELİR",IF($E2977="SATIŞ İADESİ/İSKONTO",-$O2977,$O2977),-$O2977)))</f>
        <v/>
      </c>
      <c r="AB2977" s="117">
        <f>IF($B2977="","",IF(OR($D2977="",$E2977="",$O2977=""),"EKSİK",IF($O2977&lt;=0,"SIFIR/NEGATİF",IF(COUNTIFS($C$6:$C$5000,$C2977,$O$6:$O$5000,$O2977,$B$6:$B$5000,$B2977)&gt;1,"MÜKERRER","OK"))))</f>
        <v/>
      </c>
    </row>
    <row r="2978" ht="16.5" customHeight="1" s="80">
      <c r="A2978" s="113" t="n"/>
      <c r="B2978" s="113" t="n"/>
      <c r="C2978" s="113" t="n"/>
      <c r="D2978" s="113" t="n"/>
      <c r="E2978" s="113" t="n"/>
      <c r="F2978" s="113" t="n"/>
      <c r="G2978" s="113" t="n"/>
      <c r="H2978" s="113" t="n"/>
      <c r="I2978" s="113" t="n"/>
      <c r="J2978" s="113" t="n"/>
      <c r="K2978" s="113" t="n"/>
      <c r="L2978" s="113" t="n"/>
      <c r="M2978" s="113" t="n"/>
      <c r="N2978" s="113" t="n"/>
      <c r="O2978" s="113" t="n"/>
      <c r="P2978" s="113" t="n"/>
      <c r="Q2978" s="113" t="n"/>
      <c r="R2978" s="113" t="n"/>
      <c r="S2978" s="113" t="n"/>
      <c r="T2978" s="113" t="n"/>
      <c r="U2978" s="113" t="n"/>
      <c r="V2978" s="113" t="n"/>
      <c r="W2978" s="113" t="n"/>
      <c r="X2978" s="113" t="n"/>
      <c r="Y2978" s="113" t="n"/>
      <c r="Z2978" s="117">
        <f>IF($B2978="",0,IF($S2978="EVET",IF($D2978="GELİR",$O2978,-$O2978),0))</f>
        <v/>
      </c>
      <c r="AA2978" s="117">
        <f>IF($B2978="",0,IF(OR($W2978="EVET",$X2978="EVET",$Y2978="EVET"),0,IF($D2978="GELİR",IF($E2978="SATIŞ İADESİ/İSKONTO",-$O2978,$O2978),-$O2978)))</f>
        <v/>
      </c>
      <c r="AB2978" s="117">
        <f>IF($B2978="","",IF(OR($D2978="",$E2978="",$O2978=""),"EKSİK",IF($O2978&lt;=0,"SIFIR/NEGATİF",IF(COUNTIFS($C$6:$C$5000,$C2978,$O$6:$O$5000,$O2978,$B$6:$B$5000,$B2978)&gt;1,"MÜKERRER","OK"))))</f>
        <v/>
      </c>
    </row>
    <row r="2979" ht="16.5" customHeight="1" s="80">
      <c r="A2979" s="113" t="n"/>
      <c r="B2979" s="113" t="n"/>
      <c r="C2979" s="113" t="n"/>
      <c r="D2979" s="113" t="n"/>
      <c r="E2979" s="113" t="n"/>
      <c r="F2979" s="113" t="n"/>
      <c r="G2979" s="113" t="n"/>
      <c r="H2979" s="113" t="n"/>
      <c r="I2979" s="113" t="n"/>
      <c r="J2979" s="113" t="n"/>
      <c r="K2979" s="113" t="n"/>
      <c r="L2979" s="113" t="n"/>
      <c r="M2979" s="113" t="n"/>
      <c r="N2979" s="113" t="n"/>
      <c r="O2979" s="113" t="n"/>
      <c r="P2979" s="113" t="n"/>
      <c r="Q2979" s="113" t="n"/>
      <c r="R2979" s="113" t="n"/>
      <c r="S2979" s="113" t="n"/>
      <c r="T2979" s="113" t="n"/>
      <c r="U2979" s="113" t="n"/>
      <c r="V2979" s="113" t="n"/>
      <c r="W2979" s="113" t="n"/>
      <c r="X2979" s="113" t="n"/>
      <c r="Y2979" s="113" t="n"/>
      <c r="Z2979" s="117">
        <f>IF($B2979="",0,IF($S2979="EVET",IF($D2979="GELİR",$O2979,-$O2979),0))</f>
        <v/>
      </c>
      <c r="AA2979" s="117">
        <f>IF($B2979="",0,IF(OR($W2979="EVET",$X2979="EVET",$Y2979="EVET"),0,IF($D2979="GELİR",IF($E2979="SATIŞ İADESİ/İSKONTO",-$O2979,$O2979),-$O2979)))</f>
        <v/>
      </c>
      <c r="AB2979" s="117">
        <f>IF($B2979="","",IF(OR($D2979="",$E2979="",$O2979=""),"EKSİK",IF($O2979&lt;=0,"SIFIR/NEGATİF",IF(COUNTIFS($C$6:$C$5000,$C2979,$O$6:$O$5000,$O2979,$B$6:$B$5000,$B2979)&gt;1,"MÜKERRER","OK"))))</f>
        <v/>
      </c>
    </row>
    <row r="2980" ht="16.5" customHeight="1" s="80">
      <c r="A2980" s="113" t="n"/>
      <c r="B2980" s="113" t="n"/>
      <c r="C2980" s="113" t="n"/>
      <c r="D2980" s="113" t="n"/>
      <c r="E2980" s="113" t="n"/>
      <c r="F2980" s="113" t="n"/>
      <c r="G2980" s="113" t="n"/>
      <c r="H2980" s="113" t="n"/>
      <c r="I2980" s="113" t="n"/>
      <c r="J2980" s="113" t="n"/>
      <c r="K2980" s="113" t="n"/>
      <c r="L2980" s="113" t="n"/>
      <c r="M2980" s="113" t="n"/>
      <c r="N2980" s="113" t="n"/>
      <c r="O2980" s="113" t="n"/>
      <c r="P2980" s="113" t="n"/>
      <c r="Q2980" s="113" t="n"/>
      <c r="R2980" s="113" t="n"/>
      <c r="S2980" s="113" t="n"/>
      <c r="T2980" s="113" t="n"/>
      <c r="U2980" s="113" t="n"/>
      <c r="V2980" s="113" t="n"/>
      <c r="W2980" s="113" t="n"/>
      <c r="X2980" s="113" t="n"/>
      <c r="Y2980" s="113" t="n"/>
      <c r="Z2980" s="117">
        <f>IF($B2980="",0,IF($S2980="EVET",IF($D2980="GELİR",$O2980,-$O2980),0))</f>
        <v/>
      </c>
      <c r="AA2980" s="117">
        <f>IF($B2980="",0,IF(OR($W2980="EVET",$X2980="EVET",$Y2980="EVET"),0,IF($D2980="GELİR",IF($E2980="SATIŞ İADESİ/İSKONTO",-$O2980,$O2980),-$O2980)))</f>
        <v/>
      </c>
      <c r="AB2980" s="117">
        <f>IF($B2980="","",IF(OR($D2980="",$E2980="",$O2980=""),"EKSİK",IF($O2980&lt;=0,"SIFIR/NEGATİF",IF(COUNTIFS($C$6:$C$5000,$C2980,$O$6:$O$5000,$O2980,$B$6:$B$5000,$B2980)&gt;1,"MÜKERRER","OK"))))</f>
        <v/>
      </c>
    </row>
    <row r="2981" ht="16.5" customHeight="1" s="80">
      <c r="A2981" s="113" t="n"/>
      <c r="B2981" s="113" t="n"/>
      <c r="C2981" s="113" t="n"/>
      <c r="D2981" s="113" t="n"/>
      <c r="E2981" s="113" t="n"/>
      <c r="F2981" s="113" t="n"/>
      <c r="G2981" s="113" t="n"/>
      <c r="H2981" s="113" t="n"/>
      <c r="I2981" s="113" t="n"/>
      <c r="J2981" s="113" t="n"/>
      <c r="K2981" s="113" t="n"/>
      <c r="L2981" s="113" t="n"/>
      <c r="M2981" s="113" t="n"/>
      <c r="N2981" s="113" t="n"/>
      <c r="O2981" s="113" t="n"/>
      <c r="P2981" s="113" t="n"/>
      <c r="Q2981" s="113" t="n"/>
      <c r="R2981" s="113" t="n"/>
      <c r="S2981" s="113" t="n"/>
      <c r="T2981" s="113" t="n"/>
      <c r="U2981" s="113" t="n"/>
      <c r="V2981" s="113" t="n"/>
      <c r="W2981" s="113" t="n"/>
      <c r="X2981" s="113" t="n"/>
      <c r="Y2981" s="113" t="n"/>
      <c r="Z2981" s="117">
        <f>IF($B2981="",0,IF($S2981="EVET",IF($D2981="GELİR",$O2981,-$O2981),0))</f>
        <v/>
      </c>
      <c r="AA2981" s="117">
        <f>IF($B2981="",0,IF(OR($W2981="EVET",$X2981="EVET",$Y2981="EVET"),0,IF($D2981="GELİR",IF($E2981="SATIŞ İADESİ/İSKONTO",-$O2981,$O2981),-$O2981)))</f>
        <v/>
      </c>
      <c r="AB2981" s="117">
        <f>IF($B2981="","",IF(OR($D2981="",$E2981="",$O2981=""),"EKSİK",IF($O2981&lt;=0,"SIFIR/NEGATİF",IF(COUNTIFS($C$6:$C$5000,$C2981,$O$6:$O$5000,$O2981,$B$6:$B$5000,$B2981)&gt;1,"MÜKERRER","OK"))))</f>
        <v/>
      </c>
    </row>
    <row r="2982" ht="16.5" customHeight="1" s="80">
      <c r="A2982" s="113" t="n"/>
      <c r="B2982" s="113" t="n"/>
      <c r="C2982" s="113" t="n"/>
      <c r="D2982" s="113" t="n"/>
      <c r="E2982" s="113" t="n"/>
      <c r="F2982" s="113" t="n"/>
      <c r="G2982" s="113" t="n"/>
      <c r="H2982" s="113" t="n"/>
      <c r="I2982" s="113" t="n"/>
      <c r="J2982" s="113" t="n"/>
      <c r="K2982" s="113" t="n"/>
      <c r="L2982" s="113" t="n"/>
      <c r="M2982" s="113" t="n"/>
      <c r="N2982" s="113" t="n"/>
      <c r="O2982" s="113" t="n"/>
      <c r="P2982" s="113" t="n"/>
      <c r="Q2982" s="113" t="n"/>
      <c r="R2982" s="113" t="n"/>
      <c r="S2982" s="113" t="n"/>
      <c r="T2982" s="113" t="n"/>
      <c r="U2982" s="113" t="n"/>
      <c r="V2982" s="113" t="n"/>
      <c r="W2982" s="113" t="n"/>
      <c r="X2982" s="113" t="n"/>
      <c r="Y2982" s="113" t="n"/>
      <c r="Z2982" s="117">
        <f>IF($B2982="",0,IF($S2982="EVET",IF($D2982="GELİR",$O2982,-$O2982),0))</f>
        <v/>
      </c>
      <c r="AA2982" s="117">
        <f>IF($B2982="",0,IF(OR($W2982="EVET",$X2982="EVET",$Y2982="EVET"),0,IF($D2982="GELİR",IF($E2982="SATIŞ İADESİ/İSKONTO",-$O2982,$O2982),-$O2982)))</f>
        <v/>
      </c>
      <c r="AB2982" s="117">
        <f>IF($B2982="","",IF(OR($D2982="",$E2982="",$O2982=""),"EKSİK",IF($O2982&lt;=0,"SIFIR/NEGATİF",IF(COUNTIFS($C$6:$C$5000,$C2982,$O$6:$O$5000,$O2982,$B$6:$B$5000,$B2982)&gt;1,"MÜKERRER","OK"))))</f>
        <v/>
      </c>
    </row>
    <row r="2983" ht="16.5" customHeight="1" s="80">
      <c r="A2983" s="113" t="n"/>
      <c r="B2983" s="113" t="n"/>
      <c r="C2983" s="113" t="n"/>
      <c r="D2983" s="113" t="n"/>
      <c r="E2983" s="113" t="n"/>
      <c r="F2983" s="113" t="n"/>
      <c r="G2983" s="113" t="n"/>
      <c r="H2983" s="113" t="n"/>
      <c r="I2983" s="113" t="n"/>
      <c r="J2983" s="113" t="n"/>
      <c r="K2983" s="113" t="n"/>
      <c r="L2983" s="113" t="n"/>
      <c r="M2983" s="113" t="n"/>
      <c r="N2983" s="113" t="n"/>
      <c r="O2983" s="113" t="n"/>
      <c r="P2983" s="113" t="n"/>
      <c r="Q2983" s="113" t="n"/>
      <c r="R2983" s="113" t="n"/>
      <c r="S2983" s="113" t="n"/>
      <c r="T2983" s="113" t="n"/>
      <c r="U2983" s="113" t="n"/>
      <c r="V2983" s="113" t="n"/>
      <c r="W2983" s="113" t="n"/>
      <c r="X2983" s="113" t="n"/>
      <c r="Y2983" s="113" t="n"/>
      <c r="Z2983" s="117">
        <f>IF($B2983="",0,IF($S2983="EVET",IF($D2983="GELİR",$O2983,-$O2983),0))</f>
        <v/>
      </c>
      <c r="AA2983" s="117">
        <f>IF($B2983="",0,IF(OR($W2983="EVET",$X2983="EVET",$Y2983="EVET"),0,IF($D2983="GELİR",IF($E2983="SATIŞ İADESİ/İSKONTO",-$O2983,$O2983),-$O2983)))</f>
        <v/>
      </c>
      <c r="AB2983" s="117">
        <f>IF($B2983="","",IF(OR($D2983="",$E2983="",$O2983=""),"EKSİK",IF($O2983&lt;=0,"SIFIR/NEGATİF",IF(COUNTIFS($C$6:$C$5000,$C2983,$O$6:$O$5000,$O2983,$B$6:$B$5000,$B2983)&gt;1,"MÜKERRER","OK"))))</f>
        <v/>
      </c>
    </row>
    <row r="2984" ht="16.5" customHeight="1" s="80">
      <c r="A2984" s="113" t="n"/>
      <c r="B2984" s="113" t="n"/>
      <c r="C2984" s="113" t="n"/>
      <c r="D2984" s="113" t="n"/>
      <c r="E2984" s="113" t="n"/>
      <c r="F2984" s="113" t="n"/>
      <c r="G2984" s="113" t="n"/>
      <c r="H2984" s="113" t="n"/>
      <c r="I2984" s="113" t="n"/>
      <c r="J2984" s="113" t="n"/>
      <c r="K2984" s="113" t="n"/>
      <c r="L2984" s="113" t="n"/>
      <c r="M2984" s="113" t="n"/>
      <c r="N2984" s="113" t="n"/>
      <c r="O2984" s="113" t="n"/>
      <c r="P2984" s="113" t="n"/>
      <c r="Q2984" s="113" t="n"/>
      <c r="R2984" s="113" t="n"/>
      <c r="S2984" s="113" t="n"/>
      <c r="T2984" s="113" t="n"/>
      <c r="U2984" s="113" t="n"/>
      <c r="V2984" s="113" t="n"/>
      <c r="W2984" s="113" t="n"/>
      <c r="X2984" s="113" t="n"/>
      <c r="Y2984" s="113" t="n"/>
      <c r="Z2984" s="117">
        <f>IF($B2984="",0,IF($S2984="EVET",IF($D2984="GELİR",$O2984,-$O2984),0))</f>
        <v/>
      </c>
      <c r="AA2984" s="117">
        <f>IF($B2984="",0,IF(OR($W2984="EVET",$X2984="EVET",$Y2984="EVET"),0,IF($D2984="GELİR",IF($E2984="SATIŞ İADESİ/İSKONTO",-$O2984,$O2984),-$O2984)))</f>
        <v/>
      </c>
      <c r="AB2984" s="117">
        <f>IF($B2984="","",IF(OR($D2984="",$E2984="",$O2984=""),"EKSİK",IF($O2984&lt;=0,"SIFIR/NEGATİF",IF(COUNTIFS($C$6:$C$5000,$C2984,$O$6:$O$5000,$O2984,$B$6:$B$5000,$B2984)&gt;1,"MÜKERRER","OK"))))</f>
        <v/>
      </c>
    </row>
    <row r="2985" ht="16.5" customHeight="1" s="80">
      <c r="A2985" s="113" t="n"/>
      <c r="B2985" s="113" t="n"/>
      <c r="C2985" s="113" t="n"/>
      <c r="D2985" s="113" t="n"/>
      <c r="E2985" s="113" t="n"/>
      <c r="F2985" s="113" t="n"/>
      <c r="G2985" s="113" t="n"/>
      <c r="H2985" s="113" t="n"/>
      <c r="I2985" s="113" t="n"/>
      <c r="J2985" s="113" t="n"/>
      <c r="K2985" s="113" t="n"/>
      <c r="L2985" s="113" t="n"/>
      <c r="M2985" s="113" t="n"/>
      <c r="N2985" s="113" t="n"/>
      <c r="O2985" s="113" t="n"/>
      <c r="P2985" s="113" t="n"/>
      <c r="Q2985" s="113" t="n"/>
      <c r="R2985" s="113" t="n"/>
      <c r="S2985" s="113" t="n"/>
      <c r="T2985" s="113" t="n"/>
      <c r="U2985" s="113" t="n"/>
      <c r="V2985" s="113" t="n"/>
      <c r="W2985" s="113" t="n"/>
      <c r="X2985" s="113" t="n"/>
      <c r="Y2985" s="113" t="n"/>
      <c r="Z2985" s="117">
        <f>IF($B2985="",0,IF($S2985="EVET",IF($D2985="GELİR",$O2985,-$O2985),0))</f>
        <v/>
      </c>
      <c r="AA2985" s="117">
        <f>IF($B2985="",0,IF(OR($W2985="EVET",$X2985="EVET",$Y2985="EVET"),0,IF($D2985="GELİR",IF($E2985="SATIŞ İADESİ/İSKONTO",-$O2985,$O2985),-$O2985)))</f>
        <v/>
      </c>
      <c r="AB2985" s="117">
        <f>IF($B2985="","",IF(OR($D2985="",$E2985="",$O2985=""),"EKSİK",IF($O2985&lt;=0,"SIFIR/NEGATİF",IF(COUNTIFS($C$6:$C$5000,$C2985,$O$6:$O$5000,$O2985,$B$6:$B$5000,$B2985)&gt;1,"MÜKERRER","OK"))))</f>
        <v/>
      </c>
    </row>
    <row r="2986" ht="16.5" customHeight="1" s="80">
      <c r="A2986" s="113" t="n"/>
      <c r="B2986" s="113" t="n"/>
      <c r="C2986" s="113" t="n"/>
      <c r="D2986" s="113" t="n"/>
      <c r="E2986" s="113" t="n"/>
      <c r="F2986" s="113" t="n"/>
      <c r="G2986" s="113" t="n"/>
      <c r="H2986" s="113" t="n"/>
      <c r="I2986" s="113" t="n"/>
      <c r="J2986" s="113" t="n"/>
      <c r="K2986" s="113" t="n"/>
      <c r="L2986" s="113" t="n"/>
      <c r="M2986" s="113" t="n"/>
      <c r="N2986" s="113" t="n"/>
      <c r="O2986" s="113" t="n"/>
      <c r="P2986" s="113" t="n"/>
      <c r="Q2986" s="113" t="n"/>
      <c r="R2986" s="113" t="n"/>
      <c r="S2986" s="113" t="n"/>
      <c r="T2986" s="113" t="n"/>
      <c r="U2986" s="113" t="n"/>
      <c r="V2986" s="113" t="n"/>
      <c r="W2986" s="113" t="n"/>
      <c r="X2986" s="113" t="n"/>
      <c r="Y2986" s="113" t="n"/>
      <c r="Z2986" s="117">
        <f>IF($B2986="",0,IF($S2986="EVET",IF($D2986="GELİR",$O2986,-$O2986),0))</f>
        <v/>
      </c>
      <c r="AA2986" s="117">
        <f>IF($B2986="",0,IF(OR($W2986="EVET",$X2986="EVET",$Y2986="EVET"),0,IF($D2986="GELİR",IF($E2986="SATIŞ İADESİ/İSKONTO",-$O2986,$O2986),-$O2986)))</f>
        <v/>
      </c>
      <c r="AB2986" s="117">
        <f>IF($B2986="","",IF(OR($D2986="",$E2986="",$O2986=""),"EKSİK",IF($O2986&lt;=0,"SIFIR/NEGATİF",IF(COUNTIFS($C$6:$C$5000,$C2986,$O$6:$O$5000,$O2986,$B$6:$B$5000,$B2986)&gt;1,"MÜKERRER","OK"))))</f>
        <v/>
      </c>
    </row>
    <row r="2987" ht="16.5" customHeight="1" s="80">
      <c r="A2987" s="113" t="n"/>
      <c r="B2987" s="113" t="n"/>
      <c r="C2987" s="113" t="n"/>
      <c r="D2987" s="113" t="n"/>
      <c r="E2987" s="113" t="n"/>
      <c r="F2987" s="113" t="n"/>
      <c r="G2987" s="113" t="n"/>
      <c r="H2987" s="113" t="n"/>
      <c r="I2987" s="113" t="n"/>
      <c r="J2987" s="113" t="n"/>
      <c r="K2987" s="113" t="n"/>
      <c r="L2987" s="113" t="n"/>
      <c r="M2987" s="113" t="n"/>
      <c r="N2987" s="113" t="n"/>
      <c r="O2987" s="113" t="n"/>
      <c r="P2987" s="113" t="n"/>
      <c r="Q2987" s="113" t="n"/>
      <c r="R2987" s="113" t="n"/>
      <c r="S2987" s="113" t="n"/>
      <c r="T2987" s="113" t="n"/>
      <c r="U2987" s="113" t="n"/>
      <c r="V2987" s="113" t="n"/>
      <c r="W2987" s="113" t="n"/>
      <c r="X2987" s="113" t="n"/>
      <c r="Y2987" s="113" t="n"/>
      <c r="Z2987" s="117">
        <f>IF($B2987="",0,IF($S2987="EVET",IF($D2987="GELİR",$O2987,-$O2987),0))</f>
        <v/>
      </c>
      <c r="AA2987" s="117">
        <f>IF($B2987="",0,IF(OR($W2987="EVET",$X2987="EVET",$Y2987="EVET"),0,IF($D2987="GELİR",IF($E2987="SATIŞ İADESİ/İSKONTO",-$O2987,$O2987),-$O2987)))</f>
        <v/>
      </c>
      <c r="AB2987" s="117">
        <f>IF($B2987="","",IF(OR($D2987="",$E2987="",$O2987=""),"EKSİK",IF($O2987&lt;=0,"SIFIR/NEGATİF",IF(COUNTIFS($C$6:$C$5000,$C2987,$O$6:$O$5000,$O2987,$B$6:$B$5000,$B2987)&gt;1,"MÜKERRER","OK"))))</f>
        <v/>
      </c>
    </row>
    <row r="2988" ht="16.5" customHeight="1" s="80">
      <c r="A2988" s="113" t="n"/>
      <c r="B2988" s="113" t="n"/>
      <c r="C2988" s="113" t="n"/>
      <c r="D2988" s="113" t="n"/>
      <c r="E2988" s="113" t="n"/>
      <c r="F2988" s="113" t="n"/>
      <c r="G2988" s="113" t="n"/>
      <c r="H2988" s="113" t="n"/>
      <c r="I2988" s="113" t="n"/>
      <c r="J2988" s="113" t="n"/>
      <c r="K2988" s="113" t="n"/>
      <c r="L2988" s="113" t="n"/>
      <c r="M2988" s="113" t="n"/>
      <c r="N2988" s="113" t="n"/>
      <c r="O2988" s="113" t="n"/>
      <c r="P2988" s="113" t="n"/>
      <c r="Q2988" s="113" t="n"/>
      <c r="R2988" s="113" t="n"/>
      <c r="S2988" s="113" t="n"/>
      <c r="T2988" s="113" t="n"/>
      <c r="U2988" s="113" t="n"/>
      <c r="V2988" s="113" t="n"/>
      <c r="W2988" s="113" t="n"/>
      <c r="X2988" s="113" t="n"/>
      <c r="Y2988" s="113" t="n"/>
      <c r="Z2988" s="117">
        <f>IF($B2988="",0,IF($S2988="EVET",IF($D2988="GELİR",$O2988,-$O2988),0))</f>
        <v/>
      </c>
      <c r="AA2988" s="117">
        <f>IF($B2988="",0,IF(OR($W2988="EVET",$X2988="EVET",$Y2988="EVET"),0,IF($D2988="GELİR",IF($E2988="SATIŞ İADESİ/İSKONTO",-$O2988,$O2988),-$O2988)))</f>
        <v/>
      </c>
      <c r="AB2988" s="117">
        <f>IF($B2988="","",IF(OR($D2988="",$E2988="",$O2988=""),"EKSİK",IF($O2988&lt;=0,"SIFIR/NEGATİF",IF(COUNTIFS($C$6:$C$5000,$C2988,$O$6:$O$5000,$O2988,$B$6:$B$5000,$B2988)&gt;1,"MÜKERRER","OK"))))</f>
        <v/>
      </c>
    </row>
    <row r="2989" ht="16.5" customHeight="1" s="80">
      <c r="A2989" s="113" t="n"/>
      <c r="B2989" s="113" t="n"/>
      <c r="C2989" s="113" t="n"/>
      <c r="D2989" s="113" t="n"/>
      <c r="E2989" s="113" t="n"/>
      <c r="F2989" s="113" t="n"/>
      <c r="G2989" s="113" t="n"/>
      <c r="H2989" s="113" t="n"/>
      <c r="I2989" s="113" t="n"/>
      <c r="J2989" s="113" t="n"/>
      <c r="K2989" s="113" t="n"/>
      <c r="L2989" s="113" t="n"/>
      <c r="M2989" s="113" t="n"/>
      <c r="N2989" s="113" t="n"/>
      <c r="O2989" s="113" t="n"/>
      <c r="P2989" s="113" t="n"/>
      <c r="Q2989" s="113" t="n"/>
      <c r="R2989" s="113" t="n"/>
      <c r="S2989" s="113" t="n"/>
      <c r="T2989" s="113" t="n"/>
      <c r="U2989" s="113" t="n"/>
      <c r="V2989" s="113" t="n"/>
      <c r="W2989" s="113" t="n"/>
      <c r="X2989" s="113" t="n"/>
      <c r="Y2989" s="113" t="n"/>
      <c r="Z2989" s="117">
        <f>IF($B2989="",0,IF($S2989="EVET",IF($D2989="GELİR",$O2989,-$O2989),0))</f>
        <v/>
      </c>
      <c r="AA2989" s="117">
        <f>IF($B2989="",0,IF(OR($W2989="EVET",$X2989="EVET",$Y2989="EVET"),0,IF($D2989="GELİR",IF($E2989="SATIŞ İADESİ/İSKONTO",-$O2989,$O2989),-$O2989)))</f>
        <v/>
      </c>
      <c r="AB2989" s="117">
        <f>IF($B2989="","",IF(OR($D2989="",$E2989="",$O2989=""),"EKSİK",IF($O2989&lt;=0,"SIFIR/NEGATİF",IF(COUNTIFS($C$6:$C$5000,$C2989,$O$6:$O$5000,$O2989,$B$6:$B$5000,$B2989)&gt;1,"MÜKERRER","OK"))))</f>
        <v/>
      </c>
    </row>
    <row r="2990" ht="16.5" customHeight="1" s="80">
      <c r="A2990" s="113" t="n"/>
      <c r="B2990" s="113" t="n"/>
      <c r="C2990" s="113" t="n"/>
      <c r="D2990" s="113" t="n"/>
      <c r="E2990" s="113" t="n"/>
      <c r="F2990" s="113" t="n"/>
      <c r="G2990" s="113" t="n"/>
      <c r="H2990" s="113" t="n"/>
      <c r="I2990" s="113" t="n"/>
      <c r="J2990" s="113" t="n"/>
      <c r="K2990" s="113" t="n"/>
      <c r="L2990" s="113" t="n"/>
      <c r="M2990" s="113" t="n"/>
      <c r="N2990" s="113" t="n"/>
      <c r="O2990" s="113" t="n"/>
      <c r="P2990" s="113" t="n"/>
      <c r="Q2990" s="113" t="n"/>
      <c r="R2990" s="113" t="n"/>
      <c r="S2990" s="113" t="n"/>
      <c r="T2990" s="113" t="n"/>
      <c r="U2990" s="113" t="n"/>
      <c r="V2990" s="113" t="n"/>
      <c r="W2990" s="113" t="n"/>
      <c r="X2990" s="113" t="n"/>
      <c r="Y2990" s="113" t="n"/>
      <c r="Z2990" s="117">
        <f>IF($B2990="",0,IF($S2990="EVET",IF($D2990="GELİR",$O2990,-$O2990),0))</f>
        <v/>
      </c>
      <c r="AA2990" s="117">
        <f>IF($B2990="",0,IF(OR($W2990="EVET",$X2990="EVET",$Y2990="EVET"),0,IF($D2990="GELİR",IF($E2990="SATIŞ İADESİ/İSKONTO",-$O2990,$O2990),-$O2990)))</f>
        <v/>
      </c>
      <c r="AB2990" s="117">
        <f>IF($B2990="","",IF(OR($D2990="",$E2990="",$O2990=""),"EKSİK",IF($O2990&lt;=0,"SIFIR/NEGATİF",IF(COUNTIFS($C$6:$C$5000,$C2990,$O$6:$O$5000,$O2990,$B$6:$B$5000,$B2990)&gt;1,"MÜKERRER","OK"))))</f>
        <v/>
      </c>
    </row>
    <row r="2991" ht="16.5" customHeight="1" s="80">
      <c r="A2991" s="113" t="n"/>
      <c r="B2991" s="113" t="n"/>
      <c r="C2991" s="113" t="n"/>
      <c r="D2991" s="113" t="n"/>
      <c r="E2991" s="113" t="n"/>
      <c r="F2991" s="113" t="n"/>
      <c r="G2991" s="113" t="n"/>
      <c r="H2991" s="113" t="n"/>
      <c r="I2991" s="113" t="n"/>
      <c r="J2991" s="113" t="n"/>
      <c r="K2991" s="113" t="n"/>
      <c r="L2991" s="113" t="n"/>
      <c r="M2991" s="113" t="n"/>
      <c r="N2991" s="113" t="n"/>
      <c r="O2991" s="113" t="n"/>
      <c r="P2991" s="113" t="n"/>
      <c r="Q2991" s="113" t="n"/>
      <c r="R2991" s="113" t="n"/>
      <c r="S2991" s="113" t="n"/>
      <c r="T2991" s="113" t="n"/>
      <c r="U2991" s="113" t="n"/>
      <c r="V2991" s="113" t="n"/>
      <c r="W2991" s="113" t="n"/>
      <c r="X2991" s="113" t="n"/>
      <c r="Y2991" s="113" t="n"/>
      <c r="Z2991" s="117">
        <f>IF($B2991="",0,IF($S2991="EVET",IF($D2991="GELİR",$O2991,-$O2991),0))</f>
        <v/>
      </c>
      <c r="AA2991" s="117">
        <f>IF($B2991="",0,IF(OR($W2991="EVET",$X2991="EVET",$Y2991="EVET"),0,IF($D2991="GELİR",IF($E2991="SATIŞ İADESİ/İSKONTO",-$O2991,$O2991),-$O2991)))</f>
        <v/>
      </c>
      <c r="AB2991" s="117">
        <f>IF($B2991="","",IF(OR($D2991="",$E2991="",$O2991=""),"EKSİK",IF($O2991&lt;=0,"SIFIR/NEGATİF",IF(COUNTIFS($C$6:$C$5000,$C2991,$O$6:$O$5000,$O2991,$B$6:$B$5000,$B2991)&gt;1,"MÜKERRER","OK"))))</f>
        <v/>
      </c>
    </row>
    <row r="2992" ht="16.5" customHeight="1" s="80">
      <c r="A2992" s="113" t="n"/>
      <c r="B2992" s="113" t="n"/>
      <c r="C2992" s="113" t="n"/>
      <c r="D2992" s="113" t="n"/>
      <c r="E2992" s="113" t="n"/>
      <c r="F2992" s="113" t="n"/>
      <c r="G2992" s="113" t="n"/>
      <c r="H2992" s="113" t="n"/>
      <c r="I2992" s="113" t="n"/>
      <c r="J2992" s="113" t="n"/>
      <c r="K2992" s="113" t="n"/>
      <c r="L2992" s="113" t="n"/>
      <c r="M2992" s="113" t="n"/>
      <c r="N2992" s="113" t="n"/>
      <c r="O2992" s="113" t="n"/>
      <c r="P2992" s="113" t="n"/>
      <c r="Q2992" s="113" t="n"/>
      <c r="R2992" s="113" t="n"/>
      <c r="S2992" s="113" t="n"/>
      <c r="T2992" s="113" t="n"/>
      <c r="U2992" s="113" t="n"/>
      <c r="V2992" s="113" t="n"/>
      <c r="W2992" s="113" t="n"/>
      <c r="X2992" s="113" t="n"/>
      <c r="Y2992" s="113" t="n"/>
      <c r="Z2992" s="117">
        <f>IF($B2992="",0,IF($S2992="EVET",IF($D2992="GELİR",$O2992,-$O2992),0))</f>
        <v/>
      </c>
      <c r="AA2992" s="117">
        <f>IF($B2992="",0,IF(OR($W2992="EVET",$X2992="EVET",$Y2992="EVET"),0,IF($D2992="GELİR",IF($E2992="SATIŞ İADESİ/İSKONTO",-$O2992,$O2992),-$O2992)))</f>
        <v/>
      </c>
      <c r="AB2992" s="117">
        <f>IF($B2992="","",IF(OR($D2992="",$E2992="",$O2992=""),"EKSİK",IF($O2992&lt;=0,"SIFIR/NEGATİF",IF(COUNTIFS($C$6:$C$5000,$C2992,$O$6:$O$5000,$O2992,$B$6:$B$5000,$B2992)&gt;1,"MÜKERRER","OK"))))</f>
        <v/>
      </c>
    </row>
    <row r="2993" ht="16.5" customHeight="1" s="80">
      <c r="A2993" s="113" t="n"/>
      <c r="B2993" s="113" t="n"/>
      <c r="C2993" s="113" t="n"/>
      <c r="D2993" s="113" t="n"/>
      <c r="E2993" s="113" t="n"/>
      <c r="F2993" s="113" t="n"/>
      <c r="G2993" s="113" t="n"/>
      <c r="H2993" s="113" t="n"/>
      <c r="I2993" s="113" t="n"/>
      <c r="J2993" s="113" t="n"/>
      <c r="K2993" s="113" t="n"/>
      <c r="L2993" s="113" t="n"/>
      <c r="M2993" s="113" t="n"/>
      <c r="N2993" s="113" t="n"/>
      <c r="O2993" s="113" t="n"/>
      <c r="P2993" s="113" t="n"/>
      <c r="Q2993" s="113" t="n"/>
      <c r="R2993" s="113" t="n"/>
      <c r="S2993" s="113" t="n"/>
      <c r="T2993" s="113" t="n"/>
      <c r="U2993" s="113" t="n"/>
      <c r="V2993" s="113" t="n"/>
      <c r="W2993" s="113" t="n"/>
      <c r="X2993" s="113" t="n"/>
      <c r="Y2993" s="113" t="n"/>
      <c r="Z2993" s="117">
        <f>IF($B2993="",0,IF($S2993="EVET",IF($D2993="GELİR",$O2993,-$O2993),0))</f>
        <v/>
      </c>
      <c r="AA2993" s="117">
        <f>IF($B2993="",0,IF(OR($W2993="EVET",$X2993="EVET",$Y2993="EVET"),0,IF($D2993="GELİR",IF($E2993="SATIŞ İADESİ/İSKONTO",-$O2993,$O2993),-$O2993)))</f>
        <v/>
      </c>
      <c r="AB2993" s="117">
        <f>IF($B2993="","",IF(OR($D2993="",$E2993="",$O2993=""),"EKSİK",IF($O2993&lt;=0,"SIFIR/NEGATİF",IF(COUNTIFS($C$6:$C$5000,$C2993,$O$6:$O$5000,$O2993,$B$6:$B$5000,$B2993)&gt;1,"MÜKERRER","OK"))))</f>
        <v/>
      </c>
    </row>
    <row r="2994" ht="16.5" customHeight="1" s="80">
      <c r="A2994" s="113" t="n"/>
      <c r="B2994" s="113" t="n"/>
      <c r="C2994" s="113" t="n"/>
      <c r="D2994" s="113" t="n"/>
      <c r="E2994" s="113" t="n"/>
      <c r="F2994" s="113" t="n"/>
      <c r="G2994" s="113" t="n"/>
      <c r="H2994" s="113" t="n"/>
      <c r="I2994" s="113" t="n"/>
      <c r="J2994" s="113" t="n"/>
      <c r="K2994" s="113" t="n"/>
      <c r="L2994" s="113" t="n"/>
      <c r="M2994" s="113" t="n"/>
      <c r="N2994" s="113" t="n"/>
      <c r="O2994" s="113" t="n"/>
      <c r="P2994" s="113" t="n"/>
      <c r="Q2994" s="113" t="n"/>
      <c r="R2994" s="113" t="n"/>
      <c r="S2994" s="113" t="n"/>
      <c r="T2994" s="113" t="n"/>
      <c r="U2994" s="113" t="n"/>
      <c r="V2994" s="113" t="n"/>
      <c r="W2994" s="113" t="n"/>
      <c r="X2994" s="113" t="n"/>
      <c r="Y2994" s="113" t="n"/>
      <c r="Z2994" s="117">
        <f>IF($B2994="",0,IF($S2994="EVET",IF($D2994="GELİR",$O2994,-$O2994),0))</f>
        <v/>
      </c>
      <c r="AA2994" s="117">
        <f>IF($B2994="",0,IF(OR($W2994="EVET",$X2994="EVET",$Y2994="EVET"),0,IF($D2994="GELİR",IF($E2994="SATIŞ İADESİ/İSKONTO",-$O2994,$O2994),-$O2994)))</f>
        <v/>
      </c>
      <c r="AB2994" s="117">
        <f>IF($B2994="","",IF(OR($D2994="",$E2994="",$O2994=""),"EKSİK",IF($O2994&lt;=0,"SIFIR/NEGATİF",IF(COUNTIFS($C$6:$C$5000,$C2994,$O$6:$O$5000,$O2994,$B$6:$B$5000,$B2994)&gt;1,"MÜKERRER","OK"))))</f>
        <v/>
      </c>
    </row>
    <row r="2995" ht="16.5" customHeight="1" s="80">
      <c r="A2995" s="113" t="n"/>
      <c r="B2995" s="113" t="n"/>
      <c r="C2995" s="113" t="n"/>
      <c r="D2995" s="113" t="n"/>
      <c r="E2995" s="113" t="n"/>
      <c r="F2995" s="113" t="n"/>
      <c r="G2995" s="113" t="n"/>
      <c r="H2995" s="113" t="n"/>
      <c r="I2995" s="113" t="n"/>
      <c r="J2995" s="113" t="n"/>
      <c r="K2995" s="113" t="n"/>
      <c r="L2995" s="113" t="n"/>
      <c r="M2995" s="113" t="n"/>
      <c r="N2995" s="113" t="n"/>
      <c r="O2995" s="113" t="n"/>
      <c r="P2995" s="113" t="n"/>
      <c r="Q2995" s="113" t="n"/>
      <c r="R2995" s="113" t="n"/>
      <c r="S2995" s="113" t="n"/>
      <c r="T2995" s="113" t="n"/>
      <c r="U2995" s="113" t="n"/>
      <c r="V2995" s="113" t="n"/>
      <c r="W2995" s="113" t="n"/>
      <c r="X2995" s="113" t="n"/>
      <c r="Y2995" s="113" t="n"/>
      <c r="Z2995" s="117">
        <f>IF($B2995="",0,IF($S2995="EVET",IF($D2995="GELİR",$O2995,-$O2995),0))</f>
        <v/>
      </c>
      <c r="AA2995" s="117">
        <f>IF($B2995="",0,IF(OR($W2995="EVET",$X2995="EVET",$Y2995="EVET"),0,IF($D2995="GELİR",IF($E2995="SATIŞ İADESİ/İSKONTO",-$O2995,$O2995),-$O2995)))</f>
        <v/>
      </c>
      <c r="AB2995" s="117">
        <f>IF($B2995="","",IF(OR($D2995="",$E2995="",$O2995=""),"EKSİK",IF($O2995&lt;=0,"SIFIR/NEGATİF",IF(COUNTIFS($C$6:$C$5000,$C2995,$O$6:$O$5000,$O2995,$B$6:$B$5000,$B2995)&gt;1,"MÜKERRER","OK"))))</f>
        <v/>
      </c>
    </row>
    <row r="2996" ht="16.5" customHeight="1" s="80">
      <c r="A2996" s="113" t="n"/>
      <c r="B2996" s="113" t="n"/>
      <c r="C2996" s="113" t="n"/>
      <c r="D2996" s="113" t="n"/>
      <c r="E2996" s="113" t="n"/>
      <c r="F2996" s="113" t="n"/>
      <c r="G2996" s="113" t="n"/>
      <c r="H2996" s="113" t="n"/>
      <c r="I2996" s="113" t="n"/>
      <c r="J2996" s="113" t="n"/>
      <c r="K2996" s="113" t="n"/>
      <c r="L2996" s="113" t="n"/>
      <c r="M2996" s="113" t="n"/>
      <c r="N2996" s="113" t="n"/>
      <c r="O2996" s="113" t="n"/>
      <c r="P2996" s="113" t="n"/>
      <c r="Q2996" s="113" t="n"/>
      <c r="R2996" s="113" t="n"/>
      <c r="S2996" s="113" t="n"/>
      <c r="T2996" s="113" t="n"/>
      <c r="U2996" s="113" t="n"/>
      <c r="V2996" s="113" t="n"/>
      <c r="W2996" s="113" t="n"/>
      <c r="X2996" s="113" t="n"/>
      <c r="Y2996" s="113" t="n"/>
      <c r="Z2996" s="117">
        <f>IF($B2996="",0,IF($S2996="EVET",IF($D2996="GELİR",$O2996,-$O2996),0))</f>
        <v/>
      </c>
      <c r="AA2996" s="117">
        <f>IF($B2996="",0,IF(OR($W2996="EVET",$X2996="EVET",$Y2996="EVET"),0,IF($D2996="GELİR",IF($E2996="SATIŞ İADESİ/İSKONTO",-$O2996,$O2996),-$O2996)))</f>
        <v/>
      </c>
      <c r="AB2996" s="117">
        <f>IF($B2996="","",IF(OR($D2996="",$E2996="",$O2996=""),"EKSİK",IF($O2996&lt;=0,"SIFIR/NEGATİF",IF(COUNTIFS($C$6:$C$5000,$C2996,$O$6:$O$5000,$O2996,$B$6:$B$5000,$B2996)&gt;1,"MÜKERRER","OK"))))</f>
        <v/>
      </c>
    </row>
    <row r="2997" ht="16.5" customHeight="1" s="80">
      <c r="A2997" s="113" t="n"/>
      <c r="B2997" s="113" t="n"/>
      <c r="C2997" s="113" t="n"/>
      <c r="D2997" s="113" t="n"/>
      <c r="E2997" s="113" t="n"/>
      <c r="F2997" s="113" t="n"/>
      <c r="G2997" s="113" t="n"/>
      <c r="H2997" s="113" t="n"/>
      <c r="I2997" s="113" t="n"/>
      <c r="J2997" s="113" t="n"/>
      <c r="K2997" s="113" t="n"/>
      <c r="L2997" s="113" t="n"/>
      <c r="M2997" s="113" t="n"/>
      <c r="N2997" s="113" t="n"/>
      <c r="O2997" s="113" t="n"/>
      <c r="P2997" s="113" t="n"/>
      <c r="Q2997" s="113" t="n"/>
      <c r="R2997" s="113" t="n"/>
      <c r="S2997" s="113" t="n"/>
      <c r="T2997" s="113" t="n"/>
      <c r="U2997" s="113" t="n"/>
      <c r="V2997" s="113" t="n"/>
      <c r="W2997" s="113" t="n"/>
      <c r="X2997" s="113" t="n"/>
      <c r="Y2997" s="113" t="n"/>
      <c r="Z2997" s="117">
        <f>IF($B2997="",0,IF($S2997="EVET",IF($D2997="GELİR",$O2997,-$O2997),0))</f>
        <v/>
      </c>
      <c r="AA2997" s="117">
        <f>IF($B2997="",0,IF(OR($W2997="EVET",$X2997="EVET",$Y2997="EVET"),0,IF($D2997="GELİR",IF($E2997="SATIŞ İADESİ/İSKONTO",-$O2997,$O2997),-$O2997)))</f>
        <v/>
      </c>
      <c r="AB2997" s="117">
        <f>IF($B2997="","",IF(OR($D2997="",$E2997="",$O2997=""),"EKSİK",IF($O2997&lt;=0,"SIFIR/NEGATİF",IF(COUNTIFS($C$6:$C$5000,$C2997,$O$6:$O$5000,$O2997,$B$6:$B$5000,$B2997)&gt;1,"MÜKERRER","OK"))))</f>
        <v/>
      </c>
    </row>
    <row r="2998" ht="16.5" customHeight="1" s="80">
      <c r="A2998" s="113" t="n"/>
      <c r="B2998" s="113" t="n"/>
      <c r="C2998" s="113" t="n"/>
      <c r="D2998" s="113" t="n"/>
      <c r="E2998" s="113" t="n"/>
      <c r="F2998" s="113" t="n"/>
      <c r="G2998" s="113" t="n"/>
      <c r="H2998" s="113" t="n"/>
      <c r="I2998" s="113" t="n"/>
      <c r="J2998" s="113" t="n"/>
      <c r="K2998" s="113" t="n"/>
      <c r="L2998" s="113" t="n"/>
      <c r="M2998" s="113" t="n"/>
      <c r="N2998" s="113" t="n"/>
      <c r="O2998" s="113" t="n"/>
      <c r="P2998" s="113" t="n"/>
      <c r="Q2998" s="113" t="n"/>
      <c r="R2998" s="113" t="n"/>
      <c r="S2998" s="113" t="n"/>
      <c r="T2998" s="113" t="n"/>
      <c r="U2998" s="113" t="n"/>
      <c r="V2998" s="113" t="n"/>
      <c r="W2998" s="113" t="n"/>
      <c r="X2998" s="113" t="n"/>
      <c r="Y2998" s="113" t="n"/>
      <c r="Z2998" s="117">
        <f>IF($B2998="",0,IF($S2998="EVET",IF($D2998="GELİR",$O2998,-$O2998),0))</f>
        <v/>
      </c>
      <c r="AA2998" s="117">
        <f>IF($B2998="",0,IF(OR($W2998="EVET",$X2998="EVET",$Y2998="EVET"),0,IF($D2998="GELİR",IF($E2998="SATIŞ İADESİ/İSKONTO",-$O2998,$O2998),-$O2998)))</f>
        <v/>
      </c>
      <c r="AB2998" s="117">
        <f>IF($B2998="","",IF(OR($D2998="",$E2998="",$O2998=""),"EKSİK",IF($O2998&lt;=0,"SIFIR/NEGATİF",IF(COUNTIFS($C$6:$C$5000,$C2998,$O$6:$O$5000,$O2998,$B$6:$B$5000,$B2998)&gt;1,"MÜKERRER","OK"))))</f>
        <v/>
      </c>
    </row>
    <row r="2999" ht="16.5" customHeight="1" s="80">
      <c r="A2999" s="113" t="n"/>
      <c r="B2999" s="113" t="n"/>
      <c r="C2999" s="113" t="n"/>
      <c r="D2999" s="113" t="n"/>
      <c r="E2999" s="113" t="n"/>
      <c r="F2999" s="113" t="n"/>
      <c r="G2999" s="113" t="n"/>
      <c r="H2999" s="113" t="n"/>
      <c r="I2999" s="113" t="n"/>
      <c r="J2999" s="113" t="n"/>
      <c r="K2999" s="113" t="n"/>
      <c r="L2999" s="113" t="n"/>
      <c r="M2999" s="113" t="n"/>
      <c r="N2999" s="113" t="n"/>
      <c r="O2999" s="113" t="n"/>
      <c r="P2999" s="113" t="n"/>
      <c r="Q2999" s="113" t="n"/>
      <c r="R2999" s="113" t="n"/>
      <c r="S2999" s="113" t="n"/>
      <c r="T2999" s="113" t="n"/>
      <c r="U2999" s="113" t="n"/>
      <c r="V2999" s="113" t="n"/>
      <c r="W2999" s="113" t="n"/>
      <c r="X2999" s="113" t="n"/>
      <c r="Y2999" s="113" t="n"/>
      <c r="Z2999" s="117">
        <f>IF($B2999="",0,IF($S2999="EVET",IF($D2999="GELİR",$O2999,-$O2999),0))</f>
        <v/>
      </c>
      <c r="AA2999" s="117">
        <f>IF($B2999="",0,IF(OR($W2999="EVET",$X2999="EVET",$Y2999="EVET"),0,IF($D2999="GELİR",IF($E2999="SATIŞ İADESİ/İSKONTO",-$O2999,$O2999),-$O2999)))</f>
        <v/>
      </c>
      <c r="AB2999" s="117">
        <f>IF($B2999="","",IF(OR($D2999="",$E2999="",$O2999=""),"EKSİK",IF($O2999&lt;=0,"SIFIR/NEGATİF",IF(COUNTIFS($C$6:$C$5000,$C2999,$O$6:$O$5000,$O2999,$B$6:$B$5000,$B2999)&gt;1,"MÜKERRER","OK"))))</f>
        <v/>
      </c>
    </row>
    <row r="3000" ht="16.5" customHeight="1" s="80">
      <c r="A3000" s="113" t="n"/>
      <c r="B3000" s="113" t="n"/>
      <c r="C3000" s="113" t="n"/>
      <c r="D3000" s="113" t="n"/>
      <c r="E3000" s="113" t="n"/>
      <c r="F3000" s="113" t="n"/>
      <c r="G3000" s="113" t="n"/>
      <c r="H3000" s="113" t="n"/>
      <c r="I3000" s="113" t="n"/>
      <c r="J3000" s="113" t="n"/>
      <c r="K3000" s="113" t="n"/>
      <c r="L3000" s="113" t="n"/>
      <c r="M3000" s="113" t="n"/>
      <c r="N3000" s="113" t="n"/>
      <c r="O3000" s="113" t="n"/>
      <c r="P3000" s="113" t="n"/>
      <c r="Q3000" s="113" t="n"/>
      <c r="R3000" s="113" t="n"/>
      <c r="S3000" s="113" t="n"/>
      <c r="T3000" s="113" t="n"/>
      <c r="U3000" s="113" t="n"/>
      <c r="V3000" s="113" t="n"/>
      <c r="W3000" s="113" t="n"/>
      <c r="X3000" s="113" t="n"/>
      <c r="Y3000" s="113" t="n"/>
      <c r="Z3000" s="117">
        <f>IF($B3000="",0,IF($S3000="EVET",IF($D3000="GELİR",$O3000,-$O3000),0))</f>
        <v/>
      </c>
      <c r="AA3000" s="117">
        <f>IF($B3000="",0,IF(OR($W3000="EVET",$X3000="EVET",$Y3000="EVET"),0,IF($D3000="GELİR",IF($E3000="SATIŞ İADESİ/İSKONTO",-$O3000,$O3000),-$O3000)))</f>
        <v/>
      </c>
      <c r="AB3000" s="117">
        <f>IF($B3000="","",IF(OR($D3000="",$E3000="",$O3000=""),"EKSİK",IF($O3000&lt;=0,"SIFIR/NEGATİF",IF(COUNTIFS($C$6:$C$5000,$C3000,$O$6:$O$5000,$O3000,$B$6:$B$5000,$B3000)&gt;1,"MÜKERRER","OK"))))</f>
        <v/>
      </c>
    </row>
    <row r="3001" ht="16.5" customHeight="1" s="80">
      <c r="A3001" s="113" t="n"/>
      <c r="B3001" s="113" t="n"/>
      <c r="C3001" s="113" t="n"/>
      <c r="D3001" s="113" t="n"/>
      <c r="E3001" s="113" t="n"/>
      <c r="F3001" s="113" t="n"/>
      <c r="G3001" s="113" t="n"/>
      <c r="H3001" s="113" t="n"/>
      <c r="I3001" s="113" t="n"/>
      <c r="J3001" s="113" t="n"/>
      <c r="K3001" s="113" t="n"/>
      <c r="L3001" s="113" t="n"/>
      <c r="M3001" s="113" t="n"/>
      <c r="N3001" s="113" t="n"/>
      <c r="O3001" s="113" t="n"/>
      <c r="P3001" s="113" t="n"/>
      <c r="Q3001" s="113" t="n"/>
      <c r="R3001" s="113" t="n"/>
      <c r="S3001" s="113" t="n"/>
      <c r="T3001" s="113" t="n"/>
      <c r="U3001" s="113" t="n"/>
      <c r="V3001" s="113" t="n"/>
      <c r="W3001" s="113" t="n"/>
      <c r="X3001" s="113" t="n"/>
      <c r="Y3001" s="113" t="n"/>
      <c r="Z3001" s="117">
        <f>IF($B3001="",0,IF($S3001="EVET",IF($D3001="GELİR",$O3001,-$O3001),0))</f>
        <v/>
      </c>
      <c r="AA3001" s="117">
        <f>IF($B3001="",0,IF(OR($W3001="EVET",$X3001="EVET",$Y3001="EVET"),0,IF($D3001="GELİR",IF($E3001="SATIŞ İADESİ/İSKONTO",-$O3001,$O3001),-$O3001)))</f>
        <v/>
      </c>
      <c r="AB3001" s="117">
        <f>IF($B3001="","",IF(OR($D3001="",$E3001="",$O3001=""),"EKSİK",IF($O3001&lt;=0,"SIFIR/NEGATİF",IF(COUNTIFS($C$6:$C$5000,$C3001,$O$6:$O$5000,$O3001,$B$6:$B$5000,$B3001)&gt;1,"MÜKERRER","OK"))))</f>
        <v/>
      </c>
    </row>
    <row r="3002" ht="16.5" customHeight="1" s="80">
      <c r="A3002" s="113" t="n"/>
      <c r="B3002" s="113" t="n"/>
      <c r="C3002" s="113" t="n"/>
      <c r="D3002" s="113" t="n"/>
      <c r="E3002" s="113" t="n"/>
      <c r="F3002" s="113" t="n"/>
      <c r="G3002" s="113" t="n"/>
      <c r="H3002" s="113" t="n"/>
      <c r="I3002" s="113" t="n"/>
      <c r="J3002" s="113" t="n"/>
      <c r="K3002" s="113" t="n"/>
      <c r="L3002" s="113" t="n"/>
      <c r="M3002" s="113" t="n"/>
      <c r="N3002" s="113" t="n"/>
      <c r="O3002" s="113" t="n"/>
      <c r="P3002" s="113" t="n"/>
      <c r="Q3002" s="113" t="n"/>
      <c r="R3002" s="113" t="n"/>
      <c r="S3002" s="113" t="n"/>
      <c r="T3002" s="113" t="n"/>
      <c r="U3002" s="113" t="n"/>
      <c r="V3002" s="113" t="n"/>
      <c r="W3002" s="113" t="n"/>
      <c r="X3002" s="113" t="n"/>
      <c r="Y3002" s="113" t="n"/>
      <c r="Z3002" s="117">
        <f>IF($B3002="",0,IF($S3002="EVET",IF($D3002="GELİR",$O3002,-$O3002),0))</f>
        <v/>
      </c>
      <c r="AA3002" s="117">
        <f>IF($B3002="",0,IF(OR($W3002="EVET",$X3002="EVET",$Y3002="EVET"),0,IF($D3002="GELİR",IF($E3002="SATIŞ İADESİ/İSKONTO",-$O3002,$O3002),-$O3002)))</f>
        <v/>
      </c>
      <c r="AB3002" s="117">
        <f>IF($B3002="","",IF(OR($D3002="",$E3002="",$O3002=""),"EKSİK",IF($O3002&lt;=0,"SIFIR/NEGATİF",IF(COUNTIFS($C$6:$C$5000,$C3002,$O$6:$O$5000,$O3002,$B$6:$B$5000,$B3002)&gt;1,"MÜKERRER","OK"))))</f>
        <v/>
      </c>
    </row>
    <row r="3003" ht="16.5" customHeight="1" s="80">
      <c r="A3003" s="113" t="n"/>
      <c r="B3003" s="113" t="n"/>
      <c r="C3003" s="113" t="n"/>
      <c r="D3003" s="113" t="n"/>
      <c r="E3003" s="113" t="n"/>
      <c r="F3003" s="113" t="n"/>
      <c r="G3003" s="113" t="n"/>
      <c r="H3003" s="113" t="n"/>
      <c r="I3003" s="113" t="n"/>
      <c r="J3003" s="113" t="n"/>
      <c r="K3003" s="113" t="n"/>
      <c r="L3003" s="113" t="n"/>
      <c r="M3003" s="113" t="n"/>
      <c r="N3003" s="113" t="n"/>
      <c r="O3003" s="113" t="n"/>
      <c r="P3003" s="113" t="n"/>
      <c r="Q3003" s="113" t="n"/>
      <c r="R3003" s="113" t="n"/>
      <c r="S3003" s="113" t="n"/>
      <c r="T3003" s="113" t="n"/>
      <c r="U3003" s="113" t="n"/>
      <c r="V3003" s="113" t="n"/>
      <c r="W3003" s="113" t="n"/>
      <c r="X3003" s="113" t="n"/>
      <c r="Y3003" s="113" t="n"/>
      <c r="Z3003" s="117">
        <f>IF($B3003="",0,IF($S3003="EVET",IF($D3003="GELİR",$O3003,-$O3003),0))</f>
        <v/>
      </c>
      <c r="AA3003" s="117">
        <f>IF($B3003="",0,IF(OR($W3003="EVET",$X3003="EVET",$Y3003="EVET"),0,IF($D3003="GELİR",IF($E3003="SATIŞ İADESİ/İSKONTO",-$O3003,$O3003),-$O3003)))</f>
        <v/>
      </c>
      <c r="AB3003" s="117">
        <f>IF($B3003="","",IF(OR($D3003="",$E3003="",$O3003=""),"EKSİK",IF($O3003&lt;=0,"SIFIR/NEGATİF",IF(COUNTIFS($C$6:$C$5000,$C3003,$O$6:$O$5000,$O3003,$B$6:$B$5000,$B3003)&gt;1,"MÜKERRER","OK"))))</f>
        <v/>
      </c>
    </row>
    <row r="3004" ht="16.5" customHeight="1" s="80">
      <c r="A3004" s="113" t="n"/>
      <c r="B3004" s="113" t="n"/>
      <c r="C3004" s="113" t="n"/>
      <c r="D3004" s="113" t="n"/>
      <c r="E3004" s="113" t="n"/>
      <c r="F3004" s="113" t="n"/>
      <c r="G3004" s="113" t="n"/>
      <c r="H3004" s="113" t="n"/>
      <c r="I3004" s="113" t="n"/>
      <c r="J3004" s="113" t="n"/>
      <c r="K3004" s="113" t="n"/>
      <c r="L3004" s="113" t="n"/>
      <c r="M3004" s="113" t="n"/>
      <c r="N3004" s="113" t="n"/>
      <c r="O3004" s="113" t="n"/>
      <c r="P3004" s="113" t="n"/>
      <c r="Q3004" s="113" t="n"/>
      <c r="R3004" s="113" t="n"/>
      <c r="S3004" s="113" t="n"/>
      <c r="T3004" s="113" t="n"/>
      <c r="U3004" s="113" t="n"/>
      <c r="V3004" s="113" t="n"/>
      <c r="W3004" s="113" t="n"/>
      <c r="X3004" s="113" t="n"/>
      <c r="Y3004" s="113" t="n"/>
      <c r="Z3004" s="117">
        <f>IF($B3004="",0,IF($S3004="EVET",IF($D3004="GELİR",$O3004,-$O3004),0))</f>
        <v/>
      </c>
      <c r="AA3004" s="117">
        <f>IF($B3004="",0,IF(OR($W3004="EVET",$X3004="EVET",$Y3004="EVET"),0,IF($D3004="GELİR",IF($E3004="SATIŞ İADESİ/İSKONTO",-$O3004,$O3004),-$O3004)))</f>
        <v/>
      </c>
      <c r="AB3004" s="117">
        <f>IF($B3004="","",IF(OR($D3004="",$E3004="",$O3004=""),"EKSİK",IF($O3004&lt;=0,"SIFIR/NEGATİF",IF(COUNTIFS($C$6:$C$5000,$C3004,$O$6:$O$5000,$O3004,$B$6:$B$5000,$B3004)&gt;1,"MÜKERRER","OK"))))</f>
        <v/>
      </c>
    </row>
    <row r="3005" ht="16.5" customHeight="1" s="80">
      <c r="A3005" s="113" t="n"/>
      <c r="B3005" s="113" t="n"/>
      <c r="C3005" s="113" t="n"/>
      <c r="D3005" s="113" t="n"/>
      <c r="E3005" s="113" t="n"/>
      <c r="F3005" s="113" t="n"/>
      <c r="G3005" s="113" t="n"/>
      <c r="H3005" s="113" t="n"/>
      <c r="I3005" s="113" t="n"/>
      <c r="J3005" s="113" t="n"/>
      <c r="K3005" s="113" t="n"/>
      <c r="L3005" s="113" t="n"/>
      <c r="M3005" s="113" t="n"/>
      <c r="N3005" s="113" t="n"/>
      <c r="O3005" s="113" t="n"/>
      <c r="P3005" s="113" t="n"/>
      <c r="Q3005" s="113" t="n"/>
      <c r="R3005" s="113" t="n"/>
      <c r="S3005" s="113" t="n"/>
      <c r="T3005" s="113" t="n"/>
      <c r="U3005" s="113" t="n"/>
      <c r="V3005" s="113" t="n"/>
      <c r="W3005" s="113" t="n"/>
      <c r="X3005" s="113" t="n"/>
      <c r="Y3005" s="113" t="n"/>
      <c r="Z3005" s="117">
        <f>IF($B3005="",0,IF($S3005="EVET",IF($D3005="GELİR",$O3005,-$O3005),0))</f>
        <v/>
      </c>
      <c r="AA3005" s="117">
        <f>IF($B3005="",0,IF(OR($W3005="EVET",$X3005="EVET",$Y3005="EVET"),0,IF($D3005="GELİR",IF($E3005="SATIŞ İADESİ/İSKONTO",-$O3005,$O3005),-$O3005)))</f>
        <v/>
      </c>
      <c r="AB3005" s="117">
        <f>IF($B3005="","",IF(OR($D3005="",$E3005="",$O3005=""),"EKSİK",IF($O3005&lt;=0,"SIFIR/NEGATİF",IF(COUNTIFS($C$6:$C$5000,$C3005,$O$6:$O$5000,$O3005,$B$6:$B$5000,$B3005)&gt;1,"MÜKERRER","OK"))))</f>
        <v/>
      </c>
    </row>
    <row r="3006" ht="16.5" customHeight="1" s="80">
      <c r="A3006" s="113" t="n"/>
      <c r="B3006" s="113" t="n"/>
      <c r="C3006" s="113" t="n"/>
      <c r="D3006" s="113" t="n"/>
      <c r="E3006" s="113" t="n"/>
      <c r="F3006" s="113" t="n"/>
      <c r="G3006" s="113" t="n"/>
      <c r="H3006" s="113" t="n"/>
      <c r="I3006" s="113" t="n"/>
      <c r="J3006" s="113" t="n"/>
      <c r="K3006" s="113" t="n"/>
      <c r="L3006" s="113" t="n"/>
      <c r="M3006" s="113" t="n"/>
      <c r="N3006" s="113" t="n"/>
      <c r="O3006" s="113" t="n"/>
      <c r="P3006" s="113" t="n"/>
      <c r="Q3006" s="113" t="n"/>
      <c r="R3006" s="113" t="n"/>
      <c r="S3006" s="113" t="n"/>
      <c r="T3006" s="113" t="n"/>
      <c r="U3006" s="113" t="n"/>
      <c r="V3006" s="113" t="n"/>
      <c r="W3006" s="113" t="n"/>
      <c r="X3006" s="113" t="n"/>
      <c r="Y3006" s="113" t="n"/>
      <c r="Z3006" s="117">
        <f>IF($B3006="",0,IF($S3006="EVET",IF($D3006="GELİR",$O3006,-$O3006),0))</f>
        <v/>
      </c>
      <c r="AA3006" s="117">
        <f>IF($B3006="",0,IF(OR($W3006="EVET",$X3006="EVET",$Y3006="EVET"),0,IF($D3006="GELİR",IF($E3006="SATIŞ İADESİ/İSKONTO",-$O3006,$O3006),-$O3006)))</f>
        <v/>
      </c>
      <c r="AB3006" s="117">
        <f>IF($B3006="","",IF(OR($D3006="",$E3006="",$O3006=""),"EKSİK",IF($O3006&lt;=0,"SIFIR/NEGATİF",IF(COUNTIFS($C$6:$C$5000,$C3006,$O$6:$O$5000,$O3006,$B$6:$B$5000,$B3006)&gt;1,"MÜKERRER","OK"))))</f>
        <v/>
      </c>
    </row>
    <row r="3007" ht="16.5" customHeight="1" s="80">
      <c r="A3007" s="113" t="n"/>
      <c r="B3007" s="113" t="n"/>
      <c r="C3007" s="113" t="n"/>
      <c r="D3007" s="113" t="n"/>
      <c r="E3007" s="113" t="n"/>
      <c r="F3007" s="113" t="n"/>
      <c r="G3007" s="113" t="n"/>
      <c r="H3007" s="113" t="n"/>
      <c r="I3007" s="113" t="n"/>
      <c r="J3007" s="113" t="n"/>
      <c r="K3007" s="113" t="n"/>
      <c r="L3007" s="113" t="n"/>
      <c r="M3007" s="113" t="n"/>
      <c r="N3007" s="113" t="n"/>
      <c r="O3007" s="113" t="n"/>
      <c r="P3007" s="113" t="n"/>
      <c r="Q3007" s="113" t="n"/>
      <c r="R3007" s="113" t="n"/>
      <c r="S3007" s="113" t="n"/>
      <c r="T3007" s="113" t="n"/>
      <c r="U3007" s="113" t="n"/>
      <c r="V3007" s="113" t="n"/>
      <c r="W3007" s="113" t="n"/>
      <c r="X3007" s="113" t="n"/>
      <c r="Y3007" s="113" t="n"/>
      <c r="Z3007" s="117">
        <f>IF($B3007="",0,IF($S3007="EVET",IF($D3007="GELİR",$O3007,-$O3007),0))</f>
        <v/>
      </c>
      <c r="AA3007" s="117">
        <f>IF($B3007="",0,IF(OR($W3007="EVET",$X3007="EVET",$Y3007="EVET"),0,IF($D3007="GELİR",IF($E3007="SATIŞ İADESİ/İSKONTO",-$O3007,$O3007),-$O3007)))</f>
        <v/>
      </c>
      <c r="AB3007" s="117">
        <f>IF($B3007="","",IF(OR($D3007="",$E3007="",$O3007=""),"EKSİK",IF($O3007&lt;=0,"SIFIR/NEGATİF",IF(COUNTIFS($C$6:$C$5000,$C3007,$O$6:$O$5000,$O3007,$B$6:$B$5000,$B3007)&gt;1,"MÜKERRER","OK"))))</f>
        <v/>
      </c>
    </row>
    <row r="3008" ht="16.5" customHeight="1" s="80">
      <c r="A3008" s="113" t="n"/>
      <c r="B3008" s="113" t="n"/>
      <c r="C3008" s="113" t="n"/>
      <c r="D3008" s="113" t="n"/>
      <c r="E3008" s="113" t="n"/>
      <c r="F3008" s="113" t="n"/>
      <c r="G3008" s="113" t="n"/>
      <c r="H3008" s="113" t="n"/>
      <c r="I3008" s="113" t="n"/>
      <c r="J3008" s="113" t="n"/>
      <c r="K3008" s="113" t="n"/>
      <c r="L3008" s="113" t="n"/>
      <c r="M3008" s="113" t="n"/>
      <c r="N3008" s="113" t="n"/>
      <c r="O3008" s="113" t="n"/>
      <c r="P3008" s="113" t="n"/>
      <c r="Q3008" s="113" t="n"/>
      <c r="R3008" s="113" t="n"/>
      <c r="S3008" s="113" t="n"/>
      <c r="T3008" s="113" t="n"/>
      <c r="U3008" s="113" t="n"/>
      <c r="V3008" s="113" t="n"/>
      <c r="W3008" s="113" t="n"/>
      <c r="X3008" s="113" t="n"/>
      <c r="Y3008" s="113" t="n"/>
      <c r="Z3008" s="117">
        <f>IF($B3008="",0,IF($S3008="EVET",IF($D3008="GELİR",$O3008,-$O3008),0))</f>
        <v/>
      </c>
      <c r="AA3008" s="117">
        <f>IF($B3008="",0,IF(OR($W3008="EVET",$X3008="EVET",$Y3008="EVET"),0,IF($D3008="GELİR",IF($E3008="SATIŞ İADESİ/İSKONTO",-$O3008,$O3008),-$O3008)))</f>
        <v/>
      </c>
      <c r="AB3008" s="117">
        <f>IF($B3008="","",IF(OR($D3008="",$E3008="",$O3008=""),"EKSİK",IF($O3008&lt;=0,"SIFIR/NEGATİF",IF(COUNTIFS($C$6:$C$5000,$C3008,$O$6:$O$5000,$O3008,$B$6:$B$5000,$B3008)&gt;1,"MÜKERRER","OK"))))</f>
        <v/>
      </c>
    </row>
    <row r="3009" ht="16.5" customHeight="1" s="80">
      <c r="A3009" s="113" t="n"/>
      <c r="B3009" s="113" t="n"/>
      <c r="C3009" s="113" t="n"/>
      <c r="D3009" s="113" t="n"/>
      <c r="E3009" s="113" t="n"/>
      <c r="F3009" s="113" t="n"/>
      <c r="G3009" s="113" t="n"/>
      <c r="H3009" s="113" t="n"/>
      <c r="I3009" s="113" t="n"/>
      <c r="J3009" s="113" t="n"/>
      <c r="K3009" s="113" t="n"/>
      <c r="L3009" s="113" t="n"/>
      <c r="M3009" s="113" t="n"/>
      <c r="N3009" s="113" t="n"/>
      <c r="O3009" s="113" t="n"/>
      <c r="P3009" s="113" t="n"/>
      <c r="Q3009" s="113" t="n"/>
      <c r="R3009" s="113" t="n"/>
      <c r="S3009" s="113" t="n"/>
      <c r="T3009" s="113" t="n"/>
      <c r="U3009" s="113" t="n"/>
      <c r="V3009" s="113" t="n"/>
      <c r="W3009" s="113" t="n"/>
      <c r="X3009" s="113" t="n"/>
      <c r="Y3009" s="113" t="n"/>
      <c r="Z3009" s="117">
        <f>IF($B3009="",0,IF($S3009="EVET",IF($D3009="GELİR",$O3009,-$O3009),0))</f>
        <v/>
      </c>
      <c r="AA3009" s="117">
        <f>IF($B3009="",0,IF(OR($W3009="EVET",$X3009="EVET",$Y3009="EVET"),0,IF($D3009="GELİR",IF($E3009="SATIŞ İADESİ/İSKONTO",-$O3009,$O3009),-$O3009)))</f>
        <v/>
      </c>
      <c r="AB3009" s="117">
        <f>IF($B3009="","",IF(OR($D3009="",$E3009="",$O3009=""),"EKSİK",IF($O3009&lt;=0,"SIFIR/NEGATİF",IF(COUNTIFS($C$6:$C$5000,$C3009,$O$6:$O$5000,$O3009,$B$6:$B$5000,$B3009)&gt;1,"MÜKERRER","OK"))))</f>
        <v/>
      </c>
    </row>
    <row r="3010" ht="16.5" customHeight="1" s="80">
      <c r="A3010" s="113" t="n"/>
      <c r="B3010" s="113" t="n"/>
      <c r="C3010" s="113" t="n"/>
      <c r="D3010" s="113" t="n"/>
      <c r="E3010" s="113" t="n"/>
      <c r="F3010" s="113" t="n"/>
      <c r="G3010" s="113" t="n"/>
      <c r="H3010" s="113" t="n"/>
      <c r="I3010" s="113" t="n"/>
      <c r="J3010" s="113" t="n"/>
      <c r="K3010" s="113" t="n"/>
      <c r="L3010" s="113" t="n"/>
      <c r="M3010" s="113" t="n"/>
      <c r="N3010" s="113" t="n"/>
      <c r="O3010" s="113" t="n"/>
      <c r="P3010" s="113" t="n"/>
      <c r="Q3010" s="113" t="n"/>
      <c r="R3010" s="113" t="n"/>
      <c r="S3010" s="113" t="n"/>
      <c r="T3010" s="113" t="n"/>
      <c r="U3010" s="113" t="n"/>
      <c r="V3010" s="113" t="n"/>
      <c r="W3010" s="113" t="n"/>
      <c r="X3010" s="113" t="n"/>
      <c r="Y3010" s="113" t="n"/>
      <c r="Z3010" s="117">
        <f>IF($B3010="",0,IF($S3010="EVET",IF($D3010="GELİR",$O3010,-$O3010),0))</f>
        <v/>
      </c>
      <c r="AA3010" s="117">
        <f>IF($B3010="",0,IF(OR($W3010="EVET",$X3010="EVET",$Y3010="EVET"),0,IF($D3010="GELİR",IF($E3010="SATIŞ İADESİ/İSKONTO",-$O3010,$O3010),-$O3010)))</f>
        <v/>
      </c>
      <c r="AB3010" s="117">
        <f>IF($B3010="","",IF(OR($D3010="",$E3010="",$O3010=""),"EKSİK",IF($O3010&lt;=0,"SIFIR/NEGATİF",IF(COUNTIFS($C$6:$C$5000,$C3010,$O$6:$O$5000,$O3010,$B$6:$B$5000,$B3010)&gt;1,"MÜKERRER","OK"))))</f>
        <v/>
      </c>
    </row>
    <row r="3011" ht="16.5" customHeight="1" s="80">
      <c r="A3011" s="113" t="n"/>
      <c r="B3011" s="113" t="n"/>
      <c r="C3011" s="113" t="n"/>
      <c r="D3011" s="113" t="n"/>
      <c r="E3011" s="113" t="n"/>
      <c r="F3011" s="113" t="n"/>
      <c r="G3011" s="113" t="n"/>
      <c r="H3011" s="113" t="n"/>
      <c r="I3011" s="113" t="n"/>
      <c r="J3011" s="113" t="n"/>
      <c r="K3011" s="113" t="n"/>
      <c r="L3011" s="113" t="n"/>
      <c r="M3011" s="113" t="n"/>
      <c r="N3011" s="113" t="n"/>
      <c r="O3011" s="113" t="n"/>
      <c r="P3011" s="113" t="n"/>
      <c r="Q3011" s="113" t="n"/>
      <c r="R3011" s="113" t="n"/>
      <c r="S3011" s="113" t="n"/>
      <c r="T3011" s="113" t="n"/>
      <c r="U3011" s="113" t="n"/>
      <c r="V3011" s="113" t="n"/>
      <c r="W3011" s="113" t="n"/>
      <c r="X3011" s="113" t="n"/>
      <c r="Y3011" s="113" t="n"/>
      <c r="Z3011" s="117">
        <f>IF($B3011="",0,IF($S3011="EVET",IF($D3011="GELİR",$O3011,-$O3011),0))</f>
        <v/>
      </c>
      <c r="AA3011" s="117">
        <f>IF($B3011="",0,IF(OR($W3011="EVET",$X3011="EVET",$Y3011="EVET"),0,IF($D3011="GELİR",IF($E3011="SATIŞ İADESİ/İSKONTO",-$O3011,$O3011),-$O3011)))</f>
        <v/>
      </c>
      <c r="AB3011" s="117">
        <f>IF($B3011="","",IF(OR($D3011="",$E3011="",$O3011=""),"EKSİK",IF($O3011&lt;=0,"SIFIR/NEGATİF",IF(COUNTIFS($C$6:$C$5000,$C3011,$O$6:$O$5000,$O3011,$B$6:$B$5000,$B3011)&gt;1,"MÜKERRER","OK"))))</f>
        <v/>
      </c>
    </row>
    <row r="3012" ht="16.5" customHeight="1" s="80">
      <c r="A3012" s="113" t="n"/>
      <c r="B3012" s="113" t="n"/>
      <c r="C3012" s="113" t="n"/>
      <c r="D3012" s="113" t="n"/>
      <c r="E3012" s="113" t="n"/>
      <c r="F3012" s="113" t="n"/>
      <c r="G3012" s="113" t="n"/>
      <c r="H3012" s="113" t="n"/>
      <c r="I3012" s="113" t="n"/>
      <c r="J3012" s="113" t="n"/>
      <c r="K3012" s="113" t="n"/>
      <c r="L3012" s="113" t="n"/>
      <c r="M3012" s="113" t="n"/>
      <c r="N3012" s="113" t="n"/>
      <c r="O3012" s="113" t="n"/>
      <c r="P3012" s="113" t="n"/>
      <c r="Q3012" s="113" t="n"/>
      <c r="R3012" s="113" t="n"/>
      <c r="S3012" s="113" t="n"/>
      <c r="T3012" s="113" t="n"/>
      <c r="U3012" s="113" t="n"/>
      <c r="V3012" s="113" t="n"/>
      <c r="W3012" s="113" t="n"/>
      <c r="X3012" s="113" t="n"/>
      <c r="Y3012" s="113" t="n"/>
      <c r="Z3012" s="117">
        <f>IF($B3012="",0,IF($S3012="EVET",IF($D3012="GELİR",$O3012,-$O3012),0))</f>
        <v/>
      </c>
      <c r="AA3012" s="117">
        <f>IF($B3012="",0,IF(OR($W3012="EVET",$X3012="EVET",$Y3012="EVET"),0,IF($D3012="GELİR",IF($E3012="SATIŞ İADESİ/İSKONTO",-$O3012,$O3012),-$O3012)))</f>
        <v/>
      </c>
      <c r="AB3012" s="117">
        <f>IF($B3012="","",IF(OR($D3012="",$E3012="",$O3012=""),"EKSİK",IF($O3012&lt;=0,"SIFIR/NEGATİF",IF(COUNTIFS($C$6:$C$5000,$C3012,$O$6:$O$5000,$O3012,$B$6:$B$5000,$B3012)&gt;1,"MÜKERRER","OK"))))</f>
        <v/>
      </c>
    </row>
    <row r="3013" ht="16.5" customHeight="1" s="80">
      <c r="A3013" s="113" t="n"/>
      <c r="B3013" s="113" t="n"/>
      <c r="C3013" s="113" t="n"/>
      <c r="D3013" s="113" t="n"/>
      <c r="E3013" s="113" t="n"/>
      <c r="F3013" s="113" t="n"/>
      <c r="G3013" s="113" t="n"/>
      <c r="H3013" s="113" t="n"/>
      <c r="I3013" s="113" t="n"/>
      <c r="J3013" s="113" t="n"/>
      <c r="K3013" s="113" t="n"/>
      <c r="L3013" s="113" t="n"/>
      <c r="M3013" s="113" t="n"/>
      <c r="N3013" s="113" t="n"/>
      <c r="O3013" s="113" t="n"/>
      <c r="P3013" s="113" t="n"/>
      <c r="Q3013" s="113" t="n"/>
      <c r="R3013" s="113" t="n"/>
      <c r="S3013" s="113" t="n"/>
      <c r="T3013" s="113" t="n"/>
      <c r="U3013" s="113" t="n"/>
      <c r="V3013" s="113" t="n"/>
      <c r="W3013" s="113" t="n"/>
      <c r="X3013" s="113" t="n"/>
      <c r="Y3013" s="113" t="n"/>
      <c r="Z3013" s="117">
        <f>IF($B3013="",0,IF($S3013="EVET",IF($D3013="GELİR",$O3013,-$O3013),0))</f>
        <v/>
      </c>
      <c r="AA3013" s="117">
        <f>IF($B3013="",0,IF(OR($W3013="EVET",$X3013="EVET",$Y3013="EVET"),0,IF($D3013="GELİR",IF($E3013="SATIŞ İADESİ/İSKONTO",-$O3013,$O3013),-$O3013)))</f>
        <v/>
      </c>
      <c r="AB3013" s="117">
        <f>IF($B3013="","",IF(OR($D3013="",$E3013="",$O3013=""),"EKSİK",IF($O3013&lt;=0,"SIFIR/NEGATİF",IF(COUNTIFS($C$6:$C$5000,$C3013,$O$6:$O$5000,$O3013,$B$6:$B$5000,$B3013)&gt;1,"MÜKERRER","OK"))))</f>
        <v/>
      </c>
    </row>
    <row r="3014" ht="16.5" customHeight="1" s="80">
      <c r="A3014" s="113" t="n"/>
      <c r="B3014" s="113" t="n"/>
      <c r="C3014" s="113" t="n"/>
      <c r="D3014" s="113" t="n"/>
      <c r="E3014" s="113" t="n"/>
      <c r="F3014" s="113" t="n"/>
      <c r="G3014" s="113" t="n"/>
      <c r="H3014" s="113" t="n"/>
      <c r="I3014" s="113" t="n"/>
      <c r="J3014" s="113" t="n"/>
      <c r="K3014" s="113" t="n"/>
      <c r="L3014" s="113" t="n"/>
      <c r="M3014" s="113" t="n"/>
      <c r="N3014" s="113" t="n"/>
      <c r="O3014" s="113" t="n"/>
      <c r="P3014" s="113" t="n"/>
      <c r="Q3014" s="113" t="n"/>
      <c r="R3014" s="113" t="n"/>
      <c r="S3014" s="113" t="n"/>
      <c r="T3014" s="113" t="n"/>
      <c r="U3014" s="113" t="n"/>
      <c r="V3014" s="113" t="n"/>
      <c r="W3014" s="113" t="n"/>
      <c r="X3014" s="113" t="n"/>
      <c r="Y3014" s="113" t="n"/>
      <c r="Z3014" s="117">
        <f>IF($B3014="",0,IF($S3014="EVET",IF($D3014="GELİR",$O3014,-$O3014),0))</f>
        <v/>
      </c>
      <c r="AA3014" s="117">
        <f>IF($B3014="",0,IF(OR($W3014="EVET",$X3014="EVET",$Y3014="EVET"),0,IF($D3014="GELİR",IF($E3014="SATIŞ İADESİ/İSKONTO",-$O3014,$O3014),-$O3014)))</f>
        <v/>
      </c>
      <c r="AB3014" s="117">
        <f>IF($B3014="","",IF(OR($D3014="",$E3014="",$O3014=""),"EKSİK",IF($O3014&lt;=0,"SIFIR/NEGATİF",IF(COUNTIFS($C$6:$C$5000,$C3014,$O$6:$O$5000,$O3014,$B$6:$B$5000,$B3014)&gt;1,"MÜKERRER","OK"))))</f>
        <v/>
      </c>
    </row>
    <row r="3015" ht="16.5" customHeight="1" s="80">
      <c r="A3015" s="113" t="n"/>
      <c r="B3015" s="113" t="n"/>
      <c r="C3015" s="113" t="n"/>
      <c r="D3015" s="113" t="n"/>
      <c r="E3015" s="113" t="n"/>
      <c r="F3015" s="113" t="n"/>
      <c r="G3015" s="113" t="n"/>
      <c r="H3015" s="113" t="n"/>
      <c r="I3015" s="113" t="n"/>
      <c r="J3015" s="113" t="n"/>
      <c r="K3015" s="113" t="n"/>
      <c r="L3015" s="113" t="n"/>
      <c r="M3015" s="113" t="n"/>
      <c r="N3015" s="113" t="n"/>
      <c r="O3015" s="113" t="n"/>
      <c r="P3015" s="113" t="n"/>
      <c r="Q3015" s="113" t="n"/>
      <c r="R3015" s="113" t="n"/>
      <c r="S3015" s="113" t="n"/>
      <c r="T3015" s="113" t="n"/>
      <c r="U3015" s="113" t="n"/>
      <c r="V3015" s="113" t="n"/>
      <c r="W3015" s="113" t="n"/>
      <c r="X3015" s="113" t="n"/>
      <c r="Y3015" s="113" t="n"/>
      <c r="Z3015" s="117">
        <f>IF($B3015="",0,IF($S3015="EVET",IF($D3015="GELİR",$O3015,-$O3015),0))</f>
        <v/>
      </c>
      <c r="AA3015" s="117">
        <f>IF($B3015="",0,IF(OR($W3015="EVET",$X3015="EVET",$Y3015="EVET"),0,IF($D3015="GELİR",IF($E3015="SATIŞ İADESİ/İSKONTO",-$O3015,$O3015),-$O3015)))</f>
        <v/>
      </c>
      <c r="AB3015" s="117">
        <f>IF($B3015="","",IF(OR($D3015="",$E3015="",$O3015=""),"EKSİK",IF($O3015&lt;=0,"SIFIR/NEGATİF",IF(COUNTIFS($C$6:$C$5000,$C3015,$O$6:$O$5000,$O3015,$B$6:$B$5000,$B3015)&gt;1,"MÜKERRER","OK"))))</f>
        <v/>
      </c>
    </row>
    <row r="3016" ht="16.5" customHeight="1" s="80">
      <c r="A3016" s="113" t="n"/>
      <c r="B3016" s="113" t="n"/>
      <c r="C3016" s="113" t="n"/>
      <c r="D3016" s="113" t="n"/>
      <c r="E3016" s="113" t="n"/>
      <c r="F3016" s="113" t="n"/>
      <c r="G3016" s="113" t="n"/>
      <c r="H3016" s="113" t="n"/>
      <c r="I3016" s="113" t="n"/>
      <c r="J3016" s="113" t="n"/>
      <c r="K3016" s="113" t="n"/>
      <c r="L3016" s="113" t="n"/>
      <c r="M3016" s="113" t="n"/>
      <c r="N3016" s="113" t="n"/>
      <c r="O3016" s="113" t="n"/>
      <c r="P3016" s="113" t="n"/>
      <c r="Q3016" s="113" t="n"/>
      <c r="R3016" s="113" t="n"/>
      <c r="S3016" s="113" t="n"/>
      <c r="T3016" s="113" t="n"/>
      <c r="U3016" s="113" t="n"/>
      <c r="V3016" s="113" t="n"/>
      <c r="W3016" s="113" t="n"/>
      <c r="X3016" s="113" t="n"/>
      <c r="Y3016" s="113" t="n"/>
      <c r="Z3016" s="117">
        <f>IF($B3016="",0,IF($S3016="EVET",IF($D3016="GELİR",$O3016,-$O3016),0))</f>
        <v/>
      </c>
      <c r="AA3016" s="117">
        <f>IF($B3016="",0,IF(OR($W3016="EVET",$X3016="EVET",$Y3016="EVET"),0,IF($D3016="GELİR",IF($E3016="SATIŞ İADESİ/İSKONTO",-$O3016,$O3016),-$O3016)))</f>
        <v/>
      </c>
      <c r="AB3016" s="117">
        <f>IF($B3016="","",IF(OR($D3016="",$E3016="",$O3016=""),"EKSİK",IF($O3016&lt;=0,"SIFIR/NEGATİF",IF(COUNTIFS($C$6:$C$5000,$C3016,$O$6:$O$5000,$O3016,$B$6:$B$5000,$B3016)&gt;1,"MÜKERRER","OK"))))</f>
        <v/>
      </c>
    </row>
    <row r="3017" ht="16.5" customHeight="1" s="80">
      <c r="A3017" s="113" t="n"/>
      <c r="B3017" s="113" t="n"/>
      <c r="C3017" s="113" t="n"/>
      <c r="D3017" s="113" t="n"/>
      <c r="E3017" s="113" t="n"/>
      <c r="F3017" s="113" t="n"/>
      <c r="G3017" s="113" t="n"/>
      <c r="H3017" s="113" t="n"/>
      <c r="I3017" s="113" t="n"/>
      <c r="J3017" s="113" t="n"/>
      <c r="K3017" s="113" t="n"/>
      <c r="L3017" s="113" t="n"/>
      <c r="M3017" s="113" t="n"/>
      <c r="N3017" s="113" t="n"/>
      <c r="O3017" s="113" t="n"/>
      <c r="P3017" s="113" t="n"/>
      <c r="Q3017" s="113" t="n"/>
      <c r="R3017" s="113" t="n"/>
      <c r="S3017" s="113" t="n"/>
      <c r="T3017" s="113" t="n"/>
      <c r="U3017" s="113" t="n"/>
      <c r="V3017" s="113" t="n"/>
      <c r="W3017" s="113" t="n"/>
      <c r="X3017" s="113" t="n"/>
      <c r="Y3017" s="113" t="n"/>
      <c r="Z3017" s="117">
        <f>IF($B3017="",0,IF($S3017="EVET",IF($D3017="GELİR",$O3017,-$O3017),0))</f>
        <v/>
      </c>
      <c r="AA3017" s="117">
        <f>IF($B3017="",0,IF(OR($W3017="EVET",$X3017="EVET",$Y3017="EVET"),0,IF($D3017="GELİR",IF($E3017="SATIŞ İADESİ/İSKONTO",-$O3017,$O3017),-$O3017)))</f>
        <v/>
      </c>
      <c r="AB3017" s="117">
        <f>IF($B3017="","",IF(OR($D3017="",$E3017="",$O3017=""),"EKSİK",IF($O3017&lt;=0,"SIFIR/NEGATİF",IF(COUNTIFS($C$6:$C$5000,$C3017,$O$6:$O$5000,$O3017,$B$6:$B$5000,$B3017)&gt;1,"MÜKERRER","OK"))))</f>
        <v/>
      </c>
    </row>
    <row r="3018" ht="16.5" customHeight="1" s="80">
      <c r="A3018" s="113" t="n"/>
      <c r="B3018" s="113" t="n"/>
      <c r="C3018" s="113" t="n"/>
      <c r="D3018" s="113" t="n"/>
      <c r="E3018" s="113" t="n"/>
      <c r="F3018" s="113" t="n"/>
      <c r="G3018" s="113" t="n"/>
      <c r="H3018" s="113" t="n"/>
      <c r="I3018" s="113" t="n"/>
      <c r="J3018" s="113" t="n"/>
      <c r="K3018" s="113" t="n"/>
      <c r="L3018" s="113" t="n"/>
      <c r="M3018" s="113" t="n"/>
      <c r="N3018" s="113" t="n"/>
      <c r="O3018" s="113" t="n"/>
      <c r="P3018" s="113" t="n"/>
      <c r="Q3018" s="113" t="n"/>
      <c r="R3018" s="113" t="n"/>
      <c r="S3018" s="113" t="n"/>
      <c r="T3018" s="113" t="n"/>
      <c r="U3018" s="113" t="n"/>
      <c r="V3018" s="113" t="n"/>
      <c r="W3018" s="113" t="n"/>
      <c r="X3018" s="113" t="n"/>
      <c r="Y3018" s="113" t="n"/>
      <c r="Z3018" s="117">
        <f>IF($B3018="",0,IF($S3018="EVET",IF($D3018="GELİR",$O3018,-$O3018),0))</f>
        <v/>
      </c>
      <c r="AA3018" s="117">
        <f>IF($B3018="",0,IF(OR($W3018="EVET",$X3018="EVET",$Y3018="EVET"),0,IF($D3018="GELİR",IF($E3018="SATIŞ İADESİ/İSKONTO",-$O3018,$O3018),-$O3018)))</f>
        <v/>
      </c>
      <c r="AB3018" s="117">
        <f>IF($B3018="","",IF(OR($D3018="",$E3018="",$O3018=""),"EKSİK",IF($O3018&lt;=0,"SIFIR/NEGATİF",IF(COUNTIFS($C$6:$C$5000,$C3018,$O$6:$O$5000,$O3018,$B$6:$B$5000,$B3018)&gt;1,"MÜKERRER","OK"))))</f>
        <v/>
      </c>
    </row>
    <row r="3019" ht="16.5" customHeight="1" s="80">
      <c r="A3019" s="113" t="n"/>
      <c r="B3019" s="113" t="n"/>
      <c r="C3019" s="113" t="n"/>
      <c r="D3019" s="113" t="n"/>
      <c r="E3019" s="113" t="n"/>
      <c r="F3019" s="113" t="n"/>
      <c r="G3019" s="113" t="n"/>
      <c r="H3019" s="113" t="n"/>
      <c r="I3019" s="113" t="n"/>
      <c r="J3019" s="113" t="n"/>
      <c r="K3019" s="113" t="n"/>
      <c r="L3019" s="113" t="n"/>
      <c r="M3019" s="113" t="n"/>
      <c r="N3019" s="113" t="n"/>
      <c r="O3019" s="113" t="n"/>
      <c r="P3019" s="113" t="n"/>
      <c r="Q3019" s="113" t="n"/>
      <c r="R3019" s="113" t="n"/>
      <c r="S3019" s="113" t="n"/>
      <c r="T3019" s="113" t="n"/>
      <c r="U3019" s="113" t="n"/>
      <c r="V3019" s="113" t="n"/>
      <c r="W3019" s="113" t="n"/>
      <c r="X3019" s="113" t="n"/>
      <c r="Y3019" s="113" t="n"/>
      <c r="Z3019" s="117">
        <f>IF($B3019="",0,IF($S3019="EVET",IF($D3019="GELİR",$O3019,-$O3019),0))</f>
        <v/>
      </c>
      <c r="AA3019" s="117">
        <f>IF($B3019="",0,IF(OR($W3019="EVET",$X3019="EVET",$Y3019="EVET"),0,IF($D3019="GELİR",IF($E3019="SATIŞ İADESİ/İSKONTO",-$O3019,$O3019),-$O3019)))</f>
        <v/>
      </c>
      <c r="AB3019" s="117">
        <f>IF($B3019="","",IF(OR($D3019="",$E3019="",$O3019=""),"EKSİK",IF($O3019&lt;=0,"SIFIR/NEGATİF",IF(COUNTIFS($C$6:$C$5000,$C3019,$O$6:$O$5000,$O3019,$B$6:$B$5000,$B3019)&gt;1,"MÜKERRER","OK"))))</f>
        <v/>
      </c>
    </row>
    <row r="3020" ht="16.5" customHeight="1" s="80">
      <c r="A3020" s="113" t="n"/>
      <c r="B3020" s="113" t="n"/>
      <c r="C3020" s="113" t="n"/>
      <c r="D3020" s="113" t="n"/>
      <c r="E3020" s="113" t="n"/>
      <c r="F3020" s="113" t="n"/>
      <c r="G3020" s="113" t="n"/>
      <c r="H3020" s="113" t="n"/>
      <c r="I3020" s="113" t="n"/>
      <c r="J3020" s="113" t="n"/>
      <c r="K3020" s="113" t="n"/>
      <c r="L3020" s="113" t="n"/>
      <c r="M3020" s="113" t="n"/>
      <c r="N3020" s="113" t="n"/>
      <c r="O3020" s="113" t="n"/>
      <c r="P3020" s="113" t="n"/>
      <c r="Q3020" s="113" t="n"/>
      <c r="R3020" s="113" t="n"/>
      <c r="S3020" s="113" t="n"/>
      <c r="T3020" s="113" t="n"/>
      <c r="U3020" s="113" t="n"/>
      <c r="V3020" s="113" t="n"/>
      <c r="W3020" s="113" t="n"/>
      <c r="X3020" s="113" t="n"/>
      <c r="Y3020" s="113" t="n"/>
      <c r="Z3020" s="117">
        <f>IF($B3020="",0,IF($S3020="EVET",IF($D3020="GELİR",$O3020,-$O3020),0))</f>
        <v/>
      </c>
      <c r="AA3020" s="117">
        <f>IF($B3020="",0,IF(OR($W3020="EVET",$X3020="EVET",$Y3020="EVET"),0,IF($D3020="GELİR",IF($E3020="SATIŞ İADESİ/İSKONTO",-$O3020,$O3020),-$O3020)))</f>
        <v/>
      </c>
      <c r="AB3020" s="117">
        <f>IF($B3020="","",IF(OR($D3020="",$E3020="",$O3020=""),"EKSİK",IF($O3020&lt;=0,"SIFIR/NEGATİF",IF(COUNTIFS($C$6:$C$5000,$C3020,$O$6:$O$5000,$O3020,$B$6:$B$5000,$B3020)&gt;1,"MÜKERRER","OK"))))</f>
        <v/>
      </c>
    </row>
    <row r="3021" ht="16.5" customHeight="1" s="80">
      <c r="A3021" s="113" t="n"/>
      <c r="B3021" s="113" t="n"/>
      <c r="C3021" s="113" t="n"/>
      <c r="D3021" s="113" t="n"/>
      <c r="E3021" s="113" t="n"/>
      <c r="F3021" s="113" t="n"/>
      <c r="G3021" s="113" t="n"/>
      <c r="H3021" s="113" t="n"/>
      <c r="I3021" s="113" t="n"/>
      <c r="J3021" s="113" t="n"/>
      <c r="K3021" s="113" t="n"/>
      <c r="L3021" s="113" t="n"/>
      <c r="M3021" s="113" t="n"/>
      <c r="N3021" s="113" t="n"/>
      <c r="O3021" s="113" t="n"/>
      <c r="P3021" s="113" t="n"/>
      <c r="Q3021" s="113" t="n"/>
      <c r="R3021" s="113" t="n"/>
      <c r="S3021" s="113" t="n"/>
      <c r="T3021" s="113" t="n"/>
      <c r="U3021" s="113" t="n"/>
      <c r="V3021" s="113" t="n"/>
      <c r="W3021" s="113" t="n"/>
      <c r="X3021" s="113" t="n"/>
      <c r="Y3021" s="113" t="n"/>
      <c r="Z3021" s="117">
        <f>IF($B3021="",0,IF($S3021="EVET",IF($D3021="GELİR",$O3021,-$O3021),0))</f>
        <v/>
      </c>
      <c r="AA3021" s="117">
        <f>IF($B3021="",0,IF(OR($W3021="EVET",$X3021="EVET",$Y3021="EVET"),0,IF($D3021="GELİR",IF($E3021="SATIŞ İADESİ/İSKONTO",-$O3021,$O3021),-$O3021)))</f>
        <v/>
      </c>
      <c r="AB3021" s="117">
        <f>IF($B3021="","",IF(OR($D3021="",$E3021="",$O3021=""),"EKSİK",IF($O3021&lt;=0,"SIFIR/NEGATİF",IF(COUNTIFS($C$6:$C$5000,$C3021,$O$6:$O$5000,$O3021,$B$6:$B$5000,$B3021)&gt;1,"MÜKERRER","OK"))))</f>
        <v/>
      </c>
    </row>
    <row r="3022" ht="16.5" customHeight="1" s="80">
      <c r="A3022" s="113" t="n"/>
      <c r="B3022" s="113" t="n"/>
      <c r="C3022" s="113" t="n"/>
      <c r="D3022" s="113" t="n"/>
      <c r="E3022" s="113" t="n"/>
      <c r="F3022" s="113" t="n"/>
      <c r="G3022" s="113" t="n"/>
      <c r="H3022" s="113" t="n"/>
      <c r="I3022" s="113" t="n"/>
      <c r="J3022" s="113" t="n"/>
      <c r="K3022" s="113" t="n"/>
      <c r="L3022" s="113" t="n"/>
      <c r="M3022" s="113" t="n"/>
      <c r="N3022" s="113" t="n"/>
      <c r="O3022" s="113" t="n"/>
      <c r="P3022" s="113" t="n"/>
      <c r="Q3022" s="113" t="n"/>
      <c r="R3022" s="113" t="n"/>
      <c r="S3022" s="113" t="n"/>
      <c r="T3022" s="113" t="n"/>
      <c r="U3022" s="113" t="n"/>
      <c r="V3022" s="113" t="n"/>
      <c r="W3022" s="113" t="n"/>
      <c r="X3022" s="113" t="n"/>
      <c r="Y3022" s="113" t="n"/>
      <c r="Z3022" s="117">
        <f>IF($B3022="",0,IF($S3022="EVET",IF($D3022="GELİR",$O3022,-$O3022),0))</f>
        <v/>
      </c>
      <c r="AA3022" s="117">
        <f>IF($B3022="",0,IF(OR($W3022="EVET",$X3022="EVET",$Y3022="EVET"),0,IF($D3022="GELİR",IF($E3022="SATIŞ İADESİ/İSKONTO",-$O3022,$O3022),-$O3022)))</f>
        <v/>
      </c>
      <c r="AB3022" s="117">
        <f>IF($B3022="","",IF(OR($D3022="",$E3022="",$O3022=""),"EKSİK",IF($O3022&lt;=0,"SIFIR/NEGATİF",IF(COUNTIFS($C$6:$C$5000,$C3022,$O$6:$O$5000,$O3022,$B$6:$B$5000,$B3022)&gt;1,"MÜKERRER","OK"))))</f>
        <v/>
      </c>
    </row>
    <row r="3023" ht="16.5" customHeight="1" s="80">
      <c r="A3023" s="113" t="n"/>
      <c r="B3023" s="113" t="n"/>
      <c r="C3023" s="113" t="n"/>
      <c r="D3023" s="113" t="n"/>
      <c r="E3023" s="113" t="n"/>
      <c r="F3023" s="113" t="n"/>
      <c r="G3023" s="113" t="n"/>
      <c r="H3023" s="113" t="n"/>
      <c r="I3023" s="113" t="n"/>
      <c r="J3023" s="113" t="n"/>
      <c r="K3023" s="113" t="n"/>
      <c r="L3023" s="113" t="n"/>
      <c r="M3023" s="113" t="n"/>
      <c r="N3023" s="113" t="n"/>
      <c r="O3023" s="113" t="n"/>
      <c r="P3023" s="113" t="n"/>
      <c r="Q3023" s="113" t="n"/>
      <c r="R3023" s="113" t="n"/>
      <c r="S3023" s="113" t="n"/>
      <c r="T3023" s="113" t="n"/>
      <c r="U3023" s="113" t="n"/>
      <c r="V3023" s="113" t="n"/>
      <c r="W3023" s="113" t="n"/>
      <c r="X3023" s="113" t="n"/>
      <c r="Y3023" s="113" t="n"/>
      <c r="Z3023" s="117">
        <f>IF($B3023="",0,IF($S3023="EVET",IF($D3023="GELİR",$O3023,-$O3023),0))</f>
        <v/>
      </c>
      <c r="AA3023" s="117">
        <f>IF($B3023="",0,IF(OR($W3023="EVET",$X3023="EVET",$Y3023="EVET"),0,IF($D3023="GELİR",IF($E3023="SATIŞ İADESİ/İSKONTO",-$O3023,$O3023),-$O3023)))</f>
        <v/>
      </c>
      <c r="AB3023" s="117">
        <f>IF($B3023="","",IF(OR($D3023="",$E3023="",$O3023=""),"EKSİK",IF($O3023&lt;=0,"SIFIR/NEGATİF",IF(COUNTIFS($C$6:$C$5000,$C3023,$O$6:$O$5000,$O3023,$B$6:$B$5000,$B3023)&gt;1,"MÜKERRER","OK"))))</f>
        <v/>
      </c>
    </row>
    <row r="3024" ht="16.5" customHeight="1" s="80">
      <c r="A3024" s="113" t="n"/>
      <c r="B3024" s="113" t="n"/>
      <c r="C3024" s="113" t="n"/>
      <c r="D3024" s="113" t="n"/>
      <c r="E3024" s="113" t="n"/>
      <c r="F3024" s="113" t="n"/>
      <c r="G3024" s="113" t="n"/>
      <c r="H3024" s="113" t="n"/>
      <c r="I3024" s="113" t="n"/>
      <c r="J3024" s="113" t="n"/>
      <c r="K3024" s="113" t="n"/>
      <c r="L3024" s="113" t="n"/>
      <c r="M3024" s="113" t="n"/>
      <c r="N3024" s="113" t="n"/>
      <c r="O3024" s="113" t="n"/>
      <c r="P3024" s="113" t="n"/>
      <c r="Q3024" s="113" t="n"/>
      <c r="R3024" s="113" t="n"/>
      <c r="S3024" s="113" t="n"/>
      <c r="T3024" s="113" t="n"/>
      <c r="U3024" s="113" t="n"/>
      <c r="V3024" s="113" t="n"/>
      <c r="W3024" s="113" t="n"/>
      <c r="X3024" s="113" t="n"/>
      <c r="Y3024" s="113" t="n"/>
      <c r="Z3024" s="117">
        <f>IF($B3024="",0,IF($S3024="EVET",IF($D3024="GELİR",$O3024,-$O3024),0))</f>
        <v/>
      </c>
      <c r="AA3024" s="117">
        <f>IF($B3024="",0,IF(OR($W3024="EVET",$X3024="EVET",$Y3024="EVET"),0,IF($D3024="GELİR",IF($E3024="SATIŞ İADESİ/İSKONTO",-$O3024,$O3024),-$O3024)))</f>
        <v/>
      </c>
      <c r="AB3024" s="117">
        <f>IF($B3024="","",IF(OR($D3024="",$E3024="",$O3024=""),"EKSİK",IF($O3024&lt;=0,"SIFIR/NEGATİF",IF(COUNTIFS($C$6:$C$5000,$C3024,$O$6:$O$5000,$O3024,$B$6:$B$5000,$B3024)&gt;1,"MÜKERRER","OK"))))</f>
        <v/>
      </c>
    </row>
    <row r="3025" ht="16.5" customHeight="1" s="80">
      <c r="A3025" s="113" t="n"/>
      <c r="B3025" s="113" t="n"/>
      <c r="C3025" s="113" t="n"/>
      <c r="D3025" s="113" t="n"/>
      <c r="E3025" s="113" t="n"/>
      <c r="F3025" s="113" t="n"/>
      <c r="G3025" s="113" t="n"/>
      <c r="H3025" s="113" t="n"/>
      <c r="I3025" s="113" t="n"/>
      <c r="J3025" s="113" t="n"/>
      <c r="K3025" s="113" t="n"/>
      <c r="L3025" s="113" t="n"/>
      <c r="M3025" s="113" t="n"/>
      <c r="N3025" s="113" t="n"/>
      <c r="O3025" s="113" t="n"/>
      <c r="P3025" s="113" t="n"/>
      <c r="Q3025" s="113" t="n"/>
      <c r="R3025" s="113" t="n"/>
      <c r="S3025" s="113" t="n"/>
      <c r="T3025" s="113" t="n"/>
      <c r="U3025" s="113" t="n"/>
      <c r="V3025" s="113" t="n"/>
      <c r="W3025" s="113" t="n"/>
      <c r="X3025" s="113" t="n"/>
      <c r="Y3025" s="113" t="n"/>
      <c r="Z3025" s="117">
        <f>IF($B3025="",0,IF($S3025="EVET",IF($D3025="GELİR",$O3025,-$O3025),0))</f>
        <v/>
      </c>
      <c r="AA3025" s="117">
        <f>IF($B3025="",0,IF(OR($W3025="EVET",$X3025="EVET",$Y3025="EVET"),0,IF($D3025="GELİR",IF($E3025="SATIŞ İADESİ/İSKONTO",-$O3025,$O3025),-$O3025)))</f>
        <v/>
      </c>
      <c r="AB3025" s="117">
        <f>IF($B3025="","",IF(OR($D3025="",$E3025="",$O3025=""),"EKSİK",IF($O3025&lt;=0,"SIFIR/NEGATİF",IF(COUNTIFS($C$6:$C$5000,$C3025,$O$6:$O$5000,$O3025,$B$6:$B$5000,$B3025)&gt;1,"MÜKERRER","OK"))))</f>
        <v/>
      </c>
    </row>
    <row r="3026" ht="16.5" customHeight="1" s="80">
      <c r="A3026" s="113" t="n"/>
      <c r="B3026" s="113" t="n"/>
      <c r="C3026" s="113" t="n"/>
      <c r="D3026" s="113" t="n"/>
      <c r="E3026" s="113" t="n"/>
      <c r="F3026" s="113" t="n"/>
      <c r="G3026" s="113" t="n"/>
      <c r="H3026" s="113" t="n"/>
      <c r="I3026" s="113" t="n"/>
      <c r="J3026" s="113" t="n"/>
      <c r="K3026" s="113" t="n"/>
      <c r="L3026" s="113" t="n"/>
      <c r="M3026" s="113" t="n"/>
      <c r="N3026" s="113" t="n"/>
      <c r="O3026" s="113" t="n"/>
      <c r="P3026" s="113" t="n"/>
      <c r="Q3026" s="113" t="n"/>
      <c r="R3026" s="113" t="n"/>
      <c r="S3026" s="113" t="n"/>
      <c r="T3026" s="113" t="n"/>
      <c r="U3026" s="113" t="n"/>
      <c r="V3026" s="113" t="n"/>
      <c r="W3026" s="113" t="n"/>
      <c r="X3026" s="113" t="n"/>
      <c r="Y3026" s="113" t="n"/>
      <c r="Z3026" s="117">
        <f>IF($B3026="",0,IF($S3026="EVET",IF($D3026="GELİR",$O3026,-$O3026),0))</f>
        <v/>
      </c>
      <c r="AA3026" s="117">
        <f>IF($B3026="",0,IF(OR($W3026="EVET",$X3026="EVET",$Y3026="EVET"),0,IF($D3026="GELİR",IF($E3026="SATIŞ İADESİ/İSKONTO",-$O3026,$O3026),-$O3026)))</f>
        <v/>
      </c>
      <c r="AB3026" s="117">
        <f>IF($B3026="","",IF(OR($D3026="",$E3026="",$O3026=""),"EKSİK",IF($O3026&lt;=0,"SIFIR/NEGATİF",IF(COUNTIFS($C$6:$C$5000,$C3026,$O$6:$O$5000,$O3026,$B$6:$B$5000,$B3026)&gt;1,"MÜKERRER","OK"))))</f>
        <v/>
      </c>
    </row>
    <row r="3027" ht="16.5" customHeight="1" s="80">
      <c r="A3027" s="113" t="n"/>
      <c r="B3027" s="113" t="n"/>
      <c r="C3027" s="113" t="n"/>
      <c r="D3027" s="113" t="n"/>
      <c r="E3027" s="113" t="n"/>
      <c r="F3027" s="113" t="n"/>
      <c r="G3027" s="113" t="n"/>
      <c r="H3027" s="113" t="n"/>
      <c r="I3027" s="113" t="n"/>
      <c r="J3027" s="113" t="n"/>
      <c r="K3027" s="113" t="n"/>
      <c r="L3027" s="113" t="n"/>
      <c r="M3027" s="113" t="n"/>
      <c r="N3027" s="113" t="n"/>
      <c r="O3027" s="113" t="n"/>
      <c r="P3027" s="113" t="n"/>
      <c r="Q3027" s="113" t="n"/>
      <c r="R3027" s="113" t="n"/>
      <c r="S3027" s="113" t="n"/>
      <c r="T3027" s="113" t="n"/>
      <c r="U3027" s="113" t="n"/>
      <c r="V3027" s="113" t="n"/>
      <c r="W3027" s="113" t="n"/>
      <c r="X3027" s="113" t="n"/>
      <c r="Y3027" s="113" t="n"/>
      <c r="Z3027" s="117">
        <f>IF($B3027="",0,IF($S3027="EVET",IF($D3027="GELİR",$O3027,-$O3027),0))</f>
        <v/>
      </c>
      <c r="AA3027" s="117">
        <f>IF($B3027="",0,IF(OR($W3027="EVET",$X3027="EVET",$Y3027="EVET"),0,IF($D3027="GELİR",IF($E3027="SATIŞ İADESİ/İSKONTO",-$O3027,$O3027),-$O3027)))</f>
        <v/>
      </c>
      <c r="AB3027" s="117">
        <f>IF($B3027="","",IF(OR($D3027="",$E3027="",$O3027=""),"EKSİK",IF($O3027&lt;=0,"SIFIR/NEGATİF",IF(COUNTIFS($C$6:$C$5000,$C3027,$O$6:$O$5000,$O3027,$B$6:$B$5000,$B3027)&gt;1,"MÜKERRER","OK"))))</f>
        <v/>
      </c>
    </row>
    <row r="3028" ht="16.5" customHeight="1" s="80">
      <c r="A3028" s="113" t="n"/>
      <c r="B3028" s="113" t="n"/>
      <c r="C3028" s="113" t="n"/>
      <c r="D3028" s="113" t="n"/>
      <c r="E3028" s="113" t="n"/>
      <c r="F3028" s="113" t="n"/>
      <c r="G3028" s="113" t="n"/>
      <c r="H3028" s="113" t="n"/>
      <c r="I3028" s="113" t="n"/>
      <c r="J3028" s="113" t="n"/>
      <c r="K3028" s="113" t="n"/>
      <c r="L3028" s="113" t="n"/>
      <c r="M3028" s="113" t="n"/>
      <c r="N3028" s="113" t="n"/>
      <c r="O3028" s="113" t="n"/>
      <c r="P3028" s="113" t="n"/>
      <c r="Q3028" s="113" t="n"/>
      <c r="R3028" s="113" t="n"/>
      <c r="S3028" s="113" t="n"/>
      <c r="T3028" s="113" t="n"/>
      <c r="U3028" s="113" t="n"/>
      <c r="V3028" s="113" t="n"/>
      <c r="W3028" s="113" t="n"/>
      <c r="X3028" s="113" t="n"/>
      <c r="Y3028" s="113" t="n"/>
      <c r="Z3028" s="117">
        <f>IF($B3028="",0,IF($S3028="EVET",IF($D3028="GELİR",$O3028,-$O3028),0))</f>
        <v/>
      </c>
      <c r="AA3028" s="117">
        <f>IF($B3028="",0,IF(OR($W3028="EVET",$X3028="EVET",$Y3028="EVET"),0,IF($D3028="GELİR",IF($E3028="SATIŞ İADESİ/İSKONTO",-$O3028,$O3028),-$O3028)))</f>
        <v/>
      </c>
      <c r="AB3028" s="117">
        <f>IF($B3028="","",IF(OR($D3028="",$E3028="",$O3028=""),"EKSİK",IF($O3028&lt;=0,"SIFIR/NEGATİF",IF(COUNTIFS($C$6:$C$5000,$C3028,$O$6:$O$5000,$O3028,$B$6:$B$5000,$B3028)&gt;1,"MÜKERRER","OK"))))</f>
        <v/>
      </c>
    </row>
    <row r="3029" ht="16.5" customHeight="1" s="80">
      <c r="A3029" s="113" t="n"/>
      <c r="B3029" s="113" t="n"/>
      <c r="C3029" s="113" t="n"/>
      <c r="D3029" s="113" t="n"/>
      <c r="E3029" s="113" t="n"/>
      <c r="F3029" s="113" t="n"/>
      <c r="G3029" s="113" t="n"/>
      <c r="H3029" s="113" t="n"/>
      <c r="I3029" s="113" t="n"/>
      <c r="J3029" s="113" t="n"/>
      <c r="K3029" s="113" t="n"/>
      <c r="L3029" s="113" t="n"/>
      <c r="M3029" s="113" t="n"/>
      <c r="N3029" s="113" t="n"/>
      <c r="O3029" s="113" t="n"/>
      <c r="P3029" s="113" t="n"/>
      <c r="Q3029" s="113" t="n"/>
      <c r="R3029" s="113" t="n"/>
      <c r="S3029" s="113" t="n"/>
      <c r="T3029" s="113" t="n"/>
      <c r="U3029" s="113" t="n"/>
      <c r="V3029" s="113" t="n"/>
      <c r="W3029" s="113" t="n"/>
      <c r="X3029" s="113" t="n"/>
      <c r="Y3029" s="113" t="n"/>
      <c r="Z3029" s="117">
        <f>IF($B3029="",0,IF($S3029="EVET",IF($D3029="GELİR",$O3029,-$O3029),0))</f>
        <v/>
      </c>
      <c r="AA3029" s="117">
        <f>IF($B3029="",0,IF(OR($W3029="EVET",$X3029="EVET",$Y3029="EVET"),0,IF($D3029="GELİR",IF($E3029="SATIŞ İADESİ/İSKONTO",-$O3029,$O3029),-$O3029)))</f>
        <v/>
      </c>
      <c r="AB3029" s="117">
        <f>IF($B3029="","",IF(OR($D3029="",$E3029="",$O3029=""),"EKSİK",IF($O3029&lt;=0,"SIFIR/NEGATİF",IF(COUNTIFS($C$6:$C$5000,$C3029,$O$6:$O$5000,$O3029,$B$6:$B$5000,$B3029)&gt;1,"MÜKERRER","OK"))))</f>
        <v/>
      </c>
    </row>
    <row r="3030" ht="16.5" customHeight="1" s="80">
      <c r="A3030" s="113" t="n"/>
      <c r="B3030" s="113" t="n"/>
      <c r="C3030" s="113" t="n"/>
      <c r="D3030" s="113" t="n"/>
      <c r="E3030" s="113" t="n"/>
      <c r="F3030" s="113" t="n"/>
      <c r="G3030" s="113" t="n"/>
      <c r="H3030" s="113" t="n"/>
      <c r="I3030" s="113" t="n"/>
      <c r="J3030" s="113" t="n"/>
      <c r="K3030" s="113" t="n"/>
      <c r="L3030" s="113" t="n"/>
      <c r="M3030" s="113" t="n"/>
      <c r="N3030" s="113" t="n"/>
      <c r="O3030" s="113" t="n"/>
      <c r="P3030" s="113" t="n"/>
      <c r="Q3030" s="113" t="n"/>
      <c r="R3030" s="113" t="n"/>
      <c r="S3030" s="113" t="n"/>
      <c r="T3030" s="113" t="n"/>
      <c r="U3030" s="113" t="n"/>
      <c r="V3030" s="113" t="n"/>
      <c r="W3030" s="113" t="n"/>
      <c r="X3030" s="113" t="n"/>
      <c r="Y3030" s="113" t="n"/>
      <c r="Z3030" s="117">
        <f>IF($B3030="",0,IF($S3030="EVET",IF($D3030="GELİR",$O3030,-$O3030),0))</f>
        <v/>
      </c>
      <c r="AA3030" s="117">
        <f>IF($B3030="",0,IF(OR($W3030="EVET",$X3030="EVET",$Y3030="EVET"),0,IF($D3030="GELİR",IF($E3030="SATIŞ İADESİ/İSKONTO",-$O3030,$O3030),-$O3030)))</f>
        <v/>
      </c>
      <c r="AB3030" s="117">
        <f>IF($B3030="","",IF(OR($D3030="",$E3030="",$O3030=""),"EKSİK",IF($O3030&lt;=0,"SIFIR/NEGATİF",IF(COUNTIFS($C$6:$C$5000,$C3030,$O$6:$O$5000,$O3030,$B$6:$B$5000,$B3030)&gt;1,"MÜKERRER","OK"))))</f>
        <v/>
      </c>
    </row>
    <row r="3031" ht="16.5" customHeight="1" s="80">
      <c r="A3031" s="113" t="n"/>
      <c r="B3031" s="113" t="n"/>
      <c r="C3031" s="113" t="n"/>
      <c r="D3031" s="113" t="n"/>
      <c r="E3031" s="113" t="n"/>
      <c r="F3031" s="113" t="n"/>
      <c r="G3031" s="113" t="n"/>
      <c r="H3031" s="113" t="n"/>
      <c r="I3031" s="113" t="n"/>
      <c r="J3031" s="113" t="n"/>
      <c r="K3031" s="113" t="n"/>
      <c r="L3031" s="113" t="n"/>
      <c r="M3031" s="113" t="n"/>
      <c r="N3031" s="113" t="n"/>
      <c r="O3031" s="113" t="n"/>
      <c r="P3031" s="113" t="n"/>
      <c r="Q3031" s="113" t="n"/>
      <c r="R3031" s="113" t="n"/>
      <c r="S3031" s="113" t="n"/>
      <c r="T3031" s="113" t="n"/>
      <c r="U3031" s="113" t="n"/>
      <c r="V3031" s="113" t="n"/>
      <c r="W3031" s="113" t="n"/>
      <c r="X3031" s="113" t="n"/>
      <c r="Y3031" s="113" t="n"/>
      <c r="Z3031" s="117">
        <f>IF($B3031="",0,IF($S3031="EVET",IF($D3031="GELİR",$O3031,-$O3031),0))</f>
        <v/>
      </c>
      <c r="AA3031" s="117">
        <f>IF($B3031="",0,IF(OR($W3031="EVET",$X3031="EVET",$Y3031="EVET"),0,IF($D3031="GELİR",IF($E3031="SATIŞ İADESİ/İSKONTO",-$O3031,$O3031),-$O3031)))</f>
        <v/>
      </c>
      <c r="AB3031" s="117">
        <f>IF($B3031="","",IF(OR($D3031="",$E3031="",$O3031=""),"EKSİK",IF($O3031&lt;=0,"SIFIR/NEGATİF",IF(COUNTIFS($C$6:$C$5000,$C3031,$O$6:$O$5000,$O3031,$B$6:$B$5000,$B3031)&gt;1,"MÜKERRER","OK"))))</f>
        <v/>
      </c>
    </row>
    <row r="3032" ht="16.5" customHeight="1" s="80">
      <c r="A3032" s="113" t="n"/>
      <c r="B3032" s="113" t="n"/>
      <c r="C3032" s="113" t="n"/>
      <c r="D3032" s="113" t="n"/>
      <c r="E3032" s="113" t="n"/>
      <c r="F3032" s="113" t="n"/>
      <c r="G3032" s="113" t="n"/>
      <c r="H3032" s="113" t="n"/>
      <c r="I3032" s="113" t="n"/>
      <c r="J3032" s="113" t="n"/>
      <c r="K3032" s="113" t="n"/>
      <c r="L3032" s="113" t="n"/>
      <c r="M3032" s="113" t="n"/>
      <c r="N3032" s="113" t="n"/>
      <c r="O3032" s="113" t="n"/>
      <c r="P3032" s="113" t="n"/>
      <c r="Q3032" s="113" t="n"/>
      <c r="R3032" s="113" t="n"/>
      <c r="S3032" s="113" t="n"/>
      <c r="T3032" s="113" t="n"/>
      <c r="U3032" s="113" t="n"/>
      <c r="V3032" s="113" t="n"/>
      <c r="W3032" s="113" t="n"/>
      <c r="X3032" s="113" t="n"/>
      <c r="Y3032" s="113" t="n"/>
      <c r="Z3032" s="117">
        <f>IF($B3032="",0,IF($S3032="EVET",IF($D3032="GELİR",$O3032,-$O3032),0))</f>
        <v/>
      </c>
      <c r="AA3032" s="117">
        <f>IF($B3032="",0,IF(OR($W3032="EVET",$X3032="EVET",$Y3032="EVET"),0,IF($D3032="GELİR",IF($E3032="SATIŞ İADESİ/İSKONTO",-$O3032,$O3032),-$O3032)))</f>
        <v/>
      </c>
      <c r="AB3032" s="117">
        <f>IF($B3032="","",IF(OR($D3032="",$E3032="",$O3032=""),"EKSİK",IF($O3032&lt;=0,"SIFIR/NEGATİF",IF(COUNTIFS($C$6:$C$5000,$C3032,$O$6:$O$5000,$O3032,$B$6:$B$5000,$B3032)&gt;1,"MÜKERRER","OK"))))</f>
        <v/>
      </c>
    </row>
    <row r="3033" ht="16.5" customHeight="1" s="80">
      <c r="A3033" s="113" t="n"/>
      <c r="B3033" s="113" t="n"/>
      <c r="C3033" s="113" t="n"/>
      <c r="D3033" s="113" t="n"/>
      <c r="E3033" s="113" t="n"/>
      <c r="F3033" s="113" t="n"/>
      <c r="G3033" s="113" t="n"/>
      <c r="H3033" s="113" t="n"/>
      <c r="I3033" s="113" t="n"/>
      <c r="J3033" s="113" t="n"/>
      <c r="K3033" s="113" t="n"/>
      <c r="L3033" s="113" t="n"/>
      <c r="M3033" s="113" t="n"/>
      <c r="N3033" s="113" t="n"/>
      <c r="O3033" s="113" t="n"/>
      <c r="P3033" s="113" t="n"/>
      <c r="Q3033" s="113" t="n"/>
      <c r="R3033" s="113" t="n"/>
      <c r="S3033" s="113" t="n"/>
      <c r="T3033" s="113" t="n"/>
      <c r="U3033" s="113" t="n"/>
      <c r="V3033" s="113" t="n"/>
      <c r="W3033" s="113" t="n"/>
      <c r="X3033" s="113" t="n"/>
      <c r="Y3033" s="113" t="n"/>
      <c r="Z3033" s="117">
        <f>IF($B3033="",0,IF($S3033="EVET",IF($D3033="GELİR",$O3033,-$O3033),0))</f>
        <v/>
      </c>
      <c r="AA3033" s="117">
        <f>IF($B3033="",0,IF(OR($W3033="EVET",$X3033="EVET",$Y3033="EVET"),0,IF($D3033="GELİR",IF($E3033="SATIŞ İADESİ/İSKONTO",-$O3033,$O3033),-$O3033)))</f>
        <v/>
      </c>
      <c r="AB3033" s="117">
        <f>IF($B3033="","",IF(OR($D3033="",$E3033="",$O3033=""),"EKSİK",IF($O3033&lt;=0,"SIFIR/NEGATİF",IF(COUNTIFS($C$6:$C$5000,$C3033,$O$6:$O$5000,$O3033,$B$6:$B$5000,$B3033)&gt;1,"MÜKERRER","OK"))))</f>
        <v/>
      </c>
    </row>
    <row r="3034" ht="16.5" customHeight="1" s="80">
      <c r="A3034" s="113" t="n"/>
      <c r="B3034" s="113" t="n"/>
      <c r="C3034" s="113" t="n"/>
      <c r="D3034" s="113" t="n"/>
      <c r="E3034" s="113" t="n"/>
      <c r="F3034" s="113" t="n"/>
      <c r="G3034" s="113" t="n"/>
      <c r="H3034" s="113" t="n"/>
      <c r="I3034" s="113" t="n"/>
      <c r="J3034" s="113" t="n"/>
      <c r="K3034" s="113" t="n"/>
      <c r="L3034" s="113" t="n"/>
      <c r="M3034" s="113" t="n"/>
      <c r="N3034" s="113" t="n"/>
      <c r="O3034" s="113" t="n"/>
      <c r="P3034" s="113" t="n"/>
      <c r="Q3034" s="113" t="n"/>
      <c r="R3034" s="113" t="n"/>
      <c r="S3034" s="113" t="n"/>
      <c r="T3034" s="113" t="n"/>
      <c r="U3034" s="113" t="n"/>
      <c r="V3034" s="113" t="n"/>
      <c r="W3034" s="113" t="n"/>
      <c r="X3034" s="113" t="n"/>
      <c r="Y3034" s="113" t="n"/>
      <c r="Z3034" s="117">
        <f>IF($B3034="",0,IF($S3034="EVET",IF($D3034="GELİR",$O3034,-$O3034),0))</f>
        <v/>
      </c>
      <c r="AA3034" s="117">
        <f>IF($B3034="",0,IF(OR($W3034="EVET",$X3034="EVET",$Y3034="EVET"),0,IF($D3034="GELİR",IF($E3034="SATIŞ İADESİ/İSKONTO",-$O3034,$O3034),-$O3034)))</f>
        <v/>
      </c>
      <c r="AB3034" s="117">
        <f>IF($B3034="","",IF(OR($D3034="",$E3034="",$O3034=""),"EKSİK",IF($O3034&lt;=0,"SIFIR/NEGATİF",IF(COUNTIFS($C$6:$C$5000,$C3034,$O$6:$O$5000,$O3034,$B$6:$B$5000,$B3034)&gt;1,"MÜKERRER","OK"))))</f>
        <v/>
      </c>
    </row>
    <row r="3035" ht="16.5" customHeight="1" s="80">
      <c r="A3035" s="113" t="n"/>
      <c r="B3035" s="113" t="n"/>
      <c r="C3035" s="113" t="n"/>
      <c r="D3035" s="113" t="n"/>
      <c r="E3035" s="113" t="n"/>
      <c r="F3035" s="113" t="n"/>
      <c r="G3035" s="113" t="n"/>
      <c r="H3035" s="113" t="n"/>
      <c r="I3035" s="113" t="n"/>
      <c r="J3035" s="113" t="n"/>
      <c r="K3035" s="113" t="n"/>
      <c r="L3035" s="113" t="n"/>
      <c r="M3035" s="113" t="n"/>
      <c r="N3035" s="113" t="n"/>
      <c r="O3035" s="113" t="n"/>
      <c r="P3035" s="113" t="n"/>
      <c r="Q3035" s="113" t="n"/>
      <c r="R3035" s="113" t="n"/>
      <c r="S3035" s="113" t="n"/>
      <c r="T3035" s="113" t="n"/>
      <c r="U3035" s="113" t="n"/>
      <c r="V3035" s="113" t="n"/>
      <c r="W3035" s="113" t="n"/>
      <c r="X3035" s="113" t="n"/>
      <c r="Y3035" s="113" t="n"/>
      <c r="Z3035" s="117">
        <f>IF($B3035="",0,IF($S3035="EVET",IF($D3035="GELİR",$O3035,-$O3035),0))</f>
        <v/>
      </c>
      <c r="AA3035" s="117">
        <f>IF($B3035="",0,IF(OR($W3035="EVET",$X3035="EVET",$Y3035="EVET"),0,IF($D3035="GELİR",IF($E3035="SATIŞ İADESİ/İSKONTO",-$O3035,$O3035),-$O3035)))</f>
        <v/>
      </c>
      <c r="AB3035" s="117">
        <f>IF($B3035="","",IF(OR($D3035="",$E3035="",$O3035=""),"EKSİK",IF($O3035&lt;=0,"SIFIR/NEGATİF",IF(COUNTIFS($C$6:$C$5000,$C3035,$O$6:$O$5000,$O3035,$B$6:$B$5000,$B3035)&gt;1,"MÜKERRER","OK"))))</f>
        <v/>
      </c>
    </row>
    <row r="3036" ht="16.5" customHeight="1" s="80">
      <c r="A3036" s="113" t="n"/>
      <c r="B3036" s="113" t="n"/>
      <c r="C3036" s="113" t="n"/>
      <c r="D3036" s="113" t="n"/>
      <c r="E3036" s="113" t="n"/>
      <c r="F3036" s="113" t="n"/>
      <c r="G3036" s="113" t="n"/>
      <c r="H3036" s="113" t="n"/>
      <c r="I3036" s="113" t="n"/>
      <c r="J3036" s="113" t="n"/>
      <c r="K3036" s="113" t="n"/>
      <c r="L3036" s="113" t="n"/>
      <c r="M3036" s="113" t="n"/>
      <c r="N3036" s="113" t="n"/>
      <c r="O3036" s="113" t="n"/>
      <c r="P3036" s="113" t="n"/>
      <c r="Q3036" s="113" t="n"/>
      <c r="R3036" s="113" t="n"/>
      <c r="S3036" s="113" t="n"/>
      <c r="T3036" s="113" t="n"/>
      <c r="U3036" s="113" t="n"/>
      <c r="V3036" s="113" t="n"/>
      <c r="W3036" s="113" t="n"/>
      <c r="X3036" s="113" t="n"/>
      <c r="Y3036" s="113" t="n"/>
      <c r="Z3036" s="117">
        <f>IF($B3036="",0,IF($S3036="EVET",IF($D3036="GELİR",$O3036,-$O3036),0))</f>
        <v/>
      </c>
      <c r="AA3036" s="117">
        <f>IF($B3036="",0,IF(OR($W3036="EVET",$X3036="EVET",$Y3036="EVET"),0,IF($D3036="GELİR",IF($E3036="SATIŞ İADESİ/İSKONTO",-$O3036,$O3036),-$O3036)))</f>
        <v/>
      </c>
      <c r="AB3036" s="117">
        <f>IF($B3036="","",IF(OR($D3036="",$E3036="",$O3036=""),"EKSİK",IF($O3036&lt;=0,"SIFIR/NEGATİF",IF(COUNTIFS($C$6:$C$5000,$C3036,$O$6:$O$5000,$O3036,$B$6:$B$5000,$B3036)&gt;1,"MÜKERRER","OK"))))</f>
        <v/>
      </c>
    </row>
    <row r="3037" ht="16.5" customHeight="1" s="80">
      <c r="A3037" s="113" t="n"/>
      <c r="B3037" s="113" t="n"/>
      <c r="C3037" s="113" t="n"/>
      <c r="D3037" s="113" t="n"/>
      <c r="E3037" s="113" t="n"/>
      <c r="F3037" s="113" t="n"/>
      <c r="G3037" s="113" t="n"/>
      <c r="H3037" s="113" t="n"/>
      <c r="I3037" s="113" t="n"/>
      <c r="J3037" s="113" t="n"/>
      <c r="K3037" s="113" t="n"/>
      <c r="L3037" s="113" t="n"/>
      <c r="M3037" s="113" t="n"/>
      <c r="N3037" s="113" t="n"/>
      <c r="O3037" s="113" t="n"/>
      <c r="P3037" s="113" t="n"/>
      <c r="Q3037" s="113" t="n"/>
      <c r="R3037" s="113" t="n"/>
      <c r="S3037" s="113" t="n"/>
      <c r="T3037" s="113" t="n"/>
      <c r="U3037" s="113" t="n"/>
      <c r="V3037" s="113" t="n"/>
      <c r="W3037" s="113" t="n"/>
      <c r="X3037" s="113" t="n"/>
      <c r="Y3037" s="113" t="n"/>
      <c r="Z3037" s="117">
        <f>IF($B3037="",0,IF($S3037="EVET",IF($D3037="GELİR",$O3037,-$O3037),0))</f>
        <v/>
      </c>
      <c r="AA3037" s="117">
        <f>IF($B3037="",0,IF(OR($W3037="EVET",$X3037="EVET",$Y3037="EVET"),0,IF($D3037="GELİR",IF($E3037="SATIŞ İADESİ/İSKONTO",-$O3037,$O3037),-$O3037)))</f>
        <v/>
      </c>
      <c r="AB3037" s="117">
        <f>IF($B3037="","",IF(OR($D3037="",$E3037="",$O3037=""),"EKSİK",IF($O3037&lt;=0,"SIFIR/NEGATİF",IF(COUNTIFS($C$6:$C$5000,$C3037,$O$6:$O$5000,$O3037,$B$6:$B$5000,$B3037)&gt;1,"MÜKERRER","OK"))))</f>
        <v/>
      </c>
    </row>
    <row r="3038" ht="16.5" customHeight="1" s="80">
      <c r="A3038" s="113" t="n"/>
      <c r="B3038" s="113" t="n"/>
      <c r="C3038" s="113" t="n"/>
      <c r="D3038" s="113" t="n"/>
      <c r="E3038" s="113" t="n"/>
      <c r="F3038" s="113" t="n"/>
      <c r="G3038" s="113" t="n"/>
      <c r="H3038" s="113" t="n"/>
      <c r="I3038" s="113" t="n"/>
      <c r="J3038" s="113" t="n"/>
      <c r="K3038" s="113" t="n"/>
      <c r="L3038" s="113" t="n"/>
      <c r="M3038" s="113" t="n"/>
      <c r="N3038" s="113" t="n"/>
      <c r="O3038" s="113" t="n"/>
      <c r="P3038" s="113" t="n"/>
      <c r="Q3038" s="113" t="n"/>
      <c r="R3038" s="113" t="n"/>
      <c r="S3038" s="113" t="n"/>
      <c r="T3038" s="113" t="n"/>
      <c r="U3038" s="113" t="n"/>
      <c r="V3038" s="113" t="n"/>
      <c r="W3038" s="113" t="n"/>
      <c r="X3038" s="113" t="n"/>
      <c r="Y3038" s="113" t="n"/>
      <c r="Z3038" s="117">
        <f>IF($B3038="",0,IF($S3038="EVET",IF($D3038="GELİR",$O3038,-$O3038),0))</f>
        <v/>
      </c>
      <c r="AA3038" s="117">
        <f>IF($B3038="",0,IF(OR($W3038="EVET",$X3038="EVET",$Y3038="EVET"),0,IF($D3038="GELİR",IF($E3038="SATIŞ İADESİ/İSKONTO",-$O3038,$O3038),-$O3038)))</f>
        <v/>
      </c>
      <c r="AB3038" s="117">
        <f>IF($B3038="","",IF(OR($D3038="",$E3038="",$O3038=""),"EKSİK",IF($O3038&lt;=0,"SIFIR/NEGATİF",IF(COUNTIFS($C$6:$C$5000,$C3038,$O$6:$O$5000,$O3038,$B$6:$B$5000,$B3038)&gt;1,"MÜKERRER","OK"))))</f>
        <v/>
      </c>
    </row>
    <row r="3039" ht="16.5" customHeight="1" s="80">
      <c r="A3039" s="113" t="n"/>
      <c r="B3039" s="113" t="n"/>
      <c r="C3039" s="113" t="n"/>
      <c r="D3039" s="113" t="n"/>
      <c r="E3039" s="113" t="n"/>
      <c r="F3039" s="113" t="n"/>
      <c r="G3039" s="113" t="n"/>
      <c r="H3039" s="113" t="n"/>
      <c r="I3039" s="113" t="n"/>
      <c r="J3039" s="113" t="n"/>
      <c r="K3039" s="113" t="n"/>
      <c r="L3039" s="113" t="n"/>
      <c r="M3039" s="113" t="n"/>
      <c r="N3039" s="113" t="n"/>
      <c r="O3039" s="113" t="n"/>
      <c r="P3039" s="113" t="n"/>
      <c r="Q3039" s="113" t="n"/>
      <c r="R3039" s="113" t="n"/>
      <c r="S3039" s="113" t="n"/>
      <c r="T3039" s="113" t="n"/>
      <c r="U3039" s="113" t="n"/>
      <c r="V3039" s="113" t="n"/>
      <c r="W3039" s="113" t="n"/>
      <c r="X3039" s="113" t="n"/>
      <c r="Y3039" s="113" t="n"/>
      <c r="Z3039" s="117">
        <f>IF($B3039="",0,IF($S3039="EVET",IF($D3039="GELİR",$O3039,-$O3039),0))</f>
        <v/>
      </c>
      <c r="AA3039" s="117">
        <f>IF($B3039="",0,IF(OR($W3039="EVET",$X3039="EVET",$Y3039="EVET"),0,IF($D3039="GELİR",IF($E3039="SATIŞ İADESİ/İSKONTO",-$O3039,$O3039),-$O3039)))</f>
        <v/>
      </c>
      <c r="AB3039" s="117">
        <f>IF($B3039="","",IF(OR($D3039="",$E3039="",$O3039=""),"EKSİK",IF($O3039&lt;=0,"SIFIR/NEGATİF",IF(COUNTIFS($C$6:$C$5000,$C3039,$O$6:$O$5000,$O3039,$B$6:$B$5000,$B3039)&gt;1,"MÜKERRER","OK"))))</f>
        <v/>
      </c>
    </row>
    <row r="3040" ht="16.5" customHeight="1" s="80">
      <c r="A3040" s="113" t="n"/>
      <c r="B3040" s="113" t="n"/>
      <c r="C3040" s="113" t="n"/>
      <c r="D3040" s="113" t="n"/>
      <c r="E3040" s="113" t="n"/>
      <c r="F3040" s="113" t="n"/>
      <c r="G3040" s="113" t="n"/>
      <c r="H3040" s="113" t="n"/>
      <c r="I3040" s="113" t="n"/>
      <c r="J3040" s="113" t="n"/>
      <c r="K3040" s="113" t="n"/>
      <c r="L3040" s="113" t="n"/>
      <c r="M3040" s="113" t="n"/>
      <c r="N3040" s="113" t="n"/>
      <c r="O3040" s="113" t="n"/>
      <c r="P3040" s="113" t="n"/>
      <c r="Q3040" s="113" t="n"/>
      <c r="R3040" s="113" t="n"/>
      <c r="S3040" s="113" t="n"/>
      <c r="T3040" s="113" t="n"/>
      <c r="U3040" s="113" t="n"/>
      <c r="V3040" s="113" t="n"/>
      <c r="W3040" s="113" t="n"/>
      <c r="X3040" s="113" t="n"/>
      <c r="Y3040" s="113" t="n"/>
      <c r="Z3040" s="117">
        <f>IF($B3040="",0,IF($S3040="EVET",IF($D3040="GELİR",$O3040,-$O3040),0))</f>
        <v/>
      </c>
      <c r="AA3040" s="117">
        <f>IF($B3040="",0,IF(OR($W3040="EVET",$X3040="EVET",$Y3040="EVET"),0,IF($D3040="GELİR",IF($E3040="SATIŞ İADESİ/İSKONTO",-$O3040,$O3040),-$O3040)))</f>
        <v/>
      </c>
      <c r="AB3040" s="117">
        <f>IF($B3040="","",IF(OR($D3040="",$E3040="",$O3040=""),"EKSİK",IF($O3040&lt;=0,"SIFIR/NEGATİF",IF(COUNTIFS($C$6:$C$5000,$C3040,$O$6:$O$5000,$O3040,$B$6:$B$5000,$B3040)&gt;1,"MÜKERRER","OK"))))</f>
        <v/>
      </c>
    </row>
    <row r="3041" ht="16.5" customHeight="1" s="80">
      <c r="A3041" s="113" t="n"/>
      <c r="B3041" s="113" t="n"/>
      <c r="C3041" s="113" t="n"/>
      <c r="D3041" s="113" t="n"/>
      <c r="E3041" s="113" t="n"/>
      <c r="F3041" s="113" t="n"/>
      <c r="G3041" s="113" t="n"/>
      <c r="H3041" s="113" t="n"/>
      <c r="I3041" s="113" t="n"/>
      <c r="J3041" s="113" t="n"/>
      <c r="K3041" s="113" t="n"/>
      <c r="L3041" s="113" t="n"/>
      <c r="M3041" s="113" t="n"/>
      <c r="N3041" s="113" t="n"/>
      <c r="O3041" s="113" t="n"/>
      <c r="P3041" s="113" t="n"/>
      <c r="Q3041" s="113" t="n"/>
      <c r="R3041" s="113" t="n"/>
      <c r="S3041" s="113" t="n"/>
      <c r="T3041" s="113" t="n"/>
      <c r="U3041" s="113" t="n"/>
      <c r="V3041" s="113" t="n"/>
      <c r="W3041" s="113" t="n"/>
      <c r="X3041" s="113" t="n"/>
      <c r="Y3041" s="113" t="n"/>
      <c r="Z3041" s="117">
        <f>IF($B3041="",0,IF($S3041="EVET",IF($D3041="GELİR",$O3041,-$O3041),0))</f>
        <v/>
      </c>
      <c r="AA3041" s="117">
        <f>IF($B3041="",0,IF(OR($W3041="EVET",$X3041="EVET",$Y3041="EVET"),0,IF($D3041="GELİR",IF($E3041="SATIŞ İADESİ/İSKONTO",-$O3041,$O3041),-$O3041)))</f>
        <v/>
      </c>
      <c r="AB3041" s="117">
        <f>IF($B3041="","",IF(OR($D3041="",$E3041="",$O3041=""),"EKSİK",IF($O3041&lt;=0,"SIFIR/NEGATİF",IF(COUNTIFS($C$6:$C$5000,$C3041,$O$6:$O$5000,$O3041,$B$6:$B$5000,$B3041)&gt;1,"MÜKERRER","OK"))))</f>
        <v/>
      </c>
    </row>
    <row r="3042" ht="16.5" customHeight="1" s="80">
      <c r="A3042" s="113" t="n"/>
      <c r="B3042" s="113" t="n"/>
      <c r="C3042" s="113" t="n"/>
      <c r="D3042" s="113" t="n"/>
      <c r="E3042" s="113" t="n"/>
      <c r="F3042" s="113" t="n"/>
      <c r="G3042" s="113" t="n"/>
      <c r="H3042" s="113" t="n"/>
      <c r="I3042" s="113" t="n"/>
      <c r="J3042" s="113" t="n"/>
      <c r="K3042" s="113" t="n"/>
      <c r="L3042" s="113" t="n"/>
      <c r="M3042" s="113" t="n"/>
      <c r="N3042" s="113" t="n"/>
      <c r="O3042" s="113" t="n"/>
      <c r="P3042" s="113" t="n"/>
      <c r="Q3042" s="113" t="n"/>
      <c r="R3042" s="113" t="n"/>
      <c r="S3042" s="113" t="n"/>
      <c r="T3042" s="113" t="n"/>
      <c r="U3042" s="113" t="n"/>
      <c r="V3042" s="113" t="n"/>
      <c r="W3042" s="113" t="n"/>
      <c r="X3042" s="113" t="n"/>
      <c r="Y3042" s="113" t="n"/>
      <c r="Z3042" s="117">
        <f>IF($B3042="",0,IF($S3042="EVET",IF($D3042="GELİR",$O3042,-$O3042),0))</f>
        <v/>
      </c>
      <c r="AA3042" s="117">
        <f>IF($B3042="",0,IF(OR($W3042="EVET",$X3042="EVET",$Y3042="EVET"),0,IF($D3042="GELİR",IF($E3042="SATIŞ İADESİ/İSKONTO",-$O3042,$O3042),-$O3042)))</f>
        <v/>
      </c>
      <c r="AB3042" s="117">
        <f>IF($B3042="","",IF(OR($D3042="",$E3042="",$O3042=""),"EKSİK",IF($O3042&lt;=0,"SIFIR/NEGATİF",IF(COUNTIFS($C$6:$C$5000,$C3042,$O$6:$O$5000,$O3042,$B$6:$B$5000,$B3042)&gt;1,"MÜKERRER","OK"))))</f>
        <v/>
      </c>
    </row>
    <row r="3043" ht="16.5" customHeight="1" s="80">
      <c r="A3043" s="113" t="n"/>
      <c r="B3043" s="113" t="n"/>
      <c r="C3043" s="113" t="n"/>
      <c r="D3043" s="113" t="n"/>
      <c r="E3043" s="113" t="n"/>
      <c r="F3043" s="113" t="n"/>
      <c r="G3043" s="113" t="n"/>
      <c r="H3043" s="113" t="n"/>
      <c r="I3043" s="113" t="n"/>
      <c r="J3043" s="113" t="n"/>
      <c r="K3043" s="113" t="n"/>
      <c r="L3043" s="113" t="n"/>
      <c r="M3043" s="113" t="n"/>
      <c r="N3043" s="113" t="n"/>
      <c r="O3043" s="113" t="n"/>
      <c r="P3043" s="113" t="n"/>
      <c r="Q3043" s="113" t="n"/>
      <c r="R3043" s="113" t="n"/>
      <c r="S3043" s="113" t="n"/>
      <c r="T3043" s="113" t="n"/>
      <c r="U3043" s="113" t="n"/>
      <c r="V3043" s="113" t="n"/>
      <c r="W3043" s="113" t="n"/>
      <c r="X3043" s="113" t="n"/>
      <c r="Y3043" s="113" t="n"/>
      <c r="Z3043" s="117">
        <f>IF($B3043="",0,IF($S3043="EVET",IF($D3043="GELİR",$O3043,-$O3043),0))</f>
        <v/>
      </c>
      <c r="AA3043" s="117">
        <f>IF($B3043="",0,IF(OR($W3043="EVET",$X3043="EVET",$Y3043="EVET"),0,IF($D3043="GELİR",IF($E3043="SATIŞ İADESİ/İSKONTO",-$O3043,$O3043),-$O3043)))</f>
        <v/>
      </c>
      <c r="AB3043" s="117">
        <f>IF($B3043="","",IF(OR($D3043="",$E3043="",$O3043=""),"EKSİK",IF($O3043&lt;=0,"SIFIR/NEGATİF",IF(COUNTIFS($C$6:$C$5000,$C3043,$O$6:$O$5000,$O3043,$B$6:$B$5000,$B3043)&gt;1,"MÜKERRER","OK"))))</f>
        <v/>
      </c>
    </row>
    <row r="3044" ht="16.5" customHeight="1" s="80">
      <c r="A3044" s="113" t="n"/>
      <c r="B3044" s="113" t="n"/>
      <c r="C3044" s="113" t="n"/>
      <c r="D3044" s="113" t="n"/>
      <c r="E3044" s="113" t="n"/>
      <c r="F3044" s="113" t="n"/>
      <c r="G3044" s="113" t="n"/>
      <c r="H3044" s="113" t="n"/>
      <c r="I3044" s="113" t="n"/>
      <c r="J3044" s="113" t="n"/>
      <c r="K3044" s="113" t="n"/>
      <c r="L3044" s="113" t="n"/>
      <c r="M3044" s="113" t="n"/>
      <c r="N3044" s="113" t="n"/>
      <c r="O3044" s="113" t="n"/>
      <c r="P3044" s="113" t="n"/>
      <c r="Q3044" s="113" t="n"/>
      <c r="R3044" s="113" t="n"/>
      <c r="S3044" s="113" t="n"/>
      <c r="T3044" s="113" t="n"/>
      <c r="U3044" s="113" t="n"/>
      <c r="V3044" s="113" t="n"/>
      <c r="W3044" s="113" t="n"/>
      <c r="X3044" s="113" t="n"/>
      <c r="Y3044" s="113" t="n"/>
      <c r="Z3044" s="117">
        <f>IF($B3044="",0,IF($S3044="EVET",IF($D3044="GELİR",$O3044,-$O3044),0))</f>
        <v/>
      </c>
      <c r="AA3044" s="117">
        <f>IF($B3044="",0,IF(OR($W3044="EVET",$X3044="EVET",$Y3044="EVET"),0,IF($D3044="GELİR",IF($E3044="SATIŞ İADESİ/İSKONTO",-$O3044,$O3044),-$O3044)))</f>
        <v/>
      </c>
      <c r="AB3044" s="117">
        <f>IF($B3044="","",IF(OR($D3044="",$E3044="",$O3044=""),"EKSİK",IF($O3044&lt;=0,"SIFIR/NEGATİF",IF(COUNTIFS($C$6:$C$5000,$C3044,$O$6:$O$5000,$O3044,$B$6:$B$5000,$B3044)&gt;1,"MÜKERRER","OK"))))</f>
        <v/>
      </c>
    </row>
    <row r="3045" ht="16.5" customHeight="1" s="80">
      <c r="A3045" s="113" t="n"/>
      <c r="B3045" s="113" t="n"/>
      <c r="C3045" s="113" t="n"/>
      <c r="D3045" s="113" t="n"/>
      <c r="E3045" s="113" t="n"/>
      <c r="F3045" s="113" t="n"/>
      <c r="G3045" s="113" t="n"/>
      <c r="H3045" s="113" t="n"/>
      <c r="I3045" s="113" t="n"/>
      <c r="J3045" s="113" t="n"/>
      <c r="K3045" s="113" t="n"/>
      <c r="L3045" s="113" t="n"/>
      <c r="M3045" s="113" t="n"/>
      <c r="N3045" s="113" t="n"/>
      <c r="O3045" s="113" t="n"/>
      <c r="P3045" s="113" t="n"/>
      <c r="Q3045" s="113" t="n"/>
      <c r="R3045" s="113" t="n"/>
      <c r="S3045" s="113" t="n"/>
      <c r="T3045" s="113" t="n"/>
      <c r="U3045" s="113" t="n"/>
      <c r="V3045" s="113" t="n"/>
      <c r="W3045" s="113" t="n"/>
      <c r="X3045" s="113" t="n"/>
      <c r="Y3045" s="113" t="n"/>
      <c r="Z3045" s="117">
        <f>IF($B3045="",0,IF($S3045="EVET",IF($D3045="GELİR",$O3045,-$O3045),0))</f>
        <v/>
      </c>
      <c r="AA3045" s="117">
        <f>IF($B3045="",0,IF(OR($W3045="EVET",$X3045="EVET",$Y3045="EVET"),0,IF($D3045="GELİR",IF($E3045="SATIŞ İADESİ/İSKONTO",-$O3045,$O3045),-$O3045)))</f>
        <v/>
      </c>
      <c r="AB3045" s="117">
        <f>IF($B3045="","",IF(OR($D3045="",$E3045="",$O3045=""),"EKSİK",IF($O3045&lt;=0,"SIFIR/NEGATİF",IF(COUNTIFS($C$6:$C$5000,$C3045,$O$6:$O$5000,$O3045,$B$6:$B$5000,$B3045)&gt;1,"MÜKERRER","OK"))))</f>
        <v/>
      </c>
    </row>
    <row r="3046" ht="16.5" customHeight="1" s="80">
      <c r="A3046" s="113" t="n"/>
      <c r="B3046" s="113" t="n"/>
      <c r="C3046" s="113" t="n"/>
      <c r="D3046" s="113" t="n"/>
      <c r="E3046" s="113" t="n"/>
      <c r="F3046" s="113" t="n"/>
      <c r="G3046" s="113" t="n"/>
      <c r="H3046" s="113" t="n"/>
      <c r="I3046" s="113" t="n"/>
      <c r="J3046" s="113" t="n"/>
      <c r="K3046" s="113" t="n"/>
      <c r="L3046" s="113" t="n"/>
      <c r="M3046" s="113" t="n"/>
      <c r="N3046" s="113" t="n"/>
      <c r="O3046" s="113" t="n"/>
      <c r="P3046" s="113" t="n"/>
      <c r="Q3046" s="113" t="n"/>
      <c r="R3046" s="113" t="n"/>
      <c r="S3046" s="113" t="n"/>
      <c r="T3046" s="113" t="n"/>
      <c r="U3046" s="113" t="n"/>
      <c r="V3046" s="113" t="n"/>
      <c r="W3046" s="113" t="n"/>
      <c r="X3046" s="113" t="n"/>
      <c r="Y3046" s="113" t="n"/>
      <c r="Z3046" s="117">
        <f>IF($B3046="",0,IF($S3046="EVET",IF($D3046="GELİR",$O3046,-$O3046),0))</f>
        <v/>
      </c>
      <c r="AA3046" s="117">
        <f>IF($B3046="",0,IF(OR($W3046="EVET",$X3046="EVET",$Y3046="EVET"),0,IF($D3046="GELİR",IF($E3046="SATIŞ İADESİ/İSKONTO",-$O3046,$O3046),-$O3046)))</f>
        <v/>
      </c>
      <c r="AB3046" s="117">
        <f>IF($B3046="","",IF(OR($D3046="",$E3046="",$O3046=""),"EKSİK",IF($O3046&lt;=0,"SIFIR/NEGATİF",IF(COUNTIFS($C$6:$C$5000,$C3046,$O$6:$O$5000,$O3046,$B$6:$B$5000,$B3046)&gt;1,"MÜKERRER","OK"))))</f>
        <v/>
      </c>
    </row>
    <row r="3047" ht="16.5" customHeight="1" s="80">
      <c r="A3047" s="113" t="n"/>
      <c r="B3047" s="113" t="n"/>
      <c r="C3047" s="113" t="n"/>
      <c r="D3047" s="113" t="n"/>
      <c r="E3047" s="113" t="n"/>
      <c r="F3047" s="113" t="n"/>
      <c r="G3047" s="113" t="n"/>
      <c r="H3047" s="113" t="n"/>
      <c r="I3047" s="113" t="n"/>
      <c r="J3047" s="113" t="n"/>
      <c r="K3047" s="113" t="n"/>
      <c r="L3047" s="113" t="n"/>
      <c r="M3047" s="113" t="n"/>
      <c r="N3047" s="113" t="n"/>
      <c r="O3047" s="113" t="n"/>
      <c r="P3047" s="113" t="n"/>
      <c r="Q3047" s="113" t="n"/>
      <c r="R3047" s="113" t="n"/>
      <c r="S3047" s="113" t="n"/>
      <c r="T3047" s="113" t="n"/>
      <c r="U3047" s="113" t="n"/>
      <c r="V3047" s="113" t="n"/>
      <c r="W3047" s="113" t="n"/>
      <c r="X3047" s="113" t="n"/>
      <c r="Y3047" s="113" t="n"/>
      <c r="Z3047" s="117">
        <f>IF($B3047="",0,IF($S3047="EVET",IF($D3047="GELİR",$O3047,-$O3047),0))</f>
        <v/>
      </c>
      <c r="AA3047" s="117">
        <f>IF($B3047="",0,IF(OR($W3047="EVET",$X3047="EVET",$Y3047="EVET"),0,IF($D3047="GELİR",IF($E3047="SATIŞ İADESİ/İSKONTO",-$O3047,$O3047),-$O3047)))</f>
        <v/>
      </c>
      <c r="AB3047" s="117">
        <f>IF($B3047="","",IF(OR($D3047="",$E3047="",$O3047=""),"EKSİK",IF($O3047&lt;=0,"SIFIR/NEGATİF",IF(COUNTIFS($C$6:$C$5000,$C3047,$O$6:$O$5000,$O3047,$B$6:$B$5000,$B3047)&gt;1,"MÜKERRER","OK"))))</f>
        <v/>
      </c>
    </row>
    <row r="3048" ht="16.5" customHeight="1" s="80">
      <c r="A3048" s="113" t="n"/>
      <c r="B3048" s="113" t="n"/>
      <c r="C3048" s="113" t="n"/>
      <c r="D3048" s="113" t="n"/>
      <c r="E3048" s="113" t="n"/>
      <c r="F3048" s="113" t="n"/>
      <c r="G3048" s="113" t="n"/>
      <c r="H3048" s="113" t="n"/>
      <c r="I3048" s="113" t="n"/>
      <c r="J3048" s="113" t="n"/>
      <c r="K3048" s="113" t="n"/>
      <c r="L3048" s="113" t="n"/>
      <c r="M3048" s="113" t="n"/>
      <c r="N3048" s="113" t="n"/>
      <c r="O3048" s="113" t="n"/>
      <c r="P3048" s="113" t="n"/>
      <c r="Q3048" s="113" t="n"/>
      <c r="R3048" s="113" t="n"/>
      <c r="S3048" s="113" t="n"/>
      <c r="T3048" s="113" t="n"/>
      <c r="U3048" s="113" t="n"/>
      <c r="V3048" s="113" t="n"/>
      <c r="W3048" s="113" t="n"/>
      <c r="X3048" s="113" t="n"/>
      <c r="Y3048" s="113" t="n"/>
      <c r="Z3048" s="117">
        <f>IF($B3048="",0,IF($S3048="EVET",IF($D3048="GELİR",$O3048,-$O3048),0))</f>
        <v/>
      </c>
      <c r="AA3048" s="117">
        <f>IF($B3048="",0,IF(OR($W3048="EVET",$X3048="EVET",$Y3048="EVET"),0,IF($D3048="GELİR",IF($E3048="SATIŞ İADESİ/İSKONTO",-$O3048,$O3048),-$O3048)))</f>
        <v/>
      </c>
      <c r="AB3048" s="117">
        <f>IF($B3048="","",IF(OR($D3048="",$E3048="",$O3048=""),"EKSİK",IF($O3048&lt;=0,"SIFIR/NEGATİF",IF(COUNTIFS($C$6:$C$5000,$C3048,$O$6:$O$5000,$O3048,$B$6:$B$5000,$B3048)&gt;1,"MÜKERRER","OK"))))</f>
        <v/>
      </c>
    </row>
    <row r="3049" ht="16.5" customHeight="1" s="80">
      <c r="A3049" s="113" t="n"/>
      <c r="B3049" s="113" t="n"/>
      <c r="C3049" s="113" t="n"/>
      <c r="D3049" s="113" t="n"/>
      <c r="E3049" s="113" t="n"/>
      <c r="F3049" s="113" t="n"/>
      <c r="G3049" s="113" t="n"/>
      <c r="H3049" s="113" t="n"/>
      <c r="I3049" s="113" t="n"/>
      <c r="J3049" s="113" t="n"/>
      <c r="K3049" s="113" t="n"/>
      <c r="L3049" s="113" t="n"/>
      <c r="M3049" s="113" t="n"/>
      <c r="N3049" s="113" t="n"/>
      <c r="O3049" s="113" t="n"/>
      <c r="P3049" s="113" t="n"/>
      <c r="Q3049" s="113" t="n"/>
      <c r="R3049" s="113" t="n"/>
      <c r="S3049" s="113" t="n"/>
      <c r="T3049" s="113" t="n"/>
      <c r="U3049" s="113" t="n"/>
      <c r="V3049" s="113" t="n"/>
      <c r="W3049" s="113" t="n"/>
      <c r="X3049" s="113" t="n"/>
      <c r="Y3049" s="113" t="n"/>
      <c r="Z3049" s="117">
        <f>IF($B3049="",0,IF($S3049="EVET",IF($D3049="GELİR",$O3049,-$O3049),0))</f>
        <v/>
      </c>
      <c r="AA3049" s="117">
        <f>IF($B3049="",0,IF(OR($W3049="EVET",$X3049="EVET",$Y3049="EVET"),0,IF($D3049="GELİR",IF($E3049="SATIŞ İADESİ/İSKONTO",-$O3049,$O3049),-$O3049)))</f>
        <v/>
      </c>
      <c r="AB3049" s="117">
        <f>IF($B3049="","",IF(OR($D3049="",$E3049="",$O3049=""),"EKSİK",IF($O3049&lt;=0,"SIFIR/NEGATİF",IF(COUNTIFS($C$6:$C$5000,$C3049,$O$6:$O$5000,$O3049,$B$6:$B$5000,$B3049)&gt;1,"MÜKERRER","OK"))))</f>
        <v/>
      </c>
    </row>
    <row r="3050" ht="16.5" customHeight="1" s="80">
      <c r="A3050" s="113" t="n"/>
      <c r="B3050" s="113" t="n"/>
      <c r="C3050" s="113" t="n"/>
      <c r="D3050" s="113" t="n"/>
      <c r="E3050" s="113" t="n"/>
      <c r="F3050" s="113" t="n"/>
      <c r="G3050" s="113" t="n"/>
      <c r="H3050" s="113" t="n"/>
      <c r="I3050" s="113" t="n"/>
      <c r="J3050" s="113" t="n"/>
      <c r="K3050" s="113" t="n"/>
      <c r="L3050" s="113" t="n"/>
      <c r="M3050" s="113" t="n"/>
      <c r="N3050" s="113" t="n"/>
      <c r="O3050" s="113" t="n"/>
      <c r="P3050" s="113" t="n"/>
      <c r="Q3050" s="113" t="n"/>
      <c r="R3050" s="113" t="n"/>
      <c r="S3050" s="113" t="n"/>
      <c r="T3050" s="113" t="n"/>
      <c r="U3050" s="113" t="n"/>
      <c r="V3050" s="113" t="n"/>
      <c r="W3050" s="113" t="n"/>
      <c r="X3050" s="113" t="n"/>
      <c r="Y3050" s="113" t="n"/>
      <c r="Z3050" s="117">
        <f>IF($B3050="",0,IF($S3050="EVET",IF($D3050="GELİR",$O3050,-$O3050),0))</f>
        <v/>
      </c>
      <c r="AA3050" s="117">
        <f>IF($B3050="",0,IF(OR($W3050="EVET",$X3050="EVET",$Y3050="EVET"),0,IF($D3050="GELİR",IF($E3050="SATIŞ İADESİ/İSKONTO",-$O3050,$O3050),-$O3050)))</f>
        <v/>
      </c>
      <c r="AB3050" s="117">
        <f>IF($B3050="","",IF(OR($D3050="",$E3050="",$O3050=""),"EKSİK",IF($O3050&lt;=0,"SIFIR/NEGATİF",IF(COUNTIFS($C$6:$C$5000,$C3050,$O$6:$O$5000,$O3050,$B$6:$B$5000,$B3050)&gt;1,"MÜKERRER","OK"))))</f>
        <v/>
      </c>
    </row>
    <row r="3051" ht="16.5" customHeight="1" s="80">
      <c r="A3051" s="113" t="n"/>
      <c r="B3051" s="113" t="n"/>
      <c r="C3051" s="113" t="n"/>
      <c r="D3051" s="113" t="n"/>
      <c r="E3051" s="113" t="n"/>
      <c r="F3051" s="113" t="n"/>
      <c r="G3051" s="113" t="n"/>
      <c r="H3051" s="113" t="n"/>
      <c r="I3051" s="113" t="n"/>
      <c r="J3051" s="113" t="n"/>
      <c r="K3051" s="113" t="n"/>
      <c r="L3051" s="113" t="n"/>
      <c r="M3051" s="113" t="n"/>
      <c r="N3051" s="113" t="n"/>
      <c r="O3051" s="113" t="n"/>
      <c r="P3051" s="113" t="n"/>
      <c r="Q3051" s="113" t="n"/>
      <c r="R3051" s="113" t="n"/>
      <c r="S3051" s="113" t="n"/>
      <c r="T3051" s="113" t="n"/>
      <c r="U3051" s="113" t="n"/>
      <c r="V3051" s="113" t="n"/>
      <c r="W3051" s="113" t="n"/>
      <c r="X3051" s="113" t="n"/>
      <c r="Y3051" s="113" t="n"/>
      <c r="Z3051" s="117">
        <f>IF($B3051="",0,IF($S3051="EVET",IF($D3051="GELİR",$O3051,-$O3051),0))</f>
        <v/>
      </c>
      <c r="AA3051" s="117">
        <f>IF($B3051="",0,IF(OR($W3051="EVET",$X3051="EVET",$Y3051="EVET"),0,IF($D3051="GELİR",IF($E3051="SATIŞ İADESİ/İSKONTO",-$O3051,$O3051),-$O3051)))</f>
        <v/>
      </c>
      <c r="AB3051" s="117">
        <f>IF($B3051="","",IF(OR($D3051="",$E3051="",$O3051=""),"EKSİK",IF($O3051&lt;=0,"SIFIR/NEGATİF",IF(COUNTIFS($C$6:$C$5000,$C3051,$O$6:$O$5000,$O3051,$B$6:$B$5000,$B3051)&gt;1,"MÜKERRER","OK"))))</f>
        <v/>
      </c>
    </row>
    <row r="3052" ht="16.5" customHeight="1" s="80">
      <c r="A3052" s="113" t="n"/>
      <c r="B3052" s="113" t="n"/>
      <c r="C3052" s="113" t="n"/>
      <c r="D3052" s="113" t="n"/>
      <c r="E3052" s="113" t="n"/>
      <c r="F3052" s="113" t="n"/>
      <c r="G3052" s="113" t="n"/>
      <c r="H3052" s="113" t="n"/>
      <c r="I3052" s="113" t="n"/>
      <c r="J3052" s="113" t="n"/>
      <c r="K3052" s="113" t="n"/>
      <c r="L3052" s="113" t="n"/>
      <c r="M3052" s="113" t="n"/>
      <c r="N3052" s="113" t="n"/>
      <c r="O3052" s="113" t="n"/>
      <c r="P3052" s="113" t="n"/>
      <c r="Q3052" s="113" t="n"/>
      <c r="R3052" s="113" t="n"/>
      <c r="S3052" s="113" t="n"/>
      <c r="T3052" s="113" t="n"/>
      <c r="U3052" s="113" t="n"/>
      <c r="V3052" s="113" t="n"/>
      <c r="W3052" s="113" t="n"/>
      <c r="X3052" s="113" t="n"/>
      <c r="Y3052" s="113" t="n"/>
      <c r="Z3052" s="117">
        <f>IF($B3052="",0,IF($S3052="EVET",IF($D3052="GELİR",$O3052,-$O3052),0))</f>
        <v/>
      </c>
      <c r="AA3052" s="117">
        <f>IF($B3052="",0,IF(OR($W3052="EVET",$X3052="EVET",$Y3052="EVET"),0,IF($D3052="GELİR",IF($E3052="SATIŞ İADESİ/İSKONTO",-$O3052,$O3052),-$O3052)))</f>
        <v/>
      </c>
      <c r="AB3052" s="117">
        <f>IF($B3052="","",IF(OR($D3052="",$E3052="",$O3052=""),"EKSİK",IF($O3052&lt;=0,"SIFIR/NEGATİF",IF(COUNTIFS($C$6:$C$5000,$C3052,$O$6:$O$5000,$O3052,$B$6:$B$5000,$B3052)&gt;1,"MÜKERRER","OK"))))</f>
        <v/>
      </c>
    </row>
    <row r="3053" ht="16.5" customHeight="1" s="80">
      <c r="A3053" s="113" t="n"/>
      <c r="B3053" s="113" t="n"/>
      <c r="C3053" s="113" t="n"/>
      <c r="D3053" s="113" t="n"/>
      <c r="E3053" s="113" t="n"/>
      <c r="F3053" s="113" t="n"/>
      <c r="G3053" s="113" t="n"/>
      <c r="H3053" s="113" t="n"/>
      <c r="I3053" s="113" t="n"/>
      <c r="J3053" s="113" t="n"/>
      <c r="K3053" s="113" t="n"/>
      <c r="L3053" s="113" t="n"/>
      <c r="M3053" s="113" t="n"/>
      <c r="N3053" s="113" t="n"/>
      <c r="O3053" s="113" t="n"/>
      <c r="P3053" s="113" t="n"/>
      <c r="Q3053" s="113" t="n"/>
      <c r="R3053" s="113" t="n"/>
      <c r="S3053" s="113" t="n"/>
      <c r="T3053" s="113" t="n"/>
      <c r="U3053" s="113" t="n"/>
      <c r="V3053" s="113" t="n"/>
      <c r="W3053" s="113" t="n"/>
      <c r="X3053" s="113" t="n"/>
      <c r="Y3053" s="113" t="n"/>
      <c r="Z3053" s="117">
        <f>IF($B3053="",0,IF($S3053="EVET",IF($D3053="GELİR",$O3053,-$O3053),0))</f>
        <v/>
      </c>
      <c r="AA3053" s="117">
        <f>IF($B3053="",0,IF(OR($W3053="EVET",$X3053="EVET",$Y3053="EVET"),0,IF($D3053="GELİR",IF($E3053="SATIŞ İADESİ/İSKONTO",-$O3053,$O3053),-$O3053)))</f>
        <v/>
      </c>
      <c r="AB3053" s="117">
        <f>IF($B3053="","",IF(OR($D3053="",$E3053="",$O3053=""),"EKSİK",IF($O3053&lt;=0,"SIFIR/NEGATİF",IF(COUNTIFS($C$6:$C$5000,$C3053,$O$6:$O$5000,$O3053,$B$6:$B$5000,$B3053)&gt;1,"MÜKERRER","OK"))))</f>
        <v/>
      </c>
    </row>
    <row r="3054" ht="16.5" customHeight="1" s="80">
      <c r="A3054" s="113" t="n"/>
      <c r="B3054" s="113" t="n"/>
      <c r="C3054" s="113" t="n"/>
      <c r="D3054" s="113" t="n"/>
      <c r="E3054" s="113" t="n"/>
      <c r="F3054" s="113" t="n"/>
      <c r="G3054" s="113" t="n"/>
      <c r="H3054" s="113" t="n"/>
      <c r="I3054" s="113" t="n"/>
      <c r="J3054" s="113" t="n"/>
      <c r="K3054" s="113" t="n"/>
      <c r="L3054" s="113" t="n"/>
      <c r="M3054" s="113" t="n"/>
      <c r="N3054" s="113" t="n"/>
      <c r="O3054" s="113" t="n"/>
      <c r="P3054" s="113" t="n"/>
      <c r="Q3054" s="113" t="n"/>
      <c r="R3054" s="113" t="n"/>
      <c r="S3054" s="113" t="n"/>
      <c r="T3054" s="113" t="n"/>
      <c r="U3054" s="113" t="n"/>
      <c r="V3054" s="113" t="n"/>
      <c r="W3054" s="113" t="n"/>
      <c r="X3054" s="113" t="n"/>
      <c r="Y3054" s="113" t="n"/>
      <c r="Z3054" s="117">
        <f>IF($B3054="",0,IF($S3054="EVET",IF($D3054="GELİR",$O3054,-$O3054),0))</f>
        <v/>
      </c>
      <c r="AA3054" s="117">
        <f>IF($B3054="",0,IF(OR($W3054="EVET",$X3054="EVET",$Y3054="EVET"),0,IF($D3054="GELİR",IF($E3054="SATIŞ İADESİ/İSKONTO",-$O3054,$O3054),-$O3054)))</f>
        <v/>
      </c>
      <c r="AB3054" s="117">
        <f>IF($B3054="","",IF(OR($D3054="",$E3054="",$O3054=""),"EKSİK",IF($O3054&lt;=0,"SIFIR/NEGATİF",IF(COUNTIFS($C$6:$C$5000,$C3054,$O$6:$O$5000,$O3054,$B$6:$B$5000,$B3054)&gt;1,"MÜKERRER","OK"))))</f>
        <v/>
      </c>
    </row>
    <row r="3055" ht="16.5" customHeight="1" s="80">
      <c r="A3055" s="113" t="n"/>
      <c r="B3055" s="113" t="n"/>
      <c r="C3055" s="113" t="n"/>
      <c r="D3055" s="113" t="n"/>
      <c r="E3055" s="113" t="n"/>
      <c r="F3055" s="113" t="n"/>
      <c r="G3055" s="113" t="n"/>
      <c r="H3055" s="113" t="n"/>
      <c r="I3055" s="113" t="n"/>
      <c r="J3055" s="113" t="n"/>
      <c r="K3055" s="113" t="n"/>
      <c r="L3055" s="113" t="n"/>
      <c r="M3055" s="113" t="n"/>
      <c r="N3055" s="113" t="n"/>
      <c r="O3055" s="113" t="n"/>
      <c r="P3055" s="113" t="n"/>
      <c r="Q3055" s="113" t="n"/>
      <c r="R3055" s="113" t="n"/>
      <c r="S3055" s="113" t="n"/>
      <c r="T3055" s="113" t="n"/>
      <c r="U3055" s="113" t="n"/>
      <c r="V3055" s="113" t="n"/>
      <c r="W3055" s="113" t="n"/>
      <c r="X3055" s="113" t="n"/>
      <c r="Y3055" s="113" t="n"/>
      <c r="Z3055" s="117">
        <f>IF($B3055="",0,IF($S3055="EVET",IF($D3055="GELİR",$O3055,-$O3055),0))</f>
        <v/>
      </c>
      <c r="AA3055" s="117">
        <f>IF($B3055="",0,IF(OR($W3055="EVET",$X3055="EVET",$Y3055="EVET"),0,IF($D3055="GELİR",IF($E3055="SATIŞ İADESİ/İSKONTO",-$O3055,$O3055),-$O3055)))</f>
        <v/>
      </c>
      <c r="AB3055" s="117">
        <f>IF($B3055="","",IF(OR($D3055="",$E3055="",$O3055=""),"EKSİK",IF($O3055&lt;=0,"SIFIR/NEGATİF",IF(COUNTIFS($C$6:$C$5000,$C3055,$O$6:$O$5000,$O3055,$B$6:$B$5000,$B3055)&gt;1,"MÜKERRER","OK"))))</f>
        <v/>
      </c>
    </row>
    <row r="3056" ht="16.5" customHeight="1" s="80">
      <c r="A3056" s="113" t="n"/>
      <c r="B3056" s="113" t="n"/>
      <c r="C3056" s="113" t="n"/>
      <c r="D3056" s="113" t="n"/>
      <c r="E3056" s="113" t="n"/>
      <c r="F3056" s="113" t="n"/>
      <c r="G3056" s="113" t="n"/>
      <c r="H3056" s="113" t="n"/>
      <c r="I3056" s="113" t="n"/>
      <c r="J3056" s="113" t="n"/>
      <c r="K3056" s="113" t="n"/>
      <c r="L3056" s="113" t="n"/>
      <c r="M3056" s="113" t="n"/>
      <c r="N3056" s="113" t="n"/>
      <c r="O3056" s="113" t="n"/>
      <c r="P3056" s="113" t="n"/>
      <c r="Q3056" s="113" t="n"/>
      <c r="R3056" s="113" t="n"/>
      <c r="S3056" s="113" t="n"/>
      <c r="T3056" s="113" t="n"/>
      <c r="U3056" s="113" t="n"/>
      <c r="V3056" s="113" t="n"/>
      <c r="W3056" s="113" t="n"/>
      <c r="X3056" s="113" t="n"/>
      <c r="Y3056" s="113" t="n"/>
      <c r="Z3056" s="117">
        <f>IF($B3056="",0,IF($S3056="EVET",IF($D3056="GELİR",$O3056,-$O3056),0))</f>
        <v/>
      </c>
      <c r="AA3056" s="117">
        <f>IF($B3056="",0,IF(OR($W3056="EVET",$X3056="EVET",$Y3056="EVET"),0,IF($D3056="GELİR",IF($E3056="SATIŞ İADESİ/İSKONTO",-$O3056,$O3056),-$O3056)))</f>
        <v/>
      </c>
      <c r="AB3056" s="117">
        <f>IF($B3056="","",IF(OR($D3056="",$E3056="",$O3056=""),"EKSİK",IF($O3056&lt;=0,"SIFIR/NEGATİF",IF(COUNTIFS($C$6:$C$5000,$C3056,$O$6:$O$5000,$O3056,$B$6:$B$5000,$B3056)&gt;1,"MÜKERRER","OK"))))</f>
        <v/>
      </c>
    </row>
    <row r="3057" ht="16.5" customHeight="1" s="80">
      <c r="A3057" s="113" t="n"/>
      <c r="B3057" s="113" t="n"/>
      <c r="C3057" s="113" t="n"/>
      <c r="D3057" s="113" t="n"/>
      <c r="E3057" s="113" t="n"/>
      <c r="F3057" s="113" t="n"/>
      <c r="G3057" s="113" t="n"/>
      <c r="H3057" s="113" t="n"/>
      <c r="I3057" s="113" t="n"/>
      <c r="J3057" s="113" t="n"/>
      <c r="K3057" s="113" t="n"/>
      <c r="L3057" s="113" t="n"/>
      <c r="M3057" s="113" t="n"/>
      <c r="N3057" s="113" t="n"/>
      <c r="O3057" s="113" t="n"/>
      <c r="P3057" s="113" t="n"/>
      <c r="Q3057" s="113" t="n"/>
      <c r="R3057" s="113" t="n"/>
      <c r="S3057" s="113" t="n"/>
      <c r="T3057" s="113" t="n"/>
      <c r="U3057" s="113" t="n"/>
      <c r="V3057" s="113" t="n"/>
      <c r="W3057" s="113" t="n"/>
      <c r="X3057" s="113" t="n"/>
      <c r="Y3057" s="113" t="n"/>
      <c r="Z3057" s="117">
        <f>IF($B3057="",0,IF($S3057="EVET",IF($D3057="GELİR",$O3057,-$O3057),0))</f>
        <v/>
      </c>
      <c r="AA3057" s="117">
        <f>IF($B3057="",0,IF(OR($W3057="EVET",$X3057="EVET",$Y3057="EVET"),0,IF($D3057="GELİR",IF($E3057="SATIŞ İADESİ/İSKONTO",-$O3057,$O3057),-$O3057)))</f>
        <v/>
      </c>
      <c r="AB3057" s="117">
        <f>IF($B3057="","",IF(OR($D3057="",$E3057="",$O3057=""),"EKSİK",IF($O3057&lt;=0,"SIFIR/NEGATİF",IF(COUNTIFS($C$6:$C$5000,$C3057,$O$6:$O$5000,$O3057,$B$6:$B$5000,$B3057)&gt;1,"MÜKERRER","OK"))))</f>
        <v/>
      </c>
    </row>
    <row r="3058" ht="16.5" customHeight="1" s="80">
      <c r="A3058" s="113" t="n"/>
      <c r="B3058" s="113" t="n"/>
      <c r="C3058" s="113" t="n"/>
      <c r="D3058" s="113" t="n"/>
      <c r="E3058" s="113" t="n"/>
      <c r="F3058" s="113" t="n"/>
      <c r="G3058" s="113" t="n"/>
      <c r="H3058" s="113" t="n"/>
      <c r="I3058" s="113" t="n"/>
      <c r="J3058" s="113" t="n"/>
      <c r="K3058" s="113" t="n"/>
      <c r="L3058" s="113" t="n"/>
      <c r="M3058" s="113" t="n"/>
      <c r="N3058" s="113" t="n"/>
      <c r="O3058" s="113" t="n"/>
      <c r="P3058" s="113" t="n"/>
      <c r="Q3058" s="113" t="n"/>
      <c r="R3058" s="113" t="n"/>
      <c r="S3058" s="113" t="n"/>
      <c r="T3058" s="113" t="n"/>
      <c r="U3058" s="113" t="n"/>
      <c r="V3058" s="113" t="n"/>
      <c r="W3058" s="113" t="n"/>
      <c r="X3058" s="113" t="n"/>
      <c r="Y3058" s="113" t="n"/>
      <c r="Z3058" s="117">
        <f>IF($B3058="",0,IF($S3058="EVET",IF($D3058="GELİR",$O3058,-$O3058),0))</f>
        <v/>
      </c>
      <c r="AA3058" s="117">
        <f>IF($B3058="",0,IF(OR($W3058="EVET",$X3058="EVET",$Y3058="EVET"),0,IF($D3058="GELİR",IF($E3058="SATIŞ İADESİ/İSKONTO",-$O3058,$O3058),-$O3058)))</f>
        <v/>
      </c>
      <c r="AB3058" s="117">
        <f>IF($B3058="","",IF(OR($D3058="",$E3058="",$O3058=""),"EKSİK",IF($O3058&lt;=0,"SIFIR/NEGATİF",IF(COUNTIFS($C$6:$C$5000,$C3058,$O$6:$O$5000,$O3058,$B$6:$B$5000,$B3058)&gt;1,"MÜKERRER","OK"))))</f>
        <v/>
      </c>
    </row>
    <row r="3059" ht="16.5" customHeight="1" s="80">
      <c r="A3059" s="113" t="n"/>
      <c r="B3059" s="113" t="n"/>
      <c r="C3059" s="113" t="n"/>
      <c r="D3059" s="113" t="n"/>
      <c r="E3059" s="113" t="n"/>
      <c r="F3059" s="113" t="n"/>
      <c r="G3059" s="113" t="n"/>
      <c r="H3059" s="113" t="n"/>
      <c r="I3059" s="113" t="n"/>
      <c r="J3059" s="113" t="n"/>
      <c r="K3059" s="113" t="n"/>
      <c r="L3059" s="113" t="n"/>
      <c r="M3059" s="113" t="n"/>
      <c r="N3059" s="113" t="n"/>
      <c r="O3059" s="113" t="n"/>
      <c r="P3059" s="113" t="n"/>
      <c r="Q3059" s="113" t="n"/>
      <c r="R3059" s="113" t="n"/>
      <c r="S3059" s="113" t="n"/>
      <c r="T3059" s="113" t="n"/>
      <c r="U3059" s="113" t="n"/>
      <c r="V3059" s="113" t="n"/>
      <c r="W3059" s="113" t="n"/>
      <c r="X3059" s="113" t="n"/>
      <c r="Y3059" s="113" t="n"/>
      <c r="Z3059" s="117">
        <f>IF($B3059="",0,IF($S3059="EVET",IF($D3059="GELİR",$O3059,-$O3059),0))</f>
        <v/>
      </c>
      <c r="AA3059" s="117">
        <f>IF($B3059="",0,IF(OR($W3059="EVET",$X3059="EVET",$Y3059="EVET"),0,IF($D3059="GELİR",IF($E3059="SATIŞ İADESİ/İSKONTO",-$O3059,$O3059),-$O3059)))</f>
        <v/>
      </c>
      <c r="AB3059" s="117">
        <f>IF($B3059="","",IF(OR($D3059="",$E3059="",$O3059=""),"EKSİK",IF($O3059&lt;=0,"SIFIR/NEGATİF",IF(COUNTIFS($C$6:$C$5000,$C3059,$O$6:$O$5000,$O3059,$B$6:$B$5000,$B3059)&gt;1,"MÜKERRER","OK"))))</f>
        <v/>
      </c>
    </row>
    <row r="3060" ht="16.5" customHeight="1" s="80">
      <c r="A3060" s="113" t="n"/>
      <c r="B3060" s="113" t="n"/>
      <c r="C3060" s="113" t="n"/>
      <c r="D3060" s="113" t="n"/>
      <c r="E3060" s="113" t="n"/>
      <c r="F3060" s="113" t="n"/>
      <c r="G3060" s="113" t="n"/>
      <c r="H3060" s="113" t="n"/>
      <c r="I3060" s="113" t="n"/>
      <c r="J3060" s="113" t="n"/>
      <c r="K3060" s="113" t="n"/>
      <c r="L3060" s="113" t="n"/>
      <c r="M3060" s="113" t="n"/>
      <c r="N3060" s="113" t="n"/>
      <c r="O3060" s="113" t="n"/>
      <c r="P3060" s="113" t="n"/>
      <c r="Q3060" s="113" t="n"/>
      <c r="R3060" s="113" t="n"/>
      <c r="S3060" s="113" t="n"/>
      <c r="T3060" s="113" t="n"/>
      <c r="U3060" s="113" t="n"/>
      <c r="V3060" s="113" t="n"/>
      <c r="W3060" s="113" t="n"/>
      <c r="X3060" s="113" t="n"/>
      <c r="Y3060" s="113" t="n"/>
      <c r="Z3060" s="117">
        <f>IF($B3060="",0,IF($S3060="EVET",IF($D3060="GELİR",$O3060,-$O3060),0))</f>
        <v/>
      </c>
      <c r="AA3060" s="117">
        <f>IF($B3060="",0,IF(OR($W3060="EVET",$X3060="EVET",$Y3060="EVET"),0,IF($D3060="GELİR",IF($E3060="SATIŞ İADESİ/İSKONTO",-$O3060,$O3060),-$O3060)))</f>
        <v/>
      </c>
      <c r="AB3060" s="117">
        <f>IF($B3060="","",IF(OR($D3060="",$E3060="",$O3060=""),"EKSİK",IF($O3060&lt;=0,"SIFIR/NEGATİF",IF(COUNTIFS($C$6:$C$5000,$C3060,$O$6:$O$5000,$O3060,$B$6:$B$5000,$B3060)&gt;1,"MÜKERRER","OK"))))</f>
        <v/>
      </c>
    </row>
    <row r="3061" ht="16.5" customHeight="1" s="80">
      <c r="A3061" s="113" t="n"/>
      <c r="B3061" s="113" t="n"/>
      <c r="C3061" s="113" t="n"/>
      <c r="D3061" s="113" t="n"/>
      <c r="E3061" s="113" t="n"/>
      <c r="F3061" s="113" t="n"/>
      <c r="G3061" s="113" t="n"/>
      <c r="H3061" s="113" t="n"/>
      <c r="I3061" s="113" t="n"/>
      <c r="J3061" s="113" t="n"/>
      <c r="K3061" s="113" t="n"/>
      <c r="L3061" s="113" t="n"/>
      <c r="M3061" s="113" t="n"/>
      <c r="N3061" s="113" t="n"/>
      <c r="O3061" s="113" t="n"/>
      <c r="P3061" s="113" t="n"/>
      <c r="Q3061" s="113" t="n"/>
      <c r="R3061" s="113" t="n"/>
      <c r="S3061" s="113" t="n"/>
      <c r="T3061" s="113" t="n"/>
      <c r="U3061" s="113" t="n"/>
      <c r="V3061" s="113" t="n"/>
      <c r="W3061" s="113" t="n"/>
      <c r="X3061" s="113" t="n"/>
      <c r="Y3061" s="113" t="n"/>
      <c r="Z3061" s="117">
        <f>IF($B3061="",0,IF($S3061="EVET",IF($D3061="GELİR",$O3061,-$O3061),0))</f>
        <v/>
      </c>
      <c r="AA3061" s="117">
        <f>IF($B3061="",0,IF(OR($W3061="EVET",$X3061="EVET",$Y3061="EVET"),0,IF($D3061="GELİR",IF($E3061="SATIŞ İADESİ/İSKONTO",-$O3061,$O3061),-$O3061)))</f>
        <v/>
      </c>
      <c r="AB3061" s="117">
        <f>IF($B3061="","",IF(OR($D3061="",$E3061="",$O3061=""),"EKSİK",IF($O3061&lt;=0,"SIFIR/NEGATİF",IF(COUNTIFS($C$6:$C$5000,$C3061,$O$6:$O$5000,$O3061,$B$6:$B$5000,$B3061)&gt;1,"MÜKERRER","OK"))))</f>
        <v/>
      </c>
    </row>
    <row r="3062" ht="16.5" customHeight="1" s="80">
      <c r="A3062" s="113" t="n"/>
      <c r="B3062" s="113" t="n"/>
      <c r="C3062" s="113" t="n"/>
      <c r="D3062" s="113" t="n"/>
      <c r="E3062" s="113" t="n"/>
      <c r="F3062" s="113" t="n"/>
      <c r="G3062" s="113" t="n"/>
      <c r="H3062" s="113" t="n"/>
      <c r="I3062" s="113" t="n"/>
      <c r="J3062" s="113" t="n"/>
      <c r="K3062" s="113" t="n"/>
      <c r="L3062" s="113" t="n"/>
      <c r="M3062" s="113" t="n"/>
      <c r="N3062" s="113" t="n"/>
      <c r="O3062" s="113" t="n"/>
      <c r="P3062" s="113" t="n"/>
      <c r="Q3062" s="113" t="n"/>
      <c r="R3062" s="113" t="n"/>
      <c r="S3062" s="113" t="n"/>
      <c r="T3062" s="113" t="n"/>
      <c r="U3062" s="113" t="n"/>
      <c r="V3062" s="113" t="n"/>
      <c r="W3062" s="113" t="n"/>
      <c r="X3062" s="113" t="n"/>
      <c r="Y3062" s="113" t="n"/>
      <c r="Z3062" s="117">
        <f>IF($B3062="",0,IF($S3062="EVET",IF($D3062="GELİR",$O3062,-$O3062),0))</f>
        <v/>
      </c>
      <c r="AA3062" s="117">
        <f>IF($B3062="",0,IF(OR($W3062="EVET",$X3062="EVET",$Y3062="EVET"),0,IF($D3062="GELİR",IF($E3062="SATIŞ İADESİ/İSKONTO",-$O3062,$O3062),-$O3062)))</f>
        <v/>
      </c>
      <c r="AB3062" s="117">
        <f>IF($B3062="","",IF(OR($D3062="",$E3062="",$O3062=""),"EKSİK",IF($O3062&lt;=0,"SIFIR/NEGATİF",IF(COUNTIFS($C$6:$C$5000,$C3062,$O$6:$O$5000,$O3062,$B$6:$B$5000,$B3062)&gt;1,"MÜKERRER","OK"))))</f>
        <v/>
      </c>
    </row>
    <row r="3063" ht="16.5" customHeight="1" s="80">
      <c r="A3063" s="113" t="n"/>
      <c r="B3063" s="113" t="n"/>
      <c r="C3063" s="113" t="n"/>
      <c r="D3063" s="113" t="n"/>
      <c r="E3063" s="113" t="n"/>
      <c r="F3063" s="113" t="n"/>
      <c r="G3063" s="113" t="n"/>
      <c r="H3063" s="113" t="n"/>
      <c r="I3063" s="113" t="n"/>
      <c r="J3063" s="113" t="n"/>
      <c r="K3063" s="113" t="n"/>
      <c r="L3063" s="113" t="n"/>
      <c r="M3063" s="113" t="n"/>
      <c r="N3063" s="113" t="n"/>
      <c r="O3063" s="113" t="n"/>
      <c r="P3063" s="113" t="n"/>
      <c r="Q3063" s="113" t="n"/>
      <c r="R3063" s="113" t="n"/>
      <c r="S3063" s="113" t="n"/>
      <c r="T3063" s="113" t="n"/>
      <c r="U3063" s="113" t="n"/>
      <c r="V3063" s="113" t="n"/>
      <c r="W3063" s="113" t="n"/>
      <c r="X3063" s="113" t="n"/>
      <c r="Y3063" s="113" t="n"/>
      <c r="Z3063" s="117">
        <f>IF($B3063="",0,IF($S3063="EVET",IF($D3063="GELİR",$O3063,-$O3063),0))</f>
        <v/>
      </c>
      <c r="AA3063" s="117">
        <f>IF($B3063="",0,IF(OR($W3063="EVET",$X3063="EVET",$Y3063="EVET"),0,IF($D3063="GELİR",IF($E3063="SATIŞ İADESİ/İSKONTO",-$O3063,$O3063),-$O3063)))</f>
        <v/>
      </c>
      <c r="AB3063" s="117">
        <f>IF($B3063="","",IF(OR($D3063="",$E3063="",$O3063=""),"EKSİK",IF($O3063&lt;=0,"SIFIR/NEGATİF",IF(COUNTIFS($C$6:$C$5000,$C3063,$O$6:$O$5000,$O3063,$B$6:$B$5000,$B3063)&gt;1,"MÜKERRER","OK"))))</f>
        <v/>
      </c>
    </row>
    <row r="3064" ht="16.5" customHeight="1" s="80">
      <c r="A3064" s="113" t="n"/>
      <c r="B3064" s="113" t="n"/>
      <c r="C3064" s="113" t="n"/>
      <c r="D3064" s="113" t="n"/>
      <c r="E3064" s="113" t="n"/>
      <c r="F3064" s="113" t="n"/>
      <c r="G3064" s="113" t="n"/>
      <c r="H3064" s="113" t="n"/>
      <c r="I3064" s="113" t="n"/>
      <c r="J3064" s="113" t="n"/>
      <c r="K3064" s="113" t="n"/>
      <c r="L3064" s="113" t="n"/>
      <c r="M3064" s="113" t="n"/>
      <c r="N3064" s="113" t="n"/>
      <c r="O3064" s="113" t="n"/>
      <c r="P3064" s="113" t="n"/>
      <c r="Q3064" s="113" t="n"/>
      <c r="R3064" s="113" t="n"/>
      <c r="S3064" s="113" t="n"/>
      <c r="T3064" s="113" t="n"/>
      <c r="U3064" s="113" t="n"/>
      <c r="V3064" s="113" t="n"/>
      <c r="W3064" s="113" t="n"/>
      <c r="X3064" s="113" t="n"/>
      <c r="Y3064" s="113" t="n"/>
      <c r="Z3064" s="117">
        <f>IF($B3064="",0,IF($S3064="EVET",IF($D3064="GELİR",$O3064,-$O3064),0))</f>
        <v/>
      </c>
      <c r="AA3064" s="117">
        <f>IF($B3064="",0,IF(OR($W3064="EVET",$X3064="EVET",$Y3064="EVET"),0,IF($D3064="GELİR",IF($E3064="SATIŞ İADESİ/İSKONTO",-$O3064,$O3064),-$O3064)))</f>
        <v/>
      </c>
      <c r="AB3064" s="117">
        <f>IF($B3064="","",IF(OR($D3064="",$E3064="",$O3064=""),"EKSİK",IF($O3064&lt;=0,"SIFIR/NEGATİF",IF(COUNTIFS($C$6:$C$5000,$C3064,$O$6:$O$5000,$O3064,$B$6:$B$5000,$B3064)&gt;1,"MÜKERRER","OK"))))</f>
        <v/>
      </c>
    </row>
    <row r="3065" ht="16.5" customHeight="1" s="80">
      <c r="A3065" s="113" t="n"/>
      <c r="B3065" s="113" t="n"/>
      <c r="C3065" s="113" t="n"/>
      <c r="D3065" s="113" t="n"/>
      <c r="E3065" s="113" t="n"/>
      <c r="F3065" s="113" t="n"/>
      <c r="G3065" s="113" t="n"/>
      <c r="H3065" s="113" t="n"/>
      <c r="I3065" s="113" t="n"/>
      <c r="J3065" s="113" t="n"/>
      <c r="K3065" s="113" t="n"/>
      <c r="L3065" s="113" t="n"/>
      <c r="M3065" s="113" t="n"/>
      <c r="N3065" s="113" t="n"/>
      <c r="O3065" s="113" t="n"/>
      <c r="P3065" s="113" t="n"/>
      <c r="Q3065" s="113" t="n"/>
      <c r="R3065" s="113" t="n"/>
      <c r="S3065" s="113" t="n"/>
      <c r="T3065" s="113" t="n"/>
      <c r="U3065" s="113" t="n"/>
      <c r="V3065" s="113" t="n"/>
      <c r="W3065" s="113" t="n"/>
      <c r="X3065" s="113" t="n"/>
      <c r="Y3065" s="113" t="n"/>
      <c r="Z3065" s="117">
        <f>IF($B3065="",0,IF($S3065="EVET",IF($D3065="GELİR",$O3065,-$O3065),0))</f>
        <v/>
      </c>
      <c r="AA3065" s="117">
        <f>IF($B3065="",0,IF(OR($W3065="EVET",$X3065="EVET",$Y3065="EVET"),0,IF($D3065="GELİR",IF($E3065="SATIŞ İADESİ/İSKONTO",-$O3065,$O3065),-$O3065)))</f>
        <v/>
      </c>
      <c r="AB3065" s="117">
        <f>IF($B3065="","",IF(OR($D3065="",$E3065="",$O3065=""),"EKSİK",IF($O3065&lt;=0,"SIFIR/NEGATİF",IF(COUNTIFS($C$6:$C$5000,$C3065,$O$6:$O$5000,$O3065,$B$6:$B$5000,$B3065)&gt;1,"MÜKERRER","OK"))))</f>
        <v/>
      </c>
    </row>
    <row r="3066" ht="16.5" customHeight="1" s="80">
      <c r="A3066" s="113" t="n"/>
      <c r="B3066" s="113" t="n"/>
      <c r="C3066" s="113" t="n"/>
      <c r="D3066" s="113" t="n"/>
      <c r="E3066" s="113" t="n"/>
      <c r="F3066" s="113" t="n"/>
      <c r="G3066" s="113" t="n"/>
      <c r="H3066" s="113" t="n"/>
      <c r="I3066" s="113" t="n"/>
      <c r="J3066" s="113" t="n"/>
      <c r="K3066" s="113" t="n"/>
      <c r="L3066" s="113" t="n"/>
      <c r="M3066" s="113" t="n"/>
      <c r="N3066" s="113" t="n"/>
      <c r="O3066" s="113" t="n"/>
      <c r="P3066" s="113" t="n"/>
      <c r="Q3066" s="113" t="n"/>
      <c r="R3066" s="113" t="n"/>
      <c r="S3066" s="113" t="n"/>
      <c r="T3066" s="113" t="n"/>
      <c r="U3066" s="113" t="n"/>
      <c r="V3066" s="113" t="n"/>
      <c r="W3066" s="113" t="n"/>
      <c r="X3066" s="113" t="n"/>
      <c r="Y3066" s="113" t="n"/>
      <c r="Z3066" s="117">
        <f>IF($B3066="",0,IF($S3066="EVET",IF($D3066="GELİR",$O3066,-$O3066),0))</f>
        <v/>
      </c>
      <c r="AA3066" s="117">
        <f>IF($B3066="",0,IF(OR($W3066="EVET",$X3066="EVET",$Y3066="EVET"),0,IF($D3066="GELİR",IF($E3066="SATIŞ İADESİ/İSKONTO",-$O3066,$O3066),-$O3066)))</f>
        <v/>
      </c>
      <c r="AB3066" s="117">
        <f>IF($B3066="","",IF(OR($D3066="",$E3066="",$O3066=""),"EKSİK",IF($O3066&lt;=0,"SIFIR/NEGATİF",IF(COUNTIFS($C$6:$C$5000,$C3066,$O$6:$O$5000,$O3066,$B$6:$B$5000,$B3066)&gt;1,"MÜKERRER","OK"))))</f>
        <v/>
      </c>
    </row>
    <row r="3067" ht="16.5" customHeight="1" s="80">
      <c r="A3067" s="113" t="n"/>
      <c r="B3067" s="113" t="n"/>
      <c r="C3067" s="113" t="n"/>
      <c r="D3067" s="113" t="n"/>
      <c r="E3067" s="113" t="n"/>
      <c r="F3067" s="113" t="n"/>
      <c r="G3067" s="113" t="n"/>
      <c r="H3067" s="113" t="n"/>
      <c r="I3067" s="113" t="n"/>
      <c r="J3067" s="113" t="n"/>
      <c r="K3067" s="113" t="n"/>
      <c r="L3067" s="113" t="n"/>
      <c r="M3067" s="113" t="n"/>
      <c r="N3067" s="113" t="n"/>
      <c r="O3067" s="113" t="n"/>
      <c r="P3067" s="113" t="n"/>
      <c r="Q3067" s="113" t="n"/>
      <c r="R3067" s="113" t="n"/>
      <c r="S3067" s="113" t="n"/>
      <c r="T3067" s="113" t="n"/>
      <c r="U3067" s="113" t="n"/>
      <c r="V3067" s="113" t="n"/>
      <c r="W3067" s="113" t="n"/>
      <c r="X3067" s="113" t="n"/>
      <c r="Y3067" s="113" t="n"/>
      <c r="Z3067" s="117">
        <f>IF($B3067="",0,IF($S3067="EVET",IF($D3067="GELİR",$O3067,-$O3067),0))</f>
        <v/>
      </c>
      <c r="AA3067" s="117">
        <f>IF($B3067="",0,IF(OR($W3067="EVET",$X3067="EVET",$Y3067="EVET"),0,IF($D3067="GELİR",IF($E3067="SATIŞ İADESİ/İSKONTO",-$O3067,$O3067),-$O3067)))</f>
        <v/>
      </c>
      <c r="AB3067" s="117">
        <f>IF($B3067="","",IF(OR($D3067="",$E3067="",$O3067=""),"EKSİK",IF($O3067&lt;=0,"SIFIR/NEGATİF",IF(COUNTIFS($C$6:$C$5000,$C3067,$O$6:$O$5000,$O3067,$B$6:$B$5000,$B3067)&gt;1,"MÜKERRER","OK"))))</f>
        <v/>
      </c>
    </row>
    <row r="3068" ht="16.5" customHeight="1" s="80">
      <c r="A3068" s="113" t="n"/>
      <c r="B3068" s="113" t="n"/>
      <c r="C3068" s="113" t="n"/>
      <c r="D3068" s="113" t="n"/>
      <c r="E3068" s="113" t="n"/>
      <c r="F3068" s="113" t="n"/>
      <c r="G3068" s="113" t="n"/>
      <c r="H3068" s="113" t="n"/>
      <c r="I3068" s="113" t="n"/>
      <c r="J3068" s="113" t="n"/>
      <c r="K3068" s="113" t="n"/>
      <c r="L3068" s="113" t="n"/>
      <c r="M3068" s="113" t="n"/>
      <c r="N3068" s="113" t="n"/>
      <c r="O3068" s="113" t="n"/>
      <c r="P3068" s="113" t="n"/>
      <c r="Q3068" s="113" t="n"/>
      <c r="R3068" s="113" t="n"/>
      <c r="S3068" s="113" t="n"/>
      <c r="T3068" s="113" t="n"/>
      <c r="U3068" s="113" t="n"/>
      <c r="V3068" s="113" t="n"/>
      <c r="W3068" s="113" t="n"/>
      <c r="X3068" s="113" t="n"/>
      <c r="Y3068" s="113" t="n"/>
      <c r="Z3068" s="117">
        <f>IF($B3068="",0,IF($S3068="EVET",IF($D3068="GELİR",$O3068,-$O3068),0))</f>
        <v/>
      </c>
      <c r="AA3068" s="117">
        <f>IF($B3068="",0,IF(OR($W3068="EVET",$X3068="EVET",$Y3068="EVET"),0,IF($D3068="GELİR",IF($E3068="SATIŞ İADESİ/İSKONTO",-$O3068,$O3068),-$O3068)))</f>
        <v/>
      </c>
      <c r="AB3068" s="117">
        <f>IF($B3068="","",IF(OR($D3068="",$E3068="",$O3068=""),"EKSİK",IF($O3068&lt;=0,"SIFIR/NEGATİF",IF(COUNTIFS($C$6:$C$5000,$C3068,$O$6:$O$5000,$O3068,$B$6:$B$5000,$B3068)&gt;1,"MÜKERRER","OK"))))</f>
        <v/>
      </c>
    </row>
    <row r="3069" ht="16.5" customHeight="1" s="80">
      <c r="A3069" s="113" t="n"/>
      <c r="B3069" s="113" t="n"/>
      <c r="C3069" s="113" t="n"/>
      <c r="D3069" s="113" t="n"/>
      <c r="E3069" s="113" t="n"/>
      <c r="F3069" s="113" t="n"/>
      <c r="G3069" s="113" t="n"/>
      <c r="H3069" s="113" t="n"/>
      <c r="I3069" s="113" t="n"/>
      <c r="J3069" s="113" t="n"/>
      <c r="K3069" s="113" t="n"/>
      <c r="L3069" s="113" t="n"/>
      <c r="M3069" s="113" t="n"/>
      <c r="N3069" s="113" t="n"/>
      <c r="O3069" s="113" t="n"/>
      <c r="P3069" s="113" t="n"/>
      <c r="Q3069" s="113" t="n"/>
      <c r="R3069" s="113" t="n"/>
      <c r="S3069" s="113" t="n"/>
      <c r="T3069" s="113" t="n"/>
      <c r="U3069" s="113" t="n"/>
      <c r="V3069" s="113" t="n"/>
      <c r="W3069" s="113" t="n"/>
      <c r="X3069" s="113" t="n"/>
      <c r="Y3069" s="113" t="n"/>
      <c r="Z3069" s="117">
        <f>IF($B3069="",0,IF($S3069="EVET",IF($D3069="GELİR",$O3069,-$O3069),0))</f>
        <v/>
      </c>
      <c r="AA3069" s="117">
        <f>IF($B3069="",0,IF(OR($W3069="EVET",$X3069="EVET",$Y3069="EVET"),0,IF($D3069="GELİR",IF($E3069="SATIŞ İADESİ/İSKONTO",-$O3069,$O3069),-$O3069)))</f>
        <v/>
      </c>
      <c r="AB3069" s="117">
        <f>IF($B3069="","",IF(OR($D3069="",$E3069="",$O3069=""),"EKSİK",IF($O3069&lt;=0,"SIFIR/NEGATİF",IF(COUNTIFS($C$6:$C$5000,$C3069,$O$6:$O$5000,$O3069,$B$6:$B$5000,$B3069)&gt;1,"MÜKERRER","OK"))))</f>
        <v/>
      </c>
    </row>
    <row r="3070" ht="16.5" customHeight="1" s="80">
      <c r="A3070" s="113" t="n"/>
      <c r="B3070" s="113" t="n"/>
      <c r="C3070" s="113" t="n"/>
      <c r="D3070" s="113" t="n"/>
      <c r="E3070" s="113" t="n"/>
      <c r="F3070" s="113" t="n"/>
      <c r="G3070" s="113" t="n"/>
      <c r="H3070" s="113" t="n"/>
      <c r="I3070" s="113" t="n"/>
      <c r="J3070" s="113" t="n"/>
      <c r="K3070" s="113" t="n"/>
      <c r="L3070" s="113" t="n"/>
      <c r="M3070" s="113" t="n"/>
      <c r="N3070" s="113" t="n"/>
      <c r="O3070" s="113" t="n"/>
      <c r="P3070" s="113" t="n"/>
      <c r="Q3070" s="113" t="n"/>
      <c r="R3070" s="113" t="n"/>
      <c r="S3070" s="113" t="n"/>
      <c r="T3070" s="113" t="n"/>
      <c r="U3070" s="113" t="n"/>
      <c r="V3070" s="113" t="n"/>
      <c r="W3070" s="113" t="n"/>
      <c r="X3070" s="113" t="n"/>
      <c r="Y3070" s="113" t="n"/>
      <c r="Z3070" s="117">
        <f>IF($B3070="",0,IF($S3070="EVET",IF($D3070="GELİR",$O3070,-$O3070),0))</f>
        <v/>
      </c>
      <c r="AA3070" s="117">
        <f>IF($B3070="",0,IF(OR($W3070="EVET",$X3070="EVET",$Y3070="EVET"),0,IF($D3070="GELİR",IF($E3070="SATIŞ İADESİ/İSKONTO",-$O3070,$O3070),-$O3070)))</f>
        <v/>
      </c>
      <c r="AB3070" s="117">
        <f>IF($B3070="","",IF(OR($D3070="",$E3070="",$O3070=""),"EKSİK",IF($O3070&lt;=0,"SIFIR/NEGATİF",IF(COUNTIFS($C$6:$C$5000,$C3070,$O$6:$O$5000,$O3070,$B$6:$B$5000,$B3070)&gt;1,"MÜKERRER","OK"))))</f>
        <v/>
      </c>
    </row>
    <row r="3071" ht="16.5" customHeight="1" s="80">
      <c r="A3071" s="113" t="n"/>
      <c r="B3071" s="113" t="n"/>
      <c r="C3071" s="113" t="n"/>
      <c r="D3071" s="113" t="n"/>
      <c r="E3071" s="113" t="n"/>
      <c r="F3071" s="113" t="n"/>
      <c r="G3071" s="113" t="n"/>
      <c r="H3071" s="113" t="n"/>
      <c r="I3071" s="113" t="n"/>
      <c r="J3071" s="113" t="n"/>
      <c r="K3071" s="113" t="n"/>
      <c r="L3071" s="113" t="n"/>
      <c r="M3071" s="113" t="n"/>
      <c r="N3071" s="113" t="n"/>
      <c r="O3071" s="113" t="n"/>
      <c r="P3071" s="113" t="n"/>
      <c r="Q3071" s="113" t="n"/>
      <c r="R3071" s="113" t="n"/>
      <c r="S3071" s="113" t="n"/>
      <c r="T3071" s="113" t="n"/>
      <c r="U3071" s="113" t="n"/>
      <c r="V3071" s="113" t="n"/>
      <c r="W3071" s="113" t="n"/>
      <c r="X3071" s="113" t="n"/>
      <c r="Y3071" s="113" t="n"/>
      <c r="Z3071" s="117">
        <f>IF($B3071="",0,IF($S3071="EVET",IF($D3071="GELİR",$O3071,-$O3071),0))</f>
        <v/>
      </c>
      <c r="AA3071" s="117">
        <f>IF($B3071="",0,IF(OR($W3071="EVET",$X3071="EVET",$Y3071="EVET"),0,IF($D3071="GELİR",IF($E3071="SATIŞ İADESİ/İSKONTO",-$O3071,$O3071),-$O3071)))</f>
        <v/>
      </c>
      <c r="AB3071" s="117">
        <f>IF($B3071="","",IF(OR($D3071="",$E3071="",$O3071=""),"EKSİK",IF($O3071&lt;=0,"SIFIR/NEGATİF",IF(COUNTIFS($C$6:$C$5000,$C3071,$O$6:$O$5000,$O3071,$B$6:$B$5000,$B3071)&gt;1,"MÜKERRER","OK"))))</f>
        <v/>
      </c>
    </row>
    <row r="3072" ht="16.5" customHeight="1" s="80">
      <c r="A3072" s="113" t="n"/>
      <c r="B3072" s="113" t="n"/>
      <c r="C3072" s="113" t="n"/>
      <c r="D3072" s="113" t="n"/>
      <c r="E3072" s="113" t="n"/>
      <c r="F3072" s="113" t="n"/>
      <c r="G3072" s="113" t="n"/>
      <c r="H3072" s="113" t="n"/>
      <c r="I3072" s="113" t="n"/>
      <c r="J3072" s="113" t="n"/>
      <c r="K3072" s="113" t="n"/>
      <c r="L3072" s="113" t="n"/>
      <c r="M3072" s="113" t="n"/>
      <c r="N3072" s="113" t="n"/>
      <c r="O3072" s="113" t="n"/>
      <c r="P3072" s="113" t="n"/>
      <c r="Q3072" s="113" t="n"/>
      <c r="R3072" s="113" t="n"/>
      <c r="S3072" s="113" t="n"/>
      <c r="T3072" s="113" t="n"/>
      <c r="U3072" s="113" t="n"/>
      <c r="V3072" s="113" t="n"/>
      <c r="W3072" s="113" t="n"/>
      <c r="X3072" s="113" t="n"/>
      <c r="Y3072" s="113" t="n"/>
      <c r="Z3072" s="117">
        <f>IF($B3072="",0,IF($S3072="EVET",IF($D3072="GELİR",$O3072,-$O3072),0))</f>
        <v/>
      </c>
      <c r="AA3072" s="117">
        <f>IF($B3072="",0,IF(OR($W3072="EVET",$X3072="EVET",$Y3072="EVET"),0,IF($D3072="GELİR",IF($E3072="SATIŞ İADESİ/İSKONTO",-$O3072,$O3072),-$O3072)))</f>
        <v/>
      </c>
      <c r="AB3072" s="117">
        <f>IF($B3072="","",IF(OR($D3072="",$E3072="",$O3072=""),"EKSİK",IF($O3072&lt;=0,"SIFIR/NEGATİF",IF(COUNTIFS($C$6:$C$5000,$C3072,$O$6:$O$5000,$O3072,$B$6:$B$5000,$B3072)&gt;1,"MÜKERRER","OK"))))</f>
        <v/>
      </c>
    </row>
    <row r="3073" ht="16.5" customHeight="1" s="80">
      <c r="A3073" s="113" t="n"/>
      <c r="B3073" s="113" t="n"/>
      <c r="C3073" s="113" t="n"/>
      <c r="D3073" s="113" t="n"/>
      <c r="E3073" s="113" t="n"/>
      <c r="F3073" s="113" t="n"/>
      <c r="G3073" s="113" t="n"/>
      <c r="H3073" s="113" t="n"/>
      <c r="I3073" s="113" t="n"/>
      <c r="J3073" s="113" t="n"/>
      <c r="K3073" s="113" t="n"/>
      <c r="L3073" s="113" t="n"/>
      <c r="M3073" s="113" t="n"/>
      <c r="N3073" s="113" t="n"/>
      <c r="O3073" s="113" t="n"/>
      <c r="P3073" s="113" t="n"/>
      <c r="Q3073" s="113" t="n"/>
      <c r="R3073" s="113" t="n"/>
      <c r="S3073" s="113" t="n"/>
      <c r="T3073" s="113" t="n"/>
      <c r="U3073" s="113" t="n"/>
      <c r="V3073" s="113" t="n"/>
      <c r="W3073" s="113" t="n"/>
      <c r="X3073" s="113" t="n"/>
      <c r="Y3073" s="113" t="n"/>
      <c r="Z3073" s="117">
        <f>IF($B3073="",0,IF($S3073="EVET",IF($D3073="GELİR",$O3073,-$O3073),0))</f>
        <v/>
      </c>
      <c r="AA3073" s="117">
        <f>IF($B3073="",0,IF(OR($W3073="EVET",$X3073="EVET",$Y3073="EVET"),0,IF($D3073="GELİR",IF($E3073="SATIŞ İADESİ/İSKONTO",-$O3073,$O3073),-$O3073)))</f>
        <v/>
      </c>
      <c r="AB3073" s="117">
        <f>IF($B3073="","",IF(OR($D3073="",$E3073="",$O3073=""),"EKSİK",IF($O3073&lt;=0,"SIFIR/NEGATİF",IF(COUNTIFS($C$6:$C$5000,$C3073,$O$6:$O$5000,$O3073,$B$6:$B$5000,$B3073)&gt;1,"MÜKERRER","OK"))))</f>
        <v/>
      </c>
    </row>
    <row r="3074" ht="16.5" customHeight="1" s="80">
      <c r="A3074" s="113" t="n"/>
      <c r="B3074" s="113" t="n"/>
      <c r="C3074" s="113" t="n"/>
      <c r="D3074" s="113" t="n"/>
      <c r="E3074" s="113" t="n"/>
      <c r="F3074" s="113" t="n"/>
      <c r="G3074" s="113" t="n"/>
      <c r="H3074" s="113" t="n"/>
      <c r="I3074" s="113" t="n"/>
      <c r="J3074" s="113" t="n"/>
      <c r="K3074" s="113" t="n"/>
      <c r="L3074" s="113" t="n"/>
      <c r="M3074" s="113" t="n"/>
      <c r="N3074" s="113" t="n"/>
      <c r="O3074" s="113" t="n"/>
      <c r="P3074" s="113" t="n"/>
      <c r="Q3074" s="113" t="n"/>
      <c r="R3074" s="113" t="n"/>
      <c r="S3074" s="113" t="n"/>
      <c r="T3074" s="113" t="n"/>
      <c r="U3074" s="113" t="n"/>
      <c r="V3074" s="113" t="n"/>
      <c r="W3074" s="113" t="n"/>
      <c r="X3074" s="113" t="n"/>
      <c r="Y3074" s="113" t="n"/>
      <c r="Z3074" s="117">
        <f>IF($B3074="",0,IF($S3074="EVET",IF($D3074="GELİR",$O3074,-$O3074),0))</f>
        <v/>
      </c>
      <c r="AA3074" s="117">
        <f>IF($B3074="",0,IF(OR($W3074="EVET",$X3074="EVET",$Y3074="EVET"),0,IF($D3074="GELİR",IF($E3074="SATIŞ İADESİ/İSKONTO",-$O3074,$O3074),-$O3074)))</f>
        <v/>
      </c>
      <c r="AB3074" s="117">
        <f>IF($B3074="","",IF(OR($D3074="",$E3074="",$O3074=""),"EKSİK",IF($O3074&lt;=0,"SIFIR/NEGATİF",IF(COUNTIFS($C$6:$C$5000,$C3074,$O$6:$O$5000,$O3074,$B$6:$B$5000,$B3074)&gt;1,"MÜKERRER","OK"))))</f>
        <v/>
      </c>
    </row>
    <row r="3075" ht="16.5" customHeight="1" s="80">
      <c r="A3075" s="113" t="n"/>
      <c r="B3075" s="113" t="n"/>
      <c r="C3075" s="113" t="n"/>
      <c r="D3075" s="113" t="n"/>
      <c r="E3075" s="113" t="n"/>
      <c r="F3075" s="113" t="n"/>
      <c r="G3075" s="113" t="n"/>
      <c r="H3075" s="113" t="n"/>
      <c r="I3075" s="113" t="n"/>
      <c r="J3075" s="113" t="n"/>
      <c r="K3075" s="113" t="n"/>
      <c r="L3075" s="113" t="n"/>
      <c r="M3075" s="113" t="n"/>
      <c r="N3075" s="113" t="n"/>
      <c r="O3075" s="113" t="n"/>
      <c r="P3075" s="113" t="n"/>
      <c r="Q3075" s="113" t="n"/>
      <c r="R3075" s="113" t="n"/>
      <c r="S3075" s="113" t="n"/>
      <c r="T3075" s="113" t="n"/>
      <c r="U3075" s="113" t="n"/>
      <c r="V3075" s="113" t="n"/>
      <c r="W3075" s="113" t="n"/>
      <c r="X3075" s="113" t="n"/>
      <c r="Y3075" s="113" t="n"/>
      <c r="Z3075" s="117">
        <f>IF($B3075="",0,IF($S3075="EVET",IF($D3075="GELİR",$O3075,-$O3075),0))</f>
        <v/>
      </c>
      <c r="AA3075" s="117">
        <f>IF($B3075="",0,IF(OR($W3075="EVET",$X3075="EVET",$Y3075="EVET"),0,IF($D3075="GELİR",IF($E3075="SATIŞ İADESİ/İSKONTO",-$O3075,$O3075),-$O3075)))</f>
        <v/>
      </c>
      <c r="AB3075" s="117">
        <f>IF($B3075="","",IF(OR($D3075="",$E3075="",$O3075=""),"EKSİK",IF($O3075&lt;=0,"SIFIR/NEGATİF",IF(COUNTIFS($C$6:$C$5000,$C3075,$O$6:$O$5000,$O3075,$B$6:$B$5000,$B3075)&gt;1,"MÜKERRER","OK"))))</f>
        <v/>
      </c>
    </row>
    <row r="3076" ht="16.5" customHeight="1" s="80">
      <c r="A3076" s="113" t="n"/>
      <c r="B3076" s="113" t="n"/>
      <c r="C3076" s="113" t="n"/>
      <c r="D3076" s="113" t="n"/>
      <c r="E3076" s="113" t="n"/>
      <c r="F3076" s="113" t="n"/>
      <c r="G3076" s="113" t="n"/>
      <c r="H3076" s="113" t="n"/>
      <c r="I3076" s="113" t="n"/>
      <c r="J3076" s="113" t="n"/>
      <c r="K3076" s="113" t="n"/>
      <c r="L3076" s="113" t="n"/>
      <c r="M3076" s="113" t="n"/>
      <c r="N3076" s="113" t="n"/>
      <c r="O3076" s="113" t="n"/>
      <c r="P3076" s="113" t="n"/>
      <c r="Q3076" s="113" t="n"/>
      <c r="R3076" s="113" t="n"/>
      <c r="S3076" s="113" t="n"/>
      <c r="T3076" s="113" t="n"/>
      <c r="U3076" s="113" t="n"/>
      <c r="V3076" s="113" t="n"/>
      <c r="W3076" s="113" t="n"/>
      <c r="X3076" s="113" t="n"/>
      <c r="Y3076" s="113" t="n"/>
      <c r="Z3076" s="117">
        <f>IF($B3076="",0,IF($S3076="EVET",IF($D3076="GELİR",$O3076,-$O3076),0))</f>
        <v/>
      </c>
      <c r="AA3076" s="117">
        <f>IF($B3076="",0,IF(OR($W3076="EVET",$X3076="EVET",$Y3076="EVET"),0,IF($D3076="GELİR",IF($E3076="SATIŞ İADESİ/İSKONTO",-$O3076,$O3076),-$O3076)))</f>
        <v/>
      </c>
      <c r="AB3076" s="117">
        <f>IF($B3076="","",IF(OR($D3076="",$E3076="",$O3076=""),"EKSİK",IF($O3076&lt;=0,"SIFIR/NEGATİF",IF(COUNTIFS($C$6:$C$5000,$C3076,$O$6:$O$5000,$O3076,$B$6:$B$5000,$B3076)&gt;1,"MÜKERRER","OK"))))</f>
        <v/>
      </c>
    </row>
    <row r="3077" ht="16.5" customHeight="1" s="80">
      <c r="A3077" s="113" t="n"/>
      <c r="B3077" s="113" t="n"/>
      <c r="C3077" s="113" t="n"/>
      <c r="D3077" s="113" t="n"/>
      <c r="E3077" s="113" t="n"/>
      <c r="F3077" s="113" t="n"/>
      <c r="G3077" s="113" t="n"/>
      <c r="H3077" s="113" t="n"/>
      <c r="I3077" s="113" t="n"/>
      <c r="J3077" s="113" t="n"/>
      <c r="K3077" s="113" t="n"/>
      <c r="L3077" s="113" t="n"/>
      <c r="M3077" s="113" t="n"/>
      <c r="N3077" s="113" t="n"/>
      <c r="O3077" s="113" t="n"/>
      <c r="P3077" s="113" t="n"/>
      <c r="Q3077" s="113" t="n"/>
      <c r="R3077" s="113" t="n"/>
      <c r="S3077" s="113" t="n"/>
      <c r="T3077" s="113" t="n"/>
      <c r="U3077" s="113" t="n"/>
      <c r="V3077" s="113" t="n"/>
      <c r="W3077" s="113" t="n"/>
      <c r="X3077" s="113" t="n"/>
      <c r="Y3077" s="113" t="n"/>
      <c r="Z3077" s="117">
        <f>IF($B3077="",0,IF($S3077="EVET",IF($D3077="GELİR",$O3077,-$O3077),0))</f>
        <v/>
      </c>
      <c r="AA3077" s="117">
        <f>IF($B3077="",0,IF(OR($W3077="EVET",$X3077="EVET",$Y3077="EVET"),0,IF($D3077="GELİR",IF($E3077="SATIŞ İADESİ/İSKONTO",-$O3077,$O3077),-$O3077)))</f>
        <v/>
      </c>
      <c r="AB3077" s="117">
        <f>IF($B3077="","",IF(OR($D3077="",$E3077="",$O3077=""),"EKSİK",IF($O3077&lt;=0,"SIFIR/NEGATİF",IF(COUNTIFS($C$6:$C$5000,$C3077,$O$6:$O$5000,$O3077,$B$6:$B$5000,$B3077)&gt;1,"MÜKERRER","OK"))))</f>
        <v/>
      </c>
    </row>
    <row r="3078" ht="16.5" customHeight="1" s="80">
      <c r="A3078" s="113" t="n"/>
      <c r="B3078" s="113" t="n"/>
      <c r="C3078" s="113" t="n"/>
      <c r="D3078" s="113" t="n"/>
      <c r="E3078" s="113" t="n"/>
      <c r="F3078" s="113" t="n"/>
      <c r="G3078" s="113" t="n"/>
      <c r="H3078" s="113" t="n"/>
      <c r="I3078" s="113" t="n"/>
      <c r="J3078" s="113" t="n"/>
      <c r="K3078" s="113" t="n"/>
      <c r="L3078" s="113" t="n"/>
      <c r="M3078" s="113" t="n"/>
      <c r="N3078" s="113" t="n"/>
      <c r="O3078" s="113" t="n"/>
      <c r="P3078" s="113" t="n"/>
      <c r="Q3078" s="113" t="n"/>
      <c r="R3078" s="113" t="n"/>
      <c r="S3078" s="113" t="n"/>
      <c r="T3078" s="113" t="n"/>
      <c r="U3078" s="113" t="n"/>
      <c r="V3078" s="113" t="n"/>
      <c r="W3078" s="113" t="n"/>
      <c r="X3078" s="113" t="n"/>
      <c r="Y3078" s="113" t="n"/>
      <c r="Z3078" s="117">
        <f>IF($B3078="",0,IF($S3078="EVET",IF($D3078="GELİR",$O3078,-$O3078),0))</f>
        <v/>
      </c>
      <c r="AA3078" s="117">
        <f>IF($B3078="",0,IF(OR($W3078="EVET",$X3078="EVET",$Y3078="EVET"),0,IF($D3078="GELİR",IF($E3078="SATIŞ İADESİ/İSKONTO",-$O3078,$O3078),-$O3078)))</f>
        <v/>
      </c>
      <c r="AB3078" s="117">
        <f>IF($B3078="","",IF(OR($D3078="",$E3078="",$O3078=""),"EKSİK",IF($O3078&lt;=0,"SIFIR/NEGATİF",IF(COUNTIFS($C$6:$C$5000,$C3078,$O$6:$O$5000,$O3078,$B$6:$B$5000,$B3078)&gt;1,"MÜKERRER","OK"))))</f>
        <v/>
      </c>
    </row>
    <row r="3079" ht="16.5" customHeight="1" s="80">
      <c r="A3079" s="113" t="n"/>
      <c r="B3079" s="113" t="n"/>
      <c r="C3079" s="113" t="n"/>
      <c r="D3079" s="113" t="n"/>
      <c r="E3079" s="113" t="n"/>
      <c r="F3079" s="113" t="n"/>
      <c r="G3079" s="113" t="n"/>
      <c r="H3079" s="113" t="n"/>
      <c r="I3079" s="113" t="n"/>
      <c r="J3079" s="113" t="n"/>
      <c r="K3079" s="113" t="n"/>
      <c r="L3079" s="113" t="n"/>
      <c r="M3079" s="113" t="n"/>
      <c r="N3079" s="113" t="n"/>
      <c r="O3079" s="113" t="n"/>
      <c r="P3079" s="113" t="n"/>
      <c r="Q3079" s="113" t="n"/>
      <c r="R3079" s="113" t="n"/>
      <c r="S3079" s="113" t="n"/>
      <c r="T3079" s="113" t="n"/>
      <c r="U3079" s="113" t="n"/>
      <c r="V3079" s="113" t="n"/>
      <c r="W3079" s="113" t="n"/>
      <c r="X3079" s="113" t="n"/>
      <c r="Y3079" s="113" t="n"/>
      <c r="Z3079" s="117">
        <f>IF($B3079="",0,IF($S3079="EVET",IF($D3079="GELİR",$O3079,-$O3079),0))</f>
        <v/>
      </c>
      <c r="AA3079" s="117">
        <f>IF($B3079="",0,IF(OR($W3079="EVET",$X3079="EVET",$Y3079="EVET"),0,IF($D3079="GELİR",IF($E3079="SATIŞ İADESİ/İSKONTO",-$O3079,$O3079),-$O3079)))</f>
        <v/>
      </c>
      <c r="AB3079" s="117">
        <f>IF($B3079="","",IF(OR($D3079="",$E3079="",$O3079=""),"EKSİK",IF($O3079&lt;=0,"SIFIR/NEGATİF",IF(COUNTIFS($C$6:$C$5000,$C3079,$O$6:$O$5000,$O3079,$B$6:$B$5000,$B3079)&gt;1,"MÜKERRER","OK"))))</f>
        <v/>
      </c>
    </row>
    <row r="3080" ht="16.5" customHeight="1" s="80">
      <c r="A3080" s="113" t="n"/>
      <c r="B3080" s="113" t="n"/>
      <c r="C3080" s="113" t="n"/>
      <c r="D3080" s="113" t="n"/>
      <c r="E3080" s="113" t="n"/>
      <c r="F3080" s="113" t="n"/>
      <c r="G3080" s="113" t="n"/>
      <c r="H3080" s="113" t="n"/>
      <c r="I3080" s="113" t="n"/>
      <c r="J3080" s="113" t="n"/>
      <c r="K3080" s="113" t="n"/>
      <c r="L3080" s="113" t="n"/>
      <c r="M3080" s="113" t="n"/>
      <c r="N3080" s="113" t="n"/>
      <c r="O3080" s="113" t="n"/>
      <c r="P3080" s="113" t="n"/>
      <c r="Q3080" s="113" t="n"/>
      <c r="R3080" s="113" t="n"/>
      <c r="S3080" s="113" t="n"/>
      <c r="T3080" s="113" t="n"/>
      <c r="U3080" s="113" t="n"/>
      <c r="V3080" s="113" t="n"/>
      <c r="W3080" s="113" t="n"/>
      <c r="X3080" s="113" t="n"/>
      <c r="Y3080" s="113" t="n"/>
      <c r="Z3080" s="117">
        <f>IF($B3080="",0,IF($S3080="EVET",IF($D3080="GELİR",$O3080,-$O3080),0))</f>
        <v/>
      </c>
      <c r="AA3080" s="117">
        <f>IF($B3080="",0,IF(OR($W3080="EVET",$X3080="EVET",$Y3080="EVET"),0,IF($D3080="GELİR",IF($E3080="SATIŞ İADESİ/İSKONTO",-$O3080,$O3080),-$O3080)))</f>
        <v/>
      </c>
      <c r="AB3080" s="117">
        <f>IF($B3080="","",IF(OR($D3080="",$E3080="",$O3080=""),"EKSİK",IF($O3080&lt;=0,"SIFIR/NEGATİF",IF(COUNTIFS($C$6:$C$5000,$C3080,$O$6:$O$5000,$O3080,$B$6:$B$5000,$B3080)&gt;1,"MÜKERRER","OK"))))</f>
        <v/>
      </c>
    </row>
    <row r="3081" ht="16.5" customHeight="1" s="80">
      <c r="A3081" s="113" t="n"/>
      <c r="B3081" s="113" t="n"/>
      <c r="C3081" s="113" t="n"/>
      <c r="D3081" s="113" t="n"/>
      <c r="E3081" s="113" t="n"/>
      <c r="F3081" s="113" t="n"/>
      <c r="G3081" s="113" t="n"/>
      <c r="H3081" s="113" t="n"/>
      <c r="I3081" s="113" t="n"/>
      <c r="J3081" s="113" t="n"/>
      <c r="K3081" s="113" t="n"/>
      <c r="L3081" s="113" t="n"/>
      <c r="M3081" s="113" t="n"/>
      <c r="N3081" s="113" t="n"/>
      <c r="O3081" s="113" t="n"/>
      <c r="P3081" s="113" t="n"/>
      <c r="Q3081" s="113" t="n"/>
      <c r="R3081" s="113" t="n"/>
      <c r="S3081" s="113" t="n"/>
      <c r="T3081" s="113" t="n"/>
      <c r="U3081" s="113" t="n"/>
      <c r="V3081" s="113" t="n"/>
      <c r="W3081" s="113" t="n"/>
      <c r="X3081" s="113" t="n"/>
      <c r="Y3081" s="113" t="n"/>
      <c r="Z3081" s="117">
        <f>IF($B3081="",0,IF($S3081="EVET",IF($D3081="GELİR",$O3081,-$O3081),0))</f>
        <v/>
      </c>
      <c r="AA3081" s="117">
        <f>IF($B3081="",0,IF(OR($W3081="EVET",$X3081="EVET",$Y3081="EVET"),0,IF($D3081="GELİR",IF($E3081="SATIŞ İADESİ/İSKONTO",-$O3081,$O3081),-$O3081)))</f>
        <v/>
      </c>
      <c r="AB3081" s="117">
        <f>IF($B3081="","",IF(OR($D3081="",$E3081="",$O3081=""),"EKSİK",IF($O3081&lt;=0,"SIFIR/NEGATİF",IF(COUNTIFS($C$6:$C$5000,$C3081,$O$6:$O$5000,$O3081,$B$6:$B$5000,$B3081)&gt;1,"MÜKERRER","OK"))))</f>
        <v/>
      </c>
    </row>
    <row r="3082" ht="16.5" customHeight="1" s="80">
      <c r="A3082" s="113" t="n"/>
      <c r="B3082" s="113" t="n"/>
      <c r="C3082" s="113" t="n"/>
      <c r="D3082" s="113" t="n"/>
      <c r="E3082" s="113" t="n"/>
      <c r="F3082" s="113" t="n"/>
      <c r="G3082" s="113" t="n"/>
      <c r="H3082" s="113" t="n"/>
      <c r="I3082" s="113" t="n"/>
      <c r="J3082" s="113" t="n"/>
      <c r="K3082" s="113" t="n"/>
      <c r="L3082" s="113" t="n"/>
      <c r="M3082" s="113" t="n"/>
      <c r="N3082" s="113" t="n"/>
      <c r="O3082" s="113" t="n"/>
      <c r="P3082" s="113" t="n"/>
      <c r="Q3082" s="113" t="n"/>
      <c r="R3082" s="113" t="n"/>
      <c r="S3082" s="113" t="n"/>
      <c r="T3082" s="113" t="n"/>
      <c r="U3082" s="113" t="n"/>
      <c r="V3082" s="113" t="n"/>
      <c r="W3082" s="113" t="n"/>
      <c r="X3082" s="113" t="n"/>
      <c r="Y3082" s="113" t="n"/>
      <c r="Z3082" s="117">
        <f>IF($B3082="",0,IF($S3082="EVET",IF($D3082="GELİR",$O3082,-$O3082),0))</f>
        <v/>
      </c>
      <c r="AA3082" s="117">
        <f>IF($B3082="",0,IF(OR($W3082="EVET",$X3082="EVET",$Y3082="EVET"),0,IF($D3082="GELİR",IF($E3082="SATIŞ İADESİ/İSKONTO",-$O3082,$O3082),-$O3082)))</f>
        <v/>
      </c>
      <c r="AB3082" s="117">
        <f>IF($B3082="","",IF(OR($D3082="",$E3082="",$O3082=""),"EKSİK",IF($O3082&lt;=0,"SIFIR/NEGATİF",IF(COUNTIFS($C$6:$C$5000,$C3082,$O$6:$O$5000,$O3082,$B$6:$B$5000,$B3082)&gt;1,"MÜKERRER","OK"))))</f>
        <v/>
      </c>
    </row>
    <row r="3083" ht="16.5" customHeight="1" s="80">
      <c r="A3083" s="113" t="n"/>
      <c r="B3083" s="113" t="n"/>
      <c r="C3083" s="113" t="n"/>
      <c r="D3083" s="113" t="n"/>
      <c r="E3083" s="113" t="n"/>
      <c r="F3083" s="113" t="n"/>
      <c r="G3083" s="113" t="n"/>
      <c r="H3083" s="113" t="n"/>
      <c r="I3083" s="113" t="n"/>
      <c r="J3083" s="113" t="n"/>
      <c r="K3083" s="113" t="n"/>
      <c r="L3083" s="113" t="n"/>
      <c r="M3083" s="113" t="n"/>
      <c r="N3083" s="113" t="n"/>
      <c r="O3083" s="113" t="n"/>
      <c r="P3083" s="113" t="n"/>
      <c r="Q3083" s="113" t="n"/>
      <c r="R3083" s="113" t="n"/>
      <c r="S3083" s="113" t="n"/>
      <c r="T3083" s="113" t="n"/>
      <c r="U3083" s="113" t="n"/>
      <c r="V3083" s="113" t="n"/>
      <c r="W3083" s="113" t="n"/>
      <c r="X3083" s="113" t="n"/>
      <c r="Y3083" s="113" t="n"/>
      <c r="Z3083" s="117">
        <f>IF($B3083="",0,IF($S3083="EVET",IF($D3083="GELİR",$O3083,-$O3083),0))</f>
        <v/>
      </c>
      <c r="AA3083" s="117">
        <f>IF($B3083="",0,IF(OR($W3083="EVET",$X3083="EVET",$Y3083="EVET"),0,IF($D3083="GELİR",IF($E3083="SATIŞ İADESİ/İSKONTO",-$O3083,$O3083),-$O3083)))</f>
        <v/>
      </c>
      <c r="AB3083" s="117">
        <f>IF($B3083="","",IF(OR($D3083="",$E3083="",$O3083=""),"EKSİK",IF($O3083&lt;=0,"SIFIR/NEGATİF",IF(COUNTIFS($C$6:$C$5000,$C3083,$O$6:$O$5000,$O3083,$B$6:$B$5000,$B3083)&gt;1,"MÜKERRER","OK"))))</f>
        <v/>
      </c>
    </row>
    <row r="3084" ht="16.5" customHeight="1" s="80">
      <c r="A3084" s="113" t="n"/>
      <c r="B3084" s="113" t="n"/>
      <c r="C3084" s="113" t="n"/>
      <c r="D3084" s="113" t="n"/>
      <c r="E3084" s="113" t="n"/>
      <c r="F3084" s="113" t="n"/>
      <c r="G3084" s="113" t="n"/>
      <c r="H3084" s="113" t="n"/>
      <c r="I3084" s="113" t="n"/>
      <c r="J3084" s="113" t="n"/>
      <c r="K3084" s="113" t="n"/>
      <c r="L3084" s="113" t="n"/>
      <c r="M3084" s="113" t="n"/>
      <c r="N3084" s="113" t="n"/>
      <c r="O3084" s="113" t="n"/>
      <c r="P3084" s="113" t="n"/>
      <c r="Q3084" s="113" t="n"/>
      <c r="R3084" s="113" t="n"/>
      <c r="S3084" s="113" t="n"/>
      <c r="T3084" s="113" t="n"/>
      <c r="U3084" s="113" t="n"/>
      <c r="V3084" s="113" t="n"/>
      <c r="W3084" s="113" t="n"/>
      <c r="X3084" s="113" t="n"/>
      <c r="Y3084" s="113" t="n"/>
      <c r="Z3084" s="117">
        <f>IF($B3084="",0,IF($S3084="EVET",IF($D3084="GELİR",$O3084,-$O3084),0))</f>
        <v/>
      </c>
      <c r="AA3084" s="117">
        <f>IF($B3084="",0,IF(OR($W3084="EVET",$X3084="EVET",$Y3084="EVET"),0,IF($D3084="GELİR",IF($E3084="SATIŞ İADESİ/İSKONTO",-$O3084,$O3084),-$O3084)))</f>
        <v/>
      </c>
      <c r="AB3084" s="117">
        <f>IF($B3084="","",IF(OR($D3084="",$E3084="",$O3084=""),"EKSİK",IF($O3084&lt;=0,"SIFIR/NEGATİF",IF(COUNTIFS($C$6:$C$5000,$C3084,$O$6:$O$5000,$O3084,$B$6:$B$5000,$B3084)&gt;1,"MÜKERRER","OK"))))</f>
        <v/>
      </c>
    </row>
    <row r="3085" ht="16.5" customHeight="1" s="80">
      <c r="A3085" s="113" t="n"/>
      <c r="B3085" s="113" t="n"/>
      <c r="C3085" s="113" t="n"/>
      <c r="D3085" s="113" t="n"/>
      <c r="E3085" s="113" t="n"/>
      <c r="F3085" s="113" t="n"/>
      <c r="G3085" s="113" t="n"/>
      <c r="H3085" s="113" t="n"/>
      <c r="I3085" s="113" t="n"/>
      <c r="J3085" s="113" t="n"/>
      <c r="K3085" s="113" t="n"/>
      <c r="L3085" s="113" t="n"/>
      <c r="M3085" s="113" t="n"/>
      <c r="N3085" s="113" t="n"/>
      <c r="O3085" s="113" t="n"/>
      <c r="P3085" s="113" t="n"/>
      <c r="Q3085" s="113" t="n"/>
      <c r="R3085" s="113" t="n"/>
      <c r="S3085" s="113" t="n"/>
      <c r="T3085" s="113" t="n"/>
      <c r="U3085" s="113" t="n"/>
      <c r="V3085" s="113" t="n"/>
      <c r="W3085" s="113" t="n"/>
      <c r="X3085" s="113" t="n"/>
      <c r="Y3085" s="113" t="n"/>
      <c r="Z3085" s="117">
        <f>IF($B3085="",0,IF($S3085="EVET",IF($D3085="GELİR",$O3085,-$O3085),0))</f>
        <v/>
      </c>
      <c r="AA3085" s="117">
        <f>IF($B3085="",0,IF(OR($W3085="EVET",$X3085="EVET",$Y3085="EVET"),0,IF($D3085="GELİR",IF($E3085="SATIŞ İADESİ/İSKONTO",-$O3085,$O3085),-$O3085)))</f>
        <v/>
      </c>
      <c r="AB3085" s="117">
        <f>IF($B3085="","",IF(OR($D3085="",$E3085="",$O3085=""),"EKSİK",IF($O3085&lt;=0,"SIFIR/NEGATİF",IF(COUNTIFS($C$6:$C$5000,$C3085,$O$6:$O$5000,$O3085,$B$6:$B$5000,$B3085)&gt;1,"MÜKERRER","OK"))))</f>
        <v/>
      </c>
    </row>
    <row r="3086" ht="16.5" customHeight="1" s="80">
      <c r="A3086" s="113" t="n"/>
      <c r="B3086" s="113" t="n"/>
      <c r="C3086" s="113" t="n"/>
      <c r="D3086" s="113" t="n"/>
      <c r="E3086" s="113" t="n"/>
      <c r="F3086" s="113" t="n"/>
      <c r="G3086" s="113" t="n"/>
      <c r="H3086" s="113" t="n"/>
      <c r="I3086" s="113" t="n"/>
      <c r="J3086" s="113" t="n"/>
      <c r="K3086" s="113" t="n"/>
      <c r="L3086" s="113" t="n"/>
      <c r="M3086" s="113" t="n"/>
      <c r="N3086" s="113" t="n"/>
      <c r="O3086" s="113" t="n"/>
      <c r="P3086" s="113" t="n"/>
      <c r="Q3086" s="113" t="n"/>
      <c r="R3086" s="113" t="n"/>
      <c r="S3086" s="113" t="n"/>
      <c r="T3086" s="113" t="n"/>
      <c r="U3086" s="113" t="n"/>
      <c r="V3086" s="113" t="n"/>
      <c r="W3086" s="113" t="n"/>
      <c r="X3086" s="113" t="n"/>
      <c r="Y3086" s="113" t="n"/>
      <c r="Z3086" s="117">
        <f>IF($B3086="",0,IF($S3086="EVET",IF($D3086="GELİR",$O3086,-$O3086),0))</f>
        <v/>
      </c>
      <c r="AA3086" s="117">
        <f>IF($B3086="",0,IF(OR($W3086="EVET",$X3086="EVET",$Y3086="EVET"),0,IF($D3086="GELİR",IF($E3086="SATIŞ İADESİ/İSKONTO",-$O3086,$O3086),-$O3086)))</f>
        <v/>
      </c>
      <c r="AB3086" s="117">
        <f>IF($B3086="","",IF(OR($D3086="",$E3086="",$O3086=""),"EKSİK",IF($O3086&lt;=0,"SIFIR/NEGATİF",IF(COUNTIFS($C$6:$C$5000,$C3086,$O$6:$O$5000,$O3086,$B$6:$B$5000,$B3086)&gt;1,"MÜKERRER","OK"))))</f>
        <v/>
      </c>
    </row>
    <row r="3087" ht="16.5" customHeight="1" s="80">
      <c r="A3087" s="113" t="n"/>
      <c r="B3087" s="113" t="n"/>
      <c r="C3087" s="113" t="n"/>
      <c r="D3087" s="113" t="n"/>
      <c r="E3087" s="113" t="n"/>
      <c r="F3087" s="113" t="n"/>
      <c r="G3087" s="113" t="n"/>
      <c r="H3087" s="113" t="n"/>
      <c r="I3087" s="113" t="n"/>
      <c r="J3087" s="113" t="n"/>
      <c r="K3087" s="113" t="n"/>
      <c r="L3087" s="113" t="n"/>
      <c r="M3087" s="113" t="n"/>
      <c r="N3087" s="113" t="n"/>
      <c r="O3087" s="113" t="n"/>
      <c r="P3087" s="113" t="n"/>
      <c r="Q3087" s="113" t="n"/>
      <c r="R3087" s="113" t="n"/>
      <c r="S3087" s="113" t="n"/>
      <c r="T3087" s="113" t="n"/>
      <c r="U3087" s="113" t="n"/>
      <c r="V3087" s="113" t="n"/>
      <c r="W3087" s="113" t="n"/>
      <c r="X3087" s="113" t="n"/>
      <c r="Y3087" s="113" t="n"/>
      <c r="Z3087" s="117">
        <f>IF($B3087="",0,IF($S3087="EVET",IF($D3087="GELİR",$O3087,-$O3087),0))</f>
        <v/>
      </c>
      <c r="AA3087" s="117">
        <f>IF($B3087="",0,IF(OR($W3087="EVET",$X3087="EVET",$Y3087="EVET"),0,IF($D3087="GELİR",IF($E3087="SATIŞ İADESİ/İSKONTO",-$O3087,$O3087),-$O3087)))</f>
        <v/>
      </c>
      <c r="AB3087" s="117">
        <f>IF($B3087="","",IF(OR($D3087="",$E3087="",$O3087=""),"EKSİK",IF($O3087&lt;=0,"SIFIR/NEGATİF",IF(COUNTIFS($C$6:$C$5000,$C3087,$O$6:$O$5000,$O3087,$B$6:$B$5000,$B3087)&gt;1,"MÜKERRER","OK"))))</f>
        <v/>
      </c>
    </row>
    <row r="3088" ht="16.5" customHeight="1" s="80">
      <c r="A3088" s="113" t="n"/>
      <c r="B3088" s="113" t="n"/>
      <c r="C3088" s="113" t="n"/>
      <c r="D3088" s="113" t="n"/>
      <c r="E3088" s="113" t="n"/>
      <c r="F3088" s="113" t="n"/>
      <c r="G3088" s="113" t="n"/>
      <c r="H3088" s="113" t="n"/>
      <c r="I3088" s="113" t="n"/>
      <c r="J3088" s="113" t="n"/>
      <c r="K3088" s="113" t="n"/>
      <c r="L3088" s="113" t="n"/>
      <c r="M3088" s="113" t="n"/>
      <c r="N3088" s="113" t="n"/>
      <c r="O3088" s="113" t="n"/>
      <c r="P3088" s="113" t="n"/>
      <c r="Q3088" s="113" t="n"/>
      <c r="R3088" s="113" t="n"/>
      <c r="S3088" s="113" t="n"/>
      <c r="T3088" s="113" t="n"/>
      <c r="U3088" s="113" t="n"/>
      <c r="V3088" s="113" t="n"/>
      <c r="W3088" s="113" t="n"/>
      <c r="X3088" s="113" t="n"/>
      <c r="Y3088" s="113" t="n"/>
      <c r="Z3088" s="117">
        <f>IF($B3088="",0,IF($S3088="EVET",IF($D3088="GELİR",$O3088,-$O3088),0))</f>
        <v/>
      </c>
      <c r="AA3088" s="117">
        <f>IF($B3088="",0,IF(OR($W3088="EVET",$X3088="EVET",$Y3088="EVET"),0,IF($D3088="GELİR",IF($E3088="SATIŞ İADESİ/İSKONTO",-$O3088,$O3088),-$O3088)))</f>
        <v/>
      </c>
      <c r="AB3088" s="117">
        <f>IF($B3088="","",IF(OR($D3088="",$E3088="",$O3088=""),"EKSİK",IF($O3088&lt;=0,"SIFIR/NEGATİF",IF(COUNTIFS($C$6:$C$5000,$C3088,$O$6:$O$5000,$O3088,$B$6:$B$5000,$B3088)&gt;1,"MÜKERRER","OK"))))</f>
        <v/>
      </c>
    </row>
    <row r="3089" ht="16.5" customHeight="1" s="80">
      <c r="A3089" s="113" t="n"/>
      <c r="B3089" s="113" t="n"/>
      <c r="C3089" s="113" t="n"/>
      <c r="D3089" s="113" t="n"/>
      <c r="E3089" s="113" t="n"/>
      <c r="F3089" s="113" t="n"/>
      <c r="G3089" s="113" t="n"/>
      <c r="H3089" s="113" t="n"/>
      <c r="I3089" s="113" t="n"/>
      <c r="J3089" s="113" t="n"/>
      <c r="K3089" s="113" t="n"/>
      <c r="L3089" s="113" t="n"/>
      <c r="M3089" s="113" t="n"/>
      <c r="N3089" s="113" t="n"/>
      <c r="O3089" s="113" t="n"/>
      <c r="P3089" s="113" t="n"/>
      <c r="Q3089" s="113" t="n"/>
      <c r="R3089" s="113" t="n"/>
      <c r="S3089" s="113" t="n"/>
      <c r="T3089" s="113" t="n"/>
      <c r="U3089" s="113" t="n"/>
      <c r="V3089" s="113" t="n"/>
      <c r="W3089" s="113" t="n"/>
      <c r="X3089" s="113" t="n"/>
      <c r="Y3089" s="113" t="n"/>
      <c r="Z3089" s="117">
        <f>IF($B3089="",0,IF($S3089="EVET",IF($D3089="GELİR",$O3089,-$O3089),0))</f>
        <v/>
      </c>
      <c r="AA3089" s="117">
        <f>IF($B3089="",0,IF(OR($W3089="EVET",$X3089="EVET",$Y3089="EVET"),0,IF($D3089="GELİR",IF($E3089="SATIŞ İADESİ/İSKONTO",-$O3089,$O3089),-$O3089)))</f>
        <v/>
      </c>
      <c r="AB3089" s="117">
        <f>IF($B3089="","",IF(OR($D3089="",$E3089="",$O3089=""),"EKSİK",IF($O3089&lt;=0,"SIFIR/NEGATİF",IF(COUNTIFS($C$6:$C$5000,$C3089,$O$6:$O$5000,$O3089,$B$6:$B$5000,$B3089)&gt;1,"MÜKERRER","OK"))))</f>
        <v/>
      </c>
    </row>
    <row r="3090" ht="16.5" customHeight="1" s="80">
      <c r="A3090" s="113" t="n"/>
      <c r="B3090" s="113" t="n"/>
      <c r="C3090" s="113" t="n"/>
      <c r="D3090" s="113" t="n"/>
      <c r="E3090" s="113" t="n"/>
      <c r="F3090" s="113" t="n"/>
      <c r="G3090" s="113" t="n"/>
      <c r="H3090" s="113" t="n"/>
      <c r="I3090" s="113" t="n"/>
      <c r="J3090" s="113" t="n"/>
      <c r="K3090" s="113" t="n"/>
      <c r="L3090" s="113" t="n"/>
      <c r="M3090" s="113" t="n"/>
      <c r="N3090" s="113" t="n"/>
      <c r="O3090" s="113" t="n"/>
      <c r="P3090" s="113" t="n"/>
      <c r="Q3090" s="113" t="n"/>
      <c r="R3090" s="113" t="n"/>
      <c r="S3090" s="113" t="n"/>
      <c r="T3090" s="113" t="n"/>
      <c r="U3090" s="113" t="n"/>
      <c r="V3090" s="113" t="n"/>
      <c r="W3090" s="113" t="n"/>
      <c r="X3090" s="113" t="n"/>
      <c r="Y3090" s="113" t="n"/>
      <c r="Z3090" s="117">
        <f>IF($B3090="",0,IF($S3090="EVET",IF($D3090="GELİR",$O3090,-$O3090),0))</f>
        <v/>
      </c>
      <c r="AA3090" s="117">
        <f>IF($B3090="",0,IF(OR($W3090="EVET",$X3090="EVET",$Y3090="EVET"),0,IF($D3090="GELİR",IF($E3090="SATIŞ İADESİ/İSKONTO",-$O3090,$O3090),-$O3090)))</f>
        <v/>
      </c>
      <c r="AB3090" s="117">
        <f>IF($B3090="","",IF(OR($D3090="",$E3090="",$O3090=""),"EKSİK",IF($O3090&lt;=0,"SIFIR/NEGATİF",IF(COUNTIFS($C$6:$C$5000,$C3090,$O$6:$O$5000,$O3090,$B$6:$B$5000,$B3090)&gt;1,"MÜKERRER","OK"))))</f>
        <v/>
      </c>
    </row>
    <row r="3091" ht="16.5" customHeight="1" s="80">
      <c r="A3091" s="113" t="n"/>
      <c r="B3091" s="113" t="n"/>
      <c r="C3091" s="113" t="n"/>
      <c r="D3091" s="113" t="n"/>
      <c r="E3091" s="113" t="n"/>
      <c r="F3091" s="113" t="n"/>
      <c r="G3091" s="113" t="n"/>
      <c r="H3091" s="113" t="n"/>
      <c r="I3091" s="113" t="n"/>
      <c r="J3091" s="113" t="n"/>
      <c r="K3091" s="113" t="n"/>
      <c r="L3091" s="113" t="n"/>
      <c r="M3091" s="113" t="n"/>
      <c r="N3091" s="113" t="n"/>
      <c r="O3091" s="113" t="n"/>
      <c r="P3091" s="113" t="n"/>
      <c r="Q3091" s="113" t="n"/>
      <c r="R3091" s="113" t="n"/>
      <c r="S3091" s="113" t="n"/>
      <c r="T3091" s="113" t="n"/>
      <c r="U3091" s="113" t="n"/>
      <c r="V3091" s="113" t="n"/>
      <c r="W3091" s="113" t="n"/>
      <c r="X3091" s="113" t="n"/>
      <c r="Y3091" s="113" t="n"/>
      <c r="Z3091" s="117">
        <f>IF($B3091="",0,IF($S3091="EVET",IF($D3091="GELİR",$O3091,-$O3091),0))</f>
        <v/>
      </c>
      <c r="AA3091" s="117">
        <f>IF($B3091="",0,IF(OR($W3091="EVET",$X3091="EVET",$Y3091="EVET"),0,IF($D3091="GELİR",IF($E3091="SATIŞ İADESİ/İSKONTO",-$O3091,$O3091),-$O3091)))</f>
        <v/>
      </c>
      <c r="AB3091" s="117">
        <f>IF($B3091="","",IF(OR($D3091="",$E3091="",$O3091=""),"EKSİK",IF($O3091&lt;=0,"SIFIR/NEGATİF",IF(COUNTIFS($C$6:$C$5000,$C3091,$O$6:$O$5000,$O3091,$B$6:$B$5000,$B3091)&gt;1,"MÜKERRER","OK"))))</f>
        <v/>
      </c>
    </row>
    <row r="3092" ht="16.5" customHeight="1" s="80">
      <c r="A3092" s="113" t="n"/>
      <c r="B3092" s="113" t="n"/>
      <c r="C3092" s="113" t="n"/>
      <c r="D3092" s="113" t="n"/>
      <c r="E3092" s="113" t="n"/>
      <c r="F3092" s="113" t="n"/>
      <c r="G3092" s="113" t="n"/>
      <c r="H3092" s="113" t="n"/>
      <c r="I3092" s="113" t="n"/>
      <c r="J3092" s="113" t="n"/>
      <c r="K3092" s="113" t="n"/>
      <c r="L3092" s="113" t="n"/>
      <c r="M3092" s="113" t="n"/>
      <c r="N3092" s="113" t="n"/>
      <c r="O3092" s="113" t="n"/>
      <c r="P3092" s="113" t="n"/>
      <c r="Q3092" s="113" t="n"/>
      <c r="R3092" s="113" t="n"/>
      <c r="S3092" s="113" t="n"/>
      <c r="T3092" s="113" t="n"/>
      <c r="U3092" s="113" t="n"/>
      <c r="V3092" s="113" t="n"/>
      <c r="W3092" s="113" t="n"/>
      <c r="X3092" s="113" t="n"/>
      <c r="Y3092" s="113" t="n"/>
      <c r="Z3092" s="117">
        <f>IF($B3092="",0,IF($S3092="EVET",IF($D3092="GELİR",$O3092,-$O3092),0))</f>
        <v/>
      </c>
      <c r="AA3092" s="117">
        <f>IF($B3092="",0,IF(OR($W3092="EVET",$X3092="EVET",$Y3092="EVET"),0,IF($D3092="GELİR",IF($E3092="SATIŞ İADESİ/İSKONTO",-$O3092,$O3092),-$O3092)))</f>
        <v/>
      </c>
      <c r="AB3092" s="117">
        <f>IF($B3092="","",IF(OR($D3092="",$E3092="",$O3092=""),"EKSİK",IF($O3092&lt;=0,"SIFIR/NEGATİF",IF(COUNTIFS($C$6:$C$5000,$C3092,$O$6:$O$5000,$O3092,$B$6:$B$5000,$B3092)&gt;1,"MÜKERRER","OK"))))</f>
        <v/>
      </c>
    </row>
    <row r="3093" ht="16.5" customHeight="1" s="80">
      <c r="A3093" s="113" t="n"/>
      <c r="B3093" s="113" t="n"/>
      <c r="C3093" s="113" t="n"/>
      <c r="D3093" s="113" t="n"/>
      <c r="E3093" s="113" t="n"/>
      <c r="F3093" s="113" t="n"/>
      <c r="G3093" s="113" t="n"/>
      <c r="H3093" s="113" t="n"/>
      <c r="I3093" s="113" t="n"/>
      <c r="J3093" s="113" t="n"/>
      <c r="K3093" s="113" t="n"/>
      <c r="L3093" s="113" t="n"/>
      <c r="M3093" s="113" t="n"/>
      <c r="N3093" s="113" t="n"/>
      <c r="O3093" s="113" t="n"/>
      <c r="P3093" s="113" t="n"/>
      <c r="Q3093" s="113" t="n"/>
      <c r="R3093" s="113" t="n"/>
      <c r="S3093" s="113" t="n"/>
      <c r="T3093" s="113" t="n"/>
      <c r="U3093" s="113" t="n"/>
      <c r="V3093" s="113" t="n"/>
      <c r="W3093" s="113" t="n"/>
      <c r="X3093" s="113" t="n"/>
      <c r="Y3093" s="113" t="n"/>
      <c r="Z3093" s="117">
        <f>IF($B3093="",0,IF($S3093="EVET",IF($D3093="GELİR",$O3093,-$O3093),0))</f>
        <v/>
      </c>
      <c r="AA3093" s="117">
        <f>IF($B3093="",0,IF(OR($W3093="EVET",$X3093="EVET",$Y3093="EVET"),0,IF($D3093="GELİR",IF($E3093="SATIŞ İADESİ/İSKONTO",-$O3093,$O3093),-$O3093)))</f>
        <v/>
      </c>
      <c r="AB3093" s="117">
        <f>IF($B3093="","",IF(OR($D3093="",$E3093="",$O3093=""),"EKSİK",IF($O3093&lt;=0,"SIFIR/NEGATİF",IF(COUNTIFS($C$6:$C$5000,$C3093,$O$6:$O$5000,$O3093,$B$6:$B$5000,$B3093)&gt;1,"MÜKERRER","OK"))))</f>
        <v/>
      </c>
    </row>
    <row r="3094" ht="16.5" customHeight="1" s="80">
      <c r="A3094" s="113" t="n"/>
      <c r="B3094" s="113" t="n"/>
      <c r="C3094" s="113" t="n"/>
      <c r="D3094" s="113" t="n"/>
      <c r="E3094" s="113" t="n"/>
      <c r="F3094" s="113" t="n"/>
      <c r="G3094" s="113" t="n"/>
      <c r="H3094" s="113" t="n"/>
      <c r="I3094" s="113" t="n"/>
      <c r="J3094" s="113" t="n"/>
      <c r="K3094" s="113" t="n"/>
      <c r="L3094" s="113" t="n"/>
      <c r="M3094" s="113" t="n"/>
      <c r="N3094" s="113" t="n"/>
      <c r="O3094" s="113" t="n"/>
      <c r="P3094" s="113" t="n"/>
      <c r="Q3094" s="113" t="n"/>
      <c r="R3094" s="113" t="n"/>
      <c r="S3094" s="113" t="n"/>
      <c r="T3094" s="113" t="n"/>
      <c r="U3094" s="113" t="n"/>
      <c r="V3094" s="113" t="n"/>
      <c r="W3094" s="113" t="n"/>
      <c r="X3094" s="113" t="n"/>
      <c r="Y3094" s="113" t="n"/>
      <c r="Z3094" s="117">
        <f>IF($B3094="",0,IF($S3094="EVET",IF($D3094="GELİR",$O3094,-$O3094),0))</f>
        <v/>
      </c>
      <c r="AA3094" s="117">
        <f>IF($B3094="",0,IF(OR($W3094="EVET",$X3094="EVET",$Y3094="EVET"),0,IF($D3094="GELİR",IF($E3094="SATIŞ İADESİ/İSKONTO",-$O3094,$O3094),-$O3094)))</f>
        <v/>
      </c>
      <c r="AB3094" s="117">
        <f>IF($B3094="","",IF(OR($D3094="",$E3094="",$O3094=""),"EKSİK",IF($O3094&lt;=0,"SIFIR/NEGATİF",IF(COUNTIFS($C$6:$C$5000,$C3094,$O$6:$O$5000,$O3094,$B$6:$B$5000,$B3094)&gt;1,"MÜKERRER","OK"))))</f>
        <v/>
      </c>
    </row>
    <row r="3095" ht="16.5" customHeight="1" s="80">
      <c r="A3095" s="113" t="n"/>
      <c r="B3095" s="113" t="n"/>
      <c r="C3095" s="113" t="n"/>
      <c r="D3095" s="113" t="n"/>
      <c r="E3095" s="113" t="n"/>
      <c r="F3095" s="113" t="n"/>
      <c r="G3095" s="113" t="n"/>
      <c r="H3095" s="113" t="n"/>
      <c r="I3095" s="113" t="n"/>
      <c r="J3095" s="113" t="n"/>
      <c r="K3095" s="113" t="n"/>
      <c r="L3095" s="113" t="n"/>
      <c r="M3095" s="113" t="n"/>
      <c r="N3095" s="113" t="n"/>
      <c r="O3095" s="113" t="n"/>
      <c r="P3095" s="113" t="n"/>
      <c r="Q3095" s="113" t="n"/>
      <c r="R3095" s="113" t="n"/>
      <c r="S3095" s="113" t="n"/>
      <c r="T3095" s="113" t="n"/>
      <c r="U3095" s="113" t="n"/>
      <c r="V3095" s="113" t="n"/>
      <c r="W3095" s="113" t="n"/>
      <c r="X3095" s="113" t="n"/>
      <c r="Y3095" s="113" t="n"/>
      <c r="Z3095" s="117">
        <f>IF($B3095="",0,IF($S3095="EVET",IF($D3095="GELİR",$O3095,-$O3095),0))</f>
        <v/>
      </c>
      <c r="AA3095" s="117">
        <f>IF($B3095="",0,IF(OR($W3095="EVET",$X3095="EVET",$Y3095="EVET"),0,IF($D3095="GELİR",IF($E3095="SATIŞ İADESİ/İSKONTO",-$O3095,$O3095),-$O3095)))</f>
        <v/>
      </c>
      <c r="AB3095" s="117">
        <f>IF($B3095="","",IF(OR($D3095="",$E3095="",$O3095=""),"EKSİK",IF($O3095&lt;=0,"SIFIR/NEGATİF",IF(COUNTIFS($C$6:$C$5000,$C3095,$O$6:$O$5000,$O3095,$B$6:$B$5000,$B3095)&gt;1,"MÜKERRER","OK"))))</f>
        <v/>
      </c>
    </row>
    <row r="3096" ht="16.5" customHeight="1" s="80">
      <c r="A3096" s="113" t="n"/>
      <c r="B3096" s="113" t="n"/>
      <c r="C3096" s="113" t="n"/>
      <c r="D3096" s="113" t="n"/>
      <c r="E3096" s="113" t="n"/>
      <c r="F3096" s="113" t="n"/>
      <c r="G3096" s="113" t="n"/>
      <c r="H3096" s="113" t="n"/>
      <c r="I3096" s="113" t="n"/>
      <c r="J3096" s="113" t="n"/>
      <c r="K3096" s="113" t="n"/>
      <c r="L3096" s="113" t="n"/>
      <c r="M3096" s="113" t="n"/>
      <c r="N3096" s="113" t="n"/>
      <c r="O3096" s="113" t="n"/>
      <c r="P3096" s="113" t="n"/>
      <c r="Q3096" s="113" t="n"/>
      <c r="R3096" s="113" t="n"/>
      <c r="S3096" s="113" t="n"/>
      <c r="T3096" s="113" t="n"/>
      <c r="U3096" s="113" t="n"/>
      <c r="V3096" s="113" t="n"/>
      <c r="W3096" s="113" t="n"/>
      <c r="X3096" s="113" t="n"/>
      <c r="Y3096" s="113" t="n"/>
      <c r="Z3096" s="117">
        <f>IF($B3096="",0,IF($S3096="EVET",IF($D3096="GELİR",$O3096,-$O3096),0))</f>
        <v/>
      </c>
      <c r="AA3096" s="117">
        <f>IF($B3096="",0,IF(OR($W3096="EVET",$X3096="EVET",$Y3096="EVET"),0,IF($D3096="GELİR",IF($E3096="SATIŞ İADESİ/İSKONTO",-$O3096,$O3096),-$O3096)))</f>
        <v/>
      </c>
      <c r="AB3096" s="117">
        <f>IF($B3096="","",IF(OR($D3096="",$E3096="",$O3096=""),"EKSİK",IF($O3096&lt;=0,"SIFIR/NEGATİF",IF(COUNTIFS($C$6:$C$5000,$C3096,$O$6:$O$5000,$O3096,$B$6:$B$5000,$B3096)&gt;1,"MÜKERRER","OK"))))</f>
        <v/>
      </c>
    </row>
    <row r="3097" ht="16.5" customHeight="1" s="80">
      <c r="A3097" s="113" t="n"/>
      <c r="B3097" s="113" t="n"/>
      <c r="C3097" s="113" t="n"/>
      <c r="D3097" s="113" t="n"/>
      <c r="E3097" s="113" t="n"/>
      <c r="F3097" s="113" t="n"/>
      <c r="G3097" s="113" t="n"/>
      <c r="H3097" s="113" t="n"/>
      <c r="I3097" s="113" t="n"/>
      <c r="J3097" s="113" t="n"/>
      <c r="K3097" s="113" t="n"/>
      <c r="L3097" s="113" t="n"/>
      <c r="M3097" s="113" t="n"/>
      <c r="N3097" s="113" t="n"/>
      <c r="O3097" s="113" t="n"/>
      <c r="P3097" s="113" t="n"/>
      <c r="Q3097" s="113" t="n"/>
      <c r="R3097" s="113" t="n"/>
      <c r="S3097" s="113" t="n"/>
      <c r="T3097" s="113" t="n"/>
      <c r="U3097" s="113" t="n"/>
      <c r="V3097" s="113" t="n"/>
      <c r="W3097" s="113" t="n"/>
      <c r="X3097" s="113" t="n"/>
      <c r="Y3097" s="113" t="n"/>
      <c r="Z3097" s="117">
        <f>IF($B3097="",0,IF($S3097="EVET",IF($D3097="GELİR",$O3097,-$O3097),0))</f>
        <v/>
      </c>
      <c r="AA3097" s="117">
        <f>IF($B3097="",0,IF(OR($W3097="EVET",$X3097="EVET",$Y3097="EVET"),0,IF($D3097="GELİR",IF($E3097="SATIŞ İADESİ/İSKONTO",-$O3097,$O3097),-$O3097)))</f>
        <v/>
      </c>
      <c r="AB3097" s="117">
        <f>IF($B3097="","",IF(OR($D3097="",$E3097="",$O3097=""),"EKSİK",IF($O3097&lt;=0,"SIFIR/NEGATİF",IF(COUNTIFS($C$6:$C$5000,$C3097,$O$6:$O$5000,$O3097,$B$6:$B$5000,$B3097)&gt;1,"MÜKERRER","OK"))))</f>
        <v/>
      </c>
    </row>
    <row r="3098" ht="16.5" customHeight="1" s="80">
      <c r="A3098" s="113" t="n"/>
      <c r="B3098" s="113" t="n"/>
      <c r="C3098" s="113" t="n"/>
      <c r="D3098" s="113" t="n"/>
      <c r="E3098" s="113" t="n"/>
      <c r="F3098" s="113" t="n"/>
      <c r="G3098" s="113" t="n"/>
      <c r="H3098" s="113" t="n"/>
      <c r="I3098" s="113" t="n"/>
      <c r="J3098" s="113" t="n"/>
      <c r="K3098" s="113" t="n"/>
      <c r="L3098" s="113" t="n"/>
      <c r="M3098" s="113" t="n"/>
      <c r="N3098" s="113" t="n"/>
      <c r="O3098" s="113" t="n"/>
      <c r="P3098" s="113" t="n"/>
      <c r="Q3098" s="113" t="n"/>
      <c r="R3098" s="113" t="n"/>
      <c r="S3098" s="113" t="n"/>
      <c r="T3098" s="113" t="n"/>
      <c r="U3098" s="113" t="n"/>
      <c r="V3098" s="113" t="n"/>
      <c r="W3098" s="113" t="n"/>
      <c r="X3098" s="113" t="n"/>
      <c r="Y3098" s="113" t="n"/>
      <c r="Z3098" s="117">
        <f>IF($B3098="",0,IF($S3098="EVET",IF($D3098="GELİR",$O3098,-$O3098),0))</f>
        <v/>
      </c>
      <c r="AA3098" s="117">
        <f>IF($B3098="",0,IF(OR($W3098="EVET",$X3098="EVET",$Y3098="EVET"),0,IF($D3098="GELİR",IF($E3098="SATIŞ İADESİ/İSKONTO",-$O3098,$O3098),-$O3098)))</f>
        <v/>
      </c>
      <c r="AB3098" s="117">
        <f>IF($B3098="","",IF(OR($D3098="",$E3098="",$O3098=""),"EKSİK",IF($O3098&lt;=0,"SIFIR/NEGATİF",IF(COUNTIFS($C$6:$C$5000,$C3098,$O$6:$O$5000,$O3098,$B$6:$B$5000,$B3098)&gt;1,"MÜKERRER","OK"))))</f>
        <v/>
      </c>
    </row>
    <row r="3099" ht="16.5" customHeight="1" s="80">
      <c r="A3099" s="113" t="n"/>
      <c r="B3099" s="113" t="n"/>
      <c r="C3099" s="113" t="n"/>
      <c r="D3099" s="113" t="n"/>
      <c r="E3099" s="113" t="n"/>
      <c r="F3099" s="113" t="n"/>
      <c r="G3099" s="113" t="n"/>
      <c r="H3099" s="113" t="n"/>
      <c r="I3099" s="113" t="n"/>
      <c r="J3099" s="113" t="n"/>
      <c r="K3099" s="113" t="n"/>
      <c r="L3099" s="113" t="n"/>
      <c r="M3099" s="113" t="n"/>
      <c r="N3099" s="113" t="n"/>
      <c r="O3099" s="113" t="n"/>
      <c r="P3099" s="113" t="n"/>
      <c r="Q3099" s="113" t="n"/>
      <c r="R3099" s="113" t="n"/>
      <c r="S3099" s="113" t="n"/>
      <c r="T3099" s="113" t="n"/>
      <c r="U3099" s="113" t="n"/>
      <c r="V3099" s="113" t="n"/>
      <c r="W3099" s="113" t="n"/>
      <c r="X3099" s="113" t="n"/>
      <c r="Y3099" s="113" t="n"/>
      <c r="Z3099" s="117">
        <f>IF($B3099="",0,IF($S3099="EVET",IF($D3099="GELİR",$O3099,-$O3099),0))</f>
        <v/>
      </c>
      <c r="AA3099" s="117">
        <f>IF($B3099="",0,IF(OR($W3099="EVET",$X3099="EVET",$Y3099="EVET"),0,IF($D3099="GELİR",IF($E3099="SATIŞ İADESİ/İSKONTO",-$O3099,$O3099),-$O3099)))</f>
        <v/>
      </c>
      <c r="AB3099" s="117">
        <f>IF($B3099="","",IF(OR($D3099="",$E3099="",$O3099=""),"EKSİK",IF($O3099&lt;=0,"SIFIR/NEGATİF",IF(COUNTIFS($C$6:$C$5000,$C3099,$O$6:$O$5000,$O3099,$B$6:$B$5000,$B3099)&gt;1,"MÜKERRER","OK"))))</f>
        <v/>
      </c>
    </row>
    <row r="3100" ht="16.5" customHeight="1" s="80">
      <c r="A3100" s="113" t="n"/>
      <c r="B3100" s="113" t="n"/>
      <c r="C3100" s="113" t="n"/>
      <c r="D3100" s="113" t="n"/>
      <c r="E3100" s="113" t="n"/>
      <c r="F3100" s="113" t="n"/>
      <c r="G3100" s="113" t="n"/>
      <c r="H3100" s="113" t="n"/>
      <c r="I3100" s="113" t="n"/>
      <c r="J3100" s="113" t="n"/>
      <c r="K3100" s="113" t="n"/>
      <c r="L3100" s="113" t="n"/>
      <c r="M3100" s="113" t="n"/>
      <c r="N3100" s="113" t="n"/>
      <c r="O3100" s="113" t="n"/>
      <c r="P3100" s="113" t="n"/>
      <c r="Q3100" s="113" t="n"/>
      <c r="R3100" s="113" t="n"/>
      <c r="S3100" s="113" t="n"/>
      <c r="T3100" s="113" t="n"/>
      <c r="U3100" s="113" t="n"/>
      <c r="V3100" s="113" t="n"/>
      <c r="W3100" s="113" t="n"/>
      <c r="X3100" s="113" t="n"/>
      <c r="Y3100" s="113" t="n"/>
      <c r="Z3100" s="117">
        <f>IF($B3100="",0,IF($S3100="EVET",IF($D3100="GELİR",$O3100,-$O3100),0))</f>
        <v/>
      </c>
      <c r="AA3100" s="117">
        <f>IF($B3100="",0,IF(OR($W3100="EVET",$X3100="EVET",$Y3100="EVET"),0,IF($D3100="GELİR",IF($E3100="SATIŞ İADESİ/İSKONTO",-$O3100,$O3100),-$O3100)))</f>
        <v/>
      </c>
      <c r="AB3100" s="117">
        <f>IF($B3100="","",IF(OR($D3100="",$E3100="",$O3100=""),"EKSİK",IF($O3100&lt;=0,"SIFIR/NEGATİF",IF(COUNTIFS($C$6:$C$5000,$C3100,$O$6:$O$5000,$O3100,$B$6:$B$5000,$B3100)&gt;1,"MÜKERRER","OK"))))</f>
        <v/>
      </c>
    </row>
    <row r="3101" ht="16.5" customHeight="1" s="80">
      <c r="A3101" s="113" t="n"/>
      <c r="B3101" s="113" t="n"/>
      <c r="C3101" s="113" t="n"/>
      <c r="D3101" s="113" t="n"/>
      <c r="E3101" s="113" t="n"/>
      <c r="F3101" s="113" t="n"/>
      <c r="G3101" s="113" t="n"/>
      <c r="H3101" s="113" t="n"/>
      <c r="I3101" s="113" t="n"/>
      <c r="J3101" s="113" t="n"/>
      <c r="K3101" s="113" t="n"/>
      <c r="L3101" s="113" t="n"/>
      <c r="M3101" s="113" t="n"/>
      <c r="N3101" s="113" t="n"/>
      <c r="O3101" s="113" t="n"/>
      <c r="P3101" s="113" t="n"/>
      <c r="Q3101" s="113" t="n"/>
      <c r="R3101" s="113" t="n"/>
      <c r="S3101" s="113" t="n"/>
      <c r="T3101" s="113" t="n"/>
      <c r="U3101" s="113" t="n"/>
      <c r="V3101" s="113" t="n"/>
      <c r="W3101" s="113" t="n"/>
      <c r="X3101" s="113" t="n"/>
      <c r="Y3101" s="113" t="n"/>
      <c r="Z3101" s="117">
        <f>IF($B3101="",0,IF($S3101="EVET",IF($D3101="GELİR",$O3101,-$O3101),0))</f>
        <v/>
      </c>
      <c r="AA3101" s="117">
        <f>IF($B3101="",0,IF(OR($W3101="EVET",$X3101="EVET",$Y3101="EVET"),0,IF($D3101="GELİR",IF($E3101="SATIŞ İADESİ/İSKONTO",-$O3101,$O3101),-$O3101)))</f>
        <v/>
      </c>
      <c r="AB3101" s="117">
        <f>IF($B3101="","",IF(OR($D3101="",$E3101="",$O3101=""),"EKSİK",IF($O3101&lt;=0,"SIFIR/NEGATİF",IF(COUNTIFS($C$6:$C$5000,$C3101,$O$6:$O$5000,$O3101,$B$6:$B$5000,$B3101)&gt;1,"MÜKERRER","OK"))))</f>
        <v/>
      </c>
    </row>
    <row r="3102" ht="16.5" customHeight="1" s="80">
      <c r="A3102" s="113" t="n"/>
      <c r="B3102" s="113" t="n"/>
      <c r="C3102" s="113" t="n"/>
      <c r="D3102" s="113" t="n"/>
      <c r="E3102" s="113" t="n"/>
      <c r="F3102" s="113" t="n"/>
      <c r="G3102" s="113" t="n"/>
      <c r="H3102" s="113" t="n"/>
      <c r="I3102" s="113" t="n"/>
      <c r="J3102" s="113" t="n"/>
      <c r="K3102" s="113" t="n"/>
      <c r="L3102" s="113" t="n"/>
      <c r="M3102" s="113" t="n"/>
      <c r="N3102" s="113" t="n"/>
      <c r="O3102" s="113" t="n"/>
      <c r="P3102" s="113" t="n"/>
      <c r="Q3102" s="113" t="n"/>
      <c r="R3102" s="113" t="n"/>
      <c r="S3102" s="113" t="n"/>
      <c r="T3102" s="113" t="n"/>
      <c r="U3102" s="113" t="n"/>
      <c r="V3102" s="113" t="n"/>
      <c r="W3102" s="113" t="n"/>
      <c r="X3102" s="113" t="n"/>
      <c r="Y3102" s="113" t="n"/>
      <c r="Z3102" s="117">
        <f>IF($B3102="",0,IF($S3102="EVET",IF($D3102="GELİR",$O3102,-$O3102),0))</f>
        <v/>
      </c>
      <c r="AA3102" s="117">
        <f>IF($B3102="",0,IF(OR($W3102="EVET",$X3102="EVET",$Y3102="EVET"),0,IF($D3102="GELİR",IF($E3102="SATIŞ İADESİ/İSKONTO",-$O3102,$O3102),-$O3102)))</f>
        <v/>
      </c>
      <c r="AB3102" s="117">
        <f>IF($B3102="","",IF(OR($D3102="",$E3102="",$O3102=""),"EKSİK",IF($O3102&lt;=0,"SIFIR/NEGATİF",IF(COUNTIFS($C$6:$C$5000,$C3102,$O$6:$O$5000,$O3102,$B$6:$B$5000,$B3102)&gt;1,"MÜKERRER","OK"))))</f>
        <v/>
      </c>
    </row>
    <row r="3103" ht="16.5" customHeight="1" s="80">
      <c r="A3103" s="113" t="n"/>
      <c r="B3103" s="113" t="n"/>
      <c r="C3103" s="113" t="n"/>
      <c r="D3103" s="113" t="n"/>
      <c r="E3103" s="113" t="n"/>
      <c r="F3103" s="113" t="n"/>
      <c r="G3103" s="113" t="n"/>
      <c r="H3103" s="113" t="n"/>
      <c r="I3103" s="113" t="n"/>
      <c r="J3103" s="113" t="n"/>
      <c r="K3103" s="113" t="n"/>
      <c r="L3103" s="113" t="n"/>
      <c r="M3103" s="113" t="n"/>
      <c r="N3103" s="113" t="n"/>
      <c r="O3103" s="113" t="n"/>
      <c r="P3103" s="113" t="n"/>
      <c r="Q3103" s="113" t="n"/>
      <c r="R3103" s="113" t="n"/>
      <c r="S3103" s="113" t="n"/>
      <c r="T3103" s="113" t="n"/>
      <c r="U3103" s="113" t="n"/>
      <c r="V3103" s="113" t="n"/>
      <c r="W3103" s="113" t="n"/>
      <c r="X3103" s="113" t="n"/>
      <c r="Y3103" s="113" t="n"/>
      <c r="Z3103" s="117">
        <f>IF($B3103="",0,IF($S3103="EVET",IF($D3103="GELİR",$O3103,-$O3103),0))</f>
        <v/>
      </c>
      <c r="AA3103" s="117">
        <f>IF($B3103="",0,IF(OR($W3103="EVET",$X3103="EVET",$Y3103="EVET"),0,IF($D3103="GELİR",IF($E3103="SATIŞ İADESİ/İSKONTO",-$O3103,$O3103),-$O3103)))</f>
        <v/>
      </c>
      <c r="AB3103" s="117">
        <f>IF($B3103="","",IF(OR($D3103="",$E3103="",$O3103=""),"EKSİK",IF($O3103&lt;=0,"SIFIR/NEGATİF",IF(COUNTIFS($C$6:$C$5000,$C3103,$O$6:$O$5000,$O3103,$B$6:$B$5000,$B3103)&gt;1,"MÜKERRER","OK"))))</f>
        <v/>
      </c>
    </row>
    <row r="3104" ht="16.5" customHeight="1" s="80">
      <c r="A3104" s="113" t="n"/>
      <c r="B3104" s="113" t="n"/>
      <c r="C3104" s="113" t="n"/>
      <c r="D3104" s="113" t="n"/>
      <c r="E3104" s="113" t="n"/>
      <c r="F3104" s="113" t="n"/>
      <c r="G3104" s="113" t="n"/>
      <c r="H3104" s="113" t="n"/>
      <c r="I3104" s="113" t="n"/>
      <c r="J3104" s="113" t="n"/>
      <c r="K3104" s="113" t="n"/>
      <c r="L3104" s="113" t="n"/>
      <c r="M3104" s="113" t="n"/>
      <c r="N3104" s="113" t="n"/>
      <c r="O3104" s="113" t="n"/>
      <c r="P3104" s="113" t="n"/>
      <c r="Q3104" s="113" t="n"/>
      <c r="R3104" s="113" t="n"/>
      <c r="S3104" s="113" t="n"/>
      <c r="T3104" s="113" t="n"/>
      <c r="U3104" s="113" t="n"/>
      <c r="V3104" s="113" t="n"/>
      <c r="W3104" s="113" t="n"/>
      <c r="X3104" s="113" t="n"/>
      <c r="Y3104" s="113" t="n"/>
      <c r="Z3104" s="117">
        <f>IF($B3104="",0,IF($S3104="EVET",IF($D3104="GELİR",$O3104,-$O3104),0))</f>
        <v/>
      </c>
      <c r="AA3104" s="117">
        <f>IF($B3104="",0,IF(OR($W3104="EVET",$X3104="EVET",$Y3104="EVET"),0,IF($D3104="GELİR",IF($E3104="SATIŞ İADESİ/İSKONTO",-$O3104,$O3104),-$O3104)))</f>
        <v/>
      </c>
      <c r="AB3104" s="117">
        <f>IF($B3104="","",IF(OR($D3104="",$E3104="",$O3104=""),"EKSİK",IF($O3104&lt;=0,"SIFIR/NEGATİF",IF(COUNTIFS($C$6:$C$5000,$C3104,$O$6:$O$5000,$O3104,$B$6:$B$5000,$B3104)&gt;1,"MÜKERRER","OK"))))</f>
        <v/>
      </c>
    </row>
    <row r="3105" ht="16.5" customHeight="1" s="80">
      <c r="A3105" s="113" t="n"/>
      <c r="B3105" s="113" t="n"/>
      <c r="C3105" s="113" t="n"/>
      <c r="D3105" s="113" t="n"/>
      <c r="E3105" s="113" t="n"/>
      <c r="F3105" s="113" t="n"/>
      <c r="G3105" s="113" t="n"/>
      <c r="H3105" s="113" t="n"/>
      <c r="I3105" s="113" t="n"/>
      <c r="J3105" s="113" t="n"/>
      <c r="K3105" s="113" t="n"/>
      <c r="L3105" s="113" t="n"/>
      <c r="M3105" s="113" t="n"/>
      <c r="N3105" s="113" t="n"/>
      <c r="O3105" s="113" t="n"/>
      <c r="P3105" s="113" t="n"/>
      <c r="Q3105" s="113" t="n"/>
      <c r="R3105" s="113" t="n"/>
      <c r="S3105" s="113" t="n"/>
      <c r="T3105" s="113" t="n"/>
      <c r="U3105" s="113" t="n"/>
      <c r="V3105" s="113" t="n"/>
      <c r="W3105" s="113" t="n"/>
      <c r="X3105" s="113" t="n"/>
      <c r="Y3105" s="113" t="n"/>
      <c r="Z3105" s="117">
        <f>IF($B3105="",0,IF($S3105="EVET",IF($D3105="GELİR",$O3105,-$O3105),0))</f>
        <v/>
      </c>
      <c r="AA3105" s="117">
        <f>IF($B3105="",0,IF(OR($W3105="EVET",$X3105="EVET",$Y3105="EVET"),0,IF($D3105="GELİR",IF($E3105="SATIŞ İADESİ/İSKONTO",-$O3105,$O3105),-$O3105)))</f>
        <v/>
      </c>
      <c r="AB3105" s="117">
        <f>IF($B3105="","",IF(OR($D3105="",$E3105="",$O3105=""),"EKSİK",IF($O3105&lt;=0,"SIFIR/NEGATİF",IF(COUNTIFS($C$6:$C$5000,$C3105,$O$6:$O$5000,$O3105,$B$6:$B$5000,$B3105)&gt;1,"MÜKERRER","OK"))))</f>
        <v/>
      </c>
    </row>
    <row r="3106" ht="16.5" customHeight="1" s="80">
      <c r="A3106" s="113" t="n"/>
      <c r="B3106" s="113" t="n"/>
      <c r="C3106" s="113" t="n"/>
      <c r="D3106" s="113" t="n"/>
      <c r="E3106" s="113" t="n"/>
      <c r="F3106" s="113" t="n"/>
      <c r="G3106" s="113" t="n"/>
      <c r="H3106" s="113" t="n"/>
      <c r="I3106" s="113" t="n"/>
      <c r="J3106" s="113" t="n"/>
      <c r="K3106" s="113" t="n"/>
      <c r="L3106" s="113" t="n"/>
      <c r="M3106" s="113" t="n"/>
      <c r="N3106" s="113" t="n"/>
      <c r="O3106" s="113" t="n"/>
      <c r="P3106" s="113" t="n"/>
      <c r="Q3106" s="113" t="n"/>
      <c r="R3106" s="113" t="n"/>
      <c r="S3106" s="113" t="n"/>
      <c r="T3106" s="113" t="n"/>
      <c r="U3106" s="113" t="n"/>
      <c r="V3106" s="113" t="n"/>
      <c r="W3106" s="113" t="n"/>
      <c r="X3106" s="113" t="n"/>
      <c r="Y3106" s="113" t="n"/>
      <c r="Z3106" s="117">
        <f>IF($B3106="",0,IF($S3106="EVET",IF($D3106="GELİR",$O3106,-$O3106),0))</f>
        <v/>
      </c>
      <c r="AA3106" s="117">
        <f>IF($B3106="",0,IF(OR($W3106="EVET",$X3106="EVET",$Y3106="EVET"),0,IF($D3106="GELİR",IF($E3106="SATIŞ İADESİ/İSKONTO",-$O3106,$O3106),-$O3106)))</f>
        <v/>
      </c>
      <c r="AB3106" s="117">
        <f>IF($B3106="","",IF(OR($D3106="",$E3106="",$O3106=""),"EKSİK",IF($O3106&lt;=0,"SIFIR/NEGATİF",IF(COUNTIFS($C$6:$C$5000,$C3106,$O$6:$O$5000,$O3106,$B$6:$B$5000,$B3106)&gt;1,"MÜKERRER","OK"))))</f>
        <v/>
      </c>
    </row>
    <row r="3107" ht="16.5" customHeight="1" s="80">
      <c r="A3107" s="113" t="n"/>
      <c r="B3107" s="113" t="n"/>
      <c r="C3107" s="113" t="n"/>
      <c r="D3107" s="113" t="n"/>
      <c r="E3107" s="113" t="n"/>
      <c r="F3107" s="113" t="n"/>
      <c r="G3107" s="113" t="n"/>
      <c r="H3107" s="113" t="n"/>
      <c r="I3107" s="113" t="n"/>
      <c r="J3107" s="113" t="n"/>
      <c r="K3107" s="113" t="n"/>
      <c r="L3107" s="113" t="n"/>
      <c r="M3107" s="113" t="n"/>
      <c r="N3107" s="113" t="n"/>
      <c r="O3107" s="113" t="n"/>
      <c r="P3107" s="113" t="n"/>
      <c r="Q3107" s="113" t="n"/>
      <c r="R3107" s="113" t="n"/>
      <c r="S3107" s="113" t="n"/>
      <c r="T3107" s="113" t="n"/>
      <c r="U3107" s="113" t="n"/>
      <c r="V3107" s="113" t="n"/>
      <c r="W3107" s="113" t="n"/>
      <c r="X3107" s="113" t="n"/>
      <c r="Y3107" s="113" t="n"/>
      <c r="Z3107" s="117">
        <f>IF($B3107="",0,IF($S3107="EVET",IF($D3107="GELİR",$O3107,-$O3107),0))</f>
        <v/>
      </c>
      <c r="AA3107" s="117">
        <f>IF($B3107="",0,IF(OR($W3107="EVET",$X3107="EVET",$Y3107="EVET"),0,IF($D3107="GELİR",IF($E3107="SATIŞ İADESİ/İSKONTO",-$O3107,$O3107),-$O3107)))</f>
        <v/>
      </c>
      <c r="AB3107" s="117">
        <f>IF($B3107="","",IF(OR($D3107="",$E3107="",$O3107=""),"EKSİK",IF($O3107&lt;=0,"SIFIR/NEGATİF",IF(COUNTIFS($C$6:$C$5000,$C3107,$O$6:$O$5000,$O3107,$B$6:$B$5000,$B3107)&gt;1,"MÜKERRER","OK"))))</f>
        <v/>
      </c>
    </row>
    <row r="3108" ht="16.5" customHeight="1" s="80">
      <c r="A3108" s="113" t="n"/>
      <c r="B3108" s="113" t="n"/>
      <c r="C3108" s="113" t="n"/>
      <c r="D3108" s="113" t="n"/>
      <c r="E3108" s="113" t="n"/>
      <c r="F3108" s="113" t="n"/>
      <c r="G3108" s="113" t="n"/>
      <c r="H3108" s="113" t="n"/>
      <c r="I3108" s="113" t="n"/>
      <c r="J3108" s="113" t="n"/>
      <c r="K3108" s="113" t="n"/>
      <c r="L3108" s="113" t="n"/>
      <c r="M3108" s="113" t="n"/>
      <c r="N3108" s="113" t="n"/>
      <c r="O3108" s="113" t="n"/>
      <c r="P3108" s="113" t="n"/>
      <c r="Q3108" s="113" t="n"/>
      <c r="R3108" s="113" t="n"/>
      <c r="S3108" s="113" t="n"/>
      <c r="T3108" s="113" t="n"/>
      <c r="U3108" s="113" t="n"/>
      <c r="V3108" s="113" t="n"/>
      <c r="W3108" s="113" t="n"/>
      <c r="X3108" s="113" t="n"/>
      <c r="Y3108" s="113" t="n"/>
      <c r="Z3108" s="117">
        <f>IF($B3108="",0,IF($S3108="EVET",IF($D3108="GELİR",$O3108,-$O3108),0))</f>
        <v/>
      </c>
      <c r="AA3108" s="117">
        <f>IF($B3108="",0,IF(OR($W3108="EVET",$X3108="EVET",$Y3108="EVET"),0,IF($D3108="GELİR",IF($E3108="SATIŞ İADESİ/İSKONTO",-$O3108,$O3108),-$O3108)))</f>
        <v/>
      </c>
      <c r="AB3108" s="117">
        <f>IF($B3108="","",IF(OR($D3108="",$E3108="",$O3108=""),"EKSİK",IF($O3108&lt;=0,"SIFIR/NEGATİF",IF(COUNTIFS($C$6:$C$5000,$C3108,$O$6:$O$5000,$O3108,$B$6:$B$5000,$B3108)&gt;1,"MÜKERRER","OK"))))</f>
        <v/>
      </c>
    </row>
    <row r="3109" ht="16.5" customHeight="1" s="80">
      <c r="A3109" s="113" t="n"/>
      <c r="B3109" s="113" t="n"/>
      <c r="C3109" s="113" t="n"/>
      <c r="D3109" s="113" t="n"/>
      <c r="E3109" s="113" t="n"/>
      <c r="F3109" s="113" t="n"/>
      <c r="G3109" s="113" t="n"/>
      <c r="H3109" s="113" t="n"/>
      <c r="I3109" s="113" t="n"/>
      <c r="J3109" s="113" t="n"/>
      <c r="K3109" s="113" t="n"/>
      <c r="L3109" s="113" t="n"/>
      <c r="M3109" s="113" t="n"/>
      <c r="N3109" s="113" t="n"/>
      <c r="O3109" s="113" t="n"/>
      <c r="P3109" s="113" t="n"/>
      <c r="Q3109" s="113" t="n"/>
      <c r="R3109" s="113" t="n"/>
      <c r="S3109" s="113" t="n"/>
      <c r="T3109" s="113" t="n"/>
      <c r="U3109" s="113" t="n"/>
      <c r="V3109" s="113" t="n"/>
      <c r="W3109" s="113" t="n"/>
      <c r="X3109" s="113" t="n"/>
      <c r="Y3109" s="113" t="n"/>
      <c r="Z3109" s="117">
        <f>IF($B3109="",0,IF($S3109="EVET",IF($D3109="GELİR",$O3109,-$O3109),0))</f>
        <v/>
      </c>
      <c r="AA3109" s="117">
        <f>IF($B3109="",0,IF(OR($W3109="EVET",$X3109="EVET",$Y3109="EVET"),0,IF($D3109="GELİR",IF($E3109="SATIŞ İADESİ/İSKONTO",-$O3109,$O3109),-$O3109)))</f>
        <v/>
      </c>
      <c r="AB3109" s="117">
        <f>IF($B3109="","",IF(OR($D3109="",$E3109="",$O3109=""),"EKSİK",IF($O3109&lt;=0,"SIFIR/NEGATİF",IF(COUNTIFS($C$6:$C$5000,$C3109,$O$6:$O$5000,$O3109,$B$6:$B$5000,$B3109)&gt;1,"MÜKERRER","OK"))))</f>
        <v/>
      </c>
    </row>
    <row r="3110" ht="16.5" customHeight="1" s="80">
      <c r="A3110" s="113" t="n"/>
      <c r="B3110" s="113" t="n"/>
      <c r="C3110" s="113" t="n"/>
      <c r="D3110" s="113" t="n"/>
      <c r="E3110" s="113" t="n"/>
      <c r="F3110" s="113" t="n"/>
      <c r="G3110" s="113" t="n"/>
      <c r="H3110" s="113" t="n"/>
      <c r="I3110" s="113" t="n"/>
      <c r="J3110" s="113" t="n"/>
      <c r="K3110" s="113" t="n"/>
      <c r="L3110" s="113" t="n"/>
      <c r="M3110" s="113" t="n"/>
      <c r="N3110" s="113" t="n"/>
      <c r="O3110" s="113" t="n"/>
      <c r="P3110" s="113" t="n"/>
      <c r="Q3110" s="113" t="n"/>
      <c r="R3110" s="113" t="n"/>
      <c r="S3110" s="113" t="n"/>
      <c r="T3110" s="113" t="n"/>
      <c r="U3110" s="113" t="n"/>
      <c r="V3110" s="113" t="n"/>
      <c r="W3110" s="113" t="n"/>
      <c r="X3110" s="113" t="n"/>
      <c r="Y3110" s="113" t="n"/>
      <c r="Z3110" s="117">
        <f>IF($B3110="",0,IF($S3110="EVET",IF($D3110="GELİR",$O3110,-$O3110),0))</f>
        <v/>
      </c>
      <c r="AA3110" s="117">
        <f>IF($B3110="",0,IF(OR($W3110="EVET",$X3110="EVET",$Y3110="EVET"),0,IF($D3110="GELİR",IF($E3110="SATIŞ İADESİ/İSKONTO",-$O3110,$O3110),-$O3110)))</f>
        <v/>
      </c>
      <c r="AB3110" s="117">
        <f>IF($B3110="","",IF(OR($D3110="",$E3110="",$O3110=""),"EKSİK",IF($O3110&lt;=0,"SIFIR/NEGATİF",IF(COUNTIFS($C$6:$C$5000,$C3110,$O$6:$O$5000,$O3110,$B$6:$B$5000,$B3110)&gt;1,"MÜKERRER","OK"))))</f>
        <v/>
      </c>
    </row>
    <row r="3111" ht="16.5" customHeight="1" s="80">
      <c r="A3111" s="113" t="n"/>
      <c r="B3111" s="113" t="n"/>
      <c r="C3111" s="113" t="n"/>
      <c r="D3111" s="113" t="n"/>
      <c r="E3111" s="113" t="n"/>
      <c r="F3111" s="113" t="n"/>
      <c r="G3111" s="113" t="n"/>
      <c r="H3111" s="113" t="n"/>
      <c r="I3111" s="113" t="n"/>
      <c r="J3111" s="113" t="n"/>
      <c r="K3111" s="113" t="n"/>
      <c r="L3111" s="113" t="n"/>
      <c r="M3111" s="113" t="n"/>
      <c r="N3111" s="113" t="n"/>
      <c r="O3111" s="113" t="n"/>
      <c r="P3111" s="113" t="n"/>
      <c r="Q3111" s="113" t="n"/>
      <c r="R3111" s="113" t="n"/>
      <c r="S3111" s="113" t="n"/>
      <c r="T3111" s="113" t="n"/>
      <c r="U3111" s="113" t="n"/>
      <c r="V3111" s="113" t="n"/>
      <c r="W3111" s="113" t="n"/>
      <c r="X3111" s="113" t="n"/>
      <c r="Y3111" s="113" t="n"/>
      <c r="Z3111" s="117">
        <f>IF($B3111="",0,IF($S3111="EVET",IF($D3111="GELİR",$O3111,-$O3111),0))</f>
        <v/>
      </c>
      <c r="AA3111" s="117">
        <f>IF($B3111="",0,IF(OR($W3111="EVET",$X3111="EVET",$Y3111="EVET"),0,IF($D3111="GELİR",IF($E3111="SATIŞ İADESİ/İSKONTO",-$O3111,$O3111),-$O3111)))</f>
        <v/>
      </c>
      <c r="AB3111" s="117">
        <f>IF($B3111="","",IF(OR($D3111="",$E3111="",$O3111=""),"EKSİK",IF($O3111&lt;=0,"SIFIR/NEGATİF",IF(COUNTIFS($C$6:$C$5000,$C3111,$O$6:$O$5000,$O3111,$B$6:$B$5000,$B3111)&gt;1,"MÜKERRER","OK"))))</f>
        <v/>
      </c>
    </row>
    <row r="3112" ht="16.5" customHeight="1" s="80">
      <c r="A3112" s="113" t="n"/>
      <c r="B3112" s="113" t="n"/>
      <c r="C3112" s="113" t="n"/>
      <c r="D3112" s="113" t="n"/>
      <c r="E3112" s="113" t="n"/>
      <c r="F3112" s="113" t="n"/>
      <c r="G3112" s="113" t="n"/>
      <c r="H3112" s="113" t="n"/>
      <c r="I3112" s="113" t="n"/>
      <c r="J3112" s="113" t="n"/>
      <c r="K3112" s="113" t="n"/>
      <c r="L3112" s="113" t="n"/>
      <c r="M3112" s="113" t="n"/>
      <c r="N3112" s="113" t="n"/>
      <c r="O3112" s="113" t="n"/>
      <c r="P3112" s="113" t="n"/>
      <c r="Q3112" s="113" t="n"/>
      <c r="R3112" s="113" t="n"/>
      <c r="S3112" s="113" t="n"/>
      <c r="T3112" s="113" t="n"/>
      <c r="U3112" s="113" t="n"/>
      <c r="V3112" s="113" t="n"/>
      <c r="W3112" s="113" t="n"/>
      <c r="X3112" s="113" t="n"/>
      <c r="Y3112" s="113" t="n"/>
      <c r="Z3112" s="117">
        <f>IF($B3112="",0,IF($S3112="EVET",IF($D3112="GELİR",$O3112,-$O3112),0))</f>
        <v/>
      </c>
      <c r="AA3112" s="117">
        <f>IF($B3112="",0,IF(OR($W3112="EVET",$X3112="EVET",$Y3112="EVET"),0,IF($D3112="GELİR",IF($E3112="SATIŞ İADESİ/İSKONTO",-$O3112,$O3112),-$O3112)))</f>
        <v/>
      </c>
      <c r="AB3112" s="117">
        <f>IF($B3112="","",IF(OR($D3112="",$E3112="",$O3112=""),"EKSİK",IF($O3112&lt;=0,"SIFIR/NEGATİF",IF(COUNTIFS($C$6:$C$5000,$C3112,$O$6:$O$5000,$O3112,$B$6:$B$5000,$B3112)&gt;1,"MÜKERRER","OK"))))</f>
        <v/>
      </c>
    </row>
    <row r="3113" ht="16.5" customHeight="1" s="80">
      <c r="A3113" s="113" t="n"/>
      <c r="B3113" s="113" t="n"/>
      <c r="C3113" s="113" t="n"/>
      <c r="D3113" s="113" t="n"/>
      <c r="E3113" s="113" t="n"/>
      <c r="F3113" s="113" t="n"/>
      <c r="G3113" s="113" t="n"/>
      <c r="H3113" s="113" t="n"/>
      <c r="I3113" s="113" t="n"/>
      <c r="J3113" s="113" t="n"/>
      <c r="K3113" s="113" t="n"/>
      <c r="L3113" s="113" t="n"/>
      <c r="M3113" s="113" t="n"/>
      <c r="N3113" s="113" t="n"/>
      <c r="O3113" s="113" t="n"/>
      <c r="P3113" s="113" t="n"/>
      <c r="Q3113" s="113" t="n"/>
      <c r="R3113" s="113" t="n"/>
      <c r="S3113" s="113" t="n"/>
      <c r="T3113" s="113" t="n"/>
      <c r="U3113" s="113" t="n"/>
      <c r="V3113" s="113" t="n"/>
      <c r="W3113" s="113" t="n"/>
      <c r="X3113" s="113" t="n"/>
      <c r="Y3113" s="113" t="n"/>
      <c r="Z3113" s="117">
        <f>IF($B3113="",0,IF($S3113="EVET",IF($D3113="GELİR",$O3113,-$O3113),0))</f>
        <v/>
      </c>
      <c r="AA3113" s="117">
        <f>IF($B3113="",0,IF(OR($W3113="EVET",$X3113="EVET",$Y3113="EVET"),0,IF($D3113="GELİR",IF($E3113="SATIŞ İADESİ/İSKONTO",-$O3113,$O3113),-$O3113)))</f>
        <v/>
      </c>
      <c r="AB3113" s="117">
        <f>IF($B3113="","",IF(OR($D3113="",$E3113="",$O3113=""),"EKSİK",IF($O3113&lt;=0,"SIFIR/NEGATİF",IF(COUNTIFS($C$6:$C$5000,$C3113,$O$6:$O$5000,$O3113,$B$6:$B$5000,$B3113)&gt;1,"MÜKERRER","OK"))))</f>
        <v/>
      </c>
    </row>
    <row r="3114" ht="16.5" customHeight="1" s="80">
      <c r="A3114" s="113" t="n"/>
      <c r="B3114" s="113" t="n"/>
      <c r="C3114" s="113" t="n"/>
      <c r="D3114" s="113" t="n"/>
      <c r="E3114" s="113" t="n"/>
      <c r="F3114" s="113" t="n"/>
      <c r="G3114" s="113" t="n"/>
      <c r="H3114" s="113" t="n"/>
      <c r="I3114" s="113" t="n"/>
      <c r="J3114" s="113" t="n"/>
      <c r="K3114" s="113" t="n"/>
      <c r="L3114" s="113" t="n"/>
      <c r="M3114" s="113" t="n"/>
      <c r="N3114" s="113" t="n"/>
      <c r="O3114" s="113" t="n"/>
      <c r="P3114" s="113" t="n"/>
      <c r="Q3114" s="113" t="n"/>
      <c r="R3114" s="113" t="n"/>
      <c r="S3114" s="113" t="n"/>
      <c r="T3114" s="113" t="n"/>
      <c r="U3114" s="113" t="n"/>
      <c r="V3114" s="113" t="n"/>
      <c r="W3114" s="113" t="n"/>
      <c r="X3114" s="113" t="n"/>
      <c r="Y3114" s="113" t="n"/>
      <c r="Z3114" s="117">
        <f>IF($B3114="",0,IF($S3114="EVET",IF($D3114="GELİR",$O3114,-$O3114),0))</f>
        <v/>
      </c>
      <c r="AA3114" s="117">
        <f>IF($B3114="",0,IF(OR($W3114="EVET",$X3114="EVET",$Y3114="EVET"),0,IF($D3114="GELİR",IF($E3114="SATIŞ İADESİ/İSKONTO",-$O3114,$O3114),-$O3114)))</f>
        <v/>
      </c>
      <c r="AB3114" s="117">
        <f>IF($B3114="","",IF(OR($D3114="",$E3114="",$O3114=""),"EKSİK",IF($O3114&lt;=0,"SIFIR/NEGATİF",IF(COUNTIFS($C$6:$C$5000,$C3114,$O$6:$O$5000,$O3114,$B$6:$B$5000,$B3114)&gt;1,"MÜKERRER","OK"))))</f>
        <v/>
      </c>
    </row>
    <row r="3115" ht="16.5" customHeight="1" s="80">
      <c r="A3115" s="113" t="n"/>
      <c r="B3115" s="113" t="n"/>
      <c r="C3115" s="113" t="n"/>
      <c r="D3115" s="113" t="n"/>
      <c r="E3115" s="113" t="n"/>
      <c r="F3115" s="113" t="n"/>
      <c r="G3115" s="113" t="n"/>
      <c r="H3115" s="113" t="n"/>
      <c r="I3115" s="113" t="n"/>
      <c r="J3115" s="113" t="n"/>
      <c r="K3115" s="113" t="n"/>
      <c r="L3115" s="113" t="n"/>
      <c r="M3115" s="113" t="n"/>
      <c r="N3115" s="113" t="n"/>
      <c r="O3115" s="113" t="n"/>
      <c r="P3115" s="113" t="n"/>
      <c r="Q3115" s="113" t="n"/>
      <c r="R3115" s="113" t="n"/>
      <c r="S3115" s="113" t="n"/>
      <c r="T3115" s="113" t="n"/>
      <c r="U3115" s="113" t="n"/>
      <c r="V3115" s="113" t="n"/>
      <c r="W3115" s="113" t="n"/>
      <c r="X3115" s="113" t="n"/>
      <c r="Y3115" s="113" t="n"/>
      <c r="Z3115" s="117">
        <f>IF($B3115="",0,IF($S3115="EVET",IF($D3115="GELİR",$O3115,-$O3115),0))</f>
        <v/>
      </c>
      <c r="AA3115" s="117">
        <f>IF($B3115="",0,IF(OR($W3115="EVET",$X3115="EVET",$Y3115="EVET"),0,IF($D3115="GELİR",IF($E3115="SATIŞ İADESİ/İSKONTO",-$O3115,$O3115),-$O3115)))</f>
        <v/>
      </c>
      <c r="AB3115" s="117">
        <f>IF($B3115="","",IF(OR($D3115="",$E3115="",$O3115=""),"EKSİK",IF($O3115&lt;=0,"SIFIR/NEGATİF",IF(COUNTIFS($C$6:$C$5000,$C3115,$O$6:$O$5000,$O3115,$B$6:$B$5000,$B3115)&gt;1,"MÜKERRER","OK"))))</f>
        <v/>
      </c>
    </row>
    <row r="3116" ht="16.5" customHeight="1" s="80">
      <c r="A3116" s="113" t="n"/>
      <c r="B3116" s="113" t="n"/>
      <c r="C3116" s="113" t="n"/>
      <c r="D3116" s="113" t="n"/>
      <c r="E3116" s="113" t="n"/>
      <c r="F3116" s="113" t="n"/>
      <c r="G3116" s="113" t="n"/>
      <c r="H3116" s="113" t="n"/>
      <c r="I3116" s="113" t="n"/>
      <c r="J3116" s="113" t="n"/>
      <c r="K3116" s="113" t="n"/>
      <c r="L3116" s="113" t="n"/>
      <c r="M3116" s="113" t="n"/>
      <c r="N3116" s="113" t="n"/>
      <c r="O3116" s="113" t="n"/>
      <c r="P3116" s="113" t="n"/>
      <c r="Q3116" s="113" t="n"/>
      <c r="R3116" s="113" t="n"/>
      <c r="S3116" s="113" t="n"/>
      <c r="T3116" s="113" t="n"/>
      <c r="U3116" s="113" t="n"/>
      <c r="V3116" s="113" t="n"/>
      <c r="W3116" s="113" t="n"/>
      <c r="X3116" s="113" t="n"/>
      <c r="Y3116" s="113" t="n"/>
      <c r="Z3116" s="117">
        <f>IF($B3116="",0,IF($S3116="EVET",IF($D3116="GELİR",$O3116,-$O3116),0))</f>
        <v/>
      </c>
      <c r="AA3116" s="117">
        <f>IF($B3116="",0,IF(OR($W3116="EVET",$X3116="EVET",$Y3116="EVET"),0,IF($D3116="GELİR",IF($E3116="SATIŞ İADESİ/İSKONTO",-$O3116,$O3116),-$O3116)))</f>
        <v/>
      </c>
      <c r="AB3116" s="117">
        <f>IF($B3116="","",IF(OR($D3116="",$E3116="",$O3116=""),"EKSİK",IF($O3116&lt;=0,"SIFIR/NEGATİF",IF(COUNTIFS($C$6:$C$5000,$C3116,$O$6:$O$5000,$O3116,$B$6:$B$5000,$B3116)&gt;1,"MÜKERRER","OK"))))</f>
        <v/>
      </c>
    </row>
    <row r="3117" ht="16.5" customHeight="1" s="80">
      <c r="A3117" s="113" t="n"/>
      <c r="B3117" s="113" t="n"/>
      <c r="C3117" s="113" t="n"/>
      <c r="D3117" s="113" t="n"/>
      <c r="E3117" s="113" t="n"/>
      <c r="F3117" s="113" t="n"/>
      <c r="G3117" s="113" t="n"/>
      <c r="H3117" s="113" t="n"/>
      <c r="I3117" s="113" t="n"/>
      <c r="J3117" s="113" t="n"/>
      <c r="K3117" s="113" t="n"/>
      <c r="L3117" s="113" t="n"/>
      <c r="M3117" s="113" t="n"/>
      <c r="N3117" s="113" t="n"/>
      <c r="O3117" s="113" t="n"/>
      <c r="P3117" s="113" t="n"/>
      <c r="Q3117" s="113" t="n"/>
      <c r="R3117" s="113" t="n"/>
      <c r="S3117" s="113" t="n"/>
      <c r="T3117" s="113" t="n"/>
      <c r="U3117" s="113" t="n"/>
      <c r="V3117" s="113" t="n"/>
      <c r="W3117" s="113" t="n"/>
      <c r="X3117" s="113" t="n"/>
      <c r="Y3117" s="113" t="n"/>
      <c r="Z3117" s="117">
        <f>IF($B3117="",0,IF($S3117="EVET",IF($D3117="GELİR",$O3117,-$O3117),0))</f>
        <v/>
      </c>
      <c r="AA3117" s="117">
        <f>IF($B3117="",0,IF(OR($W3117="EVET",$X3117="EVET",$Y3117="EVET"),0,IF($D3117="GELİR",IF($E3117="SATIŞ İADESİ/İSKONTO",-$O3117,$O3117),-$O3117)))</f>
        <v/>
      </c>
      <c r="AB3117" s="117">
        <f>IF($B3117="","",IF(OR($D3117="",$E3117="",$O3117=""),"EKSİK",IF($O3117&lt;=0,"SIFIR/NEGATİF",IF(COUNTIFS($C$6:$C$5000,$C3117,$O$6:$O$5000,$O3117,$B$6:$B$5000,$B3117)&gt;1,"MÜKERRER","OK"))))</f>
        <v/>
      </c>
    </row>
    <row r="3118" ht="16.5" customHeight="1" s="80">
      <c r="A3118" s="113" t="n"/>
      <c r="B3118" s="113" t="n"/>
      <c r="C3118" s="113" t="n"/>
      <c r="D3118" s="113" t="n"/>
      <c r="E3118" s="113" t="n"/>
      <c r="F3118" s="113" t="n"/>
      <c r="G3118" s="113" t="n"/>
      <c r="H3118" s="113" t="n"/>
      <c r="I3118" s="113" t="n"/>
      <c r="J3118" s="113" t="n"/>
      <c r="K3118" s="113" t="n"/>
      <c r="L3118" s="113" t="n"/>
      <c r="M3118" s="113" t="n"/>
      <c r="N3118" s="113" t="n"/>
      <c r="O3118" s="113" t="n"/>
      <c r="P3118" s="113" t="n"/>
      <c r="Q3118" s="113" t="n"/>
      <c r="R3118" s="113" t="n"/>
      <c r="S3118" s="113" t="n"/>
      <c r="T3118" s="113" t="n"/>
      <c r="U3118" s="113" t="n"/>
      <c r="V3118" s="113" t="n"/>
      <c r="W3118" s="113" t="n"/>
      <c r="X3118" s="113" t="n"/>
      <c r="Y3118" s="113" t="n"/>
      <c r="Z3118" s="117">
        <f>IF($B3118="",0,IF($S3118="EVET",IF($D3118="GELİR",$O3118,-$O3118),0))</f>
        <v/>
      </c>
      <c r="AA3118" s="117">
        <f>IF($B3118="",0,IF(OR($W3118="EVET",$X3118="EVET",$Y3118="EVET"),0,IF($D3118="GELİR",IF($E3118="SATIŞ İADESİ/İSKONTO",-$O3118,$O3118),-$O3118)))</f>
        <v/>
      </c>
      <c r="AB3118" s="117">
        <f>IF($B3118="","",IF(OR($D3118="",$E3118="",$O3118=""),"EKSİK",IF($O3118&lt;=0,"SIFIR/NEGATİF",IF(COUNTIFS($C$6:$C$5000,$C3118,$O$6:$O$5000,$O3118,$B$6:$B$5000,$B3118)&gt;1,"MÜKERRER","OK"))))</f>
        <v/>
      </c>
    </row>
    <row r="3119" ht="16.5" customHeight="1" s="80">
      <c r="A3119" s="113" t="n"/>
      <c r="B3119" s="113" t="n"/>
      <c r="C3119" s="113" t="n"/>
      <c r="D3119" s="113" t="n"/>
      <c r="E3119" s="113" t="n"/>
      <c r="F3119" s="113" t="n"/>
      <c r="G3119" s="113" t="n"/>
      <c r="H3119" s="113" t="n"/>
      <c r="I3119" s="113" t="n"/>
      <c r="J3119" s="113" t="n"/>
      <c r="K3119" s="113" t="n"/>
      <c r="L3119" s="113" t="n"/>
      <c r="M3119" s="113" t="n"/>
      <c r="N3119" s="113" t="n"/>
      <c r="O3119" s="113" t="n"/>
      <c r="P3119" s="113" t="n"/>
      <c r="Q3119" s="113" t="n"/>
      <c r="R3119" s="113" t="n"/>
      <c r="S3119" s="113" t="n"/>
      <c r="T3119" s="113" t="n"/>
      <c r="U3119" s="113" t="n"/>
      <c r="V3119" s="113" t="n"/>
      <c r="W3119" s="113" t="n"/>
      <c r="X3119" s="113" t="n"/>
      <c r="Y3119" s="113" t="n"/>
      <c r="Z3119" s="117">
        <f>IF($B3119="",0,IF($S3119="EVET",IF($D3119="GELİR",$O3119,-$O3119),0))</f>
        <v/>
      </c>
      <c r="AA3119" s="117">
        <f>IF($B3119="",0,IF(OR($W3119="EVET",$X3119="EVET",$Y3119="EVET"),0,IF($D3119="GELİR",IF($E3119="SATIŞ İADESİ/İSKONTO",-$O3119,$O3119),-$O3119)))</f>
        <v/>
      </c>
      <c r="AB3119" s="117">
        <f>IF($B3119="","",IF(OR($D3119="",$E3119="",$O3119=""),"EKSİK",IF($O3119&lt;=0,"SIFIR/NEGATİF",IF(COUNTIFS($C$6:$C$5000,$C3119,$O$6:$O$5000,$O3119,$B$6:$B$5000,$B3119)&gt;1,"MÜKERRER","OK"))))</f>
        <v/>
      </c>
    </row>
    <row r="3120" ht="16.5" customHeight="1" s="80">
      <c r="A3120" s="113" t="n"/>
      <c r="B3120" s="113" t="n"/>
      <c r="C3120" s="113" t="n"/>
      <c r="D3120" s="113" t="n"/>
      <c r="E3120" s="113" t="n"/>
      <c r="F3120" s="113" t="n"/>
      <c r="G3120" s="113" t="n"/>
      <c r="H3120" s="113" t="n"/>
      <c r="I3120" s="113" t="n"/>
      <c r="J3120" s="113" t="n"/>
      <c r="K3120" s="113" t="n"/>
      <c r="L3120" s="113" t="n"/>
      <c r="M3120" s="113" t="n"/>
      <c r="N3120" s="113" t="n"/>
      <c r="O3120" s="113" t="n"/>
      <c r="P3120" s="113" t="n"/>
      <c r="Q3120" s="113" t="n"/>
      <c r="R3120" s="113" t="n"/>
      <c r="S3120" s="113" t="n"/>
      <c r="T3120" s="113" t="n"/>
      <c r="U3120" s="113" t="n"/>
      <c r="V3120" s="113" t="n"/>
      <c r="W3120" s="113" t="n"/>
      <c r="X3120" s="113" t="n"/>
      <c r="Y3120" s="113" t="n"/>
      <c r="Z3120" s="117">
        <f>IF($B3120="",0,IF($S3120="EVET",IF($D3120="GELİR",$O3120,-$O3120),0))</f>
        <v/>
      </c>
      <c r="AA3120" s="117">
        <f>IF($B3120="",0,IF(OR($W3120="EVET",$X3120="EVET",$Y3120="EVET"),0,IF($D3120="GELİR",IF($E3120="SATIŞ İADESİ/İSKONTO",-$O3120,$O3120),-$O3120)))</f>
        <v/>
      </c>
      <c r="AB3120" s="117">
        <f>IF($B3120="","",IF(OR($D3120="",$E3120="",$O3120=""),"EKSİK",IF($O3120&lt;=0,"SIFIR/NEGATİF",IF(COUNTIFS($C$6:$C$5000,$C3120,$O$6:$O$5000,$O3120,$B$6:$B$5000,$B3120)&gt;1,"MÜKERRER","OK"))))</f>
        <v/>
      </c>
    </row>
    <row r="3121" ht="16.5" customHeight="1" s="80">
      <c r="A3121" s="113" t="n"/>
      <c r="B3121" s="113" t="n"/>
      <c r="C3121" s="113" t="n"/>
      <c r="D3121" s="113" t="n"/>
      <c r="E3121" s="113" t="n"/>
      <c r="F3121" s="113" t="n"/>
      <c r="G3121" s="113" t="n"/>
      <c r="H3121" s="113" t="n"/>
      <c r="I3121" s="113" t="n"/>
      <c r="J3121" s="113" t="n"/>
      <c r="K3121" s="113" t="n"/>
      <c r="L3121" s="113" t="n"/>
      <c r="M3121" s="113" t="n"/>
      <c r="N3121" s="113" t="n"/>
      <c r="O3121" s="113" t="n"/>
      <c r="P3121" s="113" t="n"/>
      <c r="Q3121" s="113" t="n"/>
      <c r="R3121" s="113" t="n"/>
      <c r="S3121" s="113" t="n"/>
      <c r="T3121" s="113" t="n"/>
      <c r="U3121" s="113" t="n"/>
      <c r="V3121" s="113" t="n"/>
      <c r="W3121" s="113" t="n"/>
      <c r="X3121" s="113" t="n"/>
      <c r="Y3121" s="113" t="n"/>
      <c r="Z3121" s="117">
        <f>IF($B3121="",0,IF($S3121="EVET",IF($D3121="GELİR",$O3121,-$O3121),0))</f>
        <v/>
      </c>
      <c r="AA3121" s="117">
        <f>IF($B3121="",0,IF(OR($W3121="EVET",$X3121="EVET",$Y3121="EVET"),0,IF($D3121="GELİR",IF($E3121="SATIŞ İADESİ/İSKONTO",-$O3121,$O3121),-$O3121)))</f>
        <v/>
      </c>
      <c r="AB3121" s="117">
        <f>IF($B3121="","",IF(OR($D3121="",$E3121="",$O3121=""),"EKSİK",IF($O3121&lt;=0,"SIFIR/NEGATİF",IF(COUNTIFS($C$6:$C$5000,$C3121,$O$6:$O$5000,$O3121,$B$6:$B$5000,$B3121)&gt;1,"MÜKERRER","OK"))))</f>
        <v/>
      </c>
    </row>
    <row r="3122" ht="16.5" customHeight="1" s="80">
      <c r="A3122" s="113" t="n"/>
      <c r="B3122" s="113" t="n"/>
      <c r="C3122" s="113" t="n"/>
      <c r="D3122" s="113" t="n"/>
      <c r="E3122" s="113" t="n"/>
      <c r="F3122" s="113" t="n"/>
      <c r="G3122" s="113" t="n"/>
      <c r="H3122" s="113" t="n"/>
      <c r="I3122" s="113" t="n"/>
      <c r="J3122" s="113" t="n"/>
      <c r="K3122" s="113" t="n"/>
      <c r="L3122" s="113" t="n"/>
      <c r="M3122" s="113" t="n"/>
      <c r="N3122" s="113" t="n"/>
      <c r="O3122" s="113" t="n"/>
      <c r="P3122" s="113" t="n"/>
      <c r="Q3122" s="113" t="n"/>
      <c r="R3122" s="113" t="n"/>
      <c r="S3122" s="113" t="n"/>
      <c r="T3122" s="113" t="n"/>
      <c r="U3122" s="113" t="n"/>
      <c r="V3122" s="113" t="n"/>
      <c r="W3122" s="113" t="n"/>
      <c r="X3122" s="113" t="n"/>
      <c r="Y3122" s="113" t="n"/>
      <c r="Z3122" s="117">
        <f>IF($B3122="",0,IF($S3122="EVET",IF($D3122="GELİR",$O3122,-$O3122),0))</f>
        <v/>
      </c>
      <c r="AA3122" s="117">
        <f>IF($B3122="",0,IF(OR($W3122="EVET",$X3122="EVET",$Y3122="EVET"),0,IF($D3122="GELİR",IF($E3122="SATIŞ İADESİ/İSKONTO",-$O3122,$O3122),-$O3122)))</f>
        <v/>
      </c>
      <c r="AB3122" s="117">
        <f>IF($B3122="","",IF(OR($D3122="",$E3122="",$O3122=""),"EKSİK",IF($O3122&lt;=0,"SIFIR/NEGATİF",IF(COUNTIFS($C$6:$C$5000,$C3122,$O$6:$O$5000,$O3122,$B$6:$B$5000,$B3122)&gt;1,"MÜKERRER","OK"))))</f>
        <v/>
      </c>
    </row>
    <row r="3123" ht="16.5" customHeight="1" s="80">
      <c r="A3123" s="113" t="n"/>
      <c r="B3123" s="113" t="n"/>
      <c r="C3123" s="113" t="n"/>
      <c r="D3123" s="113" t="n"/>
      <c r="E3123" s="113" t="n"/>
      <c r="F3123" s="113" t="n"/>
      <c r="G3123" s="113" t="n"/>
      <c r="H3123" s="113" t="n"/>
      <c r="I3123" s="113" t="n"/>
      <c r="J3123" s="113" t="n"/>
      <c r="K3123" s="113" t="n"/>
      <c r="L3123" s="113" t="n"/>
      <c r="M3123" s="113" t="n"/>
      <c r="N3123" s="113" t="n"/>
      <c r="O3123" s="113" t="n"/>
      <c r="P3123" s="113" t="n"/>
      <c r="Q3123" s="113" t="n"/>
      <c r="R3123" s="113" t="n"/>
      <c r="S3123" s="113" t="n"/>
      <c r="T3123" s="113" t="n"/>
      <c r="U3123" s="113" t="n"/>
      <c r="V3123" s="113" t="n"/>
      <c r="W3123" s="113" t="n"/>
      <c r="X3123" s="113" t="n"/>
      <c r="Y3123" s="113" t="n"/>
      <c r="Z3123" s="117">
        <f>IF($B3123="",0,IF($S3123="EVET",IF($D3123="GELİR",$O3123,-$O3123),0))</f>
        <v/>
      </c>
      <c r="AA3123" s="117">
        <f>IF($B3123="",0,IF(OR($W3123="EVET",$X3123="EVET",$Y3123="EVET"),0,IF($D3123="GELİR",IF($E3123="SATIŞ İADESİ/İSKONTO",-$O3123,$O3123),-$O3123)))</f>
        <v/>
      </c>
      <c r="AB3123" s="117">
        <f>IF($B3123="","",IF(OR($D3123="",$E3123="",$O3123=""),"EKSİK",IF($O3123&lt;=0,"SIFIR/NEGATİF",IF(COUNTIFS($C$6:$C$5000,$C3123,$O$6:$O$5000,$O3123,$B$6:$B$5000,$B3123)&gt;1,"MÜKERRER","OK"))))</f>
        <v/>
      </c>
    </row>
    <row r="3124" ht="16.5" customHeight="1" s="80">
      <c r="A3124" s="113" t="n"/>
      <c r="B3124" s="113" t="n"/>
      <c r="C3124" s="113" t="n"/>
      <c r="D3124" s="113" t="n"/>
      <c r="E3124" s="113" t="n"/>
      <c r="F3124" s="113" t="n"/>
      <c r="G3124" s="113" t="n"/>
      <c r="H3124" s="113" t="n"/>
      <c r="I3124" s="113" t="n"/>
      <c r="J3124" s="113" t="n"/>
      <c r="K3124" s="113" t="n"/>
      <c r="L3124" s="113" t="n"/>
      <c r="M3124" s="113" t="n"/>
      <c r="N3124" s="113" t="n"/>
      <c r="O3124" s="113" t="n"/>
      <c r="P3124" s="113" t="n"/>
      <c r="Q3124" s="113" t="n"/>
      <c r="R3124" s="113" t="n"/>
      <c r="S3124" s="113" t="n"/>
      <c r="T3124" s="113" t="n"/>
      <c r="U3124" s="113" t="n"/>
      <c r="V3124" s="113" t="n"/>
      <c r="W3124" s="113" t="n"/>
      <c r="X3124" s="113" t="n"/>
      <c r="Y3124" s="113" t="n"/>
      <c r="Z3124" s="117">
        <f>IF($B3124="",0,IF($S3124="EVET",IF($D3124="GELİR",$O3124,-$O3124),0))</f>
        <v/>
      </c>
      <c r="AA3124" s="117">
        <f>IF($B3124="",0,IF(OR($W3124="EVET",$X3124="EVET",$Y3124="EVET"),0,IF($D3124="GELİR",IF($E3124="SATIŞ İADESİ/İSKONTO",-$O3124,$O3124),-$O3124)))</f>
        <v/>
      </c>
      <c r="AB3124" s="117">
        <f>IF($B3124="","",IF(OR($D3124="",$E3124="",$O3124=""),"EKSİK",IF($O3124&lt;=0,"SIFIR/NEGATİF",IF(COUNTIFS($C$6:$C$5000,$C3124,$O$6:$O$5000,$O3124,$B$6:$B$5000,$B3124)&gt;1,"MÜKERRER","OK"))))</f>
        <v/>
      </c>
    </row>
    <row r="3125" ht="16.5" customHeight="1" s="80">
      <c r="A3125" s="113" t="n"/>
      <c r="B3125" s="113" t="n"/>
      <c r="C3125" s="113" t="n"/>
      <c r="D3125" s="113" t="n"/>
      <c r="E3125" s="113" t="n"/>
      <c r="F3125" s="113" t="n"/>
      <c r="G3125" s="113" t="n"/>
      <c r="H3125" s="113" t="n"/>
      <c r="I3125" s="113" t="n"/>
      <c r="J3125" s="113" t="n"/>
      <c r="K3125" s="113" t="n"/>
      <c r="L3125" s="113" t="n"/>
      <c r="M3125" s="113" t="n"/>
      <c r="N3125" s="113" t="n"/>
      <c r="O3125" s="113" t="n"/>
      <c r="P3125" s="113" t="n"/>
      <c r="Q3125" s="113" t="n"/>
      <c r="R3125" s="113" t="n"/>
      <c r="S3125" s="113" t="n"/>
      <c r="T3125" s="113" t="n"/>
      <c r="U3125" s="113" t="n"/>
      <c r="V3125" s="113" t="n"/>
      <c r="W3125" s="113" t="n"/>
      <c r="X3125" s="113" t="n"/>
      <c r="Y3125" s="113" t="n"/>
      <c r="Z3125" s="117">
        <f>IF($B3125="",0,IF($S3125="EVET",IF($D3125="GELİR",$O3125,-$O3125),0))</f>
        <v/>
      </c>
      <c r="AA3125" s="117">
        <f>IF($B3125="",0,IF(OR($W3125="EVET",$X3125="EVET",$Y3125="EVET"),0,IF($D3125="GELİR",IF($E3125="SATIŞ İADESİ/İSKONTO",-$O3125,$O3125),-$O3125)))</f>
        <v/>
      </c>
      <c r="AB3125" s="117">
        <f>IF($B3125="","",IF(OR($D3125="",$E3125="",$O3125=""),"EKSİK",IF($O3125&lt;=0,"SIFIR/NEGATİF",IF(COUNTIFS($C$6:$C$5000,$C3125,$O$6:$O$5000,$O3125,$B$6:$B$5000,$B3125)&gt;1,"MÜKERRER","OK"))))</f>
        <v/>
      </c>
    </row>
    <row r="3126" ht="16.5" customHeight="1" s="80">
      <c r="A3126" s="113" t="n"/>
      <c r="B3126" s="113" t="n"/>
      <c r="C3126" s="113" t="n"/>
      <c r="D3126" s="113" t="n"/>
      <c r="E3126" s="113" t="n"/>
      <c r="F3126" s="113" t="n"/>
      <c r="G3126" s="113" t="n"/>
      <c r="H3126" s="113" t="n"/>
      <c r="I3126" s="113" t="n"/>
      <c r="J3126" s="113" t="n"/>
      <c r="K3126" s="113" t="n"/>
      <c r="L3126" s="113" t="n"/>
      <c r="M3126" s="113" t="n"/>
      <c r="N3126" s="113" t="n"/>
      <c r="O3126" s="113" t="n"/>
      <c r="P3126" s="113" t="n"/>
      <c r="Q3126" s="113" t="n"/>
      <c r="R3126" s="113" t="n"/>
      <c r="S3126" s="113" t="n"/>
      <c r="T3126" s="113" t="n"/>
      <c r="U3126" s="113" t="n"/>
      <c r="V3126" s="113" t="n"/>
      <c r="W3126" s="113" t="n"/>
      <c r="X3126" s="113" t="n"/>
      <c r="Y3126" s="113" t="n"/>
      <c r="Z3126" s="117">
        <f>IF($B3126="",0,IF($S3126="EVET",IF($D3126="GELİR",$O3126,-$O3126),0))</f>
        <v/>
      </c>
      <c r="AA3126" s="117">
        <f>IF($B3126="",0,IF(OR($W3126="EVET",$X3126="EVET",$Y3126="EVET"),0,IF($D3126="GELİR",IF($E3126="SATIŞ İADESİ/İSKONTO",-$O3126,$O3126),-$O3126)))</f>
        <v/>
      </c>
      <c r="AB3126" s="117">
        <f>IF($B3126="","",IF(OR($D3126="",$E3126="",$O3126=""),"EKSİK",IF($O3126&lt;=0,"SIFIR/NEGATİF",IF(COUNTIFS($C$6:$C$5000,$C3126,$O$6:$O$5000,$O3126,$B$6:$B$5000,$B3126)&gt;1,"MÜKERRER","OK"))))</f>
        <v/>
      </c>
    </row>
    <row r="3127" ht="16.5" customHeight="1" s="80">
      <c r="A3127" s="113" t="n"/>
      <c r="B3127" s="113" t="n"/>
      <c r="C3127" s="113" t="n"/>
      <c r="D3127" s="113" t="n"/>
      <c r="E3127" s="113" t="n"/>
      <c r="F3127" s="113" t="n"/>
      <c r="G3127" s="113" t="n"/>
      <c r="H3127" s="113" t="n"/>
      <c r="I3127" s="113" t="n"/>
      <c r="J3127" s="113" t="n"/>
      <c r="K3127" s="113" t="n"/>
      <c r="L3127" s="113" t="n"/>
      <c r="M3127" s="113" t="n"/>
      <c r="N3127" s="113" t="n"/>
      <c r="O3127" s="113" t="n"/>
      <c r="P3127" s="113" t="n"/>
      <c r="Q3127" s="113" t="n"/>
      <c r="R3127" s="113" t="n"/>
      <c r="S3127" s="113" t="n"/>
      <c r="T3127" s="113" t="n"/>
      <c r="U3127" s="113" t="n"/>
      <c r="V3127" s="113" t="n"/>
      <c r="W3127" s="113" t="n"/>
      <c r="X3127" s="113" t="n"/>
      <c r="Y3127" s="113" t="n"/>
      <c r="Z3127" s="117">
        <f>IF($B3127="",0,IF($S3127="EVET",IF($D3127="GELİR",$O3127,-$O3127),0))</f>
        <v/>
      </c>
      <c r="AA3127" s="117">
        <f>IF($B3127="",0,IF(OR($W3127="EVET",$X3127="EVET",$Y3127="EVET"),0,IF($D3127="GELİR",IF($E3127="SATIŞ İADESİ/İSKONTO",-$O3127,$O3127),-$O3127)))</f>
        <v/>
      </c>
      <c r="AB3127" s="117">
        <f>IF($B3127="","",IF(OR($D3127="",$E3127="",$O3127=""),"EKSİK",IF($O3127&lt;=0,"SIFIR/NEGATİF",IF(COUNTIFS($C$6:$C$5000,$C3127,$O$6:$O$5000,$O3127,$B$6:$B$5000,$B3127)&gt;1,"MÜKERRER","OK"))))</f>
        <v/>
      </c>
    </row>
    <row r="3128" ht="16.5" customHeight="1" s="80">
      <c r="A3128" s="113" t="n"/>
      <c r="B3128" s="113" t="n"/>
      <c r="C3128" s="113" t="n"/>
      <c r="D3128" s="113" t="n"/>
      <c r="E3128" s="113" t="n"/>
      <c r="F3128" s="113" t="n"/>
      <c r="G3128" s="113" t="n"/>
      <c r="H3128" s="113" t="n"/>
      <c r="I3128" s="113" t="n"/>
      <c r="J3128" s="113" t="n"/>
      <c r="K3128" s="113" t="n"/>
      <c r="L3128" s="113" t="n"/>
      <c r="M3128" s="113" t="n"/>
      <c r="N3128" s="113" t="n"/>
      <c r="O3128" s="113" t="n"/>
      <c r="P3128" s="113" t="n"/>
      <c r="Q3128" s="113" t="n"/>
      <c r="R3128" s="113" t="n"/>
      <c r="S3128" s="113" t="n"/>
      <c r="T3128" s="113" t="n"/>
      <c r="U3128" s="113" t="n"/>
      <c r="V3128" s="113" t="n"/>
      <c r="W3128" s="113" t="n"/>
      <c r="X3128" s="113" t="n"/>
      <c r="Y3128" s="113" t="n"/>
      <c r="Z3128" s="117">
        <f>IF($B3128="",0,IF($S3128="EVET",IF($D3128="GELİR",$O3128,-$O3128),0))</f>
        <v/>
      </c>
      <c r="AA3128" s="117">
        <f>IF($B3128="",0,IF(OR($W3128="EVET",$X3128="EVET",$Y3128="EVET"),0,IF($D3128="GELİR",IF($E3128="SATIŞ İADESİ/İSKONTO",-$O3128,$O3128),-$O3128)))</f>
        <v/>
      </c>
      <c r="AB3128" s="117">
        <f>IF($B3128="","",IF(OR($D3128="",$E3128="",$O3128=""),"EKSİK",IF($O3128&lt;=0,"SIFIR/NEGATİF",IF(COUNTIFS($C$6:$C$5000,$C3128,$O$6:$O$5000,$O3128,$B$6:$B$5000,$B3128)&gt;1,"MÜKERRER","OK"))))</f>
        <v/>
      </c>
    </row>
    <row r="3129" ht="16.5" customHeight="1" s="80">
      <c r="A3129" s="113" t="n"/>
      <c r="B3129" s="113" t="n"/>
      <c r="C3129" s="113" t="n"/>
      <c r="D3129" s="113" t="n"/>
      <c r="E3129" s="113" t="n"/>
      <c r="F3129" s="113" t="n"/>
      <c r="G3129" s="113" t="n"/>
      <c r="H3129" s="113" t="n"/>
      <c r="I3129" s="113" t="n"/>
      <c r="J3129" s="113" t="n"/>
      <c r="K3129" s="113" t="n"/>
      <c r="L3129" s="113" t="n"/>
      <c r="M3129" s="113" t="n"/>
      <c r="N3129" s="113" t="n"/>
      <c r="O3129" s="113" t="n"/>
      <c r="P3129" s="113" t="n"/>
      <c r="Q3129" s="113" t="n"/>
      <c r="R3129" s="113" t="n"/>
      <c r="S3129" s="113" t="n"/>
      <c r="T3129" s="113" t="n"/>
      <c r="U3129" s="113" t="n"/>
      <c r="V3129" s="113" t="n"/>
      <c r="W3129" s="113" t="n"/>
      <c r="X3129" s="113" t="n"/>
      <c r="Y3129" s="113" t="n"/>
      <c r="Z3129" s="117">
        <f>IF($B3129="",0,IF($S3129="EVET",IF($D3129="GELİR",$O3129,-$O3129),0))</f>
        <v/>
      </c>
      <c r="AA3129" s="117">
        <f>IF($B3129="",0,IF(OR($W3129="EVET",$X3129="EVET",$Y3129="EVET"),0,IF($D3129="GELİR",IF($E3129="SATIŞ İADESİ/İSKONTO",-$O3129,$O3129),-$O3129)))</f>
        <v/>
      </c>
      <c r="AB3129" s="117">
        <f>IF($B3129="","",IF(OR($D3129="",$E3129="",$O3129=""),"EKSİK",IF($O3129&lt;=0,"SIFIR/NEGATİF",IF(COUNTIFS($C$6:$C$5000,$C3129,$O$6:$O$5000,$O3129,$B$6:$B$5000,$B3129)&gt;1,"MÜKERRER","OK"))))</f>
        <v/>
      </c>
    </row>
    <row r="3130" ht="16.5" customHeight="1" s="80">
      <c r="A3130" s="113" t="n"/>
      <c r="B3130" s="113" t="n"/>
      <c r="C3130" s="113" t="n"/>
      <c r="D3130" s="113" t="n"/>
      <c r="E3130" s="113" t="n"/>
      <c r="F3130" s="113" t="n"/>
      <c r="G3130" s="113" t="n"/>
      <c r="H3130" s="113" t="n"/>
      <c r="I3130" s="113" t="n"/>
      <c r="J3130" s="113" t="n"/>
      <c r="K3130" s="113" t="n"/>
      <c r="L3130" s="113" t="n"/>
      <c r="M3130" s="113" t="n"/>
      <c r="N3130" s="113" t="n"/>
      <c r="O3130" s="113" t="n"/>
      <c r="P3130" s="113" t="n"/>
      <c r="Q3130" s="113" t="n"/>
      <c r="R3130" s="113" t="n"/>
      <c r="S3130" s="113" t="n"/>
      <c r="T3130" s="113" t="n"/>
      <c r="U3130" s="113" t="n"/>
      <c r="V3130" s="113" t="n"/>
      <c r="W3130" s="113" t="n"/>
      <c r="X3130" s="113" t="n"/>
      <c r="Y3130" s="113" t="n"/>
      <c r="Z3130" s="117">
        <f>IF($B3130="",0,IF($S3130="EVET",IF($D3130="GELİR",$O3130,-$O3130),0))</f>
        <v/>
      </c>
      <c r="AA3130" s="117">
        <f>IF($B3130="",0,IF(OR($W3130="EVET",$X3130="EVET",$Y3130="EVET"),0,IF($D3130="GELİR",IF($E3130="SATIŞ İADESİ/İSKONTO",-$O3130,$O3130),-$O3130)))</f>
        <v/>
      </c>
      <c r="AB3130" s="117">
        <f>IF($B3130="","",IF(OR($D3130="",$E3130="",$O3130=""),"EKSİK",IF($O3130&lt;=0,"SIFIR/NEGATİF",IF(COUNTIFS($C$6:$C$5000,$C3130,$O$6:$O$5000,$O3130,$B$6:$B$5000,$B3130)&gt;1,"MÜKERRER","OK"))))</f>
        <v/>
      </c>
    </row>
    <row r="3131" ht="16.5" customHeight="1" s="80">
      <c r="A3131" s="113" t="n"/>
      <c r="B3131" s="113" t="n"/>
      <c r="C3131" s="113" t="n"/>
      <c r="D3131" s="113" t="n"/>
      <c r="E3131" s="113" t="n"/>
      <c r="F3131" s="113" t="n"/>
      <c r="G3131" s="113" t="n"/>
      <c r="H3131" s="113" t="n"/>
      <c r="I3131" s="113" t="n"/>
      <c r="J3131" s="113" t="n"/>
      <c r="K3131" s="113" t="n"/>
      <c r="L3131" s="113" t="n"/>
      <c r="M3131" s="113" t="n"/>
      <c r="N3131" s="113" t="n"/>
      <c r="O3131" s="113" t="n"/>
      <c r="P3131" s="113" t="n"/>
      <c r="Q3131" s="113" t="n"/>
      <c r="R3131" s="113" t="n"/>
      <c r="S3131" s="113" t="n"/>
      <c r="T3131" s="113" t="n"/>
      <c r="U3131" s="113" t="n"/>
      <c r="V3131" s="113" t="n"/>
      <c r="W3131" s="113" t="n"/>
      <c r="X3131" s="113" t="n"/>
      <c r="Y3131" s="113" t="n"/>
      <c r="Z3131" s="117">
        <f>IF($B3131="",0,IF($S3131="EVET",IF($D3131="GELİR",$O3131,-$O3131),0))</f>
        <v/>
      </c>
      <c r="AA3131" s="117">
        <f>IF($B3131="",0,IF(OR($W3131="EVET",$X3131="EVET",$Y3131="EVET"),0,IF($D3131="GELİR",IF($E3131="SATIŞ İADESİ/İSKONTO",-$O3131,$O3131),-$O3131)))</f>
        <v/>
      </c>
      <c r="AB3131" s="117">
        <f>IF($B3131="","",IF(OR($D3131="",$E3131="",$O3131=""),"EKSİK",IF($O3131&lt;=0,"SIFIR/NEGATİF",IF(COUNTIFS($C$6:$C$5000,$C3131,$O$6:$O$5000,$O3131,$B$6:$B$5000,$B3131)&gt;1,"MÜKERRER","OK"))))</f>
        <v/>
      </c>
    </row>
    <row r="3132" ht="16.5" customHeight="1" s="80">
      <c r="A3132" s="113" t="n"/>
      <c r="B3132" s="113" t="n"/>
      <c r="C3132" s="113" t="n"/>
      <c r="D3132" s="113" t="n"/>
      <c r="E3132" s="113" t="n"/>
      <c r="F3132" s="113" t="n"/>
      <c r="G3132" s="113" t="n"/>
      <c r="H3132" s="113" t="n"/>
      <c r="I3132" s="113" t="n"/>
      <c r="J3132" s="113" t="n"/>
      <c r="K3132" s="113" t="n"/>
      <c r="L3132" s="113" t="n"/>
      <c r="M3132" s="113" t="n"/>
      <c r="N3132" s="113" t="n"/>
      <c r="O3132" s="113" t="n"/>
      <c r="P3132" s="113" t="n"/>
      <c r="Q3132" s="113" t="n"/>
      <c r="R3132" s="113" t="n"/>
      <c r="S3132" s="113" t="n"/>
      <c r="T3132" s="113" t="n"/>
      <c r="U3132" s="113" t="n"/>
      <c r="V3132" s="113" t="n"/>
      <c r="W3132" s="113" t="n"/>
      <c r="X3132" s="113" t="n"/>
      <c r="Y3132" s="113" t="n"/>
      <c r="Z3132" s="117">
        <f>IF($B3132="",0,IF($S3132="EVET",IF($D3132="GELİR",$O3132,-$O3132),0))</f>
        <v/>
      </c>
      <c r="AA3132" s="117">
        <f>IF($B3132="",0,IF(OR($W3132="EVET",$X3132="EVET",$Y3132="EVET"),0,IF($D3132="GELİR",IF($E3132="SATIŞ İADESİ/İSKONTO",-$O3132,$O3132),-$O3132)))</f>
        <v/>
      </c>
      <c r="AB3132" s="117">
        <f>IF($B3132="","",IF(OR($D3132="",$E3132="",$O3132=""),"EKSİK",IF($O3132&lt;=0,"SIFIR/NEGATİF",IF(COUNTIFS($C$6:$C$5000,$C3132,$O$6:$O$5000,$O3132,$B$6:$B$5000,$B3132)&gt;1,"MÜKERRER","OK"))))</f>
        <v/>
      </c>
    </row>
    <row r="3133" ht="16.5" customHeight="1" s="80">
      <c r="A3133" s="113" t="n"/>
      <c r="B3133" s="113" t="n"/>
      <c r="C3133" s="113" t="n"/>
      <c r="D3133" s="113" t="n"/>
      <c r="E3133" s="113" t="n"/>
      <c r="F3133" s="113" t="n"/>
      <c r="G3133" s="113" t="n"/>
      <c r="H3133" s="113" t="n"/>
      <c r="I3133" s="113" t="n"/>
      <c r="J3133" s="113" t="n"/>
      <c r="K3133" s="113" t="n"/>
      <c r="L3133" s="113" t="n"/>
      <c r="M3133" s="113" t="n"/>
      <c r="N3133" s="113" t="n"/>
      <c r="O3133" s="113" t="n"/>
      <c r="P3133" s="113" t="n"/>
      <c r="Q3133" s="113" t="n"/>
      <c r="R3133" s="113" t="n"/>
      <c r="S3133" s="113" t="n"/>
      <c r="T3133" s="113" t="n"/>
      <c r="U3133" s="113" t="n"/>
      <c r="V3133" s="113" t="n"/>
      <c r="W3133" s="113" t="n"/>
      <c r="X3133" s="113" t="n"/>
      <c r="Y3133" s="113" t="n"/>
      <c r="Z3133" s="117">
        <f>IF($B3133="",0,IF($S3133="EVET",IF($D3133="GELİR",$O3133,-$O3133),0))</f>
        <v/>
      </c>
      <c r="AA3133" s="117">
        <f>IF($B3133="",0,IF(OR($W3133="EVET",$X3133="EVET",$Y3133="EVET"),0,IF($D3133="GELİR",IF($E3133="SATIŞ İADESİ/İSKONTO",-$O3133,$O3133),-$O3133)))</f>
        <v/>
      </c>
      <c r="AB3133" s="117">
        <f>IF($B3133="","",IF(OR($D3133="",$E3133="",$O3133=""),"EKSİK",IF($O3133&lt;=0,"SIFIR/NEGATİF",IF(COUNTIFS($C$6:$C$5000,$C3133,$O$6:$O$5000,$O3133,$B$6:$B$5000,$B3133)&gt;1,"MÜKERRER","OK"))))</f>
        <v/>
      </c>
    </row>
    <row r="3134" ht="16.5" customHeight="1" s="80">
      <c r="A3134" s="113" t="n"/>
      <c r="B3134" s="113" t="n"/>
      <c r="C3134" s="113" t="n"/>
      <c r="D3134" s="113" t="n"/>
      <c r="E3134" s="113" t="n"/>
      <c r="F3134" s="113" t="n"/>
      <c r="G3134" s="113" t="n"/>
      <c r="H3134" s="113" t="n"/>
      <c r="I3134" s="113" t="n"/>
      <c r="J3134" s="113" t="n"/>
      <c r="K3134" s="113" t="n"/>
      <c r="L3134" s="113" t="n"/>
      <c r="M3134" s="113" t="n"/>
      <c r="N3134" s="113" t="n"/>
      <c r="O3134" s="113" t="n"/>
      <c r="P3134" s="113" t="n"/>
      <c r="Q3134" s="113" t="n"/>
      <c r="R3134" s="113" t="n"/>
      <c r="S3134" s="113" t="n"/>
      <c r="T3134" s="113" t="n"/>
      <c r="U3134" s="113" t="n"/>
      <c r="V3134" s="113" t="n"/>
      <c r="W3134" s="113" t="n"/>
      <c r="X3134" s="113" t="n"/>
      <c r="Y3134" s="113" t="n"/>
      <c r="Z3134" s="117">
        <f>IF($B3134="",0,IF($S3134="EVET",IF($D3134="GELİR",$O3134,-$O3134),0))</f>
        <v/>
      </c>
      <c r="AA3134" s="117">
        <f>IF($B3134="",0,IF(OR($W3134="EVET",$X3134="EVET",$Y3134="EVET"),0,IF($D3134="GELİR",IF($E3134="SATIŞ İADESİ/İSKONTO",-$O3134,$O3134),-$O3134)))</f>
        <v/>
      </c>
      <c r="AB3134" s="117">
        <f>IF($B3134="","",IF(OR($D3134="",$E3134="",$O3134=""),"EKSİK",IF($O3134&lt;=0,"SIFIR/NEGATİF",IF(COUNTIFS($C$6:$C$5000,$C3134,$O$6:$O$5000,$O3134,$B$6:$B$5000,$B3134)&gt;1,"MÜKERRER","OK"))))</f>
        <v/>
      </c>
    </row>
    <row r="3135" ht="16.5" customHeight="1" s="80">
      <c r="A3135" s="113" t="n"/>
      <c r="B3135" s="113" t="n"/>
      <c r="C3135" s="113" t="n"/>
      <c r="D3135" s="113" t="n"/>
      <c r="E3135" s="113" t="n"/>
      <c r="F3135" s="113" t="n"/>
      <c r="G3135" s="113" t="n"/>
      <c r="H3135" s="113" t="n"/>
      <c r="I3135" s="113" t="n"/>
      <c r="J3135" s="113" t="n"/>
      <c r="K3135" s="113" t="n"/>
      <c r="L3135" s="113" t="n"/>
      <c r="M3135" s="113" t="n"/>
      <c r="N3135" s="113" t="n"/>
      <c r="O3135" s="113" t="n"/>
      <c r="P3135" s="113" t="n"/>
      <c r="Q3135" s="113" t="n"/>
      <c r="R3135" s="113" t="n"/>
      <c r="S3135" s="113" t="n"/>
      <c r="T3135" s="113" t="n"/>
      <c r="U3135" s="113" t="n"/>
      <c r="V3135" s="113" t="n"/>
      <c r="W3135" s="113" t="n"/>
      <c r="X3135" s="113" t="n"/>
      <c r="Y3135" s="113" t="n"/>
      <c r="Z3135" s="117">
        <f>IF($B3135="",0,IF($S3135="EVET",IF($D3135="GELİR",$O3135,-$O3135),0))</f>
        <v/>
      </c>
      <c r="AA3135" s="117">
        <f>IF($B3135="",0,IF(OR($W3135="EVET",$X3135="EVET",$Y3135="EVET"),0,IF($D3135="GELİR",IF($E3135="SATIŞ İADESİ/İSKONTO",-$O3135,$O3135),-$O3135)))</f>
        <v/>
      </c>
      <c r="AB3135" s="117">
        <f>IF($B3135="","",IF(OR($D3135="",$E3135="",$O3135=""),"EKSİK",IF($O3135&lt;=0,"SIFIR/NEGATİF",IF(COUNTIFS($C$6:$C$5000,$C3135,$O$6:$O$5000,$O3135,$B$6:$B$5000,$B3135)&gt;1,"MÜKERRER","OK"))))</f>
        <v/>
      </c>
    </row>
    <row r="3136" ht="16.5" customHeight="1" s="80">
      <c r="A3136" s="113" t="n"/>
      <c r="B3136" s="113" t="n"/>
      <c r="C3136" s="113" t="n"/>
      <c r="D3136" s="113" t="n"/>
      <c r="E3136" s="113" t="n"/>
      <c r="F3136" s="113" t="n"/>
      <c r="G3136" s="113" t="n"/>
      <c r="H3136" s="113" t="n"/>
      <c r="I3136" s="113" t="n"/>
      <c r="J3136" s="113" t="n"/>
      <c r="K3136" s="113" t="n"/>
      <c r="L3136" s="113" t="n"/>
      <c r="M3136" s="113" t="n"/>
      <c r="N3136" s="113" t="n"/>
      <c r="O3136" s="113" t="n"/>
      <c r="P3136" s="113" t="n"/>
      <c r="Q3136" s="113" t="n"/>
      <c r="R3136" s="113" t="n"/>
      <c r="S3136" s="113" t="n"/>
      <c r="T3136" s="113" t="n"/>
      <c r="U3136" s="113" t="n"/>
      <c r="V3136" s="113" t="n"/>
      <c r="W3136" s="113" t="n"/>
      <c r="X3136" s="113" t="n"/>
      <c r="Y3136" s="113" t="n"/>
      <c r="Z3136" s="117">
        <f>IF($B3136="",0,IF($S3136="EVET",IF($D3136="GELİR",$O3136,-$O3136),0))</f>
        <v/>
      </c>
      <c r="AA3136" s="117">
        <f>IF($B3136="",0,IF(OR($W3136="EVET",$X3136="EVET",$Y3136="EVET"),0,IF($D3136="GELİR",IF($E3136="SATIŞ İADESİ/İSKONTO",-$O3136,$O3136),-$O3136)))</f>
        <v/>
      </c>
      <c r="AB3136" s="117">
        <f>IF($B3136="","",IF(OR($D3136="",$E3136="",$O3136=""),"EKSİK",IF($O3136&lt;=0,"SIFIR/NEGATİF",IF(COUNTIFS($C$6:$C$5000,$C3136,$O$6:$O$5000,$O3136,$B$6:$B$5000,$B3136)&gt;1,"MÜKERRER","OK"))))</f>
        <v/>
      </c>
    </row>
    <row r="3137" ht="16.5" customHeight="1" s="80">
      <c r="A3137" s="113" t="n"/>
      <c r="B3137" s="113" t="n"/>
      <c r="C3137" s="113" t="n"/>
      <c r="D3137" s="113" t="n"/>
      <c r="E3137" s="113" t="n"/>
      <c r="F3137" s="113" t="n"/>
      <c r="G3137" s="113" t="n"/>
      <c r="H3137" s="113" t="n"/>
      <c r="I3137" s="113" t="n"/>
      <c r="J3137" s="113" t="n"/>
      <c r="K3137" s="113" t="n"/>
      <c r="L3137" s="113" t="n"/>
      <c r="M3137" s="113" t="n"/>
      <c r="N3137" s="113" t="n"/>
      <c r="O3137" s="113" t="n"/>
      <c r="P3137" s="113" t="n"/>
      <c r="Q3137" s="113" t="n"/>
      <c r="R3137" s="113" t="n"/>
      <c r="S3137" s="113" t="n"/>
      <c r="T3137" s="113" t="n"/>
      <c r="U3137" s="113" t="n"/>
      <c r="V3137" s="113" t="n"/>
      <c r="W3137" s="113" t="n"/>
      <c r="X3137" s="113" t="n"/>
      <c r="Y3137" s="113" t="n"/>
      <c r="Z3137" s="117">
        <f>IF($B3137="",0,IF($S3137="EVET",IF($D3137="GELİR",$O3137,-$O3137),0))</f>
        <v/>
      </c>
      <c r="AA3137" s="117">
        <f>IF($B3137="",0,IF(OR($W3137="EVET",$X3137="EVET",$Y3137="EVET"),0,IF($D3137="GELİR",IF($E3137="SATIŞ İADESİ/İSKONTO",-$O3137,$O3137),-$O3137)))</f>
        <v/>
      </c>
      <c r="AB3137" s="117">
        <f>IF($B3137="","",IF(OR($D3137="",$E3137="",$O3137=""),"EKSİK",IF($O3137&lt;=0,"SIFIR/NEGATİF",IF(COUNTIFS($C$6:$C$5000,$C3137,$O$6:$O$5000,$O3137,$B$6:$B$5000,$B3137)&gt;1,"MÜKERRER","OK"))))</f>
        <v/>
      </c>
    </row>
    <row r="3138" ht="16.5" customHeight="1" s="80">
      <c r="A3138" s="113" t="n"/>
      <c r="B3138" s="113" t="n"/>
      <c r="C3138" s="113" t="n"/>
      <c r="D3138" s="113" t="n"/>
      <c r="E3138" s="113" t="n"/>
      <c r="F3138" s="113" t="n"/>
      <c r="G3138" s="113" t="n"/>
      <c r="H3138" s="113" t="n"/>
      <c r="I3138" s="113" t="n"/>
      <c r="J3138" s="113" t="n"/>
      <c r="K3138" s="113" t="n"/>
      <c r="L3138" s="113" t="n"/>
      <c r="M3138" s="113" t="n"/>
      <c r="N3138" s="113" t="n"/>
      <c r="O3138" s="113" t="n"/>
      <c r="P3138" s="113" t="n"/>
      <c r="Q3138" s="113" t="n"/>
      <c r="R3138" s="113" t="n"/>
      <c r="S3138" s="113" t="n"/>
      <c r="T3138" s="113" t="n"/>
      <c r="U3138" s="113" t="n"/>
      <c r="V3138" s="113" t="n"/>
      <c r="W3138" s="113" t="n"/>
      <c r="X3138" s="113" t="n"/>
      <c r="Y3138" s="113" t="n"/>
      <c r="Z3138" s="117">
        <f>IF($B3138="",0,IF($S3138="EVET",IF($D3138="GELİR",$O3138,-$O3138),0))</f>
        <v/>
      </c>
      <c r="AA3138" s="117">
        <f>IF($B3138="",0,IF(OR($W3138="EVET",$X3138="EVET",$Y3138="EVET"),0,IF($D3138="GELİR",IF($E3138="SATIŞ İADESİ/İSKONTO",-$O3138,$O3138),-$O3138)))</f>
        <v/>
      </c>
      <c r="AB3138" s="117">
        <f>IF($B3138="","",IF(OR($D3138="",$E3138="",$O3138=""),"EKSİK",IF($O3138&lt;=0,"SIFIR/NEGATİF",IF(COUNTIFS($C$6:$C$5000,$C3138,$O$6:$O$5000,$O3138,$B$6:$B$5000,$B3138)&gt;1,"MÜKERRER","OK"))))</f>
        <v/>
      </c>
    </row>
    <row r="3139" ht="16.5" customHeight="1" s="80">
      <c r="A3139" s="113" t="n"/>
      <c r="B3139" s="113" t="n"/>
      <c r="C3139" s="113" t="n"/>
      <c r="D3139" s="113" t="n"/>
      <c r="E3139" s="113" t="n"/>
      <c r="F3139" s="113" t="n"/>
      <c r="G3139" s="113" t="n"/>
      <c r="H3139" s="113" t="n"/>
      <c r="I3139" s="113" t="n"/>
      <c r="J3139" s="113" t="n"/>
      <c r="K3139" s="113" t="n"/>
      <c r="L3139" s="113" t="n"/>
      <c r="M3139" s="113" t="n"/>
      <c r="N3139" s="113" t="n"/>
      <c r="O3139" s="113" t="n"/>
      <c r="P3139" s="113" t="n"/>
      <c r="Q3139" s="113" t="n"/>
      <c r="R3139" s="113" t="n"/>
      <c r="S3139" s="113" t="n"/>
      <c r="T3139" s="113" t="n"/>
      <c r="U3139" s="113" t="n"/>
      <c r="V3139" s="113" t="n"/>
      <c r="W3139" s="113" t="n"/>
      <c r="X3139" s="113" t="n"/>
      <c r="Y3139" s="113" t="n"/>
      <c r="Z3139" s="117">
        <f>IF($B3139="",0,IF($S3139="EVET",IF($D3139="GELİR",$O3139,-$O3139),0))</f>
        <v/>
      </c>
      <c r="AA3139" s="117">
        <f>IF($B3139="",0,IF(OR($W3139="EVET",$X3139="EVET",$Y3139="EVET"),0,IF($D3139="GELİR",IF($E3139="SATIŞ İADESİ/İSKONTO",-$O3139,$O3139),-$O3139)))</f>
        <v/>
      </c>
      <c r="AB3139" s="117">
        <f>IF($B3139="","",IF(OR($D3139="",$E3139="",$O3139=""),"EKSİK",IF($O3139&lt;=0,"SIFIR/NEGATİF",IF(COUNTIFS($C$6:$C$5000,$C3139,$O$6:$O$5000,$O3139,$B$6:$B$5000,$B3139)&gt;1,"MÜKERRER","OK"))))</f>
        <v/>
      </c>
    </row>
    <row r="3140" ht="16.5" customHeight="1" s="80">
      <c r="A3140" s="113" t="n"/>
      <c r="B3140" s="113" t="n"/>
      <c r="C3140" s="113" t="n"/>
      <c r="D3140" s="113" t="n"/>
      <c r="E3140" s="113" t="n"/>
      <c r="F3140" s="113" t="n"/>
      <c r="G3140" s="113" t="n"/>
      <c r="H3140" s="113" t="n"/>
      <c r="I3140" s="113" t="n"/>
      <c r="J3140" s="113" t="n"/>
      <c r="K3140" s="113" t="n"/>
      <c r="L3140" s="113" t="n"/>
      <c r="M3140" s="113" t="n"/>
      <c r="N3140" s="113" t="n"/>
      <c r="O3140" s="113" t="n"/>
      <c r="P3140" s="113" t="n"/>
      <c r="Q3140" s="113" t="n"/>
      <c r="R3140" s="113" t="n"/>
      <c r="S3140" s="113" t="n"/>
      <c r="T3140" s="113" t="n"/>
      <c r="U3140" s="113" t="n"/>
      <c r="V3140" s="113" t="n"/>
      <c r="W3140" s="113" t="n"/>
      <c r="X3140" s="113" t="n"/>
      <c r="Y3140" s="113" t="n"/>
      <c r="Z3140" s="117">
        <f>IF($B3140="",0,IF($S3140="EVET",IF($D3140="GELİR",$O3140,-$O3140),0))</f>
        <v/>
      </c>
      <c r="AA3140" s="117">
        <f>IF($B3140="",0,IF(OR($W3140="EVET",$X3140="EVET",$Y3140="EVET"),0,IF($D3140="GELİR",IF($E3140="SATIŞ İADESİ/İSKONTO",-$O3140,$O3140),-$O3140)))</f>
        <v/>
      </c>
      <c r="AB3140" s="117">
        <f>IF($B3140="","",IF(OR($D3140="",$E3140="",$O3140=""),"EKSİK",IF($O3140&lt;=0,"SIFIR/NEGATİF",IF(COUNTIFS($C$6:$C$5000,$C3140,$O$6:$O$5000,$O3140,$B$6:$B$5000,$B3140)&gt;1,"MÜKERRER","OK"))))</f>
        <v/>
      </c>
    </row>
    <row r="3141" ht="16.5" customHeight="1" s="80">
      <c r="A3141" s="113" t="n"/>
      <c r="B3141" s="113" t="n"/>
      <c r="C3141" s="113" t="n"/>
      <c r="D3141" s="113" t="n"/>
      <c r="E3141" s="113" t="n"/>
      <c r="F3141" s="113" t="n"/>
      <c r="G3141" s="113" t="n"/>
      <c r="H3141" s="113" t="n"/>
      <c r="I3141" s="113" t="n"/>
      <c r="J3141" s="113" t="n"/>
      <c r="K3141" s="113" t="n"/>
      <c r="L3141" s="113" t="n"/>
      <c r="M3141" s="113" t="n"/>
      <c r="N3141" s="113" t="n"/>
      <c r="O3141" s="113" t="n"/>
      <c r="P3141" s="113" t="n"/>
      <c r="Q3141" s="113" t="n"/>
      <c r="R3141" s="113" t="n"/>
      <c r="S3141" s="113" t="n"/>
      <c r="T3141" s="113" t="n"/>
      <c r="U3141" s="113" t="n"/>
      <c r="V3141" s="113" t="n"/>
      <c r="W3141" s="113" t="n"/>
      <c r="X3141" s="113" t="n"/>
      <c r="Y3141" s="113" t="n"/>
      <c r="Z3141" s="117">
        <f>IF($B3141="",0,IF($S3141="EVET",IF($D3141="GELİR",$O3141,-$O3141),0))</f>
        <v/>
      </c>
      <c r="AA3141" s="117">
        <f>IF($B3141="",0,IF(OR($W3141="EVET",$X3141="EVET",$Y3141="EVET"),0,IF($D3141="GELİR",IF($E3141="SATIŞ İADESİ/İSKONTO",-$O3141,$O3141),-$O3141)))</f>
        <v/>
      </c>
      <c r="AB3141" s="117">
        <f>IF($B3141="","",IF(OR($D3141="",$E3141="",$O3141=""),"EKSİK",IF($O3141&lt;=0,"SIFIR/NEGATİF",IF(COUNTIFS($C$6:$C$5000,$C3141,$O$6:$O$5000,$O3141,$B$6:$B$5000,$B3141)&gt;1,"MÜKERRER","OK"))))</f>
        <v/>
      </c>
    </row>
    <row r="3142" ht="16.5" customHeight="1" s="80">
      <c r="A3142" s="113" t="n"/>
      <c r="B3142" s="113" t="n"/>
      <c r="C3142" s="113" t="n"/>
      <c r="D3142" s="113" t="n"/>
      <c r="E3142" s="113" t="n"/>
      <c r="F3142" s="113" t="n"/>
      <c r="G3142" s="113" t="n"/>
      <c r="H3142" s="113" t="n"/>
      <c r="I3142" s="113" t="n"/>
      <c r="J3142" s="113" t="n"/>
      <c r="K3142" s="113" t="n"/>
      <c r="L3142" s="113" t="n"/>
      <c r="M3142" s="113" t="n"/>
      <c r="N3142" s="113" t="n"/>
      <c r="O3142" s="113" t="n"/>
      <c r="P3142" s="113" t="n"/>
      <c r="Q3142" s="113" t="n"/>
      <c r="R3142" s="113" t="n"/>
      <c r="S3142" s="113" t="n"/>
      <c r="T3142" s="113" t="n"/>
      <c r="U3142" s="113" t="n"/>
      <c r="V3142" s="113" t="n"/>
      <c r="W3142" s="113" t="n"/>
      <c r="X3142" s="113" t="n"/>
      <c r="Y3142" s="113" t="n"/>
      <c r="Z3142" s="117">
        <f>IF($B3142="",0,IF($S3142="EVET",IF($D3142="GELİR",$O3142,-$O3142),0))</f>
        <v/>
      </c>
      <c r="AA3142" s="117">
        <f>IF($B3142="",0,IF(OR($W3142="EVET",$X3142="EVET",$Y3142="EVET"),0,IF($D3142="GELİR",IF($E3142="SATIŞ İADESİ/İSKONTO",-$O3142,$O3142),-$O3142)))</f>
        <v/>
      </c>
      <c r="AB3142" s="117">
        <f>IF($B3142="","",IF(OR($D3142="",$E3142="",$O3142=""),"EKSİK",IF($O3142&lt;=0,"SIFIR/NEGATİF",IF(COUNTIFS($C$6:$C$5000,$C3142,$O$6:$O$5000,$O3142,$B$6:$B$5000,$B3142)&gt;1,"MÜKERRER","OK"))))</f>
        <v/>
      </c>
    </row>
    <row r="3143" ht="16.5" customHeight="1" s="80">
      <c r="A3143" s="113" t="n"/>
      <c r="B3143" s="113" t="n"/>
      <c r="C3143" s="113" t="n"/>
      <c r="D3143" s="113" t="n"/>
      <c r="E3143" s="113" t="n"/>
      <c r="F3143" s="113" t="n"/>
      <c r="G3143" s="113" t="n"/>
      <c r="H3143" s="113" t="n"/>
      <c r="I3143" s="113" t="n"/>
      <c r="J3143" s="113" t="n"/>
      <c r="K3143" s="113" t="n"/>
      <c r="L3143" s="113" t="n"/>
      <c r="M3143" s="113" t="n"/>
      <c r="N3143" s="113" t="n"/>
      <c r="O3143" s="113" t="n"/>
      <c r="P3143" s="113" t="n"/>
      <c r="Q3143" s="113" t="n"/>
      <c r="R3143" s="113" t="n"/>
      <c r="S3143" s="113" t="n"/>
      <c r="T3143" s="113" t="n"/>
      <c r="U3143" s="113" t="n"/>
      <c r="V3143" s="113" t="n"/>
      <c r="W3143" s="113" t="n"/>
      <c r="X3143" s="113" t="n"/>
      <c r="Y3143" s="113" t="n"/>
      <c r="Z3143" s="117">
        <f>IF($B3143="",0,IF($S3143="EVET",IF($D3143="GELİR",$O3143,-$O3143),0))</f>
        <v/>
      </c>
      <c r="AA3143" s="117">
        <f>IF($B3143="",0,IF(OR($W3143="EVET",$X3143="EVET",$Y3143="EVET"),0,IF($D3143="GELİR",IF($E3143="SATIŞ İADESİ/İSKONTO",-$O3143,$O3143),-$O3143)))</f>
        <v/>
      </c>
      <c r="AB3143" s="117">
        <f>IF($B3143="","",IF(OR($D3143="",$E3143="",$O3143=""),"EKSİK",IF($O3143&lt;=0,"SIFIR/NEGATİF",IF(COUNTIFS($C$6:$C$5000,$C3143,$O$6:$O$5000,$O3143,$B$6:$B$5000,$B3143)&gt;1,"MÜKERRER","OK"))))</f>
        <v/>
      </c>
    </row>
    <row r="3144" ht="16.5" customHeight="1" s="80">
      <c r="A3144" s="113" t="n"/>
      <c r="B3144" s="113" t="n"/>
      <c r="C3144" s="113" t="n"/>
      <c r="D3144" s="113" t="n"/>
      <c r="E3144" s="113" t="n"/>
      <c r="F3144" s="113" t="n"/>
      <c r="G3144" s="113" t="n"/>
      <c r="H3144" s="113" t="n"/>
      <c r="I3144" s="113" t="n"/>
      <c r="J3144" s="113" t="n"/>
      <c r="K3144" s="113" t="n"/>
      <c r="L3144" s="113" t="n"/>
      <c r="M3144" s="113" t="n"/>
      <c r="N3144" s="113" t="n"/>
      <c r="O3144" s="113" t="n"/>
      <c r="P3144" s="113" t="n"/>
      <c r="Q3144" s="113" t="n"/>
      <c r="R3144" s="113" t="n"/>
      <c r="S3144" s="113" t="n"/>
      <c r="T3144" s="113" t="n"/>
      <c r="U3144" s="113" t="n"/>
      <c r="V3144" s="113" t="n"/>
      <c r="W3144" s="113" t="n"/>
      <c r="X3144" s="113" t="n"/>
      <c r="Y3144" s="113" t="n"/>
      <c r="Z3144" s="117">
        <f>IF($B3144="",0,IF($S3144="EVET",IF($D3144="GELİR",$O3144,-$O3144),0))</f>
        <v/>
      </c>
      <c r="AA3144" s="117">
        <f>IF($B3144="",0,IF(OR($W3144="EVET",$X3144="EVET",$Y3144="EVET"),0,IF($D3144="GELİR",IF($E3144="SATIŞ İADESİ/İSKONTO",-$O3144,$O3144),-$O3144)))</f>
        <v/>
      </c>
      <c r="AB3144" s="117">
        <f>IF($B3144="","",IF(OR($D3144="",$E3144="",$O3144=""),"EKSİK",IF($O3144&lt;=0,"SIFIR/NEGATİF",IF(COUNTIFS($C$6:$C$5000,$C3144,$O$6:$O$5000,$O3144,$B$6:$B$5000,$B3144)&gt;1,"MÜKERRER","OK"))))</f>
        <v/>
      </c>
    </row>
    <row r="3145" ht="16.5" customHeight="1" s="80">
      <c r="A3145" s="113" t="n"/>
      <c r="B3145" s="113" t="n"/>
      <c r="C3145" s="113" t="n"/>
      <c r="D3145" s="113" t="n"/>
      <c r="E3145" s="113" t="n"/>
      <c r="F3145" s="113" t="n"/>
      <c r="G3145" s="113" t="n"/>
      <c r="H3145" s="113" t="n"/>
      <c r="I3145" s="113" t="n"/>
      <c r="J3145" s="113" t="n"/>
      <c r="K3145" s="113" t="n"/>
      <c r="L3145" s="113" t="n"/>
      <c r="M3145" s="113" t="n"/>
      <c r="N3145" s="113" t="n"/>
      <c r="O3145" s="113" t="n"/>
      <c r="P3145" s="113" t="n"/>
      <c r="Q3145" s="113" t="n"/>
      <c r="R3145" s="113" t="n"/>
      <c r="S3145" s="113" t="n"/>
      <c r="T3145" s="113" t="n"/>
      <c r="U3145" s="113" t="n"/>
      <c r="V3145" s="113" t="n"/>
      <c r="W3145" s="113" t="n"/>
      <c r="X3145" s="113" t="n"/>
      <c r="Y3145" s="113" t="n"/>
      <c r="Z3145" s="117">
        <f>IF($B3145="",0,IF($S3145="EVET",IF($D3145="GELİR",$O3145,-$O3145),0))</f>
        <v/>
      </c>
      <c r="AA3145" s="117">
        <f>IF($B3145="",0,IF(OR($W3145="EVET",$X3145="EVET",$Y3145="EVET"),0,IF($D3145="GELİR",IF($E3145="SATIŞ İADESİ/İSKONTO",-$O3145,$O3145),-$O3145)))</f>
        <v/>
      </c>
      <c r="AB3145" s="117">
        <f>IF($B3145="","",IF(OR($D3145="",$E3145="",$O3145=""),"EKSİK",IF($O3145&lt;=0,"SIFIR/NEGATİF",IF(COUNTIFS($C$6:$C$5000,$C3145,$O$6:$O$5000,$O3145,$B$6:$B$5000,$B3145)&gt;1,"MÜKERRER","OK"))))</f>
        <v/>
      </c>
    </row>
    <row r="3146" ht="16.5" customHeight="1" s="80">
      <c r="A3146" s="113" t="n"/>
      <c r="B3146" s="113" t="n"/>
      <c r="C3146" s="113" t="n"/>
      <c r="D3146" s="113" t="n"/>
      <c r="E3146" s="113" t="n"/>
      <c r="F3146" s="113" t="n"/>
      <c r="G3146" s="113" t="n"/>
      <c r="H3146" s="113" t="n"/>
      <c r="I3146" s="113" t="n"/>
      <c r="J3146" s="113" t="n"/>
      <c r="K3146" s="113" t="n"/>
      <c r="L3146" s="113" t="n"/>
      <c r="M3146" s="113" t="n"/>
      <c r="N3146" s="113" t="n"/>
      <c r="O3146" s="113" t="n"/>
      <c r="P3146" s="113" t="n"/>
      <c r="Q3146" s="113" t="n"/>
      <c r="R3146" s="113" t="n"/>
      <c r="S3146" s="113" t="n"/>
      <c r="T3146" s="113" t="n"/>
      <c r="U3146" s="113" t="n"/>
      <c r="V3146" s="113" t="n"/>
      <c r="W3146" s="113" t="n"/>
      <c r="X3146" s="113" t="n"/>
      <c r="Y3146" s="113" t="n"/>
      <c r="Z3146" s="117">
        <f>IF($B3146="",0,IF($S3146="EVET",IF($D3146="GELİR",$O3146,-$O3146),0))</f>
        <v/>
      </c>
      <c r="AA3146" s="117">
        <f>IF($B3146="",0,IF(OR($W3146="EVET",$X3146="EVET",$Y3146="EVET"),0,IF($D3146="GELİR",IF($E3146="SATIŞ İADESİ/İSKONTO",-$O3146,$O3146),-$O3146)))</f>
        <v/>
      </c>
      <c r="AB3146" s="117">
        <f>IF($B3146="","",IF(OR($D3146="",$E3146="",$O3146=""),"EKSİK",IF($O3146&lt;=0,"SIFIR/NEGATİF",IF(COUNTIFS($C$6:$C$5000,$C3146,$O$6:$O$5000,$O3146,$B$6:$B$5000,$B3146)&gt;1,"MÜKERRER","OK"))))</f>
        <v/>
      </c>
    </row>
    <row r="3147" ht="16.5" customHeight="1" s="80">
      <c r="A3147" s="113" t="n"/>
      <c r="B3147" s="113" t="n"/>
      <c r="C3147" s="113" t="n"/>
      <c r="D3147" s="113" t="n"/>
      <c r="E3147" s="113" t="n"/>
      <c r="F3147" s="113" t="n"/>
      <c r="G3147" s="113" t="n"/>
      <c r="H3147" s="113" t="n"/>
      <c r="I3147" s="113" t="n"/>
      <c r="J3147" s="113" t="n"/>
      <c r="K3147" s="113" t="n"/>
      <c r="L3147" s="113" t="n"/>
      <c r="M3147" s="113" t="n"/>
      <c r="N3147" s="113" t="n"/>
      <c r="O3147" s="113" t="n"/>
      <c r="P3147" s="113" t="n"/>
      <c r="Q3147" s="113" t="n"/>
      <c r="R3147" s="113" t="n"/>
      <c r="S3147" s="113" t="n"/>
      <c r="T3147" s="113" t="n"/>
      <c r="U3147" s="113" t="n"/>
      <c r="V3147" s="113" t="n"/>
      <c r="W3147" s="113" t="n"/>
      <c r="X3147" s="113" t="n"/>
      <c r="Y3147" s="113" t="n"/>
      <c r="Z3147" s="117">
        <f>IF($B3147="",0,IF($S3147="EVET",IF($D3147="GELİR",$O3147,-$O3147),0))</f>
        <v/>
      </c>
      <c r="AA3147" s="117">
        <f>IF($B3147="",0,IF(OR($W3147="EVET",$X3147="EVET",$Y3147="EVET"),0,IF($D3147="GELİR",IF($E3147="SATIŞ İADESİ/İSKONTO",-$O3147,$O3147),-$O3147)))</f>
        <v/>
      </c>
      <c r="AB3147" s="117">
        <f>IF($B3147="","",IF(OR($D3147="",$E3147="",$O3147=""),"EKSİK",IF($O3147&lt;=0,"SIFIR/NEGATİF",IF(COUNTIFS($C$6:$C$5000,$C3147,$O$6:$O$5000,$O3147,$B$6:$B$5000,$B3147)&gt;1,"MÜKERRER","OK"))))</f>
        <v/>
      </c>
    </row>
    <row r="3148" ht="16.5" customHeight="1" s="80">
      <c r="A3148" s="113" t="n"/>
      <c r="B3148" s="113" t="n"/>
      <c r="C3148" s="113" t="n"/>
      <c r="D3148" s="113" t="n"/>
      <c r="E3148" s="113" t="n"/>
      <c r="F3148" s="113" t="n"/>
      <c r="G3148" s="113" t="n"/>
      <c r="H3148" s="113" t="n"/>
      <c r="I3148" s="113" t="n"/>
      <c r="J3148" s="113" t="n"/>
      <c r="K3148" s="113" t="n"/>
      <c r="L3148" s="113" t="n"/>
      <c r="M3148" s="113" t="n"/>
      <c r="N3148" s="113" t="n"/>
      <c r="O3148" s="113" t="n"/>
      <c r="P3148" s="113" t="n"/>
      <c r="Q3148" s="113" t="n"/>
      <c r="R3148" s="113" t="n"/>
      <c r="S3148" s="113" t="n"/>
      <c r="T3148" s="113" t="n"/>
      <c r="U3148" s="113" t="n"/>
      <c r="V3148" s="113" t="n"/>
      <c r="W3148" s="113" t="n"/>
      <c r="X3148" s="113" t="n"/>
      <c r="Y3148" s="113" t="n"/>
      <c r="Z3148" s="117">
        <f>IF($B3148="",0,IF($S3148="EVET",IF($D3148="GELİR",$O3148,-$O3148),0))</f>
        <v/>
      </c>
      <c r="AA3148" s="117">
        <f>IF($B3148="",0,IF(OR($W3148="EVET",$X3148="EVET",$Y3148="EVET"),0,IF($D3148="GELİR",IF($E3148="SATIŞ İADESİ/İSKONTO",-$O3148,$O3148),-$O3148)))</f>
        <v/>
      </c>
      <c r="AB3148" s="117">
        <f>IF($B3148="","",IF(OR($D3148="",$E3148="",$O3148=""),"EKSİK",IF($O3148&lt;=0,"SIFIR/NEGATİF",IF(COUNTIFS($C$6:$C$5000,$C3148,$O$6:$O$5000,$O3148,$B$6:$B$5000,$B3148)&gt;1,"MÜKERRER","OK"))))</f>
        <v/>
      </c>
    </row>
    <row r="3149" ht="16.5" customHeight="1" s="80">
      <c r="A3149" s="113" t="n"/>
      <c r="B3149" s="113" t="n"/>
      <c r="C3149" s="113" t="n"/>
      <c r="D3149" s="113" t="n"/>
      <c r="E3149" s="113" t="n"/>
      <c r="F3149" s="113" t="n"/>
      <c r="G3149" s="113" t="n"/>
      <c r="H3149" s="113" t="n"/>
      <c r="I3149" s="113" t="n"/>
      <c r="J3149" s="113" t="n"/>
      <c r="K3149" s="113" t="n"/>
      <c r="L3149" s="113" t="n"/>
      <c r="M3149" s="113" t="n"/>
      <c r="N3149" s="113" t="n"/>
      <c r="O3149" s="113" t="n"/>
      <c r="P3149" s="113" t="n"/>
      <c r="Q3149" s="113" t="n"/>
      <c r="R3149" s="113" t="n"/>
      <c r="S3149" s="113" t="n"/>
      <c r="T3149" s="113" t="n"/>
      <c r="U3149" s="113" t="n"/>
      <c r="V3149" s="113" t="n"/>
      <c r="W3149" s="113" t="n"/>
      <c r="X3149" s="113" t="n"/>
      <c r="Y3149" s="113" t="n"/>
      <c r="Z3149" s="117">
        <f>IF($B3149="",0,IF($S3149="EVET",IF($D3149="GELİR",$O3149,-$O3149),0))</f>
        <v/>
      </c>
      <c r="AA3149" s="117">
        <f>IF($B3149="",0,IF(OR($W3149="EVET",$X3149="EVET",$Y3149="EVET"),0,IF($D3149="GELİR",IF($E3149="SATIŞ İADESİ/İSKONTO",-$O3149,$O3149),-$O3149)))</f>
        <v/>
      </c>
      <c r="AB3149" s="117">
        <f>IF($B3149="","",IF(OR($D3149="",$E3149="",$O3149=""),"EKSİK",IF($O3149&lt;=0,"SIFIR/NEGATİF",IF(COUNTIFS($C$6:$C$5000,$C3149,$O$6:$O$5000,$O3149,$B$6:$B$5000,$B3149)&gt;1,"MÜKERRER","OK"))))</f>
        <v/>
      </c>
    </row>
    <row r="3150" ht="16.5" customHeight="1" s="80">
      <c r="A3150" s="113" t="n"/>
      <c r="B3150" s="113" t="n"/>
      <c r="C3150" s="113" t="n"/>
      <c r="D3150" s="113" t="n"/>
      <c r="E3150" s="113" t="n"/>
      <c r="F3150" s="113" t="n"/>
      <c r="G3150" s="113" t="n"/>
      <c r="H3150" s="113" t="n"/>
      <c r="I3150" s="113" t="n"/>
      <c r="J3150" s="113" t="n"/>
      <c r="K3150" s="113" t="n"/>
      <c r="L3150" s="113" t="n"/>
      <c r="M3150" s="113" t="n"/>
      <c r="N3150" s="113" t="n"/>
      <c r="O3150" s="113" t="n"/>
      <c r="P3150" s="113" t="n"/>
      <c r="Q3150" s="113" t="n"/>
      <c r="R3150" s="113" t="n"/>
      <c r="S3150" s="113" t="n"/>
      <c r="T3150" s="113" t="n"/>
      <c r="U3150" s="113" t="n"/>
      <c r="V3150" s="113" t="n"/>
      <c r="W3150" s="113" t="n"/>
      <c r="X3150" s="113" t="n"/>
      <c r="Y3150" s="113" t="n"/>
      <c r="Z3150" s="117">
        <f>IF($B3150="",0,IF($S3150="EVET",IF($D3150="GELİR",$O3150,-$O3150),0))</f>
        <v/>
      </c>
      <c r="AA3150" s="117">
        <f>IF($B3150="",0,IF(OR($W3150="EVET",$X3150="EVET",$Y3150="EVET"),0,IF($D3150="GELİR",IF($E3150="SATIŞ İADESİ/İSKONTO",-$O3150,$O3150),-$O3150)))</f>
        <v/>
      </c>
      <c r="AB3150" s="117">
        <f>IF($B3150="","",IF(OR($D3150="",$E3150="",$O3150=""),"EKSİK",IF($O3150&lt;=0,"SIFIR/NEGATİF",IF(COUNTIFS($C$6:$C$5000,$C3150,$O$6:$O$5000,$O3150,$B$6:$B$5000,$B3150)&gt;1,"MÜKERRER","OK"))))</f>
        <v/>
      </c>
    </row>
    <row r="3151" ht="16.5" customHeight="1" s="80">
      <c r="A3151" s="113" t="n"/>
      <c r="B3151" s="113" t="n"/>
      <c r="C3151" s="113" t="n"/>
      <c r="D3151" s="113" t="n"/>
      <c r="E3151" s="113" t="n"/>
      <c r="F3151" s="113" t="n"/>
      <c r="G3151" s="113" t="n"/>
      <c r="H3151" s="113" t="n"/>
      <c r="I3151" s="113" t="n"/>
      <c r="J3151" s="113" t="n"/>
      <c r="K3151" s="113" t="n"/>
      <c r="L3151" s="113" t="n"/>
      <c r="M3151" s="113" t="n"/>
      <c r="N3151" s="113" t="n"/>
      <c r="O3151" s="113" t="n"/>
      <c r="P3151" s="113" t="n"/>
      <c r="Q3151" s="113" t="n"/>
      <c r="R3151" s="113" t="n"/>
      <c r="S3151" s="113" t="n"/>
      <c r="T3151" s="113" t="n"/>
      <c r="U3151" s="113" t="n"/>
      <c r="V3151" s="113" t="n"/>
      <c r="W3151" s="113" t="n"/>
      <c r="X3151" s="113" t="n"/>
      <c r="Y3151" s="113" t="n"/>
      <c r="Z3151" s="117">
        <f>IF($B3151="",0,IF($S3151="EVET",IF($D3151="GELİR",$O3151,-$O3151),0))</f>
        <v/>
      </c>
      <c r="AA3151" s="117">
        <f>IF($B3151="",0,IF(OR($W3151="EVET",$X3151="EVET",$Y3151="EVET"),0,IF($D3151="GELİR",IF($E3151="SATIŞ İADESİ/İSKONTO",-$O3151,$O3151),-$O3151)))</f>
        <v/>
      </c>
      <c r="AB3151" s="117">
        <f>IF($B3151="","",IF(OR($D3151="",$E3151="",$O3151=""),"EKSİK",IF($O3151&lt;=0,"SIFIR/NEGATİF",IF(COUNTIFS($C$6:$C$5000,$C3151,$O$6:$O$5000,$O3151,$B$6:$B$5000,$B3151)&gt;1,"MÜKERRER","OK"))))</f>
        <v/>
      </c>
    </row>
    <row r="3152" ht="16.5" customHeight="1" s="80">
      <c r="A3152" s="113" t="n"/>
      <c r="B3152" s="113" t="n"/>
      <c r="C3152" s="113" t="n"/>
      <c r="D3152" s="113" t="n"/>
      <c r="E3152" s="113" t="n"/>
      <c r="F3152" s="113" t="n"/>
      <c r="G3152" s="113" t="n"/>
      <c r="H3152" s="113" t="n"/>
      <c r="I3152" s="113" t="n"/>
      <c r="J3152" s="113" t="n"/>
      <c r="K3152" s="113" t="n"/>
      <c r="L3152" s="113" t="n"/>
      <c r="M3152" s="113" t="n"/>
      <c r="N3152" s="113" t="n"/>
      <c r="O3152" s="113" t="n"/>
      <c r="P3152" s="113" t="n"/>
      <c r="Q3152" s="113" t="n"/>
      <c r="R3152" s="113" t="n"/>
      <c r="S3152" s="113" t="n"/>
      <c r="T3152" s="113" t="n"/>
      <c r="U3152" s="113" t="n"/>
      <c r="V3152" s="113" t="n"/>
      <c r="W3152" s="113" t="n"/>
      <c r="X3152" s="113" t="n"/>
      <c r="Y3152" s="113" t="n"/>
      <c r="Z3152" s="117">
        <f>IF($B3152="",0,IF($S3152="EVET",IF($D3152="GELİR",$O3152,-$O3152),0))</f>
        <v/>
      </c>
      <c r="AA3152" s="117">
        <f>IF($B3152="",0,IF(OR($W3152="EVET",$X3152="EVET",$Y3152="EVET"),0,IF($D3152="GELİR",IF($E3152="SATIŞ İADESİ/İSKONTO",-$O3152,$O3152),-$O3152)))</f>
        <v/>
      </c>
      <c r="AB3152" s="117">
        <f>IF($B3152="","",IF(OR($D3152="",$E3152="",$O3152=""),"EKSİK",IF($O3152&lt;=0,"SIFIR/NEGATİF",IF(COUNTIFS($C$6:$C$5000,$C3152,$O$6:$O$5000,$O3152,$B$6:$B$5000,$B3152)&gt;1,"MÜKERRER","OK"))))</f>
        <v/>
      </c>
    </row>
    <row r="3153" ht="16.5" customHeight="1" s="80">
      <c r="A3153" s="113" t="n"/>
      <c r="B3153" s="113" t="n"/>
      <c r="C3153" s="113" t="n"/>
      <c r="D3153" s="113" t="n"/>
      <c r="E3153" s="113" t="n"/>
      <c r="F3153" s="113" t="n"/>
      <c r="G3153" s="113" t="n"/>
      <c r="H3153" s="113" t="n"/>
      <c r="I3153" s="113" t="n"/>
      <c r="J3153" s="113" t="n"/>
      <c r="K3153" s="113" t="n"/>
      <c r="L3153" s="113" t="n"/>
      <c r="M3153" s="113" t="n"/>
      <c r="N3153" s="113" t="n"/>
      <c r="O3153" s="113" t="n"/>
      <c r="P3153" s="113" t="n"/>
      <c r="Q3153" s="113" t="n"/>
      <c r="R3153" s="113" t="n"/>
      <c r="S3153" s="113" t="n"/>
      <c r="T3153" s="113" t="n"/>
      <c r="U3153" s="113" t="n"/>
      <c r="V3153" s="113" t="n"/>
      <c r="W3153" s="113" t="n"/>
      <c r="X3153" s="113" t="n"/>
      <c r="Y3153" s="113" t="n"/>
      <c r="Z3153" s="117">
        <f>IF($B3153="",0,IF($S3153="EVET",IF($D3153="GELİR",$O3153,-$O3153),0))</f>
        <v/>
      </c>
      <c r="AA3153" s="117">
        <f>IF($B3153="",0,IF(OR($W3153="EVET",$X3153="EVET",$Y3153="EVET"),0,IF($D3153="GELİR",IF($E3153="SATIŞ İADESİ/İSKONTO",-$O3153,$O3153),-$O3153)))</f>
        <v/>
      </c>
      <c r="AB3153" s="117">
        <f>IF($B3153="","",IF(OR($D3153="",$E3153="",$O3153=""),"EKSİK",IF($O3153&lt;=0,"SIFIR/NEGATİF",IF(COUNTIFS($C$6:$C$5000,$C3153,$O$6:$O$5000,$O3153,$B$6:$B$5000,$B3153)&gt;1,"MÜKERRER","OK"))))</f>
        <v/>
      </c>
    </row>
    <row r="3154" ht="16.5" customHeight="1" s="80">
      <c r="A3154" s="113" t="n"/>
      <c r="B3154" s="113" t="n"/>
      <c r="C3154" s="113" t="n"/>
      <c r="D3154" s="113" t="n"/>
      <c r="E3154" s="113" t="n"/>
      <c r="F3154" s="113" t="n"/>
      <c r="G3154" s="113" t="n"/>
      <c r="H3154" s="113" t="n"/>
      <c r="I3154" s="113" t="n"/>
      <c r="J3154" s="113" t="n"/>
      <c r="K3154" s="113" t="n"/>
      <c r="L3154" s="113" t="n"/>
      <c r="M3154" s="113" t="n"/>
      <c r="N3154" s="113" t="n"/>
      <c r="O3154" s="113" t="n"/>
      <c r="P3154" s="113" t="n"/>
      <c r="Q3154" s="113" t="n"/>
      <c r="R3154" s="113" t="n"/>
      <c r="S3154" s="113" t="n"/>
      <c r="T3154" s="113" t="n"/>
      <c r="U3154" s="113" t="n"/>
      <c r="V3154" s="113" t="n"/>
      <c r="W3154" s="113" t="n"/>
      <c r="X3154" s="113" t="n"/>
      <c r="Y3154" s="113" t="n"/>
      <c r="Z3154" s="117">
        <f>IF($B3154="",0,IF($S3154="EVET",IF($D3154="GELİR",$O3154,-$O3154),0))</f>
        <v/>
      </c>
      <c r="AA3154" s="117">
        <f>IF($B3154="",0,IF(OR($W3154="EVET",$X3154="EVET",$Y3154="EVET"),0,IF($D3154="GELİR",IF($E3154="SATIŞ İADESİ/İSKONTO",-$O3154,$O3154),-$O3154)))</f>
        <v/>
      </c>
      <c r="AB3154" s="117">
        <f>IF($B3154="","",IF(OR($D3154="",$E3154="",$O3154=""),"EKSİK",IF($O3154&lt;=0,"SIFIR/NEGATİF",IF(COUNTIFS($C$6:$C$5000,$C3154,$O$6:$O$5000,$O3154,$B$6:$B$5000,$B3154)&gt;1,"MÜKERRER","OK"))))</f>
        <v/>
      </c>
    </row>
    <row r="3155" ht="16.5" customHeight="1" s="80">
      <c r="A3155" s="113" t="n"/>
      <c r="B3155" s="113" t="n"/>
      <c r="C3155" s="113" t="n"/>
      <c r="D3155" s="113" t="n"/>
      <c r="E3155" s="113" t="n"/>
      <c r="F3155" s="113" t="n"/>
      <c r="G3155" s="113" t="n"/>
      <c r="H3155" s="113" t="n"/>
      <c r="I3155" s="113" t="n"/>
      <c r="J3155" s="113" t="n"/>
      <c r="K3155" s="113" t="n"/>
      <c r="L3155" s="113" t="n"/>
      <c r="M3155" s="113" t="n"/>
      <c r="N3155" s="113" t="n"/>
      <c r="O3155" s="113" t="n"/>
      <c r="P3155" s="113" t="n"/>
      <c r="Q3155" s="113" t="n"/>
      <c r="R3155" s="113" t="n"/>
      <c r="S3155" s="113" t="n"/>
      <c r="T3155" s="113" t="n"/>
      <c r="U3155" s="113" t="n"/>
      <c r="V3155" s="113" t="n"/>
      <c r="W3155" s="113" t="n"/>
      <c r="X3155" s="113" t="n"/>
      <c r="Y3155" s="113" t="n"/>
      <c r="Z3155" s="117">
        <f>IF($B3155="",0,IF($S3155="EVET",IF($D3155="GELİR",$O3155,-$O3155),0))</f>
        <v/>
      </c>
      <c r="AA3155" s="117">
        <f>IF($B3155="",0,IF(OR($W3155="EVET",$X3155="EVET",$Y3155="EVET"),0,IF($D3155="GELİR",IF($E3155="SATIŞ İADESİ/İSKONTO",-$O3155,$O3155),-$O3155)))</f>
        <v/>
      </c>
      <c r="AB3155" s="117">
        <f>IF($B3155="","",IF(OR($D3155="",$E3155="",$O3155=""),"EKSİK",IF($O3155&lt;=0,"SIFIR/NEGATİF",IF(COUNTIFS($C$6:$C$5000,$C3155,$O$6:$O$5000,$O3155,$B$6:$B$5000,$B3155)&gt;1,"MÜKERRER","OK"))))</f>
        <v/>
      </c>
    </row>
    <row r="3156" ht="16.5" customHeight="1" s="80">
      <c r="A3156" s="113" t="n"/>
      <c r="B3156" s="113" t="n"/>
      <c r="C3156" s="113" t="n"/>
      <c r="D3156" s="113" t="n"/>
      <c r="E3156" s="113" t="n"/>
      <c r="F3156" s="113" t="n"/>
      <c r="G3156" s="113" t="n"/>
      <c r="H3156" s="113" t="n"/>
      <c r="I3156" s="113" t="n"/>
      <c r="J3156" s="113" t="n"/>
      <c r="K3156" s="113" t="n"/>
      <c r="L3156" s="113" t="n"/>
      <c r="M3156" s="113" t="n"/>
      <c r="N3156" s="113" t="n"/>
      <c r="O3156" s="113" t="n"/>
      <c r="P3156" s="113" t="n"/>
      <c r="Q3156" s="113" t="n"/>
      <c r="R3156" s="113" t="n"/>
      <c r="S3156" s="113" t="n"/>
      <c r="T3156" s="113" t="n"/>
      <c r="U3156" s="113" t="n"/>
      <c r="V3156" s="113" t="n"/>
      <c r="W3156" s="113" t="n"/>
      <c r="X3156" s="113" t="n"/>
      <c r="Y3156" s="113" t="n"/>
      <c r="Z3156" s="117">
        <f>IF($B3156="",0,IF($S3156="EVET",IF($D3156="GELİR",$O3156,-$O3156),0))</f>
        <v/>
      </c>
      <c r="AA3156" s="117">
        <f>IF($B3156="",0,IF(OR($W3156="EVET",$X3156="EVET",$Y3156="EVET"),0,IF($D3156="GELİR",IF($E3156="SATIŞ İADESİ/İSKONTO",-$O3156,$O3156),-$O3156)))</f>
        <v/>
      </c>
      <c r="AB3156" s="117">
        <f>IF($B3156="","",IF(OR($D3156="",$E3156="",$O3156=""),"EKSİK",IF($O3156&lt;=0,"SIFIR/NEGATİF",IF(COUNTIFS($C$6:$C$5000,$C3156,$O$6:$O$5000,$O3156,$B$6:$B$5000,$B3156)&gt;1,"MÜKERRER","OK"))))</f>
        <v/>
      </c>
    </row>
    <row r="3157" ht="16.5" customHeight="1" s="80">
      <c r="A3157" s="113" t="n"/>
      <c r="B3157" s="113" t="n"/>
      <c r="C3157" s="113" t="n"/>
      <c r="D3157" s="113" t="n"/>
      <c r="E3157" s="113" t="n"/>
      <c r="F3157" s="113" t="n"/>
      <c r="G3157" s="113" t="n"/>
      <c r="H3157" s="113" t="n"/>
      <c r="I3157" s="113" t="n"/>
      <c r="J3157" s="113" t="n"/>
      <c r="K3157" s="113" t="n"/>
      <c r="L3157" s="113" t="n"/>
      <c r="M3157" s="113" t="n"/>
      <c r="N3157" s="113" t="n"/>
      <c r="O3157" s="113" t="n"/>
      <c r="P3157" s="113" t="n"/>
      <c r="Q3157" s="113" t="n"/>
      <c r="R3157" s="113" t="n"/>
      <c r="S3157" s="113" t="n"/>
      <c r="T3157" s="113" t="n"/>
      <c r="U3157" s="113" t="n"/>
      <c r="V3157" s="113" t="n"/>
      <c r="W3157" s="113" t="n"/>
      <c r="X3157" s="113" t="n"/>
      <c r="Y3157" s="113" t="n"/>
      <c r="Z3157" s="117">
        <f>IF($B3157="",0,IF($S3157="EVET",IF($D3157="GELİR",$O3157,-$O3157),0))</f>
        <v/>
      </c>
      <c r="AA3157" s="117">
        <f>IF($B3157="",0,IF(OR($W3157="EVET",$X3157="EVET",$Y3157="EVET"),0,IF($D3157="GELİR",IF($E3157="SATIŞ İADESİ/İSKONTO",-$O3157,$O3157),-$O3157)))</f>
        <v/>
      </c>
      <c r="AB3157" s="117">
        <f>IF($B3157="","",IF(OR($D3157="",$E3157="",$O3157=""),"EKSİK",IF($O3157&lt;=0,"SIFIR/NEGATİF",IF(COUNTIFS($C$6:$C$5000,$C3157,$O$6:$O$5000,$O3157,$B$6:$B$5000,$B3157)&gt;1,"MÜKERRER","OK"))))</f>
        <v/>
      </c>
    </row>
    <row r="3158" ht="16.5" customHeight="1" s="80">
      <c r="A3158" s="113" t="n"/>
      <c r="B3158" s="113" t="n"/>
      <c r="C3158" s="113" t="n"/>
      <c r="D3158" s="113" t="n"/>
      <c r="E3158" s="113" t="n"/>
      <c r="F3158" s="113" t="n"/>
      <c r="G3158" s="113" t="n"/>
      <c r="H3158" s="113" t="n"/>
      <c r="I3158" s="113" t="n"/>
      <c r="J3158" s="113" t="n"/>
      <c r="K3158" s="113" t="n"/>
      <c r="L3158" s="113" t="n"/>
      <c r="M3158" s="113" t="n"/>
      <c r="N3158" s="113" t="n"/>
      <c r="O3158" s="113" t="n"/>
      <c r="P3158" s="113" t="n"/>
      <c r="Q3158" s="113" t="n"/>
      <c r="R3158" s="113" t="n"/>
      <c r="S3158" s="113" t="n"/>
      <c r="T3158" s="113" t="n"/>
      <c r="U3158" s="113" t="n"/>
      <c r="V3158" s="113" t="n"/>
      <c r="W3158" s="113" t="n"/>
      <c r="X3158" s="113" t="n"/>
      <c r="Y3158" s="113" t="n"/>
      <c r="Z3158" s="117">
        <f>IF($B3158="",0,IF($S3158="EVET",IF($D3158="GELİR",$O3158,-$O3158),0))</f>
        <v/>
      </c>
      <c r="AA3158" s="117">
        <f>IF($B3158="",0,IF(OR($W3158="EVET",$X3158="EVET",$Y3158="EVET"),0,IF($D3158="GELİR",IF($E3158="SATIŞ İADESİ/İSKONTO",-$O3158,$O3158),-$O3158)))</f>
        <v/>
      </c>
      <c r="AB3158" s="117">
        <f>IF($B3158="","",IF(OR($D3158="",$E3158="",$O3158=""),"EKSİK",IF($O3158&lt;=0,"SIFIR/NEGATİF",IF(COUNTIFS($C$6:$C$5000,$C3158,$O$6:$O$5000,$O3158,$B$6:$B$5000,$B3158)&gt;1,"MÜKERRER","OK"))))</f>
        <v/>
      </c>
    </row>
    <row r="3159" ht="16.5" customHeight="1" s="80">
      <c r="A3159" s="113" t="n"/>
      <c r="B3159" s="113" t="n"/>
      <c r="C3159" s="113" t="n"/>
      <c r="D3159" s="113" t="n"/>
      <c r="E3159" s="113" t="n"/>
      <c r="F3159" s="113" t="n"/>
      <c r="G3159" s="113" t="n"/>
      <c r="H3159" s="113" t="n"/>
      <c r="I3159" s="113" t="n"/>
      <c r="J3159" s="113" t="n"/>
      <c r="K3159" s="113" t="n"/>
      <c r="L3159" s="113" t="n"/>
      <c r="M3159" s="113" t="n"/>
      <c r="N3159" s="113" t="n"/>
      <c r="O3159" s="113" t="n"/>
      <c r="P3159" s="113" t="n"/>
      <c r="Q3159" s="113" t="n"/>
      <c r="R3159" s="113" t="n"/>
      <c r="S3159" s="113" t="n"/>
      <c r="T3159" s="113" t="n"/>
      <c r="U3159" s="113" t="n"/>
      <c r="V3159" s="113" t="n"/>
      <c r="W3159" s="113" t="n"/>
      <c r="X3159" s="113" t="n"/>
      <c r="Y3159" s="113" t="n"/>
      <c r="Z3159" s="117">
        <f>IF($B3159="",0,IF($S3159="EVET",IF($D3159="GELİR",$O3159,-$O3159),0))</f>
        <v/>
      </c>
      <c r="AA3159" s="117">
        <f>IF($B3159="",0,IF(OR($W3159="EVET",$X3159="EVET",$Y3159="EVET"),0,IF($D3159="GELİR",IF($E3159="SATIŞ İADESİ/İSKONTO",-$O3159,$O3159),-$O3159)))</f>
        <v/>
      </c>
      <c r="AB3159" s="117">
        <f>IF($B3159="","",IF(OR($D3159="",$E3159="",$O3159=""),"EKSİK",IF($O3159&lt;=0,"SIFIR/NEGATİF",IF(COUNTIFS($C$6:$C$5000,$C3159,$O$6:$O$5000,$O3159,$B$6:$B$5000,$B3159)&gt;1,"MÜKERRER","OK"))))</f>
        <v/>
      </c>
    </row>
    <row r="3160" ht="16.5" customHeight="1" s="80">
      <c r="A3160" s="113" t="n"/>
      <c r="B3160" s="113" t="n"/>
      <c r="C3160" s="113" t="n"/>
      <c r="D3160" s="113" t="n"/>
      <c r="E3160" s="113" t="n"/>
      <c r="F3160" s="113" t="n"/>
      <c r="G3160" s="113" t="n"/>
      <c r="H3160" s="113" t="n"/>
      <c r="I3160" s="113" t="n"/>
      <c r="J3160" s="113" t="n"/>
      <c r="K3160" s="113" t="n"/>
      <c r="L3160" s="113" t="n"/>
      <c r="M3160" s="113" t="n"/>
      <c r="N3160" s="113" t="n"/>
      <c r="O3160" s="113" t="n"/>
      <c r="P3160" s="113" t="n"/>
      <c r="Q3160" s="113" t="n"/>
      <c r="R3160" s="113" t="n"/>
      <c r="S3160" s="113" t="n"/>
      <c r="T3160" s="113" t="n"/>
      <c r="U3160" s="113" t="n"/>
      <c r="V3160" s="113" t="n"/>
      <c r="W3160" s="113" t="n"/>
      <c r="X3160" s="113" t="n"/>
      <c r="Y3160" s="113" t="n"/>
      <c r="Z3160" s="117">
        <f>IF($B3160="",0,IF($S3160="EVET",IF($D3160="GELİR",$O3160,-$O3160),0))</f>
        <v/>
      </c>
      <c r="AA3160" s="117">
        <f>IF($B3160="",0,IF(OR($W3160="EVET",$X3160="EVET",$Y3160="EVET"),0,IF($D3160="GELİR",IF($E3160="SATIŞ İADESİ/İSKONTO",-$O3160,$O3160),-$O3160)))</f>
        <v/>
      </c>
      <c r="AB3160" s="117">
        <f>IF($B3160="","",IF(OR($D3160="",$E3160="",$O3160=""),"EKSİK",IF($O3160&lt;=0,"SIFIR/NEGATİF",IF(COUNTIFS($C$6:$C$5000,$C3160,$O$6:$O$5000,$O3160,$B$6:$B$5000,$B3160)&gt;1,"MÜKERRER","OK"))))</f>
        <v/>
      </c>
    </row>
    <row r="3161" ht="16.5" customHeight="1" s="80">
      <c r="A3161" s="113" t="n"/>
      <c r="B3161" s="113" t="n"/>
      <c r="C3161" s="113" t="n"/>
      <c r="D3161" s="113" t="n"/>
      <c r="E3161" s="113" t="n"/>
      <c r="F3161" s="113" t="n"/>
      <c r="G3161" s="113" t="n"/>
      <c r="H3161" s="113" t="n"/>
      <c r="I3161" s="113" t="n"/>
      <c r="J3161" s="113" t="n"/>
      <c r="K3161" s="113" t="n"/>
      <c r="L3161" s="113" t="n"/>
      <c r="M3161" s="113" t="n"/>
      <c r="N3161" s="113" t="n"/>
      <c r="O3161" s="113" t="n"/>
      <c r="P3161" s="113" t="n"/>
      <c r="Q3161" s="113" t="n"/>
      <c r="R3161" s="113" t="n"/>
      <c r="S3161" s="113" t="n"/>
      <c r="T3161" s="113" t="n"/>
      <c r="U3161" s="113" t="n"/>
      <c r="V3161" s="113" t="n"/>
      <c r="W3161" s="113" t="n"/>
      <c r="X3161" s="113" t="n"/>
      <c r="Y3161" s="113" t="n"/>
      <c r="Z3161" s="117">
        <f>IF($B3161="",0,IF($S3161="EVET",IF($D3161="GELİR",$O3161,-$O3161),0))</f>
        <v/>
      </c>
      <c r="AA3161" s="117">
        <f>IF($B3161="",0,IF(OR($W3161="EVET",$X3161="EVET",$Y3161="EVET"),0,IF($D3161="GELİR",IF($E3161="SATIŞ İADESİ/İSKONTO",-$O3161,$O3161),-$O3161)))</f>
        <v/>
      </c>
      <c r="AB3161" s="117">
        <f>IF($B3161="","",IF(OR($D3161="",$E3161="",$O3161=""),"EKSİK",IF($O3161&lt;=0,"SIFIR/NEGATİF",IF(COUNTIFS($C$6:$C$5000,$C3161,$O$6:$O$5000,$O3161,$B$6:$B$5000,$B3161)&gt;1,"MÜKERRER","OK"))))</f>
        <v/>
      </c>
    </row>
    <row r="3162" ht="16.5" customHeight="1" s="80">
      <c r="A3162" s="113" t="n"/>
      <c r="B3162" s="113" t="n"/>
      <c r="C3162" s="113" t="n"/>
      <c r="D3162" s="113" t="n"/>
      <c r="E3162" s="113" t="n"/>
      <c r="F3162" s="113" t="n"/>
      <c r="G3162" s="113" t="n"/>
      <c r="H3162" s="113" t="n"/>
      <c r="I3162" s="113" t="n"/>
      <c r="J3162" s="113" t="n"/>
      <c r="K3162" s="113" t="n"/>
      <c r="L3162" s="113" t="n"/>
      <c r="M3162" s="113" t="n"/>
      <c r="N3162" s="113" t="n"/>
      <c r="O3162" s="113" t="n"/>
      <c r="P3162" s="113" t="n"/>
      <c r="Q3162" s="113" t="n"/>
      <c r="R3162" s="113" t="n"/>
      <c r="S3162" s="113" t="n"/>
      <c r="T3162" s="113" t="n"/>
      <c r="U3162" s="113" t="n"/>
      <c r="V3162" s="113" t="n"/>
      <c r="W3162" s="113" t="n"/>
      <c r="X3162" s="113" t="n"/>
      <c r="Y3162" s="113" t="n"/>
      <c r="Z3162" s="117">
        <f>IF($B3162="",0,IF($S3162="EVET",IF($D3162="GELİR",$O3162,-$O3162),0))</f>
        <v/>
      </c>
      <c r="AA3162" s="117">
        <f>IF($B3162="",0,IF(OR($W3162="EVET",$X3162="EVET",$Y3162="EVET"),0,IF($D3162="GELİR",IF($E3162="SATIŞ İADESİ/İSKONTO",-$O3162,$O3162),-$O3162)))</f>
        <v/>
      </c>
      <c r="AB3162" s="117">
        <f>IF($B3162="","",IF(OR($D3162="",$E3162="",$O3162=""),"EKSİK",IF($O3162&lt;=0,"SIFIR/NEGATİF",IF(COUNTIFS($C$6:$C$5000,$C3162,$O$6:$O$5000,$O3162,$B$6:$B$5000,$B3162)&gt;1,"MÜKERRER","OK"))))</f>
        <v/>
      </c>
    </row>
    <row r="3163" ht="16.5" customHeight="1" s="80">
      <c r="A3163" s="113" t="n"/>
      <c r="B3163" s="113" t="n"/>
      <c r="C3163" s="113" t="n"/>
      <c r="D3163" s="113" t="n"/>
      <c r="E3163" s="113" t="n"/>
      <c r="F3163" s="113" t="n"/>
      <c r="G3163" s="113" t="n"/>
      <c r="H3163" s="113" t="n"/>
      <c r="I3163" s="113" t="n"/>
      <c r="J3163" s="113" t="n"/>
      <c r="K3163" s="113" t="n"/>
      <c r="L3163" s="113" t="n"/>
      <c r="M3163" s="113" t="n"/>
      <c r="N3163" s="113" t="n"/>
      <c r="O3163" s="113" t="n"/>
      <c r="P3163" s="113" t="n"/>
      <c r="Q3163" s="113" t="n"/>
      <c r="R3163" s="113" t="n"/>
      <c r="S3163" s="113" t="n"/>
      <c r="T3163" s="113" t="n"/>
      <c r="U3163" s="113" t="n"/>
      <c r="V3163" s="113" t="n"/>
      <c r="W3163" s="113" t="n"/>
      <c r="X3163" s="113" t="n"/>
      <c r="Y3163" s="113" t="n"/>
      <c r="Z3163" s="117">
        <f>IF($B3163="",0,IF($S3163="EVET",IF($D3163="GELİR",$O3163,-$O3163),0))</f>
        <v/>
      </c>
      <c r="AA3163" s="117">
        <f>IF($B3163="",0,IF(OR($W3163="EVET",$X3163="EVET",$Y3163="EVET"),0,IF($D3163="GELİR",IF($E3163="SATIŞ İADESİ/İSKONTO",-$O3163,$O3163),-$O3163)))</f>
        <v/>
      </c>
      <c r="AB3163" s="117">
        <f>IF($B3163="","",IF(OR($D3163="",$E3163="",$O3163=""),"EKSİK",IF($O3163&lt;=0,"SIFIR/NEGATİF",IF(COUNTIFS($C$6:$C$5000,$C3163,$O$6:$O$5000,$O3163,$B$6:$B$5000,$B3163)&gt;1,"MÜKERRER","OK"))))</f>
        <v/>
      </c>
    </row>
    <row r="3164" ht="16.5" customHeight="1" s="80">
      <c r="A3164" s="113" t="n"/>
      <c r="B3164" s="113" t="n"/>
      <c r="C3164" s="113" t="n"/>
      <c r="D3164" s="113" t="n"/>
      <c r="E3164" s="113" t="n"/>
      <c r="F3164" s="113" t="n"/>
      <c r="G3164" s="113" t="n"/>
      <c r="H3164" s="113" t="n"/>
      <c r="I3164" s="113" t="n"/>
      <c r="J3164" s="113" t="n"/>
      <c r="K3164" s="113" t="n"/>
      <c r="L3164" s="113" t="n"/>
      <c r="M3164" s="113" t="n"/>
      <c r="N3164" s="113" t="n"/>
      <c r="O3164" s="113" t="n"/>
      <c r="P3164" s="113" t="n"/>
      <c r="Q3164" s="113" t="n"/>
      <c r="R3164" s="113" t="n"/>
      <c r="S3164" s="113" t="n"/>
      <c r="T3164" s="113" t="n"/>
      <c r="U3164" s="113" t="n"/>
      <c r="V3164" s="113" t="n"/>
      <c r="W3164" s="113" t="n"/>
      <c r="X3164" s="113" t="n"/>
      <c r="Y3164" s="113" t="n"/>
      <c r="Z3164" s="117">
        <f>IF($B3164="",0,IF($S3164="EVET",IF($D3164="GELİR",$O3164,-$O3164),0))</f>
        <v/>
      </c>
      <c r="AA3164" s="117">
        <f>IF($B3164="",0,IF(OR($W3164="EVET",$X3164="EVET",$Y3164="EVET"),0,IF($D3164="GELİR",IF($E3164="SATIŞ İADESİ/İSKONTO",-$O3164,$O3164),-$O3164)))</f>
        <v/>
      </c>
      <c r="AB3164" s="117">
        <f>IF($B3164="","",IF(OR($D3164="",$E3164="",$O3164=""),"EKSİK",IF($O3164&lt;=0,"SIFIR/NEGATİF",IF(COUNTIFS($C$6:$C$5000,$C3164,$O$6:$O$5000,$O3164,$B$6:$B$5000,$B3164)&gt;1,"MÜKERRER","OK"))))</f>
        <v/>
      </c>
    </row>
    <row r="3165" ht="16.5" customHeight="1" s="80">
      <c r="A3165" s="113" t="n"/>
      <c r="B3165" s="113" t="n"/>
      <c r="C3165" s="113" t="n"/>
      <c r="D3165" s="113" t="n"/>
      <c r="E3165" s="113" t="n"/>
      <c r="F3165" s="113" t="n"/>
      <c r="G3165" s="113" t="n"/>
      <c r="H3165" s="113" t="n"/>
      <c r="I3165" s="113" t="n"/>
      <c r="J3165" s="113" t="n"/>
      <c r="K3165" s="113" t="n"/>
      <c r="L3165" s="113" t="n"/>
      <c r="M3165" s="113" t="n"/>
      <c r="N3165" s="113" t="n"/>
      <c r="O3165" s="113" t="n"/>
      <c r="P3165" s="113" t="n"/>
      <c r="Q3165" s="113" t="n"/>
      <c r="R3165" s="113" t="n"/>
      <c r="S3165" s="113" t="n"/>
      <c r="T3165" s="113" t="n"/>
      <c r="U3165" s="113" t="n"/>
      <c r="V3165" s="113" t="n"/>
      <c r="W3165" s="113" t="n"/>
      <c r="X3165" s="113" t="n"/>
      <c r="Y3165" s="113" t="n"/>
      <c r="Z3165" s="117">
        <f>IF($B3165="",0,IF($S3165="EVET",IF($D3165="GELİR",$O3165,-$O3165),0))</f>
        <v/>
      </c>
      <c r="AA3165" s="117">
        <f>IF($B3165="",0,IF(OR($W3165="EVET",$X3165="EVET",$Y3165="EVET"),0,IF($D3165="GELİR",IF($E3165="SATIŞ İADESİ/İSKONTO",-$O3165,$O3165),-$O3165)))</f>
        <v/>
      </c>
      <c r="AB3165" s="117">
        <f>IF($B3165="","",IF(OR($D3165="",$E3165="",$O3165=""),"EKSİK",IF($O3165&lt;=0,"SIFIR/NEGATİF",IF(COUNTIFS($C$6:$C$5000,$C3165,$O$6:$O$5000,$O3165,$B$6:$B$5000,$B3165)&gt;1,"MÜKERRER","OK"))))</f>
        <v/>
      </c>
    </row>
    <row r="3166" ht="16.5" customHeight="1" s="80">
      <c r="A3166" s="113" t="n"/>
      <c r="B3166" s="113" t="n"/>
      <c r="C3166" s="113" t="n"/>
      <c r="D3166" s="113" t="n"/>
      <c r="E3166" s="113" t="n"/>
      <c r="F3166" s="113" t="n"/>
      <c r="G3166" s="113" t="n"/>
      <c r="H3166" s="113" t="n"/>
      <c r="I3166" s="113" t="n"/>
      <c r="J3166" s="113" t="n"/>
      <c r="K3166" s="113" t="n"/>
      <c r="L3166" s="113" t="n"/>
      <c r="M3166" s="113" t="n"/>
      <c r="N3166" s="113" t="n"/>
      <c r="O3166" s="113" t="n"/>
      <c r="P3166" s="113" t="n"/>
      <c r="Q3166" s="113" t="n"/>
      <c r="R3166" s="113" t="n"/>
      <c r="S3166" s="113" t="n"/>
      <c r="T3166" s="113" t="n"/>
      <c r="U3166" s="113" t="n"/>
      <c r="V3166" s="113" t="n"/>
      <c r="W3166" s="113" t="n"/>
      <c r="X3166" s="113" t="n"/>
      <c r="Y3166" s="113" t="n"/>
      <c r="Z3166" s="117">
        <f>IF($B3166="",0,IF($S3166="EVET",IF($D3166="GELİR",$O3166,-$O3166),0))</f>
        <v/>
      </c>
      <c r="AA3166" s="117">
        <f>IF($B3166="",0,IF(OR($W3166="EVET",$X3166="EVET",$Y3166="EVET"),0,IF($D3166="GELİR",IF($E3166="SATIŞ İADESİ/İSKONTO",-$O3166,$O3166),-$O3166)))</f>
        <v/>
      </c>
      <c r="AB3166" s="117">
        <f>IF($B3166="","",IF(OR($D3166="",$E3166="",$O3166=""),"EKSİK",IF($O3166&lt;=0,"SIFIR/NEGATİF",IF(COUNTIFS($C$6:$C$5000,$C3166,$O$6:$O$5000,$O3166,$B$6:$B$5000,$B3166)&gt;1,"MÜKERRER","OK"))))</f>
        <v/>
      </c>
    </row>
    <row r="3167" ht="16.5" customHeight="1" s="80">
      <c r="A3167" s="113" t="n"/>
      <c r="B3167" s="113" t="n"/>
      <c r="C3167" s="113" t="n"/>
      <c r="D3167" s="113" t="n"/>
      <c r="E3167" s="113" t="n"/>
      <c r="F3167" s="113" t="n"/>
      <c r="G3167" s="113" t="n"/>
      <c r="H3167" s="113" t="n"/>
      <c r="I3167" s="113" t="n"/>
      <c r="J3167" s="113" t="n"/>
      <c r="K3167" s="113" t="n"/>
      <c r="L3167" s="113" t="n"/>
      <c r="M3167" s="113" t="n"/>
      <c r="N3167" s="113" t="n"/>
      <c r="O3167" s="113" t="n"/>
      <c r="P3167" s="113" t="n"/>
      <c r="Q3167" s="113" t="n"/>
      <c r="R3167" s="113" t="n"/>
      <c r="S3167" s="113" t="n"/>
      <c r="T3167" s="113" t="n"/>
      <c r="U3167" s="113" t="n"/>
      <c r="V3167" s="113" t="n"/>
      <c r="W3167" s="113" t="n"/>
      <c r="X3167" s="113" t="n"/>
      <c r="Y3167" s="113" t="n"/>
      <c r="Z3167" s="117">
        <f>IF($B3167="",0,IF($S3167="EVET",IF($D3167="GELİR",$O3167,-$O3167),0))</f>
        <v/>
      </c>
      <c r="AA3167" s="117">
        <f>IF($B3167="",0,IF(OR($W3167="EVET",$X3167="EVET",$Y3167="EVET"),0,IF($D3167="GELİR",IF($E3167="SATIŞ İADESİ/İSKONTO",-$O3167,$O3167),-$O3167)))</f>
        <v/>
      </c>
      <c r="AB3167" s="117">
        <f>IF($B3167="","",IF(OR($D3167="",$E3167="",$O3167=""),"EKSİK",IF($O3167&lt;=0,"SIFIR/NEGATİF",IF(COUNTIFS($C$6:$C$5000,$C3167,$O$6:$O$5000,$O3167,$B$6:$B$5000,$B3167)&gt;1,"MÜKERRER","OK"))))</f>
        <v/>
      </c>
    </row>
    <row r="3168" ht="16.5" customHeight="1" s="80">
      <c r="A3168" s="113" t="n"/>
      <c r="B3168" s="113" t="n"/>
      <c r="C3168" s="113" t="n"/>
      <c r="D3168" s="113" t="n"/>
      <c r="E3168" s="113" t="n"/>
      <c r="F3168" s="113" t="n"/>
      <c r="G3168" s="113" t="n"/>
      <c r="H3168" s="113" t="n"/>
      <c r="I3168" s="113" t="n"/>
      <c r="J3168" s="113" t="n"/>
      <c r="K3168" s="113" t="n"/>
      <c r="L3168" s="113" t="n"/>
      <c r="M3168" s="113" t="n"/>
      <c r="N3168" s="113" t="n"/>
      <c r="O3168" s="113" t="n"/>
      <c r="P3168" s="113" t="n"/>
      <c r="Q3168" s="113" t="n"/>
      <c r="R3168" s="113" t="n"/>
      <c r="S3168" s="113" t="n"/>
      <c r="T3168" s="113" t="n"/>
      <c r="U3168" s="113" t="n"/>
      <c r="V3168" s="113" t="n"/>
      <c r="W3168" s="113" t="n"/>
      <c r="X3168" s="113" t="n"/>
      <c r="Y3168" s="113" t="n"/>
      <c r="Z3168" s="117">
        <f>IF($B3168="",0,IF($S3168="EVET",IF($D3168="GELİR",$O3168,-$O3168),0))</f>
        <v/>
      </c>
      <c r="AA3168" s="117">
        <f>IF($B3168="",0,IF(OR($W3168="EVET",$X3168="EVET",$Y3168="EVET"),0,IF($D3168="GELİR",IF($E3168="SATIŞ İADESİ/İSKONTO",-$O3168,$O3168),-$O3168)))</f>
        <v/>
      </c>
      <c r="AB3168" s="117">
        <f>IF($B3168="","",IF(OR($D3168="",$E3168="",$O3168=""),"EKSİK",IF($O3168&lt;=0,"SIFIR/NEGATİF",IF(COUNTIFS($C$6:$C$5000,$C3168,$O$6:$O$5000,$O3168,$B$6:$B$5000,$B3168)&gt;1,"MÜKERRER","OK"))))</f>
        <v/>
      </c>
    </row>
    <row r="3169" ht="16.5" customHeight="1" s="80">
      <c r="A3169" s="113" t="n"/>
      <c r="B3169" s="113" t="n"/>
      <c r="C3169" s="113" t="n"/>
      <c r="D3169" s="113" t="n"/>
      <c r="E3169" s="113" t="n"/>
      <c r="F3169" s="113" t="n"/>
      <c r="G3169" s="113" t="n"/>
      <c r="H3169" s="113" t="n"/>
      <c r="I3169" s="113" t="n"/>
      <c r="J3169" s="113" t="n"/>
      <c r="K3169" s="113" t="n"/>
      <c r="L3169" s="113" t="n"/>
      <c r="M3169" s="113" t="n"/>
      <c r="N3169" s="113" t="n"/>
      <c r="O3169" s="113" t="n"/>
      <c r="P3169" s="113" t="n"/>
      <c r="Q3169" s="113" t="n"/>
      <c r="R3169" s="113" t="n"/>
      <c r="S3169" s="113" t="n"/>
      <c r="T3169" s="113" t="n"/>
      <c r="U3169" s="113" t="n"/>
      <c r="V3169" s="113" t="n"/>
      <c r="W3169" s="113" t="n"/>
      <c r="X3169" s="113" t="n"/>
      <c r="Y3169" s="113" t="n"/>
      <c r="Z3169" s="117">
        <f>IF($B3169="",0,IF($S3169="EVET",IF($D3169="GELİR",$O3169,-$O3169),0))</f>
        <v/>
      </c>
      <c r="AA3169" s="117">
        <f>IF($B3169="",0,IF(OR($W3169="EVET",$X3169="EVET",$Y3169="EVET"),0,IF($D3169="GELİR",IF($E3169="SATIŞ İADESİ/İSKONTO",-$O3169,$O3169),-$O3169)))</f>
        <v/>
      </c>
      <c r="AB3169" s="117">
        <f>IF($B3169="","",IF(OR($D3169="",$E3169="",$O3169=""),"EKSİK",IF($O3169&lt;=0,"SIFIR/NEGATİF",IF(COUNTIFS($C$6:$C$5000,$C3169,$O$6:$O$5000,$O3169,$B$6:$B$5000,$B3169)&gt;1,"MÜKERRER","OK"))))</f>
        <v/>
      </c>
    </row>
    <row r="3170" ht="16.5" customHeight="1" s="80">
      <c r="A3170" s="113" t="n"/>
      <c r="B3170" s="113" t="n"/>
      <c r="C3170" s="113" t="n"/>
      <c r="D3170" s="113" t="n"/>
      <c r="E3170" s="113" t="n"/>
      <c r="F3170" s="113" t="n"/>
      <c r="G3170" s="113" t="n"/>
      <c r="H3170" s="113" t="n"/>
      <c r="I3170" s="113" t="n"/>
      <c r="J3170" s="113" t="n"/>
      <c r="K3170" s="113" t="n"/>
      <c r="L3170" s="113" t="n"/>
      <c r="M3170" s="113" t="n"/>
      <c r="N3170" s="113" t="n"/>
      <c r="O3170" s="113" t="n"/>
      <c r="P3170" s="113" t="n"/>
      <c r="Q3170" s="113" t="n"/>
      <c r="R3170" s="113" t="n"/>
      <c r="S3170" s="113" t="n"/>
      <c r="T3170" s="113" t="n"/>
      <c r="U3170" s="113" t="n"/>
      <c r="V3170" s="113" t="n"/>
      <c r="W3170" s="113" t="n"/>
      <c r="X3170" s="113" t="n"/>
      <c r="Y3170" s="113" t="n"/>
      <c r="Z3170" s="117">
        <f>IF($B3170="",0,IF($S3170="EVET",IF($D3170="GELİR",$O3170,-$O3170),0))</f>
        <v/>
      </c>
      <c r="AA3170" s="117">
        <f>IF($B3170="",0,IF(OR($W3170="EVET",$X3170="EVET",$Y3170="EVET"),0,IF($D3170="GELİR",IF($E3170="SATIŞ İADESİ/İSKONTO",-$O3170,$O3170),-$O3170)))</f>
        <v/>
      </c>
      <c r="AB3170" s="117">
        <f>IF($B3170="","",IF(OR($D3170="",$E3170="",$O3170=""),"EKSİK",IF($O3170&lt;=0,"SIFIR/NEGATİF",IF(COUNTIFS($C$6:$C$5000,$C3170,$O$6:$O$5000,$O3170,$B$6:$B$5000,$B3170)&gt;1,"MÜKERRER","OK"))))</f>
        <v/>
      </c>
    </row>
    <row r="3171" ht="16.5" customHeight="1" s="80">
      <c r="A3171" s="113" t="n"/>
      <c r="B3171" s="113" t="n"/>
      <c r="C3171" s="113" t="n"/>
      <c r="D3171" s="113" t="n"/>
      <c r="E3171" s="113" t="n"/>
      <c r="F3171" s="113" t="n"/>
      <c r="G3171" s="113" t="n"/>
      <c r="H3171" s="113" t="n"/>
      <c r="I3171" s="113" t="n"/>
      <c r="J3171" s="113" t="n"/>
      <c r="K3171" s="113" t="n"/>
      <c r="L3171" s="113" t="n"/>
      <c r="M3171" s="113" t="n"/>
      <c r="N3171" s="113" t="n"/>
      <c r="O3171" s="113" t="n"/>
      <c r="P3171" s="113" t="n"/>
      <c r="Q3171" s="113" t="n"/>
      <c r="R3171" s="113" t="n"/>
      <c r="S3171" s="113" t="n"/>
      <c r="T3171" s="113" t="n"/>
      <c r="U3171" s="113" t="n"/>
      <c r="V3171" s="113" t="n"/>
      <c r="W3171" s="113" t="n"/>
      <c r="X3171" s="113" t="n"/>
      <c r="Y3171" s="113" t="n"/>
      <c r="Z3171" s="117">
        <f>IF($B3171="",0,IF($S3171="EVET",IF($D3171="GELİR",$O3171,-$O3171),0))</f>
        <v/>
      </c>
      <c r="AA3171" s="117">
        <f>IF($B3171="",0,IF(OR($W3171="EVET",$X3171="EVET",$Y3171="EVET"),0,IF($D3171="GELİR",IF($E3171="SATIŞ İADESİ/İSKONTO",-$O3171,$O3171),-$O3171)))</f>
        <v/>
      </c>
      <c r="AB3171" s="117">
        <f>IF($B3171="","",IF(OR($D3171="",$E3171="",$O3171=""),"EKSİK",IF($O3171&lt;=0,"SIFIR/NEGATİF",IF(COUNTIFS($C$6:$C$5000,$C3171,$O$6:$O$5000,$O3171,$B$6:$B$5000,$B3171)&gt;1,"MÜKERRER","OK"))))</f>
        <v/>
      </c>
    </row>
    <row r="3172" ht="16.5" customHeight="1" s="80">
      <c r="A3172" s="113" t="n"/>
      <c r="B3172" s="113" t="n"/>
      <c r="C3172" s="113" t="n"/>
      <c r="D3172" s="113" t="n"/>
      <c r="E3172" s="113" t="n"/>
      <c r="F3172" s="113" t="n"/>
      <c r="G3172" s="113" t="n"/>
      <c r="H3172" s="113" t="n"/>
      <c r="I3172" s="113" t="n"/>
      <c r="J3172" s="113" t="n"/>
      <c r="K3172" s="113" t="n"/>
      <c r="L3172" s="113" t="n"/>
      <c r="M3172" s="113" t="n"/>
      <c r="N3172" s="113" t="n"/>
      <c r="O3172" s="113" t="n"/>
      <c r="P3172" s="113" t="n"/>
      <c r="Q3172" s="113" t="n"/>
      <c r="R3172" s="113" t="n"/>
      <c r="S3172" s="113" t="n"/>
      <c r="T3172" s="113" t="n"/>
      <c r="U3172" s="113" t="n"/>
      <c r="V3172" s="113" t="n"/>
      <c r="W3172" s="113" t="n"/>
      <c r="X3172" s="113" t="n"/>
      <c r="Y3172" s="113" t="n"/>
      <c r="Z3172" s="117">
        <f>IF($B3172="",0,IF($S3172="EVET",IF($D3172="GELİR",$O3172,-$O3172),0))</f>
        <v/>
      </c>
      <c r="AA3172" s="117">
        <f>IF($B3172="",0,IF(OR($W3172="EVET",$X3172="EVET",$Y3172="EVET"),0,IF($D3172="GELİR",IF($E3172="SATIŞ İADESİ/İSKONTO",-$O3172,$O3172),-$O3172)))</f>
        <v/>
      </c>
      <c r="AB3172" s="117">
        <f>IF($B3172="","",IF(OR($D3172="",$E3172="",$O3172=""),"EKSİK",IF($O3172&lt;=0,"SIFIR/NEGATİF",IF(COUNTIFS($C$6:$C$5000,$C3172,$O$6:$O$5000,$O3172,$B$6:$B$5000,$B3172)&gt;1,"MÜKERRER","OK"))))</f>
        <v/>
      </c>
    </row>
    <row r="3173" ht="16.5" customHeight="1" s="80">
      <c r="A3173" s="113" t="n"/>
      <c r="B3173" s="113" t="n"/>
      <c r="C3173" s="113" t="n"/>
      <c r="D3173" s="113" t="n"/>
      <c r="E3173" s="113" t="n"/>
      <c r="F3173" s="113" t="n"/>
      <c r="G3173" s="113" t="n"/>
      <c r="H3173" s="113" t="n"/>
      <c r="I3173" s="113" t="n"/>
      <c r="J3173" s="113" t="n"/>
      <c r="K3173" s="113" t="n"/>
      <c r="L3173" s="113" t="n"/>
      <c r="M3173" s="113" t="n"/>
      <c r="N3173" s="113" t="n"/>
      <c r="O3173" s="113" t="n"/>
      <c r="P3173" s="113" t="n"/>
      <c r="Q3173" s="113" t="n"/>
      <c r="R3173" s="113" t="n"/>
      <c r="S3173" s="113" t="n"/>
      <c r="T3173" s="113" t="n"/>
      <c r="U3173" s="113" t="n"/>
      <c r="V3173" s="113" t="n"/>
      <c r="W3173" s="113" t="n"/>
      <c r="X3173" s="113" t="n"/>
      <c r="Y3173" s="113" t="n"/>
      <c r="Z3173" s="117">
        <f>IF($B3173="",0,IF($S3173="EVET",IF($D3173="GELİR",$O3173,-$O3173),0))</f>
        <v/>
      </c>
      <c r="AA3173" s="117">
        <f>IF($B3173="",0,IF(OR($W3173="EVET",$X3173="EVET",$Y3173="EVET"),0,IF($D3173="GELİR",IF($E3173="SATIŞ İADESİ/İSKONTO",-$O3173,$O3173),-$O3173)))</f>
        <v/>
      </c>
      <c r="AB3173" s="117">
        <f>IF($B3173="","",IF(OR($D3173="",$E3173="",$O3173=""),"EKSİK",IF($O3173&lt;=0,"SIFIR/NEGATİF",IF(COUNTIFS($C$6:$C$5000,$C3173,$O$6:$O$5000,$O3173,$B$6:$B$5000,$B3173)&gt;1,"MÜKERRER","OK"))))</f>
        <v/>
      </c>
    </row>
    <row r="3174" ht="16.5" customHeight="1" s="80">
      <c r="A3174" s="113" t="n"/>
      <c r="B3174" s="113" t="n"/>
      <c r="C3174" s="113" t="n"/>
      <c r="D3174" s="113" t="n"/>
      <c r="E3174" s="113" t="n"/>
      <c r="F3174" s="113" t="n"/>
      <c r="G3174" s="113" t="n"/>
      <c r="H3174" s="113" t="n"/>
      <c r="I3174" s="113" t="n"/>
      <c r="J3174" s="113" t="n"/>
      <c r="K3174" s="113" t="n"/>
      <c r="L3174" s="113" t="n"/>
      <c r="M3174" s="113" t="n"/>
      <c r="N3174" s="113" t="n"/>
      <c r="O3174" s="113" t="n"/>
      <c r="P3174" s="113" t="n"/>
      <c r="Q3174" s="113" t="n"/>
      <c r="R3174" s="113" t="n"/>
      <c r="S3174" s="113" t="n"/>
      <c r="T3174" s="113" t="n"/>
      <c r="U3174" s="113" t="n"/>
      <c r="V3174" s="113" t="n"/>
      <c r="W3174" s="113" t="n"/>
      <c r="X3174" s="113" t="n"/>
      <c r="Y3174" s="113" t="n"/>
      <c r="Z3174" s="117">
        <f>IF($B3174="",0,IF($S3174="EVET",IF($D3174="GELİR",$O3174,-$O3174),0))</f>
        <v/>
      </c>
      <c r="AA3174" s="117">
        <f>IF($B3174="",0,IF(OR($W3174="EVET",$X3174="EVET",$Y3174="EVET"),0,IF($D3174="GELİR",IF($E3174="SATIŞ İADESİ/İSKONTO",-$O3174,$O3174),-$O3174)))</f>
        <v/>
      </c>
      <c r="AB3174" s="117">
        <f>IF($B3174="","",IF(OR($D3174="",$E3174="",$O3174=""),"EKSİK",IF($O3174&lt;=0,"SIFIR/NEGATİF",IF(COUNTIFS($C$6:$C$5000,$C3174,$O$6:$O$5000,$O3174,$B$6:$B$5000,$B3174)&gt;1,"MÜKERRER","OK"))))</f>
        <v/>
      </c>
    </row>
    <row r="3175" ht="16.5" customHeight="1" s="80">
      <c r="A3175" s="113" t="n"/>
      <c r="B3175" s="113" t="n"/>
      <c r="C3175" s="113" t="n"/>
      <c r="D3175" s="113" t="n"/>
      <c r="E3175" s="113" t="n"/>
      <c r="F3175" s="113" t="n"/>
      <c r="G3175" s="113" t="n"/>
      <c r="H3175" s="113" t="n"/>
      <c r="I3175" s="113" t="n"/>
      <c r="J3175" s="113" t="n"/>
      <c r="K3175" s="113" t="n"/>
      <c r="L3175" s="113" t="n"/>
      <c r="M3175" s="113" t="n"/>
      <c r="N3175" s="113" t="n"/>
      <c r="O3175" s="113" t="n"/>
      <c r="P3175" s="113" t="n"/>
      <c r="Q3175" s="113" t="n"/>
      <c r="R3175" s="113" t="n"/>
      <c r="S3175" s="113" t="n"/>
      <c r="T3175" s="113" t="n"/>
      <c r="U3175" s="113" t="n"/>
      <c r="V3175" s="113" t="n"/>
      <c r="W3175" s="113" t="n"/>
      <c r="X3175" s="113" t="n"/>
      <c r="Y3175" s="113" t="n"/>
      <c r="Z3175" s="117">
        <f>IF($B3175="",0,IF($S3175="EVET",IF($D3175="GELİR",$O3175,-$O3175),0))</f>
        <v/>
      </c>
      <c r="AA3175" s="117">
        <f>IF($B3175="",0,IF(OR($W3175="EVET",$X3175="EVET",$Y3175="EVET"),0,IF($D3175="GELİR",IF($E3175="SATIŞ İADESİ/İSKONTO",-$O3175,$O3175),-$O3175)))</f>
        <v/>
      </c>
      <c r="AB3175" s="117">
        <f>IF($B3175="","",IF(OR($D3175="",$E3175="",$O3175=""),"EKSİK",IF($O3175&lt;=0,"SIFIR/NEGATİF",IF(COUNTIFS($C$6:$C$5000,$C3175,$O$6:$O$5000,$O3175,$B$6:$B$5000,$B3175)&gt;1,"MÜKERRER","OK"))))</f>
        <v/>
      </c>
    </row>
    <row r="3176" ht="16.5" customHeight="1" s="80">
      <c r="A3176" s="113" t="n"/>
      <c r="B3176" s="113" t="n"/>
      <c r="C3176" s="113" t="n"/>
      <c r="D3176" s="113" t="n"/>
      <c r="E3176" s="113" t="n"/>
      <c r="F3176" s="113" t="n"/>
      <c r="G3176" s="113" t="n"/>
      <c r="H3176" s="113" t="n"/>
      <c r="I3176" s="113" t="n"/>
      <c r="J3176" s="113" t="n"/>
      <c r="K3176" s="113" t="n"/>
      <c r="L3176" s="113" t="n"/>
      <c r="M3176" s="113" t="n"/>
      <c r="N3176" s="113" t="n"/>
      <c r="O3176" s="113" t="n"/>
      <c r="P3176" s="113" t="n"/>
      <c r="Q3176" s="113" t="n"/>
      <c r="R3176" s="113" t="n"/>
      <c r="S3176" s="113" t="n"/>
      <c r="T3176" s="113" t="n"/>
      <c r="U3176" s="113" t="n"/>
      <c r="V3176" s="113" t="n"/>
      <c r="W3176" s="113" t="n"/>
      <c r="X3176" s="113" t="n"/>
      <c r="Y3176" s="113" t="n"/>
      <c r="Z3176" s="117">
        <f>IF($B3176="",0,IF($S3176="EVET",IF($D3176="GELİR",$O3176,-$O3176),0))</f>
        <v/>
      </c>
      <c r="AA3176" s="117">
        <f>IF($B3176="",0,IF(OR($W3176="EVET",$X3176="EVET",$Y3176="EVET"),0,IF($D3176="GELİR",IF($E3176="SATIŞ İADESİ/İSKONTO",-$O3176,$O3176),-$O3176)))</f>
        <v/>
      </c>
      <c r="AB3176" s="117">
        <f>IF($B3176="","",IF(OR($D3176="",$E3176="",$O3176=""),"EKSİK",IF($O3176&lt;=0,"SIFIR/NEGATİF",IF(COUNTIFS($C$6:$C$5000,$C3176,$O$6:$O$5000,$O3176,$B$6:$B$5000,$B3176)&gt;1,"MÜKERRER","OK"))))</f>
        <v/>
      </c>
    </row>
    <row r="3177" ht="16.5" customHeight="1" s="80">
      <c r="A3177" s="113" t="n"/>
      <c r="B3177" s="113" t="n"/>
      <c r="C3177" s="113" t="n"/>
      <c r="D3177" s="113" t="n"/>
      <c r="E3177" s="113" t="n"/>
      <c r="F3177" s="113" t="n"/>
      <c r="G3177" s="113" t="n"/>
      <c r="H3177" s="113" t="n"/>
      <c r="I3177" s="113" t="n"/>
      <c r="J3177" s="113" t="n"/>
      <c r="K3177" s="113" t="n"/>
      <c r="L3177" s="113" t="n"/>
      <c r="M3177" s="113" t="n"/>
      <c r="N3177" s="113" t="n"/>
      <c r="O3177" s="113" t="n"/>
      <c r="P3177" s="113" t="n"/>
      <c r="Q3177" s="113" t="n"/>
      <c r="R3177" s="113" t="n"/>
      <c r="S3177" s="113" t="n"/>
      <c r="T3177" s="113" t="n"/>
      <c r="U3177" s="113" t="n"/>
      <c r="V3177" s="113" t="n"/>
      <c r="W3177" s="113" t="n"/>
      <c r="X3177" s="113" t="n"/>
      <c r="Y3177" s="113" t="n"/>
      <c r="Z3177" s="117">
        <f>IF($B3177="",0,IF($S3177="EVET",IF($D3177="GELİR",$O3177,-$O3177),0))</f>
        <v/>
      </c>
      <c r="AA3177" s="117">
        <f>IF($B3177="",0,IF(OR($W3177="EVET",$X3177="EVET",$Y3177="EVET"),0,IF($D3177="GELİR",IF($E3177="SATIŞ İADESİ/İSKONTO",-$O3177,$O3177),-$O3177)))</f>
        <v/>
      </c>
      <c r="AB3177" s="117">
        <f>IF($B3177="","",IF(OR($D3177="",$E3177="",$O3177=""),"EKSİK",IF($O3177&lt;=0,"SIFIR/NEGATİF",IF(COUNTIFS($C$6:$C$5000,$C3177,$O$6:$O$5000,$O3177,$B$6:$B$5000,$B3177)&gt;1,"MÜKERRER","OK"))))</f>
        <v/>
      </c>
    </row>
    <row r="3178" ht="16.5" customHeight="1" s="80">
      <c r="A3178" s="113" t="n"/>
      <c r="B3178" s="113" t="n"/>
      <c r="C3178" s="113" t="n"/>
      <c r="D3178" s="113" t="n"/>
      <c r="E3178" s="113" t="n"/>
      <c r="F3178" s="113" t="n"/>
      <c r="G3178" s="113" t="n"/>
      <c r="H3178" s="113" t="n"/>
      <c r="I3178" s="113" t="n"/>
      <c r="J3178" s="113" t="n"/>
      <c r="K3178" s="113" t="n"/>
      <c r="L3178" s="113" t="n"/>
      <c r="M3178" s="113" t="n"/>
      <c r="N3178" s="113" t="n"/>
      <c r="O3178" s="113" t="n"/>
      <c r="P3178" s="113" t="n"/>
      <c r="Q3178" s="113" t="n"/>
      <c r="R3178" s="113" t="n"/>
      <c r="S3178" s="113" t="n"/>
      <c r="T3178" s="113" t="n"/>
      <c r="U3178" s="113" t="n"/>
      <c r="V3178" s="113" t="n"/>
      <c r="W3178" s="113" t="n"/>
      <c r="X3178" s="113" t="n"/>
      <c r="Y3178" s="113" t="n"/>
      <c r="Z3178" s="117">
        <f>IF($B3178="",0,IF($S3178="EVET",IF($D3178="GELİR",$O3178,-$O3178),0))</f>
        <v/>
      </c>
      <c r="AA3178" s="117">
        <f>IF($B3178="",0,IF(OR($W3178="EVET",$X3178="EVET",$Y3178="EVET"),0,IF($D3178="GELİR",IF($E3178="SATIŞ İADESİ/İSKONTO",-$O3178,$O3178),-$O3178)))</f>
        <v/>
      </c>
      <c r="AB3178" s="117">
        <f>IF($B3178="","",IF(OR($D3178="",$E3178="",$O3178=""),"EKSİK",IF($O3178&lt;=0,"SIFIR/NEGATİF",IF(COUNTIFS($C$6:$C$5000,$C3178,$O$6:$O$5000,$O3178,$B$6:$B$5000,$B3178)&gt;1,"MÜKERRER","OK"))))</f>
        <v/>
      </c>
    </row>
    <row r="3179" ht="16.5" customHeight="1" s="80">
      <c r="A3179" s="113" t="n"/>
      <c r="B3179" s="113" t="n"/>
      <c r="C3179" s="113" t="n"/>
      <c r="D3179" s="113" t="n"/>
      <c r="E3179" s="113" t="n"/>
      <c r="F3179" s="113" t="n"/>
      <c r="G3179" s="113" t="n"/>
      <c r="H3179" s="113" t="n"/>
      <c r="I3179" s="113" t="n"/>
      <c r="J3179" s="113" t="n"/>
      <c r="K3179" s="113" t="n"/>
      <c r="L3179" s="113" t="n"/>
      <c r="M3179" s="113" t="n"/>
      <c r="N3179" s="113" t="n"/>
      <c r="O3179" s="113" t="n"/>
      <c r="P3179" s="113" t="n"/>
      <c r="Q3179" s="113" t="n"/>
      <c r="R3179" s="113" t="n"/>
      <c r="S3179" s="113" t="n"/>
      <c r="T3179" s="113" t="n"/>
      <c r="U3179" s="113" t="n"/>
      <c r="V3179" s="113" t="n"/>
      <c r="W3179" s="113" t="n"/>
      <c r="X3179" s="113" t="n"/>
      <c r="Y3179" s="113" t="n"/>
      <c r="Z3179" s="117">
        <f>IF($B3179="",0,IF($S3179="EVET",IF($D3179="GELİR",$O3179,-$O3179),0))</f>
        <v/>
      </c>
      <c r="AA3179" s="117">
        <f>IF($B3179="",0,IF(OR($W3179="EVET",$X3179="EVET",$Y3179="EVET"),0,IF($D3179="GELİR",IF($E3179="SATIŞ İADESİ/İSKONTO",-$O3179,$O3179),-$O3179)))</f>
        <v/>
      </c>
      <c r="AB3179" s="117">
        <f>IF($B3179="","",IF(OR($D3179="",$E3179="",$O3179=""),"EKSİK",IF($O3179&lt;=0,"SIFIR/NEGATİF",IF(COUNTIFS($C$6:$C$5000,$C3179,$O$6:$O$5000,$O3179,$B$6:$B$5000,$B3179)&gt;1,"MÜKERRER","OK"))))</f>
        <v/>
      </c>
    </row>
    <row r="3180" ht="16.5" customHeight="1" s="80">
      <c r="A3180" s="113" t="n"/>
      <c r="B3180" s="113" t="n"/>
      <c r="C3180" s="113" t="n"/>
      <c r="D3180" s="113" t="n"/>
      <c r="E3180" s="113" t="n"/>
      <c r="F3180" s="113" t="n"/>
      <c r="G3180" s="113" t="n"/>
      <c r="H3180" s="113" t="n"/>
      <c r="I3180" s="113" t="n"/>
      <c r="J3180" s="113" t="n"/>
      <c r="K3180" s="113" t="n"/>
      <c r="L3180" s="113" t="n"/>
      <c r="M3180" s="113" t="n"/>
      <c r="N3180" s="113" t="n"/>
      <c r="O3180" s="113" t="n"/>
      <c r="P3180" s="113" t="n"/>
      <c r="Q3180" s="113" t="n"/>
      <c r="R3180" s="113" t="n"/>
      <c r="S3180" s="113" t="n"/>
      <c r="T3180" s="113" t="n"/>
      <c r="U3180" s="113" t="n"/>
      <c r="V3180" s="113" t="n"/>
      <c r="W3180" s="113" t="n"/>
      <c r="X3180" s="113" t="n"/>
      <c r="Y3180" s="113" t="n"/>
      <c r="Z3180" s="117">
        <f>IF($B3180="",0,IF($S3180="EVET",IF($D3180="GELİR",$O3180,-$O3180),0))</f>
        <v/>
      </c>
      <c r="AA3180" s="117">
        <f>IF($B3180="",0,IF(OR($W3180="EVET",$X3180="EVET",$Y3180="EVET"),0,IF($D3180="GELİR",IF($E3180="SATIŞ İADESİ/İSKONTO",-$O3180,$O3180),-$O3180)))</f>
        <v/>
      </c>
      <c r="AB3180" s="117">
        <f>IF($B3180="","",IF(OR($D3180="",$E3180="",$O3180=""),"EKSİK",IF($O3180&lt;=0,"SIFIR/NEGATİF",IF(COUNTIFS($C$6:$C$5000,$C3180,$O$6:$O$5000,$O3180,$B$6:$B$5000,$B3180)&gt;1,"MÜKERRER","OK"))))</f>
        <v/>
      </c>
    </row>
    <row r="3181" ht="16.5" customHeight="1" s="80">
      <c r="A3181" s="113" t="n"/>
      <c r="B3181" s="113" t="n"/>
      <c r="C3181" s="113" t="n"/>
      <c r="D3181" s="113" t="n"/>
      <c r="E3181" s="113" t="n"/>
      <c r="F3181" s="113" t="n"/>
      <c r="G3181" s="113" t="n"/>
      <c r="H3181" s="113" t="n"/>
      <c r="I3181" s="113" t="n"/>
      <c r="J3181" s="113" t="n"/>
      <c r="K3181" s="113" t="n"/>
      <c r="L3181" s="113" t="n"/>
      <c r="M3181" s="113" t="n"/>
      <c r="N3181" s="113" t="n"/>
      <c r="O3181" s="113" t="n"/>
      <c r="P3181" s="113" t="n"/>
      <c r="Q3181" s="113" t="n"/>
      <c r="R3181" s="113" t="n"/>
      <c r="S3181" s="113" t="n"/>
      <c r="T3181" s="113" t="n"/>
      <c r="U3181" s="113" t="n"/>
      <c r="V3181" s="113" t="n"/>
      <c r="W3181" s="113" t="n"/>
      <c r="X3181" s="113" t="n"/>
      <c r="Y3181" s="113" t="n"/>
      <c r="Z3181" s="117">
        <f>IF($B3181="",0,IF($S3181="EVET",IF($D3181="GELİR",$O3181,-$O3181),0))</f>
        <v/>
      </c>
      <c r="AA3181" s="117">
        <f>IF($B3181="",0,IF(OR($W3181="EVET",$X3181="EVET",$Y3181="EVET"),0,IF($D3181="GELİR",IF($E3181="SATIŞ İADESİ/İSKONTO",-$O3181,$O3181),-$O3181)))</f>
        <v/>
      </c>
      <c r="AB3181" s="117">
        <f>IF($B3181="","",IF(OR($D3181="",$E3181="",$O3181=""),"EKSİK",IF($O3181&lt;=0,"SIFIR/NEGATİF",IF(COUNTIFS($C$6:$C$5000,$C3181,$O$6:$O$5000,$O3181,$B$6:$B$5000,$B3181)&gt;1,"MÜKERRER","OK"))))</f>
        <v/>
      </c>
    </row>
    <row r="3182" ht="16.5" customHeight="1" s="80">
      <c r="A3182" s="113" t="n"/>
      <c r="B3182" s="113" t="n"/>
      <c r="C3182" s="113" t="n"/>
      <c r="D3182" s="113" t="n"/>
      <c r="E3182" s="113" t="n"/>
      <c r="F3182" s="113" t="n"/>
      <c r="G3182" s="113" t="n"/>
      <c r="H3182" s="113" t="n"/>
      <c r="I3182" s="113" t="n"/>
      <c r="J3182" s="113" t="n"/>
      <c r="K3182" s="113" t="n"/>
      <c r="L3182" s="113" t="n"/>
      <c r="M3182" s="113" t="n"/>
      <c r="N3182" s="113" t="n"/>
      <c r="O3182" s="113" t="n"/>
      <c r="P3182" s="113" t="n"/>
      <c r="Q3182" s="113" t="n"/>
      <c r="R3182" s="113" t="n"/>
      <c r="S3182" s="113" t="n"/>
      <c r="T3182" s="113" t="n"/>
      <c r="U3182" s="113" t="n"/>
      <c r="V3182" s="113" t="n"/>
      <c r="W3182" s="113" t="n"/>
      <c r="X3182" s="113" t="n"/>
      <c r="Y3182" s="113" t="n"/>
      <c r="Z3182" s="117">
        <f>IF($B3182="",0,IF($S3182="EVET",IF($D3182="GELİR",$O3182,-$O3182),0))</f>
        <v/>
      </c>
      <c r="AA3182" s="117">
        <f>IF($B3182="",0,IF(OR($W3182="EVET",$X3182="EVET",$Y3182="EVET"),0,IF($D3182="GELİR",IF($E3182="SATIŞ İADESİ/İSKONTO",-$O3182,$O3182),-$O3182)))</f>
        <v/>
      </c>
      <c r="AB3182" s="117">
        <f>IF($B3182="","",IF(OR($D3182="",$E3182="",$O3182=""),"EKSİK",IF($O3182&lt;=0,"SIFIR/NEGATİF",IF(COUNTIFS($C$6:$C$5000,$C3182,$O$6:$O$5000,$O3182,$B$6:$B$5000,$B3182)&gt;1,"MÜKERRER","OK"))))</f>
        <v/>
      </c>
    </row>
    <row r="3183" ht="16.5" customHeight="1" s="80">
      <c r="A3183" s="113" t="n"/>
      <c r="B3183" s="113" t="n"/>
      <c r="C3183" s="113" t="n"/>
      <c r="D3183" s="113" t="n"/>
      <c r="E3183" s="113" t="n"/>
      <c r="F3183" s="113" t="n"/>
      <c r="G3183" s="113" t="n"/>
      <c r="H3183" s="113" t="n"/>
      <c r="I3183" s="113" t="n"/>
      <c r="J3183" s="113" t="n"/>
      <c r="K3183" s="113" t="n"/>
      <c r="L3183" s="113" t="n"/>
      <c r="M3183" s="113" t="n"/>
      <c r="N3183" s="113" t="n"/>
      <c r="O3183" s="113" t="n"/>
      <c r="P3183" s="113" t="n"/>
      <c r="Q3183" s="113" t="n"/>
      <c r="R3183" s="113" t="n"/>
      <c r="S3183" s="113" t="n"/>
      <c r="T3183" s="113" t="n"/>
      <c r="U3183" s="113" t="n"/>
      <c r="V3183" s="113" t="n"/>
      <c r="W3183" s="113" t="n"/>
      <c r="X3183" s="113" t="n"/>
      <c r="Y3183" s="113" t="n"/>
      <c r="Z3183" s="117">
        <f>IF($B3183="",0,IF($S3183="EVET",IF($D3183="GELİR",$O3183,-$O3183),0))</f>
        <v/>
      </c>
      <c r="AA3183" s="117">
        <f>IF($B3183="",0,IF(OR($W3183="EVET",$X3183="EVET",$Y3183="EVET"),0,IF($D3183="GELİR",IF($E3183="SATIŞ İADESİ/İSKONTO",-$O3183,$O3183),-$O3183)))</f>
        <v/>
      </c>
      <c r="AB3183" s="117">
        <f>IF($B3183="","",IF(OR($D3183="",$E3183="",$O3183=""),"EKSİK",IF($O3183&lt;=0,"SIFIR/NEGATİF",IF(COUNTIFS($C$6:$C$5000,$C3183,$O$6:$O$5000,$O3183,$B$6:$B$5000,$B3183)&gt;1,"MÜKERRER","OK"))))</f>
        <v/>
      </c>
    </row>
    <row r="3184" ht="16.5" customHeight="1" s="80">
      <c r="A3184" s="113" t="n"/>
      <c r="B3184" s="113" t="n"/>
      <c r="C3184" s="113" t="n"/>
      <c r="D3184" s="113" t="n"/>
      <c r="E3184" s="113" t="n"/>
      <c r="F3184" s="113" t="n"/>
      <c r="G3184" s="113" t="n"/>
      <c r="H3184" s="113" t="n"/>
      <c r="I3184" s="113" t="n"/>
      <c r="J3184" s="113" t="n"/>
      <c r="K3184" s="113" t="n"/>
      <c r="L3184" s="113" t="n"/>
      <c r="M3184" s="113" t="n"/>
      <c r="N3184" s="113" t="n"/>
      <c r="O3184" s="113" t="n"/>
      <c r="P3184" s="113" t="n"/>
      <c r="Q3184" s="113" t="n"/>
      <c r="R3184" s="113" t="n"/>
      <c r="S3184" s="113" t="n"/>
      <c r="T3184" s="113" t="n"/>
      <c r="U3184" s="113" t="n"/>
      <c r="V3184" s="113" t="n"/>
      <c r="W3184" s="113" t="n"/>
      <c r="X3184" s="113" t="n"/>
      <c r="Y3184" s="113" t="n"/>
      <c r="Z3184" s="117">
        <f>IF($B3184="",0,IF($S3184="EVET",IF($D3184="GELİR",$O3184,-$O3184),0))</f>
        <v/>
      </c>
      <c r="AA3184" s="117">
        <f>IF($B3184="",0,IF(OR($W3184="EVET",$X3184="EVET",$Y3184="EVET"),0,IF($D3184="GELİR",IF($E3184="SATIŞ İADESİ/İSKONTO",-$O3184,$O3184),-$O3184)))</f>
        <v/>
      </c>
      <c r="AB3184" s="117">
        <f>IF($B3184="","",IF(OR($D3184="",$E3184="",$O3184=""),"EKSİK",IF($O3184&lt;=0,"SIFIR/NEGATİF",IF(COUNTIFS($C$6:$C$5000,$C3184,$O$6:$O$5000,$O3184,$B$6:$B$5000,$B3184)&gt;1,"MÜKERRER","OK"))))</f>
        <v/>
      </c>
    </row>
    <row r="3185" ht="16.5" customHeight="1" s="80">
      <c r="A3185" s="113" t="n"/>
      <c r="B3185" s="113" t="n"/>
      <c r="C3185" s="113" t="n"/>
      <c r="D3185" s="113" t="n"/>
      <c r="E3185" s="113" t="n"/>
      <c r="F3185" s="113" t="n"/>
      <c r="G3185" s="113" t="n"/>
      <c r="H3185" s="113" t="n"/>
      <c r="I3185" s="113" t="n"/>
      <c r="J3185" s="113" t="n"/>
      <c r="K3185" s="113" t="n"/>
      <c r="L3185" s="113" t="n"/>
      <c r="M3185" s="113" t="n"/>
      <c r="N3185" s="113" t="n"/>
      <c r="O3185" s="113" t="n"/>
      <c r="P3185" s="113" t="n"/>
      <c r="Q3185" s="113" t="n"/>
      <c r="R3185" s="113" t="n"/>
      <c r="S3185" s="113" t="n"/>
      <c r="T3185" s="113" t="n"/>
      <c r="U3185" s="113" t="n"/>
      <c r="V3185" s="113" t="n"/>
      <c r="W3185" s="113" t="n"/>
      <c r="X3185" s="113" t="n"/>
      <c r="Y3185" s="113" t="n"/>
      <c r="Z3185" s="117">
        <f>IF($B3185="",0,IF($S3185="EVET",IF($D3185="GELİR",$O3185,-$O3185),0))</f>
        <v/>
      </c>
      <c r="AA3185" s="117">
        <f>IF($B3185="",0,IF(OR($W3185="EVET",$X3185="EVET",$Y3185="EVET"),0,IF($D3185="GELİR",IF($E3185="SATIŞ İADESİ/İSKONTO",-$O3185,$O3185),-$O3185)))</f>
        <v/>
      </c>
      <c r="AB3185" s="117">
        <f>IF($B3185="","",IF(OR($D3185="",$E3185="",$O3185=""),"EKSİK",IF($O3185&lt;=0,"SIFIR/NEGATİF",IF(COUNTIFS($C$6:$C$5000,$C3185,$O$6:$O$5000,$O3185,$B$6:$B$5000,$B3185)&gt;1,"MÜKERRER","OK"))))</f>
        <v/>
      </c>
    </row>
    <row r="3186" ht="16.5" customHeight="1" s="80">
      <c r="A3186" s="113" t="n"/>
      <c r="B3186" s="113" t="n"/>
      <c r="C3186" s="113" t="n"/>
      <c r="D3186" s="113" t="n"/>
      <c r="E3186" s="113" t="n"/>
      <c r="F3186" s="113" t="n"/>
      <c r="G3186" s="113" t="n"/>
      <c r="H3186" s="113" t="n"/>
      <c r="I3186" s="113" t="n"/>
      <c r="J3186" s="113" t="n"/>
      <c r="K3186" s="113" t="n"/>
      <c r="L3186" s="113" t="n"/>
      <c r="M3186" s="113" t="n"/>
      <c r="N3186" s="113" t="n"/>
      <c r="O3186" s="113" t="n"/>
      <c r="P3186" s="113" t="n"/>
      <c r="Q3186" s="113" t="n"/>
      <c r="R3186" s="113" t="n"/>
      <c r="S3186" s="113" t="n"/>
      <c r="T3186" s="113" t="n"/>
      <c r="U3186" s="113" t="n"/>
      <c r="V3186" s="113" t="n"/>
      <c r="W3186" s="113" t="n"/>
      <c r="X3186" s="113" t="n"/>
      <c r="Y3186" s="113" t="n"/>
      <c r="Z3186" s="117">
        <f>IF($B3186="",0,IF($S3186="EVET",IF($D3186="GELİR",$O3186,-$O3186),0))</f>
        <v/>
      </c>
      <c r="AA3186" s="117">
        <f>IF($B3186="",0,IF(OR($W3186="EVET",$X3186="EVET",$Y3186="EVET"),0,IF($D3186="GELİR",IF($E3186="SATIŞ İADESİ/İSKONTO",-$O3186,$O3186),-$O3186)))</f>
        <v/>
      </c>
      <c r="AB3186" s="117">
        <f>IF($B3186="","",IF(OR($D3186="",$E3186="",$O3186=""),"EKSİK",IF($O3186&lt;=0,"SIFIR/NEGATİF",IF(COUNTIFS($C$6:$C$5000,$C3186,$O$6:$O$5000,$O3186,$B$6:$B$5000,$B3186)&gt;1,"MÜKERRER","OK"))))</f>
        <v/>
      </c>
    </row>
    <row r="3187" ht="16.5" customHeight="1" s="80">
      <c r="A3187" s="113" t="n"/>
      <c r="B3187" s="113" t="n"/>
      <c r="C3187" s="113" t="n"/>
      <c r="D3187" s="113" t="n"/>
      <c r="E3187" s="113" t="n"/>
      <c r="F3187" s="113" t="n"/>
      <c r="G3187" s="113" t="n"/>
      <c r="H3187" s="113" t="n"/>
      <c r="I3187" s="113" t="n"/>
      <c r="J3187" s="113" t="n"/>
      <c r="K3187" s="113" t="n"/>
      <c r="L3187" s="113" t="n"/>
      <c r="M3187" s="113" t="n"/>
      <c r="N3187" s="113" t="n"/>
      <c r="O3187" s="113" t="n"/>
      <c r="P3187" s="113" t="n"/>
      <c r="Q3187" s="113" t="n"/>
      <c r="R3187" s="113" t="n"/>
      <c r="S3187" s="113" t="n"/>
      <c r="T3187" s="113" t="n"/>
      <c r="U3187" s="113" t="n"/>
      <c r="V3187" s="113" t="n"/>
      <c r="W3187" s="113" t="n"/>
      <c r="X3187" s="113" t="n"/>
      <c r="Y3187" s="113" t="n"/>
      <c r="Z3187" s="117">
        <f>IF($B3187="",0,IF($S3187="EVET",IF($D3187="GELİR",$O3187,-$O3187),0))</f>
        <v/>
      </c>
      <c r="AA3187" s="117">
        <f>IF($B3187="",0,IF(OR($W3187="EVET",$X3187="EVET",$Y3187="EVET"),0,IF($D3187="GELİR",IF($E3187="SATIŞ İADESİ/İSKONTO",-$O3187,$O3187),-$O3187)))</f>
        <v/>
      </c>
      <c r="AB3187" s="117">
        <f>IF($B3187="","",IF(OR($D3187="",$E3187="",$O3187=""),"EKSİK",IF($O3187&lt;=0,"SIFIR/NEGATİF",IF(COUNTIFS($C$6:$C$5000,$C3187,$O$6:$O$5000,$O3187,$B$6:$B$5000,$B3187)&gt;1,"MÜKERRER","OK"))))</f>
        <v/>
      </c>
    </row>
    <row r="3188" ht="16.5" customHeight="1" s="80">
      <c r="A3188" s="113" t="n"/>
      <c r="B3188" s="113" t="n"/>
      <c r="C3188" s="113" t="n"/>
      <c r="D3188" s="113" t="n"/>
      <c r="E3188" s="113" t="n"/>
      <c r="F3188" s="113" t="n"/>
      <c r="G3188" s="113" t="n"/>
      <c r="H3188" s="113" t="n"/>
      <c r="I3188" s="113" t="n"/>
      <c r="J3188" s="113" t="n"/>
      <c r="K3188" s="113" t="n"/>
      <c r="L3188" s="113" t="n"/>
      <c r="M3188" s="113" t="n"/>
      <c r="N3188" s="113" t="n"/>
      <c r="O3188" s="113" t="n"/>
      <c r="P3188" s="113" t="n"/>
      <c r="Q3188" s="113" t="n"/>
      <c r="R3188" s="113" t="n"/>
      <c r="S3188" s="113" t="n"/>
      <c r="T3188" s="113" t="n"/>
      <c r="U3188" s="113" t="n"/>
      <c r="V3188" s="113" t="n"/>
      <c r="W3188" s="113" t="n"/>
      <c r="X3188" s="113" t="n"/>
      <c r="Y3188" s="113" t="n"/>
      <c r="Z3188" s="117">
        <f>IF($B3188="",0,IF($S3188="EVET",IF($D3188="GELİR",$O3188,-$O3188),0))</f>
        <v/>
      </c>
      <c r="AA3188" s="117">
        <f>IF($B3188="",0,IF(OR($W3188="EVET",$X3188="EVET",$Y3188="EVET"),0,IF($D3188="GELİR",IF($E3188="SATIŞ İADESİ/İSKONTO",-$O3188,$O3188),-$O3188)))</f>
        <v/>
      </c>
      <c r="AB3188" s="117">
        <f>IF($B3188="","",IF(OR($D3188="",$E3188="",$O3188=""),"EKSİK",IF($O3188&lt;=0,"SIFIR/NEGATİF",IF(COUNTIFS($C$6:$C$5000,$C3188,$O$6:$O$5000,$O3188,$B$6:$B$5000,$B3188)&gt;1,"MÜKERRER","OK"))))</f>
        <v/>
      </c>
    </row>
    <row r="3189" ht="16.5" customHeight="1" s="80">
      <c r="A3189" s="113" t="n"/>
      <c r="B3189" s="113" t="n"/>
      <c r="C3189" s="113" t="n"/>
      <c r="D3189" s="113" t="n"/>
      <c r="E3189" s="113" t="n"/>
      <c r="F3189" s="113" t="n"/>
      <c r="G3189" s="113" t="n"/>
      <c r="H3189" s="113" t="n"/>
      <c r="I3189" s="113" t="n"/>
      <c r="J3189" s="113" t="n"/>
      <c r="K3189" s="113" t="n"/>
      <c r="L3189" s="113" t="n"/>
      <c r="M3189" s="113" t="n"/>
      <c r="N3189" s="113" t="n"/>
      <c r="O3189" s="113" t="n"/>
      <c r="P3189" s="113" t="n"/>
      <c r="Q3189" s="113" t="n"/>
      <c r="R3189" s="113" t="n"/>
      <c r="S3189" s="113" t="n"/>
      <c r="T3189" s="113" t="n"/>
      <c r="U3189" s="113" t="n"/>
      <c r="V3189" s="113" t="n"/>
      <c r="W3189" s="113" t="n"/>
      <c r="X3189" s="113" t="n"/>
      <c r="Y3189" s="113" t="n"/>
      <c r="Z3189" s="117">
        <f>IF($B3189="",0,IF($S3189="EVET",IF($D3189="GELİR",$O3189,-$O3189),0))</f>
        <v/>
      </c>
      <c r="AA3189" s="117">
        <f>IF($B3189="",0,IF(OR($W3189="EVET",$X3189="EVET",$Y3189="EVET"),0,IF($D3189="GELİR",IF($E3189="SATIŞ İADESİ/İSKONTO",-$O3189,$O3189),-$O3189)))</f>
        <v/>
      </c>
      <c r="AB3189" s="117">
        <f>IF($B3189="","",IF(OR($D3189="",$E3189="",$O3189=""),"EKSİK",IF($O3189&lt;=0,"SIFIR/NEGATİF",IF(COUNTIFS($C$6:$C$5000,$C3189,$O$6:$O$5000,$O3189,$B$6:$B$5000,$B3189)&gt;1,"MÜKERRER","OK"))))</f>
        <v/>
      </c>
    </row>
    <row r="3190" ht="16.5" customHeight="1" s="80">
      <c r="A3190" s="113" t="n"/>
      <c r="B3190" s="113" t="n"/>
      <c r="C3190" s="113" t="n"/>
      <c r="D3190" s="113" t="n"/>
      <c r="E3190" s="113" t="n"/>
      <c r="F3190" s="113" t="n"/>
      <c r="G3190" s="113" t="n"/>
      <c r="H3190" s="113" t="n"/>
      <c r="I3190" s="113" t="n"/>
      <c r="J3190" s="113" t="n"/>
      <c r="K3190" s="113" t="n"/>
      <c r="L3190" s="113" t="n"/>
      <c r="M3190" s="113" t="n"/>
      <c r="N3190" s="113" t="n"/>
      <c r="O3190" s="113" t="n"/>
      <c r="P3190" s="113" t="n"/>
      <c r="Q3190" s="113" t="n"/>
      <c r="R3190" s="113" t="n"/>
      <c r="S3190" s="113" t="n"/>
      <c r="T3190" s="113" t="n"/>
      <c r="U3190" s="113" t="n"/>
      <c r="V3190" s="113" t="n"/>
      <c r="W3190" s="113" t="n"/>
      <c r="X3190" s="113" t="n"/>
      <c r="Y3190" s="113" t="n"/>
      <c r="Z3190" s="117">
        <f>IF($B3190="",0,IF($S3190="EVET",IF($D3190="GELİR",$O3190,-$O3190),0))</f>
        <v/>
      </c>
      <c r="AA3190" s="117">
        <f>IF($B3190="",0,IF(OR($W3190="EVET",$X3190="EVET",$Y3190="EVET"),0,IF($D3190="GELİR",IF($E3190="SATIŞ İADESİ/İSKONTO",-$O3190,$O3190),-$O3190)))</f>
        <v/>
      </c>
      <c r="AB3190" s="117">
        <f>IF($B3190="","",IF(OR($D3190="",$E3190="",$O3190=""),"EKSİK",IF($O3190&lt;=0,"SIFIR/NEGATİF",IF(COUNTIFS($C$6:$C$5000,$C3190,$O$6:$O$5000,$O3190,$B$6:$B$5000,$B3190)&gt;1,"MÜKERRER","OK"))))</f>
        <v/>
      </c>
    </row>
    <row r="3191" ht="16.5" customHeight="1" s="80">
      <c r="A3191" s="113" t="n"/>
      <c r="B3191" s="113" t="n"/>
      <c r="C3191" s="113" t="n"/>
      <c r="D3191" s="113" t="n"/>
      <c r="E3191" s="113" t="n"/>
      <c r="F3191" s="113" t="n"/>
      <c r="G3191" s="113" t="n"/>
      <c r="H3191" s="113" t="n"/>
      <c r="I3191" s="113" t="n"/>
      <c r="J3191" s="113" t="n"/>
      <c r="K3191" s="113" t="n"/>
      <c r="L3191" s="113" t="n"/>
      <c r="M3191" s="113" t="n"/>
      <c r="N3191" s="113" t="n"/>
      <c r="O3191" s="113" t="n"/>
      <c r="P3191" s="113" t="n"/>
      <c r="Q3191" s="113" t="n"/>
      <c r="R3191" s="113" t="n"/>
      <c r="S3191" s="113" t="n"/>
      <c r="T3191" s="113" t="n"/>
      <c r="U3191" s="113" t="n"/>
      <c r="V3191" s="113" t="n"/>
      <c r="W3191" s="113" t="n"/>
      <c r="X3191" s="113" t="n"/>
      <c r="Y3191" s="113" t="n"/>
      <c r="Z3191" s="117">
        <f>IF($B3191="",0,IF($S3191="EVET",IF($D3191="GELİR",$O3191,-$O3191),0))</f>
        <v/>
      </c>
      <c r="AA3191" s="117">
        <f>IF($B3191="",0,IF(OR($W3191="EVET",$X3191="EVET",$Y3191="EVET"),0,IF($D3191="GELİR",IF($E3191="SATIŞ İADESİ/İSKONTO",-$O3191,$O3191),-$O3191)))</f>
        <v/>
      </c>
      <c r="AB3191" s="117">
        <f>IF($B3191="","",IF(OR($D3191="",$E3191="",$O3191=""),"EKSİK",IF($O3191&lt;=0,"SIFIR/NEGATİF",IF(COUNTIFS($C$6:$C$5000,$C3191,$O$6:$O$5000,$O3191,$B$6:$B$5000,$B3191)&gt;1,"MÜKERRER","OK"))))</f>
        <v/>
      </c>
    </row>
    <row r="3192" ht="16.5" customHeight="1" s="80">
      <c r="A3192" s="113" t="n"/>
      <c r="B3192" s="113" t="n"/>
      <c r="C3192" s="113" t="n"/>
      <c r="D3192" s="113" t="n"/>
      <c r="E3192" s="113" t="n"/>
      <c r="F3192" s="113" t="n"/>
      <c r="G3192" s="113" t="n"/>
      <c r="H3192" s="113" t="n"/>
      <c r="I3192" s="113" t="n"/>
      <c r="J3192" s="113" t="n"/>
      <c r="K3192" s="113" t="n"/>
      <c r="L3192" s="113" t="n"/>
      <c r="M3192" s="113" t="n"/>
      <c r="N3192" s="113" t="n"/>
      <c r="O3192" s="113" t="n"/>
      <c r="P3192" s="113" t="n"/>
      <c r="Q3192" s="113" t="n"/>
      <c r="R3192" s="113" t="n"/>
      <c r="S3192" s="113" t="n"/>
      <c r="T3192" s="113" t="n"/>
      <c r="U3192" s="113" t="n"/>
      <c r="V3192" s="113" t="n"/>
      <c r="W3192" s="113" t="n"/>
      <c r="X3192" s="113" t="n"/>
      <c r="Y3192" s="113" t="n"/>
      <c r="Z3192" s="117">
        <f>IF($B3192="",0,IF($S3192="EVET",IF($D3192="GELİR",$O3192,-$O3192),0))</f>
        <v/>
      </c>
      <c r="AA3192" s="117">
        <f>IF($B3192="",0,IF(OR($W3192="EVET",$X3192="EVET",$Y3192="EVET"),0,IF($D3192="GELİR",IF($E3192="SATIŞ İADESİ/İSKONTO",-$O3192,$O3192),-$O3192)))</f>
        <v/>
      </c>
      <c r="AB3192" s="117">
        <f>IF($B3192="","",IF(OR($D3192="",$E3192="",$O3192=""),"EKSİK",IF($O3192&lt;=0,"SIFIR/NEGATİF",IF(COUNTIFS($C$6:$C$5000,$C3192,$O$6:$O$5000,$O3192,$B$6:$B$5000,$B3192)&gt;1,"MÜKERRER","OK"))))</f>
        <v/>
      </c>
    </row>
    <row r="3193" ht="16.5" customHeight="1" s="80">
      <c r="A3193" s="113" t="n"/>
      <c r="B3193" s="113" t="n"/>
      <c r="C3193" s="113" t="n"/>
      <c r="D3193" s="113" t="n"/>
      <c r="E3193" s="113" t="n"/>
      <c r="F3193" s="113" t="n"/>
      <c r="G3193" s="113" t="n"/>
      <c r="H3193" s="113" t="n"/>
      <c r="I3193" s="113" t="n"/>
      <c r="J3193" s="113" t="n"/>
      <c r="K3193" s="113" t="n"/>
      <c r="L3193" s="113" t="n"/>
      <c r="M3193" s="113" t="n"/>
      <c r="N3193" s="113" t="n"/>
      <c r="O3193" s="113" t="n"/>
      <c r="P3193" s="113" t="n"/>
      <c r="Q3193" s="113" t="n"/>
      <c r="R3193" s="113" t="n"/>
      <c r="S3193" s="113" t="n"/>
      <c r="T3193" s="113" t="n"/>
      <c r="U3193" s="113" t="n"/>
      <c r="V3193" s="113" t="n"/>
      <c r="W3193" s="113" t="n"/>
      <c r="X3193" s="113" t="n"/>
      <c r="Y3193" s="113" t="n"/>
      <c r="Z3193" s="117">
        <f>IF($B3193="",0,IF($S3193="EVET",IF($D3193="GELİR",$O3193,-$O3193),0))</f>
        <v/>
      </c>
      <c r="AA3193" s="117">
        <f>IF($B3193="",0,IF(OR($W3193="EVET",$X3193="EVET",$Y3193="EVET"),0,IF($D3193="GELİR",IF($E3193="SATIŞ İADESİ/İSKONTO",-$O3193,$O3193),-$O3193)))</f>
        <v/>
      </c>
      <c r="AB3193" s="117">
        <f>IF($B3193="","",IF(OR($D3193="",$E3193="",$O3193=""),"EKSİK",IF($O3193&lt;=0,"SIFIR/NEGATİF",IF(COUNTIFS($C$6:$C$5000,$C3193,$O$6:$O$5000,$O3193,$B$6:$B$5000,$B3193)&gt;1,"MÜKERRER","OK"))))</f>
        <v/>
      </c>
    </row>
    <row r="3194" ht="16.5" customHeight="1" s="80">
      <c r="A3194" s="113" t="n"/>
      <c r="B3194" s="113" t="n"/>
      <c r="C3194" s="113" t="n"/>
      <c r="D3194" s="113" t="n"/>
      <c r="E3194" s="113" t="n"/>
      <c r="F3194" s="113" t="n"/>
      <c r="G3194" s="113" t="n"/>
      <c r="H3194" s="113" t="n"/>
      <c r="I3194" s="113" t="n"/>
      <c r="J3194" s="113" t="n"/>
      <c r="K3194" s="113" t="n"/>
      <c r="L3194" s="113" t="n"/>
      <c r="M3194" s="113" t="n"/>
      <c r="N3194" s="113" t="n"/>
      <c r="O3194" s="113" t="n"/>
      <c r="P3194" s="113" t="n"/>
      <c r="Q3194" s="113" t="n"/>
      <c r="R3194" s="113" t="n"/>
      <c r="S3194" s="113" t="n"/>
      <c r="T3194" s="113" t="n"/>
      <c r="U3194" s="113" t="n"/>
      <c r="V3194" s="113" t="n"/>
      <c r="W3194" s="113" t="n"/>
      <c r="X3194" s="113" t="n"/>
      <c r="Y3194" s="113" t="n"/>
      <c r="Z3194" s="117">
        <f>IF($B3194="",0,IF($S3194="EVET",IF($D3194="GELİR",$O3194,-$O3194),0))</f>
        <v/>
      </c>
      <c r="AA3194" s="117">
        <f>IF($B3194="",0,IF(OR($W3194="EVET",$X3194="EVET",$Y3194="EVET"),0,IF($D3194="GELİR",IF($E3194="SATIŞ İADESİ/İSKONTO",-$O3194,$O3194),-$O3194)))</f>
        <v/>
      </c>
      <c r="AB3194" s="117">
        <f>IF($B3194="","",IF(OR($D3194="",$E3194="",$O3194=""),"EKSİK",IF($O3194&lt;=0,"SIFIR/NEGATİF",IF(COUNTIFS($C$6:$C$5000,$C3194,$O$6:$O$5000,$O3194,$B$6:$B$5000,$B3194)&gt;1,"MÜKERRER","OK"))))</f>
        <v/>
      </c>
    </row>
    <row r="3195" ht="16.5" customHeight="1" s="80">
      <c r="A3195" s="113" t="n"/>
      <c r="B3195" s="113" t="n"/>
      <c r="C3195" s="113" t="n"/>
      <c r="D3195" s="113" t="n"/>
      <c r="E3195" s="113" t="n"/>
      <c r="F3195" s="113" t="n"/>
      <c r="G3195" s="113" t="n"/>
      <c r="H3195" s="113" t="n"/>
      <c r="I3195" s="113" t="n"/>
      <c r="J3195" s="113" t="n"/>
      <c r="K3195" s="113" t="n"/>
      <c r="L3195" s="113" t="n"/>
      <c r="M3195" s="113" t="n"/>
      <c r="N3195" s="113" t="n"/>
      <c r="O3195" s="113" t="n"/>
      <c r="P3195" s="113" t="n"/>
      <c r="Q3195" s="113" t="n"/>
      <c r="R3195" s="113" t="n"/>
      <c r="S3195" s="113" t="n"/>
      <c r="T3195" s="113" t="n"/>
      <c r="U3195" s="113" t="n"/>
      <c r="V3195" s="113" t="n"/>
      <c r="W3195" s="113" t="n"/>
      <c r="X3195" s="113" t="n"/>
      <c r="Y3195" s="113" t="n"/>
      <c r="Z3195" s="117">
        <f>IF($B3195="",0,IF($S3195="EVET",IF($D3195="GELİR",$O3195,-$O3195),0))</f>
        <v/>
      </c>
      <c r="AA3195" s="117">
        <f>IF($B3195="",0,IF(OR($W3195="EVET",$X3195="EVET",$Y3195="EVET"),0,IF($D3195="GELİR",IF($E3195="SATIŞ İADESİ/İSKONTO",-$O3195,$O3195),-$O3195)))</f>
        <v/>
      </c>
      <c r="AB3195" s="117">
        <f>IF($B3195="","",IF(OR($D3195="",$E3195="",$O3195=""),"EKSİK",IF($O3195&lt;=0,"SIFIR/NEGATİF",IF(COUNTIFS($C$6:$C$5000,$C3195,$O$6:$O$5000,$O3195,$B$6:$B$5000,$B3195)&gt;1,"MÜKERRER","OK"))))</f>
        <v/>
      </c>
    </row>
    <row r="3196" ht="16.5" customHeight="1" s="80">
      <c r="A3196" s="113" t="n"/>
      <c r="B3196" s="113" t="n"/>
      <c r="C3196" s="113" t="n"/>
      <c r="D3196" s="113" t="n"/>
      <c r="E3196" s="113" t="n"/>
      <c r="F3196" s="113" t="n"/>
      <c r="G3196" s="113" t="n"/>
      <c r="H3196" s="113" t="n"/>
      <c r="I3196" s="113" t="n"/>
      <c r="J3196" s="113" t="n"/>
      <c r="K3196" s="113" t="n"/>
      <c r="L3196" s="113" t="n"/>
      <c r="M3196" s="113" t="n"/>
      <c r="N3196" s="113" t="n"/>
      <c r="O3196" s="113" t="n"/>
      <c r="P3196" s="113" t="n"/>
      <c r="Q3196" s="113" t="n"/>
      <c r="R3196" s="113" t="n"/>
      <c r="S3196" s="113" t="n"/>
      <c r="T3196" s="113" t="n"/>
      <c r="U3196" s="113" t="n"/>
      <c r="V3196" s="113" t="n"/>
      <c r="W3196" s="113" t="n"/>
      <c r="X3196" s="113" t="n"/>
      <c r="Y3196" s="113" t="n"/>
      <c r="Z3196" s="117">
        <f>IF($B3196="",0,IF($S3196="EVET",IF($D3196="GELİR",$O3196,-$O3196),0))</f>
        <v/>
      </c>
      <c r="AA3196" s="117">
        <f>IF($B3196="",0,IF(OR($W3196="EVET",$X3196="EVET",$Y3196="EVET"),0,IF($D3196="GELİR",IF($E3196="SATIŞ İADESİ/İSKONTO",-$O3196,$O3196),-$O3196)))</f>
        <v/>
      </c>
      <c r="AB3196" s="117">
        <f>IF($B3196="","",IF(OR($D3196="",$E3196="",$O3196=""),"EKSİK",IF($O3196&lt;=0,"SIFIR/NEGATİF",IF(COUNTIFS($C$6:$C$5000,$C3196,$O$6:$O$5000,$O3196,$B$6:$B$5000,$B3196)&gt;1,"MÜKERRER","OK"))))</f>
        <v/>
      </c>
    </row>
    <row r="3197" ht="16.5" customHeight="1" s="80">
      <c r="A3197" s="113" t="n"/>
      <c r="B3197" s="113" t="n"/>
      <c r="C3197" s="113" t="n"/>
      <c r="D3197" s="113" t="n"/>
      <c r="E3197" s="113" t="n"/>
      <c r="F3197" s="113" t="n"/>
      <c r="G3197" s="113" t="n"/>
      <c r="H3197" s="113" t="n"/>
      <c r="I3197" s="113" t="n"/>
      <c r="J3197" s="113" t="n"/>
      <c r="K3197" s="113" t="n"/>
      <c r="L3197" s="113" t="n"/>
      <c r="M3197" s="113" t="n"/>
      <c r="N3197" s="113" t="n"/>
      <c r="O3197" s="113" t="n"/>
      <c r="P3197" s="113" t="n"/>
      <c r="Q3197" s="113" t="n"/>
      <c r="R3197" s="113" t="n"/>
      <c r="S3197" s="113" t="n"/>
      <c r="T3197" s="113" t="n"/>
      <c r="U3197" s="113" t="n"/>
      <c r="V3197" s="113" t="n"/>
      <c r="W3197" s="113" t="n"/>
      <c r="X3197" s="113" t="n"/>
      <c r="Y3197" s="113" t="n"/>
      <c r="Z3197" s="117">
        <f>IF($B3197="",0,IF($S3197="EVET",IF($D3197="GELİR",$O3197,-$O3197),0))</f>
        <v/>
      </c>
      <c r="AA3197" s="117">
        <f>IF($B3197="",0,IF(OR($W3197="EVET",$X3197="EVET",$Y3197="EVET"),0,IF($D3197="GELİR",IF($E3197="SATIŞ İADESİ/İSKONTO",-$O3197,$O3197),-$O3197)))</f>
        <v/>
      </c>
      <c r="AB3197" s="117">
        <f>IF($B3197="","",IF(OR($D3197="",$E3197="",$O3197=""),"EKSİK",IF($O3197&lt;=0,"SIFIR/NEGATİF",IF(COUNTIFS($C$6:$C$5000,$C3197,$O$6:$O$5000,$O3197,$B$6:$B$5000,$B3197)&gt;1,"MÜKERRER","OK"))))</f>
        <v/>
      </c>
    </row>
    <row r="3198" ht="16.5" customHeight="1" s="80">
      <c r="A3198" s="113" t="n"/>
      <c r="B3198" s="113" t="n"/>
      <c r="C3198" s="113" t="n"/>
      <c r="D3198" s="113" t="n"/>
      <c r="E3198" s="113" t="n"/>
      <c r="F3198" s="113" t="n"/>
      <c r="G3198" s="113" t="n"/>
      <c r="H3198" s="113" t="n"/>
      <c r="I3198" s="113" t="n"/>
      <c r="J3198" s="113" t="n"/>
      <c r="K3198" s="113" t="n"/>
      <c r="L3198" s="113" t="n"/>
      <c r="M3198" s="113" t="n"/>
      <c r="N3198" s="113" t="n"/>
      <c r="O3198" s="113" t="n"/>
      <c r="P3198" s="113" t="n"/>
      <c r="Q3198" s="113" t="n"/>
      <c r="R3198" s="113" t="n"/>
      <c r="S3198" s="113" t="n"/>
      <c r="T3198" s="113" t="n"/>
      <c r="U3198" s="113" t="n"/>
      <c r="V3198" s="113" t="n"/>
      <c r="W3198" s="113" t="n"/>
      <c r="X3198" s="113" t="n"/>
      <c r="Y3198" s="113" t="n"/>
      <c r="Z3198" s="117">
        <f>IF($B3198="",0,IF($S3198="EVET",IF($D3198="GELİR",$O3198,-$O3198),0))</f>
        <v/>
      </c>
      <c r="AA3198" s="117">
        <f>IF($B3198="",0,IF(OR($W3198="EVET",$X3198="EVET",$Y3198="EVET"),0,IF($D3198="GELİR",IF($E3198="SATIŞ İADESİ/İSKONTO",-$O3198,$O3198),-$O3198)))</f>
        <v/>
      </c>
      <c r="AB3198" s="117">
        <f>IF($B3198="","",IF(OR($D3198="",$E3198="",$O3198=""),"EKSİK",IF($O3198&lt;=0,"SIFIR/NEGATİF",IF(COUNTIFS($C$6:$C$5000,$C3198,$O$6:$O$5000,$O3198,$B$6:$B$5000,$B3198)&gt;1,"MÜKERRER","OK"))))</f>
        <v/>
      </c>
    </row>
    <row r="3199" ht="16.5" customHeight="1" s="80">
      <c r="A3199" s="113" t="n"/>
      <c r="B3199" s="113" t="n"/>
      <c r="C3199" s="113" t="n"/>
      <c r="D3199" s="113" t="n"/>
      <c r="E3199" s="113" t="n"/>
      <c r="F3199" s="113" t="n"/>
      <c r="G3199" s="113" t="n"/>
      <c r="H3199" s="113" t="n"/>
      <c r="I3199" s="113" t="n"/>
      <c r="J3199" s="113" t="n"/>
      <c r="K3199" s="113" t="n"/>
      <c r="L3199" s="113" t="n"/>
      <c r="M3199" s="113" t="n"/>
      <c r="N3199" s="113" t="n"/>
      <c r="O3199" s="113" t="n"/>
      <c r="P3199" s="113" t="n"/>
      <c r="Q3199" s="113" t="n"/>
      <c r="R3199" s="113" t="n"/>
      <c r="S3199" s="113" t="n"/>
      <c r="T3199" s="113" t="n"/>
      <c r="U3199" s="113" t="n"/>
      <c r="V3199" s="113" t="n"/>
      <c r="W3199" s="113" t="n"/>
      <c r="X3199" s="113" t="n"/>
      <c r="Y3199" s="113" t="n"/>
      <c r="Z3199" s="117">
        <f>IF($B3199="",0,IF($S3199="EVET",IF($D3199="GELİR",$O3199,-$O3199),0))</f>
        <v/>
      </c>
      <c r="AA3199" s="117">
        <f>IF($B3199="",0,IF(OR($W3199="EVET",$X3199="EVET",$Y3199="EVET"),0,IF($D3199="GELİR",IF($E3199="SATIŞ İADESİ/İSKONTO",-$O3199,$O3199),-$O3199)))</f>
        <v/>
      </c>
      <c r="AB3199" s="117">
        <f>IF($B3199="","",IF(OR($D3199="",$E3199="",$O3199=""),"EKSİK",IF($O3199&lt;=0,"SIFIR/NEGATİF",IF(COUNTIFS($C$6:$C$5000,$C3199,$O$6:$O$5000,$O3199,$B$6:$B$5000,$B3199)&gt;1,"MÜKERRER","OK"))))</f>
        <v/>
      </c>
    </row>
    <row r="3200" ht="16.5" customHeight="1" s="80">
      <c r="A3200" s="113" t="n"/>
      <c r="B3200" s="113" t="n"/>
      <c r="C3200" s="113" t="n"/>
      <c r="D3200" s="113" t="n"/>
      <c r="E3200" s="113" t="n"/>
      <c r="F3200" s="113" t="n"/>
      <c r="G3200" s="113" t="n"/>
      <c r="H3200" s="113" t="n"/>
      <c r="I3200" s="113" t="n"/>
      <c r="J3200" s="113" t="n"/>
      <c r="K3200" s="113" t="n"/>
      <c r="L3200" s="113" t="n"/>
      <c r="M3200" s="113" t="n"/>
      <c r="N3200" s="113" t="n"/>
      <c r="O3200" s="113" t="n"/>
      <c r="P3200" s="113" t="n"/>
      <c r="Q3200" s="113" t="n"/>
      <c r="R3200" s="113" t="n"/>
      <c r="S3200" s="113" t="n"/>
      <c r="T3200" s="113" t="n"/>
      <c r="U3200" s="113" t="n"/>
      <c r="V3200" s="113" t="n"/>
      <c r="W3200" s="113" t="n"/>
      <c r="X3200" s="113" t="n"/>
      <c r="Y3200" s="113" t="n"/>
      <c r="Z3200" s="117">
        <f>IF($B3200="",0,IF($S3200="EVET",IF($D3200="GELİR",$O3200,-$O3200),0))</f>
        <v/>
      </c>
      <c r="AA3200" s="117">
        <f>IF($B3200="",0,IF(OR($W3200="EVET",$X3200="EVET",$Y3200="EVET"),0,IF($D3200="GELİR",IF($E3200="SATIŞ İADESİ/İSKONTO",-$O3200,$O3200),-$O3200)))</f>
        <v/>
      </c>
      <c r="AB3200" s="117">
        <f>IF($B3200="","",IF(OR($D3200="",$E3200="",$O3200=""),"EKSİK",IF($O3200&lt;=0,"SIFIR/NEGATİF",IF(COUNTIFS($C$6:$C$5000,$C3200,$O$6:$O$5000,$O3200,$B$6:$B$5000,$B3200)&gt;1,"MÜKERRER","OK"))))</f>
        <v/>
      </c>
    </row>
    <row r="3201" ht="16.5" customHeight="1" s="80">
      <c r="A3201" s="113" t="n"/>
      <c r="B3201" s="113" t="n"/>
      <c r="C3201" s="113" t="n"/>
      <c r="D3201" s="113" t="n"/>
      <c r="E3201" s="113" t="n"/>
      <c r="F3201" s="113" t="n"/>
      <c r="G3201" s="113" t="n"/>
      <c r="H3201" s="113" t="n"/>
      <c r="I3201" s="113" t="n"/>
      <c r="J3201" s="113" t="n"/>
      <c r="K3201" s="113" t="n"/>
      <c r="L3201" s="113" t="n"/>
      <c r="M3201" s="113" t="n"/>
      <c r="N3201" s="113" t="n"/>
      <c r="O3201" s="113" t="n"/>
      <c r="P3201" s="113" t="n"/>
      <c r="Q3201" s="113" t="n"/>
      <c r="R3201" s="113" t="n"/>
      <c r="S3201" s="113" t="n"/>
      <c r="T3201" s="113" t="n"/>
      <c r="U3201" s="113" t="n"/>
      <c r="V3201" s="113" t="n"/>
      <c r="W3201" s="113" t="n"/>
      <c r="X3201" s="113" t="n"/>
      <c r="Y3201" s="113" t="n"/>
      <c r="Z3201" s="117">
        <f>IF($B3201="",0,IF($S3201="EVET",IF($D3201="GELİR",$O3201,-$O3201),0))</f>
        <v/>
      </c>
      <c r="AA3201" s="117">
        <f>IF($B3201="",0,IF(OR($W3201="EVET",$X3201="EVET",$Y3201="EVET"),0,IF($D3201="GELİR",IF($E3201="SATIŞ İADESİ/İSKONTO",-$O3201,$O3201),-$O3201)))</f>
        <v/>
      </c>
      <c r="AB3201" s="117">
        <f>IF($B3201="","",IF(OR($D3201="",$E3201="",$O3201=""),"EKSİK",IF($O3201&lt;=0,"SIFIR/NEGATİF",IF(COUNTIFS($C$6:$C$5000,$C3201,$O$6:$O$5000,$O3201,$B$6:$B$5000,$B3201)&gt;1,"MÜKERRER","OK"))))</f>
        <v/>
      </c>
    </row>
    <row r="3202" ht="16.5" customHeight="1" s="80">
      <c r="A3202" s="113" t="n"/>
      <c r="B3202" s="113" t="n"/>
      <c r="C3202" s="113" t="n"/>
      <c r="D3202" s="113" t="n"/>
      <c r="E3202" s="113" t="n"/>
      <c r="F3202" s="113" t="n"/>
      <c r="G3202" s="113" t="n"/>
      <c r="H3202" s="113" t="n"/>
      <c r="I3202" s="113" t="n"/>
      <c r="J3202" s="113" t="n"/>
      <c r="K3202" s="113" t="n"/>
      <c r="L3202" s="113" t="n"/>
      <c r="M3202" s="113" t="n"/>
      <c r="N3202" s="113" t="n"/>
      <c r="O3202" s="113" t="n"/>
      <c r="P3202" s="113" t="n"/>
      <c r="Q3202" s="113" t="n"/>
      <c r="R3202" s="113" t="n"/>
      <c r="S3202" s="113" t="n"/>
      <c r="T3202" s="113" t="n"/>
      <c r="U3202" s="113" t="n"/>
      <c r="V3202" s="113" t="n"/>
      <c r="W3202" s="113" t="n"/>
      <c r="X3202" s="113" t="n"/>
      <c r="Y3202" s="113" t="n"/>
      <c r="Z3202" s="117">
        <f>IF($B3202="",0,IF($S3202="EVET",IF($D3202="GELİR",$O3202,-$O3202),0))</f>
        <v/>
      </c>
      <c r="AA3202" s="117">
        <f>IF($B3202="",0,IF(OR($W3202="EVET",$X3202="EVET",$Y3202="EVET"),0,IF($D3202="GELİR",IF($E3202="SATIŞ İADESİ/İSKONTO",-$O3202,$O3202),-$O3202)))</f>
        <v/>
      </c>
      <c r="AB3202" s="117">
        <f>IF($B3202="","",IF(OR($D3202="",$E3202="",$O3202=""),"EKSİK",IF($O3202&lt;=0,"SIFIR/NEGATİF",IF(COUNTIFS($C$6:$C$5000,$C3202,$O$6:$O$5000,$O3202,$B$6:$B$5000,$B3202)&gt;1,"MÜKERRER","OK"))))</f>
        <v/>
      </c>
    </row>
    <row r="3203" ht="16.5" customHeight="1" s="80">
      <c r="A3203" s="113" t="n"/>
      <c r="B3203" s="113" t="n"/>
      <c r="C3203" s="113" t="n"/>
      <c r="D3203" s="113" t="n"/>
      <c r="E3203" s="113" t="n"/>
      <c r="F3203" s="113" t="n"/>
      <c r="G3203" s="113" t="n"/>
      <c r="H3203" s="113" t="n"/>
      <c r="I3203" s="113" t="n"/>
      <c r="J3203" s="113" t="n"/>
      <c r="K3203" s="113" t="n"/>
      <c r="L3203" s="113" t="n"/>
      <c r="M3203" s="113" t="n"/>
      <c r="N3203" s="113" t="n"/>
      <c r="O3203" s="113" t="n"/>
      <c r="P3203" s="113" t="n"/>
      <c r="Q3203" s="113" t="n"/>
      <c r="R3203" s="113" t="n"/>
      <c r="S3203" s="113" t="n"/>
      <c r="T3203" s="113" t="n"/>
      <c r="U3203" s="113" t="n"/>
      <c r="V3203" s="113" t="n"/>
      <c r="W3203" s="113" t="n"/>
      <c r="X3203" s="113" t="n"/>
      <c r="Y3203" s="113" t="n"/>
      <c r="Z3203" s="117">
        <f>IF($B3203="",0,IF($S3203="EVET",IF($D3203="GELİR",$O3203,-$O3203),0))</f>
        <v/>
      </c>
      <c r="AA3203" s="117">
        <f>IF($B3203="",0,IF(OR($W3203="EVET",$X3203="EVET",$Y3203="EVET"),0,IF($D3203="GELİR",IF($E3203="SATIŞ İADESİ/İSKONTO",-$O3203,$O3203),-$O3203)))</f>
        <v/>
      </c>
      <c r="AB3203" s="117">
        <f>IF($B3203="","",IF(OR($D3203="",$E3203="",$O3203=""),"EKSİK",IF($O3203&lt;=0,"SIFIR/NEGATİF",IF(COUNTIFS($C$6:$C$5000,$C3203,$O$6:$O$5000,$O3203,$B$6:$B$5000,$B3203)&gt;1,"MÜKERRER","OK"))))</f>
        <v/>
      </c>
    </row>
    <row r="3204" ht="16.5" customHeight="1" s="80">
      <c r="A3204" s="113" t="n"/>
      <c r="B3204" s="113" t="n"/>
      <c r="C3204" s="113" t="n"/>
      <c r="D3204" s="113" t="n"/>
      <c r="E3204" s="113" t="n"/>
      <c r="F3204" s="113" t="n"/>
      <c r="G3204" s="113" t="n"/>
      <c r="H3204" s="113" t="n"/>
      <c r="I3204" s="113" t="n"/>
      <c r="J3204" s="113" t="n"/>
      <c r="K3204" s="113" t="n"/>
      <c r="L3204" s="113" t="n"/>
      <c r="M3204" s="113" t="n"/>
      <c r="N3204" s="113" t="n"/>
      <c r="O3204" s="113" t="n"/>
      <c r="P3204" s="113" t="n"/>
      <c r="Q3204" s="113" t="n"/>
      <c r="R3204" s="113" t="n"/>
      <c r="S3204" s="113" t="n"/>
      <c r="T3204" s="113" t="n"/>
      <c r="U3204" s="113" t="n"/>
      <c r="V3204" s="113" t="n"/>
      <c r="W3204" s="113" t="n"/>
      <c r="X3204" s="113" t="n"/>
      <c r="Y3204" s="113" t="n"/>
      <c r="Z3204" s="117">
        <f>IF($B3204="",0,IF($S3204="EVET",IF($D3204="GELİR",$O3204,-$O3204),0))</f>
        <v/>
      </c>
      <c r="AA3204" s="117">
        <f>IF($B3204="",0,IF(OR($W3204="EVET",$X3204="EVET",$Y3204="EVET"),0,IF($D3204="GELİR",IF($E3204="SATIŞ İADESİ/İSKONTO",-$O3204,$O3204),-$O3204)))</f>
        <v/>
      </c>
      <c r="AB3204" s="117">
        <f>IF($B3204="","",IF(OR($D3204="",$E3204="",$O3204=""),"EKSİK",IF($O3204&lt;=0,"SIFIR/NEGATİF",IF(COUNTIFS($C$6:$C$5000,$C3204,$O$6:$O$5000,$O3204,$B$6:$B$5000,$B3204)&gt;1,"MÜKERRER","OK"))))</f>
        <v/>
      </c>
    </row>
    <row r="3205" ht="16.5" customHeight="1" s="80">
      <c r="A3205" s="113" t="n"/>
      <c r="B3205" s="113" t="n"/>
      <c r="C3205" s="113" t="n"/>
      <c r="D3205" s="113" t="n"/>
      <c r="E3205" s="113" t="n"/>
      <c r="F3205" s="113" t="n"/>
      <c r="G3205" s="113" t="n"/>
      <c r="H3205" s="113" t="n"/>
      <c r="I3205" s="113" t="n"/>
      <c r="J3205" s="113" t="n"/>
      <c r="K3205" s="113" t="n"/>
      <c r="L3205" s="113" t="n"/>
      <c r="M3205" s="113" t="n"/>
      <c r="N3205" s="113" t="n"/>
      <c r="O3205" s="113" t="n"/>
      <c r="P3205" s="113" t="n"/>
      <c r="Q3205" s="113" t="n"/>
      <c r="R3205" s="113" t="n"/>
      <c r="S3205" s="113" t="n"/>
      <c r="T3205" s="113" t="n"/>
      <c r="U3205" s="113" t="n"/>
      <c r="V3205" s="113" t="n"/>
      <c r="W3205" s="113" t="n"/>
      <c r="X3205" s="113" t="n"/>
      <c r="Y3205" s="113" t="n"/>
      <c r="Z3205" s="117">
        <f>IF($B3205="",0,IF($S3205="EVET",IF($D3205="GELİR",$O3205,-$O3205),0))</f>
        <v/>
      </c>
      <c r="AA3205" s="117">
        <f>IF($B3205="",0,IF(OR($W3205="EVET",$X3205="EVET",$Y3205="EVET"),0,IF($D3205="GELİR",IF($E3205="SATIŞ İADESİ/İSKONTO",-$O3205,$O3205),-$O3205)))</f>
        <v/>
      </c>
      <c r="AB3205" s="117">
        <f>IF($B3205="","",IF(OR($D3205="",$E3205="",$O3205=""),"EKSİK",IF($O3205&lt;=0,"SIFIR/NEGATİF",IF(COUNTIFS($C$6:$C$5000,$C3205,$O$6:$O$5000,$O3205,$B$6:$B$5000,$B3205)&gt;1,"MÜKERRER","OK"))))</f>
        <v/>
      </c>
    </row>
    <row r="3206" ht="16.5" customHeight="1" s="80">
      <c r="A3206" s="113" t="n"/>
      <c r="B3206" s="113" t="n"/>
      <c r="C3206" s="113" t="n"/>
      <c r="D3206" s="113" t="n"/>
      <c r="E3206" s="113" t="n"/>
      <c r="F3206" s="113" t="n"/>
      <c r="G3206" s="113" t="n"/>
      <c r="H3206" s="113" t="n"/>
      <c r="I3206" s="113" t="n"/>
      <c r="J3206" s="113" t="n"/>
      <c r="K3206" s="113" t="n"/>
      <c r="L3206" s="113" t="n"/>
      <c r="M3206" s="113" t="n"/>
      <c r="N3206" s="113" t="n"/>
      <c r="O3206" s="113" t="n"/>
      <c r="P3206" s="113" t="n"/>
      <c r="Q3206" s="113" t="n"/>
      <c r="R3206" s="113" t="n"/>
      <c r="S3206" s="113" t="n"/>
      <c r="T3206" s="113" t="n"/>
      <c r="U3206" s="113" t="n"/>
      <c r="V3206" s="113" t="n"/>
      <c r="W3206" s="113" t="n"/>
      <c r="X3206" s="113" t="n"/>
      <c r="Y3206" s="113" t="n"/>
      <c r="Z3206" s="117">
        <f>IF($B3206="",0,IF($S3206="EVET",IF($D3206="GELİR",$O3206,-$O3206),0))</f>
        <v/>
      </c>
      <c r="AA3206" s="117">
        <f>IF($B3206="",0,IF(OR($W3206="EVET",$X3206="EVET",$Y3206="EVET"),0,IF($D3206="GELİR",IF($E3206="SATIŞ İADESİ/İSKONTO",-$O3206,$O3206),-$O3206)))</f>
        <v/>
      </c>
      <c r="AB3206" s="117">
        <f>IF($B3206="","",IF(OR($D3206="",$E3206="",$O3206=""),"EKSİK",IF($O3206&lt;=0,"SIFIR/NEGATİF",IF(COUNTIFS($C$6:$C$5000,$C3206,$O$6:$O$5000,$O3206,$B$6:$B$5000,$B3206)&gt;1,"MÜKERRER","OK"))))</f>
        <v/>
      </c>
    </row>
    <row r="3207" ht="16.5" customHeight="1" s="80">
      <c r="A3207" s="113" t="n"/>
      <c r="B3207" s="113" t="n"/>
      <c r="C3207" s="113" t="n"/>
      <c r="D3207" s="113" t="n"/>
      <c r="E3207" s="113" t="n"/>
      <c r="F3207" s="113" t="n"/>
      <c r="G3207" s="113" t="n"/>
      <c r="H3207" s="113" t="n"/>
      <c r="I3207" s="113" t="n"/>
      <c r="J3207" s="113" t="n"/>
      <c r="K3207" s="113" t="n"/>
      <c r="L3207" s="113" t="n"/>
      <c r="M3207" s="113" t="n"/>
      <c r="N3207" s="113" t="n"/>
      <c r="O3207" s="113" t="n"/>
      <c r="P3207" s="113" t="n"/>
      <c r="Q3207" s="113" t="n"/>
      <c r="R3207" s="113" t="n"/>
      <c r="S3207" s="113" t="n"/>
      <c r="T3207" s="113" t="n"/>
      <c r="U3207" s="113" t="n"/>
      <c r="V3207" s="113" t="n"/>
      <c r="W3207" s="113" t="n"/>
      <c r="X3207" s="113" t="n"/>
      <c r="Y3207" s="113" t="n"/>
      <c r="Z3207" s="117">
        <f>IF($B3207="",0,IF($S3207="EVET",IF($D3207="GELİR",$O3207,-$O3207),0))</f>
        <v/>
      </c>
      <c r="AA3207" s="117">
        <f>IF($B3207="",0,IF(OR($W3207="EVET",$X3207="EVET",$Y3207="EVET"),0,IF($D3207="GELİR",IF($E3207="SATIŞ İADESİ/İSKONTO",-$O3207,$O3207),-$O3207)))</f>
        <v/>
      </c>
      <c r="AB3207" s="117">
        <f>IF($B3207="","",IF(OR($D3207="",$E3207="",$O3207=""),"EKSİK",IF($O3207&lt;=0,"SIFIR/NEGATİF",IF(COUNTIFS($C$6:$C$5000,$C3207,$O$6:$O$5000,$O3207,$B$6:$B$5000,$B3207)&gt;1,"MÜKERRER","OK"))))</f>
        <v/>
      </c>
    </row>
    <row r="3208" ht="16.5" customHeight="1" s="80">
      <c r="A3208" s="113" t="n"/>
      <c r="B3208" s="113" t="n"/>
      <c r="C3208" s="113" t="n"/>
      <c r="D3208" s="113" t="n"/>
      <c r="E3208" s="113" t="n"/>
      <c r="F3208" s="113" t="n"/>
      <c r="G3208" s="113" t="n"/>
      <c r="H3208" s="113" t="n"/>
      <c r="I3208" s="113" t="n"/>
      <c r="J3208" s="113" t="n"/>
      <c r="K3208" s="113" t="n"/>
      <c r="L3208" s="113" t="n"/>
      <c r="M3208" s="113" t="n"/>
      <c r="N3208" s="113" t="n"/>
      <c r="O3208" s="113" t="n"/>
      <c r="P3208" s="113" t="n"/>
      <c r="Q3208" s="113" t="n"/>
      <c r="R3208" s="113" t="n"/>
      <c r="S3208" s="113" t="n"/>
      <c r="T3208" s="113" t="n"/>
      <c r="U3208" s="113" t="n"/>
      <c r="V3208" s="113" t="n"/>
      <c r="W3208" s="113" t="n"/>
      <c r="X3208" s="113" t="n"/>
      <c r="Y3208" s="113" t="n"/>
      <c r="Z3208" s="117">
        <f>IF($B3208="",0,IF($S3208="EVET",IF($D3208="GELİR",$O3208,-$O3208),0))</f>
        <v/>
      </c>
      <c r="AA3208" s="117">
        <f>IF($B3208="",0,IF(OR($W3208="EVET",$X3208="EVET",$Y3208="EVET"),0,IF($D3208="GELİR",IF($E3208="SATIŞ İADESİ/İSKONTO",-$O3208,$O3208),-$O3208)))</f>
        <v/>
      </c>
      <c r="AB3208" s="117">
        <f>IF($B3208="","",IF(OR($D3208="",$E3208="",$O3208=""),"EKSİK",IF($O3208&lt;=0,"SIFIR/NEGATİF",IF(COUNTIFS($C$6:$C$5000,$C3208,$O$6:$O$5000,$O3208,$B$6:$B$5000,$B3208)&gt;1,"MÜKERRER","OK"))))</f>
        <v/>
      </c>
    </row>
    <row r="3209" ht="16.5" customHeight="1" s="80">
      <c r="A3209" s="113" t="n"/>
      <c r="B3209" s="113" t="n"/>
      <c r="C3209" s="113" t="n"/>
      <c r="D3209" s="113" t="n"/>
      <c r="E3209" s="113" t="n"/>
      <c r="F3209" s="113" t="n"/>
      <c r="G3209" s="113" t="n"/>
      <c r="H3209" s="113" t="n"/>
      <c r="I3209" s="113" t="n"/>
      <c r="J3209" s="113" t="n"/>
      <c r="K3209" s="113" t="n"/>
      <c r="L3209" s="113" t="n"/>
      <c r="M3209" s="113" t="n"/>
      <c r="N3209" s="113" t="n"/>
      <c r="O3209" s="113" t="n"/>
      <c r="P3209" s="113" t="n"/>
      <c r="Q3209" s="113" t="n"/>
      <c r="R3209" s="113" t="n"/>
      <c r="S3209" s="113" t="n"/>
      <c r="T3209" s="113" t="n"/>
      <c r="U3209" s="113" t="n"/>
      <c r="V3209" s="113" t="n"/>
      <c r="W3209" s="113" t="n"/>
      <c r="X3209" s="113" t="n"/>
      <c r="Y3209" s="113" t="n"/>
      <c r="Z3209" s="117">
        <f>IF($B3209="",0,IF($S3209="EVET",IF($D3209="GELİR",$O3209,-$O3209),0))</f>
        <v/>
      </c>
      <c r="AA3209" s="117">
        <f>IF($B3209="",0,IF(OR($W3209="EVET",$X3209="EVET",$Y3209="EVET"),0,IF($D3209="GELİR",IF($E3209="SATIŞ İADESİ/İSKONTO",-$O3209,$O3209),-$O3209)))</f>
        <v/>
      </c>
      <c r="AB3209" s="117">
        <f>IF($B3209="","",IF(OR($D3209="",$E3209="",$O3209=""),"EKSİK",IF($O3209&lt;=0,"SIFIR/NEGATİF",IF(COUNTIFS($C$6:$C$5000,$C3209,$O$6:$O$5000,$O3209,$B$6:$B$5000,$B3209)&gt;1,"MÜKERRER","OK"))))</f>
        <v/>
      </c>
    </row>
    <row r="3210" ht="16.5" customHeight="1" s="80">
      <c r="A3210" s="113" t="n"/>
      <c r="B3210" s="113" t="n"/>
      <c r="C3210" s="113" t="n"/>
      <c r="D3210" s="113" t="n"/>
      <c r="E3210" s="113" t="n"/>
      <c r="F3210" s="113" t="n"/>
      <c r="G3210" s="113" t="n"/>
      <c r="H3210" s="113" t="n"/>
      <c r="I3210" s="113" t="n"/>
      <c r="J3210" s="113" t="n"/>
      <c r="K3210" s="113" t="n"/>
      <c r="L3210" s="113" t="n"/>
      <c r="M3210" s="113" t="n"/>
      <c r="N3210" s="113" t="n"/>
      <c r="O3210" s="113" t="n"/>
      <c r="P3210" s="113" t="n"/>
      <c r="Q3210" s="113" t="n"/>
      <c r="R3210" s="113" t="n"/>
      <c r="S3210" s="113" t="n"/>
      <c r="T3210" s="113" t="n"/>
      <c r="U3210" s="113" t="n"/>
      <c r="V3210" s="113" t="n"/>
      <c r="W3210" s="113" t="n"/>
      <c r="X3210" s="113" t="n"/>
      <c r="Y3210" s="113" t="n"/>
      <c r="Z3210" s="117">
        <f>IF($B3210="",0,IF($S3210="EVET",IF($D3210="GELİR",$O3210,-$O3210),0))</f>
        <v/>
      </c>
      <c r="AA3210" s="117">
        <f>IF($B3210="",0,IF(OR($W3210="EVET",$X3210="EVET",$Y3210="EVET"),0,IF($D3210="GELİR",IF($E3210="SATIŞ İADESİ/İSKONTO",-$O3210,$O3210),-$O3210)))</f>
        <v/>
      </c>
      <c r="AB3210" s="117">
        <f>IF($B3210="","",IF(OR($D3210="",$E3210="",$O3210=""),"EKSİK",IF($O3210&lt;=0,"SIFIR/NEGATİF",IF(COUNTIFS($C$6:$C$5000,$C3210,$O$6:$O$5000,$O3210,$B$6:$B$5000,$B3210)&gt;1,"MÜKERRER","OK"))))</f>
        <v/>
      </c>
    </row>
    <row r="3211" ht="16.5" customHeight="1" s="80">
      <c r="A3211" s="113" t="n"/>
      <c r="B3211" s="113" t="n"/>
      <c r="C3211" s="113" t="n"/>
      <c r="D3211" s="113" t="n"/>
      <c r="E3211" s="113" t="n"/>
      <c r="F3211" s="113" t="n"/>
      <c r="G3211" s="113" t="n"/>
      <c r="H3211" s="113" t="n"/>
      <c r="I3211" s="113" t="n"/>
      <c r="J3211" s="113" t="n"/>
      <c r="K3211" s="113" t="n"/>
      <c r="L3211" s="113" t="n"/>
      <c r="M3211" s="113" t="n"/>
      <c r="N3211" s="113" t="n"/>
      <c r="O3211" s="113" t="n"/>
      <c r="P3211" s="113" t="n"/>
      <c r="Q3211" s="113" t="n"/>
      <c r="R3211" s="113" t="n"/>
      <c r="S3211" s="113" t="n"/>
      <c r="T3211" s="113" t="n"/>
      <c r="U3211" s="113" t="n"/>
      <c r="V3211" s="113" t="n"/>
      <c r="W3211" s="113" t="n"/>
      <c r="X3211" s="113" t="n"/>
      <c r="Y3211" s="113" t="n"/>
      <c r="Z3211" s="117">
        <f>IF($B3211="",0,IF($S3211="EVET",IF($D3211="GELİR",$O3211,-$O3211),0))</f>
        <v/>
      </c>
      <c r="AA3211" s="117">
        <f>IF($B3211="",0,IF(OR($W3211="EVET",$X3211="EVET",$Y3211="EVET"),0,IF($D3211="GELİR",IF($E3211="SATIŞ İADESİ/İSKONTO",-$O3211,$O3211),-$O3211)))</f>
        <v/>
      </c>
      <c r="AB3211" s="117">
        <f>IF($B3211="","",IF(OR($D3211="",$E3211="",$O3211=""),"EKSİK",IF($O3211&lt;=0,"SIFIR/NEGATİF",IF(COUNTIFS($C$6:$C$5000,$C3211,$O$6:$O$5000,$O3211,$B$6:$B$5000,$B3211)&gt;1,"MÜKERRER","OK"))))</f>
        <v/>
      </c>
    </row>
    <row r="3212" ht="16.5" customHeight="1" s="80">
      <c r="A3212" s="113" t="n"/>
      <c r="B3212" s="113" t="n"/>
      <c r="C3212" s="113" t="n"/>
      <c r="D3212" s="113" t="n"/>
      <c r="E3212" s="113" t="n"/>
      <c r="F3212" s="113" t="n"/>
      <c r="G3212" s="113" t="n"/>
      <c r="H3212" s="113" t="n"/>
      <c r="I3212" s="113" t="n"/>
      <c r="J3212" s="113" t="n"/>
      <c r="K3212" s="113" t="n"/>
      <c r="L3212" s="113" t="n"/>
      <c r="M3212" s="113" t="n"/>
      <c r="N3212" s="113" t="n"/>
      <c r="O3212" s="113" t="n"/>
      <c r="P3212" s="113" t="n"/>
      <c r="Q3212" s="113" t="n"/>
      <c r="R3212" s="113" t="n"/>
      <c r="S3212" s="113" t="n"/>
      <c r="T3212" s="113" t="n"/>
      <c r="U3212" s="113" t="n"/>
      <c r="V3212" s="113" t="n"/>
      <c r="W3212" s="113" t="n"/>
      <c r="X3212" s="113" t="n"/>
      <c r="Y3212" s="113" t="n"/>
      <c r="Z3212" s="117">
        <f>IF($B3212="",0,IF($S3212="EVET",IF($D3212="GELİR",$O3212,-$O3212),0))</f>
        <v/>
      </c>
      <c r="AA3212" s="117">
        <f>IF($B3212="",0,IF(OR($W3212="EVET",$X3212="EVET",$Y3212="EVET"),0,IF($D3212="GELİR",IF($E3212="SATIŞ İADESİ/İSKONTO",-$O3212,$O3212),-$O3212)))</f>
        <v/>
      </c>
      <c r="AB3212" s="117">
        <f>IF($B3212="","",IF(OR($D3212="",$E3212="",$O3212=""),"EKSİK",IF($O3212&lt;=0,"SIFIR/NEGATİF",IF(COUNTIFS($C$6:$C$5000,$C3212,$O$6:$O$5000,$O3212,$B$6:$B$5000,$B3212)&gt;1,"MÜKERRER","OK"))))</f>
        <v/>
      </c>
    </row>
    <row r="3213" ht="16.5" customHeight="1" s="80">
      <c r="A3213" s="113" t="n"/>
      <c r="B3213" s="113" t="n"/>
      <c r="C3213" s="113" t="n"/>
      <c r="D3213" s="113" t="n"/>
      <c r="E3213" s="113" t="n"/>
      <c r="F3213" s="113" t="n"/>
      <c r="G3213" s="113" t="n"/>
      <c r="H3213" s="113" t="n"/>
      <c r="I3213" s="113" t="n"/>
      <c r="J3213" s="113" t="n"/>
      <c r="K3213" s="113" t="n"/>
      <c r="L3213" s="113" t="n"/>
      <c r="M3213" s="113" t="n"/>
      <c r="N3213" s="113" t="n"/>
      <c r="O3213" s="113" t="n"/>
      <c r="P3213" s="113" t="n"/>
      <c r="Q3213" s="113" t="n"/>
      <c r="R3213" s="113" t="n"/>
      <c r="S3213" s="113" t="n"/>
      <c r="T3213" s="113" t="n"/>
      <c r="U3213" s="113" t="n"/>
      <c r="V3213" s="113" t="n"/>
      <c r="W3213" s="113" t="n"/>
      <c r="X3213" s="113" t="n"/>
      <c r="Y3213" s="113" t="n"/>
      <c r="Z3213" s="117">
        <f>IF($B3213="",0,IF($S3213="EVET",IF($D3213="GELİR",$O3213,-$O3213),0))</f>
        <v/>
      </c>
      <c r="AA3213" s="117">
        <f>IF($B3213="",0,IF(OR($W3213="EVET",$X3213="EVET",$Y3213="EVET"),0,IF($D3213="GELİR",IF($E3213="SATIŞ İADESİ/İSKONTO",-$O3213,$O3213),-$O3213)))</f>
        <v/>
      </c>
      <c r="AB3213" s="117">
        <f>IF($B3213="","",IF(OR($D3213="",$E3213="",$O3213=""),"EKSİK",IF($O3213&lt;=0,"SIFIR/NEGATİF",IF(COUNTIFS($C$6:$C$5000,$C3213,$O$6:$O$5000,$O3213,$B$6:$B$5000,$B3213)&gt;1,"MÜKERRER","OK"))))</f>
        <v/>
      </c>
    </row>
    <row r="3214" ht="16.5" customHeight="1" s="80">
      <c r="A3214" s="113" t="n"/>
      <c r="B3214" s="113" t="n"/>
      <c r="C3214" s="113" t="n"/>
      <c r="D3214" s="113" t="n"/>
      <c r="E3214" s="113" t="n"/>
      <c r="F3214" s="113" t="n"/>
      <c r="G3214" s="113" t="n"/>
      <c r="H3214" s="113" t="n"/>
      <c r="I3214" s="113" t="n"/>
      <c r="J3214" s="113" t="n"/>
      <c r="K3214" s="113" t="n"/>
      <c r="L3214" s="113" t="n"/>
      <c r="M3214" s="113" t="n"/>
      <c r="N3214" s="113" t="n"/>
      <c r="O3214" s="113" t="n"/>
      <c r="P3214" s="113" t="n"/>
      <c r="Q3214" s="113" t="n"/>
      <c r="R3214" s="113" t="n"/>
      <c r="S3214" s="113" t="n"/>
      <c r="T3214" s="113" t="n"/>
      <c r="U3214" s="113" t="n"/>
      <c r="V3214" s="113" t="n"/>
      <c r="W3214" s="113" t="n"/>
      <c r="X3214" s="113" t="n"/>
      <c r="Y3214" s="113" t="n"/>
      <c r="Z3214" s="117">
        <f>IF($B3214="",0,IF($S3214="EVET",IF($D3214="GELİR",$O3214,-$O3214),0))</f>
        <v/>
      </c>
      <c r="AA3214" s="117">
        <f>IF($B3214="",0,IF(OR($W3214="EVET",$X3214="EVET",$Y3214="EVET"),0,IF($D3214="GELİR",IF($E3214="SATIŞ İADESİ/İSKONTO",-$O3214,$O3214),-$O3214)))</f>
        <v/>
      </c>
      <c r="AB3214" s="117">
        <f>IF($B3214="","",IF(OR($D3214="",$E3214="",$O3214=""),"EKSİK",IF($O3214&lt;=0,"SIFIR/NEGATİF",IF(COUNTIFS($C$6:$C$5000,$C3214,$O$6:$O$5000,$O3214,$B$6:$B$5000,$B3214)&gt;1,"MÜKERRER","OK"))))</f>
        <v/>
      </c>
    </row>
    <row r="3215" ht="16.5" customHeight="1" s="80">
      <c r="A3215" s="113" t="n"/>
      <c r="B3215" s="113" t="n"/>
      <c r="C3215" s="113" t="n"/>
      <c r="D3215" s="113" t="n"/>
      <c r="E3215" s="113" t="n"/>
      <c r="F3215" s="113" t="n"/>
      <c r="G3215" s="113" t="n"/>
      <c r="H3215" s="113" t="n"/>
      <c r="I3215" s="113" t="n"/>
      <c r="J3215" s="113" t="n"/>
      <c r="K3215" s="113" t="n"/>
      <c r="L3215" s="113" t="n"/>
      <c r="M3215" s="113" t="n"/>
      <c r="N3215" s="113" t="n"/>
      <c r="O3215" s="113" t="n"/>
      <c r="P3215" s="113" t="n"/>
      <c r="Q3215" s="113" t="n"/>
      <c r="R3215" s="113" t="n"/>
      <c r="S3215" s="113" t="n"/>
      <c r="T3215" s="113" t="n"/>
      <c r="U3215" s="113" t="n"/>
      <c r="V3215" s="113" t="n"/>
      <c r="W3215" s="113" t="n"/>
      <c r="X3215" s="113" t="n"/>
      <c r="Y3215" s="113" t="n"/>
      <c r="Z3215" s="117">
        <f>IF($B3215="",0,IF($S3215="EVET",IF($D3215="GELİR",$O3215,-$O3215),0))</f>
        <v/>
      </c>
      <c r="AA3215" s="117">
        <f>IF($B3215="",0,IF(OR($W3215="EVET",$X3215="EVET",$Y3215="EVET"),0,IF($D3215="GELİR",IF($E3215="SATIŞ İADESİ/İSKONTO",-$O3215,$O3215),-$O3215)))</f>
        <v/>
      </c>
      <c r="AB3215" s="117">
        <f>IF($B3215="","",IF(OR($D3215="",$E3215="",$O3215=""),"EKSİK",IF($O3215&lt;=0,"SIFIR/NEGATİF",IF(COUNTIFS($C$6:$C$5000,$C3215,$O$6:$O$5000,$O3215,$B$6:$B$5000,$B3215)&gt;1,"MÜKERRER","OK"))))</f>
        <v/>
      </c>
    </row>
    <row r="3216" ht="16.5" customHeight="1" s="80">
      <c r="A3216" s="113" t="n"/>
      <c r="B3216" s="113" t="n"/>
      <c r="C3216" s="113" t="n"/>
      <c r="D3216" s="113" t="n"/>
      <c r="E3216" s="113" t="n"/>
      <c r="F3216" s="113" t="n"/>
      <c r="G3216" s="113" t="n"/>
      <c r="H3216" s="113" t="n"/>
      <c r="I3216" s="113" t="n"/>
      <c r="J3216" s="113" t="n"/>
      <c r="K3216" s="113" t="n"/>
      <c r="L3216" s="113" t="n"/>
      <c r="M3216" s="113" t="n"/>
      <c r="N3216" s="113" t="n"/>
      <c r="O3216" s="113" t="n"/>
      <c r="P3216" s="113" t="n"/>
      <c r="Q3216" s="113" t="n"/>
      <c r="R3216" s="113" t="n"/>
      <c r="S3216" s="113" t="n"/>
      <c r="T3216" s="113" t="n"/>
      <c r="U3216" s="113" t="n"/>
      <c r="V3216" s="113" t="n"/>
      <c r="W3216" s="113" t="n"/>
      <c r="X3216" s="113" t="n"/>
      <c r="Y3216" s="113" t="n"/>
      <c r="Z3216" s="117">
        <f>IF($B3216="",0,IF($S3216="EVET",IF($D3216="GELİR",$O3216,-$O3216),0))</f>
        <v/>
      </c>
      <c r="AA3216" s="117">
        <f>IF($B3216="",0,IF(OR($W3216="EVET",$X3216="EVET",$Y3216="EVET"),0,IF($D3216="GELİR",IF($E3216="SATIŞ İADESİ/İSKONTO",-$O3216,$O3216),-$O3216)))</f>
        <v/>
      </c>
      <c r="AB3216" s="117">
        <f>IF($B3216="","",IF(OR($D3216="",$E3216="",$O3216=""),"EKSİK",IF($O3216&lt;=0,"SIFIR/NEGATİF",IF(COUNTIFS($C$6:$C$5000,$C3216,$O$6:$O$5000,$O3216,$B$6:$B$5000,$B3216)&gt;1,"MÜKERRER","OK"))))</f>
        <v/>
      </c>
    </row>
    <row r="3217" ht="16.5" customHeight="1" s="80">
      <c r="A3217" s="113" t="n"/>
      <c r="B3217" s="113" t="n"/>
      <c r="C3217" s="113" t="n"/>
      <c r="D3217" s="113" t="n"/>
      <c r="E3217" s="113" t="n"/>
      <c r="F3217" s="113" t="n"/>
      <c r="G3217" s="113" t="n"/>
      <c r="H3217" s="113" t="n"/>
      <c r="I3217" s="113" t="n"/>
      <c r="J3217" s="113" t="n"/>
      <c r="K3217" s="113" t="n"/>
      <c r="L3217" s="113" t="n"/>
      <c r="M3217" s="113" t="n"/>
      <c r="N3217" s="113" t="n"/>
      <c r="O3217" s="113" t="n"/>
      <c r="P3217" s="113" t="n"/>
      <c r="Q3217" s="113" t="n"/>
      <c r="R3217" s="113" t="n"/>
      <c r="S3217" s="113" t="n"/>
      <c r="T3217" s="113" t="n"/>
      <c r="U3217" s="113" t="n"/>
      <c r="V3217" s="113" t="n"/>
      <c r="W3217" s="113" t="n"/>
      <c r="X3217" s="113" t="n"/>
      <c r="Y3217" s="113" t="n"/>
      <c r="Z3217" s="117">
        <f>IF($B3217="",0,IF($S3217="EVET",IF($D3217="GELİR",$O3217,-$O3217),0))</f>
        <v/>
      </c>
      <c r="AA3217" s="117">
        <f>IF($B3217="",0,IF(OR($W3217="EVET",$X3217="EVET",$Y3217="EVET"),0,IF($D3217="GELİR",IF($E3217="SATIŞ İADESİ/İSKONTO",-$O3217,$O3217),-$O3217)))</f>
        <v/>
      </c>
      <c r="AB3217" s="117">
        <f>IF($B3217="","",IF(OR($D3217="",$E3217="",$O3217=""),"EKSİK",IF($O3217&lt;=0,"SIFIR/NEGATİF",IF(COUNTIFS($C$6:$C$5000,$C3217,$O$6:$O$5000,$O3217,$B$6:$B$5000,$B3217)&gt;1,"MÜKERRER","OK"))))</f>
        <v/>
      </c>
    </row>
    <row r="3218" ht="16.5" customHeight="1" s="80">
      <c r="A3218" s="113" t="n"/>
      <c r="B3218" s="113" t="n"/>
      <c r="C3218" s="113" t="n"/>
      <c r="D3218" s="113" t="n"/>
      <c r="E3218" s="113" t="n"/>
      <c r="F3218" s="113" t="n"/>
      <c r="G3218" s="113" t="n"/>
      <c r="H3218" s="113" t="n"/>
      <c r="I3218" s="113" t="n"/>
      <c r="J3218" s="113" t="n"/>
      <c r="K3218" s="113" t="n"/>
      <c r="L3218" s="113" t="n"/>
      <c r="M3218" s="113" t="n"/>
      <c r="N3218" s="113" t="n"/>
      <c r="O3218" s="113" t="n"/>
      <c r="P3218" s="113" t="n"/>
      <c r="Q3218" s="113" t="n"/>
      <c r="R3218" s="113" t="n"/>
      <c r="S3218" s="113" t="n"/>
      <c r="T3218" s="113" t="n"/>
      <c r="U3218" s="113" t="n"/>
      <c r="V3218" s="113" t="n"/>
      <c r="W3218" s="113" t="n"/>
      <c r="X3218" s="113" t="n"/>
      <c r="Y3218" s="113" t="n"/>
      <c r="Z3218" s="117">
        <f>IF($B3218="",0,IF($S3218="EVET",IF($D3218="GELİR",$O3218,-$O3218),0))</f>
        <v/>
      </c>
      <c r="AA3218" s="117">
        <f>IF($B3218="",0,IF(OR($W3218="EVET",$X3218="EVET",$Y3218="EVET"),0,IF($D3218="GELİR",IF($E3218="SATIŞ İADESİ/İSKONTO",-$O3218,$O3218),-$O3218)))</f>
        <v/>
      </c>
      <c r="AB3218" s="117">
        <f>IF($B3218="","",IF(OR($D3218="",$E3218="",$O3218=""),"EKSİK",IF($O3218&lt;=0,"SIFIR/NEGATİF",IF(COUNTIFS($C$6:$C$5000,$C3218,$O$6:$O$5000,$O3218,$B$6:$B$5000,$B3218)&gt;1,"MÜKERRER","OK"))))</f>
        <v/>
      </c>
    </row>
    <row r="3219" ht="16.5" customHeight="1" s="80">
      <c r="A3219" s="113" t="n"/>
      <c r="B3219" s="113" t="n"/>
      <c r="C3219" s="113" t="n"/>
      <c r="D3219" s="113" t="n"/>
      <c r="E3219" s="113" t="n"/>
      <c r="F3219" s="113" t="n"/>
      <c r="G3219" s="113" t="n"/>
      <c r="H3219" s="113" t="n"/>
      <c r="I3219" s="113" t="n"/>
      <c r="J3219" s="113" t="n"/>
      <c r="K3219" s="113" t="n"/>
      <c r="L3219" s="113" t="n"/>
      <c r="M3219" s="113" t="n"/>
      <c r="N3219" s="113" t="n"/>
      <c r="O3219" s="113" t="n"/>
      <c r="P3219" s="113" t="n"/>
      <c r="Q3219" s="113" t="n"/>
      <c r="R3219" s="113" t="n"/>
      <c r="S3219" s="113" t="n"/>
      <c r="T3219" s="113" t="n"/>
      <c r="U3219" s="113" t="n"/>
      <c r="V3219" s="113" t="n"/>
      <c r="W3219" s="113" t="n"/>
      <c r="X3219" s="113" t="n"/>
      <c r="Y3219" s="113" t="n"/>
      <c r="Z3219" s="117">
        <f>IF($B3219="",0,IF($S3219="EVET",IF($D3219="GELİR",$O3219,-$O3219),0))</f>
        <v/>
      </c>
      <c r="AA3219" s="117">
        <f>IF($B3219="",0,IF(OR($W3219="EVET",$X3219="EVET",$Y3219="EVET"),0,IF($D3219="GELİR",IF($E3219="SATIŞ İADESİ/İSKONTO",-$O3219,$O3219),-$O3219)))</f>
        <v/>
      </c>
      <c r="AB3219" s="117">
        <f>IF($B3219="","",IF(OR($D3219="",$E3219="",$O3219=""),"EKSİK",IF($O3219&lt;=0,"SIFIR/NEGATİF",IF(COUNTIFS($C$6:$C$5000,$C3219,$O$6:$O$5000,$O3219,$B$6:$B$5000,$B3219)&gt;1,"MÜKERRER","OK"))))</f>
        <v/>
      </c>
    </row>
    <row r="3220" ht="16.5" customHeight="1" s="80">
      <c r="A3220" s="113" t="n"/>
      <c r="B3220" s="113" t="n"/>
      <c r="C3220" s="113" t="n"/>
      <c r="D3220" s="113" t="n"/>
      <c r="E3220" s="113" t="n"/>
      <c r="F3220" s="113" t="n"/>
      <c r="G3220" s="113" t="n"/>
      <c r="H3220" s="113" t="n"/>
      <c r="I3220" s="113" t="n"/>
      <c r="J3220" s="113" t="n"/>
      <c r="K3220" s="113" t="n"/>
      <c r="L3220" s="113" t="n"/>
      <c r="M3220" s="113" t="n"/>
      <c r="N3220" s="113" t="n"/>
      <c r="O3220" s="113" t="n"/>
      <c r="P3220" s="113" t="n"/>
      <c r="Q3220" s="113" t="n"/>
      <c r="R3220" s="113" t="n"/>
      <c r="S3220" s="113" t="n"/>
      <c r="T3220" s="113" t="n"/>
      <c r="U3220" s="113" t="n"/>
      <c r="V3220" s="113" t="n"/>
      <c r="W3220" s="113" t="n"/>
      <c r="X3220" s="113" t="n"/>
      <c r="Y3220" s="113" t="n"/>
      <c r="Z3220" s="117">
        <f>IF($B3220="",0,IF($S3220="EVET",IF($D3220="GELİR",$O3220,-$O3220),0))</f>
        <v/>
      </c>
      <c r="AA3220" s="117">
        <f>IF($B3220="",0,IF(OR($W3220="EVET",$X3220="EVET",$Y3220="EVET"),0,IF($D3220="GELİR",IF($E3220="SATIŞ İADESİ/İSKONTO",-$O3220,$O3220),-$O3220)))</f>
        <v/>
      </c>
      <c r="AB3220" s="117">
        <f>IF($B3220="","",IF(OR($D3220="",$E3220="",$O3220=""),"EKSİK",IF($O3220&lt;=0,"SIFIR/NEGATİF",IF(COUNTIFS($C$6:$C$5000,$C3220,$O$6:$O$5000,$O3220,$B$6:$B$5000,$B3220)&gt;1,"MÜKERRER","OK"))))</f>
        <v/>
      </c>
    </row>
    <row r="3221" ht="16.5" customHeight="1" s="80">
      <c r="A3221" s="113" t="n"/>
      <c r="B3221" s="113" t="n"/>
      <c r="C3221" s="113" t="n"/>
      <c r="D3221" s="113" t="n"/>
      <c r="E3221" s="113" t="n"/>
      <c r="F3221" s="113" t="n"/>
      <c r="G3221" s="113" t="n"/>
      <c r="H3221" s="113" t="n"/>
      <c r="I3221" s="113" t="n"/>
      <c r="J3221" s="113" t="n"/>
      <c r="K3221" s="113" t="n"/>
      <c r="L3221" s="113" t="n"/>
      <c r="M3221" s="113" t="n"/>
      <c r="N3221" s="113" t="n"/>
      <c r="O3221" s="113" t="n"/>
      <c r="P3221" s="113" t="n"/>
      <c r="Q3221" s="113" t="n"/>
      <c r="R3221" s="113" t="n"/>
      <c r="S3221" s="113" t="n"/>
      <c r="T3221" s="113" t="n"/>
      <c r="U3221" s="113" t="n"/>
      <c r="V3221" s="113" t="n"/>
      <c r="W3221" s="113" t="n"/>
      <c r="X3221" s="113" t="n"/>
      <c r="Y3221" s="113" t="n"/>
      <c r="Z3221" s="117">
        <f>IF($B3221="",0,IF($S3221="EVET",IF($D3221="GELİR",$O3221,-$O3221),0))</f>
        <v/>
      </c>
      <c r="AA3221" s="117">
        <f>IF($B3221="",0,IF(OR($W3221="EVET",$X3221="EVET",$Y3221="EVET"),0,IF($D3221="GELİR",IF($E3221="SATIŞ İADESİ/İSKONTO",-$O3221,$O3221),-$O3221)))</f>
        <v/>
      </c>
      <c r="AB3221" s="117">
        <f>IF($B3221="","",IF(OR($D3221="",$E3221="",$O3221=""),"EKSİK",IF($O3221&lt;=0,"SIFIR/NEGATİF",IF(COUNTIFS($C$6:$C$5000,$C3221,$O$6:$O$5000,$O3221,$B$6:$B$5000,$B3221)&gt;1,"MÜKERRER","OK"))))</f>
        <v/>
      </c>
    </row>
    <row r="3222" ht="16.5" customHeight="1" s="80">
      <c r="A3222" s="113" t="n"/>
      <c r="B3222" s="113" t="n"/>
      <c r="C3222" s="113" t="n"/>
      <c r="D3222" s="113" t="n"/>
      <c r="E3222" s="113" t="n"/>
      <c r="F3222" s="113" t="n"/>
      <c r="G3222" s="113" t="n"/>
      <c r="H3222" s="113" t="n"/>
      <c r="I3222" s="113" t="n"/>
      <c r="J3222" s="113" t="n"/>
      <c r="K3222" s="113" t="n"/>
      <c r="L3222" s="113" t="n"/>
      <c r="M3222" s="113" t="n"/>
      <c r="N3222" s="113" t="n"/>
      <c r="O3222" s="113" t="n"/>
      <c r="P3222" s="113" t="n"/>
      <c r="Q3222" s="113" t="n"/>
      <c r="R3222" s="113" t="n"/>
      <c r="S3222" s="113" t="n"/>
      <c r="T3222" s="113" t="n"/>
      <c r="U3222" s="113" t="n"/>
      <c r="V3222" s="113" t="n"/>
      <c r="W3222" s="113" t="n"/>
      <c r="X3222" s="113" t="n"/>
      <c r="Y3222" s="113" t="n"/>
      <c r="Z3222" s="117">
        <f>IF($B3222="",0,IF($S3222="EVET",IF($D3222="GELİR",$O3222,-$O3222),0))</f>
        <v/>
      </c>
      <c r="AA3222" s="117">
        <f>IF($B3222="",0,IF(OR($W3222="EVET",$X3222="EVET",$Y3222="EVET"),0,IF($D3222="GELİR",IF($E3222="SATIŞ İADESİ/İSKONTO",-$O3222,$O3222),-$O3222)))</f>
        <v/>
      </c>
      <c r="AB3222" s="117">
        <f>IF($B3222="","",IF(OR($D3222="",$E3222="",$O3222=""),"EKSİK",IF($O3222&lt;=0,"SIFIR/NEGATİF",IF(COUNTIFS($C$6:$C$5000,$C3222,$O$6:$O$5000,$O3222,$B$6:$B$5000,$B3222)&gt;1,"MÜKERRER","OK"))))</f>
        <v/>
      </c>
    </row>
    <row r="3223" ht="16.5" customHeight="1" s="80">
      <c r="A3223" s="113" t="n"/>
      <c r="B3223" s="113" t="n"/>
      <c r="C3223" s="113" t="n"/>
      <c r="D3223" s="113" t="n"/>
      <c r="E3223" s="113" t="n"/>
      <c r="F3223" s="113" t="n"/>
      <c r="G3223" s="113" t="n"/>
      <c r="H3223" s="113" t="n"/>
      <c r="I3223" s="113" t="n"/>
      <c r="J3223" s="113" t="n"/>
      <c r="K3223" s="113" t="n"/>
      <c r="L3223" s="113" t="n"/>
      <c r="M3223" s="113" t="n"/>
      <c r="N3223" s="113" t="n"/>
      <c r="O3223" s="113" t="n"/>
      <c r="P3223" s="113" t="n"/>
      <c r="Q3223" s="113" t="n"/>
      <c r="R3223" s="113" t="n"/>
      <c r="S3223" s="113" t="n"/>
      <c r="T3223" s="113" t="n"/>
      <c r="U3223" s="113" t="n"/>
      <c r="V3223" s="113" t="n"/>
      <c r="W3223" s="113" t="n"/>
      <c r="X3223" s="113" t="n"/>
      <c r="Y3223" s="113" t="n"/>
      <c r="Z3223" s="117">
        <f>IF($B3223="",0,IF($S3223="EVET",IF($D3223="GELİR",$O3223,-$O3223),0))</f>
        <v/>
      </c>
      <c r="AA3223" s="117">
        <f>IF($B3223="",0,IF(OR($W3223="EVET",$X3223="EVET",$Y3223="EVET"),0,IF($D3223="GELİR",IF($E3223="SATIŞ İADESİ/İSKONTO",-$O3223,$O3223),-$O3223)))</f>
        <v/>
      </c>
      <c r="AB3223" s="117">
        <f>IF($B3223="","",IF(OR($D3223="",$E3223="",$O3223=""),"EKSİK",IF($O3223&lt;=0,"SIFIR/NEGATİF",IF(COUNTIFS($C$6:$C$5000,$C3223,$O$6:$O$5000,$O3223,$B$6:$B$5000,$B3223)&gt;1,"MÜKERRER","OK"))))</f>
        <v/>
      </c>
    </row>
    <row r="3224" ht="16.5" customHeight="1" s="80">
      <c r="A3224" s="113" t="n"/>
      <c r="B3224" s="113" t="n"/>
      <c r="C3224" s="113" t="n"/>
      <c r="D3224" s="113" t="n"/>
      <c r="E3224" s="113" t="n"/>
      <c r="F3224" s="113" t="n"/>
      <c r="G3224" s="113" t="n"/>
      <c r="H3224" s="113" t="n"/>
      <c r="I3224" s="113" t="n"/>
      <c r="J3224" s="113" t="n"/>
      <c r="K3224" s="113" t="n"/>
      <c r="L3224" s="113" t="n"/>
      <c r="M3224" s="113" t="n"/>
      <c r="N3224" s="113" t="n"/>
      <c r="O3224" s="113" t="n"/>
      <c r="P3224" s="113" t="n"/>
      <c r="Q3224" s="113" t="n"/>
      <c r="R3224" s="113" t="n"/>
      <c r="S3224" s="113" t="n"/>
      <c r="T3224" s="113" t="n"/>
      <c r="U3224" s="113" t="n"/>
      <c r="V3224" s="113" t="n"/>
      <c r="W3224" s="113" t="n"/>
      <c r="X3224" s="113" t="n"/>
      <c r="Y3224" s="113" t="n"/>
      <c r="Z3224" s="117">
        <f>IF($B3224="",0,IF($S3224="EVET",IF($D3224="GELİR",$O3224,-$O3224),0))</f>
        <v/>
      </c>
      <c r="AA3224" s="117">
        <f>IF($B3224="",0,IF(OR($W3224="EVET",$X3224="EVET",$Y3224="EVET"),0,IF($D3224="GELİR",IF($E3224="SATIŞ İADESİ/İSKONTO",-$O3224,$O3224),-$O3224)))</f>
        <v/>
      </c>
      <c r="AB3224" s="117">
        <f>IF($B3224="","",IF(OR($D3224="",$E3224="",$O3224=""),"EKSİK",IF($O3224&lt;=0,"SIFIR/NEGATİF",IF(COUNTIFS($C$6:$C$5000,$C3224,$O$6:$O$5000,$O3224,$B$6:$B$5000,$B3224)&gt;1,"MÜKERRER","OK"))))</f>
        <v/>
      </c>
    </row>
    <row r="3225" ht="16.5" customHeight="1" s="80">
      <c r="A3225" s="113" t="n"/>
      <c r="B3225" s="113" t="n"/>
      <c r="C3225" s="113" t="n"/>
      <c r="D3225" s="113" t="n"/>
      <c r="E3225" s="113" t="n"/>
      <c r="F3225" s="113" t="n"/>
      <c r="G3225" s="113" t="n"/>
      <c r="H3225" s="113" t="n"/>
      <c r="I3225" s="113" t="n"/>
      <c r="J3225" s="113" t="n"/>
      <c r="K3225" s="113" t="n"/>
      <c r="L3225" s="113" t="n"/>
      <c r="M3225" s="113" t="n"/>
      <c r="N3225" s="113" t="n"/>
      <c r="O3225" s="113" t="n"/>
      <c r="P3225" s="113" t="n"/>
      <c r="Q3225" s="113" t="n"/>
      <c r="R3225" s="113" t="n"/>
      <c r="S3225" s="113" t="n"/>
      <c r="T3225" s="113" t="n"/>
      <c r="U3225" s="113" t="n"/>
      <c r="V3225" s="113" t="n"/>
      <c r="W3225" s="113" t="n"/>
      <c r="X3225" s="113" t="n"/>
      <c r="Y3225" s="113" t="n"/>
      <c r="Z3225" s="117">
        <f>IF($B3225="",0,IF($S3225="EVET",IF($D3225="GELİR",$O3225,-$O3225),0))</f>
        <v/>
      </c>
      <c r="AA3225" s="117">
        <f>IF($B3225="",0,IF(OR($W3225="EVET",$X3225="EVET",$Y3225="EVET"),0,IF($D3225="GELİR",IF($E3225="SATIŞ İADESİ/İSKONTO",-$O3225,$O3225),-$O3225)))</f>
        <v/>
      </c>
      <c r="AB3225" s="117">
        <f>IF($B3225="","",IF(OR($D3225="",$E3225="",$O3225=""),"EKSİK",IF($O3225&lt;=0,"SIFIR/NEGATİF",IF(COUNTIFS($C$6:$C$5000,$C3225,$O$6:$O$5000,$O3225,$B$6:$B$5000,$B3225)&gt;1,"MÜKERRER","OK"))))</f>
        <v/>
      </c>
    </row>
    <row r="3226" ht="16.5" customHeight="1" s="80">
      <c r="A3226" s="113" t="n"/>
      <c r="B3226" s="113" t="n"/>
      <c r="C3226" s="113" t="n"/>
      <c r="D3226" s="113" t="n"/>
      <c r="E3226" s="113" t="n"/>
      <c r="F3226" s="113" t="n"/>
      <c r="G3226" s="113" t="n"/>
      <c r="H3226" s="113" t="n"/>
      <c r="I3226" s="113" t="n"/>
      <c r="J3226" s="113" t="n"/>
      <c r="K3226" s="113" t="n"/>
      <c r="L3226" s="113" t="n"/>
      <c r="M3226" s="113" t="n"/>
      <c r="N3226" s="113" t="n"/>
      <c r="O3226" s="113" t="n"/>
      <c r="P3226" s="113" t="n"/>
      <c r="Q3226" s="113" t="n"/>
      <c r="R3226" s="113" t="n"/>
      <c r="S3226" s="113" t="n"/>
      <c r="T3226" s="113" t="n"/>
      <c r="U3226" s="113" t="n"/>
      <c r="V3226" s="113" t="n"/>
      <c r="W3226" s="113" t="n"/>
      <c r="X3226" s="113" t="n"/>
      <c r="Y3226" s="113" t="n"/>
      <c r="Z3226" s="117">
        <f>IF($B3226="",0,IF($S3226="EVET",IF($D3226="GELİR",$O3226,-$O3226),0))</f>
        <v/>
      </c>
      <c r="AA3226" s="117">
        <f>IF($B3226="",0,IF(OR($W3226="EVET",$X3226="EVET",$Y3226="EVET"),0,IF($D3226="GELİR",IF($E3226="SATIŞ İADESİ/İSKONTO",-$O3226,$O3226),-$O3226)))</f>
        <v/>
      </c>
      <c r="AB3226" s="117">
        <f>IF($B3226="","",IF(OR($D3226="",$E3226="",$O3226=""),"EKSİK",IF($O3226&lt;=0,"SIFIR/NEGATİF",IF(COUNTIFS($C$6:$C$5000,$C3226,$O$6:$O$5000,$O3226,$B$6:$B$5000,$B3226)&gt;1,"MÜKERRER","OK"))))</f>
        <v/>
      </c>
    </row>
    <row r="3227" ht="16.5" customHeight="1" s="80">
      <c r="A3227" s="113" t="n"/>
      <c r="B3227" s="113" t="n"/>
      <c r="C3227" s="113" t="n"/>
      <c r="D3227" s="113" t="n"/>
      <c r="E3227" s="113" t="n"/>
      <c r="F3227" s="113" t="n"/>
      <c r="G3227" s="113" t="n"/>
      <c r="H3227" s="113" t="n"/>
      <c r="I3227" s="113" t="n"/>
      <c r="J3227" s="113" t="n"/>
      <c r="K3227" s="113" t="n"/>
      <c r="L3227" s="113" t="n"/>
      <c r="M3227" s="113" t="n"/>
      <c r="N3227" s="113" t="n"/>
      <c r="O3227" s="113" t="n"/>
      <c r="P3227" s="113" t="n"/>
      <c r="Q3227" s="113" t="n"/>
      <c r="R3227" s="113" t="n"/>
      <c r="S3227" s="113" t="n"/>
      <c r="T3227" s="113" t="n"/>
      <c r="U3227" s="113" t="n"/>
      <c r="V3227" s="113" t="n"/>
      <c r="W3227" s="113" t="n"/>
      <c r="X3227" s="113" t="n"/>
      <c r="Y3227" s="113" t="n"/>
      <c r="Z3227" s="117">
        <f>IF($B3227="",0,IF($S3227="EVET",IF($D3227="GELİR",$O3227,-$O3227),0))</f>
        <v/>
      </c>
      <c r="AA3227" s="117">
        <f>IF($B3227="",0,IF(OR($W3227="EVET",$X3227="EVET",$Y3227="EVET"),0,IF($D3227="GELİR",IF($E3227="SATIŞ İADESİ/İSKONTO",-$O3227,$O3227),-$O3227)))</f>
        <v/>
      </c>
      <c r="AB3227" s="117">
        <f>IF($B3227="","",IF(OR($D3227="",$E3227="",$O3227=""),"EKSİK",IF($O3227&lt;=0,"SIFIR/NEGATİF",IF(COUNTIFS($C$6:$C$5000,$C3227,$O$6:$O$5000,$O3227,$B$6:$B$5000,$B3227)&gt;1,"MÜKERRER","OK"))))</f>
        <v/>
      </c>
    </row>
    <row r="3228" ht="16.5" customHeight="1" s="80">
      <c r="A3228" s="113" t="n"/>
      <c r="B3228" s="113" t="n"/>
      <c r="C3228" s="113" t="n"/>
      <c r="D3228" s="113" t="n"/>
      <c r="E3228" s="113" t="n"/>
      <c r="F3228" s="113" t="n"/>
      <c r="G3228" s="113" t="n"/>
      <c r="H3228" s="113" t="n"/>
      <c r="I3228" s="113" t="n"/>
      <c r="J3228" s="113" t="n"/>
      <c r="K3228" s="113" t="n"/>
      <c r="L3228" s="113" t="n"/>
      <c r="M3228" s="113" t="n"/>
      <c r="N3228" s="113" t="n"/>
      <c r="O3228" s="113" t="n"/>
      <c r="P3228" s="113" t="n"/>
      <c r="Q3228" s="113" t="n"/>
      <c r="R3228" s="113" t="n"/>
      <c r="S3228" s="113" t="n"/>
      <c r="T3228" s="113" t="n"/>
      <c r="U3228" s="113" t="n"/>
      <c r="V3228" s="113" t="n"/>
      <c r="W3228" s="113" t="n"/>
      <c r="X3228" s="113" t="n"/>
      <c r="Y3228" s="113" t="n"/>
      <c r="Z3228" s="117">
        <f>IF($B3228="",0,IF($S3228="EVET",IF($D3228="GELİR",$O3228,-$O3228),0))</f>
        <v/>
      </c>
      <c r="AA3228" s="117">
        <f>IF($B3228="",0,IF(OR($W3228="EVET",$X3228="EVET",$Y3228="EVET"),0,IF($D3228="GELİR",IF($E3228="SATIŞ İADESİ/İSKONTO",-$O3228,$O3228),-$O3228)))</f>
        <v/>
      </c>
      <c r="AB3228" s="117">
        <f>IF($B3228="","",IF(OR($D3228="",$E3228="",$O3228=""),"EKSİK",IF($O3228&lt;=0,"SIFIR/NEGATİF",IF(COUNTIFS($C$6:$C$5000,$C3228,$O$6:$O$5000,$O3228,$B$6:$B$5000,$B3228)&gt;1,"MÜKERRER","OK"))))</f>
        <v/>
      </c>
    </row>
    <row r="3229" ht="16.5" customHeight="1" s="80">
      <c r="A3229" s="113" t="n"/>
      <c r="B3229" s="113" t="n"/>
      <c r="C3229" s="113" t="n"/>
      <c r="D3229" s="113" t="n"/>
      <c r="E3229" s="113" t="n"/>
      <c r="F3229" s="113" t="n"/>
      <c r="G3229" s="113" t="n"/>
      <c r="H3229" s="113" t="n"/>
      <c r="I3229" s="113" t="n"/>
      <c r="J3229" s="113" t="n"/>
      <c r="K3229" s="113" t="n"/>
      <c r="L3229" s="113" t="n"/>
      <c r="M3229" s="113" t="n"/>
      <c r="N3229" s="113" t="n"/>
      <c r="O3229" s="113" t="n"/>
      <c r="P3229" s="113" t="n"/>
      <c r="Q3229" s="113" t="n"/>
      <c r="R3229" s="113" t="n"/>
      <c r="S3229" s="113" t="n"/>
      <c r="T3229" s="113" t="n"/>
      <c r="U3229" s="113" t="n"/>
      <c r="V3229" s="113" t="n"/>
      <c r="W3229" s="113" t="n"/>
      <c r="X3229" s="113" t="n"/>
      <c r="Y3229" s="113" t="n"/>
      <c r="Z3229" s="117">
        <f>IF($B3229="",0,IF($S3229="EVET",IF($D3229="GELİR",$O3229,-$O3229),0))</f>
        <v/>
      </c>
      <c r="AA3229" s="117">
        <f>IF($B3229="",0,IF(OR($W3229="EVET",$X3229="EVET",$Y3229="EVET"),0,IF($D3229="GELİR",IF($E3229="SATIŞ İADESİ/İSKONTO",-$O3229,$O3229),-$O3229)))</f>
        <v/>
      </c>
      <c r="AB3229" s="117">
        <f>IF($B3229="","",IF(OR($D3229="",$E3229="",$O3229=""),"EKSİK",IF($O3229&lt;=0,"SIFIR/NEGATİF",IF(COUNTIFS($C$6:$C$5000,$C3229,$O$6:$O$5000,$O3229,$B$6:$B$5000,$B3229)&gt;1,"MÜKERRER","OK"))))</f>
        <v/>
      </c>
    </row>
    <row r="3230" ht="16.5" customHeight="1" s="80">
      <c r="A3230" s="113" t="n"/>
      <c r="B3230" s="113" t="n"/>
      <c r="C3230" s="113" t="n"/>
      <c r="D3230" s="113" t="n"/>
      <c r="E3230" s="113" t="n"/>
      <c r="F3230" s="113" t="n"/>
      <c r="G3230" s="113" t="n"/>
      <c r="H3230" s="113" t="n"/>
      <c r="I3230" s="113" t="n"/>
      <c r="J3230" s="113" t="n"/>
      <c r="K3230" s="113" t="n"/>
      <c r="L3230" s="113" t="n"/>
      <c r="M3230" s="113" t="n"/>
      <c r="N3230" s="113" t="n"/>
      <c r="O3230" s="113" t="n"/>
      <c r="P3230" s="113" t="n"/>
      <c r="Q3230" s="113" t="n"/>
      <c r="R3230" s="113" t="n"/>
      <c r="S3230" s="113" t="n"/>
      <c r="T3230" s="113" t="n"/>
      <c r="U3230" s="113" t="n"/>
      <c r="V3230" s="113" t="n"/>
      <c r="W3230" s="113" t="n"/>
      <c r="X3230" s="113" t="n"/>
      <c r="Y3230" s="113" t="n"/>
      <c r="Z3230" s="117">
        <f>IF($B3230="",0,IF($S3230="EVET",IF($D3230="GELİR",$O3230,-$O3230),0))</f>
        <v/>
      </c>
      <c r="AA3230" s="117">
        <f>IF($B3230="",0,IF(OR($W3230="EVET",$X3230="EVET",$Y3230="EVET"),0,IF($D3230="GELİR",IF($E3230="SATIŞ İADESİ/İSKONTO",-$O3230,$O3230),-$O3230)))</f>
        <v/>
      </c>
      <c r="AB3230" s="117">
        <f>IF($B3230="","",IF(OR($D3230="",$E3230="",$O3230=""),"EKSİK",IF($O3230&lt;=0,"SIFIR/NEGATİF",IF(COUNTIFS($C$6:$C$5000,$C3230,$O$6:$O$5000,$O3230,$B$6:$B$5000,$B3230)&gt;1,"MÜKERRER","OK"))))</f>
        <v/>
      </c>
    </row>
    <row r="3231" ht="16.5" customHeight="1" s="80">
      <c r="A3231" s="113" t="n"/>
      <c r="B3231" s="113" t="n"/>
      <c r="C3231" s="113" t="n"/>
      <c r="D3231" s="113" t="n"/>
      <c r="E3231" s="113" t="n"/>
      <c r="F3231" s="113" t="n"/>
      <c r="G3231" s="113" t="n"/>
      <c r="H3231" s="113" t="n"/>
      <c r="I3231" s="113" t="n"/>
      <c r="J3231" s="113" t="n"/>
      <c r="K3231" s="113" t="n"/>
      <c r="L3231" s="113" t="n"/>
      <c r="M3231" s="113" t="n"/>
      <c r="N3231" s="113" t="n"/>
      <c r="O3231" s="113" t="n"/>
      <c r="P3231" s="113" t="n"/>
      <c r="Q3231" s="113" t="n"/>
      <c r="R3231" s="113" t="n"/>
      <c r="S3231" s="113" t="n"/>
      <c r="T3231" s="113" t="n"/>
      <c r="U3231" s="113" t="n"/>
      <c r="V3231" s="113" t="n"/>
      <c r="W3231" s="113" t="n"/>
      <c r="X3231" s="113" t="n"/>
      <c r="Y3231" s="113" t="n"/>
      <c r="Z3231" s="117">
        <f>IF($B3231="",0,IF($S3231="EVET",IF($D3231="GELİR",$O3231,-$O3231),0))</f>
        <v/>
      </c>
      <c r="AA3231" s="117">
        <f>IF($B3231="",0,IF(OR($W3231="EVET",$X3231="EVET",$Y3231="EVET"),0,IF($D3231="GELİR",IF($E3231="SATIŞ İADESİ/İSKONTO",-$O3231,$O3231),-$O3231)))</f>
        <v/>
      </c>
      <c r="AB3231" s="117">
        <f>IF($B3231="","",IF(OR($D3231="",$E3231="",$O3231=""),"EKSİK",IF($O3231&lt;=0,"SIFIR/NEGATİF",IF(COUNTIFS($C$6:$C$5000,$C3231,$O$6:$O$5000,$O3231,$B$6:$B$5000,$B3231)&gt;1,"MÜKERRER","OK"))))</f>
        <v/>
      </c>
    </row>
    <row r="3232" ht="16.5" customHeight="1" s="80">
      <c r="A3232" s="113" t="n"/>
      <c r="B3232" s="113" t="n"/>
      <c r="C3232" s="113" t="n"/>
      <c r="D3232" s="113" t="n"/>
      <c r="E3232" s="113" t="n"/>
      <c r="F3232" s="113" t="n"/>
      <c r="G3232" s="113" t="n"/>
      <c r="H3232" s="113" t="n"/>
      <c r="I3232" s="113" t="n"/>
      <c r="J3232" s="113" t="n"/>
      <c r="K3232" s="113" t="n"/>
      <c r="L3232" s="113" t="n"/>
      <c r="M3232" s="113" t="n"/>
      <c r="N3232" s="113" t="n"/>
      <c r="O3232" s="113" t="n"/>
      <c r="P3232" s="113" t="n"/>
      <c r="Q3232" s="113" t="n"/>
      <c r="R3232" s="113" t="n"/>
      <c r="S3232" s="113" t="n"/>
      <c r="T3232" s="113" t="n"/>
      <c r="U3232" s="113" t="n"/>
      <c r="V3232" s="113" t="n"/>
      <c r="W3232" s="113" t="n"/>
      <c r="X3232" s="113" t="n"/>
      <c r="Y3232" s="113" t="n"/>
      <c r="Z3232" s="117">
        <f>IF($B3232="",0,IF($S3232="EVET",IF($D3232="GELİR",$O3232,-$O3232),0))</f>
        <v/>
      </c>
      <c r="AA3232" s="117">
        <f>IF($B3232="",0,IF(OR($W3232="EVET",$X3232="EVET",$Y3232="EVET"),0,IF($D3232="GELİR",IF($E3232="SATIŞ İADESİ/İSKONTO",-$O3232,$O3232),-$O3232)))</f>
        <v/>
      </c>
      <c r="AB3232" s="117">
        <f>IF($B3232="","",IF(OR($D3232="",$E3232="",$O3232=""),"EKSİK",IF($O3232&lt;=0,"SIFIR/NEGATİF",IF(COUNTIFS($C$6:$C$5000,$C3232,$O$6:$O$5000,$O3232,$B$6:$B$5000,$B3232)&gt;1,"MÜKERRER","OK"))))</f>
        <v/>
      </c>
    </row>
    <row r="3233" ht="16.5" customHeight="1" s="80">
      <c r="A3233" s="113" t="n"/>
      <c r="B3233" s="113" t="n"/>
      <c r="C3233" s="113" t="n"/>
      <c r="D3233" s="113" t="n"/>
      <c r="E3233" s="113" t="n"/>
      <c r="F3233" s="113" t="n"/>
      <c r="G3233" s="113" t="n"/>
      <c r="H3233" s="113" t="n"/>
      <c r="I3233" s="113" t="n"/>
      <c r="J3233" s="113" t="n"/>
      <c r="K3233" s="113" t="n"/>
      <c r="L3233" s="113" t="n"/>
      <c r="M3233" s="113" t="n"/>
      <c r="N3233" s="113" t="n"/>
      <c r="O3233" s="113" t="n"/>
      <c r="P3233" s="113" t="n"/>
      <c r="Q3233" s="113" t="n"/>
      <c r="R3233" s="113" t="n"/>
      <c r="S3233" s="113" t="n"/>
      <c r="T3233" s="113" t="n"/>
      <c r="U3233" s="113" t="n"/>
      <c r="V3233" s="113" t="n"/>
      <c r="W3233" s="113" t="n"/>
      <c r="X3233" s="113" t="n"/>
      <c r="Y3233" s="113" t="n"/>
      <c r="Z3233" s="117">
        <f>IF($B3233="",0,IF($S3233="EVET",IF($D3233="GELİR",$O3233,-$O3233),0))</f>
        <v/>
      </c>
      <c r="AA3233" s="117">
        <f>IF($B3233="",0,IF(OR($W3233="EVET",$X3233="EVET",$Y3233="EVET"),0,IF($D3233="GELİR",IF($E3233="SATIŞ İADESİ/İSKONTO",-$O3233,$O3233),-$O3233)))</f>
        <v/>
      </c>
      <c r="AB3233" s="117">
        <f>IF($B3233="","",IF(OR($D3233="",$E3233="",$O3233=""),"EKSİK",IF($O3233&lt;=0,"SIFIR/NEGATİF",IF(COUNTIFS($C$6:$C$5000,$C3233,$O$6:$O$5000,$O3233,$B$6:$B$5000,$B3233)&gt;1,"MÜKERRER","OK"))))</f>
        <v/>
      </c>
    </row>
    <row r="3234" ht="16.5" customHeight="1" s="80">
      <c r="A3234" s="113" t="n"/>
      <c r="B3234" s="113" t="n"/>
      <c r="C3234" s="113" t="n"/>
      <c r="D3234" s="113" t="n"/>
      <c r="E3234" s="113" t="n"/>
      <c r="F3234" s="113" t="n"/>
      <c r="G3234" s="113" t="n"/>
      <c r="H3234" s="113" t="n"/>
      <c r="I3234" s="113" t="n"/>
      <c r="J3234" s="113" t="n"/>
      <c r="K3234" s="113" t="n"/>
      <c r="L3234" s="113" t="n"/>
      <c r="M3234" s="113" t="n"/>
      <c r="N3234" s="113" t="n"/>
      <c r="O3234" s="113" t="n"/>
      <c r="P3234" s="113" t="n"/>
      <c r="Q3234" s="113" t="n"/>
      <c r="R3234" s="113" t="n"/>
      <c r="S3234" s="113" t="n"/>
      <c r="T3234" s="113" t="n"/>
      <c r="U3234" s="113" t="n"/>
      <c r="V3234" s="113" t="n"/>
      <c r="W3234" s="113" t="n"/>
      <c r="X3234" s="113" t="n"/>
      <c r="Y3234" s="113" t="n"/>
      <c r="Z3234" s="117">
        <f>IF($B3234="",0,IF($S3234="EVET",IF($D3234="GELİR",$O3234,-$O3234),0))</f>
        <v/>
      </c>
      <c r="AA3234" s="117">
        <f>IF($B3234="",0,IF(OR($W3234="EVET",$X3234="EVET",$Y3234="EVET"),0,IF($D3234="GELİR",IF($E3234="SATIŞ İADESİ/İSKONTO",-$O3234,$O3234),-$O3234)))</f>
        <v/>
      </c>
      <c r="AB3234" s="117">
        <f>IF($B3234="","",IF(OR($D3234="",$E3234="",$O3234=""),"EKSİK",IF($O3234&lt;=0,"SIFIR/NEGATİF",IF(COUNTIFS($C$6:$C$5000,$C3234,$O$6:$O$5000,$O3234,$B$6:$B$5000,$B3234)&gt;1,"MÜKERRER","OK"))))</f>
        <v/>
      </c>
    </row>
    <row r="3235" ht="16.5" customHeight="1" s="80">
      <c r="A3235" s="113" t="n"/>
      <c r="B3235" s="113" t="n"/>
      <c r="C3235" s="113" t="n"/>
      <c r="D3235" s="113" t="n"/>
      <c r="E3235" s="113" t="n"/>
      <c r="F3235" s="113" t="n"/>
      <c r="G3235" s="113" t="n"/>
      <c r="H3235" s="113" t="n"/>
      <c r="I3235" s="113" t="n"/>
      <c r="J3235" s="113" t="n"/>
      <c r="K3235" s="113" t="n"/>
      <c r="L3235" s="113" t="n"/>
      <c r="M3235" s="113" t="n"/>
      <c r="N3235" s="113" t="n"/>
      <c r="O3235" s="113" t="n"/>
      <c r="P3235" s="113" t="n"/>
      <c r="Q3235" s="113" t="n"/>
      <c r="R3235" s="113" t="n"/>
      <c r="S3235" s="113" t="n"/>
      <c r="T3235" s="113" t="n"/>
      <c r="U3235" s="113" t="n"/>
      <c r="V3235" s="113" t="n"/>
      <c r="W3235" s="113" t="n"/>
      <c r="X3235" s="113" t="n"/>
      <c r="Y3235" s="113" t="n"/>
      <c r="Z3235" s="117">
        <f>IF($B3235="",0,IF($S3235="EVET",IF($D3235="GELİR",$O3235,-$O3235),0))</f>
        <v/>
      </c>
      <c r="AA3235" s="117">
        <f>IF($B3235="",0,IF(OR($W3235="EVET",$X3235="EVET",$Y3235="EVET"),0,IF($D3235="GELİR",IF($E3235="SATIŞ İADESİ/İSKONTO",-$O3235,$O3235),-$O3235)))</f>
        <v/>
      </c>
      <c r="AB3235" s="117">
        <f>IF($B3235="","",IF(OR($D3235="",$E3235="",$O3235=""),"EKSİK",IF($O3235&lt;=0,"SIFIR/NEGATİF",IF(COUNTIFS($C$6:$C$5000,$C3235,$O$6:$O$5000,$O3235,$B$6:$B$5000,$B3235)&gt;1,"MÜKERRER","OK"))))</f>
        <v/>
      </c>
    </row>
    <row r="3236" ht="16.5" customHeight="1" s="80">
      <c r="A3236" s="113" t="n"/>
      <c r="B3236" s="113" t="n"/>
      <c r="C3236" s="113" t="n"/>
      <c r="D3236" s="113" t="n"/>
      <c r="E3236" s="113" t="n"/>
      <c r="F3236" s="113" t="n"/>
      <c r="G3236" s="113" t="n"/>
      <c r="H3236" s="113" t="n"/>
      <c r="I3236" s="113" t="n"/>
      <c r="J3236" s="113" t="n"/>
      <c r="K3236" s="113" t="n"/>
      <c r="L3236" s="113" t="n"/>
      <c r="M3236" s="113" t="n"/>
      <c r="N3236" s="113" t="n"/>
      <c r="O3236" s="113" t="n"/>
      <c r="P3236" s="113" t="n"/>
      <c r="Q3236" s="113" t="n"/>
      <c r="R3236" s="113" t="n"/>
      <c r="S3236" s="113" t="n"/>
      <c r="T3236" s="113" t="n"/>
      <c r="U3236" s="113" t="n"/>
      <c r="V3236" s="113" t="n"/>
      <c r="W3236" s="113" t="n"/>
      <c r="X3236" s="113" t="n"/>
      <c r="Y3236" s="113" t="n"/>
      <c r="Z3236" s="117">
        <f>IF($B3236="",0,IF($S3236="EVET",IF($D3236="GELİR",$O3236,-$O3236),0))</f>
        <v/>
      </c>
      <c r="AA3236" s="117">
        <f>IF($B3236="",0,IF(OR($W3236="EVET",$X3236="EVET",$Y3236="EVET"),0,IF($D3236="GELİR",IF($E3236="SATIŞ İADESİ/İSKONTO",-$O3236,$O3236),-$O3236)))</f>
        <v/>
      </c>
      <c r="AB3236" s="117">
        <f>IF($B3236="","",IF(OR($D3236="",$E3236="",$O3236=""),"EKSİK",IF($O3236&lt;=0,"SIFIR/NEGATİF",IF(COUNTIFS($C$6:$C$5000,$C3236,$O$6:$O$5000,$O3236,$B$6:$B$5000,$B3236)&gt;1,"MÜKERRER","OK"))))</f>
        <v/>
      </c>
    </row>
    <row r="3237" ht="16.5" customHeight="1" s="80">
      <c r="A3237" s="113" t="n"/>
      <c r="B3237" s="113" t="n"/>
      <c r="C3237" s="113" t="n"/>
      <c r="D3237" s="113" t="n"/>
      <c r="E3237" s="113" t="n"/>
      <c r="F3237" s="113" t="n"/>
      <c r="G3237" s="113" t="n"/>
      <c r="H3237" s="113" t="n"/>
      <c r="I3237" s="113" t="n"/>
      <c r="J3237" s="113" t="n"/>
      <c r="K3237" s="113" t="n"/>
      <c r="L3237" s="113" t="n"/>
      <c r="M3237" s="113" t="n"/>
      <c r="N3237" s="113" t="n"/>
      <c r="O3237" s="113" t="n"/>
      <c r="P3237" s="113" t="n"/>
      <c r="Q3237" s="113" t="n"/>
      <c r="R3237" s="113" t="n"/>
      <c r="S3237" s="113" t="n"/>
      <c r="T3237" s="113" t="n"/>
      <c r="U3237" s="113" t="n"/>
      <c r="V3237" s="113" t="n"/>
      <c r="W3237" s="113" t="n"/>
      <c r="X3237" s="113" t="n"/>
      <c r="Y3237" s="113" t="n"/>
      <c r="Z3237" s="117">
        <f>IF($B3237="",0,IF($S3237="EVET",IF($D3237="GELİR",$O3237,-$O3237),0))</f>
        <v/>
      </c>
      <c r="AA3237" s="117">
        <f>IF($B3237="",0,IF(OR($W3237="EVET",$X3237="EVET",$Y3237="EVET"),0,IF($D3237="GELİR",IF($E3237="SATIŞ İADESİ/İSKONTO",-$O3237,$O3237),-$O3237)))</f>
        <v/>
      </c>
      <c r="AB3237" s="117">
        <f>IF($B3237="","",IF(OR($D3237="",$E3237="",$O3237=""),"EKSİK",IF($O3237&lt;=0,"SIFIR/NEGATİF",IF(COUNTIFS($C$6:$C$5000,$C3237,$O$6:$O$5000,$O3237,$B$6:$B$5000,$B3237)&gt;1,"MÜKERRER","OK"))))</f>
        <v/>
      </c>
    </row>
    <row r="3238" ht="16.5" customHeight="1" s="80">
      <c r="A3238" s="113" t="n"/>
      <c r="B3238" s="113" t="n"/>
      <c r="C3238" s="113" t="n"/>
      <c r="D3238" s="113" t="n"/>
      <c r="E3238" s="113" t="n"/>
      <c r="F3238" s="113" t="n"/>
      <c r="G3238" s="113" t="n"/>
      <c r="H3238" s="113" t="n"/>
      <c r="I3238" s="113" t="n"/>
      <c r="J3238" s="113" t="n"/>
      <c r="K3238" s="113" t="n"/>
      <c r="L3238" s="113" t="n"/>
      <c r="M3238" s="113" t="n"/>
      <c r="N3238" s="113" t="n"/>
      <c r="O3238" s="113" t="n"/>
      <c r="P3238" s="113" t="n"/>
      <c r="Q3238" s="113" t="n"/>
      <c r="R3238" s="113" t="n"/>
      <c r="S3238" s="113" t="n"/>
      <c r="T3238" s="113" t="n"/>
      <c r="U3238" s="113" t="n"/>
      <c r="V3238" s="113" t="n"/>
      <c r="W3238" s="113" t="n"/>
      <c r="X3238" s="113" t="n"/>
      <c r="Y3238" s="113" t="n"/>
      <c r="Z3238" s="117">
        <f>IF($B3238="",0,IF($S3238="EVET",IF($D3238="GELİR",$O3238,-$O3238),0))</f>
        <v/>
      </c>
      <c r="AA3238" s="117">
        <f>IF($B3238="",0,IF(OR($W3238="EVET",$X3238="EVET",$Y3238="EVET"),0,IF($D3238="GELİR",IF($E3238="SATIŞ İADESİ/İSKONTO",-$O3238,$O3238),-$O3238)))</f>
        <v/>
      </c>
      <c r="AB3238" s="117">
        <f>IF($B3238="","",IF(OR($D3238="",$E3238="",$O3238=""),"EKSİK",IF($O3238&lt;=0,"SIFIR/NEGATİF",IF(COUNTIFS($C$6:$C$5000,$C3238,$O$6:$O$5000,$O3238,$B$6:$B$5000,$B3238)&gt;1,"MÜKERRER","OK"))))</f>
        <v/>
      </c>
    </row>
    <row r="3239" ht="16.5" customHeight="1" s="80">
      <c r="A3239" s="113" t="n"/>
      <c r="B3239" s="113" t="n"/>
      <c r="C3239" s="113" t="n"/>
      <c r="D3239" s="113" t="n"/>
      <c r="E3239" s="113" t="n"/>
      <c r="F3239" s="113" t="n"/>
      <c r="G3239" s="113" t="n"/>
      <c r="H3239" s="113" t="n"/>
      <c r="I3239" s="113" t="n"/>
      <c r="J3239" s="113" t="n"/>
      <c r="K3239" s="113" t="n"/>
      <c r="L3239" s="113" t="n"/>
      <c r="M3239" s="113" t="n"/>
      <c r="N3239" s="113" t="n"/>
      <c r="O3239" s="113" t="n"/>
      <c r="P3239" s="113" t="n"/>
      <c r="Q3239" s="113" t="n"/>
      <c r="R3239" s="113" t="n"/>
      <c r="S3239" s="113" t="n"/>
      <c r="T3239" s="113" t="n"/>
      <c r="U3239" s="113" t="n"/>
      <c r="V3239" s="113" t="n"/>
      <c r="W3239" s="113" t="n"/>
      <c r="X3239" s="113" t="n"/>
      <c r="Y3239" s="113" t="n"/>
      <c r="Z3239" s="117">
        <f>IF($B3239="",0,IF($S3239="EVET",IF($D3239="GELİR",$O3239,-$O3239),0))</f>
        <v/>
      </c>
      <c r="AA3239" s="117">
        <f>IF($B3239="",0,IF(OR($W3239="EVET",$X3239="EVET",$Y3239="EVET"),0,IF($D3239="GELİR",IF($E3239="SATIŞ İADESİ/İSKONTO",-$O3239,$O3239),-$O3239)))</f>
        <v/>
      </c>
      <c r="AB3239" s="117">
        <f>IF($B3239="","",IF(OR($D3239="",$E3239="",$O3239=""),"EKSİK",IF($O3239&lt;=0,"SIFIR/NEGATİF",IF(COUNTIFS($C$6:$C$5000,$C3239,$O$6:$O$5000,$O3239,$B$6:$B$5000,$B3239)&gt;1,"MÜKERRER","OK"))))</f>
        <v/>
      </c>
    </row>
    <row r="3240" ht="16.5" customHeight="1" s="80">
      <c r="A3240" s="113" t="n"/>
      <c r="B3240" s="113" t="n"/>
      <c r="C3240" s="113" t="n"/>
      <c r="D3240" s="113" t="n"/>
      <c r="E3240" s="113" t="n"/>
      <c r="F3240" s="113" t="n"/>
      <c r="G3240" s="113" t="n"/>
      <c r="H3240" s="113" t="n"/>
      <c r="I3240" s="113" t="n"/>
      <c r="J3240" s="113" t="n"/>
      <c r="K3240" s="113" t="n"/>
      <c r="L3240" s="113" t="n"/>
      <c r="M3240" s="113" t="n"/>
      <c r="N3240" s="113" t="n"/>
      <c r="O3240" s="113" t="n"/>
      <c r="P3240" s="113" t="n"/>
      <c r="Q3240" s="113" t="n"/>
      <c r="R3240" s="113" t="n"/>
      <c r="S3240" s="113" t="n"/>
      <c r="T3240" s="113" t="n"/>
      <c r="U3240" s="113" t="n"/>
      <c r="V3240" s="113" t="n"/>
      <c r="W3240" s="113" t="n"/>
      <c r="X3240" s="113" t="n"/>
      <c r="Y3240" s="113" t="n"/>
      <c r="Z3240" s="117">
        <f>IF($B3240="",0,IF($S3240="EVET",IF($D3240="GELİR",$O3240,-$O3240),0))</f>
        <v/>
      </c>
      <c r="AA3240" s="117">
        <f>IF($B3240="",0,IF(OR($W3240="EVET",$X3240="EVET",$Y3240="EVET"),0,IF($D3240="GELİR",IF($E3240="SATIŞ İADESİ/İSKONTO",-$O3240,$O3240),-$O3240)))</f>
        <v/>
      </c>
      <c r="AB3240" s="117">
        <f>IF($B3240="","",IF(OR($D3240="",$E3240="",$O3240=""),"EKSİK",IF($O3240&lt;=0,"SIFIR/NEGATİF",IF(COUNTIFS($C$6:$C$5000,$C3240,$O$6:$O$5000,$O3240,$B$6:$B$5000,$B3240)&gt;1,"MÜKERRER","OK"))))</f>
        <v/>
      </c>
    </row>
    <row r="3241" ht="16.5" customHeight="1" s="80">
      <c r="A3241" s="113" t="n"/>
      <c r="B3241" s="113" t="n"/>
      <c r="C3241" s="113" t="n"/>
      <c r="D3241" s="113" t="n"/>
      <c r="E3241" s="113" t="n"/>
      <c r="F3241" s="113" t="n"/>
      <c r="G3241" s="113" t="n"/>
      <c r="H3241" s="113" t="n"/>
      <c r="I3241" s="113" t="n"/>
      <c r="J3241" s="113" t="n"/>
      <c r="K3241" s="113" t="n"/>
      <c r="L3241" s="113" t="n"/>
      <c r="M3241" s="113" t="n"/>
      <c r="N3241" s="113" t="n"/>
      <c r="O3241" s="113" t="n"/>
      <c r="P3241" s="113" t="n"/>
      <c r="Q3241" s="113" t="n"/>
      <c r="R3241" s="113" t="n"/>
      <c r="S3241" s="113" t="n"/>
      <c r="T3241" s="113" t="n"/>
      <c r="U3241" s="113" t="n"/>
      <c r="V3241" s="113" t="n"/>
      <c r="W3241" s="113" t="n"/>
      <c r="X3241" s="113" t="n"/>
      <c r="Y3241" s="113" t="n"/>
      <c r="Z3241" s="117">
        <f>IF($B3241="",0,IF($S3241="EVET",IF($D3241="GELİR",$O3241,-$O3241),0))</f>
        <v/>
      </c>
      <c r="AA3241" s="117">
        <f>IF($B3241="",0,IF(OR($W3241="EVET",$X3241="EVET",$Y3241="EVET"),0,IF($D3241="GELİR",IF($E3241="SATIŞ İADESİ/İSKONTO",-$O3241,$O3241),-$O3241)))</f>
        <v/>
      </c>
      <c r="AB3241" s="117">
        <f>IF($B3241="","",IF(OR($D3241="",$E3241="",$O3241=""),"EKSİK",IF($O3241&lt;=0,"SIFIR/NEGATİF",IF(COUNTIFS($C$6:$C$5000,$C3241,$O$6:$O$5000,$O3241,$B$6:$B$5000,$B3241)&gt;1,"MÜKERRER","OK"))))</f>
        <v/>
      </c>
    </row>
    <row r="3242" ht="16.5" customHeight="1" s="80">
      <c r="A3242" s="113" t="n"/>
      <c r="B3242" s="113" t="n"/>
      <c r="C3242" s="113" t="n"/>
      <c r="D3242" s="113" t="n"/>
      <c r="E3242" s="113" t="n"/>
      <c r="F3242" s="113" t="n"/>
      <c r="G3242" s="113" t="n"/>
      <c r="H3242" s="113" t="n"/>
      <c r="I3242" s="113" t="n"/>
      <c r="J3242" s="113" t="n"/>
      <c r="K3242" s="113" t="n"/>
      <c r="L3242" s="113" t="n"/>
      <c r="M3242" s="113" t="n"/>
      <c r="N3242" s="113" t="n"/>
      <c r="O3242" s="113" t="n"/>
      <c r="P3242" s="113" t="n"/>
      <c r="Q3242" s="113" t="n"/>
      <c r="R3242" s="113" t="n"/>
      <c r="S3242" s="113" t="n"/>
      <c r="T3242" s="113" t="n"/>
      <c r="U3242" s="113" t="n"/>
      <c r="V3242" s="113" t="n"/>
      <c r="W3242" s="113" t="n"/>
      <c r="X3242" s="113" t="n"/>
      <c r="Y3242" s="113" t="n"/>
      <c r="Z3242" s="117">
        <f>IF($B3242="",0,IF($S3242="EVET",IF($D3242="GELİR",$O3242,-$O3242),0))</f>
        <v/>
      </c>
      <c r="AA3242" s="117">
        <f>IF($B3242="",0,IF(OR($W3242="EVET",$X3242="EVET",$Y3242="EVET"),0,IF($D3242="GELİR",IF($E3242="SATIŞ İADESİ/İSKONTO",-$O3242,$O3242),-$O3242)))</f>
        <v/>
      </c>
      <c r="AB3242" s="117">
        <f>IF($B3242="","",IF(OR($D3242="",$E3242="",$O3242=""),"EKSİK",IF($O3242&lt;=0,"SIFIR/NEGATİF",IF(COUNTIFS($C$6:$C$5000,$C3242,$O$6:$O$5000,$O3242,$B$6:$B$5000,$B3242)&gt;1,"MÜKERRER","OK"))))</f>
        <v/>
      </c>
    </row>
    <row r="3243" ht="16.5" customHeight="1" s="80">
      <c r="A3243" s="113" t="n"/>
      <c r="B3243" s="113" t="n"/>
      <c r="C3243" s="113" t="n"/>
      <c r="D3243" s="113" t="n"/>
      <c r="E3243" s="113" t="n"/>
      <c r="F3243" s="113" t="n"/>
      <c r="G3243" s="113" t="n"/>
      <c r="H3243" s="113" t="n"/>
      <c r="I3243" s="113" t="n"/>
      <c r="J3243" s="113" t="n"/>
      <c r="K3243" s="113" t="n"/>
      <c r="L3243" s="113" t="n"/>
      <c r="M3243" s="113" t="n"/>
      <c r="N3243" s="113" t="n"/>
      <c r="O3243" s="113" t="n"/>
      <c r="P3243" s="113" t="n"/>
      <c r="Q3243" s="113" t="n"/>
      <c r="R3243" s="113" t="n"/>
      <c r="S3243" s="113" t="n"/>
      <c r="T3243" s="113" t="n"/>
      <c r="U3243" s="113" t="n"/>
      <c r="V3243" s="113" t="n"/>
      <c r="W3243" s="113" t="n"/>
      <c r="X3243" s="113" t="n"/>
      <c r="Y3243" s="113" t="n"/>
      <c r="Z3243" s="117">
        <f>IF($B3243="",0,IF($S3243="EVET",IF($D3243="GELİR",$O3243,-$O3243),0))</f>
        <v/>
      </c>
      <c r="AA3243" s="117">
        <f>IF($B3243="",0,IF(OR($W3243="EVET",$X3243="EVET",$Y3243="EVET"),0,IF($D3243="GELİR",IF($E3243="SATIŞ İADESİ/İSKONTO",-$O3243,$O3243),-$O3243)))</f>
        <v/>
      </c>
      <c r="AB3243" s="117">
        <f>IF($B3243="","",IF(OR($D3243="",$E3243="",$O3243=""),"EKSİK",IF($O3243&lt;=0,"SIFIR/NEGATİF",IF(COUNTIFS($C$6:$C$5000,$C3243,$O$6:$O$5000,$O3243,$B$6:$B$5000,$B3243)&gt;1,"MÜKERRER","OK"))))</f>
        <v/>
      </c>
    </row>
    <row r="3244" ht="16.5" customHeight="1" s="80">
      <c r="A3244" s="113" t="n"/>
      <c r="B3244" s="113" t="n"/>
      <c r="C3244" s="113" t="n"/>
      <c r="D3244" s="113" t="n"/>
      <c r="E3244" s="113" t="n"/>
      <c r="F3244" s="113" t="n"/>
      <c r="G3244" s="113" t="n"/>
      <c r="H3244" s="113" t="n"/>
      <c r="I3244" s="113" t="n"/>
      <c r="J3244" s="113" t="n"/>
      <c r="K3244" s="113" t="n"/>
      <c r="L3244" s="113" t="n"/>
      <c r="M3244" s="113" t="n"/>
      <c r="N3244" s="113" t="n"/>
      <c r="O3244" s="113" t="n"/>
      <c r="P3244" s="113" t="n"/>
      <c r="Q3244" s="113" t="n"/>
      <c r="R3244" s="113" t="n"/>
      <c r="S3244" s="113" t="n"/>
      <c r="T3244" s="113" t="n"/>
      <c r="U3244" s="113" t="n"/>
      <c r="V3244" s="113" t="n"/>
      <c r="W3244" s="113" t="n"/>
      <c r="X3244" s="113" t="n"/>
      <c r="Y3244" s="113" t="n"/>
      <c r="Z3244" s="117">
        <f>IF($B3244="",0,IF($S3244="EVET",IF($D3244="GELİR",$O3244,-$O3244),0))</f>
        <v/>
      </c>
      <c r="AA3244" s="117">
        <f>IF($B3244="",0,IF(OR($W3244="EVET",$X3244="EVET",$Y3244="EVET"),0,IF($D3244="GELİR",IF($E3244="SATIŞ İADESİ/İSKONTO",-$O3244,$O3244),-$O3244)))</f>
        <v/>
      </c>
      <c r="AB3244" s="117">
        <f>IF($B3244="","",IF(OR($D3244="",$E3244="",$O3244=""),"EKSİK",IF($O3244&lt;=0,"SIFIR/NEGATİF",IF(COUNTIFS($C$6:$C$5000,$C3244,$O$6:$O$5000,$O3244,$B$6:$B$5000,$B3244)&gt;1,"MÜKERRER","OK"))))</f>
        <v/>
      </c>
    </row>
    <row r="3245" ht="16.5" customHeight="1" s="80">
      <c r="A3245" s="113" t="n"/>
      <c r="B3245" s="113" t="n"/>
      <c r="C3245" s="113" t="n"/>
      <c r="D3245" s="113" t="n"/>
      <c r="E3245" s="113" t="n"/>
      <c r="F3245" s="113" t="n"/>
      <c r="G3245" s="113" t="n"/>
      <c r="H3245" s="113" t="n"/>
      <c r="I3245" s="113" t="n"/>
      <c r="J3245" s="113" t="n"/>
      <c r="K3245" s="113" t="n"/>
      <c r="L3245" s="113" t="n"/>
      <c r="M3245" s="113" t="n"/>
      <c r="N3245" s="113" t="n"/>
      <c r="O3245" s="113" t="n"/>
      <c r="P3245" s="113" t="n"/>
      <c r="Q3245" s="113" t="n"/>
      <c r="R3245" s="113" t="n"/>
      <c r="S3245" s="113" t="n"/>
      <c r="T3245" s="113" t="n"/>
      <c r="U3245" s="113" t="n"/>
      <c r="V3245" s="113" t="n"/>
      <c r="W3245" s="113" t="n"/>
      <c r="X3245" s="113" t="n"/>
      <c r="Y3245" s="113" t="n"/>
      <c r="Z3245" s="117">
        <f>IF($B3245="",0,IF($S3245="EVET",IF($D3245="GELİR",$O3245,-$O3245),0))</f>
        <v/>
      </c>
      <c r="AA3245" s="117">
        <f>IF($B3245="",0,IF(OR($W3245="EVET",$X3245="EVET",$Y3245="EVET"),0,IF($D3245="GELİR",IF($E3245="SATIŞ İADESİ/İSKONTO",-$O3245,$O3245),-$O3245)))</f>
        <v/>
      </c>
      <c r="AB3245" s="117">
        <f>IF($B3245="","",IF(OR($D3245="",$E3245="",$O3245=""),"EKSİK",IF($O3245&lt;=0,"SIFIR/NEGATİF",IF(COUNTIFS($C$6:$C$5000,$C3245,$O$6:$O$5000,$O3245,$B$6:$B$5000,$B3245)&gt;1,"MÜKERRER","OK"))))</f>
        <v/>
      </c>
    </row>
    <row r="3246" ht="16.5" customHeight="1" s="80">
      <c r="A3246" s="113" t="n"/>
      <c r="B3246" s="113" t="n"/>
      <c r="C3246" s="113" t="n"/>
      <c r="D3246" s="113" t="n"/>
      <c r="E3246" s="113" t="n"/>
      <c r="F3246" s="113" t="n"/>
      <c r="G3246" s="113" t="n"/>
      <c r="H3246" s="113" t="n"/>
      <c r="I3246" s="113" t="n"/>
      <c r="J3246" s="113" t="n"/>
      <c r="K3246" s="113" t="n"/>
      <c r="L3246" s="113" t="n"/>
      <c r="M3246" s="113" t="n"/>
      <c r="N3246" s="113" t="n"/>
      <c r="O3246" s="113" t="n"/>
      <c r="P3246" s="113" t="n"/>
      <c r="Q3246" s="113" t="n"/>
      <c r="R3246" s="113" t="n"/>
      <c r="S3246" s="113" t="n"/>
      <c r="T3246" s="113" t="n"/>
      <c r="U3246" s="113" t="n"/>
      <c r="V3246" s="113" t="n"/>
      <c r="W3246" s="113" t="n"/>
      <c r="X3246" s="113" t="n"/>
      <c r="Y3246" s="113" t="n"/>
      <c r="Z3246" s="117">
        <f>IF($B3246="",0,IF($S3246="EVET",IF($D3246="GELİR",$O3246,-$O3246),0))</f>
        <v/>
      </c>
      <c r="AA3246" s="117">
        <f>IF($B3246="",0,IF(OR($W3246="EVET",$X3246="EVET",$Y3246="EVET"),0,IF($D3246="GELİR",IF($E3246="SATIŞ İADESİ/İSKONTO",-$O3246,$O3246),-$O3246)))</f>
        <v/>
      </c>
      <c r="AB3246" s="117">
        <f>IF($B3246="","",IF(OR($D3246="",$E3246="",$O3246=""),"EKSİK",IF($O3246&lt;=0,"SIFIR/NEGATİF",IF(COUNTIFS($C$6:$C$5000,$C3246,$O$6:$O$5000,$O3246,$B$6:$B$5000,$B3246)&gt;1,"MÜKERRER","OK"))))</f>
        <v/>
      </c>
    </row>
    <row r="3247" ht="16.5" customHeight="1" s="80">
      <c r="A3247" s="113" t="n"/>
      <c r="B3247" s="113" t="n"/>
      <c r="C3247" s="113" t="n"/>
      <c r="D3247" s="113" t="n"/>
      <c r="E3247" s="113" t="n"/>
      <c r="F3247" s="113" t="n"/>
      <c r="G3247" s="113" t="n"/>
      <c r="H3247" s="113" t="n"/>
      <c r="I3247" s="113" t="n"/>
      <c r="J3247" s="113" t="n"/>
      <c r="K3247" s="113" t="n"/>
      <c r="L3247" s="113" t="n"/>
      <c r="M3247" s="113" t="n"/>
      <c r="N3247" s="113" t="n"/>
      <c r="O3247" s="113" t="n"/>
      <c r="P3247" s="113" t="n"/>
      <c r="Q3247" s="113" t="n"/>
      <c r="R3247" s="113" t="n"/>
      <c r="S3247" s="113" t="n"/>
      <c r="T3247" s="113" t="n"/>
      <c r="U3247" s="113" t="n"/>
      <c r="V3247" s="113" t="n"/>
      <c r="W3247" s="113" t="n"/>
      <c r="X3247" s="113" t="n"/>
      <c r="Y3247" s="113" t="n"/>
      <c r="Z3247" s="117">
        <f>IF($B3247="",0,IF($S3247="EVET",IF($D3247="GELİR",$O3247,-$O3247),0))</f>
        <v/>
      </c>
      <c r="AA3247" s="117">
        <f>IF($B3247="",0,IF(OR($W3247="EVET",$X3247="EVET",$Y3247="EVET"),0,IF($D3247="GELİR",IF($E3247="SATIŞ İADESİ/İSKONTO",-$O3247,$O3247),-$O3247)))</f>
        <v/>
      </c>
      <c r="AB3247" s="117">
        <f>IF($B3247="","",IF(OR($D3247="",$E3247="",$O3247=""),"EKSİK",IF($O3247&lt;=0,"SIFIR/NEGATİF",IF(COUNTIFS($C$6:$C$5000,$C3247,$O$6:$O$5000,$O3247,$B$6:$B$5000,$B3247)&gt;1,"MÜKERRER","OK"))))</f>
        <v/>
      </c>
    </row>
    <row r="3248" ht="16.5" customHeight="1" s="80">
      <c r="A3248" s="113" t="n"/>
      <c r="B3248" s="113" t="n"/>
      <c r="C3248" s="113" t="n"/>
      <c r="D3248" s="113" t="n"/>
      <c r="E3248" s="113" t="n"/>
      <c r="F3248" s="113" t="n"/>
      <c r="G3248" s="113" t="n"/>
      <c r="H3248" s="113" t="n"/>
      <c r="I3248" s="113" t="n"/>
      <c r="J3248" s="113" t="n"/>
      <c r="K3248" s="113" t="n"/>
      <c r="L3248" s="113" t="n"/>
      <c r="M3248" s="113" t="n"/>
      <c r="N3248" s="113" t="n"/>
      <c r="O3248" s="113" t="n"/>
      <c r="P3248" s="113" t="n"/>
      <c r="Q3248" s="113" t="n"/>
      <c r="R3248" s="113" t="n"/>
      <c r="S3248" s="113" t="n"/>
      <c r="T3248" s="113" t="n"/>
      <c r="U3248" s="113" t="n"/>
      <c r="V3248" s="113" t="n"/>
      <c r="W3248" s="113" t="n"/>
      <c r="X3248" s="113" t="n"/>
      <c r="Y3248" s="113" t="n"/>
      <c r="Z3248" s="117">
        <f>IF($B3248="",0,IF($S3248="EVET",IF($D3248="GELİR",$O3248,-$O3248),0))</f>
        <v/>
      </c>
      <c r="AA3248" s="117">
        <f>IF($B3248="",0,IF(OR($W3248="EVET",$X3248="EVET",$Y3248="EVET"),0,IF($D3248="GELİR",IF($E3248="SATIŞ İADESİ/İSKONTO",-$O3248,$O3248),-$O3248)))</f>
        <v/>
      </c>
      <c r="AB3248" s="117">
        <f>IF($B3248="","",IF(OR($D3248="",$E3248="",$O3248=""),"EKSİK",IF($O3248&lt;=0,"SIFIR/NEGATİF",IF(COUNTIFS($C$6:$C$5000,$C3248,$O$6:$O$5000,$O3248,$B$6:$B$5000,$B3248)&gt;1,"MÜKERRER","OK"))))</f>
        <v/>
      </c>
    </row>
    <row r="3249" ht="16.5" customHeight="1" s="80">
      <c r="A3249" s="113" t="n"/>
      <c r="B3249" s="113" t="n"/>
      <c r="C3249" s="113" t="n"/>
      <c r="D3249" s="113" t="n"/>
      <c r="E3249" s="113" t="n"/>
      <c r="F3249" s="113" t="n"/>
      <c r="G3249" s="113" t="n"/>
      <c r="H3249" s="113" t="n"/>
      <c r="I3249" s="113" t="n"/>
      <c r="J3249" s="113" t="n"/>
      <c r="K3249" s="113" t="n"/>
      <c r="L3249" s="113" t="n"/>
      <c r="M3249" s="113" t="n"/>
      <c r="N3249" s="113" t="n"/>
      <c r="O3249" s="113" t="n"/>
      <c r="P3249" s="113" t="n"/>
      <c r="Q3249" s="113" t="n"/>
      <c r="R3249" s="113" t="n"/>
      <c r="S3249" s="113" t="n"/>
      <c r="T3249" s="113" t="n"/>
      <c r="U3249" s="113" t="n"/>
      <c r="V3249" s="113" t="n"/>
      <c r="W3249" s="113" t="n"/>
      <c r="X3249" s="113" t="n"/>
      <c r="Y3249" s="113" t="n"/>
      <c r="Z3249" s="117">
        <f>IF($B3249="",0,IF($S3249="EVET",IF($D3249="GELİR",$O3249,-$O3249),0))</f>
        <v/>
      </c>
      <c r="AA3249" s="117">
        <f>IF($B3249="",0,IF(OR($W3249="EVET",$X3249="EVET",$Y3249="EVET"),0,IF($D3249="GELİR",IF($E3249="SATIŞ İADESİ/İSKONTO",-$O3249,$O3249),-$O3249)))</f>
        <v/>
      </c>
      <c r="AB3249" s="117">
        <f>IF($B3249="","",IF(OR($D3249="",$E3249="",$O3249=""),"EKSİK",IF($O3249&lt;=0,"SIFIR/NEGATİF",IF(COUNTIFS($C$6:$C$5000,$C3249,$O$6:$O$5000,$O3249,$B$6:$B$5000,$B3249)&gt;1,"MÜKERRER","OK"))))</f>
        <v/>
      </c>
    </row>
    <row r="3250" ht="16.5" customHeight="1" s="80">
      <c r="A3250" s="113" t="n"/>
      <c r="B3250" s="113" t="n"/>
      <c r="C3250" s="113" t="n"/>
      <c r="D3250" s="113" t="n"/>
      <c r="E3250" s="113" t="n"/>
      <c r="F3250" s="113" t="n"/>
      <c r="G3250" s="113" t="n"/>
      <c r="H3250" s="113" t="n"/>
      <c r="I3250" s="113" t="n"/>
      <c r="J3250" s="113" t="n"/>
      <c r="K3250" s="113" t="n"/>
      <c r="L3250" s="113" t="n"/>
      <c r="M3250" s="113" t="n"/>
      <c r="N3250" s="113" t="n"/>
      <c r="O3250" s="113" t="n"/>
      <c r="P3250" s="113" t="n"/>
      <c r="Q3250" s="113" t="n"/>
      <c r="R3250" s="113" t="n"/>
      <c r="S3250" s="113" t="n"/>
      <c r="T3250" s="113" t="n"/>
      <c r="U3250" s="113" t="n"/>
      <c r="V3250" s="113" t="n"/>
      <c r="W3250" s="113" t="n"/>
      <c r="X3250" s="113" t="n"/>
      <c r="Y3250" s="113" t="n"/>
      <c r="Z3250" s="117">
        <f>IF($B3250="",0,IF($S3250="EVET",IF($D3250="GELİR",$O3250,-$O3250),0))</f>
        <v/>
      </c>
      <c r="AA3250" s="117">
        <f>IF($B3250="",0,IF(OR($W3250="EVET",$X3250="EVET",$Y3250="EVET"),0,IF($D3250="GELİR",IF($E3250="SATIŞ İADESİ/İSKONTO",-$O3250,$O3250),-$O3250)))</f>
        <v/>
      </c>
      <c r="AB3250" s="117">
        <f>IF($B3250="","",IF(OR($D3250="",$E3250="",$O3250=""),"EKSİK",IF($O3250&lt;=0,"SIFIR/NEGATİF",IF(COUNTIFS($C$6:$C$5000,$C3250,$O$6:$O$5000,$O3250,$B$6:$B$5000,$B3250)&gt;1,"MÜKERRER","OK"))))</f>
        <v/>
      </c>
    </row>
    <row r="3251" ht="16.5" customHeight="1" s="80">
      <c r="A3251" s="113" t="n"/>
      <c r="B3251" s="113" t="n"/>
      <c r="C3251" s="113" t="n"/>
      <c r="D3251" s="113" t="n"/>
      <c r="E3251" s="113" t="n"/>
      <c r="F3251" s="113" t="n"/>
      <c r="G3251" s="113" t="n"/>
      <c r="H3251" s="113" t="n"/>
      <c r="I3251" s="113" t="n"/>
      <c r="J3251" s="113" t="n"/>
      <c r="K3251" s="113" t="n"/>
      <c r="L3251" s="113" t="n"/>
      <c r="M3251" s="113" t="n"/>
      <c r="N3251" s="113" t="n"/>
      <c r="O3251" s="113" t="n"/>
      <c r="P3251" s="113" t="n"/>
      <c r="Q3251" s="113" t="n"/>
      <c r="R3251" s="113" t="n"/>
      <c r="S3251" s="113" t="n"/>
      <c r="T3251" s="113" t="n"/>
      <c r="U3251" s="113" t="n"/>
      <c r="V3251" s="113" t="n"/>
      <c r="W3251" s="113" t="n"/>
      <c r="X3251" s="113" t="n"/>
      <c r="Y3251" s="113" t="n"/>
      <c r="Z3251" s="117">
        <f>IF($B3251="",0,IF($S3251="EVET",IF($D3251="GELİR",$O3251,-$O3251),0))</f>
        <v/>
      </c>
      <c r="AA3251" s="117">
        <f>IF($B3251="",0,IF(OR($W3251="EVET",$X3251="EVET",$Y3251="EVET"),0,IF($D3251="GELİR",IF($E3251="SATIŞ İADESİ/İSKONTO",-$O3251,$O3251),-$O3251)))</f>
        <v/>
      </c>
      <c r="AB3251" s="117">
        <f>IF($B3251="","",IF(OR($D3251="",$E3251="",$O3251=""),"EKSİK",IF($O3251&lt;=0,"SIFIR/NEGATİF",IF(COUNTIFS($C$6:$C$5000,$C3251,$O$6:$O$5000,$O3251,$B$6:$B$5000,$B3251)&gt;1,"MÜKERRER","OK"))))</f>
        <v/>
      </c>
    </row>
    <row r="3252" ht="16.5" customHeight="1" s="80">
      <c r="A3252" s="113" t="n"/>
      <c r="B3252" s="113" t="n"/>
      <c r="C3252" s="113" t="n"/>
      <c r="D3252" s="113" t="n"/>
      <c r="E3252" s="113" t="n"/>
      <c r="F3252" s="113" t="n"/>
      <c r="G3252" s="113" t="n"/>
      <c r="H3252" s="113" t="n"/>
      <c r="I3252" s="113" t="n"/>
      <c r="J3252" s="113" t="n"/>
      <c r="K3252" s="113" t="n"/>
      <c r="L3252" s="113" t="n"/>
      <c r="M3252" s="113" t="n"/>
      <c r="N3252" s="113" t="n"/>
      <c r="O3252" s="113" t="n"/>
      <c r="P3252" s="113" t="n"/>
      <c r="Q3252" s="113" t="n"/>
      <c r="R3252" s="113" t="n"/>
      <c r="S3252" s="113" t="n"/>
      <c r="T3252" s="113" t="n"/>
      <c r="U3252" s="113" t="n"/>
      <c r="V3252" s="113" t="n"/>
      <c r="W3252" s="113" t="n"/>
      <c r="X3252" s="113" t="n"/>
      <c r="Y3252" s="113" t="n"/>
      <c r="Z3252" s="117">
        <f>IF($B3252="",0,IF($S3252="EVET",IF($D3252="GELİR",$O3252,-$O3252),0))</f>
        <v/>
      </c>
      <c r="AA3252" s="117">
        <f>IF($B3252="",0,IF(OR($W3252="EVET",$X3252="EVET",$Y3252="EVET"),0,IF($D3252="GELİR",IF($E3252="SATIŞ İADESİ/İSKONTO",-$O3252,$O3252),-$O3252)))</f>
        <v/>
      </c>
      <c r="AB3252" s="117">
        <f>IF($B3252="","",IF(OR($D3252="",$E3252="",$O3252=""),"EKSİK",IF($O3252&lt;=0,"SIFIR/NEGATİF",IF(COUNTIFS($C$6:$C$5000,$C3252,$O$6:$O$5000,$O3252,$B$6:$B$5000,$B3252)&gt;1,"MÜKERRER","OK"))))</f>
        <v/>
      </c>
    </row>
    <row r="3253" ht="16.5" customHeight="1" s="80">
      <c r="A3253" s="113" t="n"/>
      <c r="B3253" s="113" t="n"/>
      <c r="C3253" s="113" t="n"/>
      <c r="D3253" s="113" t="n"/>
      <c r="E3253" s="113" t="n"/>
      <c r="F3253" s="113" t="n"/>
      <c r="G3253" s="113" t="n"/>
      <c r="H3253" s="113" t="n"/>
      <c r="I3253" s="113" t="n"/>
      <c r="J3253" s="113" t="n"/>
      <c r="K3253" s="113" t="n"/>
      <c r="L3253" s="113" t="n"/>
      <c r="M3253" s="113" t="n"/>
      <c r="N3253" s="113" t="n"/>
      <c r="O3253" s="113" t="n"/>
      <c r="P3253" s="113" t="n"/>
      <c r="Q3253" s="113" t="n"/>
      <c r="R3253" s="113" t="n"/>
      <c r="S3253" s="113" t="n"/>
      <c r="T3253" s="113" t="n"/>
      <c r="U3253" s="113" t="n"/>
      <c r="V3253" s="113" t="n"/>
      <c r="W3253" s="113" t="n"/>
      <c r="X3253" s="113" t="n"/>
      <c r="Y3253" s="113" t="n"/>
      <c r="Z3253" s="117">
        <f>IF($B3253="",0,IF($S3253="EVET",IF($D3253="GELİR",$O3253,-$O3253),0))</f>
        <v/>
      </c>
      <c r="AA3253" s="117">
        <f>IF($B3253="",0,IF(OR($W3253="EVET",$X3253="EVET",$Y3253="EVET"),0,IF($D3253="GELİR",IF($E3253="SATIŞ İADESİ/İSKONTO",-$O3253,$O3253),-$O3253)))</f>
        <v/>
      </c>
      <c r="AB3253" s="117">
        <f>IF($B3253="","",IF(OR($D3253="",$E3253="",$O3253=""),"EKSİK",IF($O3253&lt;=0,"SIFIR/NEGATİF",IF(COUNTIFS($C$6:$C$5000,$C3253,$O$6:$O$5000,$O3253,$B$6:$B$5000,$B3253)&gt;1,"MÜKERRER","OK"))))</f>
        <v/>
      </c>
    </row>
    <row r="3254" ht="16.5" customHeight="1" s="80">
      <c r="A3254" s="113" t="n"/>
      <c r="B3254" s="113" t="n"/>
      <c r="C3254" s="113" t="n"/>
      <c r="D3254" s="113" t="n"/>
      <c r="E3254" s="113" t="n"/>
      <c r="F3254" s="113" t="n"/>
      <c r="G3254" s="113" t="n"/>
      <c r="H3254" s="113" t="n"/>
      <c r="I3254" s="113" t="n"/>
      <c r="J3254" s="113" t="n"/>
      <c r="K3254" s="113" t="n"/>
      <c r="L3254" s="113" t="n"/>
      <c r="M3254" s="113" t="n"/>
      <c r="N3254" s="113" t="n"/>
      <c r="O3254" s="113" t="n"/>
      <c r="P3254" s="113" t="n"/>
      <c r="Q3254" s="113" t="n"/>
      <c r="R3254" s="113" t="n"/>
      <c r="S3254" s="113" t="n"/>
      <c r="T3254" s="113" t="n"/>
      <c r="U3254" s="113" t="n"/>
      <c r="V3254" s="113" t="n"/>
      <c r="W3254" s="113" t="n"/>
      <c r="X3254" s="113" t="n"/>
      <c r="Y3254" s="113" t="n"/>
      <c r="Z3254" s="117">
        <f>IF($B3254="",0,IF($S3254="EVET",IF($D3254="GELİR",$O3254,-$O3254),0))</f>
        <v/>
      </c>
      <c r="AA3254" s="117">
        <f>IF($B3254="",0,IF(OR($W3254="EVET",$X3254="EVET",$Y3254="EVET"),0,IF($D3254="GELİR",IF($E3254="SATIŞ İADESİ/İSKONTO",-$O3254,$O3254),-$O3254)))</f>
        <v/>
      </c>
      <c r="AB3254" s="117">
        <f>IF($B3254="","",IF(OR($D3254="",$E3254="",$O3254=""),"EKSİK",IF($O3254&lt;=0,"SIFIR/NEGATİF",IF(COUNTIFS($C$6:$C$5000,$C3254,$O$6:$O$5000,$O3254,$B$6:$B$5000,$B3254)&gt;1,"MÜKERRER","OK"))))</f>
        <v/>
      </c>
    </row>
    <row r="3255" ht="16.5" customHeight="1" s="80">
      <c r="A3255" s="113" t="n"/>
      <c r="B3255" s="113" t="n"/>
      <c r="C3255" s="113" t="n"/>
      <c r="D3255" s="113" t="n"/>
      <c r="E3255" s="113" t="n"/>
      <c r="F3255" s="113" t="n"/>
      <c r="G3255" s="113" t="n"/>
      <c r="H3255" s="113" t="n"/>
      <c r="I3255" s="113" t="n"/>
      <c r="J3255" s="113" t="n"/>
      <c r="K3255" s="113" t="n"/>
      <c r="L3255" s="113" t="n"/>
      <c r="M3255" s="113" t="n"/>
      <c r="N3255" s="113" t="n"/>
      <c r="O3255" s="113" t="n"/>
      <c r="P3255" s="113" t="n"/>
      <c r="Q3255" s="113" t="n"/>
      <c r="R3255" s="113" t="n"/>
      <c r="S3255" s="113" t="n"/>
      <c r="T3255" s="113" t="n"/>
      <c r="U3255" s="113" t="n"/>
      <c r="V3255" s="113" t="n"/>
      <c r="W3255" s="113" t="n"/>
      <c r="X3255" s="113" t="n"/>
      <c r="Y3255" s="113" t="n"/>
      <c r="Z3255" s="117">
        <f>IF($B3255="",0,IF($S3255="EVET",IF($D3255="GELİR",$O3255,-$O3255),0))</f>
        <v/>
      </c>
      <c r="AA3255" s="117">
        <f>IF($B3255="",0,IF(OR($W3255="EVET",$X3255="EVET",$Y3255="EVET"),0,IF($D3255="GELİR",IF($E3255="SATIŞ İADESİ/İSKONTO",-$O3255,$O3255),-$O3255)))</f>
        <v/>
      </c>
      <c r="AB3255" s="117">
        <f>IF($B3255="","",IF(OR($D3255="",$E3255="",$O3255=""),"EKSİK",IF($O3255&lt;=0,"SIFIR/NEGATİF",IF(COUNTIFS($C$6:$C$5000,$C3255,$O$6:$O$5000,$O3255,$B$6:$B$5000,$B3255)&gt;1,"MÜKERRER","OK"))))</f>
        <v/>
      </c>
    </row>
    <row r="3256" ht="16.5" customHeight="1" s="80">
      <c r="A3256" s="113" t="n"/>
      <c r="B3256" s="113" t="n"/>
      <c r="C3256" s="113" t="n"/>
      <c r="D3256" s="113" t="n"/>
      <c r="E3256" s="113" t="n"/>
      <c r="F3256" s="113" t="n"/>
      <c r="G3256" s="113" t="n"/>
      <c r="H3256" s="113" t="n"/>
      <c r="I3256" s="113" t="n"/>
      <c r="J3256" s="113" t="n"/>
      <c r="K3256" s="113" t="n"/>
      <c r="L3256" s="113" t="n"/>
      <c r="M3256" s="113" t="n"/>
      <c r="N3256" s="113" t="n"/>
      <c r="O3256" s="113" t="n"/>
      <c r="P3256" s="113" t="n"/>
      <c r="Q3256" s="113" t="n"/>
      <c r="R3256" s="113" t="n"/>
      <c r="S3256" s="113" t="n"/>
      <c r="T3256" s="113" t="n"/>
      <c r="U3256" s="113" t="n"/>
      <c r="V3256" s="113" t="n"/>
      <c r="W3256" s="113" t="n"/>
      <c r="X3256" s="113" t="n"/>
      <c r="Y3256" s="113" t="n"/>
      <c r="Z3256" s="117">
        <f>IF($B3256="",0,IF($S3256="EVET",IF($D3256="GELİR",$O3256,-$O3256),0))</f>
        <v/>
      </c>
      <c r="AA3256" s="117">
        <f>IF($B3256="",0,IF(OR($W3256="EVET",$X3256="EVET",$Y3256="EVET"),0,IF($D3256="GELİR",IF($E3256="SATIŞ İADESİ/İSKONTO",-$O3256,$O3256),-$O3256)))</f>
        <v/>
      </c>
      <c r="AB3256" s="117">
        <f>IF($B3256="","",IF(OR($D3256="",$E3256="",$O3256=""),"EKSİK",IF($O3256&lt;=0,"SIFIR/NEGATİF",IF(COUNTIFS($C$6:$C$5000,$C3256,$O$6:$O$5000,$O3256,$B$6:$B$5000,$B3256)&gt;1,"MÜKERRER","OK"))))</f>
        <v/>
      </c>
    </row>
    <row r="3257" ht="16.5" customHeight="1" s="80">
      <c r="A3257" s="113" t="n"/>
      <c r="B3257" s="113" t="n"/>
      <c r="C3257" s="113" t="n"/>
      <c r="D3257" s="113" t="n"/>
      <c r="E3257" s="113" t="n"/>
      <c r="F3257" s="113" t="n"/>
      <c r="G3257" s="113" t="n"/>
      <c r="H3257" s="113" t="n"/>
      <c r="I3257" s="113" t="n"/>
      <c r="J3257" s="113" t="n"/>
      <c r="K3257" s="113" t="n"/>
      <c r="L3257" s="113" t="n"/>
      <c r="M3257" s="113" t="n"/>
      <c r="N3257" s="113" t="n"/>
      <c r="O3257" s="113" t="n"/>
      <c r="P3257" s="113" t="n"/>
      <c r="Q3257" s="113" t="n"/>
      <c r="R3257" s="113" t="n"/>
      <c r="S3257" s="113" t="n"/>
      <c r="T3257" s="113" t="n"/>
      <c r="U3257" s="113" t="n"/>
      <c r="V3257" s="113" t="n"/>
      <c r="W3257" s="113" t="n"/>
      <c r="X3257" s="113" t="n"/>
      <c r="Y3257" s="113" t="n"/>
      <c r="Z3257" s="117">
        <f>IF($B3257="",0,IF($S3257="EVET",IF($D3257="GELİR",$O3257,-$O3257),0))</f>
        <v/>
      </c>
      <c r="AA3257" s="117">
        <f>IF($B3257="",0,IF(OR($W3257="EVET",$X3257="EVET",$Y3257="EVET"),0,IF($D3257="GELİR",IF($E3257="SATIŞ İADESİ/İSKONTO",-$O3257,$O3257),-$O3257)))</f>
        <v/>
      </c>
      <c r="AB3257" s="117">
        <f>IF($B3257="","",IF(OR($D3257="",$E3257="",$O3257=""),"EKSİK",IF($O3257&lt;=0,"SIFIR/NEGATİF",IF(COUNTIFS($C$6:$C$5000,$C3257,$O$6:$O$5000,$O3257,$B$6:$B$5000,$B3257)&gt;1,"MÜKERRER","OK"))))</f>
        <v/>
      </c>
    </row>
    <row r="3258" ht="16.5" customHeight="1" s="80">
      <c r="A3258" s="113" t="n"/>
      <c r="B3258" s="113" t="n"/>
      <c r="C3258" s="113" t="n"/>
      <c r="D3258" s="113" t="n"/>
      <c r="E3258" s="113" t="n"/>
      <c r="F3258" s="113" t="n"/>
      <c r="G3258" s="113" t="n"/>
      <c r="H3258" s="113" t="n"/>
      <c r="I3258" s="113" t="n"/>
      <c r="J3258" s="113" t="n"/>
      <c r="K3258" s="113" t="n"/>
      <c r="L3258" s="113" t="n"/>
      <c r="M3258" s="113" t="n"/>
      <c r="N3258" s="113" t="n"/>
      <c r="O3258" s="113" t="n"/>
      <c r="P3258" s="113" t="n"/>
      <c r="Q3258" s="113" t="n"/>
      <c r="R3258" s="113" t="n"/>
      <c r="S3258" s="113" t="n"/>
      <c r="T3258" s="113" t="n"/>
      <c r="U3258" s="113" t="n"/>
      <c r="V3258" s="113" t="n"/>
      <c r="W3258" s="113" t="n"/>
      <c r="X3258" s="113" t="n"/>
      <c r="Y3258" s="113" t="n"/>
      <c r="Z3258" s="117">
        <f>IF($B3258="",0,IF($S3258="EVET",IF($D3258="GELİR",$O3258,-$O3258),0))</f>
        <v/>
      </c>
      <c r="AA3258" s="117">
        <f>IF($B3258="",0,IF(OR($W3258="EVET",$X3258="EVET",$Y3258="EVET"),0,IF($D3258="GELİR",IF($E3258="SATIŞ İADESİ/İSKONTO",-$O3258,$O3258),-$O3258)))</f>
        <v/>
      </c>
      <c r="AB3258" s="117">
        <f>IF($B3258="","",IF(OR($D3258="",$E3258="",$O3258=""),"EKSİK",IF($O3258&lt;=0,"SIFIR/NEGATİF",IF(COUNTIFS($C$6:$C$5000,$C3258,$O$6:$O$5000,$O3258,$B$6:$B$5000,$B3258)&gt;1,"MÜKERRER","OK"))))</f>
        <v/>
      </c>
    </row>
    <row r="3259" ht="16.5" customHeight="1" s="80">
      <c r="A3259" s="113" t="n"/>
      <c r="B3259" s="113" t="n"/>
      <c r="C3259" s="113" t="n"/>
      <c r="D3259" s="113" t="n"/>
      <c r="E3259" s="113" t="n"/>
      <c r="F3259" s="113" t="n"/>
      <c r="G3259" s="113" t="n"/>
      <c r="H3259" s="113" t="n"/>
      <c r="I3259" s="113" t="n"/>
      <c r="J3259" s="113" t="n"/>
      <c r="K3259" s="113" t="n"/>
      <c r="L3259" s="113" t="n"/>
      <c r="M3259" s="113" t="n"/>
      <c r="N3259" s="113" t="n"/>
      <c r="O3259" s="113" t="n"/>
      <c r="P3259" s="113" t="n"/>
      <c r="Q3259" s="113" t="n"/>
      <c r="R3259" s="113" t="n"/>
      <c r="S3259" s="113" t="n"/>
      <c r="T3259" s="113" t="n"/>
      <c r="U3259" s="113" t="n"/>
      <c r="V3259" s="113" t="n"/>
      <c r="W3259" s="113" t="n"/>
      <c r="X3259" s="113" t="n"/>
      <c r="Y3259" s="113" t="n"/>
      <c r="Z3259" s="117">
        <f>IF($B3259="",0,IF($S3259="EVET",IF($D3259="GELİR",$O3259,-$O3259),0))</f>
        <v/>
      </c>
      <c r="AA3259" s="117">
        <f>IF($B3259="",0,IF(OR($W3259="EVET",$X3259="EVET",$Y3259="EVET"),0,IF($D3259="GELİR",IF($E3259="SATIŞ İADESİ/İSKONTO",-$O3259,$O3259),-$O3259)))</f>
        <v/>
      </c>
      <c r="AB3259" s="117">
        <f>IF($B3259="","",IF(OR($D3259="",$E3259="",$O3259=""),"EKSİK",IF($O3259&lt;=0,"SIFIR/NEGATİF",IF(COUNTIFS($C$6:$C$5000,$C3259,$O$6:$O$5000,$O3259,$B$6:$B$5000,$B3259)&gt;1,"MÜKERRER","OK"))))</f>
        <v/>
      </c>
    </row>
    <row r="3260" ht="16.5" customHeight="1" s="80">
      <c r="A3260" s="113" t="n"/>
      <c r="B3260" s="113" t="n"/>
      <c r="C3260" s="113" t="n"/>
      <c r="D3260" s="113" t="n"/>
      <c r="E3260" s="113" t="n"/>
      <c r="F3260" s="113" t="n"/>
      <c r="G3260" s="113" t="n"/>
      <c r="H3260" s="113" t="n"/>
      <c r="I3260" s="113" t="n"/>
      <c r="J3260" s="113" t="n"/>
      <c r="K3260" s="113" t="n"/>
      <c r="L3260" s="113" t="n"/>
      <c r="M3260" s="113" t="n"/>
      <c r="N3260" s="113" t="n"/>
      <c r="O3260" s="113" t="n"/>
      <c r="P3260" s="113" t="n"/>
      <c r="Q3260" s="113" t="n"/>
      <c r="R3260" s="113" t="n"/>
      <c r="S3260" s="113" t="n"/>
      <c r="T3260" s="113" t="n"/>
      <c r="U3260" s="113" t="n"/>
      <c r="V3260" s="113" t="n"/>
      <c r="W3260" s="113" t="n"/>
      <c r="X3260" s="113" t="n"/>
      <c r="Y3260" s="113" t="n"/>
      <c r="Z3260" s="117">
        <f>IF($B3260="",0,IF($S3260="EVET",IF($D3260="GELİR",$O3260,-$O3260),0))</f>
        <v/>
      </c>
      <c r="AA3260" s="117">
        <f>IF($B3260="",0,IF(OR($W3260="EVET",$X3260="EVET",$Y3260="EVET"),0,IF($D3260="GELİR",IF($E3260="SATIŞ İADESİ/İSKONTO",-$O3260,$O3260),-$O3260)))</f>
        <v/>
      </c>
      <c r="AB3260" s="117">
        <f>IF($B3260="","",IF(OR($D3260="",$E3260="",$O3260=""),"EKSİK",IF($O3260&lt;=0,"SIFIR/NEGATİF",IF(COUNTIFS($C$6:$C$5000,$C3260,$O$6:$O$5000,$O3260,$B$6:$B$5000,$B3260)&gt;1,"MÜKERRER","OK"))))</f>
        <v/>
      </c>
    </row>
    <row r="3261" ht="16.5" customHeight="1" s="80">
      <c r="A3261" s="113" t="n"/>
      <c r="B3261" s="113" t="n"/>
      <c r="C3261" s="113" t="n"/>
      <c r="D3261" s="113" t="n"/>
      <c r="E3261" s="113" t="n"/>
      <c r="F3261" s="113" t="n"/>
      <c r="G3261" s="113" t="n"/>
      <c r="H3261" s="113" t="n"/>
      <c r="I3261" s="113" t="n"/>
      <c r="J3261" s="113" t="n"/>
      <c r="K3261" s="113" t="n"/>
      <c r="L3261" s="113" t="n"/>
      <c r="M3261" s="113" t="n"/>
      <c r="N3261" s="113" t="n"/>
      <c r="O3261" s="113" t="n"/>
      <c r="P3261" s="113" t="n"/>
      <c r="Q3261" s="113" t="n"/>
      <c r="R3261" s="113" t="n"/>
      <c r="S3261" s="113" t="n"/>
      <c r="T3261" s="113" t="n"/>
      <c r="U3261" s="113" t="n"/>
      <c r="V3261" s="113" t="n"/>
      <c r="W3261" s="113" t="n"/>
      <c r="X3261" s="113" t="n"/>
      <c r="Y3261" s="113" t="n"/>
      <c r="Z3261" s="117">
        <f>IF($B3261="",0,IF($S3261="EVET",IF($D3261="GELİR",$O3261,-$O3261),0))</f>
        <v/>
      </c>
      <c r="AA3261" s="117">
        <f>IF($B3261="",0,IF(OR($W3261="EVET",$X3261="EVET",$Y3261="EVET"),0,IF($D3261="GELİR",IF($E3261="SATIŞ İADESİ/İSKONTO",-$O3261,$O3261),-$O3261)))</f>
        <v/>
      </c>
      <c r="AB3261" s="117">
        <f>IF($B3261="","",IF(OR($D3261="",$E3261="",$O3261=""),"EKSİK",IF($O3261&lt;=0,"SIFIR/NEGATİF",IF(COUNTIFS($C$6:$C$5000,$C3261,$O$6:$O$5000,$O3261,$B$6:$B$5000,$B3261)&gt;1,"MÜKERRER","OK"))))</f>
        <v/>
      </c>
    </row>
    <row r="3262" ht="16.5" customHeight="1" s="80">
      <c r="A3262" s="113" t="n"/>
      <c r="B3262" s="113" t="n"/>
      <c r="C3262" s="113" t="n"/>
      <c r="D3262" s="113" t="n"/>
      <c r="E3262" s="113" t="n"/>
      <c r="F3262" s="113" t="n"/>
      <c r="G3262" s="113" t="n"/>
      <c r="H3262" s="113" t="n"/>
      <c r="I3262" s="113" t="n"/>
      <c r="J3262" s="113" t="n"/>
      <c r="K3262" s="113" t="n"/>
      <c r="L3262" s="113" t="n"/>
      <c r="M3262" s="113" t="n"/>
      <c r="N3262" s="113" t="n"/>
      <c r="O3262" s="113" t="n"/>
      <c r="P3262" s="113" t="n"/>
      <c r="Q3262" s="113" t="n"/>
      <c r="R3262" s="113" t="n"/>
      <c r="S3262" s="113" t="n"/>
      <c r="T3262" s="113" t="n"/>
      <c r="U3262" s="113" t="n"/>
      <c r="V3262" s="113" t="n"/>
      <c r="W3262" s="113" t="n"/>
      <c r="X3262" s="113" t="n"/>
      <c r="Y3262" s="113" t="n"/>
      <c r="Z3262" s="117">
        <f>IF($B3262="",0,IF($S3262="EVET",IF($D3262="GELİR",$O3262,-$O3262),0))</f>
        <v/>
      </c>
      <c r="AA3262" s="117">
        <f>IF($B3262="",0,IF(OR($W3262="EVET",$X3262="EVET",$Y3262="EVET"),0,IF($D3262="GELİR",IF($E3262="SATIŞ İADESİ/İSKONTO",-$O3262,$O3262),-$O3262)))</f>
        <v/>
      </c>
      <c r="AB3262" s="117">
        <f>IF($B3262="","",IF(OR($D3262="",$E3262="",$O3262=""),"EKSİK",IF($O3262&lt;=0,"SIFIR/NEGATİF",IF(COUNTIFS($C$6:$C$5000,$C3262,$O$6:$O$5000,$O3262,$B$6:$B$5000,$B3262)&gt;1,"MÜKERRER","OK"))))</f>
        <v/>
      </c>
    </row>
    <row r="3263" ht="16.5" customHeight="1" s="80">
      <c r="A3263" s="113" t="n"/>
      <c r="B3263" s="113" t="n"/>
      <c r="C3263" s="113" t="n"/>
      <c r="D3263" s="113" t="n"/>
      <c r="E3263" s="113" t="n"/>
      <c r="F3263" s="113" t="n"/>
      <c r="G3263" s="113" t="n"/>
      <c r="H3263" s="113" t="n"/>
      <c r="I3263" s="113" t="n"/>
      <c r="J3263" s="113" t="n"/>
      <c r="K3263" s="113" t="n"/>
      <c r="L3263" s="113" t="n"/>
      <c r="M3263" s="113" t="n"/>
      <c r="N3263" s="113" t="n"/>
      <c r="O3263" s="113" t="n"/>
      <c r="P3263" s="113" t="n"/>
      <c r="Q3263" s="113" t="n"/>
      <c r="R3263" s="113" t="n"/>
      <c r="S3263" s="113" t="n"/>
      <c r="T3263" s="113" t="n"/>
      <c r="U3263" s="113" t="n"/>
      <c r="V3263" s="113" t="n"/>
      <c r="W3263" s="113" t="n"/>
      <c r="X3263" s="113" t="n"/>
      <c r="Y3263" s="113" t="n"/>
      <c r="Z3263" s="117">
        <f>IF($B3263="",0,IF($S3263="EVET",IF($D3263="GELİR",$O3263,-$O3263),0))</f>
        <v/>
      </c>
      <c r="AA3263" s="117">
        <f>IF($B3263="",0,IF(OR($W3263="EVET",$X3263="EVET",$Y3263="EVET"),0,IF($D3263="GELİR",IF($E3263="SATIŞ İADESİ/İSKONTO",-$O3263,$O3263),-$O3263)))</f>
        <v/>
      </c>
      <c r="AB3263" s="117">
        <f>IF($B3263="","",IF(OR($D3263="",$E3263="",$O3263=""),"EKSİK",IF($O3263&lt;=0,"SIFIR/NEGATİF",IF(COUNTIFS($C$6:$C$5000,$C3263,$O$6:$O$5000,$O3263,$B$6:$B$5000,$B3263)&gt;1,"MÜKERRER","OK"))))</f>
        <v/>
      </c>
    </row>
    <row r="3264" ht="16.5" customHeight="1" s="80">
      <c r="A3264" s="113" t="n"/>
      <c r="B3264" s="113" t="n"/>
      <c r="C3264" s="113" t="n"/>
      <c r="D3264" s="113" t="n"/>
      <c r="E3264" s="113" t="n"/>
      <c r="F3264" s="113" t="n"/>
      <c r="G3264" s="113" t="n"/>
      <c r="H3264" s="113" t="n"/>
      <c r="I3264" s="113" t="n"/>
      <c r="J3264" s="113" t="n"/>
      <c r="K3264" s="113" t="n"/>
      <c r="L3264" s="113" t="n"/>
      <c r="M3264" s="113" t="n"/>
      <c r="N3264" s="113" t="n"/>
      <c r="O3264" s="113" t="n"/>
      <c r="P3264" s="113" t="n"/>
      <c r="Q3264" s="113" t="n"/>
      <c r="R3264" s="113" t="n"/>
      <c r="S3264" s="113" t="n"/>
      <c r="T3264" s="113" t="n"/>
      <c r="U3264" s="113" t="n"/>
      <c r="V3264" s="113" t="n"/>
      <c r="W3264" s="113" t="n"/>
      <c r="X3264" s="113" t="n"/>
      <c r="Y3264" s="113" t="n"/>
      <c r="Z3264" s="117">
        <f>IF($B3264="",0,IF($S3264="EVET",IF($D3264="GELİR",$O3264,-$O3264),0))</f>
        <v/>
      </c>
      <c r="AA3264" s="117">
        <f>IF($B3264="",0,IF(OR($W3264="EVET",$X3264="EVET",$Y3264="EVET"),0,IF($D3264="GELİR",IF($E3264="SATIŞ İADESİ/İSKONTO",-$O3264,$O3264),-$O3264)))</f>
        <v/>
      </c>
      <c r="AB3264" s="117">
        <f>IF($B3264="","",IF(OR($D3264="",$E3264="",$O3264=""),"EKSİK",IF($O3264&lt;=0,"SIFIR/NEGATİF",IF(COUNTIFS($C$6:$C$5000,$C3264,$O$6:$O$5000,$O3264,$B$6:$B$5000,$B3264)&gt;1,"MÜKERRER","OK"))))</f>
        <v/>
      </c>
    </row>
    <row r="3265" ht="16.5" customHeight="1" s="80">
      <c r="A3265" s="113" t="n"/>
      <c r="B3265" s="113" t="n"/>
      <c r="C3265" s="113" t="n"/>
      <c r="D3265" s="113" t="n"/>
      <c r="E3265" s="113" t="n"/>
      <c r="F3265" s="113" t="n"/>
      <c r="G3265" s="113" t="n"/>
      <c r="H3265" s="113" t="n"/>
      <c r="I3265" s="113" t="n"/>
      <c r="J3265" s="113" t="n"/>
      <c r="K3265" s="113" t="n"/>
      <c r="L3265" s="113" t="n"/>
      <c r="M3265" s="113" t="n"/>
      <c r="N3265" s="113" t="n"/>
      <c r="O3265" s="113" t="n"/>
      <c r="P3265" s="113" t="n"/>
      <c r="Q3265" s="113" t="n"/>
      <c r="R3265" s="113" t="n"/>
      <c r="S3265" s="113" t="n"/>
      <c r="T3265" s="113" t="n"/>
      <c r="U3265" s="113" t="n"/>
      <c r="V3265" s="113" t="n"/>
      <c r="W3265" s="113" t="n"/>
      <c r="X3265" s="113" t="n"/>
      <c r="Y3265" s="113" t="n"/>
      <c r="Z3265" s="117">
        <f>IF($B3265="",0,IF($S3265="EVET",IF($D3265="GELİR",$O3265,-$O3265),0))</f>
        <v/>
      </c>
      <c r="AA3265" s="117">
        <f>IF($B3265="",0,IF(OR($W3265="EVET",$X3265="EVET",$Y3265="EVET"),0,IF($D3265="GELİR",IF($E3265="SATIŞ İADESİ/İSKONTO",-$O3265,$O3265),-$O3265)))</f>
        <v/>
      </c>
      <c r="AB3265" s="117">
        <f>IF($B3265="","",IF(OR($D3265="",$E3265="",$O3265=""),"EKSİK",IF($O3265&lt;=0,"SIFIR/NEGATİF",IF(COUNTIFS($C$6:$C$5000,$C3265,$O$6:$O$5000,$O3265,$B$6:$B$5000,$B3265)&gt;1,"MÜKERRER","OK"))))</f>
        <v/>
      </c>
    </row>
    <row r="3266" ht="16.5" customHeight="1" s="80">
      <c r="A3266" s="113" t="n"/>
      <c r="B3266" s="113" t="n"/>
      <c r="C3266" s="113" t="n"/>
      <c r="D3266" s="113" t="n"/>
      <c r="E3266" s="113" t="n"/>
      <c r="F3266" s="113" t="n"/>
      <c r="G3266" s="113" t="n"/>
      <c r="H3266" s="113" t="n"/>
      <c r="I3266" s="113" t="n"/>
      <c r="J3266" s="113" t="n"/>
      <c r="K3266" s="113" t="n"/>
      <c r="L3266" s="113" t="n"/>
      <c r="M3266" s="113" t="n"/>
      <c r="N3266" s="113" t="n"/>
      <c r="O3266" s="113" t="n"/>
      <c r="P3266" s="113" t="n"/>
      <c r="Q3266" s="113" t="n"/>
      <c r="R3266" s="113" t="n"/>
      <c r="S3266" s="113" t="n"/>
      <c r="T3266" s="113" t="n"/>
      <c r="U3266" s="113" t="n"/>
      <c r="V3266" s="113" t="n"/>
      <c r="W3266" s="113" t="n"/>
      <c r="X3266" s="113" t="n"/>
      <c r="Y3266" s="113" t="n"/>
      <c r="Z3266" s="117">
        <f>IF($B3266="",0,IF($S3266="EVET",IF($D3266="GELİR",$O3266,-$O3266),0))</f>
        <v/>
      </c>
      <c r="AA3266" s="117">
        <f>IF($B3266="",0,IF(OR($W3266="EVET",$X3266="EVET",$Y3266="EVET"),0,IF($D3266="GELİR",IF($E3266="SATIŞ İADESİ/İSKONTO",-$O3266,$O3266),-$O3266)))</f>
        <v/>
      </c>
      <c r="AB3266" s="117">
        <f>IF($B3266="","",IF(OR($D3266="",$E3266="",$O3266=""),"EKSİK",IF($O3266&lt;=0,"SIFIR/NEGATİF",IF(COUNTIFS($C$6:$C$5000,$C3266,$O$6:$O$5000,$O3266,$B$6:$B$5000,$B3266)&gt;1,"MÜKERRER","OK"))))</f>
        <v/>
      </c>
    </row>
    <row r="3267" ht="16.5" customHeight="1" s="80">
      <c r="A3267" s="113" t="n"/>
      <c r="B3267" s="113" t="n"/>
      <c r="C3267" s="113" t="n"/>
      <c r="D3267" s="113" t="n"/>
      <c r="E3267" s="113" t="n"/>
      <c r="F3267" s="113" t="n"/>
      <c r="G3267" s="113" t="n"/>
      <c r="H3267" s="113" t="n"/>
      <c r="I3267" s="113" t="n"/>
      <c r="J3267" s="113" t="n"/>
      <c r="K3267" s="113" t="n"/>
      <c r="L3267" s="113" t="n"/>
      <c r="M3267" s="113" t="n"/>
      <c r="N3267" s="113" t="n"/>
      <c r="O3267" s="113" t="n"/>
      <c r="P3267" s="113" t="n"/>
      <c r="Q3267" s="113" t="n"/>
      <c r="R3267" s="113" t="n"/>
      <c r="S3267" s="113" t="n"/>
      <c r="T3267" s="113" t="n"/>
      <c r="U3267" s="113" t="n"/>
      <c r="V3267" s="113" t="n"/>
      <c r="W3267" s="113" t="n"/>
      <c r="X3267" s="113" t="n"/>
      <c r="Y3267" s="113" t="n"/>
      <c r="Z3267" s="117">
        <f>IF($B3267="",0,IF($S3267="EVET",IF($D3267="GELİR",$O3267,-$O3267),0))</f>
        <v/>
      </c>
      <c r="AA3267" s="117">
        <f>IF($B3267="",0,IF(OR($W3267="EVET",$X3267="EVET",$Y3267="EVET"),0,IF($D3267="GELİR",IF($E3267="SATIŞ İADESİ/İSKONTO",-$O3267,$O3267),-$O3267)))</f>
        <v/>
      </c>
      <c r="AB3267" s="117">
        <f>IF($B3267="","",IF(OR($D3267="",$E3267="",$O3267=""),"EKSİK",IF($O3267&lt;=0,"SIFIR/NEGATİF",IF(COUNTIFS($C$6:$C$5000,$C3267,$O$6:$O$5000,$O3267,$B$6:$B$5000,$B3267)&gt;1,"MÜKERRER","OK"))))</f>
        <v/>
      </c>
    </row>
    <row r="3268" ht="16.5" customHeight="1" s="80">
      <c r="A3268" s="113" t="n"/>
      <c r="B3268" s="113" t="n"/>
      <c r="C3268" s="113" t="n"/>
      <c r="D3268" s="113" t="n"/>
      <c r="E3268" s="113" t="n"/>
      <c r="F3268" s="113" t="n"/>
      <c r="G3268" s="113" t="n"/>
      <c r="H3268" s="113" t="n"/>
      <c r="I3268" s="113" t="n"/>
      <c r="J3268" s="113" t="n"/>
      <c r="K3268" s="113" t="n"/>
      <c r="L3268" s="113" t="n"/>
      <c r="M3268" s="113" t="n"/>
      <c r="N3268" s="113" t="n"/>
      <c r="O3268" s="113" t="n"/>
      <c r="P3268" s="113" t="n"/>
      <c r="Q3268" s="113" t="n"/>
      <c r="R3268" s="113" t="n"/>
      <c r="S3268" s="113" t="n"/>
      <c r="T3268" s="113" t="n"/>
      <c r="U3268" s="113" t="n"/>
      <c r="V3268" s="113" t="n"/>
      <c r="W3268" s="113" t="n"/>
      <c r="X3268" s="113" t="n"/>
      <c r="Y3268" s="113" t="n"/>
      <c r="Z3268" s="117">
        <f>IF($B3268="",0,IF($S3268="EVET",IF($D3268="GELİR",$O3268,-$O3268),0))</f>
        <v/>
      </c>
      <c r="AA3268" s="117">
        <f>IF($B3268="",0,IF(OR($W3268="EVET",$X3268="EVET",$Y3268="EVET"),0,IF($D3268="GELİR",IF($E3268="SATIŞ İADESİ/İSKONTO",-$O3268,$O3268),-$O3268)))</f>
        <v/>
      </c>
      <c r="AB3268" s="117">
        <f>IF($B3268="","",IF(OR($D3268="",$E3268="",$O3268=""),"EKSİK",IF($O3268&lt;=0,"SIFIR/NEGATİF",IF(COUNTIFS($C$6:$C$5000,$C3268,$O$6:$O$5000,$O3268,$B$6:$B$5000,$B3268)&gt;1,"MÜKERRER","OK"))))</f>
        <v/>
      </c>
    </row>
    <row r="3269" ht="16.5" customHeight="1" s="80">
      <c r="A3269" s="113" t="n"/>
      <c r="B3269" s="113" t="n"/>
      <c r="C3269" s="113" t="n"/>
      <c r="D3269" s="113" t="n"/>
      <c r="E3269" s="113" t="n"/>
      <c r="F3269" s="113" t="n"/>
      <c r="G3269" s="113" t="n"/>
      <c r="H3269" s="113" t="n"/>
      <c r="I3269" s="113" t="n"/>
      <c r="J3269" s="113" t="n"/>
      <c r="K3269" s="113" t="n"/>
      <c r="L3269" s="113" t="n"/>
      <c r="M3269" s="113" t="n"/>
      <c r="N3269" s="113" t="n"/>
      <c r="O3269" s="113" t="n"/>
      <c r="P3269" s="113" t="n"/>
      <c r="Q3269" s="113" t="n"/>
      <c r="R3269" s="113" t="n"/>
      <c r="S3269" s="113" t="n"/>
      <c r="T3269" s="113" t="n"/>
      <c r="U3269" s="113" t="n"/>
      <c r="V3269" s="113" t="n"/>
      <c r="W3269" s="113" t="n"/>
      <c r="X3269" s="113" t="n"/>
      <c r="Y3269" s="113" t="n"/>
      <c r="Z3269" s="117">
        <f>IF($B3269="",0,IF($S3269="EVET",IF($D3269="GELİR",$O3269,-$O3269),0))</f>
        <v/>
      </c>
      <c r="AA3269" s="117">
        <f>IF($B3269="",0,IF(OR($W3269="EVET",$X3269="EVET",$Y3269="EVET"),0,IF($D3269="GELİR",IF($E3269="SATIŞ İADESİ/İSKONTO",-$O3269,$O3269),-$O3269)))</f>
        <v/>
      </c>
      <c r="AB3269" s="117">
        <f>IF($B3269="","",IF(OR($D3269="",$E3269="",$O3269=""),"EKSİK",IF($O3269&lt;=0,"SIFIR/NEGATİF",IF(COUNTIFS($C$6:$C$5000,$C3269,$O$6:$O$5000,$O3269,$B$6:$B$5000,$B3269)&gt;1,"MÜKERRER","OK"))))</f>
        <v/>
      </c>
    </row>
    <row r="3270" ht="16.5" customHeight="1" s="80">
      <c r="A3270" s="113" t="n"/>
      <c r="B3270" s="113" t="n"/>
      <c r="C3270" s="113" t="n"/>
      <c r="D3270" s="113" t="n"/>
      <c r="E3270" s="113" t="n"/>
      <c r="F3270" s="113" t="n"/>
      <c r="G3270" s="113" t="n"/>
      <c r="H3270" s="113" t="n"/>
      <c r="I3270" s="113" t="n"/>
      <c r="J3270" s="113" t="n"/>
      <c r="K3270" s="113" t="n"/>
      <c r="L3270" s="113" t="n"/>
      <c r="M3270" s="113" t="n"/>
      <c r="N3270" s="113" t="n"/>
      <c r="O3270" s="113" t="n"/>
      <c r="P3270" s="113" t="n"/>
      <c r="Q3270" s="113" t="n"/>
      <c r="R3270" s="113" t="n"/>
      <c r="S3270" s="113" t="n"/>
      <c r="T3270" s="113" t="n"/>
      <c r="U3270" s="113" t="n"/>
      <c r="V3270" s="113" t="n"/>
      <c r="W3270" s="113" t="n"/>
      <c r="X3270" s="113" t="n"/>
      <c r="Y3270" s="113" t="n"/>
      <c r="Z3270" s="117">
        <f>IF($B3270="",0,IF($S3270="EVET",IF($D3270="GELİR",$O3270,-$O3270),0))</f>
        <v/>
      </c>
      <c r="AA3270" s="117">
        <f>IF($B3270="",0,IF(OR($W3270="EVET",$X3270="EVET",$Y3270="EVET"),0,IF($D3270="GELİR",IF($E3270="SATIŞ İADESİ/İSKONTO",-$O3270,$O3270),-$O3270)))</f>
        <v/>
      </c>
      <c r="AB3270" s="117">
        <f>IF($B3270="","",IF(OR($D3270="",$E3270="",$O3270=""),"EKSİK",IF($O3270&lt;=0,"SIFIR/NEGATİF",IF(COUNTIFS($C$6:$C$5000,$C3270,$O$6:$O$5000,$O3270,$B$6:$B$5000,$B3270)&gt;1,"MÜKERRER","OK"))))</f>
        <v/>
      </c>
    </row>
    <row r="3271" ht="16.5" customHeight="1" s="80">
      <c r="A3271" s="113" t="n"/>
      <c r="B3271" s="113" t="n"/>
      <c r="C3271" s="113" t="n"/>
      <c r="D3271" s="113" t="n"/>
      <c r="E3271" s="113" t="n"/>
      <c r="F3271" s="113" t="n"/>
      <c r="G3271" s="113" t="n"/>
      <c r="H3271" s="113" t="n"/>
      <c r="I3271" s="113" t="n"/>
      <c r="J3271" s="113" t="n"/>
      <c r="K3271" s="113" t="n"/>
      <c r="L3271" s="113" t="n"/>
      <c r="M3271" s="113" t="n"/>
      <c r="N3271" s="113" t="n"/>
      <c r="O3271" s="113" t="n"/>
      <c r="P3271" s="113" t="n"/>
      <c r="Q3271" s="113" t="n"/>
      <c r="R3271" s="113" t="n"/>
      <c r="S3271" s="113" t="n"/>
      <c r="T3271" s="113" t="n"/>
      <c r="U3271" s="113" t="n"/>
      <c r="V3271" s="113" t="n"/>
      <c r="W3271" s="113" t="n"/>
      <c r="X3271" s="113" t="n"/>
      <c r="Y3271" s="113" t="n"/>
      <c r="Z3271" s="117">
        <f>IF($B3271="",0,IF($S3271="EVET",IF($D3271="GELİR",$O3271,-$O3271),0))</f>
        <v/>
      </c>
      <c r="AA3271" s="117">
        <f>IF($B3271="",0,IF(OR($W3271="EVET",$X3271="EVET",$Y3271="EVET"),0,IF($D3271="GELİR",IF($E3271="SATIŞ İADESİ/İSKONTO",-$O3271,$O3271),-$O3271)))</f>
        <v/>
      </c>
      <c r="AB3271" s="117">
        <f>IF($B3271="","",IF(OR($D3271="",$E3271="",$O3271=""),"EKSİK",IF($O3271&lt;=0,"SIFIR/NEGATİF",IF(COUNTIFS($C$6:$C$5000,$C3271,$O$6:$O$5000,$O3271,$B$6:$B$5000,$B3271)&gt;1,"MÜKERRER","OK"))))</f>
        <v/>
      </c>
    </row>
    <row r="3272" ht="16.5" customHeight="1" s="80">
      <c r="A3272" s="113" t="n"/>
      <c r="B3272" s="113" t="n"/>
      <c r="C3272" s="113" t="n"/>
      <c r="D3272" s="113" t="n"/>
      <c r="E3272" s="113" t="n"/>
      <c r="F3272" s="113" t="n"/>
      <c r="G3272" s="113" t="n"/>
      <c r="H3272" s="113" t="n"/>
      <c r="I3272" s="113" t="n"/>
      <c r="J3272" s="113" t="n"/>
      <c r="K3272" s="113" t="n"/>
      <c r="L3272" s="113" t="n"/>
      <c r="M3272" s="113" t="n"/>
      <c r="N3272" s="113" t="n"/>
      <c r="O3272" s="113" t="n"/>
      <c r="P3272" s="113" t="n"/>
      <c r="Q3272" s="113" t="n"/>
      <c r="R3272" s="113" t="n"/>
      <c r="S3272" s="113" t="n"/>
      <c r="T3272" s="113" t="n"/>
      <c r="U3272" s="113" t="n"/>
      <c r="V3272" s="113" t="n"/>
      <c r="W3272" s="113" t="n"/>
      <c r="X3272" s="113" t="n"/>
      <c r="Y3272" s="113" t="n"/>
      <c r="Z3272" s="117">
        <f>IF($B3272="",0,IF($S3272="EVET",IF($D3272="GELİR",$O3272,-$O3272),0))</f>
        <v/>
      </c>
      <c r="AA3272" s="117">
        <f>IF($B3272="",0,IF(OR($W3272="EVET",$X3272="EVET",$Y3272="EVET"),0,IF($D3272="GELİR",IF($E3272="SATIŞ İADESİ/İSKONTO",-$O3272,$O3272),-$O3272)))</f>
        <v/>
      </c>
      <c r="AB3272" s="117">
        <f>IF($B3272="","",IF(OR($D3272="",$E3272="",$O3272=""),"EKSİK",IF($O3272&lt;=0,"SIFIR/NEGATİF",IF(COUNTIFS($C$6:$C$5000,$C3272,$O$6:$O$5000,$O3272,$B$6:$B$5000,$B3272)&gt;1,"MÜKERRER","OK"))))</f>
        <v/>
      </c>
    </row>
    <row r="3273" ht="16.5" customHeight="1" s="80">
      <c r="A3273" s="113" t="n"/>
      <c r="B3273" s="113" t="n"/>
      <c r="C3273" s="113" t="n"/>
      <c r="D3273" s="113" t="n"/>
      <c r="E3273" s="113" t="n"/>
      <c r="F3273" s="113" t="n"/>
      <c r="G3273" s="113" t="n"/>
      <c r="H3273" s="113" t="n"/>
      <c r="I3273" s="113" t="n"/>
      <c r="J3273" s="113" t="n"/>
      <c r="K3273" s="113" t="n"/>
      <c r="L3273" s="113" t="n"/>
      <c r="M3273" s="113" t="n"/>
      <c r="N3273" s="113" t="n"/>
      <c r="O3273" s="113" t="n"/>
      <c r="P3273" s="113" t="n"/>
      <c r="Q3273" s="113" t="n"/>
      <c r="R3273" s="113" t="n"/>
      <c r="S3273" s="113" t="n"/>
      <c r="T3273" s="113" t="n"/>
      <c r="U3273" s="113" t="n"/>
      <c r="V3273" s="113" t="n"/>
      <c r="W3273" s="113" t="n"/>
      <c r="X3273" s="113" t="n"/>
      <c r="Y3273" s="113" t="n"/>
      <c r="Z3273" s="117">
        <f>IF($B3273="",0,IF($S3273="EVET",IF($D3273="GELİR",$O3273,-$O3273),0))</f>
        <v/>
      </c>
      <c r="AA3273" s="117">
        <f>IF($B3273="",0,IF(OR($W3273="EVET",$X3273="EVET",$Y3273="EVET"),0,IF($D3273="GELİR",IF($E3273="SATIŞ İADESİ/İSKONTO",-$O3273,$O3273),-$O3273)))</f>
        <v/>
      </c>
      <c r="AB3273" s="117">
        <f>IF($B3273="","",IF(OR($D3273="",$E3273="",$O3273=""),"EKSİK",IF($O3273&lt;=0,"SIFIR/NEGATİF",IF(COUNTIFS($C$6:$C$5000,$C3273,$O$6:$O$5000,$O3273,$B$6:$B$5000,$B3273)&gt;1,"MÜKERRER","OK"))))</f>
        <v/>
      </c>
    </row>
    <row r="3274" ht="16.5" customHeight="1" s="80">
      <c r="A3274" s="113" t="n"/>
      <c r="B3274" s="113" t="n"/>
      <c r="C3274" s="113" t="n"/>
      <c r="D3274" s="113" t="n"/>
      <c r="E3274" s="113" t="n"/>
      <c r="F3274" s="113" t="n"/>
      <c r="G3274" s="113" t="n"/>
      <c r="H3274" s="113" t="n"/>
      <c r="I3274" s="113" t="n"/>
      <c r="J3274" s="113" t="n"/>
      <c r="K3274" s="113" t="n"/>
      <c r="L3274" s="113" t="n"/>
      <c r="M3274" s="113" t="n"/>
      <c r="N3274" s="113" t="n"/>
      <c r="O3274" s="113" t="n"/>
      <c r="P3274" s="113" t="n"/>
      <c r="Q3274" s="113" t="n"/>
      <c r="R3274" s="113" t="n"/>
      <c r="S3274" s="113" t="n"/>
      <c r="T3274" s="113" t="n"/>
      <c r="U3274" s="113" t="n"/>
      <c r="V3274" s="113" t="n"/>
      <c r="W3274" s="113" t="n"/>
      <c r="X3274" s="113" t="n"/>
      <c r="Y3274" s="113" t="n"/>
      <c r="Z3274" s="117">
        <f>IF($B3274="",0,IF($S3274="EVET",IF($D3274="GELİR",$O3274,-$O3274),0))</f>
        <v/>
      </c>
      <c r="AA3274" s="117">
        <f>IF($B3274="",0,IF(OR($W3274="EVET",$X3274="EVET",$Y3274="EVET"),0,IF($D3274="GELİR",IF($E3274="SATIŞ İADESİ/İSKONTO",-$O3274,$O3274),-$O3274)))</f>
        <v/>
      </c>
      <c r="AB3274" s="117">
        <f>IF($B3274="","",IF(OR($D3274="",$E3274="",$O3274=""),"EKSİK",IF($O3274&lt;=0,"SIFIR/NEGATİF",IF(COUNTIFS($C$6:$C$5000,$C3274,$O$6:$O$5000,$O3274,$B$6:$B$5000,$B3274)&gt;1,"MÜKERRER","OK"))))</f>
        <v/>
      </c>
    </row>
    <row r="3275" ht="16.5" customHeight="1" s="80">
      <c r="A3275" s="113" t="n"/>
      <c r="B3275" s="113" t="n"/>
      <c r="C3275" s="113" t="n"/>
      <c r="D3275" s="113" t="n"/>
      <c r="E3275" s="113" t="n"/>
      <c r="F3275" s="113" t="n"/>
      <c r="G3275" s="113" t="n"/>
      <c r="H3275" s="113" t="n"/>
      <c r="I3275" s="113" t="n"/>
      <c r="J3275" s="113" t="n"/>
      <c r="K3275" s="113" t="n"/>
      <c r="L3275" s="113" t="n"/>
      <c r="M3275" s="113" t="n"/>
      <c r="N3275" s="113" t="n"/>
      <c r="O3275" s="113" t="n"/>
      <c r="P3275" s="113" t="n"/>
      <c r="Q3275" s="113" t="n"/>
      <c r="R3275" s="113" t="n"/>
      <c r="S3275" s="113" t="n"/>
      <c r="T3275" s="113" t="n"/>
      <c r="U3275" s="113" t="n"/>
      <c r="V3275" s="113" t="n"/>
      <c r="W3275" s="113" t="n"/>
      <c r="X3275" s="113" t="n"/>
      <c r="Y3275" s="113" t="n"/>
      <c r="Z3275" s="117">
        <f>IF($B3275="",0,IF($S3275="EVET",IF($D3275="GELİR",$O3275,-$O3275),0))</f>
        <v/>
      </c>
      <c r="AA3275" s="117">
        <f>IF($B3275="",0,IF(OR($W3275="EVET",$X3275="EVET",$Y3275="EVET"),0,IF($D3275="GELİR",IF($E3275="SATIŞ İADESİ/İSKONTO",-$O3275,$O3275),-$O3275)))</f>
        <v/>
      </c>
      <c r="AB3275" s="117">
        <f>IF($B3275="","",IF(OR($D3275="",$E3275="",$O3275=""),"EKSİK",IF($O3275&lt;=0,"SIFIR/NEGATİF",IF(COUNTIFS($C$6:$C$5000,$C3275,$O$6:$O$5000,$O3275,$B$6:$B$5000,$B3275)&gt;1,"MÜKERRER","OK"))))</f>
        <v/>
      </c>
    </row>
    <row r="3276" ht="16.5" customHeight="1" s="80">
      <c r="A3276" s="113" t="n"/>
      <c r="B3276" s="113" t="n"/>
      <c r="C3276" s="113" t="n"/>
      <c r="D3276" s="113" t="n"/>
      <c r="E3276" s="113" t="n"/>
      <c r="F3276" s="113" t="n"/>
      <c r="G3276" s="113" t="n"/>
      <c r="H3276" s="113" t="n"/>
      <c r="I3276" s="113" t="n"/>
      <c r="J3276" s="113" t="n"/>
      <c r="K3276" s="113" t="n"/>
      <c r="L3276" s="113" t="n"/>
      <c r="M3276" s="113" t="n"/>
      <c r="N3276" s="113" t="n"/>
      <c r="O3276" s="113" t="n"/>
      <c r="P3276" s="113" t="n"/>
      <c r="Q3276" s="113" t="n"/>
      <c r="R3276" s="113" t="n"/>
      <c r="S3276" s="113" t="n"/>
      <c r="T3276" s="113" t="n"/>
      <c r="U3276" s="113" t="n"/>
      <c r="V3276" s="113" t="n"/>
      <c r="W3276" s="113" t="n"/>
      <c r="X3276" s="113" t="n"/>
      <c r="Y3276" s="113" t="n"/>
      <c r="Z3276" s="117">
        <f>IF($B3276="",0,IF($S3276="EVET",IF($D3276="GELİR",$O3276,-$O3276),0))</f>
        <v/>
      </c>
      <c r="AA3276" s="117">
        <f>IF($B3276="",0,IF(OR($W3276="EVET",$X3276="EVET",$Y3276="EVET"),0,IF($D3276="GELİR",IF($E3276="SATIŞ İADESİ/İSKONTO",-$O3276,$O3276),-$O3276)))</f>
        <v/>
      </c>
      <c r="AB3276" s="117">
        <f>IF($B3276="","",IF(OR($D3276="",$E3276="",$O3276=""),"EKSİK",IF($O3276&lt;=0,"SIFIR/NEGATİF",IF(COUNTIFS($C$6:$C$5000,$C3276,$O$6:$O$5000,$O3276,$B$6:$B$5000,$B3276)&gt;1,"MÜKERRER","OK"))))</f>
        <v/>
      </c>
    </row>
    <row r="3277" ht="16.5" customHeight="1" s="80">
      <c r="A3277" s="113" t="n"/>
      <c r="B3277" s="113" t="n"/>
      <c r="C3277" s="113" t="n"/>
      <c r="D3277" s="113" t="n"/>
      <c r="E3277" s="113" t="n"/>
      <c r="F3277" s="113" t="n"/>
      <c r="G3277" s="113" t="n"/>
      <c r="H3277" s="113" t="n"/>
      <c r="I3277" s="113" t="n"/>
      <c r="J3277" s="113" t="n"/>
      <c r="K3277" s="113" t="n"/>
      <c r="L3277" s="113" t="n"/>
      <c r="M3277" s="113" t="n"/>
      <c r="N3277" s="113" t="n"/>
      <c r="O3277" s="113" t="n"/>
      <c r="P3277" s="113" t="n"/>
      <c r="Q3277" s="113" t="n"/>
      <c r="R3277" s="113" t="n"/>
      <c r="S3277" s="113" t="n"/>
      <c r="T3277" s="113" t="n"/>
      <c r="U3277" s="113" t="n"/>
      <c r="V3277" s="113" t="n"/>
      <c r="W3277" s="113" t="n"/>
      <c r="X3277" s="113" t="n"/>
      <c r="Y3277" s="113" t="n"/>
      <c r="Z3277" s="117">
        <f>IF($B3277="",0,IF($S3277="EVET",IF($D3277="GELİR",$O3277,-$O3277),0))</f>
        <v/>
      </c>
      <c r="AA3277" s="117">
        <f>IF($B3277="",0,IF(OR($W3277="EVET",$X3277="EVET",$Y3277="EVET"),0,IF($D3277="GELİR",IF($E3277="SATIŞ İADESİ/İSKONTO",-$O3277,$O3277),-$O3277)))</f>
        <v/>
      </c>
      <c r="AB3277" s="117">
        <f>IF($B3277="","",IF(OR($D3277="",$E3277="",$O3277=""),"EKSİK",IF($O3277&lt;=0,"SIFIR/NEGATİF",IF(COUNTIFS($C$6:$C$5000,$C3277,$O$6:$O$5000,$O3277,$B$6:$B$5000,$B3277)&gt;1,"MÜKERRER","OK"))))</f>
        <v/>
      </c>
    </row>
    <row r="3278" ht="16.5" customHeight="1" s="80">
      <c r="A3278" s="113" t="n"/>
      <c r="B3278" s="113" t="n"/>
      <c r="C3278" s="113" t="n"/>
      <c r="D3278" s="113" t="n"/>
      <c r="E3278" s="113" t="n"/>
      <c r="F3278" s="113" t="n"/>
      <c r="G3278" s="113" t="n"/>
      <c r="H3278" s="113" t="n"/>
      <c r="I3278" s="113" t="n"/>
      <c r="J3278" s="113" t="n"/>
      <c r="K3278" s="113" t="n"/>
      <c r="L3278" s="113" t="n"/>
      <c r="M3278" s="113" t="n"/>
      <c r="N3278" s="113" t="n"/>
      <c r="O3278" s="113" t="n"/>
      <c r="P3278" s="113" t="n"/>
      <c r="Q3278" s="113" t="n"/>
      <c r="R3278" s="113" t="n"/>
      <c r="S3278" s="113" t="n"/>
      <c r="T3278" s="113" t="n"/>
      <c r="U3278" s="113" t="n"/>
      <c r="V3278" s="113" t="n"/>
      <c r="W3278" s="113" t="n"/>
      <c r="X3278" s="113" t="n"/>
      <c r="Y3278" s="113" t="n"/>
      <c r="Z3278" s="117">
        <f>IF($B3278="",0,IF($S3278="EVET",IF($D3278="GELİR",$O3278,-$O3278),0))</f>
        <v/>
      </c>
      <c r="AA3278" s="117">
        <f>IF($B3278="",0,IF(OR($W3278="EVET",$X3278="EVET",$Y3278="EVET"),0,IF($D3278="GELİR",IF($E3278="SATIŞ İADESİ/İSKONTO",-$O3278,$O3278),-$O3278)))</f>
        <v/>
      </c>
      <c r="AB3278" s="117">
        <f>IF($B3278="","",IF(OR($D3278="",$E3278="",$O3278=""),"EKSİK",IF($O3278&lt;=0,"SIFIR/NEGATİF",IF(COUNTIFS($C$6:$C$5000,$C3278,$O$6:$O$5000,$O3278,$B$6:$B$5000,$B3278)&gt;1,"MÜKERRER","OK"))))</f>
        <v/>
      </c>
    </row>
    <row r="3279" ht="16.5" customHeight="1" s="80">
      <c r="A3279" s="113" t="n"/>
      <c r="B3279" s="113" t="n"/>
      <c r="C3279" s="113" t="n"/>
      <c r="D3279" s="113" t="n"/>
      <c r="E3279" s="113" t="n"/>
      <c r="F3279" s="113" t="n"/>
      <c r="G3279" s="113" t="n"/>
      <c r="H3279" s="113" t="n"/>
      <c r="I3279" s="113" t="n"/>
      <c r="J3279" s="113" t="n"/>
      <c r="K3279" s="113" t="n"/>
      <c r="L3279" s="113" t="n"/>
      <c r="M3279" s="113" t="n"/>
      <c r="N3279" s="113" t="n"/>
      <c r="O3279" s="113" t="n"/>
      <c r="P3279" s="113" t="n"/>
      <c r="Q3279" s="113" t="n"/>
      <c r="R3279" s="113" t="n"/>
      <c r="S3279" s="113" t="n"/>
      <c r="T3279" s="113" t="n"/>
      <c r="U3279" s="113" t="n"/>
      <c r="V3279" s="113" t="n"/>
      <c r="W3279" s="113" t="n"/>
      <c r="X3279" s="113" t="n"/>
      <c r="Y3279" s="113" t="n"/>
      <c r="Z3279" s="117">
        <f>IF($B3279="",0,IF($S3279="EVET",IF($D3279="GELİR",$O3279,-$O3279),0))</f>
        <v/>
      </c>
      <c r="AA3279" s="117">
        <f>IF($B3279="",0,IF(OR($W3279="EVET",$X3279="EVET",$Y3279="EVET"),0,IF($D3279="GELİR",IF($E3279="SATIŞ İADESİ/İSKONTO",-$O3279,$O3279),-$O3279)))</f>
        <v/>
      </c>
      <c r="AB3279" s="117">
        <f>IF($B3279="","",IF(OR($D3279="",$E3279="",$O3279=""),"EKSİK",IF($O3279&lt;=0,"SIFIR/NEGATİF",IF(COUNTIFS($C$6:$C$5000,$C3279,$O$6:$O$5000,$O3279,$B$6:$B$5000,$B3279)&gt;1,"MÜKERRER","OK"))))</f>
        <v/>
      </c>
    </row>
    <row r="3280" ht="16.5" customHeight="1" s="80">
      <c r="A3280" s="113" t="n"/>
      <c r="B3280" s="113" t="n"/>
      <c r="C3280" s="113" t="n"/>
      <c r="D3280" s="113" t="n"/>
      <c r="E3280" s="113" t="n"/>
      <c r="F3280" s="113" t="n"/>
      <c r="G3280" s="113" t="n"/>
      <c r="H3280" s="113" t="n"/>
      <c r="I3280" s="113" t="n"/>
      <c r="J3280" s="113" t="n"/>
      <c r="K3280" s="113" t="n"/>
      <c r="L3280" s="113" t="n"/>
      <c r="M3280" s="113" t="n"/>
      <c r="N3280" s="113" t="n"/>
      <c r="O3280" s="113" t="n"/>
      <c r="P3280" s="113" t="n"/>
      <c r="Q3280" s="113" t="n"/>
      <c r="R3280" s="113" t="n"/>
      <c r="S3280" s="113" t="n"/>
      <c r="T3280" s="113" t="n"/>
      <c r="U3280" s="113" t="n"/>
      <c r="V3280" s="113" t="n"/>
      <c r="W3280" s="113" t="n"/>
      <c r="X3280" s="113" t="n"/>
      <c r="Y3280" s="113" t="n"/>
      <c r="Z3280" s="117">
        <f>IF($B3280="",0,IF($S3280="EVET",IF($D3280="GELİR",$O3280,-$O3280),0))</f>
        <v/>
      </c>
      <c r="AA3280" s="117">
        <f>IF($B3280="",0,IF(OR($W3280="EVET",$X3280="EVET",$Y3280="EVET"),0,IF($D3280="GELİR",IF($E3280="SATIŞ İADESİ/İSKONTO",-$O3280,$O3280),-$O3280)))</f>
        <v/>
      </c>
      <c r="AB3280" s="117">
        <f>IF($B3280="","",IF(OR($D3280="",$E3280="",$O3280=""),"EKSİK",IF($O3280&lt;=0,"SIFIR/NEGATİF",IF(COUNTIFS($C$6:$C$5000,$C3280,$O$6:$O$5000,$O3280,$B$6:$B$5000,$B3280)&gt;1,"MÜKERRER","OK"))))</f>
        <v/>
      </c>
    </row>
    <row r="3281" ht="16.5" customHeight="1" s="80">
      <c r="A3281" s="113" t="n"/>
      <c r="B3281" s="113" t="n"/>
      <c r="C3281" s="113" t="n"/>
      <c r="D3281" s="113" t="n"/>
      <c r="E3281" s="113" t="n"/>
      <c r="F3281" s="113" t="n"/>
      <c r="G3281" s="113" t="n"/>
      <c r="H3281" s="113" t="n"/>
      <c r="I3281" s="113" t="n"/>
      <c r="J3281" s="113" t="n"/>
      <c r="K3281" s="113" t="n"/>
      <c r="L3281" s="113" t="n"/>
      <c r="M3281" s="113" t="n"/>
      <c r="N3281" s="113" t="n"/>
      <c r="O3281" s="113" t="n"/>
      <c r="P3281" s="113" t="n"/>
      <c r="Q3281" s="113" t="n"/>
      <c r="R3281" s="113" t="n"/>
      <c r="S3281" s="113" t="n"/>
      <c r="T3281" s="113" t="n"/>
      <c r="U3281" s="113" t="n"/>
      <c r="V3281" s="113" t="n"/>
      <c r="W3281" s="113" t="n"/>
      <c r="X3281" s="113" t="n"/>
      <c r="Y3281" s="113" t="n"/>
      <c r="Z3281" s="117">
        <f>IF($B3281="",0,IF($S3281="EVET",IF($D3281="GELİR",$O3281,-$O3281),0))</f>
        <v/>
      </c>
      <c r="AA3281" s="117">
        <f>IF($B3281="",0,IF(OR($W3281="EVET",$X3281="EVET",$Y3281="EVET"),0,IF($D3281="GELİR",IF($E3281="SATIŞ İADESİ/İSKONTO",-$O3281,$O3281),-$O3281)))</f>
        <v/>
      </c>
      <c r="AB3281" s="117">
        <f>IF($B3281="","",IF(OR($D3281="",$E3281="",$O3281=""),"EKSİK",IF($O3281&lt;=0,"SIFIR/NEGATİF",IF(COUNTIFS($C$6:$C$5000,$C3281,$O$6:$O$5000,$O3281,$B$6:$B$5000,$B3281)&gt;1,"MÜKERRER","OK"))))</f>
        <v/>
      </c>
    </row>
    <row r="3282" ht="16.5" customHeight="1" s="80">
      <c r="A3282" s="113" t="n"/>
      <c r="B3282" s="113" t="n"/>
      <c r="C3282" s="113" t="n"/>
      <c r="D3282" s="113" t="n"/>
      <c r="E3282" s="113" t="n"/>
      <c r="F3282" s="113" t="n"/>
      <c r="G3282" s="113" t="n"/>
      <c r="H3282" s="113" t="n"/>
      <c r="I3282" s="113" t="n"/>
      <c r="J3282" s="113" t="n"/>
      <c r="K3282" s="113" t="n"/>
      <c r="L3282" s="113" t="n"/>
      <c r="M3282" s="113" t="n"/>
      <c r="N3282" s="113" t="n"/>
      <c r="O3282" s="113" t="n"/>
      <c r="P3282" s="113" t="n"/>
      <c r="Q3282" s="113" t="n"/>
      <c r="R3282" s="113" t="n"/>
      <c r="S3282" s="113" t="n"/>
      <c r="T3282" s="113" t="n"/>
      <c r="U3282" s="113" t="n"/>
      <c r="V3282" s="113" t="n"/>
      <c r="W3282" s="113" t="n"/>
      <c r="X3282" s="113" t="n"/>
      <c r="Y3282" s="113" t="n"/>
      <c r="Z3282" s="117">
        <f>IF($B3282="",0,IF($S3282="EVET",IF($D3282="GELİR",$O3282,-$O3282),0))</f>
        <v/>
      </c>
      <c r="AA3282" s="117">
        <f>IF($B3282="",0,IF(OR($W3282="EVET",$X3282="EVET",$Y3282="EVET"),0,IF($D3282="GELİR",IF($E3282="SATIŞ İADESİ/İSKONTO",-$O3282,$O3282),-$O3282)))</f>
        <v/>
      </c>
      <c r="AB3282" s="117">
        <f>IF($B3282="","",IF(OR($D3282="",$E3282="",$O3282=""),"EKSİK",IF($O3282&lt;=0,"SIFIR/NEGATİF",IF(COUNTIFS($C$6:$C$5000,$C3282,$O$6:$O$5000,$O3282,$B$6:$B$5000,$B3282)&gt;1,"MÜKERRER","OK"))))</f>
        <v/>
      </c>
    </row>
    <row r="3283" ht="16.5" customHeight="1" s="80">
      <c r="A3283" s="113" t="n"/>
      <c r="B3283" s="113" t="n"/>
      <c r="C3283" s="113" t="n"/>
      <c r="D3283" s="113" t="n"/>
      <c r="E3283" s="113" t="n"/>
      <c r="F3283" s="113" t="n"/>
      <c r="G3283" s="113" t="n"/>
      <c r="H3283" s="113" t="n"/>
      <c r="I3283" s="113" t="n"/>
      <c r="J3283" s="113" t="n"/>
      <c r="K3283" s="113" t="n"/>
      <c r="L3283" s="113" t="n"/>
      <c r="M3283" s="113" t="n"/>
      <c r="N3283" s="113" t="n"/>
      <c r="O3283" s="113" t="n"/>
      <c r="P3283" s="113" t="n"/>
      <c r="Q3283" s="113" t="n"/>
      <c r="R3283" s="113" t="n"/>
      <c r="S3283" s="113" t="n"/>
      <c r="T3283" s="113" t="n"/>
      <c r="U3283" s="113" t="n"/>
      <c r="V3283" s="113" t="n"/>
      <c r="W3283" s="113" t="n"/>
      <c r="X3283" s="113" t="n"/>
      <c r="Y3283" s="113" t="n"/>
      <c r="Z3283" s="117">
        <f>IF($B3283="",0,IF($S3283="EVET",IF($D3283="GELİR",$O3283,-$O3283),0))</f>
        <v/>
      </c>
      <c r="AA3283" s="117">
        <f>IF($B3283="",0,IF(OR($W3283="EVET",$X3283="EVET",$Y3283="EVET"),0,IF($D3283="GELİR",IF($E3283="SATIŞ İADESİ/İSKONTO",-$O3283,$O3283),-$O3283)))</f>
        <v/>
      </c>
      <c r="AB3283" s="117">
        <f>IF($B3283="","",IF(OR($D3283="",$E3283="",$O3283=""),"EKSİK",IF($O3283&lt;=0,"SIFIR/NEGATİF",IF(COUNTIFS($C$6:$C$5000,$C3283,$O$6:$O$5000,$O3283,$B$6:$B$5000,$B3283)&gt;1,"MÜKERRER","OK"))))</f>
        <v/>
      </c>
    </row>
    <row r="3284" ht="16.5" customHeight="1" s="80">
      <c r="A3284" s="113" t="n"/>
      <c r="B3284" s="113" t="n"/>
      <c r="C3284" s="113" t="n"/>
      <c r="D3284" s="113" t="n"/>
      <c r="E3284" s="113" t="n"/>
      <c r="F3284" s="113" t="n"/>
      <c r="G3284" s="113" t="n"/>
      <c r="H3284" s="113" t="n"/>
      <c r="I3284" s="113" t="n"/>
      <c r="J3284" s="113" t="n"/>
      <c r="K3284" s="113" t="n"/>
      <c r="L3284" s="113" t="n"/>
      <c r="M3284" s="113" t="n"/>
      <c r="N3284" s="113" t="n"/>
      <c r="O3284" s="113" t="n"/>
      <c r="P3284" s="113" t="n"/>
      <c r="Q3284" s="113" t="n"/>
      <c r="R3284" s="113" t="n"/>
      <c r="S3284" s="113" t="n"/>
      <c r="T3284" s="113" t="n"/>
      <c r="U3284" s="113" t="n"/>
      <c r="V3284" s="113" t="n"/>
      <c r="W3284" s="113" t="n"/>
      <c r="X3284" s="113" t="n"/>
      <c r="Y3284" s="113" t="n"/>
      <c r="Z3284" s="117">
        <f>IF($B3284="",0,IF($S3284="EVET",IF($D3284="GELİR",$O3284,-$O3284),0))</f>
        <v/>
      </c>
      <c r="AA3284" s="117">
        <f>IF($B3284="",0,IF(OR($W3284="EVET",$X3284="EVET",$Y3284="EVET"),0,IF($D3284="GELİR",IF($E3284="SATIŞ İADESİ/İSKONTO",-$O3284,$O3284),-$O3284)))</f>
        <v/>
      </c>
      <c r="AB3284" s="117">
        <f>IF($B3284="","",IF(OR($D3284="",$E3284="",$O3284=""),"EKSİK",IF($O3284&lt;=0,"SIFIR/NEGATİF",IF(COUNTIFS($C$6:$C$5000,$C3284,$O$6:$O$5000,$O3284,$B$6:$B$5000,$B3284)&gt;1,"MÜKERRER","OK"))))</f>
        <v/>
      </c>
    </row>
    <row r="3285" ht="16.5" customHeight="1" s="80">
      <c r="A3285" s="113" t="n"/>
      <c r="B3285" s="113" t="n"/>
      <c r="C3285" s="113" t="n"/>
      <c r="D3285" s="113" t="n"/>
      <c r="E3285" s="113" t="n"/>
      <c r="F3285" s="113" t="n"/>
      <c r="G3285" s="113" t="n"/>
      <c r="H3285" s="113" t="n"/>
      <c r="I3285" s="113" t="n"/>
      <c r="J3285" s="113" t="n"/>
      <c r="K3285" s="113" t="n"/>
      <c r="L3285" s="113" t="n"/>
      <c r="M3285" s="113" t="n"/>
      <c r="N3285" s="113" t="n"/>
      <c r="O3285" s="113" t="n"/>
      <c r="P3285" s="113" t="n"/>
      <c r="Q3285" s="113" t="n"/>
      <c r="R3285" s="113" t="n"/>
      <c r="S3285" s="113" t="n"/>
      <c r="T3285" s="113" t="n"/>
      <c r="U3285" s="113" t="n"/>
      <c r="V3285" s="113" t="n"/>
      <c r="W3285" s="113" t="n"/>
      <c r="X3285" s="113" t="n"/>
      <c r="Y3285" s="113" t="n"/>
      <c r="Z3285" s="117">
        <f>IF($B3285="",0,IF($S3285="EVET",IF($D3285="GELİR",$O3285,-$O3285),0))</f>
        <v/>
      </c>
      <c r="AA3285" s="117">
        <f>IF($B3285="",0,IF(OR($W3285="EVET",$X3285="EVET",$Y3285="EVET"),0,IF($D3285="GELİR",IF($E3285="SATIŞ İADESİ/İSKONTO",-$O3285,$O3285),-$O3285)))</f>
        <v/>
      </c>
      <c r="AB3285" s="117">
        <f>IF($B3285="","",IF(OR($D3285="",$E3285="",$O3285=""),"EKSİK",IF($O3285&lt;=0,"SIFIR/NEGATİF",IF(COUNTIFS($C$6:$C$5000,$C3285,$O$6:$O$5000,$O3285,$B$6:$B$5000,$B3285)&gt;1,"MÜKERRER","OK"))))</f>
        <v/>
      </c>
    </row>
    <row r="3286" ht="16.5" customHeight="1" s="80">
      <c r="A3286" s="113" t="n"/>
      <c r="B3286" s="113" t="n"/>
      <c r="C3286" s="113" t="n"/>
      <c r="D3286" s="113" t="n"/>
      <c r="E3286" s="113" t="n"/>
      <c r="F3286" s="113" t="n"/>
      <c r="G3286" s="113" t="n"/>
      <c r="H3286" s="113" t="n"/>
      <c r="I3286" s="113" t="n"/>
      <c r="J3286" s="113" t="n"/>
      <c r="K3286" s="113" t="n"/>
      <c r="L3286" s="113" t="n"/>
      <c r="M3286" s="113" t="n"/>
      <c r="N3286" s="113" t="n"/>
      <c r="O3286" s="113" t="n"/>
      <c r="P3286" s="113" t="n"/>
      <c r="Q3286" s="113" t="n"/>
      <c r="R3286" s="113" t="n"/>
      <c r="S3286" s="113" t="n"/>
      <c r="T3286" s="113" t="n"/>
      <c r="U3286" s="113" t="n"/>
      <c r="V3286" s="113" t="n"/>
      <c r="W3286" s="113" t="n"/>
      <c r="X3286" s="113" t="n"/>
      <c r="Y3286" s="113" t="n"/>
      <c r="Z3286" s="117">
        <f>IF($B3286="",0,IF($S3286="EVET",IF($D3286="GELİR",$O3286,-$O3286),0))</f>
        <v/>
      </c>
      <c r="AA3286" s="117">
        <f>IF($B3286="",0,IF(OR($W3286="EVET",$X3286="EVET",$Y3286="EVET"),0,IF($D3286="GELİR",IF($E3286="SATIŞ İADESİ/İSKONTO",-$O3286,$O3286),-$O3286)))</f>
        <v/>
      </c>
      <c r="AB3286" s="117">
        <f>IF($B3286="","",IF(OR($D3286="",$E3286="",$O3286=""),"EKSİK",IF($O3286&lt;=0,"SIFIR/NEGATİF",IF(COUNTIFS($C$6:$C$5000,$C3286,$O$6:$O$5000,$O3286,$B$6:$B$5000,$B3286)&gt;1,"MÜKERRER","OK"))))</f>
        <v/>
      </c>
    </row>
    <row r="3287" ht="16.5" customHeight="1" s="80">
      <c r="A3287" s="113" t="n"/>
      <c r="B3287" s="113" t="n"/>
      <c r="C3287" s="113" t="n"/>
      <c r="D3287" s="113" t="n"/>
      <c r="E3287" s="113" t="n"/>
      <c r="F3287" s="113" t="n"/>
      <c r="G3287" s="113" t="n"/>
      <c r="H3287" s="113" t="n"/>
      <c r="I3287" s="113" t="n"/>
      <c r="J3287" s="113" t="n"/>
      <c r="K3287" s="113" t="n"/>
      <c r="L3287" s="113" t="n"/>
      <c r="M3287" s="113" t="n"/>
      <c r="N3287" s="113" t="n"/>
      <c r="O3287" s="113" t="n"/>
      <c r="P3287" s="113" t="n"/>
      <c r="Q3287" s="113" t="n"/>
      <c r="R3287" s="113" t="n"/>
      <c r="S3287" s="113" t="n"/>
      <c r="T3287" s="113" t="n"/>
      <c r="U3287" s="113" t="n"/>
      <c r="V3287" s="113" t="n"/>
      <c r="W3287" s="113" t="n"/>
      <c r="X3287" s="113" t="n"/>
      <c r="Y3287" s="113" t="n"/>
      <c r="Z3287" s="117">
        <f>IF($B3287="",0,IF($S3287="EVET",IF($D3287="GELİR",$O3287,-$O3287),0))</f>
        <v/>
      </c>
      <c r="AA3287" s="117">
        <f>IF($B3287="",0,IF(OR($W3287="EVET",$X3287="EVET",$Y3287="EVET"),0,IF($D3287="GELİR",IF($E3287="SATIŞ İADESİ/İSKONTO",-$O3287,$O3287),-$O3287)))</f>
        <v/>
      </c>
      <c r="AB3287" s="117">
        <f>IF($B3287="","",IF(OR($D3287="",$E3287="",$O3287=""),"EKSİK",IF($O3287&lt;=0,"SIFIR/NEGATİF",IF(COUNTIFS($C$6:$C$5000,$C3287,$O$6:$O$5000,$O3287,$B$6:$B$5000,$B3287)&gt;1,"MÜKERRER","OK"))))</f>
        <v/>
      </c>
    </row>
    <row r="3288" ht="16.5" customHeight="1" s="80">
      <c r="A3288" s="113" t="n"/>
      <c r="B3288" s="113" t="n"/>
      <c r="C3288" s="113" t="n"/>
      <c r="D3288" s="113" t="n"/>
      <c r="E3288" s="113" t="n"/>
      <c r="F3288" s="113" t="n"/>
      <c r="G3288" s="113" t="n"/>
      <c r="H3288" s="113" t="n"/>
      <c r="I3288" s="113" t="n"/>
      <c r="J3288" s="113" t="n"/>
      <c r="K3288" s="113" t="n"/>
      <c r="L3288" s="113" t="n"/>
      <c r="M3288" s="113" t="n"/>
      <c r="N3288" s="113" t="n"/>
      <c r="O3288" s="113" t="n"/>
      <c r="P3288" s="113" t="n"/>
      <c r="Q3288" s="113" t="n"/>
      <c r="R3288" s="113" t="n"/>
      <c r="S3288" s="113" t="n"/>
      <c r="T3288" s="113" t="n"/>
      <c r="U3288" s="113" t="n"/>
      <c r="V3288" s="113" t="n"/>
      <c r="W3288" s="113" t="n"/>
      <c r="X3288" s="113" t="n"/>
      <c r="Y3288" s="113" t="n"/>
      <c r="Z3288" s="117">
        <f>IF($B3288="",0,IF($S3288="EVET",IF($D3288="GELİR",$O3288,-$O3288),0))</f>
        <v/>
      </c>
      <c r="AA3288" s="117">
        <f>IF($B3288="",0,IF(OR($W3288="EVET",$X3288="EVET",$Y3288="EVET"),0,IF($D3288="GELİR",IF($E3288="SATIŞ İADESİ/İSKONTO",-$O3288,$O3288),-$O3288)))</f>
        <v/>
      </c>
      <c r="AB3288" s="117">
        <f>IF($B3288="","",IF(OR($D3288="",$E3288="",$O3288=""),"EKSİK",IF($O3288&lt;=0,"SIFIR/NEGATİF",IF(COUNTIFS($C$6:$C$5000,$C3288,$O$6:$O$5000,$O3288,$B$6:$B$5000,$B3288)&gt;1,"MÜKERRER","OK"))))</f>
        <v/>
      </c>
    </row>
    <row r="3289" ht="16.5" customHeight="1" s="80">
      <c r="A3289" s="113" t="n"/>
      <c r="B3289" s="113" t="n"/>
      <c r="C3289" s="113" t="n"/>
      <c r="D3289" s="113" t="n"/>
      <c r="E3289" s="113" t="n"/>
      <c r="F3289" s="113" t="n"/>
      <c r="G3289" s="113" t="n"/>
      <c r="H3289" s="113" t="n"/>
      <c r="I3289" s="113" t="n"/>
      <c r="J3289" s="113" t="n"/>
      <c r="K3289" s="113" t="n"/>
      <c r="L3289" s="113" t="n"/>
      <c r="M3289" s="113" t="n"/>
      <c r="N3289" s="113" t="n"/>
      <c r="O3289" s="113" t="n"/>
      <c r="P3289" s="113" t="n"/>
      <c r="Q3289" s="113" t="n"/>
      <c r="R3289" s="113" t="n"/>
      <c r="S3289" s="113" t="n"/>
      <c r="T3289" s="113" t="n"/>
      <c r="U3289" s="113" t="n"/>
      <c r="V3289" s="113" t="n"/>
      <c r="W3289" s="113" t="n"/>
      <c r="X3289" s="113" t="n"/>
      <c r="Y3289" s="113" t="n"/>
      <c r="Z3289" s="117">
        <f>IF($B3289="",0,IF($S3289="EVET",IF($D3289="GELİR",$O3289,-$O3289),0))</f>
        <v/>
      </c>
      <c r="AA3289" s="117">
        <f>IF($B3289="",0,IF(OR($W3289="EVET",$X3289="EVET",$Y3289="EVET"),0,IF($D3289="GELİR",IF($E3289="SATIŞ İADESİ/İSKONTO",-$O3289,$O3289),-$O3289)))</f>
        <v/>
      </c>
      <c r="AB3289" s="117">
        <f>IF($B3289="","",IF(OR($D3289="",$E3289="",$O3289=""),"EKSİK",IF($O3289&lt;=0,"SIFIR/NEGATİF",IF(COUNTIFS($C$6:$C$5000,$C3289,$O$6:$O$5000,$O3289,$B$6:$B$5000,$B3289)&gt;1,"MÜKERRER","OK"))))</f>
        <v/>
      </c>
    </row>
    <row r="3290" ht="16.5" customHeight="1" s="80">
      <c r="A3290" s="113" t="n"/>
      <c r="B3290" s="113" t="n"/>
      <c r="C3290" s="113" t="n"/>
      <c r="D3290" s="113" t="n"/>
      <c r="E3290" s="113" t="n"/>
      <c r="F3290" s="113" t="n"/>
      <c r="G3290" s="113" t="n"/>
      <c r="H3290" s="113" t="n"/>
      <c r="I3290" s="113" t="n"/>
      <c r="J3290" s="113" t="n"/>
      <c r="K3290" s="113" t="n"/>
      <c r="L3290" s="113" t="n"/>
      <c r="M3290" s="113" t="n"/>
      <c r="N3290" s="113" t="n"/>
      <c r="O3290" s="113" t="n"/>
      <c r="P3290" s="113" t="n"/>
      <c r="Q3290" s="113" t="n"/>
      <c r="R3290" s="113" t="n"/>
      <c r="S3290" s="113" t="n"/>
      <c r="T3290" s="113" t="n"/>
      <c r="U3290" s="113" t="n"/>
      <c r="V3290" s="113" t="n"/>
      <c r="W3290" s="113" t="n"/>
      <c r="X3290" s="113" t="n"/>
      <c r="Y3290" s="113" t="n"/>
      <c r="Z3290" s="117">
        <f>IF($B3290="",0,IF($S3290="EVET",IF($D3290="GELİR",$O3290,-$O3290),0))</f>
        <v/>
      </c>
      <c r="AA3290" s="117">
        <f>IF($B3290="",0,IF(OR($W3290="EVET",$X3290="EVET",$Y3290="EVET"),0,IF($D3290="GELİR",IF($E3290="SATIŞ İADESİ/İSKONTO",-$O3290,$O3290),-$O3290)))</f>
        <v/>
      </c>
      <c r="AB3290" s="117">
        <f>IF($B3290="","",IF(OR($D3290="",$E3290="",$O3290=""),"EKSİK",IF($O3290&lt;=0,"SIFIR/NEGATİF",IF(COUNTIFS($C$6:$C$5000,$C3290,$O$6:$O$5000,$O3290,$B$6:$B$5000,$B3290)&gt;1,"MÜKERRER","OK"))))</f>
        <v/>
      </c>
    </row>
    <row r="3291" ht="16.5" customHeight="1" s="80">
      <c r="A3291" s="113" t="n"/>
      <c r="B3291" s="113" t="n"/>
      <c r="C3291" s="113" t="n"/>
      <c r="D3291" s="113" t="n"/>
      <c r="E3291" s="113" t="n"/>
      <c r="F3291" s="113" t="n"/>
      <c r="G3291" s="113" t="n"/>
      <c r="H3291" s="113" t="n"/>
      <c r="I3291" s="113" t="n"/>
      <c r="J3291" s="113" t="n"/>
      <c r="K3291" s="113" t="n"/>
      <c r="L3291" s="113" t="n"/>
      <c r="M3291" s="113" t="n"/>
      <c r="N3291" s="113" t="n"/>
      <c r="O3291" s="113" t="n"/>
      <c r="P3291" s="113" t="n"/>
      <c r="Q3291" s="113" t="n"/>
      <c r="R3291" s="113" t="n"/>
      <c r="S3291" s="113" t="n"/>
      <c r="T3291" s="113" t="n"/>
      <c r="U3291" s="113" t="n"/>
      <c r="V3291" s="113" t="n"/>
      <c r="W3291" s="113" t="n"/>
      <c r="X3291" s="113" t="n"/>
      <c r="Y3291" s="113" t="n"/>
      <c r="Z3291" s="117">
        <f>IF($B3291="",0,IF($S3291="EVET",IF($D3291="GELİR",$O3291,-$O3291),0))</f>
        <v/>
      </c>
      <c r="AA3291" s="117">
        <f>IF($B3291="",0,IF(OR($W3291="EVET",$X3291="EVET",$Y3291="EVET"),0,IF($D3291="GELİR",IF($E3291="SATIŞ İADESİ/İSKONTO",-$O3291,$O3291),-$O3291)))</f>
        <v/>
      </c>
      <c r="AB3291" s="117">
        <f>IF($B3291="","",IF(OR($D3291="",$E3291="",$O3291=""),"EKSİK",IF($O3291&lt;=0,"SIFIR/NEGATİF",IF(COUNTIFS($C$6:$C$5000,$C3291,$O$6:$O$5000,$O3291,$B$6:$B$5000,$B3291)&gt;1,"MÜKERRER","OK"))))</f>
        <v/>
      </c>
    </row>
    <row r="3292" ht="16.5" customHeight="1" s="80">
      <c r="A3292" s="113" t="n"/>
      <c r="B3292" s="113" t="n"/>
      <c r="C3292" s="113" t="n"/>
      <c r="D3292" s="113" t="n"/>
      <c r="E3292" s="113" t="n"/>
      <c r="F3292" s="113" t="n"/>
      <c r="G3292" s="113" t="n"/>
      <c r="H3292" s="113" t="n"/>
      <c r="I3292" s="113" t="n"/>
      <c r="J3292" s="113" t="n"/>
      <c r="K3292" s="113" t="n"/>
      <c r="L3292" s="113" t="n"/>
      <c r="M3292" s="113" t="n"/>
      <c r="N3292" s="113" t="n"/>
      <c r="O3292" s="113" t="n"/>
      <c r="P3292" s="113" t="n"/>
      <c r="Q3292" s="113" t="n"/>
      <c r="R3292" s="113" t="n"/>
      <c r="S3292" s="113" t="n"/>
      <c r="T3292" s="113" t="n"/>
      <c r="U3292" s="113" t="n"/>
      <c r="V3292" s="113" t="n"/>
      <c r="W3292" s="113" t="n"/>
      <c r="X3292" s="113" t="n"/>
      <c r="Y3292" s="113" t="n"/>
      <c r="Z3292" s="117">
        <f>IF($B3292="",0,IF($S3292="EVET",IF($D3292="GELİR",$O3292,-$O3292),0))</f>
        <v/>
      </c>
      <c r="AA3292" s="117">
        <f>IF($B3292="",0,IF(OR($W3292="EVET",$X3292="EVET",$Y3292="EVET"),0,IF($D3292="GELİR",IF($E3292="SATIŞ İADESİ/İSKONTO",-$O3292,$O3292),-$O3292)))</f>
        <v/>
      </c>
      <c r="AB3292" s="117">
        <f>IF($B3292="","",IF(OR($D3292="",$E3292="",$O3292=""),"EKSİK",IF($O3292&lt;=0,"SIFIR/NEGATİF",IF(COUNTIFS($C$6:$C$5000,$C3292,$O$6:$O$5000,$O3292,$B$6:$B$5000,$B3292)&gt;1,"MÜKERRER","OK"))))</f>
        <v/>
      </c>
    </row>
    <row r="3293" ht="16.5" customHeight="1" s="80">
      <c r="A3293" s="113" t="n"/>
      <c r="B3293" s="113" t="n"/>
      <c r="C3293" s="113" t="n"/>
      <c r="D3293" s="113" t="n"/>
      <c r="E3293" s="113" t="n"/>
      <c r="F3293" s="113" t="n"/>
      <c r="G3293" s="113" t="n"/>
      <c r="H3293" s="113" t="n"/>
      <c r="I3293" s="113" t="n"/>
      <c r="J3293" s="113" t="n"/>
      <c r="K3293" s="113" t="n"/>
      <c r="L3293" s="113" t="n"/>
      <c r="M3293" s="113" t="n"/>
      <c r="N3293" s="113" t="n"/>
      <c r="O3293" s="113" t="n"/>
      <c r="P3293" s="113" t="n"/>
      <c r="Q3293" s="113" t="n"/>
      <c r="R3293" s="113" t="n"/>
      <c r="S3293" s="113" t="n"/>
      <c r="T3293" s="113" t="n"/>
      <c r="U3293" s="113" t="n"/>
      <c r="V3293" s="113" t="n"/>
      <c r="W3293" s="113" t="n"/>
      <c r="X3293" s="113" t="n"/>
      <c r="Y3293" s="113" t="n"/>
      <c r="Z3293" s="117">
        <f>IF($B3293="",0,IF($S3293="EVET",IF($D3293="GELİR",$O3293,-$O3293),0))</f>
        <v/>
      </c>
      <c r="AA3293" s="117">
        <f>IF($B3293="",0,IF(OR($W3293="EVET",$X3293="EVET",$Y3293="EVET"),0,IF($D3293="GELİR",IF($E3293="SATIŞ İADESİ/İSKONTO",-$O3293,$O3293),-$O3293)))</f>
        <v/>
      </c>
      <c r="AB3293" s="117">
        <f>IF($B3293="","",IF(OR($D3293="",$E3293="",$O3293=""),"EKSİK",IF($O3293&lt;=0,"SIFIR/NEGATİF",IF(COUNTIFS($C$6:$C$5000,$C3293,$O$6:$O$5000,$O3293,$B$6:$B$5000,$B3293)&gt;1,"MÜKERRER","OK"))))</f>
        <v/>
      </c>
    </row>
    <row r="3294" ht="16.5" customHeight="1" s="80">
      <c r="A3294" s="113" t="n"/>
      <c r="B3294" s="113" t="n"/>
      <c r="C3294" s="113" t="n"/>
      <c r="D3294" s="113" t="n"/>
      <c r="E3294" s="113" t="n"/>
      <c r="F3294" s="113" t="n"/>
      <c r="G3294" s="113" t="n"/>
      <c r="H3294" s="113" t="n"/>
      <c r="I3294" s="113" t="n"/>
      <c r="J3294" s="113" t="n"/>
      <c r="K3294" s="113" t="n"/>
      <c r="L3294" s="113" t="n"/>
      <c r="M3294" s="113" t="n"/>
      <c r="N3294" s="113" t="n"/>
      <c r="O3294" s="113" t="n"/>
      <c r="P3294" s="113" t="n"/>
      <c r="Q3294" s="113" t="n"/>
      <c r="R3294" s="113" t="n"/>
      <c r="S3294" s="113" t="n"/>
      <c r="T3294" s="113" t="n"/>
      <c r="U3294" s="113" t="n"/>
      <c r="V3294" s="113" t="n"/>
      <c r="W3294" s="113" t="n"/>
      <c r="X3294" s="113" t="n"/>
      <c r="Y3294" s="113" t="n"/>
      <c r="Z3294" s="117">
        <f>IF($B3294="",0,IF($S3294="EVET",IF($D3294="GELİR",$O3294,-$O3294),0))</f>
        <v/>
      </c>
      <c r="AA3294" s="117">
        <f>IF($B3294="",0,IF(OR($W3294="EVET",$X3294="EVET",$Y3294="EVET"),0,IF($D3294="GELİR",IF($E3294="SATIŞ İADESİ/İSKONTO",-$O3294,$O3294),-$O3294)))</f>
        <v/>
      </c>
      <c r="AB3294" s="117">
        <f>IF($B3294="","",IF(OR($D3294="",$E3294="",$O3294=""),"EKSİK",IF($O3294&lt;=0,"SIFIR/NEGATİF",IF(COUNTIFS($C$6:$C$5000,$C3294,$O$6:$O$5000,$O3294,$B$6:$B$5000,$B3294)&gt;1,"MÜKERRER","OK"))))</f>
        <v/>
      </c>
    </row>
    <row r="3295" ht="16.5" customHeight="1" s="80">
      <c r="A3295" s="113" t="n"/>
      <c r="B3295" s="113" t="n"/>
      <c r="C3295" s="113" t="n"/>
      <c r="D3295" s="113" t="n"/>
      <c r="E3295" s="113" t="n"/>
      <c r="F3295" s="113" t="n"/>
      <c r="G3295" s="113" t="n"/>
      <c r="H3295" s="113" t="n"/>
      <c r="I3295" s="113" t="n"/>
      <c r="J3295" s="113" t="n"/>
      <c r="K3295" s="113" t="n"/>
      <c r="L3295" s="113" t="n"/>
      <c r="M3295" s="113" t="n"/>
      <c r="N3295" s="113" t="n"/>
      <c r="O3295" s="113" t="n"/>
      <c r="P3295" s="113" t="n"/>
      <c r="Q3295" s="113" t="n"/>
      <c r="R3295" s="113" t="n"/>
      <c r="S3295" s="113" t="n"/>
      <c r="T3295" s="113" t="n"/>
      <c r="U3295" s="113" t="n"/>
      <c r="V3295" s="113" t="n"/>
      <c r="W3295" s="113" t="n"/>
      <c r="X3295" s="113" t="n"/>
      <c r="Y3295" s="113" t="n"/>
      <c r="Z3295" s="117">
        <f>IF($B3295="",0,IF($S3295="EVET",IF($D3295="GELİR",$O3295,-$O3295),0))</f>
        <v/>
      </c>
      <c r="AA3295" s="117">
        <f>IF($B3295="",0,IF(OR($W3295="EVET",$X3295="EVET",$Y3295="EVET"),0,IF($D3295="GELİR",IF($E3295="SATIŞ İADESİ/İSKONTO",-$O3295,$O3295),-$O3295)))</f>
        <v/>
      </c>
      <c r="AB3295" s="117">
        <f>IF($B3295="","",IF(OR($D3295="",$E3295="",$O3295=""),"EKSİK",IF($O3295&lt;=0,"SIFIR/NEGATİF",IF(COUNTIFS($C$6:$C$5000,$C3295,$O$6:$O$5000,$O3295,$B$6:$B$5000,$B3295)&gt;1,"MÜKERRER","OK"))))</f>
        <v/>
      </c>
    </row>
    <row r="3296" ht="16.5" customHeight="1" s="80">
      <c r="A3296" s="113" t="n"/>
      <c r="B3296" s="113" t="n"/>
      <c r="C3296" s="113" t="n"/>
      <c r="D3296" s="113" t="n"/>
      <c r="E3296" s="113" t="n"/>
      <c r="F3296" s="113" t="n"/>
      <c r="G3296" s="113" t="n"/>
      <c r="H3296" s="113" t="n"/>
      <c r="I3296" s="113" t="n"/>
      <c r="J3296" s="113" t="n"/>
      <c r="K3296" s="113" t="n"/>
      <c r="L3296" s="113" t="n"/>
      <c r="M3296" s="113" t="n"/>
      <c r="N3296" s="113" t="n"/>
      <c r="O3296" s="113" t="n"/>
      <c r="P3296" s="113" t="n"/>
      <c r="Q3296" s="113" t="n"/>
      <c r="R3296" s="113" t="n"/>
      <c r="S3296" s="113" t="n"/>
      <c r="T3296" s="113" t="n"/>
      <c r="U3296" s="113" t="n"/>
      <c r="V3296" s="113" t="n"/>
      <c r="W3296" s="113" t="n"/>
      <c r="X3296" s="113" t="n"/>
      <c r="Y3296" s="113" t="n"/>
      <c r="Z3296" s="117">
        <f>IF($B3296="",0,IF($S3296="EVET",IF($D3296="GELİR",$O3296,-$O3296),0))</f>
        <v/>
      </c>
      <c r="AA3296" s="117">
        <f>IF($B3296="",0,IF(OR($W3296="EVET",$X3296="EVET",$Y3296="EVET"),0,IF($D3296="GELİR",IF($E3296="SATIŞ İADESİ/İSKONTO",-$O3296,$O3296),-$O3296)))</f>
        <v/>
      </c>
      <c r="AB3296" s="117">
        <f>IF($B3296="","",IF(OR($D3296="",$E3296="",$O3296=""),"EKSİK",IF($O3296&lt;=0,"SIFIR/NEGATİF",IF(COUNTIFS($C$6:$C$5000,$C3296,$O$6:$O$5000,$O3296,$B$6:$B$5000,$B3296)&gt;1,"MÜKERRER","OK"))))</f>
        <v/>
      </c>
    </row>
    <row r="3297" ht="16.5" customHeight="1" s="80">
      <c r="A3297" s="113" t="n"/>
      <c r="B3297" s="113" t="n"/>
      <c r="C3297" s="113" t="n"/>
      <c r="D3297" s="113" t="n"/>
      <c r="E3297" s="113" t="n"/>
      <c r="F3297" s="113" t="n"/>
      <c r="G3297" s="113" t="n"/>
      <c r="H3297" s="113" t="n"/>
      <c r="I3297" s="113" t="n"/>
      <c r="J3297" s="113" t="n"/>
      <c r="K3297" s="113" t="n"/>
      <c r="L3297" s="113" t="n"/>
      <c r="M3297" s="113" t="n"/>
      <c r="N3297" s="113" t="n"/>
      <c r="O3297" s="113" t="n"/>
      <c r="P3297" s="113" t="n"/>
      <c r="Q3297" s="113" t="n"/>
      <c r="R3297" s="113" t="n"/>
      <c r="S3297" s="113" t="n"/>
      <c r="T3297" s="113" t="n"/>
      <c r="U3297" s="113" t="n"/>
      <c r="V3297" s="113" t="n"/>
      <c r="W3297" s="113" t="n"/>
      <c r="X3297" s="113" t="n"/>
      <c r="Y3297" s="113" t="n"/>
      <c r="Z3297" s="117">
        <f>IF($B3297="",0,IF($S3297="EVET",IF($D3297="GELİR",$O3297,-$O3297),0))</f>
        <v/>
      </c>
      <c r="AA3297" s="117">
        <f>IF($B3297="",0,IF(OR($W3297="EVET",$X3297="EVET",$Y3297="EVET"),0,IF($D3297="GELİR",IF($E3297="SATIŞ İADESİ/İSKONTO",-$O3297,$O3297),-$O3297)))</f>
        <v/>
      </c>
      <c r="AB3297" s="117">
        <f>IF($B3297="","",IF(OR($D3297="",$E3297="",$O3297=""),"EKSİK",IF($O3297&lt;=0,"SIFIR/NEGATİF",IF(COUNTIFS($C$6:$C$5000,$C3297,$O$6:$O$5000,$O3297,$B$6:$B$5000,$B3297)&gt;1,"MÜKERRER","OK"))))</f>
        <v/>
      </c>
    </row>
    <row r="3298" ht="16.5" customHeight="1" s="80">
      <c r="A3298" s="113" t="n"/>
      <c r="B3298" s="113" t="n"/>
      <c r="C3298" s="113" t="n"/>
      <c r="D3298" s="113" t="n"/>
      <c r="E3298" s="113" t="n"/>
      <c r="F3298" s="113" t="n"/>
      <c r="G3298" s="113" t="n"/>
      <c r="H3298" s="113" t="n"/>
      <c r="I3298" s="113" t="n"/>
      <c r="J3298" s="113" t="n"/>
      <c r="K3298" s="113" t="n"/>
      <c r="L3298" s="113" t="n"/>
      <c r="M3298" s="113" t="n"/>
      <c r="N3298" s="113" t="n"/>
      <c r="O3298" s="113" t="n"/>
      <c r="P3298" s="113" t="n"/>
      <c r="Q3298" s="113" t="n"/>
      <c r="R3298" s="113" t="n"/>
      <c r="S3298" s="113" t="n"/>
      <c r="T3298" s="113" t="n"/>
      <c r="U3298" s="113" t="n"/>
      <c r="V3298" s="113" t="n"/>
      <c r="W3298" s="113" t="n"/>
      <c r="X3298" s="113" t="n"/>
      <c r="Y3298" s="113" t="n"/>
      <c r="Z3298" s="117">
        <f>IF($B3298="",0,IF($S3298="EVET",IF($D3298="GELİR",$O3298,-$O3298),0))</f>
        <v/>
      </c>
      <c r="AA3298" s="117">
        <f>IF($B3298="",0,IF(OR($W3298="EVET",$X3298="EVET",$Y3298="EVET"),0,IF($D3298="GELİR",IF($E3298="SATIŞ İADESİ/İSKONTO",-$O3298,$O3298),-$O3298)))</f>
        <v/>
      </c>
      <c r="AB3298" s="117">
        <f>IF($B3298="","",IF(OR($D3298="",$E3298="",$O3298=""),"EKSİK",IF($O3298&lt;=0,"SIFIR/NEGATİF",IF(COUNTIFS($C$6:$C$5000,$C3298,$O$6:$O$5000,$O3298,$B$6:$B$5000,$B3298)&gt;1,"MÜKERRER","OK"))))</f>
        <v/>
      </c>
    </row>
    <row r="3299" ht="16.5" customHeight="1" s="80">
      <c r="A3299" s="113" t="n"/>
      <c r="B3299" s="113" t="n"/>
      <c r="C3299" s="113" t="n"/>
      <c r="D3299" s="113" t="n"/>
      <c r="E3299" s="113" t="n"/>
      <c r="F3299" s="113" t="n"/>
      <c r="G3299" s="113" t="n"/>
      <c r="H3299" s="113" t="n"/>
      <c r="I3299" s="113" t="n"/>
      <c r="J3299" s="113" t="n"/>
      <c r="K3299" s="113" t="n"/>
      <c r="L3299" s="113" t="n"/>
      <c r="M3299" s="113" t="n"/>
      <c r="N3299" s="113" t="n"/>
      <c r="O3299" s="113" t="n"/>
      <c r="P3299" s="113" t="n"/>
      <c r="Q3299" s="113" t="n"/>
      <c r="R3299" s="113" t="n"/>
      <c r="S3299" s="113" t="n"/>
      <c r="T3299" s="113" t="n"/>
      <c r="U3299" s="113" t="n"/>
      <c r="V3299" s="113" t="n"/>
      <c r="W3299" s="113" t="n"/>
      <c r="X3299" s="113" t="n"/>
      <c r="Y3299" s="113" t="n"/>
      <c r="Z3299" s="117">
        <f>IF($B3299="",0,IF($S3299="EVET",IF($D3299="GELİR",$O3299,-$O3299),0))</f>
        <v/>
      </c>
      <c r="AA3299" s="117">
        <f>IF($B3299="",0,IF(OR($W3299="EVET",$X3299="EVET",$Y3299="EVET"),0,IF($D3299="GELİR",IF($E3299="SATIŞ İADESİ/İSKONTO",-$O3299,$O3299),-$O3299)))</f>
        <v/>
      </c>
      <c r="AB3299" s="117">
        <f>IF($B3299="","",IF(OR($D3299="",$E3299="",$O3299=""),"EKSİK",IF($O3299&lt;=0,"SIFIR/NEGATİF",IF(COUNTIFS($C$6:$C$5000,$C3299,$O$6:$O$5000,$O3299,$B$6:$B$5000,$B3299)&gt;1,"MÜKERRER","OK"))))</f>
        <v/>
      </c>
    </row>
    <row r="3300" ht="16.5" customHeight="1" s="80">
      <c r="A3300" s="113" t="n"/>
      <c r="B3300" s="113" t="n"/>
      <c r="C3300" s="113" t="n"/>
      <c r="D3300" s="113" t="n"/>
      <c r="E3300" s="113" t="n"/>
      <c r="F3300" s="113" t="n"/>
      <c r="G3300" s="113" t="n"/>
      <c r="H3300" s="113" t="n"/>
      <c r="I3300" s="113" t="n"/>
      <c r="J3300" s="113" t="n"/>
      <c r="K3300" s="113" t="n"/>
      <c r="L3300" s="113" t="n"/>
      <c r="M3300" s="113" t="n"/>
      <c r="N3300" s="113" t="n"/>
      <c r="O3300" s="113" t="n"/>
      <c r="P3300" s="113" t="n"/>
      <c r="Q3300" s="113" t="n"/>
      <c r="R3300" s="113" t="n"/>
      <c r="S3300" s="113" t="n"/>
      <c r="T3300" s="113" t="n"/>
      <c r="U3300" s="113" t="n"/>
      <c r="V3300" s="113" t="n"/>
      <c r="W3300" s="113" t="n"/>
      <c r="X3300" s="113" t="n"/>
      <c r="Y3300" s="113" t="n"/>
      <c r="Z3300" s="117">
        <f>IF($B3300="",0,IF($S3300="EVET",IF($D3300="GELİR",$O3300,-$O3300),0))</f>
        <v/>
      </c>
      <c r="AA3300" s="117">
        <f>IF($B3300="",0,IF(OR($W3300="EVET",$X3300="EVET",$Y3300="EVET"),0,IF($D3300="GELİR",IF($E3300="SATIŞ İADESİ/İSKONTO",-$O3300,$O3300),-$O3300)))</f>
        <v/>
      </c>
      <c r="AB3300" s="117">
        <f>IF($B3300="","",IF(OR($D3300="",$E3300="",$O3300=""),"EKSİK",IF($O3300&lt;=0,"SIFIR/NEGATİF",IF(COUNTIFS($C$6:$C$5000,$C3300,$O$6:$O$5000,$O3300,$B$6:$B$5000,$B3300)&gt;1,"MÜKERRER","OK"))))</f>
        <v/>
      </c>
    </row>
    <row r="3301" ht="16.5" customHeight="1" s="80">
      <c r="A3301" s="113" t="n"/>
      <c r="B3301" s="113" t="n"/>
      <c r="C3301" s="113" t="n"/>
      <c r="D3301" s="113" t="n"/>
      <c r="E3301" s="113" t="n"/>
      <c r="F3301" s="113" t="n"/>
      <c r="G3301" s="113" t="n"/>
      <c r="H3301" s="113" t="n"/>
      <c r="I3301" s="113" t="n"/>
      <c r="J3301" s="113" t="n"/>
      <c r="K3301" s="113" t="n"/>
      <c r="L3301" s="113" t="n"/>
      <c r="M3301" s="113" t="n"/>
      <c r="N3301" s="113" t="n"/>
      <c r="O3301" s="113" t="n"/>
      <c r="P3301" s="113" t="n"/>
      <c r="Q3301" s="113" t="n"/>
      <c r="R3301" s="113" t="n"/>
      <c r="S3301" s="113" t="n"/>
      <c r="T3301" s="113" t="n"/>
      <c r="U3301" s="113" t="n"/>
      <c r="V3301" s="113" t="n"/>
      <c r="W3301" s="113" t="n"/>
      <c r="X3301" s="113" t="n"/>
      <c r="Y3301" s="113" t="n"/>
      <c r="Z3301" s="117">
        <f>IF($B3301="",0,IF($S3301="EVET",IF($D3301="GELİR",$O3301,-$O3301),0))</f>
        <v/>
      </c>
      <c r="AA3301" s="117">
        <f>IF($B3301="",0,IF(OR($W3301="EVET",$X3301="EVET",$Y3301="EVET"),0,IF($D3301="GELİR",IF($E3301="SATIŞ İADESİ/İSKONTO",-$O3301,$O3301),-$O3301)))</f>
        <v/>
      </c>
      <c r="AB3301" s="117">
        <f>IF($B3301="","",IF(OR($D3301="",$E3301="",$O3301=""),"EKSİK",IF($O3301&lt;=0,"SIFIR/NEGATİF",IF(COUNTIFS($C$6:$C$5000,$C3301,$O$6:$O$5000,$O3301,$B$6:$B$5000,$B3301)&gt;1,"MÜKERRER","OK"))))</f>
        <v/>
      </c>
    </row>
    <row r="3302" ht="16.5" customHeight="1" s="80">
      <c r="A3302" s="113" t="n"/>
      <c r="B3302" s="113" t="n"/>
      <c r="C3302" s="113" t="n"/>
      <c r="D3302" s="113" t="n"/>
      <c r="E3302" s="113" t="n"/>
      <c r="F3302" s="113" t="n"/>
      <c r="G3302" s="113" t="n"/>
      <c r="H3302" s="113" t="n"/>
      <c r="I3302" s="113" t="n"/>
      <c r="J3302" s="113" t="n"/>
      <c r="K3302" s="113" t="n"/>
      <c r="L3302" s="113" t="n"/>
      <c r="M3302" s="113" t="n"/>
      <c r="N3302" s="113" t="n"/>
      <c r="O3302" s="113" t="n"/>
      <c r="P3302" s="113" t="n"/>
      <c r="Q3302" s="113" t="n"/>
      <c r="R3302" s="113" t="n"/>
      <c r="S3302" s="113" t="n"/>
      <c r="T3302" s="113" t="n"/>
      <c r="U3302" s="113" t="n"/>
      <c r="V3302" s="113" t="n"/>
      <c r="W3302" s="113" t="n"/>
      <c r="X3302" s="113" t="n"/>
      <c r="Y3302" s="113" t="n"/>
      <c r="Z3302" s="117">
        <f>IF($B3302="",0,IF($S3302="EVET",IF($D3302="GELİR",$O3302,-$O3302),0))</f>
        <v/>
      </c>
      <c r="AA3302" s="117">
        <f>IF($B3302="",0,IF(OR($W3302="EVET",$X3302="EVET",$Y3302="EVET"),0,IF($D3302="GELİR",IF($E3302="SATIŞ İADESİ/İSKONTO",-$O3302,$O3302),-$O3302)))</f>
        <v/>
      </c>
      <c r="AB3302" s="117">
        <f>IF($B3302="","",IF(OR($D3302="",$E3302="",$O3302=""),"EKSİK",IF($O3302&lt;=0,"SIFIR/NEGATİF",IF(COUNTIFS($C$6:$C$5000,$C3302,$O$6:$O$5000,$O3302,$B$6:$B$5000,$B3302)&gt;1,"MÜKERRER","OK"))))</f>
        <v/>
      </c>
    </row>
    <row r="3303" ht="16.5" customHeight="1" s="80">
      <c r="A3303" s="113" t="n"/>
      <c r="B3303" s="113" t="n"/>
      <c r="C3303" s="113" t="n"/>
      <c r="D3303" s="113" t="n"/>
      <c r="E3303" s="113" t="n"/>
      <c r="F3303" s="113" t="n"/>
      <c r="G3303" s="113" t="n"/>
      <c r="H3303" s="113" t="n"/>
      <c r="I3303" s="113" t="n"/>
      <c r="J3303" s="113" t="n"/>
      <c r="K3303" s="113" t="n"/>
      <c r="L3303" s="113" t="n"/>
      <c r="M3303" s="113" t="n"/>
      <c r="N3303" s="113" t="n"/>
      <c r="O3303" s="113" t="n"/>
      <c r="P3303" s="113" t="n"/>
      <c r="Q3303" s="113" t="n"/>
      <c r="R3303" s="113" t="n"/>
      <c r="S3303" s="113" t="n"/>
      <c r="T3303" s="113" t="n"/>
      <c r="U3303" s="113" t="n"/>
      <c r="V3303" s="113" t="n"/>
      <c r="W3303" s="113" t="n"/>
      <c r="X3303" s="113" t="n"/>
      <c r="Y3303" s="113" t="n"/>
      <c r="Z3303" s="117">
        <f>IF($B3303="",0,IF($S3303="EVET",IF($D3303="GELİR",$O3303,-$O3303),0))</f>
        <v/>
      </c>
      <c r="AA3303" s="117">
        <f>IF($B3303="",0,IF(OR($W3303="EVET",$X3303="EVET",$Y3303="EVET"),0,IF($D3303="GELİR",IF($E3303="SATIŞ İADESİ/İSKONTO",-$O3303,$O3303),-$O3303)))</f>
        <v/>
      </c>
      <c r="AB3303" s="117">
        <f>IF($B3303="","",IF(OR($D3303="",$E3303="",$O3303=""),"EKSİK",IF($O3303&lt;=0,"SIFIR/NEGATİF",IF(COUNTIFS($C$6:$C$5000,$C3303,$O$6:$O$5000,$O3303,$B$6:$B$5000,$B3303)&gt;1,"MÜKERRER","OK"))))</f>
        <v/>
      </c>
    </row>
    <row r="3304" ht="16.5" customHeight="1" s="80">
      <c r="A3304" s="113" t="n"/>
      <c r="B3304" s="113" t="n"/>
      <c r="C3304" s="113" t="n"/>
      <c r="D3304" s="113" t="n"/>
      <c r="E3304" s="113" t="n"/>
      <c r="F3304" s="113" t="n"/>
      <c r="G3304" s="113" t="n"/>
      <c r="H3304" s="113" t="n"/>
      <c r="I3304" s="113" t="n"/>
      <c r="J3304" s="113" t="n"/>
      <c r="K3304" s="113" t="n"/>
      <c r="L3304" s="113" t="n"/>
      <c r="M3304" s="113" t="n"/>
      <c r="N3304" s="113" t="n"/>
      <c r="O3304" s="113" t="n"/>
      <c r="P3304" s="113" t="n"/>
      <c r="Q3304" s="113" t="n"/>
      <c r="R3304" s="113" t="n"/>
      <c r="S3304" s="113" t="n"/>
      <c r="T3304" s="113" t="n"/>
      <c r="U3304" s="113" t="n"/>
      <c r="V3304" s="113" t="n"/>
      <c r="W3304" s="113" t="n"/>
      <c r="X3304" s="113" t="n"/>
      <c r="Y3304" s="113" t="n"/>
      <c r="Z3304" s="117">
        <f>IF($B3304="",0,IF($S3304="EVET",IF($D3304="GELİR",$O3304,-$O3304),0))</f>
        <v/>
      </c>
      <c r="AA3304" s="117">
        <f>IF($B3304="",0,IF(OR($W3304="EVET",$X3304="EVET",$Y3304="EVET"),0,IF($D3304="GELİR",IF($E3304="SATIŞ İADESİ/İSKONTO",-$O3304,$O3304),-$O3304)))</f>
        <v/>
      </c>
      <c r="AB3304" s="117">
        <f>IF($B3304="","",IF(OR($D3304="",$E3304="",$O3304=""),"EKSİK",IF($O3304&lt;=0,"SIFIR/NEGATİF",IF(COUNTIFS($C$6:$C$5000,$C3304,$O$6:$O$5000,$O3304,$B$6:$B$5000,$B3304)&gt;1,"MÜKERRER","OK"))))</f>
        <v/>
      </c>
    </row>
    <row r="3305" ht="16.5" customHeight="1" s="80">
      <c r="A3305" s="113" t="n"/>
      <c r="B3305" s="113" t="n"/>
      <c r="C3305" s="113" t="n"/>
      <c r="D3305" s="113" t="n"/>
      <c r="E3305" s="113" t="n"/>
      <c r="F3305" s="113" t="n"/>
      <c r="G3305" s="113" t="n"/>
      <c r="H3305" s="113" t="n"/>
      <c r="I3305" s="113" t="n"/>
      <c r="J3305" s="113" t="n"/>
      <c r="K3305" s="113" t="n"/>
      <c r="L3305" s="113" t="n"/>
      <c r="M3305" s="113" t="n"/>
      <c r="N3305" s="113" t="n"/>
      <c r="O3305" s="113" t="n"/>
      <c r="P3305" s="113" t="n"/>
      <c r="Q3305" s="113" t="n"/>
      <c r="R3305" s="113" t="n"/>
      <c r="S3305" s="113" t="n"/>
      <c r="T3305" s="113" t="n"/>
      <c r="U3305" s="113" t="n"/>
      <c r="V3305" s="113" t="n"/>
      <c r="W3305" s="113" t="n"/>
      <c r="X3305" s="113" t="n"/>
      <c r="Y3305" s="113" t="n"/>
      <c r="Z3305" s="117">
        <f>IF($B3305="",0,IF($S3305="EVET",IF($D3305="GELİR",$O3305,-$O3305),0))</f>
        <v/>
      </c>
      <c r="AA3305" s="117">
        <f>IF($B3305="",0,IF(OR($W3305="EVET",$X3305="EVET",$Y3305="EVET"),0,IF($D3305="GELİR",IF($E3305="SATIŞ İADESİ/İSKONTO",-$O3305,$O3305),-$O3305)))</f>
        <v/>
      </c>
      <c r="AB3305" s="117">
        <f>IF($B3305="","",IF(OR($D3305="",$E3305="",$O3305=""),"EKSİK",IF($O3305&lt;=0,"SIFIR/NEGATİF",IF(COUNTIFS($C$6:$C$5000,$C3305,$O$6:$O$5000,$O3305,$B$6:$B$5000,$B3305)&gt;1,"MÜKERRER","OK"))))</f>
        <v/>
      </c>
    </row>
    <row r="3306" ht="16.5" customHeight="1" s="80">
      <c r="A3306" s="113" t="n"/>
      <c r="B3306" s="113" t="n"/>
      <c r="C3306" s="113" t="n"/>
      <c r="D3306" s="113" t="n"/>
      <c r="E3306" s="113" t="n"/>
      <c r="F3306" s="113" t="n"/>
      <c r="G3306" s="113" t="n"/>
      <c r="H3306" s="113" t="n"/>
      <c r="I3306" s="113" t="n"/>
      <c r="J3306" s="113" t="n"/>
      <c r="K3306" s="113" t="n"/>
      <c r="L3306" s="113" t="n"/>
      <c r="M3306" s="113" t="n"/>
      <c r="N3306" s="113" t="n"/>
      <c r="O3306" s="113" t="n"/>
      <c r="P3306" s="113" t="n"/>
      <c r="Q3306" s="113" t="n"/>
      <c r="R3306" s="113" t="n"/>
      <c r="S3306" s="113" t="n"/>
      <c r="T3306" s="113" t="n"/>
      <c r="U3306" s="113" t="n"/>
      <c r="V3306" s="113" t="n"/>
      <c r="W3306" s="113" t="n"/>
      <c r="X3306" s="113" t="n"/>
      <c r="Y3306" s="113" t="n"/>
      <c r="Z3306" s="117">
        <f>IF($B3306="",0,IF($S3306="EVET",IF($D3306="GELİR",$O3306,-$O3306),0))</f>
        <v/>
      </c>
      <c r="AA3306" s="117">
        <f>IF($B3306="",0,IF(OR($W3306="EVET",$X3306="EVET",$Y3306="EVET"),0,IF($D3306="GELİR",IF($E3306="SATIŞ İADESİ/İSKONTO",-$O3306,$O3306),-$O3306)))</f>
        <v/>
      </c>
      <c r="AB3306" s="117">
        <f>IF($B3306="","",IF(OR($D3306="",$E3306="",$O3306=""),"EKSİK",IF($O3306&lt;=0,"SIFIR/NEGATİF",IF(COUNTIFS($C$6:$C$5000,$C3306,$O$6:$O$5000,$O3306,$B$6:$B$5000,$B3306)&gt;1,"MÜKERRER","OK"))))</f>
        <v/>
      </c>
    </row>
    <row r="3307" ht="16.5" customHeight="1" s="80">
      <c r="A3307" s="113" t="n"/>
      <c r="B3307" s="113" t="n"/>
      <c r="C3307" s="113" t="n"/>
      <c r="D3307" s="113" t="n"/>
      <c r="E3307" s="113" t="n"/>
      <c r="F3307" s="113" t="n"/>
      <c r="G3307" s="113" t="n"/>
      <c r="H3307" s="113" t="n"/>
      <c r="I3307" s="113" t="n"/>
      <c r="J3307" s="113" t="n"/>
      <c r="K3307" s="113" t="n"/>
      <c r="L3307" s="113" t="n"/>
      <c r="M3307" s="113" t="n"/>
      <c r="N3307" s="113" t="n"/>
      <c r="O3307" s="113" t="n"/>
      <c r="P3307" s="113" t="n"/>
      <c r="Q3307" s="113" t="n"/>
      <c r="R3307" s="113" t="n"/>
      <c r="S3307" s="113" t="n"/>
      <c r="T3307" s="113" t="n"/>
      <c r="U3307" s="113" t="n"/>
      <c r="V3307" s="113" t="n"/>
      <c r="W3307" s="113" t="n"/>
      <c r="X3307" s="113" t="n"/>
      <c r="Y3307" s="113" t="n"/>
      <c r="Z3307" s="117">
        <f>IF($B3307="",0,IF($S3307="EVET",IF($D3307="GELİR",$O3307,-$O3307),0))</f>
        <v/>
      </c>
      <c r="AA3307" s="117">
        <f>IF($B3307="",0,IF(OR($W3307="EVET",$X3307="EVET",$Y3307="EVET"),0,IF($D3307="GELİR",IF($E3307="SATIŞ İADESİ/İSKONTO",-$O3307,$O3307),-$O3307)))</f>
        <v/>
      </c>
      <c r="AB3307" s="117">
        <f>IF($B3307="","",IF(OR($D3307="",$E3307="",$O3307=""),"EKSİK",IF($O3307&lt;=0,"SIFIR/NEGATİF",IF(COUNTIFS($C$6:$C$5000,$C3307,$O$6:$O$5000,$O3307,$B$6:$B$5000,$B3307)&gt;1,"MÜKERRER","OK"))))</f>
        <v/>
      </c>
    </row>
    <row r="3308" ht="16.5" customHeight="1" s="80">
      <c r="A3308" s="113" t="n"/>
      <c r="B3308" s="113" t="n"/>
      <c r="C3308" s="113" t="n"/>
      <c r="D3308" s="113" t="n"/>
      <c r="E3308" s="113" t="n"/>
      <c r="F3308" s="113" t="n"/>
      <c r="G3308" s="113" t="n"/>
      <c r="H3308" s="113" t="n"/>
      <c r="I3308" s="113" t="n"/>
      <c r="J3308" s="113" t="n"/>
      <c r="K3308" s="113" t="n"/>
      <c r="L3308" s="113" t="n"/>
      <c r="M3308" s="113" t="n"/>
      <c r="N3308" s="113" t="n"/>
      <c r="O3308" s="113" t="n"/>
      <c r="P3308" s="113" t="n"/>
      <c r="Q3308" s="113" t="n"/>
      <c r="R3308" s="113" t="n"/>
      <c r="S3308" s="113" t="n"/>
      <c r="T3308" s="113" t="n"/>
      <c r="U3308" s="113" t="n"/>
      <c r="V3308" s="113" t="n"/>
      <c r="W3308" s="113" t="n"/>
      <c r="X3308" s="113" t="n"/>
      <c r="Y3308" s="113" t="n"/>
      <c r="Z3308" s="117">
        <f>IF($B3308="",0,IF($S3308="EVET",IF($D3308="GELİR",$O3308,-$O3308),0))</f>
        <v/>
      </c>
      <c r="AA3308" s="117">
        <f>IF($B3308="",0,IF(OR($W3308="EVET",$X3308="EVET",$Y3308="EVET"),0,IF($D3308="GELİR",IF($E3308="SATIŞ İADESİ/İSKONTO",-$O3308,$O3308),-$O3308)))</f>
        <v/>
      </c>
      <c r="AB3308" s="117">
        <f>IF($B3308="","",IF(OR($D3308="",$E3308="",$O3308=""),"EKSİK",IF($O3308&lt;=0,"SIFIR/NEGATİF",IF(COUNTIFS($C$6:$C$5000,$C3308,$O$6:$O$5000,$O3308,$B$6:$B$5000,$B3308)&gt;1,"MÜKERRER","OK"))))</f>
        <v/>
      </c>
    </row>
    <row r="3309" ht="16.5" customHeight="1" s="80">
      <c r="A3309" s="113" t="n"/>
      <c r="B3309" s="113" t="n"/>
      <c r="C3309" s="113" t="n"/>
      <c r="D3309" s="113" t="n"/>
      <c r="E3309" s="113" t="n"/>
      <c r="F3309" s="113" t="n"/>
      <c r="G3309" s="113" t="n"/>
      <c r="H3309" s="113" t="n"/>
      <c r="I3309" s="113" t="n"/>
      <c r="J3309" s="113" t="n"/>
      <c r="K3309" s="113" t="n"/>
      <c r="L3309" s="113" t="n"/>
      <c r="M3309" s="113" t="n"/>
      <c r="N3309" s="113" t="n"/>
      <c r="O3309" s="113" t="n"/>
      <c r="P3309" s="113" t="n"/>
      <c r="Q3309" s="113" t="n"/>
      <c r="R3309" s="113" t="n"/>
      <c r="S3309" s="113" t="n"/>
      <c r="T3309" s="113" t="n"/>
      <c r="U3309" s="113" t="n"/>
      <c r="V3309" s="113" t="n"/>
      <c r="W3309" s="113" t="n"/>
      <c r="X3309" s="113" t="n"/>
      <c r="Y3309" s="113" t="n"/>
      <c r="Z3309" s="117">
        <f>IF($B3309="",0,IF($S3309="EVET",IF($D3309="GELİR",$O3309,-$O3309),0))</f>
        <v/>
      </c>
      <c r="AA3309" s="117">
        <f>IF($B3309="",0,IF(OR($W3309="EVET",$X3309="EVET",$Y3309="EVET"),0,IF($D3309="GELİR",IF($E3309="SATIŞ İADESİ/İSKONTO",-$O3309,$O3309),-$O3309)))</f>
        <v/>
      </c>
      <c r="AB3309" s="117">
        <f>IF($B3309="","",IF(OR($D3309="",$E3309="",$O3309=""),"EKSİK",IF($O3309&lt;=0,"SIFIR/NEGATİF",IF(COUNTIFS($C$6:$C$5000,$C3309,$O$6:$O$5000,$O3309,$B$6:$B$5000,$B3309)&gt;1,"MÜKERRER","OK"))))</f>
        <v/>
      </c>
    </row>
    <row r="3310" ht="16.5" customHeight="1" s="80">
      <c r="A3310" s="113" t="n"/>
      <c r="B3310" s="113" t="n"/>
      <c r="C3310" s="113" t="n"/>
      <c r="D3310" s="113" t="n"/>
      <c r="E3310" s="113" t="n"/>
      <c r="F3310" s="113" t="n"/>
      <c r="G3310" s="113" t="n"/>
      <c r="H3310" s="113" t="n"/>
      <c r="I3310" s="113" t="n"/>
      <c r="J3310" s="113" t="n"/>
      <c r="K3310" s="113" t="n"/>
      <c r="L3310" s="113" t="n"/>
      <c r="M3310" s="113" t="n"/>
      <c r="N3310" s="113" t="n"/>
      <c r="O3310" s="113" t="n"/>
      <c r="P3310" s="113" t="n"/>
      <c r="Q3310" s="113" t="n"/>
      <c r="R3310" s="113" t="n"/>
      <c r="S3310" s="113" t="n"/>
      <c r="T3310" s="113" t="n"/>
      <c r="U3310" s="113" t="n"/>
      <c r="V3310" s="113" t="n"/>
      <c r="W3310" s="113" t="n"/>
      <c r="X3310" s="113" t="n"/>
      <c r="Y3310" s="113" t="n"/>
      <c r="Z3310" s="117">
        <f>IF($B3310="",0,IF($S3310="EVET",IF($D3310="GELİR",$O3310,-$O3310),0))</f>
        <v/>
      </c>
      <c r="AA3310" s="117">
        <f>IF($B3310="",0,IF(OR($W3310="EVET",$X3310="EVET",$Y3310="EVET"),0,IF($D3310="GELİR",IF($E3310="SATIŞ İADESİ/İSKONTO",-$O3310,$O3310),-$O3310)))</f>
        <v/>
      </c>
      <c r="AB3310" s="117">
        <f>IF($B3310="","",IF(OR($D3310="",$E3310="",$O3310=""),"EKSİK",IF($O3310&lt;=0,"SIFIR/NEGATİF",IF(COUNTIFS($C$6:$C$5000,$C3310,$O$6:$O$5000,$O3310,$B$6:$B$5000,$B3310)&gt;1,"MÜKERRER","OK"))))</f>
        <v/>
      </c>
    </row>
    <row r="3311" ht="16.5" customHeight="1" s="80">
      <c r="A3311" s="113" t="n"/>
      <c r="B3311" s="113" t="n"/>
      <c r="C3311" s="113" t="n"/>
      <c r="D3311" s="113" t="n"/>
      <c r="E3311" s="113" t="n"/>
      <c r="F3311" s="113" t="n"/>
      <c r="G3311" s="113" t="n"/>
      <c r="H3311" s="113" t="n"/>
      <c r="I3311" s="113" t="n"/>
      <c r="J3311" s="113" t="n"/>
      <c r="K3311" s="113" t="n"/>
      <c r="L3311" s="113" t="n"/>
      <c r="M3311" s="113" t="n"/>
      <c r="N3311" s="113" t="n"/>
      <c r="O3311" s="113" t="n"/>
      <c r="P3311" s="113" t="n"/>
      <c r="Q3311" s="113" t="n"/>
      <c r="R3311" s="113" t="n"/>
      <c r="S3311" s="113" t="n"/>
      <c r="T3311" s="113" t="n"/>
      <c r="U3311" s="113" t="n"/>
      <c r="V3311" s="113" t="n"/>
      <c r="W3311" s="113" t="n"/>
      <c r="X3311" s="113" t="n"/>
      <c r="Y3311" s="113" t="n"/>
      <c r="Z3311" s="117">
        <f>IF($B3311="",0,IF($S3311="EVET",IF($D3311="GELİR",$O3311,-$O3311),0))</f>
        <v/>
      </c>
      <c r="AA3311" s="117">
        <f>IF($B3311="",0,IF(OR($W3311="EVET",$X3311="EVET",$Y3311="EVET"),0,IF($D3311="GELİR",IF($E3311="SATIŞ İADESİ/İSKONTO",-$O3311,$O3311),-$O3311)))</f>
        <v/>
      </c>
      <c r="AB3311" s="117">
        <f>IF($B3311="","",IF(OR($D3311="",$E3311="",$O3311=""),"EKSİK",IF($O3311&lt;=0,"SIFIR/NEGATİF",IF(COUNTIFS($C$6:$C$5000,$C3311,$O$6:$O$5000,$O3311,$B$6:$B$5000,$B3311)&gt;1,"MÜKERRER","OK"))))</f>
        <v/>
      </c>
    </row>
    <row r="3312" ht="16.5" customHeight="1" s="80">
      <c r="A3312" s="113" t="n"/>
      <c r="B3312" s="113" t="n"/>
      <c r="C3312" s="113" t="n"/>
      <c r="D3312" s="113" t="n"/>
      <c r="E3312" s="113" t="n"/>
      <c r="F3312" s="113" t="n"/>
      <c r="G3312" s="113" t="n"/>
      <c r="H3312" s="113" t="n"/>
      <c r="I3312" s="113" t="n"/>
      <c r="J3312" s="113" t="n"/>
      <c r="K3312" s="113" t="n"/>
      <c r="L3312" s="113" t="n"/>
      <c r="M3312" s="113" t="n"/>
      <c r="N3312" s="113" t="n"/>
      <c r="O3312" s="113" t="n"/>
      <c r="P3312" s="113" t="n"/>
      <c r="Q3312" s="113" t="n"/>
      <c r="R3312" s="113" t="n"/>
      <c r="S3312" s="113" t="n"/>
      <c r="T3312" s="113" t="n"/>
      <c r="U3312" s="113" t="n"/>
      <c r="V3312" s="113" t="n"/>
      <c r="W3312" s="113" t="n"/>
      <c r="X3312" s="113" t="n"/>
      <c r="Y3312" s="113" t="n"/>
      <c r="Z3312" s="117">
        <f>IF($B3312="",0,IF($S3312="EVET",IF($D3312="GELİR",$O3312,-$O3312),0))</f>
        <v/>
      </c>
      <c r="AA3312" s="117">
        <f>IF($B3312="",0,IF(OR($W3312="EVET",$X3312="EVET",$Y3312="EVET"),0,IF($D3312="GELİR",IF($E3312="SATIŞ İADESİ/İSKONTO",-$O3312,$O3312),-$O3312)))</f>
        <v/>
      </c>
      <c r="AB3312" s="117">
        <f>IF($B3312="","",IF(OR($D3312="",$E3312="",$O3312=""),"EKSİK",IF($O3312&lt;=0,"SIFIR/NEGATİF",IF(COUNTIFS($C$6:$C$5000,$C3312,$O$6:$O$5000,$O3312,$B$6:$B$5000,$B3312)&gt;1,"MÜKERRER","OK"))))</f>
        <v/>
      </c>
    </row>
    <row r="3313" ht="16.5" customHeight="1" s="80">
      <c r="A3313" s="113" t="n"/>
      <c r="B3313" s="113" t="n"/>
      <c r="C3313" s="113" t="n"/>
      <c r="D3313" s="113" t="n"/>
      <c r="E3313" s="113" t="n"/>
      <c r="F3313" s="113" t="n"/>
      <c r="G3313" s="113" t="n"/>
      <c r="H3313" s="113" t="n"/>
      <c r="I3313" s="113" t="n"/>
      <c r="J3313" s="113" t="n"/>
      <c r="K3313" s="113" t="n"/>
      <c r="L3313" s="113" t="n"/>
      <c r="M3313" s="113" t="n"/>
      <c r="N3313" s="113" t="n"/>
      <c r="O3313" s="113" t="n"/>
      <c r="P3313" s="113" t="n"/>
      <c r="Q3313" s="113" t="n"/>
      <c r="R3313" s="113" t="n"/>
      <c r="S3313" s="113" t="n"/>
      <c r="T3313" s="113" t="n"/>
      <c r="U3313" s="113" t="n"/>
      <c r="V3313" s="113" t="n"/>
      <c r="W3313" s="113" t="n"/>
      <c r="X3313" s="113" t="n"/>
      <c r="Y3313" s="113" t="n"/>
      <c r="Z3313" s="117">
        <f>IF($B3313="",0,IF($S3313="EVET",IF($D3313="GELİR",$O3313,-$O3313),0))</f>
        <v/>
      </c>
      <c r="AA3313" s="117">
        <f>IF($B3313="",0,IF(OR($W3313="EVET",$X3313="EVET",$Y3313="EVET"),0,IF($D3313="GELİR",IF($E3313="SATIŞ İADESİ/İSKONTO",-$O3313,$O3313),-$O3313)))</f>
        <v/>
      </c>
      <c r="AB3313" s="117">
        <f>IF($B3313="","",IF(OR($D3313="",$E3313="",$O3313=""),"EKSİK",IF($O3313&lt;=0,"SIFIR/NEGATİF",IF(COUNTIFS($C$6:$C$5000,$C3313,$O$6:$O$5000,$O3313,$B$6:$B$5000,$B3313)&gt;1,"MÜKERRER","OK"))))</f>
        <v/>
      </c>
    </row>
    <row r="3314" ht="16.5" customHeight="1" s="80">
      <c r="A3314" s="113" t="n"/>
      <c r="B3314" s="113" t="n"/>
      <c r="C3314" s="113" t="n"/>
      <c r="D3314" s="113" t="n"/>
      <c r="E3314" s="113" t="n"/>
      <c r="F3314" s="113" t="n"/>
      <c r="G3314" s="113" t="n"/>
      <c r="H3314" s="113" t="n"/>
      <c r="I3314" s="113" t="n"/>
      <c r="J3314" s="113" t="n"/>
      <c r="K3314" s="113" t="n"/>
      <c r="L3314" s="113" t="n"/>
      <c r="M3314" s="113" t="n"/>
      <c r="N3314" s="113" t="n"/>
      <c r="O3314" s="113" t="n"/>
      <c r="P3314" s="113" t="n"/>
      <c r="Q3314" s="113" t="n"/>
      <c r="R3314" s="113" t="n"/>
      <c r="S3314" s="113" t="n"/>
      <c r="T3314" s="113" t="n"/>
      <c r="U3314" s="113" t="n"/>
      <c r="V3314" s="113" t="n"/>
      <c r="W3314" s="113" t="n"/>
      <c r="X3314" s="113" t="n"/>
      <c r="Y3314" s="113" t="n"/>
      <c r="Z3314" s="117">
        <f>IF($B3314="",0,IF($S3314="EVET",IF($D3314="GELİR",$O3314,-$O3314),0))</f>
        <v/>
      </c>
      <c r="AA3314" s="117">
        <f>IF($B3314="",0,IF(OR($W3314="EVET",$X3314="EVET",$Y3314="EVET"),0,IF($D3314="GELİR",IF($E3314="SATIŞ İADESİ/İSKONTO",-$O3314,$O3314),-$O3314)))</f>
        <v/>
      </c>
      <c r="AB3314" s="117">
        <f>IF($B3314="","",IF(OR($D3314="",$E3314="",$O3314=""),"EKSİK",IF($O3314&lt;=0,"SIFIR/NEGATİF",IF(COUNTIFS($C$6:$C$5000,$C3314,$O$6:$O$5000,$O3314,$B$6:$B$5000,$B3314)&gt;1,"MÜKERRER","OK"))))</f>
        <v/>
      </c>
    </row>
    <row r="3315" ht="16.5" customHeight="1" s="80">
      <c r="A3315" s="113" t="n"/>
      <c r="B3315" s="113" t="n"/>
      <c r="C3315" s="113" t="n"/>
      <c r="D3315" s="113" t="n"/>
      <c r="E3315" s="113" t="n"/>
      <c r="F3315" s="113" t="n"/>
      <c r="G3315" s="113" t="n"/>
      <c r="H3315" s="113" t="n"/>
      <c r="I3315" s="113" t="n"/>
      <c r="J3315" s="113" t="n"/>
      <c r="K3315" s="113" t="n"/>
      <c r="L3315" s="113" t="n"/>
      <c r="M3315" s="113" t="n"/>
      <c r="N3315" s="113" t="n"/>
      <c r="O3315" s="113" t="n"/>
      <c r="P3315" s="113" t="n"/>
      <c r="Q3315" s="113" t="n"/>
      <c r="R3315" s="113" t="n"/>
      <c r="S3315" s="113" t="n"/>
      <c r="T3315" s="113" t="n"/>
      <c r="U3315" s="113" t="n"/>
      <c r="V3315" s="113" t="n"/>
      <c r="W3315" s="113" t="n"/>
      <c r="X3315" s="113" t="n"/>
      <c r="Y3315" s="113" t="n"/>
      <c r="Z3315" s="117">
        <f>IF($B3315="",0,IF($S3315="EVET",IF($D3315="GELİR",$O3315,-$O3315),0))</f>
        <v/>
      </c>
      <c r="AA3315" s="117">
        <f>IF($B3315="",0,IF(OR($W3315="EVET",$X3315="EVET",$Y3315="EVET"),0,IF($D3315="GELİR",IF($E3315="SATIŞ İADESİ/İSKONTO",-$O3315,$O3315),-$O3315)))</f>
        <v/>
      </c>
      <c r="AB3315" s="117">
        <f>IF($B3315="","",IF(OR($D3315="",$E3315="",$O3315=""),"EKSİK",IF($O3315&lt;=0,"SIFIR/NEGATİF",IF(COUNTIFS($C$6:$C$5000,$C3315,$O$6:$O$5000,$O3315,$B$6:$B$5000,$B3315)&gt;1,"MÜKERRER","OK"))))</f>
        <v/>
      </c>
    </row>
    <row r="3316" ht="16.5" customHeight="1" s="80">
      <c r="A3316" s="113" t="n"/>
      <c r="B3316" s="113" t="n"/>
      <c r="C3316" s="113" t="n"/>
      <c r="D3316" s="113" t="n"/>
      <c r="E3316" s="113" t="n"/>
      <c r="F3316" s="113" t="n"/>
      <c r="G3316" s="113" t="n"/>
      <c r="H3316" s="113" t="n"/>
      <c r="I3316" s="113" t="n"/>
      <c r="J3316" s="113" t="n"/>
      <c r="K3316" s="113" t="n"/>
      <c r="L3316" s="113" t="n"/>
      <c r="M3316" s="113" t="n"/>
      <c r="N3316" s="113" t="n"/>
      <c r="O3316" s="113" t="n"/>
      <c r="P3316" s="113" t="n"/>
      <c r="Q3316" s="113" t="n"/>
      <c r="R3316" s="113" t="n"/>
      <c r="S3316" s="113" t="n"/>
      <c r="T3316" s="113" t="n"/>
      <c r="U3316" s="113" t="n"/>
      <c r="V3316" s="113" t="n"/>
      <c r="W3316" s="113" t="n"/>
      <c r="X3316" s="113" t="n"/>
      <c r="Y3316" s="113" t="n"/>
      <c r="Z3316" s="117">
        <f>IF($B3316="",0,IF($S3316="EVET",IF($D3316="GELİR",$O3316,-$O3316),0))</f>
        <v/>
      </c>
      <c r="AA3316" s="117">
        <f>IF($B3316="",0,IF(OR($W3316="EVET",$X3316="EVET",$Y3316="EVET"),0,IF($D3316="GELİR",IF($E3316="SATIŞ İADESİ/İSKONTO",-$O3316,$O3316),-$O3316)))</f>
        <v/>
      </c>
      <c r="AB3316" s="117">
        <f>IF($B3316="","",IF(OR($D3316="",$E3316="",$O3316=""),"EKSİK",IF($O3316&lt;=0,"SIFIR/NEGATİF",IF(COUNTIFS($C$6:$C$5000,$C3316,$O$6:$O$5000,$O3316,$B$6:$B$5000,$B3316)&gt;1,"MÜKERRER","OK"))))</f>
        <v/>
      </c>
    </row>
    <row r="3317" ht="16.5" customHeight="1" s="80">
      <c r="A3317" s="113" t="n"/>
      <c r="B3317" s="113" t="n"/>
      <c r="C3317" s="113" t="n"/>
      <c r="D3317" s="113" t="n"/>
      <c r="E3317" s="113" t="n"/>
      <c r="F3317" s="113" t="n"/>
      <c r="G3317" s="113" t="n"/>
      <c r="H3317" s="113" t="n"/>
      <c r="I3317" s="113" t="n"/>
      <c r="J3317" s="113" t="n"/>
      <c r="K3317" s="113" t="n"/>
      <c r="L3317" s="113" t="n"/>
      <c r="M3317" s="113" t="n"/>
      <c r="N3317" s="113" t="n"/>
      <c r="O3317" s="113" t="n"/>
      <c r="P3317" s="113" t="n"/>
      <c r="Q3317" s="113" t="n"/>
      <c r="R3317" s="113" t="n"/>
      <c r="S3317" s="113" t="n"/>
      <c r="T3317" s="113" t="n"/>
      <c r="U3317" s="113" t="n"/>
      <c r="V3317" s="113" t="n"/>
      <c r="W3317" s="113" t="n"/>
      <c r="X3317" s="113" t="n"/>
      <c r="Y3317" s="113" t="n"/>
      <c r="Z3317" s="117">
        <f>IF($B3317="",0,IF($S3317="EVET",IF($D3317="GELİR",$O3317,-$O3317),0))</f>
        <v/>
      </c>
      <c r="AA3317" s="117">
        <f>IF($B3317="",0,IF(OR($W3317="EVET",$X3317="EVET",$Y3317="EVET"),0,IF($D3317="GELİR",IF($E3317="SATIŞ İADESİ/İSKONTO",-$O3317,$O3317),-$O3317)))</f>
        <v/>
      </c>
      <c r="AB3317" s="117">
        <f>IF($B3317="","",IF(OR($D3317="",$E3317="",$O3317=""),"EKSİK",IF($O3317&lt;=0,"SIFIR/NEGATİF",IF(COUNTIFS($C$6:$C$5000,$C3317,$O$6:$O$5000,$O3317,$B$6:$B$5000,$B3317)&gt;1,"MÜKERRER","OK"))))</f>
        <v/>
      </c>
    </row>
    <row r="3318" ht="16.5" customHeight="1" s="80">
      <c r="A3318" s="113" t="n"/>
      <c r="B3318" s="113" t="n"/>
      <c r="C3318" s="113" t="n"/>
      <c r="D3318" s="113" t="n"/>
      <c r="E3318" s="113" t="n"/>
      <c r="F3318" s="113" t="n"/>
      <c r="G3318" s="113" t="n"/>
      <c r="H3318" s="113" t="n"/>
      <c r="I3318" s="113" t="n"/>
      <c r="J3318" s="113" t="n"/>
      <c r="K3318" s="113" t="n"/>
      <c r="L3318" s="113" t="n"/>
      <c r="M3318" s="113" t="n"/>
      <c r="N3318" s="113" t="n"/>
      <c r="O3318" s="113" t="n"/>
      <c r="P3318" s="113" t="n"/>
      <c r="Q3318" s="113" t="n"/>
      <c r="R3318" s="113" t="n"/>
      <c r="S3318" s="113" t="n"/>
      <c r="T3318" s="113" t="n"/>
      <c r="U3318" s="113" t="n"/>
      <c r="V3318" s="113" t="n"/>
      <c r="W3318" s="113" t="n"/>
      <c r="X3318" s="113" t="n"/>
      <c r="Y3318" s="113" t="n"/>
      <c r="Z3318" s="117">
        <f>IF($B3318="",0,IF($S3318="EVET",IF($D3318="GELİR",$O3318,-$O3318),0))</f>
        <v/>
      </c>
      <c r="AA3318" s="117">
        <f>IF($B3318="",0,IF(OR($W3318="EVET",$X3318="EVET",$Y3318="EVET"),0,IF($D3318="GELİR",IF($E3318="SATIŞ İADESİ/İSKONTO",-$O3318,$O3318),-$O3318)))</f>
        <v/>
      </c>
      <c r="AB3318" s="117">
        <f>IF($B3318="","",IF(OR($D3318="",$E3318="",$O3318=""),"EKSİK",IF($O3318&lt;=0,"SIFIR/NEGATİF",IF(COUNTIFS($C$6:$C$5000,$C3318,$O$6:$O$5000,$O3318,$B$6:$B$5000,$B3318)&gt;1,"MÜKERRER","OK"))))</f>
        <v/>
      </c>
    </row>
    <row r="3319" ht="16.5" customHeight="1" s="80">
      <c r="A3319" s="113" t="n"/>
      <c r="B3319" s="113" t="n"/>
      <c r="C3319" s="113" t="n"/>
      <c r="D3319" s="113" t="n"/>
      <c r="E3319" s="113" t="n"/>
      <c r="F3319" s="113" t="n"/>
      <c r="G3319" s="113" t="n"/>
      <c r="H3319" s="113" t="n"/>
      <c r="I3319" s="113" t="n"/>
      <c r="J3319" s="113" t="n"/>
      <c r="K3319" s="113" t="n"/>
      <c r="L3319" s="113" t="n"/>
      <c r="M3319" s="113" t="n"/>
      <c r="N3319" s="113" t="n"/>
      <c r="O3319" s="113" t="n"/>
      <c r="P3319" s="113" t="n"/>
      <c r="Q3319" s="113" t="n"/>
      <c r="R3319" s="113" t="n"/>
      <c r="S3319" s="113" t="n"/>
      <c r="T3319" s="113" t="n"/>
      <c r="U3319" s="113" t="n"/>
      <c r="V3319" s="113" t="n"/>
      <c r="W3319" s="113" t="n"/>
      <c r="X3319" s="113" t="n"/>
      <c r="Y3319" s="113" t="n"/>
      <c r="Z3319" s="117">
        <f>IF($B3319="",0,IF($S3319="EVET",IF($D3319="GELİR",$O3319,-$O3319),0))</f>
        <v/>
      </c>
      <c r="AA3319" s="117">
        <f>IF($B3319="",0,IF(OR($W3319="EVET",$X3319="EVET",$Y3319="EVET"),0,IF($D3319="GELİR",IF($E3319="SATIŞ İADESİ/İSKONTO",-$O3319,$O3319),-$O3319)))</f>
        <v/>
      </c>
      <c r="AB3319" s="117">
        <f>IF($B3319="","",IF(OR($D3319="",$E3319="",$O3319=""),"EKSİK",IF($O3319&lt;=0,"SIFIR/NEGATİF",IF(COUNTIFS($C$6:$C$5000,$C3319,$O$6:$O$5000,$O3319,$B$6:$B$5000,$B3319)&gt;1,"MÜKERRER","OK"))))</f>
        <v/>
      </c>
    </row>
    <row r="3320" ht="16.5" customHeight="1" s="80">
      <c r="A3320" s="113" t="n"/>
      <c r="B3320" s="113" t="n"/>
      <c r="C3320" s="113" t="n"/>
      <c r="D3320" s="113" t="n"/>
      <c r="E3320" s="113" t="n"/>
      <c r="F3320" s="113" t="n"/>
      <c r="G3320" s="113" t="n"/>
      <c r="H3320" s="113" t="n"/>
      <c r="I3320" s="113" t="n"/>
      <c r="J3320" s="113" t="n"/>
      <c r="K3320" s="113" t="n"/>
      <c r="L3320" s="113" t="n"/>
      <c r="M3320" s="113" t="n"/>
      <c r="N3320" s="113" t="n"/>
      <c r="O3320" s="113" t="n"/>
      <c r="P3320" s="113" t="n"/>
      <c r="Q3320" s="113" t="n"/>
      <c r="R3320" s="113" t="n"/>
      <c r="S3320" s="113" t="n"/>
      <c r="T3320" s="113" t="n"/>
      <c r="U3320" s="113" t="n"/>
      <c r="V3320" s="113" t="n"/>
      <c r="W3320" s="113" t="n"/>
      <c r="X3320" s="113" t="n"/>
      <c r="Y3320" s="113" t="n"/>
      <c r="Z3320" s="117">
        <f>IF($B3320="",0,IF($S3320="EVET",IF($D3320="GELİR",$O3320,-$O3320),0))</f>
        <v/>
      </c>
      <c r="AA3320" s="117">
        <f>IF($B3320="",0,IF(OR($W3320="EVET",$X3320="EVET",$Y3320="EVET"),0,IF($D3320="GELİR",IF($E3320="SATIŞ İADESİ/İSKONTO",-$O3320,$O3320),-$O3320)))</f>
        <v/>
      </c>
      <c r="AB3320" s="117">
        <f>IF($B3320="","",IF(OR($D3320="",$E3320="",$O3320=""),"EKSİK",IF($O3320&lt;=0,"SIFIR/NEGATİF",IF(COUNTIFS($C$6:$C$5000,$C3320,$O$6:$O$5000,$O3320,$B$6:$B$5000,$B3320)&gt;1,"MÜKERRER","OK"))))</f>
        <v/>
      </c>
    </row>
    <row r="3321" ht="16.5" customHeight="1" s="80">
      <c r="A3321" s="113" t="n"/>
      <c r="B3321" s="113" t="n"/>
      <c r="C3321" s="113" t="n"/>
      <c r="D3321" s="113" t="n"/>
      <c r="E3321" s="113" t="n"/>
      <c r="F3321" s="113" t="n"/>
      <c r="G3321" s="113" t="n"/>
      <c r="H3321" s="113" t="n"/>
      <c r="I3321" s="113" t="n"/>
      <c r="J3321" s="113" t="n"/>
      <c r="K3321" s="113" t="n"/>
      <c r="L3321" s="113" t="n"/>
      <c r="M3321" s="113" t="n"/>
      <c r="N3321" s="113" t="n"/>
      <c r="O3321" s="113" t="n"/>
      <c r="P3321" s="113" t="n"/>
      <c r="Q3321" s="113" t="n"/>
      <c r="R3321" s="113" t="n"/>
      <c r="S3321" s="113" t="n"/>
      <c r="T3321" s="113" t="n"/>
      <c r="U3321" s="113" t="n"/>
      <c r="V3321" s="113" t="n"/>
      <c r="W3321" s="113" t="n"/>
      <c r="X3321" s="113" t="n"/>
      <c r="Y3321" s="113" t="n"/>
      <c r="Z3321" s="117">
        <f>IF($B3321="",0,IF($S3321="EVET",IF($D3321="GELİR",$O3321,-$O3321),0))</f>
        <v/>
      </c>
      <c r="AA3321" s="117">
        <f>IF($B3321="",0,IF(OR($W3321="EVET",$X3321="EVET",$Y3321="EVET"),0,IF($D3321="GELİR",IF($E3321="SATIŞ İADESİ/İSKONTO",-$O3321,$O3321),-$O3321)))</f>
        <v/>
      </c>
      <c r="AB3321" s="117">
        <f>IF($B3321="","",IF(OR($D3321="",$E3321="",$O3321=""),"EKSİK",IF($O3321&lt;=0,"SIFIR/NEGATİF",IF(COUNTIFS($C$6:$C$5000,$C3321,$O$6:$O$5000,$O3321,$B$6:$B$5000,$B3321)&gt;1,"MÜKERRER","OK"))))</f>
        <v/>
      </c>
    </row>
    <row r="3322" ht="16.5" customHeight="1" s="80">
      <c r="A3322" s="113" t="n"/>
      <c r="B3322" s="113" t="n"/>
      <c r="C3322" s="113" t="n"/>
      <c r="D3322" s="113" t="n"/>
      <c r="E3322" s="113" t="n"/>
      <c r="F3322" s="113" t="n"/>
      <c r="G3322" s="113" t="n"/>
      <c r="H3322" s="113" t="n"/>
      <c r="I3322" s="113" t="n"/>
      <c r="J3322" s="113" t="n"/>
      <c r="K3322" s="113" t="n"/>
      <c r="L3322" s="113" t="n"/>
      <c r="M3322" s="113" t="n"/>
      <c r="N3322" s="113" t="n"/>
      <c r="O3322" s="113" t="n"/>
      <c r="P3322" s="113" t="n"/>
      <c r="Q3322" s="113" t="n"/>
      <c r="R3322" s="113" t="n"/>
      <c r="S3322" s="113" t="n"/>
      <c r="T3322" s="113" t="n"/>
      <c r="U3322" s="113" t="n"/>
      <c r="V3322" s="113" t="n"/>
      <c r="W3322" s="113" t="n"/>
      <c r="X3322" s="113" t="n"/>
      <c r="Y3322" s="113" t="n"/>
      <c r="Z3322" s="117">
        <f>IF($B3322="",0,IF($S3322="EVET",IF($D3322="GELİR",$O3322,-$O3322),0))</f>
        <v/>
      </c>
      <c r="AA3322" s="117">
        <f>IF($B3322="",0,IF(OR($W3322="EVET",$X3322="EVET",$Y3322="EVET"),0,IF($D3322="GELİR",IF($E3322="SATIŞ İADESİ/İSKONTO",-$O3322,$O3322),-$O3322)))</f>
        <v/>
      </c>
      <c r="AB3322" s="117">
        <f>IF($B3322="","",IF(OR($D3322="",$E3322="",$O3322=""),"EKSİK",IF($O3322&lt;=0,"SIFIR/NEGATİF",IF(COUNTIFS($C$6:$C$5000,$C3322,$O$6:$O$5000,$O3322,$B$6:$B$5000,$B3322)&gt;1,"MÜKERRER","OK"))))</f>
        <v/>
      </c>
    </row>
    <row r="3323" ht="16.5" customHeight="1" s="80">
      <c r="A3323" s="113" t="n"/>
      <c r="B3323" s="113" t="n"/>
      <c r="C3323" s="113" t="n"/>
      <c r="D3323" s="113" t="n"/>
      <c r="E3323" s="113" t="n"/>
      <c r="F3323" s="113" t="n"/>
      <c r="G3323" s="113" t="n"/>
      <c r="H3323" s="113" t="n"/>
      <c r="I3323" s="113" t="n"/>
      <c r="J3323" s="113" t="n"/>
      <c r="K3323" s="113" t="n"/>
      <c r="L3323" s="113" t="n"/>
      <c r="M3323" s="113" t="n"/>
      <c r="N3323" s="113" t="n"/>
      <c r="O3323" s="113" t="n"/>
      <c r="P3323" s="113" t="n"/>
      <c r="Q3323" s="113" t="n"/>
      <c r="R3323" s="113" t="n"/>
      <c r="S3323" s="113" t="n"/>
      <c r="T3323" s="113" t="n"/>
      <c r="U3323" s="113" t="n"/>
      <c r="V3323" s="113" t="n"/>
      <c r="W3323" s="113" t="n"/>
      <c r="X3323" s="113" t="n"/>
      <c r="Y3323" s="113" t="n"/>
      <c r="Z3323" s="117">
        <f>IF($B3323="",0,IF($S3323="EVET",IF($D3323="GELİR",$O3323,-$O3323),0))</f>
        <v/>
      </c>
      <c r="AA3323" s="117">
        <f>IF($B3323="",0,IF(OR($W3323="EVET",$X3323="EVET",$Y3323="EVET"),0,IF($D3323="GELİR",IF($E3323="SATIŞ İADESİ/İSKONTO",-$O3323,$O3323),-$O3323)))</f>
        <v/>
      </c>
      <c r="AB3323" s="117">
        <f>IF($B3323="","",IF(OR($D3323="",$E3323="",$O3323=""),"EKSİK",IF($O3323&lt;=0,"SIFIR/NEGATİF",IF(COUNTIFS($C$6:$C$5000,$C3323,$O$6:$O$5000,$O3323,$B$6:$B$5000,$B3323)&gt;1,"MÜKERRER","OK"))))</f>
        <v/>
      </c>
    </row>
    <row r="3324" ht="16.5" customHeight="1" s="80">
      <c r="A3324" s="113" t="n"/>
      <c r="B3324" s="113" t="n"/>
      <c r="C3324" s="113" t="n"/>
      <c r="D3324" s="113" t="n"/>
      <c r="E3324" s="113" t="n"/>
      <c r="F3324" s="113" t="n"/>
      <c r="G3324" s="113" t="n"/>
      <c r="H3324" s="113" t="n"/>
      <c r="I3324" s="113" t="n"/>
      <c r="J3324" s="113" t="n"/>
      <c r="K3324" s="113" t="n"/>
      <c r="L3324" s="113" t="n"/>
      <c r="M3324" s="113" t="n"/>
      <c r="N3324" s="113" t="n"/>
      <c r="O3324" s="113" t="n"/>
      <c r="P3324" s="113" t="n"/>
      <c r="Q3324" s="113" t="n"/>
      <c r="R3324" s="113" t="n"/>
      <c r="S3324" s="113" t="n"/>
      <c r="T3324" s="113" t="n"/>
      <c r="U3324" s="113" t="n"/>
      <c r="V3324" s="113" t="n"/>
      <c r="W3324" s="113" t="n"/>
      <c r="X3324" s="113" t="n"/>
      <c r="Y3324" s="113" t="n"/>
      <c r="Z3324" s="117">
        <f>IF($B3324="",0,IF($S3324="EVET",IF($D3324="GELİR",$O3324,-$O3324),0))</f>
        <v/>
      </c>
      <c r="AA3324" s="117">
        <f>IF($B3324="",0,IF(OR($W3324="EVET",$X3324="EVET",$Y3324="EVET"),0,IF($D3324="GELİR",IF($E3324="SATIŞ İADESİ/İSKONTO",-$O3324,$O3324),-$O3324)))</f>
        <v/>
      </c>
      <c r="AB3324" s="117">
        <f>IF($B3324="","",IF(OR($D3324="",$E3324="",$O3324=""),"EKSİK",IF($O3324&lt;=0,"SIFIR/NEGATİF",IF(COUNTIFS($C$6:$C$5000,$C3324,$O$6:$O$5000,$O3324,$B$6:$B$5000,$B3324)&gt;1,"MÜKERRER","OK"))))</f>
        <v/>
      </c>
    </row>
    <row r="3325" ht="16.5" customHeight="1" s="80">
      <c r="A3325" s="113" t="n"/>
      <c r="B3325" s="113" t="n"/>
      <c r="C3325" s="113" t="n"/>
      <c r="D3325" s="113" t="n"/>
      <c r="E3325" s="113" t="n"/>
      <c r="F3325" s="113" t="n"/>
      <c r="G3325" s="113" t="n"/>
      <c r="H3325" s="113" t="n"/>
      <c r="I3325" s="113" t="n"/>
      <c r="J3325" s="113" t="n"/>
      <c r="K3325" s="113" t="n"/>
      <c r="L3325" s="113" t="n"/>
      <c r="M3325" s="113" t="n"/>
      <c r="N3325" s="113" t="n"/>
      <c r="O3325" s="113" t="n"/>
      <c r="P3325" s="113" t="n"/>
      <c r="Q3325" s="113" t="n"/>
      <c r="R3325" s="113" t="n"/>
      <c r="S3325" s="113" t="n"/>
      <c r="T3325" s="113" t="n"/>
      <c r="U3325" s="113" t="n"/>
      <c r="V3325" s="113" t="n"/>
      <c r="W3325" s="113" t="n"/>
      <c r="X3325" s="113" t="n"/>
      <c r="Y3325" s="113" t="n"/>
      <c r="Z3325" s="117">
        <f>IF($B3325="",0,IF($S3325="EVET",IF($D3325="GELİR",$O3325,-$O3325),0))</f>
        <v/>
      </c>
      <c r="AA3325" s="117">
        <f>IF($B3325="",0,IF(OR($W3325="EVET",$X3325="EVET",$Y3325="EVET"),0,IF($D3325="GELİR",IF($E3325="SATIŞ İADESİ/İSKONTO",-$O3325,$O3325),-$O3325)))</f>
        <v/>
      </c>
      <c r="AB3325" s="117">
        <f>IF($B3325="","",IF(OR($D3325="",$E3325="",$O3325=""),"EKSİK",IF($O3325&lt;=0,"SIFIR/NEGATİF",IF(COUNTIFS($C$6:$C$5000,$C3325,$O$6:$O$5000,$O3325,$B$6:$B$5000,$B3325)&gt;1,"MÜKERRER","OK"))))</f>
        <v/>
      </c>
    </row>
    <row r="3326" ht="16.5" customHeight="1" s="80">
      <c r="A3326" s="113" t="n"/>
      <c r="B3326" s="113" t="n"/>
      <c r="C3326" s="113" t="n"/>
      <c r="D3326" s="113" t="n"/>
      <c r="E3326" s="113" t="n"/>
      <c r="F3326" s="113" t="n"/>
      <c r="G3326" s="113" t="n"/>
      <c r="H3326" s="113" t="n"/>
      <c r="I3326" s="113" t="n"/>
      <c r="J3326" s="113" t="n"/>
      <c r="K3326" s="113" t="n"/>
      <c r="L3326" s="113" t="n"/>
      <c r="M3326" s="113" t="n"/>
      <c r="N3326" s="113" t="n"/>
      <c r="O3326" s="113" t="n"/>
      <c r="P3326" s="113" t="n"/>
      <c r="Q3326" s="113" t="n"/>
      <c r="R3326" s="113" t="n"/>
      <c r="S3326" s="113" t="n"/>
      <c r="T3326" s="113" t="n"/>
      <c r="U3326" s="113" t="n"/>
      <c r="V3326" s="113" t="n"/>
      <c r="W3326" s="113" t="n"/>
      <c r="X3326" s="113" t="n"/>
      <c r="Y3326" s="113" t="n"/>
      <c r="Z3326" s="117">
        <f>IF($B3326="",0,IF($S3326="EVET",IF($D3326="GELİR",$O3326,-$O3326),0))</f>
        <v/>
      </c>
      <c r="AA3326" s="117">
        <f>IF($B3326="",0,IF(OR($W3326="EVET",$X3326="EVET",$Y3326="EVET"),0,IF($D3326="GELİR",IF($E3326="SATIŞ İADESİ/İSKONTO",-$O3326,$O3326),-$O3326)))</f>
        <v/>
      </c>
      <c r="AB3326" s="117">
        <f>IF($B3326="","",IF(OR($D3326="",$E3326="",$O3326=""),"EKSİK",IF($O3326&lt;=0,"SIFIR/NEGATİF",IF(COUNTIFS($C$6:$C$5000,$C3326,$O$6:$O$5000,$O3326,$B$6:$B$5000,$B3326)&gt;1,"MÜKERRER","OK"))))</f>
        <v/>
      </c>
    </row>
    <row r="3327" ht="16.5" customHeight="1" s="80">
      <c r="A3327" s="113" t="n"/>
      <c r="B3327" s="113" t="n"/>
      <c r="C3327" s="113" t="n"/>
      <c r="D3327" s="113" t="n"/>
      <c r="E3327" s="113" t="n"/>
      <c r="F3327" s="113" t="n"/>
      <c r="G3327" s="113" t="n"/>
      <c r="H3327" s="113" t="n"/>
      <c r="I3327" s="113" t="n"/>
      <c r="J3327" s="113" t="n"/>
      <c r="K3327" s="113" t="n"/>
      <c r="L3327" s="113" t="n"/>
      <c r="M3327" s="113" t="n"/>
      <c r="N3327" s="113" t="n"/>
      <c r="O3327" s="113" t="n"/>
      <c r="P3327" s="113" t="n"/>
      <c r="Q3327" s="113" t="n"/>
      <c r="R3327" s="113" t="n"/>
      <c r="S3327" s="113" t="n"/>
      <c r="T3327" s="113" t="n"/>
      <c r="U3327" s="113" t="n"/>
      <c r="V3327" s="113" t="n"/>
      <c r="W3327" s="113" t="n"/>
      <c r="X3327" s="113" t="n"/>
      <c r="Y3327" s="113" t="n"/>
      <c r="Z3327" s="117">
        <f>IF($B3327="",0,IF($S3327="EVET",IF($D3327="GELİR",$O3327,-$O3327),0))</f>
        <v/>
      </c>
      <c r="AA3327" s="117">
        <f>IF($B3327="",0,IF(OR($W3327="EVET",$X3327="EVET",$Y3327="EVET"),0,IF($D3327="GELİR",IF($E3327="SATIŞ İADESİ/İSKONTO",-$O3327,$O3327),-$O3327)))</f>
        <v/>
      </c>
      <c r="AB3327" s="117">
        <f>IF($B3327="","",IF(OR($D3327="",$E3327="",$O3327=""),"EKSİK",IF($O3327&lt;=0,"SIFIR/NEGATİF",IF(COUNTIFS($C$6:$C$5000,$C3327,$O$6:$O$5000,$O3327,$B$6:$B$5000,$B3327)&gt;1,"MÜKERRER","OK"))))</f>
        <v/>
      </c>
    </row>
    <row r="3328" ht="16.5" customHeight="1" s="80">
      <c r="A3328" s="113" t="n"/>
      <c r="B3328" s="113" t="n"/>
      <c r="C3328" s="113" t="n"/>
      <c r="D3328" s="113" t="n"/>
      <c r="E3328" s="113" t="n"/>
      <c r="F3328" s="113" t="n"/>
      <c r="G3328" s="113" t="n"/>
      <c r="H3328" s="113" t="n"/>
      <c r="I3328" s="113" t="n"/>
      <c r="J3328" s="113" t="n"/>
      <c r="K3328" s="113" t="n"/>
      <c r="L3328" s="113" t="n"/>
      <c r="M3328" s="113" t="n"/>
      <c r="N3328" s="113" t="n"/>
      <c r="O3328" s="113" t="n"/>
      <c r="P3328" s="113" t="n"/>
      <c r="Q3328" s="113" t="n"/>
      <c r="R3328" s="113" t="n"/>
      <c r="S3328" s="113" t="n"/>
      <c r="T3328" s="113" t="n"/>
      <c r="U3328" s="113" t="n"/>
      <c r="V3328" s="113" t="n"/>
      <c r="W3328" s="113" t="n"/>
      <c r="X3328" s="113" t="n"/>
      <c r="Y3328" s="113" t="n"/>
      <c r="Z3328" s="117">
        <f>IF($B3328="",0,IF($S3328="EVET",IF($D3328="GELİR",$O3328,-$O3328),0))</f>
        <v/>
      </c>
      <c r="AA3328" s="117">
        <f>IF($B3328="",0,IF(OR($W3328="EVET",$X3328="EVET",$Y3328="EVET"),0,IF($D3328="GELİR",IF($E3328="SATIŞ İADESİ/İSKONTO",-$O3328,$O3328),-$O3328)))</f>
        <v/>
      </c>
      <c r="AB3328" s="117">
        <f>IF($B3328="","",IF(OR($D3328="",$E3328="",$O3328=""),"EKSİK",IF($O3328&lt;=0,"SIFIR/NEGATİF",IF(COUNTIFS($C$6:$C$5000,$C3328,$O$6:$O$5000,$O3328,$B$6:$B$5000,$B3328)&gt;1,"MÜKERRER","OK"))))</f>
        <v/>
      </c>
    </row>
    <row r="3329" ht="16.5" customHeight="1" s="80">
      <c r="A3329" s="113" t="n"/>
      <c r="B3329" s="113" t="n"/>
      <c r="C3329" s="113" t="n"/>
      <c r="D3329" s="113" t="n"/>
      <c r="E3329" s="113" t="n"/>
      <c r="F3329" s="113" t="n"/>
      <c r="G3329" s="113" t="n"/>
      <c r="H3329" s="113" t="n"/>
      <c r="I3329" s="113" t="n"/>
      <c r="J3329" s="113" t="n"/>
      <c r="K3329" s="113" t="n"/>
      <c r="L3329" s="113" t="n"/>
      <c r="M3329" s="113" t="n"/>
      <c r="N3329" s="113" t="n"/>
      <c r="O3329" s="113" t="n"/>
      <c r="P3329" s="113" t="n"/>
      <c r="Q3329" s="113" t="n"/>
      <c r="R3329" s="113" t="n"/>
      <c r="S3329" s="113" t="n"/>
      <c r="T3329" s="113" t="n"/>
      <c r="U3329" s="113" t="n"/>
      <c r="V3329" s="113" t="n"/>
      <c r="W3329" s="113" t="n"/>
      <c r="X3329" s="113" t="n"/>
      <c r="Y3329" s="113" t="n"/>
      <c r="Z3329" s="117">
        <f>IF($B3329="",0,IF($S3329="EVET",IF($D3329="GELİR",$O3329,-$O3329),0))</f>
        <v/>
      </c>
      <c r="AA3329" s="117">
        <f>IF($B3329="",0,IF(OR($W3329="EVET",$X3329="EVET",$Y3329="EVET"),0,IF($D3329="GELİR",IF($E3329="SATIŞ İADESİ/İSKONTO",-$O3329,$O3329),-$O3329)))</f>
        <v/>
      </c>
      <c r="AB3329" s="117">
        <f>IF($B3329="","",IF(OR($D3329="",$E3329="",$O3329=""),"EKSİK",IF($O3329&lt;=0,"SIFIR/NEGATİF",IF(COUNTIFS($C$6:$C$5000,$C3329,$O$6:$O$5000,$O3329,$B$6:$B$5000,$B3329)&gt;1,"MÜKERRER","OK"))))</f>
        <v/>
      </c>
    </row>
    <row r="3330" ht="16.5" customHeight="1" s="80">
      <c r="A3330" s="113" t="n"/>
      <c r="B3330" s="113" t="n"/>
      <c r="C3330" s="113" t="n"/>
      <c r="D3330" s="113" t="n"/>
      <c r="E3330" s="113" t="n"/>
      <c r="F3330" s="113" t="n"/>
      <c r="G3330" s="113" t="n"/>
      <c r="H3330" s="113" t="n"/>
      <c r="I3330" s="113" t="n"/>
      <c r="J3330" s="113" t="n"/>
      <c r="K3330" s="113" t="n"/>
      <c r="L3330" s="113" t="n"/>
      <c r="M3330" s="113" t="n"/>
      <c r="N3330" s="113" t="n"/>
      <c r="O3330" s="113" t="n"/>
      <c r="P3330" s="113" t="n"/>
      <c r="Q3330" s="113" t="n"/>
      <c r="R3330" s="113" t="n"/>
      <c r="S3330" s="113" t="n"/>
      <c r="T3330" s="113" t="n"/>
      <c r="U3330" s="113" t="n"/>
      <c r="V3330" s="113" t="n"/>
      <c r="W3330" s="113" t="n"/>
      <c r="X3330" s="113" t="n"/>
      <c r="Y3330" s="113" t="n"/>
      <c r="Z3330" s="117">
        <f>IF($B3330="",0,IF($S3330="EVET",IF($D3330="GELİR",$O3330,-$O3330),0))</f>
        <v/>
      </c>
      <c r="AA3330" s="117">
        <f>IF($B3330="",0,IF(OR($W3330="EVET",$X3330="EVET",$Y3330="EVET"),0,IF($D3330="GELİR",IF($E3330="SATIŞ İADESİ/İSKONTO",-$O3330,$O3330),-$O3330)))</f>
        <v/>
      </c>
      <c r="AB3330" s="117">
        <f>IF($B3330="","",IF(OR($D3330="",$E3330="",$O3330=""),"EKSİK",IF($O3330&lt;=0,"SIFIR/NEGATİF",IF(COUNTIFS($C$6:$C$5000,$C3330,$O$6:$O$5000,$O3330,$B$6:$B$5000,$B3330)&gt;1,"MÜKERRER","OK"))))</f>
        <v/>
      </c>
    </row>
    <row r="3331" ht="16.5" customHeight="1" s="80">
      <c r="A3331" s="113" t="n"/>
      <c r="B3331" s="113" t="n"/>
      <c r="C3331" s="113" t="n"/>
      <c r="D3331" s="113" t="n"/>
      <c r="E3331" s="113" t="n"/>
      <c r="F3331" s="113" t="n"/>
      <c r="G3331" s="113" t="n"/>
      <c r="H3331" s="113" t="n"/>
      <c r="I3331" s="113" t="n"/>
      <c r="J3331" s="113" t="n"/>
      <c r="K3331" s="113" t="n"/>
      <c r="L3331" s="113" t="n"/>
      <c r="M3331" s="113" t="n"/>
      <c r="N3331" s="113" t="n"/>
      <c r="O3331" s="113" t="n"/>
      <c r="P3331" s="113" t="n"/>
      <c r="Q3331" s="113" t="n"/>
      <c r="R3331" s="113" t="n"/>
      <c r="S3331" s="113" t="n"/>
      <c r="T3331" s="113" t="n"/>
      <c r="U3331" s="113" t="n"/>
      <c r="V3331" s="113" t="n"/>
      <c r="W3331" s="113" t="n"/>
      <c r="X3331" s="113" t="n"/>
      <c r="Y3331" s="113" t="n"/>
      <c r="Z3331" s="117">
        <f>IF($B3331="",0,IF($S3331="EVET",IF($D3331="GELİR",$O3331,-$O3331),0))</f>
        <v/>
      </c>
      <c r="AA3331" s="117">
        <f>IF($B3331="",0,IF(OR($W3331="EVET",$X3331="EVET",$Y3331="EVET"),0,IF($D3331="GELİR",IF($E3331="SATIŞ İADESİ/İSKONTO",-$O3331,$O3331),-$O3331)))</f>
        <v/>
      </c>
      <c r="AB3331" s="117">
        <f>IF($B3331="","",IF(OR($D3331="",$E3331="",$O3331=""),"EKSİK",IF($O3331&lt;=0,"SIFIR/NEGATİF",IF(COUNTIFS($C$6:$C$5000,$C3331,$O$6:$O$5000,$O3331,$B$6:$B$5000,$B3331)&gt;1,"MÜKERRER","OK"))))</f>
        <v/>
      </c>
    </row>
    <row r="3332" ht="16.5" customHeight="1" s="80">
      <c r="A3332" s="113" t="n"/>
      <c r="B3332" s="113" t="n"/>
      <c r="C3332" s="113" t="n"/>
      <c r="D3332" s="113" t="n"/>
      <c r="E3332" s="113" t="n"/>
      <c r="F3332" s="113" t="n"/>
      <c r="G3332" s="113" t="n"/>
      <c r="H3332" s="113" t="n"/>
      <c r="I3332" s="113" t="n"/>
      <c r="J3332" s="113" t="n"/>
      <c r="K3332" s="113" t="n"/>
      <c r="L3332" s="113" t="n"/>
      <c r="M3332" s="113" t="n"/>
      <c r="N3332" s="113" t="n"/>
      <c r="O3332" s="113" t="n"/>
      <c r="P3332" s="113" t="n"/>
      <c r="Q3332" s="113" t="n"/>
      <c r="R3332" s="113" t="n"/>
      <c r="S3332" s="113" t="n"/>
      <c r="T3332" s="113" t="n"/>
      <c r="U3332" s="113" t="n"/>
      <c r="V3332" s="113" t="n"/>
      <c r="W3332" s="113" t="n"/>
      <c r="X3332" s="113" t="n"/>
      <c r="Y3332" s="113" t="n"/>
      <c r="Z3332" s="117">
        <f>IF($B3332="",0,IF($S3332="EVET",IF($D3332="GELİR",$O3332,-$O3332),0))</f>
        <v/>
      </c>
      <c r="AA3332" s="117">
        <f>IF($B3332="",0,IF(OR($W3332="EVET",$X3332="EVET",$Y3332="EVET"),0,IF($D3332="GELİR",IF($E3332="SATIŞ İADESİ/İSKONTO",-$O3332,$O3332),-$O3332)))</f>
        <v/>
      </c>
      <c r="AB3332" s="117">
        <f>IF($B3332="","",IF(OR($D3332="",$E3332="",$O3332=""),"EKSİK",IF($O3332&lt;=0,"SIFIR/NEGATİF",IF(COUNTIFS($C$6:$C$5000,$C3332,$O$6:$O$5000,$O3332,$B$6:$B$5000,$B3332)&gt;1,"MÜKERRER","OK"))))</f>
        <v/>
      </c>
    </row>
    <row r="3333" ht="16.5" customHeight="1" s="80">
      <c r="A3333" s="113" t="n"/>
      <c r="B3333" s="113" t="n"/>
      <c r="C3333" s="113" t="n"/>
      <c r="D3333" s="113" t="n"/>
      <c r="E3333" s="113" t="n"/>
      <c r="F3333" s="113" t="n"/>
      <c r="G3333" s="113" t="n"/>
      <c r="H3333" s="113" t="n"/>
      <c r="I3333" s="113" t="n"/>
      <c r="J3333" s="113" t="n"/>
      <c r="K3333" s="113" t="n"/>
      <c r="L3333" s="113" t="n"/>
      <c r="M3333" s="113" t="n"/>
      <c r="N3333" s="113" t="n"/>
      <c r="O3333" s="113" t="n"/>
      <c r="P3333" s="113" t="n"/>
      <c r="Q3333" s="113" t="n"/>
      <c r="R3333" s="113" t="n"/>
      <c r="S3333" s="113" t="n"/>
      <c r="T3333" s="113" t="n"/>
      <c r="U3333" s="113" t="n"/>
      <c r="V3333" s="113" t="n"/>
      <c r="W3333" s="113" t="n"/>
      <c r="X3333" s="113" t="n"/>
      <c r="Y3333" s="113" t="n"/>
      <c r="Z3333" s="117">
        <f>IF($B3333="",0,IF($S3333="EVET",IF($D3333="GELİR",$O3333,-$O3333),0))</f>
        <v/>
      </c>
      <c r="AA3333" s="117">
        <f>IF($B3333="",0,IF(OR($W3333="EVET",$X3333="EVET",$Y3333="EVET"),0,IF($D3333="GELİR",IF($E3333="SATIŞ İADESİ/İSKONTO",-$O3333,$O3333),-$O3333)))</f>
        <v/>
      </c>
      <c r="AB3333" s="117">
        <f>IF($B3333="","",IF(OR($D3333="",$E3333="",$O3333=""),"EKSİK",IF($O3333&lt;=0,"SIFIR/NEGATİF",IF(COUNTIFS($C$6:$C$5000,$C3333,$O$6:$O$5000,$O3333,$B$6:$B$5000,$B3333)&gt;1,"MÜKERRER","OK"))))</f>
        <v/>
      </c>
    </row>
    <row r="3334" ht="16.5" customHeight="1" s="80">
      <c r="A3334" s="113" t="n"/>
      <c r="B3334" s="113" t="n"/>
      <c r="C3334" s="113" t="n"/>
      <c r="D3334" s="113" t="n"/>
      <c r="E3334" s="113" t="n"/>
      <c r="F3334" s="113" t="n"/>
      <c r="G3334" s="113" t="n"/>
      <c r="H3334" s="113" t="n"/>
      <c r="I3334" s="113" t="n"/>
      <c r="J3334" s="113" t="n"/>
      <c r="K3334" s="113" t="n"/>
      <c r="L3334" s="113" t="n"/>
      <c r="M3334" s="113" t="n"/>
      <c r="N3334" s="113" t="n"/>
      <c r="O3334" s="113" t="n"/>
      <c r="P3334" s="113" t="n"/>
      <c r="Q3334" s="113" t="n"/>
      <c r="R3334" s="113" t="n"/>
      <c r="S3334" s="113" t="n"/>
      <c r="T3334" s="113" t="n"/>
      <c r="U3334" s="113" t="n"/>
      <c r="V3334" s="113" t="n"/>
      <c r="W3334" s="113" t="n"/>
      <c r="X3334" s="113" t="n"/>
      <c r="Y3334" s="113" t="n"/>
      <c r="Z3334" s="117">
        <f>IF($B3334="",0,IF($S3334="EVET",IF($D3334="GELİR",$O3334,-$O3334),0))</f>
        <v/>
      </c>
      <c r="AA3334" s="117">
        <f>IF($B3334="",0,IF(OR($W3334="EVET",$X3334="EVET",$Y3334="EVET"),0,IF($D3334="GELİR",IF($E3334="SATIŞ İADESİ/İSKONTO",-$O3334,$O3334),-$O3334)))</f>
        <v/>
      </c>
      <c r="AB3334" s="117">
        <f>IF($B3334="","",IF(OR($D3334="",$E3334="",$O3334=""),"EKSİK",IF($O3334&lt;=0,"SIFIR/NEGATİF",IF(COUNTIFS($C$6:$C$5000,$C3334,$O$6:$O$5000,$O3334,$B$6:$B$5000,$B3334)&gt;1,"MÜKERRER","OK"))))</f>
        <v/>
      </c>
    </row>
    <row r="3335" ht="16.5" customHeight="1" s="80">
      <c r="A3335" s="113" t="n"/>
      <c r="B3335" s="113" t="n"/>
      <c r="C3335" s="113" t="n"/>
      <c r="D3335" s="113" t="n"/>
      <c r="E3335" s="113" t="n"/>
      <c r="F3335" s="113" t="n"/>
      <c r="G3335" s="113" t="n"/>
      <c r="H3335" s="113" t="n"/>
      <c r="I3335" s="113" t="n"/>
      <c r="J3335" s="113" t="n"/>
      <c r="K3335" s="113" t="n"/>
      <c r="L3335" s="113" t="n"/>
      <c r="M3335" s="113" t="n"/>
      <c r="N3335" s="113" t="n"/>
      <c r="O3335" s="113" t="n"/>
      <c r="P3335" s="113" t="n"/>
      <c r="Q3335" s="113" t="n"/>
      <c r="R3335" s="113" t="n"/>
      <c r="S3335" s="113" t="n"/>
      <c r="T3335" s="113" t="n"/>
      <c r="U3335" s="113" t="n"/>
      <c r="V3335" s="113" t="n"/>
      <c r="W3335" s="113" t="n"/>
      <c r="X3335" s="113" t="n"/>
      <c r="Y3335" s="113" t="n"/>
      <c r="Z3335" s="117">
        <f>IF($B3335="",0,IF($S3335="EVET",IF($D3335="GELİR",$O3335,-$O3335),0))</f>
        <v/>
      </c>
      <c r="AA3335" s="117">
        <f>IF($B3335="",0,IF(OR($W3335="EVET",$X3335="EVET",$Y3335="EVET"),0,IF($D3335="GELİR",IF($E3335="SATIŞ İADESİ/İSKONTO",-$O3335,$O3335),-$O3335)))</f>
        <v/>
      </c>
      <c r="AB3335" s="117">
        <f>IF($B3335="","",IF(OR($D3335="",$E3335="",$O3335=""),"EKSİK",IF($O3335&lt;=0,"SIFIR/NEGATİF",IF(COUNTIFS($C$6:$C$5000,$C3335,$O$6:$O$5000,$O3335,$B$6:$B$5000,$B3335)&gt;1,"MÜKERRER","OK"))))</f>
        <v/>
      </c>
    </row>
    <row r="3336" ht="16.5" customHeight="1" s="80">
      <c r="A3336" s="113" t="n"/>
      <c r="B3336" s="113" t="n"/>
      <c r="C3336" s="113" t="n"/>
      <c r="D3336" s="113" t="n"/>
      <c r="E3336" s="113" t="n"/>
      <c r="F3336" s="113" t="n"/>
      <c r="G3336" s="113" t="n"/>
      <c r="H3336" s="113" t="n"/>
      <c r="I3336" s="113" t="n"/>
      <c r="J3336" s="113" t="n"/>
      <c r="K3336" s="113" t="n"/>
      <c r="L3336" s="113" t="n"/>
      <c r="M3336" s="113" t="n"/>
      <c r="N3336" s="113" t="n"/>
      <c r="O3336" s="113" t="n"/>
      <c r="P3336" s="113" t="n"/>
      <c r="Q3336" s="113" t="n"/>
      <c r="R3336" s="113" t="n"/>
      <c r="S3336" s="113" t="n"/>
      <c r="T3336" s="113" t="n"/>
      <c r="U3336" s="113" t="n"/>
      <c r="V3336" s="113" t="n"/>
      <c r="W3336" s="113" t="n"/>
      <c r="X3336" s="113" t="n"/>
      <c r="Y3336" s="113" t="n"/>
      <c r="Z3336" s="117">
        <f>IF($B3336="",0,IF($S3336="EVET",IF($D3336="GELİR",$O3336,-$O3336),0))</f>
        <v/>
      </c>
      <c r="AA3336" s="117">
        <f>IF($B3336="",0,IF(OR($W3336="EVET",$X3336="EVET",$Y3336="EVET"),0,IF($D3336="GELİR",IF($E3336="SATIŞ İADESİ/İSKONTO",-$O3336,$O3336),-$O3336)))</f>
        <v/>
      </c>
      <c r="AB3336" s="117">
        <f>IF($B3336="","",IF(OR($D3336="",$E3336="",$O3336=""),"EKSİK",IF($O3336&lt;=0,"SIFIR/NEGATİF",IF(COUNTIFS($C$6:$C$5000,$C3336,$O$6:$O$5000,$O3336,$B$6:$B$5000,$B3336)&gt;1,"MÜKERRER","OK"))))</f>
        <v/>
      </c>
    </row>
    <row r="3337" ht="16.5" customHeight="1" s="80">
      <c r="A3337" s="113" t="n"/>
      <c r="B3337" s="113" t="n"/>
      <c r="C3337" s="113" t="n"/>
      <c r="D3337" s="113" t="n"/>
      <c r="E3337" s="113" t="n"/>
      <c r="F3337" s="113" t="n"/>
      <c r="G3337" s="113" t="n"/>
      <c r="H3337" s="113" t="n"/>
      <c r="I3337" s="113" t="n"/>
      <c r="J3337" s="113" t="n"/>
      <c r="K3337" s="113" t="n"/>
      <c r="L3337" s="113" t="n"/>
      <c r="M3337" s="113" t="n"/>
      <c r="N3337" s="113" t="n"/>
      <c r="O3337" s="113" t="n"/>
      <c r="P3337" s="113" t="n"/>
      <c r="Q3337" s="113" t="n"/>
      <c r="R3337" s="113" t="n"/>
      <c r="S3337" s="113" t="n"/>
      <c r="T3337" s="113" t="n"/>
      <c r="U3337" s="113" t="n"/>
      <c r="V3337" s="113" t="n"/>
      <c r="W3337" s="113" t="n"/>
      <c r="X3337" s="113" t="n"/>
      <c r="Y3337" s="113" t="n"/>
      <c r="Z3337" s="117">
        <f>IF($B3337="",0,IF($S3337="EVET",IF($D3337="GELİR",$O3337,-$O3337),0))</f>
        <v/>
      </c>
      <c r="AA3337" s="117">
        <f>IF($B3337="",0,IF(OR($W3337="EVET",$X3337="EVET",$Y3337="EVET"),0,IF($D3337="GELİR",IF($E3337="SATIŞ İADESİ/İSKONTO",-$O3337,$O3337),-$O3337)))</f>
        <v/>
      </c>
      <c r="AB3337" s="117">
        <f>IF($B3337="","",IF(OR($D3337="",$E3337="",$O3337=""),"EKSİK",IF($O3337&lt;=0,"SIFIR/NEGATİF",IF(COUNTIFS($C$6:$C$5000,$C3337,$O$6:$O$5000,$O3337,$B$6:$B$5000,$B3337)&gt;1,"MÜKERRER","OK"))))</f>
        <v/>
      </c>
    </row>
    <row r="3338" ht="16.5" customHeight="1" s="80">
      <c r="A3338" s="113" t="n"/>
      <c r="B3338" s="113" t="n"/>
      <c r="C3338" s="113" t="n"/>
      <c r="D3338" s="113" t="n"/>
      <c r="E3338" s="113" t="n"/>
      <c r="F3338" s="113" t="n"/>
      <c r="G3338" s="113" t="n"/>
      <c r="H3338" s="113" t="n"/>
      <c r="I3338" s="113" t="n"/>
      <c r="J3338" s="113" t="n"/>
      <c r="K3338" s="113" t="n"/>
      <c r="L3338" s="113" t="n"/>
      <c r="M3338" s="113" t="n"/>
      <c r="N3338" s="113" t="n"/>
      <c r="O3338" s="113" t="n"/>
      <c r="P3338" s="113" t="n"/>
      <c r="Q3338" s="113" t="n"/>
      <c r="R3338" s="113" t="n"/>
      <c r="S3338" s="113" t="n"/>
      <c r="T3338" s="113" t="n"/>
      <c r="U3338" s="113" t="n"/>
      <c r="V3338" s="113" t="n"/>
      <c r="W3338" s="113" t="n"/>
      <c r="X3338" s="113" t="n"/>
      <c r="Y3338" s="113" t="n"/>
      <c r="Z3338" s="117">
        <f>IF($B3338="",0,IF($S3338="EVET",IF($D3338="GELİR",$O3338,-$O3338),0))</f>
        <v/>
      </c>
      <c r="AA3338" s="117">
        <f>IF($B3338="",0,IF(OR($W3338="EVET",$X3338="EVET",$Y3338="EVET"),0,IF($D3338="GELİR",IF($E3338="SATIŞ İADESİ/İSKONTO",-$O3338,$O3338),-$O3338)))</f>
        <v/>
      </c>
      <c r="AB3338" s="117">
        <f>IF($B3338="","",IF(OR($D3338="",$E3338="",$O3338=""),"EKSİK",IF($O3338&lt;=0,"SIFIR/NEGATİF",IF(COUNTIFS($C$6:$C$5000,$C3338,$O$6:$O$5000,$O3338,$B$6:$B$5000,$B3338)&gt;1,"MÜKERRER","OK"))))</f>
        <v/>
      </c>
    </row>
    <row r="3339" ht="16.5" customHeight="1" s="80">
      <c r="A3339" s="113" t="n"/>
      <c r="B3339" s="113" t="n"/>
      <c r="C3339" s="113" t="n"/>
      <c r="D3339" s="113" t="n"/>
      <c r="E3339" s="113" t="n"/>
      <c r="F3339" s="113" t="n"/>
      <c r="G3339" s="113" t="n"/>
      <c r="H3339" s="113" t="n"/>
      <c r="I3339" s="113" t="n"/>
      <c r="J3339" s="113" t="n"/>
      <c r="K3339" s="113" t="n"/>
      <c r="L3339" s="113" t="n"/>
      <c r="M3339" s="113" t="n"/>
      <c r="N3339" s="113" t="n"/>
      <c r="O3339" s="113" t="n"/>
      <c r="P3339" s="113" t="n"/>
      <c r="Q3339" s="113" t="n"/>
      <c r="R3339" s="113" t="n"/>
      <c r="S3339" s="113" t="n"/>
      <c r="T3339" s="113" t="n"/>
      <c r="U3339" s="113" t="n"/>
      <c r="V3339" s="113" t="n"/>
      <c r="W3339" s="113" t="n"/>
      <c r="X3339" s="113" t="n"/>
      <c r="Y3339" s="113" t="n"/>
      <c r="Z3339" s="117">
        <f>IF($B3339="",0,IF($S3339="EVET",IF($D3339="GELİR",$O3339,-$O3339),0))</f>
        <v/>
      </c>
      <c r="AA3339" s="117">
        <f>IF($B3339="",0,IF(OR($W3339="EVET",$X3339="EVET",$Y3339="EVET"),0,IF($D3339="GELİR",IF($E3339="SATIŞ İADESİ/İSKONTO",-$O3339,$O3339),-$O3339)))</f>
        <v/>
      </c>
      <c r="AB3339" s="117">
        <f>IF($B3339="","",IF(OR($D3339="",$E3339="",$O3339=""),"EKSİK",IF($O3339&lt;=0,"SIFIR/NEGATİF",IF(COUNTIFS($C$6:$C$5000,$C3339,$O$6:$O$5000,$O3339,$B$6:$B$5000,$B3339)&gt;1,"MÜKERRER","OK"))))</f>
        <v/>
      </c>
    </row>
    <row r="3340" ht="16.5" customHeight="1" s="80">
      <c r="A3340" s="113" t="n"/>
      <c r="B3340" s="113" t="n"/>
      <c r="C3340" s="113" t="n"/>
      <c r="D3340" s="113" t="n"/>
      <c r="E3340" s="113" t="n"/>
      <c r="F3340" s="113" t="n"/>
      <c r="G3340" s="113" t="n"/>
      <c r="H3340" s="113" t="n"/>
      <c r="I3340" s="113" t="n"/>
      <c r="J3340" s="113" t="n"/>
      <c r="K3340" s="113" t="n"/>
      <c r="L3340" s="113" t="n"/>
      <c r="M3340" s="113" t="n"/>
      <c r="N3340" s="113" t="n"/>
      <c r="O3340" s="113" t="n"/>
      <c r="P3340" s="113" t="n"/>
      <c r="Q3340" s="113" t="n"/>
      <c r="R3340" s="113" t="n"/>
      <c r="S3340" s="113" t="n"/>
      <c r="T3340" s="113" t="n"/>
      <c r="U3340" s="113" t="n"/>
      <c r="V3340" s="113" t="n"/>
      <c r="W3340" s="113" t="n"/>
      <c r="X3340" s="113" t="n"/>
      <c r="Y3340" s="113" t="n"/>
      <c r="Z3340" s="117">
        <f>IF($B3340="",0,IF($S3340="EVET",IF($D3340="GELİR",$O3340,-$O3340),0))</f>
        <v/>
      </c>
      <c r="AA3340" s="117">
        <f>IF($B3340="",0,IF(OR($W3340="EVET",$X3340="EVET",$Y3340="EVET"),0,IF($D3340="GELİR",IF($E3340="SATIŞ İADESİ/İSKONTO",-$O3340,$O3340),-$O3340)))</f>
        <v/>
      </c>
      <c r="AB3340" s="117">
        <f>IF($B3340="","",IF(OR($D3340="",$E3340="",$O3340=""),"EKSİK",IF($O3340&lt;=0,"SIFIR/NEGATİF",IF(COUNTIFS($C$6:$C$5000,$C3340,$O$6:$O$5000,$O3340,$B$6:$B$5000,$B3340)&gt;1,"MÜKERRER","OK"))))</f>
        <v/>
      </c>
    </row>
    <row r="3341" ht="16.5" customHeight="1" s="80">
      <c r="A3341" s="113" t="n"/>
      <c r="B3341" s="113" t="n"/>
      <c r="C3341" s="113" t="n"/>
      <c r="D3341" s="113" t="n"/>
      <c r="E3341" s="113" t="n"/>
      <c r="F3341" s="113" t="n"/>
      <c r="G3341" s="113" t="n"/>
      <c r="H3341" s="113" t="n"/>
      <c r="I3341" s="113" t="n"/>
      <c r="J3341" s="113" t="n"/>
      <c r="K3341" s="113" t="n"/>
      <c r="L3341" s="113" t="n"/>
      <c r="M3341" s="113" t="n"/>
      <c r="N3341" s="113" t="n"/>
      <c r="O3341" s="113" t="n"/>
      <c r="P3341" s="113" t="n"/>
      <c r="Q3341" s="113" t="n"/>
      <c r="R3341" s="113" t="n"/>
      <c r="S3341" s="113" t="n"/>
      <c r="T3341" s="113" t="n"/>
      <c r="U3341" s="113" t="n"/>
      <c r="V3341" s="113" t="n"/>
      <c r="W3341" s="113" t="n"/>
      <c r="X3341" s="113" t="n"/>
      <c r="Y3341" s="113" t="n"/>
      <c r="Z3341" s="117">
        <f>IF($B3341="",0,IF($S3341="EVET",IF($D3341="GELİR",$O3341,-$O3341),0))</f>
        <v/>
      </c>
      <c r="AA3341" s="117">
        <f>IF($B3341="",0,IF(OR($W3341="EVET",$X3341="EVET",$Y3341="EVET"),0,IF($D3341="GELİR",IF($E3341="SATIŞ İADESİ/İSKONTO",-$O3341,$O3341),-$O3341)))</f>
        <v/>
      </c>
      <c r="AB3341" s="117">
        <f>IF($B3341="","",IF(OR($D3341="",$E3341="",$O3341=""),"EKSİK",IF($O3341&lt;=0,"SIFIR/NEGATİF",IF(COUNTIFS($C$6:$C$5000,$C3341,$O$6:$O$5000,$O3341,$B$6:$B$5000,$B3341)&gt;1,"MÜKERRER","OK"))))</f>
        <v/>
      </c>
    </row>
    <row r="3342" ht="16.5" customHeight="1" s="80">
      <c r="A3342" s="113" t="n"/>
      <c r="B3342" s="113" t="n"/>
      <c r="C3342" s="113" t="n"/>
      <c r="D3342" s="113" t="n"/>
      <c r="E3342" s="113" t="n"/>
      <c r="F3342" s="113" t="n"/>
      <c r="G3342" s="113" t="n"/>
      <c r="H3342" s="113" t="n"/>
      <c r="I3342" s="113" t="n"/>
      <c r="J3342" s="113" t="n"/>
      <c r="K3342" s="113" t="n"/>
      <c r="L3342" s="113" t="n"/>
      <c r="M3342" s="113" t="n"/>
      <c r="N3342" s="113" t="n"/>
      <c r="O3342" s="113" t="n"/>
      <c r="P3342" s="113" t="n"/>
      <c r="Q3342" s="113" t="n"/>
      <c r="R3342" s="113" t="n"/>
      <c r="S3342" s="113" t="n"/>
      <c r="T3342" s="113" t="n"/>
      <c r="U3342" s="113" t="n"/>
      <c r="V3342" s="113" t="n"/>
      <c r="W3342" s="113" t="n"/>
      <c r="X3342" s="113" t="n"/>
      <c r="Y3342" s="113" t="n"/>
      <c r="Z3342" s="117">
        <f>IF($B3342="",0,IF($S3342="EVET",IF($D3342="GELİR",$O3342,-$O3342),0))</f>
        <v/>
      </c>
      <c r="AA3342" s="117">
        <f>IF($B3342="",0,IF(OR($W3342="EVET",$X3342="EVET",$Y3342="EVET"),0,IF($D3342="GELİR",IF($E3342="SATIŞ İADESİ/İSKONTO",-$O3342,$O3342),-$O3342)))</f>
        <v/>
      </c>
      <c r="AB3342" s="117">
        <f>IF($B3342="","",IF(OR($D3342="",$E3342="",$O3342=""),"EKSİK",IF($O3342&lt;=0,"SIFIR/NEGATİF",IF(COUNTIFS($C$6:$C$5000,$C3342,$O$6:$O$5000,$O3342,$B$6:$B$5000,$B3342)&gt;1,"MÜKERRER","OK"))))</f>
        <v/>
      </c>
    </row>
    <row r="3343" ht="16.5" customHeight="1" s="80">
      <c r="A3343" s="113" t="n"/>
      <c r="B3343" s="113" t="n"/>
      <c r="C3343" s="113" t="n"/>
      <c r="D3343" s="113" t="n"/>
      <c r="E3343" s="113" t="n"/>
      <c r="F3343" s="113" t="n"/>
      <c r="G3343" s="113" t="n"/>
      <c r="H3343" s="113" t="n"/>
      <c r="I3343" s="113" t="n"/>
      <c r="J3343" s="113" t="n"/>
      <c r="K3343" s="113" t="n"/>
      <c r="L3343" s="113" t="n"/>
      <c r="M3343" s="113" t="n"/>
      <c r="N3343" s="113" t="n"/>
      <c r="O3343" s="113" t="n"/>
      <c r="P3343" s="113" t="n"/>
      <c r="Q3343" s="113" t="n"/>
      <c r="R3343" s="113" t="n"/>
      <c r="S3343" s="113" t="n"/>
      <c r="T3343" s="113" t="n"/>
      <c r="U3343" s="113" t="n"/>
      <c r="V3343" s="113" t="n"/>
      <c r="W3343" s="113" t="n"/>
      <c r="X3343" s="113" t="n"/>
      <c r="Y3343" s="113" t="n"/>
      <c r="Z3343" s="117">
        <f>IF($B3343="",0,IF($S3343="EVET",IF($D3343="GELİR",$O3343,-$O3343),0))</f>
        <v/>
      </c>
      <c r="AA3343" s="117">
        <f>IF($B3343="",0,IF(OR($W3343="EVET",$X3343="EVET",$Y3343="EVET"),0,IF($D3343="GELİR",IF($E3343="SATIŞ İADESİ/İSKONTO",-$O3343,$O3343),-$O3343)))</f>
        <v/>
      </c>
      <c r="AB3343" s="117">
        <f>IF($B3343="","",IF(OR($D3343="",$E3343="",$O3343=""),"EKSİK",IF($O3343&lt;=0,"SIFIR/NEGATİF",IF(COUNTIFS($C$6:$C$5000,$C3343,$O$6:$O$5000,$O3343,$B$6:$B$5000,$B3343)&gt;1,"MÜKERRER","OK"))))</f>
        <v/>
      </c>
    </row>
    <row r="3344" ht="16.5" customHeight="1" s="80">
      <c r="A3344" s="113" t="n"/>
      <c r="B3344" s="113" t="n"/>
      <c r="C3344" s="113" t="n"/>
      <c r="D3344" s="113" t="n"/>
      <c r="E3344" s="113" t="n"/>
      <c r="F3344" s="113" t="n"/>
      <c r="G3344" s="113" t="n"/>
      <c r="H3344" s="113" t="n"/>
      <c r="I3344" s="113" t="n"/>
      <c r="J3344" s="113" t="n"/>
      <c r="K3344" s="113" t="n"/>
      <c r="L3344" s="113" t="n"/>
      <c r="M3344" s="113" t="n"/>
      <c r="N3344" s="113" t="n"/>
      <c r="O3344" s="113" t="n"/>
      <c r="P3344" s="113" t="n"/>
      <c r="Q3344" s="113" t="n"/>
      <c r="R3344" s="113" t="n"/>
      <c r="S3344" s="113" t="n"/>
      <c r="T3344" s="113" t="n"/>
      <c r="U3344" s="113" t="n"/>
      <c r="V3344" s="113" t="n"/>
      <c r="W3344" s="113" t="n"/>
      <c r="X3344" s="113" t="n"/>
      <c r="Y3344" s="113" t="n"/>
      <c r="Z3344" s="117">
        <f>IF($B3344="",0,IF($S3344="EVET",IF($D3344="GELİR",$O3344,-$O3344),0))</f>
        <v/>
      </c>
      <c r="AA3344" s="117">
        <f>IF($B3344="",0,IF(OR($W3344="EVET",$X3344="EVET",$Y3344="EVET"),0,IF($D3344="GELİR",IF($E3344="SATIŞ İADESİ/İSKONTO",-$O3344,$O3344),-$O3344)))</f>
        <v/>
      </c>
      <c r="AB3344" s="117">
        <f>IF($B3344="","",IF(OR($D3344="",$E3344="",$O3344=""),"EKSİK",IF($O3344&lt;=0,"SIFIR/NEGATİF",IF(COUNTIFS($C$6:$C$5000,$C3344,$O$6:$O$5000,$O3344,$B$6:$B$5000,$B3344)&gt;1,"MÜKERRER","OK"))))</f>
        <v/>
      </c>
    </row>
    <row r="3345" ht="16.5" customHeight="1" s="80">
      <c r="A3345" s="113" t="n"/>
      <c r="B3345" s="113" t="n"/>
      <c r="C3345" s="113" t="n"/>
      <c r="D3345" s="113" t="n"/>
      <c r="E3345" s="113" t="n"/>
      <c r="F3345" s="113" t="n"/>
      <c r="G3345" s="113" t="n"/>
      <c r="H3345" s="113" t="n"/>
      <c r="I3345" s="113" t="n"/>
      <c r="J3345" s="113" t="n"/>
      <c r="K3345" s="113" t="n"/>
      <c r="L3345" s="113" t="n"/>
      <c r="M3345" s="113" t="n"/>
      <c r="N3345" s="113" t="n"/>
      <c r="O3345" s="113" t="n"/>
      <c r="P3345" s="113" t="n"/>
      <c r="Q3345" s="113" t="n"/>
      <c r="R3345" s="113" t="n"/>
      <c r="S3345" s="113" t="n"/>
      <c r="T3345" s="113" t="n"/>
      <c r="U3345" s="113" t="n"/>
      <c r="V3345" s="113" t="n"/>
      <c r="W3345" s="113" t="n"/>
      <c r="X3345" s="113" t="n"/>
      <c r="Y3345" s="113" t="n"/>
      <c r="Z3345" s="117">
        <f>IF($B3345="",0,IF($S3345="EVET",IF($D3345="GELİR",$O3345,-$O3345),0))</f>
        <v/>
      </c>
      <c r="AA3345" s="117">
        <f>IF($B3345="",0,IF(OR($W3345="EVET",$X3345="EVET",$Y3345="EVET"),0,IF($D3345="GELİR",IF($E3345="SATIŞ İADESİ/İSKONTO",-$O3345,$O3345),-$O3345)))</f>
        <v/>
      </c>
      <c r="AB3345" s="117">
        <f>IF($B3345="","",IF(OR($D3345="",$E3345="",$O3345=""),"EKSİK",IF($O3345&lt;=0,"SIFIR/NEGATİF",IF(COUNTIFS($C$6:$C$5000,$C3345,$O$6:$O$5000,$O3345,$B$6:$B$5000,$B3345)&gt;1,"MÜKERRER","OK"))))</f>
        <v/>
      </c>
    </row>
    <row r="3346" ht="16.5" customHeight="1" s="80">
      <c r="A3346" s="113" t="n"/>
      <c r="B3346" s="113" t="n"/>
      <c r="C3346" s="113" t="n"/>
      <c r="D3346" s="113" t="n"/>
      <c r="E3346" s="113" t="n"/>
      <c r="F3346" s="113" t="n"/>
      <c r="G3346" s="113" t="n"/>
      <c r="H3346" s="113" t="n"/>
      <c r="I3346" s="113" t="n"/>
      <c r="J3346" s="113" t="n"/>
      <c r="K3346" s="113" t="n"/>
      <c r="L3346" s="113" t="n"/>
      <c r="M3346" s="113" t="n"/>
      <c r="N3346" s="113" t="n"/>
      <c r="O3346" s="113" t="n"/>
      <c r="P3346" s="113" t="n"/>
      <c r="Q3346" s="113" t="n"/>
      <c r="R3346" s="113" t="n"/>
      <c r="S3346" s="113" t="n"/>
      <c r="T3346" s="113" t="n"/>
      <c r="U3346" s="113" t="n"/>
      <c r="V3346" s="113" t="n"/>
      <c r="W3346" s="113" t="n"/>
      <c r="X3346" s="113" t="n"/>
      <c r="Y3346" s="113" t="n"/>
      <c r="Z3346" s="117">
        <f>IF($B3346="",0,IF($S3346="EVET",IF($D3346="GELİR",$O3346,-$O3346),0))</f>
        <v/>
      </c>
      <c r="AA3346" s="117">
        <f>IF($B3346="",0,IF(OR($W3346="EVET",$X3346="EVET",$Y3346="EVET"),0,IF($D3346="GELİR",IF($E3346="SATIŞ İADESİ/İSKONTO",-$O3346,$O3346),-$O3346)))</f>
        <v/>
      </c>
      <c r="AB3346" s="117">
        <f>IF($B3346="","",IF(OR($D3346="",$E3346="",$O3346=""),"EKSİK",IF($O3346&lt;=0,"SIFIR/NEGATİF",IF(COUNTIFS($C$6:$C$5000,$C3346,$O$6:$O$5000,$O3346,$B$6:$B$5000,$B3346)&gt;1,"MÜKERRER","OK"))))</f>
        <v/>
      </c>
    </row>
    <row r="3347" ht="16.5" customHeight="1" s="80">
      <c r="A3347" s="113" t="n"/>
      <c r="B3347" s="113" t="n"/>
      <c r="C3347" s="113" t="n"/>
      <c r="D3347" s="113" t="n"/>
      <c r="E3347" s="113" t="n"/>
      <c r="F3347" s="113" t="n"/>
      <c r="G3347" s="113" t="n"/>
      <c r="H3347" s="113" t="n"/>
      <c r="I3347" s="113" t="n"/>
      <c r="J3347" s="113" t="n"/>
      <c r="K3347" s="113" t="n"/>
      <c r="L3347" s="113" t="n"/>
      <c r="M3347" s="113" t="n"/>
      <c r="N3347" s="113" t="n"/>
      <c r="O3347" s="113" t="n"/>
      <c r="P3347" s="113" t="n"/>
      <c r="Q3347" s="113" t="n"/>
      <c r="R3347" s="113" t="n"/>
      <c r="S3347" s="113" t="n"/>
      <c r="T3347" s="113" t="n"/>
      <c r="U3347" s="113" t="n"/>
      <c r="V3347" s="113" t="n"/>
      <c r="W3347" s="113" t="n"/>
      <c r="X3347" s="113" t="n"/>
      <c r="Y3347" s="113" t="n"/>
      <c r="Z3347" s="117">
        <f>IF($B3347="",0,IF($S3347="EVET",IF($D3347="GELİR",$O3347,-$O3347),0))</f>
        <v/>
      </c>
      <c r="AA3347" s="117">
        <f>IF($B3347="",0,IF(OR($W3347="EVET",$X3347="EVET",$Y3347="EVET"),0,IF($D3347="GELİR",IF($E3347="SATIŞ İADESİ/İSKONTO",-$O3347,$O3347),-$O3347)))</f>
        <v/>
      </c>
      <c r="AB3347" s="117">
        <f>IF($B3347="","",IF(OR($D3347="",$E3347="",$O3347=""),"EKSİK",IF($O3347&lt;=0,"SIFIR/NEGATİF",IF(COUNTIFS($C$6:$C$5000,$C3347,$O$6:$O$5000,$O3347,$B$6:$B$5000,$B3347)&gt;1,"MÜKERRER","OK"))))</f>
        <v/>
      </c>
    </row>
    <row r="3348" ht="16.5" customHeight="1" s="80">
      <c r="A3348" s="113" t="n"/>
      <c r="B3348" s="113" t="n"/>
      <c r="C3348" s="113" t="n"/>
      <c r="D3348" s="113" t="n"/>
      <c r="E3348" s="113" t="n"/>
      <c r="F3348" s="113" t="n"/>
      <c r="G3348" s="113" t="n"/>
      <c r="H3348" s="113" t="n"/>
      <c r="I3348" s="113" t="n"/>
      <c r="J3348" s="113" t="n"/>
      <c r="K3348" s="113" t="n"/>
      <c r="L3348" s="113" t="n"/>
      <c r="M3348" s="113" t="n"/>
      <c r="N3348" s="113" t="n"/>
      <c r="O3348" s="113" t="n"/>
      <c r="P3348" s="113" t="n"/>
      <c r="Q3348" s="113" t="n"/>
      <c r="R3348" s="113" t="n"/>
      <c r="S3348" s="113" t="n"/>
      <c r="T3348" s="113" t="n"/>
      <c r="U3348" s="113" t="n"/>
      <c r="V3348" s="113" t="n"/>
      <c r="W3348" s="113" t="n"/>
      <c r="X3348" s="113" t="n"/>
      <c r="Y3348" s="113" t="n"/>
      <c r="Z3348" s="117">
        <f>IF($B3348="",0,IF($S3348="EVET",IF($D3348="GELİR",$O3348,-$O3348),0))</f>
        <v/>
      </c>
      <c r="AA3348" s="117">
        <f>IF($B3348="",0,IF(OR($W3348="EVET",$X3348="EVET",$Y3348="EVET"),0,IF($D3348="GELİR",IF($E3348="SATIŞ İADESİ/İSKONTO",-$O3348,$O3348),-$O3348)))</f>
        <v/>
      </c>
      <c r="AB3348" s="117">
        <f>IF($B3348="","",IF(OR($D3348="",$E3348="",$O3348=""),"EKSİK",IF($O3348&lt;=0,"SIFIR/NEGATİF",IF(COUNTIFS($C$6:$C$5000,$C3348,$O$6:$O$5000,$O3348,$B$6:$B$5000,$B3348)&gt;1,"MÜKERRER","OK"))))</f>
        <v/>
      </c>
    </row>
    <row r="3349" ht="16.5" customHeight="1" s="80">
      <c r="A3349" s="113" t="n"/>
      <c r="B3349" s="113" t="n"/>
      <c r="C3349" s="113" t="n"/>
      <c r="D3349" s="113" t="n"/>
      <c r="E3349" s="113" t="n"/>
      <c r="F3349" s="113" t="n"/>
      <c r="G3349" s="113" t="n"/>
      <c r="H3349" s="113" t="n"/>
      <c r="I3349" s="113" t="n"/>
      <c r="J3349" s="113" t="n"/>
      <c r="K3349" s="113" t="n"/>
      <c r="L3349" s="113" t="n"/>
      <c r="M3349" s="113" t="n"/>
      <c r="N3349" s="113" t="n"/>
      <c r="O3349" s="113" t="n"/>
      <c r="P3349" s="113" t="n"/>
      <c r="Q3349" s="113" t="n"/>
      <c r="R3349" s="113" t="n"/>
      <c r="S3349" s="113" t="n"/>
      <c r="T3349" s="113" t="n"/>
      <c r="U3349" s="113" t="n"/>
      <c r="V3349" s="113" t="n"/>
      <c r="W3349" s="113" t="n"/>
      <c r="X3349" s="113" t="n"/>
      <c r="Y3349" s="113" t="n"/>
      <c r="Z3349" s="117">
        <f>IF($B3349="",0,IF($S3349="EVET",IF($D3349="GELİR",$O3349,-$O3349),0))</f>
        <v/>
      </c>
      <c r="AA3349" s="117">
        <f>IF($B3349="",0,IF(OR($W3349="EVET",$X3349="EVET",$Y3349="EVET"),0,IF($D3349="GELİR",IF($E3349="SATIŞ İADESİ/İSKONTO",-$O3349,$O3349),-$O3349)))</f>
        <v/>
      </c>
      <c r="AB3349" s="117">
        <f>IF($B3349="","",IF(OR($D3349="",$E3349="",$O3349=""),"EKSİK",IF($O3349&lt;=0,"SIFIR/NEGATİF",IF(COUNTIFS($C$6:$C$5000,$C3349,$O$6:$O$5000,$O3349,$B$6:$B$5000,$B3349)&gt;1,"MÜKERRER","OK"))))</f>
        <v/>
      </c>
    </row>
    <row r="3350" ht="16.5" customHeight="1" s="80">
      <c r="A3350" s="113" t="n"/>
      <c r="B3350" s="113" t="n"/>
      <c r="C3350" s="113" t="n"/>
      <c r="D3350" s="113" t="n"/>
      <c r="E3350" s="113" t="n"/>
      <c r="F3350" s="113" t="n"/>
      <c r="G3350" s="113" t="n"/>
      <c r="H3350" s="113" t="n"/>
      <c r="I3350" s="113" t="n"/>
      <c r="J3350" s="113" t="n"/>
      <c r="K3350" s="113" t="n"/>
      <c r="L3350" s="113" t="n"/>
      <c r="M3350" s="113" t="n"/>
      <c r="N3350" s="113" t="n"/>
      <c r="O3350" s="113" t="n"/>
      <c r="P3350" s="113" t="n"/>
      <c r="Q3350" s="113" t="n"/>
      <c r="R3350" s="113" t="n"/>
      <c r="S3350" s="113" t="n"/>
      <c r="T3350" s="113" t="n"/>
      <c r="U3350" s="113" t="n"/>
      <c r="V3350" s="113" t="n"/>
      <c r="W3350" s="113" t="n"/>
      <c r="X3350" s="113" t="n"/>
      <c r="Y3350" s="113" t="n"/>
      <c r="Z3350" s="117">
        <f>IF($B3350="",0,IF($S3350="EVET",IF($D3350="GELİR",$O3350,-$O3350),0))</f>
        <v/>
      </c>
      <c r="AA3350" s="117">
        <f>IF($B3350="",0,IF(OR($W3350="EVET",$X3350="EVET",$Y3350="EVET"),0,IF($D3350="GELİR",IF($E3350="SATIŞ İADESİ/İSKONTO",-$O3350,$O3350),-$O3350)))</f>
        <v/>
      </c>
      <c r="AB3350" s="117">
        <f>IF($B3350="","",IF(OR($D3350="",$E3350="",$O3350=""),"EKSİK",IF($O3350&lt;=0,"SIFIR/NEGATİF",IF(COUNTIFS($C$6:$C$5000,$C3350,$O$6:$O$5000,$O3350,$B$6:$B$5000,$B3350)&gt;1,"MÜKERRER","OK"))))</f>
        <v/>
      </c>
    </row>
    <row r="3351" ht="16.5" customHeight="1" s="80">
      <c r="A3351" s="113" t="n"/>
      <c r="B3351" s="113" t="n"/>
      <c r="C3351" s="113" t="n"/>
      <c r="D3351" s="113" t="n"/>
      <c r="E3351" s="113" t="n"/>
      <c r="F3351" s="113" t="n"/>
      <c r="G3351" s="113" t="n"/>
      <c r="H3351" s="113" t="n"/>
      <c r="I3351" s="113" t="n"/>
      <c r="J3351" s="113" t="n"/>
      <c r="K3351" s="113" t="n"/>
      <c r="L3351" s="113" t="n"/>
      <c r="M3351" s="113" t="n"/>
      <c r="N3351" s="113" t="n"/>
      <c r="O3351" s="113" t="n"/>
      <c r="P3351" s="113" t="n"/>
      <c r="Q3351" s="113" t="n"/>
      <c r="R3351" s="113" t="n"/>
      <c r="S3351" s="113" t="n"/>
      <c r="T3351" s="113" t="n"/>
      <c r="U3351" s="113" t="n"/>
      <c r="V3351" s="113" t="n"/>
      <c r="W3351" s="113" t="n"/>
      <c r="X3351" s="113" t="n"/>
      <c r="Y3351" s="113" t="n"/>
      <c r="Z3351" s="117">
        <f>IF($B3351="",0,IF($S3351="EVET",IF($D3351="GELİR",$O3351,-$O3351),0))</f>
        <v/>
      </c>
      <c r="AA3351" s="117">
        <f>IF($B3351="",0,IF(OR($W3351="EVET",$X3351="EVET",$Y3351="EVET"),0,IF($D3351="GELİR",IF($E3351="SATIŞ İADESİ/İSKONTO",-$O3351,$O3351),-$O3351)))</f>
        <v/>
      </c>
      <c r="AB3351" s="117">
        <f>IF($B3351="","",IF(OR($D3351="",$E3351="",$O3351=""),"EKSİK",IF($O3351&lt;=0,"SIFIR/NEGATİF",IF(COUNTIFS($C$6:$C$5000,$C3351,$O$6:$O$5000,$O3351,$B$6:$B$5000,$B3351)&gt;1,"MÜKERRER","OK"))))</f>
        <v/>
      </c>
    </row>
    <row r="3352" ht="16.5" customHeight="1" s="80">
      <c r="A3352" s="113" t="n"/>
      <c r="B3352" s="113" t="n"/>
      <c r="C3352" s="113" t="n"/>
      <c r="D3352" s="113" t="n"/>
      <c r="E3352" s="113" t="n"/>
      <c r="F3352" s="113" t="n"/>
      <c r="G3352" s="113" t="n"/>
      <c r="H3352" s="113" t="n"/>
      <c r="I3352" s="113" t="n"/>
      <c r="J3352" s="113" t="n"/>
      <c r="K3352" s="113" t="n"/>
      <c r="L3352" s="113" t="n"/>
      <c r="M3352" s="113" t="n"/>
      <c r="N3352" s="113" t="n"/>
      <c r="O3352" s="113" t="n"/>
      <c r="P3352" s="113" t="n"/>
      <c r="Q3352" s="113" t="n"/>
      <c r="R3352" s="113" t="n"/>
      <c r="S3352" s="113" t="n"/>
      <c r="T3352" s="113" t="n"/>
      <c r="U3352" s="113" t="n"/>
      <c r="V3352" s="113" t="n"/>
      <c r="W3352" s="113" t="n"/>
      <c r="X3352" s="113" t="n"/>
      <c r="Y3352" s="113" t="n"/>
      <c r="Z3352" s="117">
        <f>IF($B3352="",0,IF($S3352="EVET",IF($D3352="GELİR",$O3352,-$O3352),0))</f>
        <v/>
      </c>
      <c r="AA3352" s="117">
        <f>IF($B3352="",0,IF(OR($W3352="EVET",$X3352="EVET",$Y3352="EVET"),0,IF($D3352="GELİR",IF($E3352="SATIŞ İADESİ/İSKONTO",-$O3352,$O3352),-$O3352)))</f>
        <v/>
      </c>
      <c r="AB3352" s="117">
        <f>IF($B3352="","",IF(OR($D3352="",$E3352="",$O3352=""),"EKSİK",IF($O3352&lt;=0,"SIFIR/NEGATİF",IF(COUNTIFS($C$6:$C$5000,$C3352,$O$6:$O$5000,$O3352,$B$6:$B$5000,$B3352)&gt;1,"MÜKERRER","OK"))))</f>
        <v/>
      </c>
    </row>
    <row r="3353" ht="16.5" customHeight="1" s="80">
      <c r="A3353" s="113" t="n"/>
      <c r="B3353" s="113" t="n"/>
      <c r="C3353" s="113" t="n"/>
      <c r="D3353" s="113" t="n"/>
      <c r="E3353" s="113" t="n"/>
      <c r="F3353" s="113" t="n"/>
      <c r="G3353" s="113" t="n"/>
      <c r="H3353" s="113" t="n"/>
      <c r="I3353" s="113" t="n"/>
      <c r="J3353" s="113" t="n"/>
      <c r="K3353" s="113" t="n"/>
      <c r="L3353" s="113" t="n"/>
      <c r="M3353" s="113" t="n"/>
      <c r="N3353" s="113" t="n"/>
      <c r="O3353" s="113" t="n"/>
      <c r="P3353" s="113" t="n"/>
      <c r="Q3353" s="113" t="n"/>
      <c r="R3353" s="113" t="n"/>
      <c r="S3353" s="113" t="n"/>
      <c r="T3353" s="113" t="n"/>
      <c r="U3353" s="113" t="n"/>
      <c r="V3353" s="113" t="n"/>
      <c r="W3353" s="113" t="n"/>
      <c r="X3353" s="113" t="n"/>
      <c r="Y3353" s="113" t="n"/>
      <c r="Z3353" s="117">
        <f>IF($B3353="",0,IF($S3353="EVET",IF($D3353="GELİR",$O3353,-$O3353),0))</f>
        <v/>
      </c>
      <c r="AA3353" s="117">
        <f>IF($B3353="",0,IF(OR($W3353="EVET",$X3353="EVET",$Y3353="EVET"),0,IF($D3353="GELİR",IF($E3353="SATIŞ İADESİ/İSKONTO",-$O3353,$O3353),-$O3353)))</f>
        <v/>
      </c>
      <c r="AB3353" s="117">
        <f>IF($B3353="","",IF(OR($D3353="",$E3353="",$O3353=""),"EKSİK",IF($O3353&lt;=0,"SIFIR/NEGATİF",IF(COUNTIFS($C$6:$C$5000,$C3353,$O$6:$O$5000,$O3353,$B$6:$B$5000,$B3353)&gt;1,"MÜKERRER","OK"))))</f>
        <v/>
      </c>
    </row>
    <row r="3354" ht="16.5" customHeight="1" s="80">
      <c r="A3354" s="113" t="n"/>
      <c r="B3354" s="113" t="n"/>
      <c r="C3354" s="113" t="n"/>
      <c r="D3354" s="113" t="n"/>
      <c r="E3354" s="113" t="n"/>
      <c r="F3354" s="113" t="n"/>
      <c r="G3354" s="113" t="n"/>
      <c r="H3354" s="113" t="n"/>
      <c r="I3354" s="113" t="n"/>
      <c r="J3354" s="113" t="n"/>
      <c r="K3354" s="113" t="n"/>
      <c r="L3354" s="113" t="n"/>
      <c r="M3354" s="113" t="n"/>
      <c r="N3354" s="113" t="n"/>
      <c r="O3354" s="113" t="n"/>
      <c r="P3354" s="113" t="n"/>
      <c r="Q3354" s="113" t="n"/>
      <c r="R3354" s="113" t="n"/>
      <c r="S3354" s="113" t="n"/>
      <c r="T3354" s="113" t="n"/>
      <c r="U3354" s="113" t="n"/>
      <c r="V3354" s="113" t="n"/>
      <c r="W3354" s="113" t="n"/>
      <c r="X3354" s="113" t="n"/>
      <c r="Y3354" s="113" t="n"/>
      <c r="Z3354" s="117">
        <f>IF($B3354="",0,IF($S3354="EVET",IF($D3354="GELİR",$O3354,-$O3354),0))</f>
        <v/>
      </c>
      <c r="AA3354" s="117">
        <f>IF($B3354="",0,IF(OR($W3354="EVET",$X3354="EVET",$Y3354="EVET"),0,IF($D3354="GELİR",IF($E3354="SATIŞ İADESİ/İSKONTO",-$O3354,$O3354),-$O3354)))</f>
        <v/>
      </c>
      <c r="AB3354" s="117">
        <f>IF($B3354="","",IF(OR($D3354="",$E3354="",$O3354=""),"EKSİK",IF($O3354&lt;=0,"SIFIR/NEGATİF",IF(COUNTIFS($C$6:$C$5000,$C3354,$O$6:$O$5000,$O3354,$B$6:$B$5000,$B3354)&gt;1,"MÜKERRER","OK"))))</f>
        <v/>
      </c>
    </row>
    <row r="3355" ht="16.5" customHeight="1" s="80">
      <c r="A3355" s="113" t="n"/>
      <c r="B3355" s="113" t="n"/>
      <c r="C3355" s="113" t="n"/>
      <c r="D3355" s="113" t="n"/>
      <c r="E3355" s="113" t="n"/>
      <c r="F3355" s="113" t="n"/>
      <c r="G3355" s="113" t="n"/>
      <c r="H3355" s="113" t="n"/>
      <c r="I3355" s="113" t="n"/>
      <c r="J3355" s="113" t="n"/>
      <c r="K3355" s="113" t="n"/>
      <c r="L3355" s="113" t="n"/>
      <c r="M3355" s="113" t="n"/>
      <c r="N3355" s="113" t="n"/>
      <c r="O3355" s="113" t="n"/>
      <c r="P3355" s="113" t="n"/>
      <c r="Q3355" s="113" t="n"/>
      <c r="R3355" s="113" t="n"/>
      <c r="S3355" s="113" t="n"/>
      <c r="T3355" s="113" t="n"/>
      <c r="U3355" s="113" t="n"/>
      <c r="V3355" s="113" t="n"/>
      <c r="W3355" s="113" t="n"/>
      <c r="X3355" s="113" t="n"/>
      <c r="Y3355" s="113" t="n"/>
      <c r="Z3355" s="117">
        <f>IF($B3355="",0,IF($S3355="EVET",IF($D3355="GELİR",$O3355,-$O3355),0))</f>
        <v/>
      </c>
      <c r="AA3355" s="117">
        <f>IF($B3355="",0,IF(OR($W3355="EVET",$X3355="EVET",$Y3355="EVET"),0,IF($D3355="GELİR",IF($E3355="SATIŞ İADESİ/İSKONTO",-$O3355,$O3355),-$O3355)))</f>
        <v/>
      </c>
      <c r="AB3355" s="117">
        <f>IF($B3355="","",IF(OR($D3355="",$E3355="",$O3355=""),"EKSİK",IF($O3355&lt;=0,"SIFIR/NEGATİF",IF(COUNTIFS($C$6:$C$5000,$C3355,$O$6:$O$5000,$O3355,$B$6:$B$5000,$B3355)&gt;1,"MÜKERRER","OK"))))</f>
        <v/>
      </c>
    </row>
    <row r="3356" ht="16.5" customHeight="1" s="80">
      <c r="A3356" s="113" t="n"/>
      <c r="B3356" s="113" t="n"/>
      <c r="C3356" s="113" t="n"/>
      <c r="D3356" s="113" t="n"/>
      <c r="E3356" s="113" t="n"/>
      <c r="F3356" s="113" t="n"/>
      <c r="G3356" s="113" t="n"/>
      <c r="H3356" s="113" t="n"/>
      <c r="I3356" s="113" t="n"/>
      <c r="J3356" s="113" t="n"/>
      <c r="K3356" s="113" t="n"/>
      <c r="L3356" s="113" t="n"/>
      <c r="M3356" s="113" t="n"/>
      <c r="N3356" s="113" t="n"/>
      <c r="O3356" s="113" t="n"/>
      <c r="P3356" s="113" t="n"/>
      <c r="Q3356" s="113" t="n"/>
      <c r="R3356" s="113" t="n"/>
      <c r="S3356" s="113" t="n"/>
      <c r="T3356" s="113" t="n"/>
      <c r="U3356" s="113" t="n"/>
      <c r="V3356" s="113" t="n"/>
      <c r="W3356" s="113" t="n"/>
      <c r="X3356" s="113" t="n"/>
      <c r="Y3356" s="113" t="n"/>
      <c r="Z3356" s="117">
        <f>IF($B3356="",0,IF($S3356="EVET",IF($D3356="GELİR",$O3356,-$O3356),0))</f>
        <v/>
      </c>
      <c r="AA3356" s="117">
        <f>IF($B3356="",0,IF(OR($W3356="EVET",$X3356="EVET",$Y3356="EVET"),0,IF($D3356="GELİR",IF($E3356="SATIŞ İADESİ/İSKONTO",-$O3356,$O3356),-$O3356)))</f>
        <v/>
      </c>
      <c r="AB3356" s="117">
        <f>IF($B3356="","",IF(OR($D3356="",$E3356="",$O3356=""),"EKSİK",IF($O3356&lt;=0,"SIFIR/NEGATİF",IF(COUNTIFS($C$6:$C$5000,$C3356,$O$6:$O$5000,$O3356,$B$6:$B$5000,$B3356)&gt;1,"MÜKERRER","OK"))))</f>
        <v/>
      </c>
    </row>
    <row r="3357" ht="16.5" customHeight="1" s="80">
      <c r="A3357" s="113" t="n"/>
      <c r="B3357" s="113" t="n"/>
      <c r="C3357" s="113" t="n"/>
      <c r="D3357" s="113" t="n"/>
      <c r="E3357" s="113" t="n"/>
      <c r="F3357" s="113" t="n"/>
      <c r="G3357" s="113" t="n"/>
      <c r="H3357" s="113" t="n"/>
      <c r="I3357" s="113" t="n"/>
      <c r="J3357" s="113" t="n"/>
      <c r="K3357" s="113" t="n"/>
      <c r="L3357" s="113" t="n"/>
      <c r="M3357" s="113" t="n"/>
      <c r="N3357" s="113" t="n"/>
      <c r="O3357" s="113" t="n"/>
      <c r="P3357" s="113" t="n"/>
      <c r="Q3357" s="113" t="n"/>
      <c r="R3357" s="113" t="n"/>
      <c r="S3357" s="113" t="n"/>
      <c r="T3357" s="113" t="n"/>
      <c r="U3357" s="113" t="n"/>
      <c r="V3357" s="113" t="n"/>
      <c r="W3357" s="113" t="n"/>
      <c r="X3357" s="113" t="n"/>
      <c r="Y3357" s="113" t="n"/>
      <c r="Z3357" s="117">
        <f>IF($B3357="",0,IF($S3357="EVET",IF($D3357="GELİR",$O3357,-$O3357),0))</f>
        <v/>
      </c>
      <c r="AA3357" s="117">
        <f>IF($B3357="",0,IF(OR($W3357="EVET",$X3357="EVET",$Y3357="EVET"),0,IF($D3357="GELİR",IF($E3357="SATIŞ İADESİ/İSKONTO",-$O3357,$O3357),-$O3357)))</f>
        <v/>
      </c>
      <c r="AB3357" s="117">
        <f>IF($B3357="","",IF(OR($D3357="",$E3357="",$O3357=""),"EKSİK",IF($O3357&lt;=0,"SIFIR/NEGATİF",IF(COUNTIFS($C$6:$C$5000,$C3357,$O$6:$O$5000,$O3357,$B$6:$B$5000,$B3357)&gt;1,"MÜKERRER","OK"))))</f>
        <v/>
      </c>
    </row>
    <row r="3358" ht="16.5" customHeight="1" s="80">
      <c r="A3358" s="113" t="n"/>
      <c r="B3358" s="113" t="n"/>
      <c r="C3358" s="113" t="n"/>
      <c r="D3358" s="113" t="n"/>
      <c r="E3358" s="113" t="n"/>
      <c r="F3358" s="113" t="n"/>
      <c r="G3358" s="113" t="n"/>
      <c r="H3358" s="113" t="n"/>
      <c r="I3358" s="113" t="n"/>
      <c r="J3358" s="113" t="n"/>
      <c r="K3358" s="113" t="n"/>
      <c r="L3358" s="113" t="n"/>
      <c r="M3358" s="113" t="n"/>
      <c r="N3358" s="113" t="n"/>
      <c r="O3358" s="113" t="n"/>
      <c r="P3358" s="113" t="n"/>
      <c r="Q3358" s="113" t="n"/>
      <c r="R3358" s="113" t="n"/>
      <c r="S3358" s="113" t="n"/>
      <c r="T3358" s="113" t="n"/>
      <c r="U3358" s="113" t="n"/>
      <c r="V3358" s="113" t="n"/>
      <c r="W3358" s="113" t="n"/>
      <c r="X3358" s="113" t="n"/>
      <c r="Y3358" s="113" t="n"/>
      <c r="Z3358" s="117">
        <f>IF($B3358="",0,IF($S3358="EVET",IF($D3358="GELİR",$O3358,-$O3358),0))</f>
        <v/>
      </c>
      <c r="AA3358" s="117">
        <f>IF($B3358="",0,IF(OR($W3358="EVET",$X3358="EVET",$Y3358="EVET"),0,IF($D3358="GELİR",IF($E3358="SATIŞ İADESİ/İSKONTO",-$O3358,$O3358),-$O3358)))</f>
        <v/>
      </c>
      <c r="AB3358" s="117">
        <f>IF($B3358="","",IF(OR($D3358="",$E3358="",$O3358=""),"EKSİK",IF($O3358&lt;=0,"SIFIR/NEGATİF",IF(COUNTIFS($C$6:$C$5000,$C3358,$O$6:$O$5000,$O3358,$B$6:$B$5000,$B3358)&gt;1,"MÜKERRER","OK"))))</f>
        <v/>
      </c>
    </row>
    <row r="3359" ht="16.5" customHeight="1" s="80">
      <c r="A3359" s="113" t="n"/>
      <c r="B3359" s="113" t="n"/>
      <c r="C3359" s="113" t="n"/>
      <c r="D3359" s="113" t="n"/>
      <c r="E3359" s="113" t="n"/>
      <c r="F3359" s="113" t="n"/>
      <c r="G3359" s="113" t="n"/>
      <c r="H3359" s="113" t="n"/>
      <c r="I3359" s="113" t="n"/>
      <c r="J3359" s="113" t="n"/>
      <c r="K3359" s="113" t="n"/>
      <c r="L3359" s="113" t="n"/>
      <c r="M3359" s="113" t="n"/>
      <c r="N3359" s="113" t="n"/>
      <c r="O3359" s="113" t="n"/>
      <c r="P3359" s="113" t="n"/>
      <c r="Q3359" s="113" t="n"/>
      <c r="R3359" s="113" t="n"/>
      <c r="S3359" s="113" t="n"/>
      <c r="T3359" s="113" t="n"/>
      <c r="U3359" s="113" t="n"/>
      <c r="V3359" s="113" t="n"/>
      <c r="W3359" s="113" t="n"/>
      <c r="X3359" s="113" t="n"/>
      <c r="Y3359" s="113" t="n"/>
      <c r="Z3359" s="117">
        <f>IF($B3359="",0,IF($S3359="EVET",IF($D3359="GELİR",$O3359,-$O3359),0))</f>
        <v/>
      </c>
      <c r="AA3359" s="117">
        <f>IF($B3359="",0,IF(OR($W3359="EVET",$X3359="EVET",$Y3359="EVET"),0,IF($D3359="GELİR",IF($E3359="SATIŞ İADESİ/İSKONTO",-$O3359,$O3359),-$O3359)))</f>
        <v/>
      </c>
      <c r="AB3359" s="117">
        <f>IF($B3359="","",IF(OR($D3359="",$E3359="",$O3359=""),"EKSİK",IF($O3359&lt;=0,"SIFIR/NEGATİF",IF(COUNTIFS($C$6:$C$5000,$C3359,$O$6:$O$5000,$O3359,$B$6:$B$5000,$B3359)&gt;1,"MÜKERRER","OK"))))</f>
        <v/>
      </c>
    </row>
    <row r="3360" ht="16.5" customHeight="1" s="80">
      <c r="A3360" s="113" t="n"/>
      <c r="B3360" s="113" t="n"/>
      <c r="C3360" s="113" t="n"/>
      <c r="D3360" s="113" t="n"/>
      <c r="E3360" s="113" t="n"/>
      <c r="F3360" s="113" t="n"/>
      <c r="G3360" s="113" t="n"/>
      <c r="H3360" s="113" t="n"/>
      <c r="I3360" s="113" t="n"/>
      <c r="J3360" s="113" t="n"/>
      <c r="K3360" s="113" t="n"/>
      <c r="L3360" s="113" t="n"/>
      <c r="M3360" s="113" t="n"/>
      <c r="N3360" s="113" t="n"/>
      <c r="O3360" s="113" t="n"/>
      <c r="P3360" s="113" t="n"/>
      <c r="Q3360" s="113" t="n"/>
      <c r="R3360" s="113" t="n"/>
      <c r="S3360" s="113" t="n"/>
      <c r="T3360" s="113" t="n"/>
      <c r="U3360" s="113" t="n"/>
      <c r="V3360" s="113" t="n"/>
      <c r="W3360" s="113" t="n"/>
      <c r="X3360" s="113" t="n"/>
      <c r="Y3360" s="113" t="n"/>
      <c r="Z3360" s="117">
        <f>IF($B3360="",0,IF($S3360="EVET",IF($D3360="GELİR",$O3360,-$O3360),0))</f>
        <v/>
      </c>
      <c r="AA3360" s="117">
        <f>IF($B3360="",0,IF(OR($W3360="EVET",$X3360="EVET",$Y3360="EVET"),0,IF($D3360="GELİR",IF($E3360="SATIŞ İADESİ/İSKONTO",-$O3360,$O3360),-$O3360)))</f>
        <v/>
      </c>
      <c r="AB3360" s="117">
        <f>IF($B3360="","",IF(OR($D3360="",$E3360="",$O3360=""),"EKSİK",IF($O3360&lt;=0,"SIFIR/NEGATİF",IF(COUNTIFS($C$6:$C$5000,$C3360,$O$6:$O$5000,$O3360,$B$6:$B$5000,$B3360)&gt;1,"MÜKERRER","OK"))))</f>
        <v/>
      </c>
    </row>
    <row r="3361" ht="16.5" customHeight="1" s="80">
      <c r="A3361" s="113" t="n"/>
      <c r="B3361" s="113" t="n"/>
      <c r="C3361" s="113" t="n"/>
      <c r="D3361" s="113" t="n"/>
      <c r="E3361" s="113" t="n"/>
      <c r="F3361" s="113" t="n"/>
      <c r="G3361" s="113" t="n"/>
      <c r="H3361" s="113" t="n"/>
      <c r="I3361" s="113" t="n"/>
      <c r="J3361" s="113" t="n"/>
      <c r="K3361" s="113" t="n"/>
      <c r="L3361" s="113" t="n"/>
      <c r="M3361" s="113" t="n"/>
      <c r="N3361" s="113" t="n"/>
      <c r="O3361" s="113" t="n"/>
      <c r="P3361" s="113" t="n"/>
      <c r="Q3361" s="113" t="n"/>
      <c r="R3361" s="113" t="n"/>
      <c r="S3361" s="113" t="n"/>
      <c r="T3361" s="113" t="n"/>
      <c r="U3361" s="113" t="n"/>
      <c r="V3361" s="113" t="n"/>
      <c r="W3361" s="113" t="n"/>
      <c r="X3361" s="113" t="n"/>
      <c r="Y3361" s="113" t="n"/>
      <c r="Z3361" s="117">
        <f>IF($B3361="",0,IF($S3361="EVET",IF($D3361="GELİR",$O3361,-$O3361),0))</f>
        <v/>
      </c>
      <c r="AA3361" s="117">
        <f>IF($B3361="",0,IF(OR($W3361="EVET",$X3361="EVET",$Y3361="EVET"),0,IF($D3361="GELİR",IF($E3361="SATIŞ İADESİ/İSKONTO",-$O3361,$O3361),-$O3361)))</f>
        <v/>
      </c>
      <c r="AB3361" s="117">
        <f>IF($B3361="","",IF(OR($D3361="",$E3361="",$O3361=""),"EKSİK",IF($O3361&lt;=0,"SIFIR/NEGATİF",IF(COUNTIFS($C$6:$C$5000,$C3361,$O$6:$O$5000,$O3361,$B$6:$B$5000,$B3361)&gt;1,"MÜKERRER","OK"))))</f>
        <v/>
      </c>
    </row>
    <row r="3362" ht="16.5" customHeight="1" s="80">
      <c r="A3362" s="113" t="n"/>
      <c r="B3362" s="113" t="n"/>
      <c r="C3362" s="113" t="n"/>
      <c r="D3362" s="113" t="n"/>
      <c r="E3362" s="113" t="n"/>
      <c r="F3362" s="113" t="n"/>
      <c r="G3362" s="113" t="n"/>
      <c r="H3362" s="113" t="n"/>
      <c r="I3362" s="113" t="n"/>
      <c r="J3362" s="113" t="n"/>
      <c r="K3362" s="113" t="n"/>
      <c r="L3362" s="113" t="n"/>
      <c r="M3362" s="113" t="n"/>
      <c r="N3362" s="113" t="n"/>
      <c r="O3362" s="113" t="n"/>
      <c r="P3362" s="113" t="n"/>
      <c r="Q3362" s="113" t="n"/>
      <c r="R3362" s="113" t="n"/>
      <c r="S3362" s="113" t="n"/>
      <c r="T3362" s="113" t="n"/>
      <c r="U3362" s="113" t="n"/>
      <c r="V3362" s="113" t="n"/>
      <c r="W3362" s="113" t="n"/>
      <c r="X3362" s="113" t="n"/>
      <c r="Y3362" s="113" t="n"/>
      <c r="Z3362" s="117">
        <f>IF($B3362="",0,IF($S3362="EVET",IF($D3362="GELİR",$O3362,-$O3362),0))</f>
        <v/>
      </c>
      <c r="AA3362" s="117">
        <f>IF($B3362="",0,IF(OR($W3362="EVET",$X3362="EVET",$Y3362="EVET"),0,IF($D3362="GELİR",IF($E3362="SATIŞ İADESİ/İSKONTO",-$O3362,$O3362),-$O3362)))</f>
        <v/>
      </c>
      <c r="AB3362" s="117">
        <f>IF($B3362="","",IF(OR($D3362="",$E3362="",$O3362=""),"EKSİK",IF($O3362&lt;=0,"SIFIR/NEGATİF",IF(COUNTIFS($C$6:$C$5000,$C3362,$O$6:$O$5000,$O3362,$B$6:$B$5000,$B3362)&gt;1,"MÜKERRER","OK"))))</f>
        <v/>
      </c>
    </row>
    <row r="3363" ht="16.5" customHeight="1" s="80">
      <c r="A3363" s="113" t="n"/>
      <c r="B3363" s="113" t="n"/>
      <c r="C3363" s="113" t="n"/>
      <c r="D3363" s="113" t="n"/>
      <c r="E3363" s="113" t="n"/>
      <c r="F3363" s="113" t="n"/>
      <c r="G3363" s="113" t="n"/>
      <c r="H3363" s="113" t="n"/>
      <c r="I3363" s="113" t="n"/>
      <c r="J3363" s="113" t="n"/>
      <c r="K3363" s="113" t="n"/>
      <c r="L3363" s="113" t="n"/>
      <c r="M3363" s="113" t="n"/>
      <c r="N3363" s="113" t="n"/>
      <c r="O3363" s="113" t="n"/>
      <c r="P3363" s="113" t="n"/>
      <c r="Q3363" s="113" t="n"/>
      <c r="R3363" s="113" t="n"/>
      <c r="S3363" s="113" t="n"/>
      <c r="T3363" s="113" t="n"/>
      <c r="U3363" s="113" t="n"/>
      <c r="V3363" s="113" t="n"/>
      <c r="W3363" s="113" t="n"/>
      <c r="X3363" s="113" t="n"/>
      <c r="Y3363" s="113" t="n"/>
      <c r="Z3363" s="117">
        <f>IF($B3363="",0,IF($S3363="EVET",IF($D3363="GELİR",$O3363,-$O3363),0))</f>
        <v/>
      </c>
      <c r="AA3363" s="117">
        <f>IF($B3363="",0,IF(OR($W3363="EVET",$X3363="EVET",$Y3363="EVET"),0,IF($D3363="GELİR",IF($E3363="SATIŞ İADESİ/İSKONTO",-$O3363,$O3363),-$O3363)))</f>
        <v/>
      </c>
      <c r="AB3363" s="117">
        <f>IF($B3363="","",IF(OR($D3363="",$E3363="",$O3363=""),"EKSİK",IF($O3363&lt;=0,"SIFIR/NEGATİF",IF(COUNTIFS($C$6:$C$5000,$C3363,$O$6:$O$5000,$O3363,$B$6:$B$5000,$B3363)&gt;1,"MÜKERRER","OK"))))</f>
        <v/>
      </c>
    </row>
    <row r="3364" ht="16.5" customHeight="1" s="80">
      <c r="A3364" s="113" t="n"/>
      <c r="B3364" s="113" t="n"/>
      <c r="C3364" s="113" t="n"/>
      <c r="D3364" s="113" t="n"/>
      <c r="E3364" s="113" t="n"/>
      <c r="F3364" s="113" t="n"/>
      <c r="G3364" s="113" t="n"/>
      <c r="H3364" s="113" t="n"/>
      <c r="I3364" s="113" t="n"/>
      <c r="J3364" s="113" t="n"/>
      <c r="K3364" s="113" t="n"/>
      <c r="L3364" s="113" t="n"/>
      <c r="M3364" s="113" t="n"/>
      <c r="N3364" s="113" t="n"/>
      <c r="O3364" s="113" t="n"/>
      <c r="P3364" s="113" t="n"/>
      <c r="Q3364" s="113" t="n"/>
      <c r="R3364" s="113" t="n"/>
      <c r="S3364" s="113" t="n"/>
      <c r="T3364" s="113" t="n"/>
      <c r="U3364" s="113" t="n"/>
      <c r="V3364" s="113" t="n"/>
      <c r="W3364" s="113" t="n"/>
      <c r="X3364" s="113" t="n"/>
      <c r="Y3364" s="113" t="n"/>
      <c r="Z3364" s="117">
        <f>IF($B3364="",0,IF($S3364="EVET",IF($D3364="GELİR",$O3364,-$O3364),0))</f>
        <v/>
      </c>
      <c r="AA3364" s="117">
        <f>IF($B3364="",0,IF(OR($W3364="EVET",$X3364="EVET",$Y3364="EVET"),0,IF($D3364="GELİR",IF($E3364="SATIŞ İADESİ/İSKONTO",-$O3364,$O3364),-$O3364)))</f>
        <v/>
      </c>
      <c r="AB3364" s="117">
        <f>IF($B3364="","",IF(OR($D3364="",$E3364="",$O3364=""),"EKSİK",IF($O3364&lt;=0,"SIFIR/NEGATİF",IF(COUNTIFS($C$6:$C$5000,$C3364,$O$6:$O$5000,$O3364,$B$6:$B$5000,$B3364)&gt;1,"MÜKERRER","OK"))))</f>
        <v/>
      </c>
    </row>
    <row r="3365" ht="16.5" customHeight="1" s="80">
      <c r="A3365" s="113" t="n"/>
      <c r="B3365" s="113" t="n"/>
      <c r="C3365" s="113" t="n"/>
      <c r="D3365" s="113" t="n"/>
      <c r="E3365" s="113" t="n"/>
      <c r="F3365" s="113" t="n"/>
      <c r="G3365" s="113" t="n"/>
      <c r="H3365" s="113" t="n"/>
      <c r="I3365" s="113" t="n"/>
      <c r="J3365" s="113" t="n"/>
      <c r="K3365" s="113" t="n"/>
      <c r="L3365" s="113" t="n"/>
      <c r="M3365" s="113" t="n"/>
      <c r="N3365" s="113" t="n"/>
      <c r="O3365" s="113" t="n"/>
      <c r="P3365" s="113" t="n"/>
      <c r="Q3365" s="113" t="n"/>
      <c r="R3365" s="113" t="n"/>
      <c r="S3365" s="113" t="n"/>
      <c r="T3365" s="113" t="n"/>
      <c r="U3365" s="113" t="n"/>
      <c r="V3365" s="113" t="n"/>
      <c r="W3365" s="113" t="n"/>
      <c r="X3365" s="113" t="n"/>
      <c r="Y3365" s="113" t="n"/>
      <c r="Z3365" s="117">
        <f>IF($B3365="",0,IF($S3365="EVET",IF($D3365="GELİR",$O3365,-$O3365),0))</f>
        <v/>
      </c>
      <c r="AA3365" s="117">
        <f>IF($B3365="",0,IF(OR($W3365="EVET",$X3365="EVET",$Y3365="EVET"),0,IF($D3365="GELİR",IF($E3365="SATIŞ İADESİ/İSKONTO",-$O3365,$O3365),-$O3365)))</f>
        <v/>
      </c>
      <c r="AB3365" s="117">
        <f>IF($B3365="","",IF(OR($D3365="",$E3365="",$O3365=""),"EKSİK",IF($O3365&lt;=0,"SIFIR/NEGATİF",IF(COUNTIFS($C$6:$C$5000,$C3365,$O$6:$O$5000,$O3365,$B$6:$B$5000,$B3365)&gt;1,"MÜKERRER","OK"))))</f>
        <v/>
      </c>
    </row>
    <row r="3366" ht="16.5" customHeight="1" s="80">
      <c r="A3366" s="113" t="n"/>
      <c r="B3366" s="113" t="n"/>
      <c r="C3366" s="113" t="n"/>
      <c r="D3366" s="113" t="n"/>
      <c r="E3366" s="113" t="n"/>
      <c r="F3366" s="113" t="n"/>
      <c r="G3366" s="113" t="n"/>
      <c r="H3366" s="113" t="n"/>
      <c r="I3366" s="113" t="n"/>
      <c r="J3366" s="113" t="n"/>
      <c r="K3366" s="113" t="n"/>
      <c r="L3366" s="113" t="n"/>
      <c r="M3366" s="113" t="n"/>
      <c r="N3366" s="113" t="n"/>
      <c r="O3366" s="113" t="n"/>
      <c r="P3366" s="113" t="n"/>
      <c r="Q3366" s="113" t="n"/>
      <c r="R3366" s="113" t="n"/>
      <c r="S3366" s="113" t="n"/>
      <c r="T3366" s="113" t="n"/>
      <c r="U3366" s="113" t="n"/>
      <c r="V3366" s="113" t="n"/>
      <c r="W3366" s="113" t="n"/>
      <c r="X3366" s="113" t="n"/>
      <c r="Y3366" s="113" t="n"/>
      <c r="Z3366" s="117">
        <f>IF($B3366="",0,IF($S3366="EVET",IF($D3366="GELİR",$O3366,-$O3366),0))</f>
        <v/>
      </c>
      <c r="AA3366" s="117">
        <f>IF($B3366="",0,IF(OR($W3366="EVET",$X3366="EVET",$Y3366="EVET"),0,IF($D3366="GELİR",IF($E3366="SATIŞ İADESİ/İSKONTO",-$O3366,$O3366),-$O3366)))</f>
        <v/>
      </c>
      <c r="AB3366" s="117">
        <f>IF($B3366="","",IF(OR($D3366="",$E3366="",$O3366=""),"EKSİK",IF($O3366&lt;=0,"SIFIR/NEGATİF",IF(COUNTIFS($C$6:$C$5000,$C3366,$O$6:$O$5000,$O3366,$B$6:$B$5000,$B3366)&gt;1,"MÜKERRER","OK"))))</f>
        <v/>
      </c>
    </row>
    <row r="3367" ht="16.5" customHeight="1" s="80">
      <c r="A3367" s="113" t="n"/>
      <c r="B3367" s="113" t="n"/>
      <c r="C3367" s="113" t="n"/>
      <c r="D3367" s="113" t="n"/>
      <c r="E3367" s="113" t="n"/>
      <c r="F3367" s="113" t="n"/>
      <c r="G3367" s="113" t="n"/>
      <c r="H3367" s="113" t="n"/>
      <c r="I3367" s="113" t="n"/>
      <c r="J3367" s="113" t="n"/>
      <c r="K3367" s="113" t="n"/>
      <c r="L3367" s="113" t="n"/>
      <c r="M3367" s="113" t="n"/>
      <c r="N3367" s="113" t="n"/>
      <c r="O3367" s="113" t="n"/>
      <c r="P3367" s="113" t="n"/>
      <c r="Q3367" s="113" t="n"/>
      <c r="R3367" s="113" t="n"/>
      <c r="S3367" s="113" t="n"/>
      <c r="T3367" s="113" t="n"/>
      <c r="U3367" s="113" t="n"/>
      <c r="V3367" s="113" t="n"/>
      <c r="W3367" s="113" t="n"/>
      <c r="X3367" s="113" t="n"/>
      <c r="Y3367" s="113" t="n"/>
      <c r="Z3367" s="117">
        <f>IF($B3367="",0,IF($S3367="EVET",IF($D3367="GELİR",$O3367,-$O3367),0))</f>
        <v/>
      </c>
      <c r="AA3367" s="117">
        <f>IF($B3367="",0,IF(OR($W3367="EVET",$X3367="EVET",$Y3367="EVET"),0,IF($D3367="GELİR",IF($E3367="SATIŞ İADESİ/İSKONTO",-$O3367,$O3367),-$O3367)))</f>
        <v/>
      </c>
      <c r="AB3367" s="117">
        <f>IF($B3367="","",IF(OR($D3367="",$E3367="",$O3367=""),"EKSİK",IF($O3367&lt;=0,"SIFIR/NEGATİF",IF(COUNTIFS($C$6:$C$5000,$C3367,$O$6:$O$5000,$O3367,$B$6:$B$5000,$B3367)&gt;1,"MÜKERRER","OK"))))</f>
        <v/>
      </c>
    </row>
    <row r="3368" ht="16.5" customHeight="1" s="80">
      <c r="A3368" s="113" t="n"/>
      <c r="B3368" s="113" t="n"/>
      <c r="C3368" s="113" t="n"/>
      <c r="D3368" s="113" t="n"/>
      <c r="E3368" s="113" t="n"/>
      <c r="F3368" s="113" t="n"/>
      <c r="G3368" s="113" t="n"/>
      <c r="H3368" s="113" t="n"/>
      <c r="I3368" s="113" t="n"/>
      <c r="J3368" s="113" t="n"/>
      <c r="K3368" s="113" t="n"/>
      <c r="L3368" s="113" t="n"/>
      <c r="M3368" s="113" t="n"/>
      <c r="N3368" s="113" t="n"/>
      <c r="O3368" s="113" t="n"/>
      <c r="P3368" s="113" t="n"/>
      <c r="Q3368" s="113" t="n"/>
      <c r="R3368" s="113" t="n"/>
      <c r="S3368" s="113" t="n"/>
      <c r="T3368" s="113" t="n"/>
      <c r="U3368" s="113" t="n"/>
      <c r="V3368" s="113" t="n"/>
      <c r="W3368" s="113" t="n"/>
      <c r="X3368" s="113" t="n"/>
      <c r="Y3368" s="113" t="n"/>
      <c r="Z3368" s="117">
        <f>IF($B3368="",0,IF($S3368="EVET",IF($D3368="GELİR",$O3368,-$O3368),0))</f>
        <v/>
      </c>
      <c r="AA3368" s="117">
        <f>IF($B3368="",0,IF(OR($W3368="EVET",$X3368="EVET",$Y3368="EVET"),0,IF($D3368="GELİR",IF($E3368="SATIŞ İADESİ/İSKONTO",-$O3368,$O3368),-$O3368)))</f>
        <v/>
      </c>
      <c r="AB3368" s="117">
        <f>IF($B3368="","",IF(OR($D3368="",$E3368="",$O3368=""),"EKSİK",IF($O3368&lt;=0,"SIFIR/NEGATİF",IF(COUNTIFS($C$6:$C$5000,$C3368,$O$6:$O$5000,$O3368,$B$6:$B$5000,$B3368)&gt;1,"MÜKERRER","OK"))))</f>
        <v/>
      </c>
    </row>
    <row r="3369" ht="16.5" customHeight="1" s="80">
      <c r="A3369" s="113" t="n"/>
      <c r="B3369" s="113" t="n"/>
      <c r="C3369" s="113" t="n"/>
      <c r="D3369" s="113" t="n"/>
      <c r="E3369" s="113" t="n"/>
      <c r="F3369" s="113" t="n"/>
      <c r="G3369" s="113" t="n"/>
      <c r="H3369" s="113" t="n"/>
      <c r="I3369" s="113" t="n"/>
      <c r="J3369" s="113" t="n"/>
      <c r="K3369" s="113" t="n"/>
      <c r="L3369" s="113" t="n"/>
      <c r="M3369" s="113" t="n"/>
      <c r="N3369" s="113" t="n"/>
      <c r="O3369" s="113" t="n"/>
      <c r="P3369" s="113" t="n"/>
      <c r="Q3369" s="113" t="n"/>
      <c r="R3369" s="113" t="n"/>
      <c r="S3369" s="113" t="n"/>
      <c r="T3369" s="113" t="n"/>
      <c r="U3369" s="113" t="n"/>
      <c r="V3369" s="113" t="n"/>
      <c r="W3369" s="113" t="n"/>
      <c r="X3369" s="113" t="n"/>
      <c r="Y3369" s="113" t="n"/>
      <c r="Z3369" s="117">
        <f>IF($B3369="",0,IF($S3369="EVET",IF($D3369="GELİR",$O3369,-$O3369),0))</f>
        <v/>
      </c>
      <c r="AA3369" s="117">
        <f>IF($B3369="",0,IF(OR($W3369="EVET",$X3369="EVET",$Y3369="EVET"),0,IF($D3369="GELİR",IF($E3369="SATIŞ İADESİ/İSKONTO",-$O3369,$O3369),-$O3369)))</f>
        <v/>
      </c>
      <c r="AB3369" s="117">
        <f>IF($B3369="","",IF(OR($D3369="",$E3369="",$O3369=""),"EKSİK",IF($O3369&lt;=0,"SIFIR/NEGATİF",IF(COUNTIFS($C$6:$C$5000,$C3369,$O$6:$O$5000,$O3369,$B$6:$B$5000,$B3369)&gt;1,"MÜKERRER","OK"))))</f>
        <v/>
      </c>
    </row>
    <row r="3370" ht="16.5" customHeight="1" s="80">
      <c r="A3370" s="113" t="n"/>
      <c r="B3370" s="113" t="n"/>
      <c r="C3370" s="113" t="n"/>
      <c r="D3370" s="113" t="n"/>
      <c r="E3370" s="113" t="n"/>
      <c r="F3370" s="113" t="n"/>
      <c r="G3370" s="113" t="n"/>
      <c r="H3370" s="113" t="n"/>
      <c r="I3370" s="113" t="n"/>
      <c r="J3370" s="113" t="n"/>
      <c r="K3370" s="113" t="n"/>
      <c r="L3370" s="113" t="n"/>
      <c r="M3370" s="113" t="n"/>
      <c r="N3370" s="113" t="n"/>
      <c r="O3370" s="113" t="n"/>
      <c r="P3370" s="113" t="n"/>
      <c r="Q3370" s="113" t="n"/>
      <c r="R3370" s="113" t="n"/>
      <c r="S3370" s="113" t="n"/>
      <c r="T3370" s="113" t="n"/>
      <c r="U3370" s="113" t="n"/>
      <c r="V3370" s="113" t="n"/>
      <c r="W3370" s="113" t="n"/>
      <c r="X3370" s="113" t="n"/>
      <c r="Y3370" s="113" t="n"/>
      <c r="Z3370" s="117">
        <f>IF($B3370="",0,IF($S3370="EVET",IF($D3370="GELİR",$O3370,-$O3370),0))</f>
        <v/>
      </c>
      <c r="AA3370" s="117">
        <f>IF($B3370="",0,IF(OR($W3370="EVET",$X3370="EVET",$Y3370="EVET"),0,IF($D3370="GELİR",IF($E3370="SATIŞ İADESİ/İSKONTO",-$O3370,$O3370),-$O3370)))</f>
        <v/>
      </c>
      <c r="AB3370" s="117">
        <f>IF($B3370="","",IF(OR($D3370="",$E3370="",$O3370=""),"EKSİK",IF($O3370&lt;=0,"SIFIR/NEGATİF",IF(COUNTIFS($C$6:$C$5000,$C3370,$O$6:$O$5000,$O3370,$B$6:$B$5000,$B3370)&gt;1,"MÜKERRER","OK"))))</f>
        <v/>
      </c>
    </row>
    <row r="3371" ht="16.5" customHeight="1" s="80">
      <c r="A3371" s="113" t="n"/>
      <c r="B3371" s="113" t="n"/>
      <c r="C3371" s="113" t="n"/>
      <c r="D3371" s="113" t="n"/>
      <c r="E3371" s="113" t="n"/>
      <c r="F3371" s="113" t="n"/>
      <c r="G3371" s="113" t="n"/>
      <c r="H3371" s="113" t="n"/>
      <c r="I3371" s="113" t="n"/>
      <c r="J3371" s="113" t="n"/>
      <c r="K3371" s="113" t="n"/>
      <c r="L3371" s="113" t="n"/>
      <c r="M3371" s="113" t="n"/>
      <c r="N3371" s="113" t="n"/>
      <c r="O3371" s="113" t="n"/>
      <c r="P3371" s="113" t="n"/>
      <c r="Q3371" s="113" t="n"/>
      <c r="R3371" s="113" t="n"/>
      <c r="S3371" s="113" t="n"/>
      <c r="T3371" s="113" t="n"/>
      <c r="U3371" s="113" t="n"/>
      <c r="V3371" s="113" t="n"/>
      <c r="W3371" s="113" t="n"/>
      <c r="X3371" s="113" t="n"/>
      <c r="Y3371" s="113" t="n"/>
      <c r="Z3371" s="117">
        <f>IF($B3371="",0,IF($S3371="EVET",IF($D3371="GELİR",$O3371,-$O3371),0))</f>
        <v/>
      </c>
      <c r="AA3371" s="117">
        <f>IF($B3371="",0,IF(OR($W3371="EVET",$X3371="EVET",$Y3371="EVET"),0,IF($D3371="GELİR",IF($E3371="SATIŞ İADESİ/İSKONTO",-$O3371,$O3371),-$O3371)))</f>
        <v/>
      </c>
      <c r="AB3371" s="117">
        <f>IF($B3371="","",IF(OR($D3371="",$E3371="",$O3371=""),"EKSİK",IF($O3371&lt;=0,"SIFIR/NEGATİF",IF(COUNTIFS($C$6:$C$5000,$C3371,$O$6:$O$5000,$O3371,$B$6:$B$5000,$B3371)&gt;1,"MÜKERRER","OK"))))</f>
        <v/>
      </c>
    </row>
    <row r="3372" ht="16.5" customHeight="1" s="80">
      <c r="A3372" s="113" t="n"/>
      <c r="B3372" s="113" t="n"/>
      <c r="C3372" s="113" t="n"/>
      <c r="D3372" s="113" t="n"/>
      <c r="E3372" s="113" t="n"/>
      <c r="F3372" s="113" t="n"/>
      <c r="G3372" s="113" t="n"/>
      <c r="H3372" s="113" t="n"/>
      <c r="I3372" s="113" t="n"/>
      <c r="J3372" s="113" t="n"/>
      <c r="K3372" s="113" t="n"/>
      <c r="L3372" s="113" t="n"/>
      <c r="M3372" s="113" t="n"/>
      <c r="N3372" s="113" t="n"/>
      <c r="O3372" s="113" t="n"/>
      <c r="P3372" s="113" t="n"/>
      <c r="Q3372" s="113" t="n"/>
      <c r="R3372" s="113" t="n"/>
      <c r="S3372" s="113" t="n"/>
      <c r="T3372" s="113" t="n"/>
      <c r="U3372" s="113" t="n"/>
      <c r="V3372" s="113" t="n"/>
      <c r="W3372" s="113" t="n"/>
      <c r="X3372" s="113" t="n"/>
      <c r="Y3372" s="113" t="n"/>
      <c r="Z3372" s="117">
        <f>IF($B3372="",0,IF($S3372="EVET",IF($D3372="GELİR",$O3372,-$O3372),0))</f>
        <v/>
      </c>
      <c r="AA3372" s="117">
        <f>IF($B3372="",0,IF(OR($W3372="EVET",$X3372="EVET",$Y3372="EVET"),0,IF($D3372="GELİR",IF($E3372="SATIŞ İADESİ/İSKONTO",-$O3372,$O3372),-$O3372)))</f>
        <v/>
      </c>
      <c r="AB3372" s="117">
        <f>IF($B3372="","",IF(OR($D3372="",$E3372="",$O3372=""),"EKSİK",IF($O3372&lt;=0,"SIFIR/NEGATİF",IF(COUNTIFS($C$6:$C$5000,$C3372,$O$6:$O$5000,$O3372,$B$6:$B$5000,$B3372)&gt;1,"MÜKERRER","OK"))))</f>
        <v/>
      </c>
    </row>
    <row r="3373" ht="16.5" customHeight="1" s="80">
      <c r="A3373" s="113" t="n"/>
      <c r="B3373" s="113" t="n"/>
      <c r="C3373" s="113" t="n"/>
      <c r="D3373" s="113" t="n"/>
      <c r="E3373" s="113" t="n"/>
      <c r="F3373" s="113" t="n"/>
      <c r="G3373" s="113" t="n"/>
      <c r="H3373" s="113" t="n"/>
      <c r="I3373" s="113" t="n"/>
      <c r="J3373" s="113" t="n"/>
      <c r="K3373" s="113" t="n"/>
      <c r="L3373" s="113" t="n"/>
      <c r="M3373" s="113" t="n"/>
      <c r="N3373" s="113" t="n"/>
      <c r="O3373" s="113" t="n"/>
      <c r="P3373" s="113" t="n"/>
      <c r="Q3373" s="113" t="n"/>
      <c r="R3373" s="113" t="n"/>
      <c r="S3373" s="113" t="n"/>
      <c r="T3373" s="113" t="n"/>
      <c r="U3373" s="113" t="n"/>
      <c r="V3373" s="113" t="n"/>
      <c r="W3373" s="113" t="n"/>
      <c r="X3373" s="113" t="n"/>
      <c r="Y3373" s="113" t="n"/>
      <c r="Z3373" s="117">
        <f>IF($B3373="",0,IF($S3373="EVET",IF($D3373="GELİR",$O3373,-$O3373),0))</f>
        <v/>
      </c>
      <c r="AA3373" s="117">
        <f>IF($B3373="",0,IF(OR($W3373="EVET",$X3373="EVET",$Y3373="EVET"),0,IF($D3373="GELİR",IF($E3373="SATIŞ İADESİ/İSKONTO",-$O3373,$O3373),-$O3373)))</f>
        <v/>
      </c>
      <c r="AB3373" s="117">
        <f>IF($B3373="","",IF(OR($D3373="",$E3373="",$O3373=""),"EKSİK",IF($O3373&lt;=0,"SIFIR/NEGATİF",IF(COUNTIFS($C$6:$C$5000,$C3373,$O$6:$O$5000,$O3373,$B$6:$B$5000,$B3373)&gt;1,"MÜKERRER","OK"))))</f>
        <v/>
      </c>
    </row>
    <row r="3374" ht="16.5" customHeight="1" s="80">
      <c r="A3374" s="113" t="n"/>
      <c r="B3374" s="113" t="n"/>
      <c r="C3374" s="113" t="n"/>
      <c r="D3374" s="113" t="n"/>
      <c r="E3374" s="113" t="n"/>
      <c r="F3374" s="113" t="n"/>
      <c r="G3374" s="113" t="n"/>
      <c r="H3374" s="113" t="n"/>
      <c r="I3374" s="113" t="n"/>
      <c r="J3374" s="113" t="n"/>
      <c r="K3374" s="113" t="n"/>
      <c r="L3374" s="113" t="n"/>
      <c r="M3374" s="113" t="n"/>
      <c r="N3374" s="113" t="n"/>
      <c r="O3374" s="113" t="n"/>
      <c r="P3374" s="113" t="n"/>
      <c r="Q3374" s="113" t="n"/>
      <c r="R3374" s="113" t="n"/>
      <c r="S3374" s="113" t="n"/>
      <c r="T3374" s="113" t="n"/>
      <c r="U3374" s="113" t="n"/>
      <c r="V3374" s="113" t="n"/>
      <c r="W3374" s="113" t="n"/>
      <c r="X3374" s="113" t="n"/>
      <c r="Y3374" s="113" t="n"/>
      <c r="Z3374" s="117">
        <f>IF($B3374="",0,IF($S3374="EVET",IF($D3374="GELİR",$O3374,-$O3374),0))</f>
        <v/>
      </c>
      <c r="AA3374" s="117">
        <f>IF($B3374="",0,IF(OR($W3374="EVET",$X3374="EVET",$Y3374="EVET"),0,IF($D3374="GELİR",IF($E3374="SATIŞ İADESİ/İSKONTO",-$O3374,$O3374),-$O3374)))</f>
        <v/>
      </c>
      <c r="AB3374" s="117">
        <f>IF($B3374="","",IF(OR($D3374="",$E3374="",$O3374=""),"EKSİK",IF($O3374&lt;=0,"SIFIR/NEGATİF",IF(COUNTIFS($C$6:$C$5000,$C3374,$O$6:$O$5000,$O3374,$B$6:$B$5000,$B3374)&gt;1,"MÜKERRER","OK"))))</f>
        <v/>
      </c>
    </row>
    <row r="3375" ht="16.5" customHeight="1" s="80">
      <c r="A3375" s="113" t="n"/>
      <c r="B3375" s="113" t="n"/>
      <c r="C3375" s="113" t="n"/>
      <c r="D3375" s="113" t="n"/>
      <c r="E3375" s="113" t="n"/>
      <c r="F3375" s="113" t="n"/>
      <c r="G3375" s="113" t="n"/>
      <c r="H3375" s="113" t="n"/>
      <c r="I3375" s="113" t="n"/>
      <c r="J3375" s="113" t="n"/>
      <c r="K3375" s="113" t="n"/>
      <c r="L3375" s="113" t="n"/>
      <c r="M3375" s="113" t="n"/>
      <c r="N3375" s="113" t="n"/>
      <c r="O3375" s="113" t="n"/>
      <c r="P3375" s="113" t="n"/>
      <c r="Q3375" s="113" t="n"/>
      <c r="R3375" s="113" t="n"/>
      <c r="S3375" s="113" t="n"/>
      <c r="T3375" s="113" t="n"/>
      <c r="U3375" s="113" t="n"/>
      <c r="V3375" s="113" t="n"/>
      <c r="W3375" s="113" t="n"/>
      <c r="X3375" s="113" t="n"/>
      <c r="Y3375" s="113" t="n"/>
      <c r="Z3375" s="117">
        <f>IF($B3375="",0,IF($S3375="EVET",IF($D3375="GELİR",$O3375,-$O3375),0))</f>
        <v/>
      </c>
      <c r="AA3375" s="117">
        <f>IF($B3375="",0,IF(OR($W3375="EVET",$X3375="EVET",$Y3375="EVET"),0,IF($D3375="GELİR",IF($E3375="SATIŞ İADESİ/İSKONTO",-$O3375,$O3375),-$O3375)))</f>
        <v/>
      </c>
      <c r="AB3375" s="117">
        <f>IF($B3375="","",IF(OR($D3375="",$E3375="",$O3375=""),"EKSİK",IF($O3375&lt;=0,"SIFIR/NEGATİF",IF(COUNTIFS($C$6:$C$5000,$C3375,$O$6:$O$5000,$O3375,$B$6:$B$5000,$B3375)&gt;1,"MÜKERRER","OK"))))</f>
        <v/>
      </c>
    </row>
    <row r="3376" ht="16.5" customHeight="1" s="80">
      <c r="A3376" s="113" t="n"/>
      <c r="B3376" s="113" t="n"/>
      <c r="C3376" s="113" t="n"/>
      <c r="D3376" s="113" t="n"/>
      <c r="E3376" s="113" t="n"/>
      <c r="F3376" s="113" t="n"/>
      <c r="G3376" s="113" t="n"/>
      <c r="H3376" s="113" t="n"/>
      <c r="I3376" s="113" t="n"/>
      <c r="J3376" s="113" t="n"/>
      <c r="K3376" s="113" t="n"/>
      <c r="L3376" s="113" t="n"/>
      <c r="M3376" s="113" t="n"/>
      <c r="N3376" s="113" t="n"/>
      <c r="O3376" s="113" t="n"/>
      <c r="P3376" s="113" t="n"/>
      <c r="Q3376" s="113" t="n"/>
      <c r="R3376" s="113" t="n"/>
      <c r="S3376" s="113" t="n"/>
      <c r="T3376" s="113" t="n"/>
      <c r="U3376" s="113" t="n"/>
      <c r="V3376" s="113" t="n"/>
      <c r="W3376" s="113" t="n"/>
      <c r="X3376" s="113" t="n"/>
      <c r="Y3376" s="113" t="n"/>
      <c r="Z3376" s="117">
        <f>IF($B3376="",0,IF($S3376="EVET",IF($D3376="GELİR",$O3376,-$O3376),0))</f>
        <v/>
      </c>
      <c r="AA3376" s="117">
        <f>IF($B3376="",0,IF(OR($W3376="EVET",$X3376="EVET",$Y3376="EVET"),0,IF($D3376="GELİR",IF($E3376="SATIŞ İADESİ/İSKONTO",-$O3376,$O3376),-$O3376)))</f>
        <v/>
      </c>
      <c r="AB3376" s="117">
        <f>IF($B3376="","",IF(OR($D3376="",$E3376="",$O3376=""),"EKSİK",IF($O3376&lt;=0,"SIFIR/NEGATİF",IF(COUNTIFS($C$6:$C$5000,$C3376,$O$6:$O$5000,$O3376,$B$6:$B$5000,$B3376)&gt;1,"MÜKERRER","OK"))))</f>
        <v/>
      </c>
    </row>
    <row r="3377" ht="16.5" customHeight="1" s="80">
      <c r="A3377" s="113" t="n"/>
      <c r="B3377" s="113" t="n"/>
      <c r="C3377" s="113" t="n"/>
      <c r="D3377" s="113" t="n"/>
      <c r="E3377" s="113" t="n"/>
      <c r="F3377" s="113" t="n"/>
      <c r="G3377" s="113" t="n"/>
      <c r="H3377" s="113" t="n"/>
      <c r="I3377" s="113" t="n"/>
      <c r="J3377" s="113" t="n"/>
      <c r="K3377" s="113" t="n"/>
      <c r="L3377" s="113" t="n"/>
      <c r="M3377" s="113" t="n"/>
      <c r="N3377" s="113" t="n"/>
      <c r="O3377" s="113" t="n"/>
      <c r="P3377" s="113" t="n"/>
      <c r="Q3377" s="113" t="n"/>
      <c r="R3377" s="113" t="n"/>
      <c r="S3377" s="113" t="n"/>
      <c r="T3377" s="113" t="n"/>
      <c r="U3377" s="113" t="n"/>
      <c r="V3377" s="113" t="n"/>
      <c r="W3377" s="113" t="n"/>
      <c r="X3377" s="113" t="n"/>
      <c r="Y3377" s="113" t="n"/>
      <c r="Z3377" s="117">
        <f>IF($B3377="",0,IF($S3377="EVET",IF($D3377="GELİR",$O3377,-$O3377),0))</f>
        <v/>
      </c>
      <c r="AA3377" s="117">
        <f>IF($B3377="",0,IF(OR($W3377="EVET",$X3377="EVET",$Y3377="EVET"),0,IF($D3377="GELİR",IF($E3377="SATIŞ İADESİ/İSKONTO",-$O3377,$O3377),-$O3377)))</f>
        <v/>
      </c>
      <c r="AB3377" s="117">
        <f>IF($B3377="","",IF(OR($D3377="",$E3377="",$O3377=""),"EKSİK",IF($O3377&lt;=0,"SIFIR/NEGATİF",IF(COUNTIFS($C$6:$C$5000,$C3377,$O$6:$O$5000,$O3377,$B$6:$B$5000,$B3377)&gt;1,"MÜKERRER","OK"))))</f>
        <v/>
      </c>
    </row>
    <row r="3378" ht="16.5" customHeight="1" s="80">
      <c r="A3378" s="113" t="n"/>
      <c r="B3378" s="113" t="n"/>
      <c r="C3378" s="113" t="n"/>
      <c r="D3378" s="113" t="n"/>
      <c r="E3378" s="113" t="n"/>
      <c r="F3378" s="113" t="n"/>
      <c r="G3378" s="113" t="n"/>
      <c r="H3378" s="113" t="n"/>
      <c r="I3378" s="113" t="n"/>
      <c r="J3378" s="113" t="n"/>
      <c r="K3378" s="113" t="n"/>
      <c r="L3378" s="113" t="n"/>
      <c r="M3378" s="113" t="n"/>
      <c r="N3378" s="113" t="n"/>
      <c r="O3378" s="113" t="n"/>
      <c r="P3378" s="113" t="n"/>
      <c r="Q3378" s="113" t="n"/>
      <c r="R3378" s="113" t="n"/>
      <c r="S3378" s="113" t="n"/>
      <c r="T3378" s="113" t="n"/>
      <c r="U3378" s="113" t="n"/>
      <c r="V3378" s="113" t="n"/>
      <c r="W3378" s="113" t="n"/>
      <c r="X3378" s="113" t="n"/>
      <c r="Y3378" s="113" t="n"/>
      <c r="Z3378" s="117">
        <f>IF($B3378="",0,IF($S3378="EVET",IF($D3378="GELİR",$O3378,-$O3378),0))</f>
        <v/>
      </c>
      <c r="AA3378" s="117">
        <f>IF($B3378="",0,IF(OR($W3378="EVET",$X3378="EVET",$Y3378="EVET"),0,IF($D3378="GELİR",IF($E3378="SATIŞ İADESİ/İSKONTO",-$O3378,$O3378),-$O3378)))</f>
        <v/>
      </c>
      <c r="AB3378" s="117">
        <f>IF($B3378="","",IF(OR($D3378="",$E3378="",$O3378=""),"EKSİK",IF($O3378&lt;=0,"SIFIR/NEGATİF",IF(COUNTIFS($C$6:$C$5000,$C3378,$O$6:$O$5000,$O3378,$B$6:$B$5000,$B3378)&gt;1,"MÜKERRER","OK"))))</f>
        <v/>
      </c>
    </row>
    <row r="3379" ht="16.5" customHeight="1" s="80">
      <c r="A3379" s="113" t="n"/>
      <c r="B3379" s="113" t="n"/>
      <c r="C3379" s="113" t="n"/>
      <c r="D3379" s="113" t="n"/>
      <c r="E3379" s="113" t="n"/>
      <c r="F3379" s="113" t="n"/>
      <c r="G3379" s="113" t="n"/>
      <c r="H3379" s="113" t="n"/>
      <c r="I3379" s="113" t="n"/>
      <c r="J3379" s="113" t="n"/>
      <c r="K3379" s="113" t="n"/>
      <c r="L3379" s="113" t="n"/>
      <c r="M3379" s="113" t="n"/>
      <c r="N3379" s="113" t="n"/>
      <c r="O3379" s="113" t="n"/>
      <c r="P3379" s="113" t="n"/>
      <c r="Q3379" s="113" t="n"/>
      <c r="R3379" s="113" t="n"/>
      <c r="S3379" s="113" t="n"/>
      <c r="T3379" s="113" t="n"/>
      <c r="U3379" s="113" t="n"/>
      <c r="V3379" s="113" t="n"/>
      <c r="W3379" s="113" t="n"/>
      <c r="X3379" s="113" t="n"/>
      <c r="Y3379" s="113" t="n"/>
      <c r="Z3379" s="117">
        <f>IF($B3379="",0,IF($S3379="EVET",IF($D3379="GELİR",$O3379,-$O3379),0))</f>
        <v/>
      </c>
      <c r="AA3379" s="117">
        <f>IF($B3379="",0,IF(OR($W3379="EVET",$X3379="EVET",$Y3379="EVET"),0,IF($D3379="GELİR",IF($E3379="SATIŞ İADESİ/İSKONTO",-$O3379,$O3379),-$O3379)))</f>
        <v/>
      </c>
      <c r="AB3379" s="117">
        <f>IF($B3379="","",IF(OR($D3379="",$E3379="",$O3379=""),"EKSİK",IF($O3379&lt;=0,"SIFIR/NEGATİF",IF(COUNTIFS($C$6:$C$5000,$C3379,$O$6:$O$5000,$O3379,$B$6:$B$5000,$B3379)&gt;1,"MÜKERRER","OK"))))</f>
        <v/>
      </c>
    </row>
    <row r="3380" ht="16.5" customHeight="1" s="80">
      <c r="A3380" s="113" t="n"/>
      <c r="B3380" s="113" t="n"/>
      <c r="C3380" s="113" t="n"/>
      <c r="D3380" s="113" t="n"/>
      <c r="E3380" s="113" t="n"/>
      <c r="F3380" s="113" t="n"/>
      <c r="G3380" s="113" t="n"/>
      <c r="H3380" s="113" t="n"/>
      <c r="I3380" s="113" t="n"/>
      <c r="J3380" s="113" t="n"/>
      <c r="K3380" s="113" t="n"/>
      <c r="L3380" s="113" t="n"/>
      <c r="M3380" s="113" t="n"/>
      <c r="N3380" s="113" t="n"/>
      <c r="O3380" s="113" t="n"/>
      <c r="P3380" s="113" t="n"/>
      <c r="Q3380" s="113" t="n"/>
      <c r="R3380" s="113" t="n"/>
      <c r="S3380" s="113" t="n"/>
      <c r="T3380" s="113" t="n"/>
      <c r="U3380" s="113" t="n"/>
      <c r="V3380" s="113" t="n"/>
      <c r="W3380" s="113" t="n"/>
      <c r="X3380" s="113" t="n"/>
      <c r="Y3380" s="113" t="n"/>
      <c r="Z3380" s="117">
        <f>IF($B3380="",0,IF($S3380="EVET",IF($D3380="GELİR",$O3380,-$O3380),0))</f>
        <v/>
      </c>
      <c r="AA3380" s="117">
        <f>IF($B3380="",0,IF(OR($W3380="EVET",$X3380="EVET",$Y3380="EVET"),0,IF($D3380="GELİR",IF($E3380="SATIŞ İADESİ/İSKONTO",-$O3380,$O3380),-$O3380)))</f>
        <v/>
      </c>
      <c r="AB3380" s="117">
        <f>IF($B3380="","",IF(OR($D3380="",$E3380="",$O3380=""),"EKSİK",IF($O3380&lt;=0,"SIFIR/NEGATİF",IF(COUNTIFS($C$6:$C$5000,$C3380,$O$6:$O$5000,$O3380,$B$6:$B$5000,$B3380)&gt;1,"MÜKERRER","OK"))))</f>
        <v/>
      </c>
    </row>
    <row r="3381" ht="16.5" customHeight="1" s="80">
      <c r="A3381" s="113" t="n"/>
      <c r="B3381" s="113" t="n"/>
      <c r="C3381" s="113" t="n"/>
      <c r="D3381" s="113" t="n"/>
      <c r="E3381" s="113" t="n"/>
      <c r="F3381" s="113" t="n"/>
      <c r="G3381" s="113" t="n"/>
      <c r="H3381" s="113" t="n"/>
      <c r="I3381" s="113" t="n"/>
      <c r="J3381" s="113" t="n"/>
      <c r="K3381" s="113" t="n"/>
      <c r="L3381" s="113" t="n"/>
      <c r="M3381" s="113" t="n"/>
      <c r="N3381" s="113" t="n"/>
      <c r="O3381" s="113" t="n"/>
      <c r="P3381" s="113" t="n"/>
      <c r="Q3381" s="113" t="n"/>
      <c r="R3381" s="113" t="n"/>
      <c r="S3381" s="113" t="n"/>
      <c r="T3381" s="113" t="n"/>
      <c r="U3381" s="113" t="n"/>
      <c r="V3381" s="113" t="n"/>
      <c r="W3381" s="113" t="n"/>
      <c r="X3381" s="113" t="n"/>
      <c r="Y3381" s="113" t="n"/>
      <c r="Z3381" s="117">
        <f>IF($B3381="",0,IF($S3381="EVET",IF($D3381="GELİR",$O3381,-$O3381),0))</f>
        <v/>
      </c>
      <c r="AA3381" s="117">
        <f>IF($B3381="",0,IF(OR($W3381="EVET",$X3381="EVET",$Y3381="EVET"),0,IF($D3381="GELİR",IF($E3381="SATIŞ İADESİ/İSKONTO",-$O3381,$O3381),-$O3381)))</f>
        <v/>
      </c>
      <c r="AB3381" s="117">
        <f>IF($B3381="","",IF(OR($D3381="",$E3381="",$O3381=""),"EKSİK",IF($O3381&lt;=0,"SIFIR/NEGATİF",IF(COUNTIFS($C$6:$C$5000,$C3381,$O$6:$O$5000,$O3381,$B$6:$B$5000,$B3381)&gt;1,"MÜKERRER","OK"))))</f>
        <v/>
      </c>
    </row>
    <row r="3382" ht="16.5" customHeight="1" s="80">
      <c r="A3382" s="113" t="n"/>
      <c r="B3382" s="113" t="n"/>
      <c r="C3382" s="113" t="n"/>
      <c r="D3382" s="113" t="n"/>
      <c r="E3382" s="113" t="n"/>
      <c r="F3382" s="113" t="n"/>
      <c r="G3382" s="113" t="n"/>
      <c r="H3382" s="113" t="n"/>
      <c r="I3382" s="113" t="n"/>
      <c r="J3382" s="113" t="n"/>
      <c r="K3382" s="113" t="n"/>
      <c r="L3382" s="113" t="n"/>
      <c r="M3382" s="113" t="n"/>
      <c r="N3382" s="113" t="n"/>
      <c r="O3382" s="113" t="n"/>
      <c r="P3382" s="113" t="n"/>
      <c r="Q3382" s="113" t="n"/>
      <c r="R3382" s="113" t="n"/>
      <c r="S3382" s="113" t="n"/>
      <c r="T3382" s="113" t="n"/>
      <c r="U3382" s="113" t="n"/>
      <c r="V3382" s="113" t="n"/>
      <c r="W3382" s="113" t="n"/>
      <c r="X3382" s="113" t="n"/>
      <c r="Y3382" s="113" t="n"/>
      <c r="Z3382" s="117">
        <f>IF($B3382="",0,IF($S3382="EVET",IF($D3382="GELİR",$O3382,-$O3382),0))</f>
        <v/>
      </c>
      <c r="AA3382" s="117">
        <f>IF($B3382="",0,IF(OR($W3382="EVET",$X3382="EVET",$Y3382="EVET"),0,IF($D3382="GELİR",IF($E3382="SATIŞ İADESİ/İSKONTO",-$O3382,$O3382),-$O3382)))</f>
        <v/>
      </c>
      <c r="AB3382" s="117">
        <f>IF($B3382="","",IF(OR($D3382="",$E3382="",$O3382=""),"EKSİK",IF($O3382&lt;=0,"SIFIR/NEGATİF",IF(COUNTIFS($C$6:$C$5000,$C3382,$O$6:$O$5000,$O3382,$B$6:$B$5000,$B3382)&gt;1,"MÜKERRER","OK"))))</f>
        <v/>
      </c>
    </row>
    <row r="3383" ht="16.5" customHeight="1" s="80">
      <c r="A3383" s="113" t="n"/>
      <c r="B3383" s="113" t="n"/>
      <c r="C3383" s="113" t="n"/>
      <c r="D3383" s="113" t="n"/>
      <c r="E3383" s="113" t="n"/>
      <c r="F3383" s="113" t="n"/>
      <c r="G3383" s="113" t="n"/>
      <c r="H3383" s="113" t="n"/>
      <c r="I3383" s="113" t="n"/>
      <c r="J3383" s="113" t="n"/>
      <c r="K3383" s="113" t="n"/>
      <c r="L3383" s="113" t="n"/>
      <c r="M3383" s="113" t="n"/>
      <c r="N3383" s="113" t="n"/>
      <c r="O3383" s="113" t="n"/>
      <c r="P3383" s="113" t="n"/>
      <c r="Q3383" s="113" t="n"/>
      <c r="R3383" s="113" t="n"/>
      <c r="S3383" s="113" t="n"/>
      <c r="T3383" s="113" t="n"/>
      <c r="U3383" s="113" t="n"/>
      <c r="V3383" s="113" t="n"/>
      <c r="W3383" s="113" t="n"/>
      <c r="X3383" s="113" t="n"/>
      <c r="Y3383" s="113" t="n"/>
      <c r="Z3383" s="117">
        <f>IF($B3383="",0,IF($S3383="EVET",IF($D3383="GELİR",$O3383,-$O3383),0))</f>
        <v/>
      </c>
      <c r="AA3383" s="117">
        <f>IF($B3383="",0,IF(OR($W3383="EVET",$X3383="EVET",$Y3383="EVET"),0,IF($D3383="GELİR",IF($E3383="SATIŞ İADESİ/İSKONTO",-$O3383,$O3383),-$O3383)))</f>
        <v/>
      </c>
      <c r="AB3383" s="117">
        <f>IF($B3383="","",IF(OR($D3383="",$E3383="",$O3383=""),"EKSİK",IF($O3383&lt;=0,"SIFIR/NEGATİF",IF(COUNTIFS($C$6:$C$5000,$C3383,$O$6:$O$5000,$O3383,$B$6:$B$5000,$B3383)&gt;1,"MÜKERRER","OK"))))</f>
        <v/>
      </c>
    </row>
    <row r="3384" ht="16.5" customHeight="1" s="80">
      <c r="A3384" s="113" t="n"/>
      <c r="B3384" s="113" t="n"/>
      <c r="C3384" s="113" t="n"/>
      <c r="D3384" s="113" t="n"/>
      <c r="E3384" s="113" t="n"/>
      <c r="F3384" s="113" t="n"/>
      <c r="G3384" s="113" t="n"/>
      <c r="H3384" s="113" t="n"/>
      <c r="I3384" s="113" t="n"/>
      <c r="J3384" s="113" t="n"/>
      <c r="K3384" s="113" t="n"/>
      <c r="L3384" s="113" t="n"/>
      <c r="M3384" s="113" t="n"/>
      <c r="N3384" s="113" t="n"/>
      <c r="O3384" s="113" t="n"/>
      <c r="P3384" s="113" t="n"/>
      <c r="Q3384" s="113" t="n"/>
      <c r="R3384" s="113" t="n"/>
      <c r="S3384" s="113" t="n"/>
      <c r="T3384" s="113" t="n"/>
      <c r="U3384" s="113" t="n"/>
      <c r="V3384" s="113" t="n"/>
      <c r="W3384" s="113" t="n"/>
      <c r="X3384" s="113" t="n"/>
      <c r="Y3384" s="113" t="n"/>
      <c r="Z3384" s="117">
        <f>IF($B3384="",0,IF($S3384="EVET",IF($D3384="GELİR",$O3384,-$O3384),0))</f>
        <v/>
      </c>
      <c r="AA3384" s="117">
        <f>IF($B3384="",0,IF(OR($W3384="EVET",$X3384="EVET",$Y3384="EVET"),0,IF($D3384="GELİR",IF($E3384="SATIŞ İADESİ/İSKONTO",-$O3384,$O3384),-$O3384)))</f>
        <v/>
      </c>
      <c r="AB3384" s="117">
        <f>IF($B3384="","",IF(OR($D3384="",$E3384="",$O3384=""),"EKSİK",IF($O3384&lt;=0,"SIFIR/NEGATİF",IF(COUNTIFS($C$6:$C$5000,$C3384,$O$6:$O$5000,$O3384,$B$6:$B$5000,$B3384)&gt;1,"MÜKERRER","OK"))))</f>
        <v/>
      </c>
    </row>
    <row r="3385" ht="16.5" customHeight="1" s="80">
      <c r="A3385" s="113" t="n"/>
      <c r="B3385" s="113" t="n"/>
      <c r="C3385" s="113" t="n"/>
      <c r="D3385" s="113" t="n"/>
      <c r="E3385" s="113" t="n"/>
      <c r="F3385" s="113" t="n"/>
      <c r="G3385" s="113" t="n"/>
      <c r="H3385" s="113" t="n"/>
      <c r="I3385" s="113" t="n"/>
      <c r="J3385" s="113" t="n"/>
      <c r="K3385" s="113" t="n"/>
      <c r="L3385" s="113" t="n"/>
      <c r="M3385" s="113" t="n"/>
      <c r="N3385" s="113" t="n"/>
      <c r="O3385" s="113" t="n"/>
      <c r="P3385" s="113" t="n"/>
      <c r="Q3385" s="113" t="n"/>
      <c r="R3385" s="113" t="n"/>
      <c r="S3385" s="113" t="n"/>
      <c r="T3385" s="113" t="n"/>
      <c r="U3385" s="113" t="n"/>
      <c r="V3385" s="113" t="n"/>
      <c r="W3385" s="113" t="n"/>
      <c r="X3385" s="113" t="n"/>
      <c r="Y3385" s="113" t="n"/>
      <c r="Z3385" s="117">
        <f>IF($B3385="",0,IF($S3385="EVET",IF($D3385="GELİR",$O3385,-$O3385),0))</f>
        <v/>
      </c>
      <c r="AA3385" s="117">
        <f>IF($B3385="",0,IF(OR($W3385="EVET",$X3385="EVET",$Y3385="EVET"),0,IF($D3385="GELİR",IF($E3385="SATIŞ İADESİ/İSKONTO",-$O3385,$O3385),-$O3385)))</f>
        <v/>
      </c>
      <c r="AB3385" s="117">
        <f>IF($B3385="","",IF(OR($D3385="",$E3385="",$O3385=""),"EKSİK",IF($O3385&lt;=0,"SIFIR/NEGATİF",IF(COUNTIFS($C$6:$C$5000,$C3385,$O$6:$O$5000,$O3385,$B$6:$B$5000,$B3385)&gt;1,"MÜKERRER","OK"))))</f>
        <v/>
      </c>
    </row>
    <row r="3386" ht="16.5" customHeight="1" s="80">
      <c r="A3386" s="113" t="n"/>
      <c r="B3386" s="113" t="n"/>
      <c r="C3386" s="113" t="n"/>
      <c r="D3386" s="113" t="n"/>
      <c r="E3386" s="113" t="n"/>
      <c r="F3386" s="113" t="n"/>
      <c r="G3386" s="113" t="n"/>
      <c r="H3386" s="113" t="n"/>
      <c r="I3386" s="113" t="n"/>
      <c r="J3386" s="113" t="n"/>
      <c r="K3386" s="113" t="n"/>
      <c r="L3386" s="113" t="n"/>
      <c r="M3386" s="113" t="n"/>
      <c r="N3386" s="113" t="n"/>
      <c r="O3386" s="113" t="n"/>
      <c r="P3386" s="113" t="n"/>
      <c r="Q3386" s="113" t="n"/>
      <c r="R3386" s="113" t="n"/>
      <c r="S3386" s="113" t="n"/>
      <c r="T3386" s="113" t="n"/>
      <c r="U3386" s="113" t="n"/>
      <c r="V3386" s="113" t="n"/>
      <c r="W3386" s="113" t="n"/>
      <c r="X3386" s="113" t="n"/>
      <c r="Y3386" s="113" t="n"/>
      <c r="Z3386" s="117">
        <f>IF($B3386="",0,IF($S3386="EVET",IF($D3386="GELİR",$O3386,-$O3386),0))</f>
        <v/>
      </c>
      <c r="AA3386" s="117">
        <f>IF($B3386="",0,IF(OR($W3386="EVET",$X3386="EVET",$Y3386="EVET"),0,IF($D3386="GELİR",IF($E3386="SATIŞ İADESİ/İSKONTO",-$O3386,$O3386),-$O3386)))</f>
        <v/>
      </c>
      <c r="AB3386" s="117">
        <f>IF($B3386="","",IF(OR($D3386="",$E3386="",$O3386=""),"EKSİK",IF($O3386&lt;=0,"SIFIR/NEGATİF",IF(COUNTIFS($C$6:$C$5000,$C3386,$O$6:$O$5000,$O3386,$B$6:$B$5000,$B3386)&gt;1,"MÜKERRER","OK"))))</f>
        <v/>
      </c>
    </row>
    <row r="3387" ht="16.5" customHeight="1" s="80">
      <c r="A3387" s="113" t="n"/>
      <c r="B3387" s="113" t="n"/>
      <c r="C3387" s="113" t="n"/>
      <c r="D3387" s="113" t="n"/>
      <c r="E3387" s="113" t="n"/>
      <c r="F3387" s="113" t="n"/>
      <c r="G3387" s="113" t="n"/>
      <c r="H3387" s="113" t="n"/>
      <c r="I3387" s="113" t="n"/>
      <c r="J3387" s="113" t="n"/>
      <c r="K3387" s="113" t="n"/>
      <c r="L3387" s="113" t="n"/>
      <c r="M3387" s="113" t="n"/>
      <c r="N3387" s="113" t="n"/>
      <c r="O3387" s="113" t="n"/>
      <c r="P3387" s="113" t="n"/>
      <c r="Q3387" s="113" t="n"/>
      <c r="R3387" s="113" t="n"/>
      <c r="S3387" s="113" t="n"/>
      <c r="T3387" s="113" t="n"/>
      <c r="U3387" s="113" t="n"/>
      <c r="V3387" s="113" t="n"/>
      <c r="W3387" s="113" t="n"/>
      <c r="X3387" s="113" t="n"/>
      <c r="Y3387" s="113" t="n"/>
      <c r="Z3387" s="117">
        <f>IF($B3387="",0,IF($S3387="EVET",IF($D3387="GELİR",$O3387,-$O3387),0))</f>
        <v/>
      </c>
      <c r="AA3387" s="117">
        <f>IF($B3387="",0,IF(OR($W3387="EVET",$X3387="EVET",$Y3387="EVET"),0,IF($D3387="GELİR",IF($E3387="SATIŞ İADESİ/İSKONTO",-$O3387,$O3387),-$O3387)))</f>
        <v/>
      </c>
      <c r="AB3387" s="117">
        <f>IF($B3387="","",IF(OR($D3387="",$E3387="",$O3387=""),"EKSİK",IF($O3387&lt;=0,"SIFIR/NEGATİF",IF(COUNTIFS($C$6:$C$5000,$C3387,$O$6:$O$5000,$O3387,$B$6:$B$5000,$B3387)&gt;1,"MÜKERRER","OK"))))</f>
        <v/>
      </c>
    </row>
    <row r="3388" ht="16.5" customHeight="1" s="80">
      <c r="A3388" s="113" t="n"/>
      <c r="B3388" s="113" t="n"/>
      <c r="C3388" s="113" t="n"/>
      <c r="D3388" s="113" t="n"/>
      <c r="E3388" s="113" t="n"/>
      <c r="F3388" s="113" t="n"/>
      <c r="G3388" s="113" t="n"/>
      <c r="H3388" s="113" t="n"/>
      <c r="I3388" s="113" t="n"/>
      <c r="J3388" s="113" t="n"/>
      <c r="K3388" s="113" t="n"/>
      <c r="L3388" s="113" t="n"/>
      <c r="M3388" s="113" t="n"/>
      <c r="N3388" s="113" t="n"/>
      <c r="O3388" s="113" t="n"/>
      <c r="P3388" s="113" t="n"/>
      <c r="Q3388" s="113" t="n"/>
      <c r="R3388" s="113" t="n"/>
      <c r="S3388" s="113" t="n"/>
      <c r="T3388" s="113" t="n"/>
      <c r="U3388" s="113" t="n"/>
      <c r="V3388" s="113" t="n"/>
      <c r="W3388" s="113" t="n"/>
      <c r="X3388" s="113" t="n"/>
      <c r="Y3388" s="113" t="n"/>
      <c r="Z3388" s="117">
        <f>IF($B3388="",0,IF($S3388="EVET",IF($D3388="GELİR",$O3388,-$O3388),0))</f>
        <v/>
      </c>
      <c r="AA3388" s="117">
        <f>IF($B3388="",0,IF(OR($W3388="EVET",$X3388="EVET",$Y3388="EVET"),0,IF($D3388="GELİR",IF($E3388="SATIŞ İADESİ/İSKONTO",-$O3388,$O3388),-$O3388)))</f>
        <v/>
      </c>
      <c r="AB3388" s="117">
        <f>IF($B3388="","",IF(OR($D3388="",$E3388="",$O3388=""),"EKSİK",IF($O3388&lt;=0,"SIFIR/NEGATİF",IF(COUNTIFS($C$6:$C$5000,$C3388,$O$6:$O$5000,$O3388,$B$6:$B$5000,$B3388)&gt;1,"MÜKERRER","OK"))))</f>
        <v/>
      </c>
    </row>
    <row r="3389" ht="16.5" customHeight="1" s="80">
      <c r="A3389" s="113" t="n"/>
      <c r="B3389" s="113" t="n"/>
      <c r="C3389" s="113" t="n"/>
      <c r="D3389" s="113" t="n"/>
      <c r="E3389" s="113" t="n"/>
      <c r="F3389" s="113" t="n"/>
      <c r="G3389" s="113" t="n"/>
      <c r="H3389" s="113" t="n"/>
      <c r="I3389" s="113" t="n"/>
      <c r="J3389" s="113" t="n"/>
      <c r="K3389" s="113" t="n"/>
      <c r="L3389" s="113" t="n"/>
      <c r="M3389" s="113" t="n"/>
      <c r="N3389" s="113" t="n"/>
      <c r="O3389" s="113" t="n"/>
      <c r="P3389" s="113" t="n"/>
      <c r="Q3389" s="113" t="n"/>
      <c r="R3389" s="113" t="n"/>
      <c r="S3389" s="113" t="n"/>
      <c r="T3389" s="113" t="n"/>
      <c r="U3389" s="113" t="n"/>
      <c r="V3389" s="113" t="n"/>
      <c r="W3389" s="113" t="n"/>
      <c r="X3389" s="113" t="n"/>
      <c r="Y3389" s="113" t="n"/>
      <c r="Z3389" s="117">
        <f>IF($B3389="",0,IF($S3389="EVET",IF($D3389="GELİR",$O3389,-$O3389),0))</f>
        <v/>
      </c>
      <c r="AA3389" s="117">
        <f>IF($B3389="",0,IF(OR($W3389="EVET",$X3389="EVET",$Y3389="EVET"),0,IF($D3389="GELİR",IF($E3389="SATIŞ İADESİ/İSKONTO",-$O3389,$O3389),-$O3389)))</f>
        <v/>
      </c>
      <c r="AB3389" s="117">
        <f>IF($B3389="","",IF(OR($D3389="",$E3389="",$O3389=""),"EKSİK",IF($O3389&lt;=0,"SIFIR/NEGATİF",IF(COUNTIFS($C$6:$C$5000,$C3389,$O$6:$O$5000,$O3389,$B$6:$B$5000,$B3389)&gt;1,"MÜKERRER","OK"))))</f>
        <v/>
      </c>
    </row>
    <row r="3390" ht="16.5" customHeight="1" s="80">
      <c r="A3390" s="113" t="n"/>
      <c r="B3390" s="113" t="n"/>
      <c r="C3390" s="113" t="n"/>
      <c r="D3390" s="113" t="n"/>
      <c r="E3390" s="113" t="n"/>
      <c r="F3390" s="113" t="n"/>
      <c r="G3390" s="113" t="n"/>
      <c r="H3390" s="113" t="n"/>
      <c r="I3390" s="113" t="n"/>
      <c r="J3390" s="113" t="n"/>
      <c r="K3390" s="113" t="n"/>
      <c r="L3390" s="113" t="n"/>
      <c r="M3390" s="113" t="n"/>
      <c r="N3390" s="113" t="n"/>
      <c r="O3390" s="113" t="n"/>
      <c r="P3390" s="113" t="n"/>
      <c r="Q3390" s="113" t="n"/>
      <c r="R3390" s="113" t="n"/>
      <c r="S3390" s="113" t="n"/>
      <c r="T3390" s="113" t="n"/>
      <c r="U3390" s="113" t="n"/>
      <c r="V3390" s="113" t="n"/>
      <c r="W3390" s="113" t="n"/>
      <c r="X3390" s="113" t="n"/>
      <c r="Y3390" s="113" t="n"/>
      <c r="Z3390" s="117">
        <f>IF($B3390="",0,IF($S3390="EVET",IF($D3390="GELİR",$O3390,-$O3390),0))</f>
        <v/>
      </c>
      <c r="AA3390" s="117">
        <f>IF($B3390="",0,IF(OR($W3390="EVET",$X3390="EVET",$Y3390="EVET"),0,IF($D3390="GELİR",IF($E3390="SATIŞ İADESİ/İSKONTO",-$O3390,$O3390),-$O3390)))</f>
        <v/>
      </c>
      <c r="AB3390" s="117">
        <f>IF($B3390="","",IF(OR($D3390="",$E3390="",$O3390=""),"EKSİK",IF($O3390&lt;=0,"SIFIR/NEGATİF",IF(COUNTIFS($C$6:$C$5000,$C3390,$O$6:$O$5000,$O3390,$B$6:$B$5000,$B3390)&gt;1,"MÜKERRER","OK"))))</f>
        <v/>
      </c>
    </row>
    <row r="3391" ht="16.5" customHeight="1" s="80">
      <c r="A3391" s="113" t="n"/>
      <c r="B3391" s="113" t="n"/>
      <c r="C3391" s="113" t="n"/>
      <c r="D3391" s="113" t="n"/>
      <c r="E3391" s="113" t="n"/>
      <c r="F3391" s="113" t="n"/>
      <c r="G3391" s="113" t="n"/>
      <c r="H3391" s="113" t="n"/>
      <c r="I3391" s="113" t="n"/>
      <c r="J3391" s="113" t="n"/>
      <c r="K3391" s="113" t="n"/>
      <c r="L3391" s="113" t="n"/>
      <c r="M3391" s="113" t="n"/>
      <c r="N3391" s="113" t="n"/>
      <c r="O3391" s="113" t="n"/>
      <c r="P3391" s="113" t="n"/>
      <c r="Q3391" s="113" t="n"/>
      <c r="R3391" s="113" t="n"/>
      <c r="S3391" s="113" t="n"/>
      <c r="T3391" s="113" t="n"/>
      <c r="U3391" s="113" t="n"/>
      <c r="V3391" s="113" t="n"/>
      <c r="W3391" s="113" t="n"/>
      <c r="X3391" s="113" t="n"/>
      <c r="Y3391" s="113" t="n"/>
      <c r="Z3391" s="117">
        <f>IF($B3391="",0,IF($S3391="EVET",IF($D3391="GELİR",$O3391,-$O3391),0))</f>
        <v/>
      </c>
      <c r="AA3391" s="117">
        <f>IF($B3391="",0,IF(OR($W3391="EVET",$X3391="EVET",$Y3391="EVET"),0,IF($D3391="GELİR",IF($E3391="SATIŞ İADESİ/İSKONTO",-$O3391,$O3391),-$O3391)))</f>
        <v/>
      </c>
      <c r="AB3391" s="117">
        <f>IF($B3391="","",IF(OR($D3391="",$E3391="",$O3391=""),"EKSİK",IF($O3391&lt;=0,"SIFIR/NEGATİF",IF(COUNTIFS($C$6:$C$5000,$C3391,$O$6:$O$5000,$O3391,$B$6:$B$5000,$B3391)&gt;1,"MÜKERRER","OK"))))</f>
        <v/>
      </c>
    </row>
    <row r="3392" ht="16.5" customHeight="1" s="80">
      <c r="A3392" s="113" t="n"/>
      <c r="B3392" s="113" t="n"/>
      <c r="C3392" s="113" t="n"/>
      <c r="D3392" s="113" t="n"/>
      <c r="E3392" s="113" t="n"/>
      <c r="F3392" s="113" t="n"/>
      <c r="G3392" s="113" t="n"/>
      <c r="H3392" s="113" t="n"/>
      <c r="I3392" s="113" t="n"/>
      <c r="J3392" s="113" t="n"/>
      <c r="K3392" s="113" t="n"/>
      <c r="L3392" s="113" t="n"/>
      <c r="M3392" s="113" t="n"/>
      <c r="N3392" s="113" t="n"/>
      <c r="O3392" s="113" t="n"/>
      <c r="P3392" s="113" t="n"/>
      <c r="Q3392" s="113" t="n"/>
      <c r="R3392" s="113" t="n"/>
      <c r="S3392" s="113" t="n"/>
      <c r="T3392" s="113" t="n"/>
      <c r="U3392" s="113" t="n"/>
      <c r="V3392" s="113" t="n"/>
      <c r="W3392" s="113" t="n"/>
      <c r="X3392" s="113" t="n"/>
      <c r="Y3392" s="113" t="n"/>
      <c r="Z3392" s="117">
        <f>IF($B3392="",0,IF($S3392="EVET",IF($D3392="GELİR",$O3392,-$O3392),0))</f>
        <v/>
      </c>
      <c r="AA3392" s="117">
        <f>IF($B3392="",0,IF(OR($W3392="EVET",$X3392="EVET",$Y3392="EVET"),0,IF($D3392="GELİR",IF($E3392="SATIŞ İADESİ/İSKONTO",-$O3392,$O3392),-$O3392)))</f>
        <v/>
      </c>
      <c r="AB3392" s="117">
        <f>IF($B3392="","",IF(OR($D3392="",$E3392="",$O3392=""),"EKSİK",IF($O3392&lt;=0,"SIFIR/NEGATİF",IF(COUNTIFS($C$6:$C$5000,$C3392,$O$6:$O$5000,$O3392,$B$6:$B$5000,$B3392)&gt;1,"MÜKERRER","OK"))))</f>
        <v/>
      </c>
    </row>
    <row r="3393" ht="16.5" customHeight="1" s="80">
      <c r="A3393" s="113" t="n"/>
      <c r="B3393" s="113" t="n"/>
      <c r="C3393" s="113" t="n"/>
      <c r="D3393" s="113" t="n"/>
      <c r="E3393" s="113" t="n"/>
      <c r="F3393" s="113" t="n"/>
      <c r="G3393" s="113" t="n"/>
      <c r="H3393" s="113" t="n"/>
      <c r="I3393" s="113" t="n"/>
      <c r="J3393" s="113" t="n"/>
      <c r="K3393" s="113" t="n"/>
      <c r="L3393" s="113" t="n"/>
      <c r="M3393" s="113" t="n"/>
      <c r="N3393" s="113" t="n"/>
      <c r="O3393" s="113" t="n"/>
      <c r="P3393" s="113" t="n"/>
      <c r="Q3393" s="113" t="n"/>
      <c r="R3393" s="113" t="n"/>
      <c r="S3393" s="113" t="n"/>
      <c r="T3393" s="113" t="n"/>
      <c r="U3393" s="113" t="n"/>
      <c r="V3393" s="113" t="n"/>
      <c r="W3393" s="113" t="n"/>
      <c r="X3393" s="113" t="n"/>
      <c r="Y3393" s="113" t="n"/>
      <c r="Z3393" s="117">
        <f>IF($B3393="",0,IF($S3393="EVET",IF($D3393="GELİR",$O3393,-$O3393),0))</f>
        <v/>
      </c>
      <c r="AA3393" s="117">
        <f>IF($B3393="",0,IF(OR($W3393="EVET",$X3393="EVET",$Y3393="EVET"),0,IF($D3393="GELİR",IF($E3393="SATIŞ İADESİ/İSKONTO",-$O3393,$O3393),-$O3393)))</f>
        <v/>
      </c>
      <c r="AB3393" s="117">
        <f>IF($B3393="","",IF(OR($D3393="",$E3393="",$O3393=""),"EKSİK",IF($O3393&lt;=0,"SIFIR/NEGATİF",IF(COUNTIFS($C$6:$C$5000,$C3393,$O$6:$O$5000,$O3393,$B$6:$B$5000,$B3393)&gt;1,"MÜKERRER","OK"))))</f>
        <v/>
      </c>
    </row>
    <row r="3394" ht="16.5" customHeight="1" s="80">
      <c r="A3394" s="113" t="n"/>
      <c r="B3394" s="113" t="n"/>
      <c r="C3394" s="113" t="n"/>
      <c r="D3394" s="113" t="n"/>
      <c r="E3394" s="113" t="n"/>
      <c r="F3394" s="113" t="n"/>
      <c r="G3394" s="113" t="n"/>
      <c r="H3394" s="113" t="n"/>
      <c r="I3394" s="113" t="n"/>
      <c r="J3394" s="113" t="n"/>
      <c r="K3394" s="113" t="n"/>
      <c r="L3394" s="113" t="n"/>
      <c r="M3394" s="113" t="n"/>
      <c r="N3394" s="113" t="n"/>
      <c r="O3394" s="113" t="n"/>
      <c r="P3394" s="113" t="n"/>
      <c r="Q3394" s="113" t="n"/>
      <c r="R3394" s="113" t="n"/>
      <c r="S3394" s="113" t="n"/>
      <c r="T3394" s="113" t="n"/>
      <c r="U3394" s="113" t="n"/>
      <c r="V3394" s="113" t="n"/>
      <c r="W3394" s="113" t="n"/>
      <c r="X3394" s="113" t="n"/>
      <c r="Y3394" s="113" t="n"/>
      <c r="Z3394" s="117">
        <f>IF($B3394="",0,IF($S3394="EVET",IF($D3394="GELİR",$O3394,-$O3394),0))</f>
        <v/>
      </c>
      <c r="AA3394" s="117">
        <f>IF($B3394="",0,IF(OR($W3394="EVET",$X3394="EVET",$Y3394="EVET"),0,IF($D3394="GELİR",IF($E3394="SATIŞ İADESİ/İSKONTO",-$O3394,$O3394),-$O3394)))</f>
        <v/>
      </c>
      <c r="AB3394" s="117">
        <f>IF($B3394="","",IF(OR($D3394="",$E3394="",$O3394=""),"EKSİK",IF($O3394&lt;=0,"SIFIR/NEGATİF",IF(COUNTIFS($C$6:$C$5000,$C3394,$O$6:$O$5000,$O3394,$B$6:$B$5000,$B3394)&gt;1,"MÜKERRER","OK"))))</f>
        <v/>
      </c>
    </row>
    <row r="3395" ht="16.5" customHeight="1" s="80">
      <c r="A3395" s="113" t="n"/>
      <c r="B3395" s="113" t="n"/>
      <c r="C3395" s="113" t="n"/>
      <c r="D3395" s="113" t="n"/>
      <c r="E3395" s="113" t="n"/>
      <c r="F3395" s="113" t="n"/>
      <c r="G3395" s="113" t="n"/>
      <c r="H3395" s="113" t="n"/>
      <c r="I3395" s="113" t="n"/>
      <c r="J3395" s="113" t="n"/>
      <c r="K3395" s="113" t="n"/>
      <c r="L3395" s="113" t="n"/>
      <c r="M3395" s="113" t="n"/>
      <c r="N3395" s="113" t="n"/>
      <c r="O3395" s="113" t="n"/>
      <c r="P3395" s="113" t="n"/>
      <c r="Q3395" s="113" t="n"/>
      <c r="R3395" s="113" t="n"/>
      <c r="S3395" s="113" t="n"/>
      <c r="T3395" s="113" t="n"/>
      <c r="U3395" s="113" t="n"/>
      <c r="V3395" s="113" t="n"/>
      <c r="W3395" s="113" t="n"/>
      <c r="X3395" s="113" t="n"/>
      <c r="Y3395" s="113" t="n"/>
      <c r="Z3395" s="117">
        <f>IF($B3395="",0,IF($S3395="EVET",IF($D3395="GELİR",$O3395,-$O3395),0))</f>
        <v/>
      </c>
      <c r="AA3395" s="117">
        <f>IF($B3395="",0,IF(OR($W3395="EVET",$X3395="EVET",$Y3395="EVET"),0,IF($D3395="GELİR",IF($E3395="SATIŞ İADESİ/İSKONTO",-$O3395,$O3395),-$O3395)))</f>
        <v/>
      </c>
      <c r="AB3395" s="117">
        <f>IF($B3395="","",IF(OR($D3395="",$E3395="",$O3395=""),"EKSİK",IF($O3395&lt;=0,"SIFIR/NEGATİF",IF(COUNTIFS($C$6:$C$5000,$C3395,$O$6:$O$5000,$O3395,$B$6:$B$5000,$B3395)&gt;1,"MÜKERRER","OK"))))</f>
        <v/>
      </c>
    </row>
    <row r="3396" ht="16.5" customHeight="1" s="80">
      <c r="A3396" s="113" t="n"/>
      <c r="B3396" s="113" t="n"/>
      <c r="C3396" s="113" t="n"/>
      <c r="D3396" s="113" t="n"/>
      <c r="E3396" s="113" t="n"/>
      <c r="F3396" s="113" t="n"/>
      <c r="G3396" s="113" t="n"/>
      <c r="H3396" s="113" t="n"/>
      <c r="I3396" s="113" t="n"/>
      <c r="J3396" s="113" t="n"/>
      <c r="K3396" s="113" t="n"/>
      <c r="L3396" s="113" t="n"/>
      <c r="M3396" s="113" t="n"/>
      <c r="N3396" s="113" t="n"/>
      <c r="O3396" s="113" t="n"/>
      <c r="P3396" s="113" t="n"/>
      <c r="Q3396" s="113" t="n"/>
      <c r="R3396" s="113" t="n"/>
      <c r="S3396" s="113" t="n"/>
      <c r="T3396" s="113" t="n"/>
      <c r="U3396" s="113" t="n"/>
      <c r="V3396" s="113" t="n"/>
      <c r="W3396" s="113" t="n"/>
      <c r="X3396" s="113" t="n"/>
      <c r="Y3396" s="113" t="n"/>
      <c r="Z3396" s="117">
        <f>IF($B3396="",0,IF($S3396="EVET",IF($D3396="GELİR",$O3396,-$O3396),0))</f>
        <v/>
      </c>
      <c r="AA3396" s="117">
        <f>IF($B3396="",0,IF(OR($W3396="EVET",$X3396="EVET",$Y3396="EVET"),0,IF($D3396="GELİR",IF($E3396="SATIŞ İADESİ/İSKONTO",-$O3396,$O3396),-$O3396)))</f>
        <v/>
      </c>
      <c r="AB3396" s="117">
        <f>IF($B3396="","",IF(OR($D3396="",$E3396="",$O3396=""),"EKSİK",IF($O3396&lt;=0,"SIFIR/NEGATİF",IF(COUNTIFS($C$6:$C$5000,$C3396,$O$6:$O$5000,$O3396,$B$6:$B$5000,$B3396)&gt;1,"MÜKERRER","OK"))))</f>
        <v/>
      </c>
    </row>
    <row r="3397" ht="16.5" customHeight="1" s="80">
      <c r="A3397" s="113" t="n"/>
      <c r="B3397" s="113" t="n"/>
      <c r="C3397" s="113" t="n"/>
      <c r="D3397" s="113" t="n"/>
      <c r="E3397" s="113" t="n"/>
      <c r="F3397" s="113" t="n"/>
      <c r="G3397" s="113" t="n"/>
      <c r="H3397" s="113" t="n"/>
      <c r="I3397" s="113" t="n"/>
      <c r="J3397" s="113" t="n"/>
      <c r="K3397" s="113" t="n"/>
      <c r="L3397" s="113" t="n"/>
      <c r="M3397" s="113" t="n"/>
      <c r="N3397" s="113" t="n"/>
      <c r="O3397" s="113" t="n"/>
      <c r="P3397" s="113" t="n"/>
      <c r="Q3397" s="113" t="n"/>
      <c r="R3397" s="113" t="n"/>
      <c r="S3397" s="113" t="n"/>
      <c r="T3397" s="113" t="n"/>
      <c r="U3397" s="113" t="n"/>
      <c r="V3397" s="113" t="n"/>
      <c r="W3397" s="113" t="n"/>
      <c r="X3397" s="113" t="n"/>
      <c r="Y3397" s="113" t="n"/>
      <c r="Z3397" s="117">
        <f>IF($B3397="",0,IF($S3397="EVET",IF($D3397="GELİR",$O3397,-$O3397),0))</f>
        <v/>
      </c>
      <c r="AA3397" s="117">
        <f>IF($B3397="",0,IF(OR($W3397="EVET",$X3397="EVET",$Y3397="EVET"),0,IF($D3397="GELİR",IF($E3397="SATIŞ İADESİ/İSKONTO",-$O3397,$O3397),-$O3397)))</f>
        <v/>
      </c>
      <c r="AB3397" s="117">
        <f>IF($B3397="","",IF(OR($D3397="",$E3397="",$O3397=""),"EKSİK",IF($O3397&lt;=0,"SIFIR/NEGATİF",IF(COUNTIFS($C$6:$C$5000,$C3397,$O$6:$O$5000,$O3397,$B$6:$B$5000,$B3397)&gt;1,"MÜKERRER","OK"))))</f>
        <v/>
      </c>
    </row>
    <row r="3398" ht="16.5" customHeight="1" s="80">
      <c r="A3398" s="113" t="n"/>
      <c r="B3398" s="113" t="n"/>
      <c r="C3398" s="113" t="n"/>
      <c r="D3398" s="113" t="n"/>
      <c r="E3398" s="113" t="n"/>
      <c r="F3398" s="113" t="n"/>
      <c r="G3398" s="113" t="n"/>
      <c r="H3398" s="113" t="n"/>
      <c r="I3398" s="113" t="n"/>
      <c r="J3398" s="113" t="n"/>
      <c r="K3398" s="113" t="n"/>
      <c r="L3398" s="113" t="n"/>
      <c r="M3398" s="113" t="n"/>
      <c r="N3398" s="113" t="n"/>
      <c r="O3398" s="113" t="n"/>
      <c r="P3398" s="113" t="n"/>
      <c r="Q3398" s="113" t="n"/>
      <c r="R3398" s="113" t="n"/>
      <c r="S3398" s="113" t="n"/>
      <c r="T3398" s="113" t="n"/>
      <c r="U3398" s="113" t="n"/>
      <c r="V3398" s="113" t="n"/>
      <c r="W3398" s="113" t="n"/>
      <c r="X3398" s="113" t="n"/>
      <c r="Y3398" s="113" t="n"/>
      <c r="Z3398" s="117">
        <f>IF($B3398="",0,IF($S3398="EVET",IF($D3398="GELİR",$O3398,-$O3398),0))</f>
        <v/>
      </c>
      <c r="AA3398" s="117">
        <f>IF($B3398="",0,IF(OR($W3398="EVET",$X3398="EVET",$Y3398="EVET"),0,IF($D3398="GELİR",IF($E3398="SATIŞ İADESİ/İSKONTO",-$O3398,$O3398),-$O3398)))</f>
        <v/>
      </c>
      <c r="AB3398" s="117">
        <f>IF($B3398="","",IF(OR($D3398="",$E3398="",$O3398=""),"EKSİK",IF($O3398&lt;=0,"SIFIR/NEGATİF",IF(COUNTIFS($C$6:$C$5000,$C3398,$O$6:$O$5000,$O3398,$B$6:$B$5000,$B3398)&gt;1,"MÜKERRER","OK"))))</f>
        <v/>
      </c>
    </row>
    <row r="3399" ht="16.5" customHeight="1" s="80">
      <c r="A3399" s="113" t="n"/>
      <c r="B3399" s="113" t="n"/>
      <c r="C3399" s="113" t="n"/>
      <c r="D3399" s="113" t="n"/>
      <c r="E3399" s="113" t="n"/>
      <c r="F3399" s="113" t="n"/>
      <c r="G3399" s="113" t="n"/>
      <c r="H3399" s="113" t="n"/>
      <c r="I3399" s="113" t="n"/>
      <c r="J3399" s="113" t="n"/>
      <c r="K3399" s="113" t="n"/>
      <c r="L3399" s="113" t="n"/>
      <c r="M3399" s="113" t="n"/>
      <c r="N3399" s="113" t="n"/>
      <c r="O3399" s="113" t="n"/>
      <c r="P3399" s="113" t="n"/>
      <c r="Q3399" s="113" t="n"/>
      <c r="R3399" s="113" t="n"/>
      <c r="S3399" s="113" t="n"/>
      <c r="T3399" s="113" t="n"/>
      <c r="U3399" s="113" t="n"/>
      <c r="V3399" s="113" t="n"/>
      <c r="W3399" s="113" t="n"/>
      <c r="X3399" s="113" t="n"/>
      <c r="Y3399" s="113" t="n"/>
      <c r="Z3399" s="117">
        <f>IF($B3399="",0,IF($S3399="EVET",IF($D3399="GELİR",$O3399,-$O3399),0))</f>
        <v/>
      </c>
      <c r="AA3399" s="117">
        <f>IF($B3399="",0,IF(OR($W3399="EVET",$X3399="EVET",$Y3399="EVET"),0,IF($D3399="GELİR",IF($E3399="SATIŞ İADESİ/İSKONTO",-$O3399,$O3399),-$O3399)))</f>
        <v/>
      </c>
      <c r="AB3399" s="117">
        <f>IF($B3399="","",IF(OR($D3399="",$E3399="",$O3399=""),"EKSİK",IF($O3399&lt;=0,"SIFIR/NEGATİF",IF(COUNTIFS($C$6:$C$5000,$C3399,$O$6:$O$5000,$O3399,$B$6:$B$5000,$B3399)&gt;1,"MÜKERRER","OK"))))</f>
        <v/>
      </c>
    </row>
    <row r="3400" ht="16.5" customHeight="1" s="80">
      <c r="A3400" s="113" t="n"/>
      <c r="B3400" s="113" t="n"/>
      <c r="C3400" s="113" t="n"/>
      <c r="D3400" s="113" t="n"/>
      <c r="E3400" s="113" t="n"/>
      <c r="F3400" s="113" t="n"/>
      <c r="G3400" s="113" t="n"/>
      <c r="H3400" s="113" t="n"/>
      <c r="I3400" s="113" t="n"/>
      <c r="J3400" s="113" t="n"/>
      <c r="K3400" s="113" t="n"/>
      <c r="L3400" s="113" t="n"/>
      <c r="M3400" s="113" t="n"/>
      <c r="N3400" s="113" t="n"/>
      <c r="O3400" s="113" t="n"/>
      <c r="P3400" s="113" t="n"/>
      <c r="Q3400" s="113" t="n"/>
      <c r="R3400" s="113" t="n"/>
      <c r="S3400" s="113" t="n"/>
      <c r="T3400" s="113" t="n"/>
      <c r="U3400" s="113" t="n"/>
      <c r="V3400" s="113" t="n"/>
      <c r="W3400" s="113" t="n"/>
      <c r="X3400" s="113" t="n"/>
      <c r="Y3400" s="113" t="n"/>
      <c r="Z3400" s="117">
        <f>IF($B3400="",0,IF($S3400="EVET",IF($D3400="GELİR",$O3400,-$O3400),0))</f>
        <v/>
      </c>
      <c r="AA3400" s="117">
        <f>IF($B3400="",0,IF(OR($W3400="EVET",$X3400="EVET",$Y3400="EVET"),0,IF($D3400="GELİR",IF($E3400="SATIŞ İADESİ/İSKONTO",-$O3400,$O3400),-$O3400)))</f>
        <v/>
      </c>
      <c r="AB3400" s="117">
        <f>IF($B3400="","",IF(OR($D3400="",$E3400="",$O3400=""),"EKSİK",IF($O3400&lt;=0,"SIFIR/NEGATİF",IF(COUNTIFS($C$6:$C$5000,$C3400,$O$6:$O$5000,$O3400,$B$6:$B$5000,$B3400)&gt;1,"MÜKERRER","OK"))))</f>
        <v/>
      </c>
    </row>
    <row r="3401" ht="16.5" customHeight="1" s="80">
      <c r="A3401" s="113" t="n"/>
      <c r="B3401" s="113" t="n"/>
      <c r="C3401" s="113" t="n"/>
      <c r="D3401" s="113" t="n"/>
      <c r="E3401" s="113" t="n"/>
      <c r="F3401" s="113" t="n"/>
      <c r="G3401" s="113" t="n"/>
      <c r="H3401" s="113" t="n"/>
      <c r="I3401" s="113" t="n"/>
      <c r="J3401" s="113" t="n"/>
      <c r="K3401" s="113" t="n"/>
      <c r="L3401" s="113" t="n"/>
      <c r="M3401" s="113" t="n"/>
      <c r="N3401" s="113" t="n"/>
      <c r="O3401" s="113" t="n"/>
      <c r="P3401" s="113" t="n"/>
      <c r="Q3401" s="113" t="n"/>
      <c r="R3401" s="113" t="n"/>
      <c r="S3401" s="113" t="n"/>
      <c r="T3401" s="113" t="n"/>
      <c r="U3401" s="113" t="n"/>
      <c r="V3401" s="113" t="n"/>
      <c r="W3401" s="113" t="n"/>
      <c r="X3401" s="113" t="n"/>
      <c r="Y3401" s="113" t="n"/>
      <c r="Z3401" s="117">
        <f>IF($B3401="",0,IF($S3401="EVET",IF($D3401="GELİR",$O3401,-$O3401),0))</f>
        <v/>
      </c>
      <c r="AA3401" s="117">
        <f>IF($B3401="",0,IF(OR($W3401="EVET",$X3401="EVET",$Y3401="EVET"),0,IF($D3401="GELİR",IF($E3401="SATIŞ İADESİ/İSKONTO",-$O3401,$O3401),-$O3401)))</f>
        <v/>
      </c>
      <c r="AB3401" s="117">
        <f>IF($B3401="","",IF(OR($D3401="",$E3401="",$O3401=""),"EKSİK",IF($O3401&lt;=0,"SIFIR/NEGATİF",IF(COUNTIFS($C$6:$C$5000,$C3401,$O$6:$O$5000,$O3401,$B$6:$B$5000,$B3401)&gt;1,"MÜKERRER","OK"))))</f>
        <v/>
      </c>
    </row>
    <row r="3402" ht="16.5" customHeight="1" s="80">
      <c r="A3402" s="113" t="n"/>
      <c r="B3402" s="113" t="n"/>
      <c r="C3402" s="113" t="n"/>
      <c r="D3402" s="113" t="n"/>
      <c r="E3402" s="113" t="n"/>
      <c r="F3402" s="113" t="n"/>
      <c r="G3402" s="113" t="n"/>
      <c r="H3402" s="113" t="n"/>
      <c r="I3402" s="113" t="n"/>
      <c r="J3402" s="113" t="n"/>
      <c r="K3402" s="113" t="n"/>
      <c r="L3402" s="113" t="n"/>
      <c r="M3402" s="113" t="n"/>
      <c r="N3402" s="113" t="n"/>
      <c r="O3402" s="113" t="n"/>
      <c r="P3402" s="113" t="n"/>
      <c r="Q3402" s="113" t="n"/>
      <c r="R3402" s="113" t="n"/>
      <c r="S3402" s="113" t="n"/>
      <c r="T3402" s="113" t="n"/>
      <c r="U3402" s="113" t="n"/>
      <c r="V3402" s="113" t="n"/>
      <c r="W3402" s="113" t="n"/>
      <c r="X3402" s="113" t="n"/>
      <c r="Y3402" s="113" t="n"/>
      <c r="Z3402" s="117">
        <f>IF($B3402="",0,IF($S3402="EVET",IF($D3402="GELİR",$O3402,-$O3402),0))</f>
        <v/>
      </c>
      <c r="AA3402" s="117">
        <f>IF($B3402="",0,IF(OR($W3402="EVET",$X3402="EVET",$Y3402="EVET"),0,IF($D3402="GELİR",IF($E3402="SATIŞ İADESİ/İSKONTO",-$O3402,$O3402),-$O3402)))</f>
        <v/>
      </c>
      <c r="AB3402" s="117">
        <f>IF($B3402="","",IF(OR($D3402="",$E3402="",$O3402=""),"EKSİK",IF($O3402&lt;=0,"SIFIR/NEGATİF",IF(COUNTIFS($C$6:$C$5000,$C3402,$O$6:$O$5000,$O3402,$B$6:$B$5000,$B3402)&gt;1,"MÜKERRER","OK"))))</f>
        <v/>
      </c>
    </row>
    <row r="3403" ht="16.5" customHeight="1" s="80">
      <c r="A3403" s="113" t="n"/>
      <c r="B3403" s="113" t="n"/>
      <c r="C3403" s="113" t="n"/>
      <c r="D3403" s="113" t="n"/>
      <c r="E3403" s="113" t="n"/>
      <c r="F3403" s="113" t="n"/>
      <c r="G3403" s="113" t="n"/>
      <c r="H3403" s="113" t="n"/>
      <c r="I3403" s="113" t="n"/>
      <c r="J3403" s="113" t="n"/>
      <c r="K3403" s="113" t="n"/>
      <c r="L3403" s="113" t="n"/>
      <c r="M3403" s="113" t="n"/>
      <c r="N3403" s="113" t="n"/>
      <c r="O3403" s="113" t="n"/>
      <c r="P3403" s="113" t="n"/>
      <c r="Q3403" s="113" t="n"/>
      <c r="R3403" s="113" t="n"/>
      <c r="S3403" s="113" t="n"/>
      <c r="T3403" s="113" t="n"/>
      <c r="U3403" s="113" t="n"/>
      <c r="V3403" s="113" t="n"/>
      <c r="W3403" s="113" t="n"/>
      <c r="X3403" s="113" t="n"/>
      <c r="Y3403" s="113" t="n"/>
      <c r="Z3403" s="117">
        <f>IF($B3403="",0,IF($S3403="EVET",IF($D3403="GELİR",$O3403,-$O3403),0))</f>
        <v/>
      </c>
      <c r="AA3403" s="117">
        <f>IF($B3403="",0,IF(OR($W3403="EVET",$X3403="EVET",$Y3403="EVET"),0,IF($D3403="GELİR",IF($E3403="SATIŞ İADESİ/İSKONTO",-$O3403,$O3403),-$O3403)))</f>
        <v/>
      </c>
      <c r="AB3403" s="117">
        <f>IF($B3403="","",IF(OR($D3403="",$E3403="",$O3403=""),"EKSİK",IF($O3403&lt;=0,"SIFIR/NEGATİF",IF(COUNTIFS($C$6:$C$5000,$C3403,$O$6:$O$5000,$O3403,$B$6:$B$5000,$B3403)&gt;1,"MÜKERRER","OK"))))</f>
        <v/>
      </c>
    </row>
    <row r="3404" ht="16.5" customHeight="1" s="80">
      <c r="A3404" s="113" t="n"/>
      <c r="B3404" s="113" t="n"/>
      <c r="C3404" s="113" t="n"/>
      <c r="D3404" s="113" t="n"/>
      <c r="E3404" s="113" t="n"/>
      <c r="F3404" s="113" t="n"/>
      <c r="G3404" s="113" t="n"/>
      <c r="H3404" s="113" t="n"/>
      <c r="I3404" s="113" t="n"/>
      <c r="J3404" s="113" t="n"/>
      <c r="K3404" s="113" t="n"/>
      <c r="L3404" s="113" t="n"/>
      <c r="M3404" s="113" t="n"/>
      <c r="N3404" s="113" t="n"/>
      <c r="O3404" s="113" t="n"/>
      <c r="P3404" s="113" t="n"/>
      <c r="Q3404" s="113" t="n"/>
      <c r="R3404" s="113" t="n"/>
      <c r="S3404" s="113" t="n"/>
      <c r="T3404" s="113" t="n"/>
      <c r="U3404" s="113" t="n"/>
      <c r="V3404" s="113" t="n"/>
      <c r="W3404" s="113" t="n"/>
      <c r="X3404" s="113" t="n"/>
      <c r="Y3404" s="113" t="n"/>
      <c r="Z3404" s="117">
        <f>IF($B3404="",0,IF($S3404="EVET",IF($D3404="GELİR",$O3404,-$O3404),0))</f>
        <v/>
      </c>
      <c r="AA3404" s="117">
        <f>IF($B3404="",0,IF(OR($W3404="EVET",$X3404="EVET",$Y3404="EVET"),0,IF($D3404="GELİR",IF($E3404="SATIŞ İADESİ/İSKONTO",-$O3404,$O3404),-$O3404)))</f>
        <v/>
      </c>
      <c r="AB3404" s="117">
        <f>IF($B3404="","",IF(OR($D3404="",$E3404="",$O3404=""),"EKSİK",IF($O3404&lt;=0,"SIFIR/NEGATİF",IF(COUNTIFS($C$6:$C$5000,$C3404,$O$6:$O$5000,$O3404,$B$6:$B$5000,$B3404)&gt;1,"MÜKERRER","OK"))))</f>
        <v/>
      </c>
    </row>
    <row r="3405" ht="16.5" customHeight="1" s="80">
      <c r="A3405" s="113" t="n"/>
      <c r="B3405" s="113" t="n"/>
      <c r="C3405" s="113" t="n"/>
      <c r="D3405" s="113" t="n"/>
      <c r="E3405" s="113" t="n"/>
      <c r="F3405" s="113" t="n"/>
      <c r="G3405" s="113" t="n"/>
      <c r="H3405" s="113" t="n"/>
      <c r="I3405" s="113" t="n"/>
      <c r="J3405" s="113" t="n"/>
      <c r="K3405" s="113" t="n"/>
      <c r="L3405" s="113" t="n"/>
      <c r="M3405" s="113" t="n"/>
      <c r="N3405" s="113" t="n"/>
      <c r="O3405" s="113" t="n"/>
      <c r="P3405" s="113" t="n"/>
      <c r="Q3405" s="113" t="n"/>
      <c r="R3405" s="113" t="n"/>
      <c r="S3405" s="113" t="n"/>
      <c r="T3405" s="113" t="n"/>
      <c r="U3405" s="113" t="n"/>
      <c r="V3405" s="113" t="n"/>
      <c r="W3405" s="113" t="n"/>
      <c r="X3405" s="113" t="n"/>
      <c r="Y3405" s="113" t="n"/>
      <c r="Z3405" s="117">
        <f>IF($B3405="",0,IF($S3405="EVET",IF($D3405="GELİR",$O3405,-$O3405),0))</f>
        <v/>
      </c>
      <c r="AA3405" s="117">
        <f>IF($B3405="",0,IF(OR($W3405="EVET",$X3405="EVET",$Y3405="EVET"),0,IF($D3405="GELİR",IF($E3405="SATIŞ İADESİ/İSKONTO",-$O3405,$O3405),-$O3405)))</f>
        <v/>
      </c>
      <c r="AB3405" s="117">
        <f>IF($B3405="","",IF(OR($D3405="",$E3405="",$O3405=""),"EKSİK",IF($O3405&lt;=0,"SIFIR/NEGATİF",IF(COUNTIFS($C$6:$C$5000,$C3405,$O$6:$O$5000,$O3405,$B$6:$B$5000,$B3405)&gt;1,"MÜKERRER","OK"))))</f>
        <v/>
      </c>
    </row>
    <row r="3406" ht="16.5" customHeight="1" s="80">
      <c r="A3406" s="113" t="n"/>
      <c r="B3406" s="113" t="n"/>
      <c r="C3406" s="113" t="n"/>
      <c r="D3406" s="113" t="n"/>
      <c r="E3406" s="113" t="n"/>
      <c r="F3406" s="113" t="n"/>
      <c r="G3406" s="113" t="n"/>
      <c r="H3406" s="113" t="n"/>
      <c r="I3406" s="113" t="n"/>
      <c r="J3406" s="113" t="n"/>
      <c r="K3406" s="113" t="n"/>
      <c r="L3406" s="113" t="n"/>
      <c r="M3406" s="113" t="n"/>
      <c r="N3406" s="113" t="n"/>
      <c r="O3406" s="113" t="n"/>
      <c r="P3406" s="113" t="n"/>
      <c r="Q3406" s="113" t="n"/>
      <c r="R3406" s="113" t="n"/>
      <c r="S3406" s="113" t="n"/>
      <c r="T3406" s="113" t="n"/>
      <c r="U3406" s="113" t="n"/>
      <c r="V3406" s="113" t="n"/>
      <c r="W3406" s="113" t="n"/>
      <c r="X3406" s="113" t="n"/>
      <c r="Y3406" s="113" t="n"/>
      <c r="Z3406" s="117">
        <f>IF($B3406="",0,IF($S3406="EVET",IF($D3406="GELİR",$O3406,-$O3406),0))</f>
        <v/>
      </c>
      <c r="AA3406" s="117">
        <f>IF($B3406="",0,IF(OR($W3406="EVET",$X3406="EVET",$Y3406="EVET"),0,IF($D3406="GELİR",IF($E3406="SATIŞ İADESİ/İSKONTO",-$O3406,$O3406),-$O3406)))</f>
        <v/>
      </c>
      <c r="AB3406" s="117">
        <f>IF($B3406="","",IF(OR($D3406="",$E3406="",$O3406=""),"EKSİK",IF($O3406&lt;=0,"SIFIR/NEGATİF",IF(COUNTIFS($C$6:$C$5000,$C3406,$O$6:$O$5000,$O3406,$B$6:$B$5000,$B3406)&gt;1,"MÜKERRER","OK"))))</f>
        <v/>
      </c>
    </row>
    <row r="3407" ht="16.5" customHeight="1" s="80">
      <c r="A3407" s="113" t="n"/>
      <c r="B3407" s="113" t="n"/>
      <c r="C3407" s="113" t="n"/>
      <c r="D3407" s="113" t="n"/>
      <c r="E3407" s="113" t="n"/>
      <c r="F3407" s="113" t="n"/>
      <c r="G3407" s="113" t="n"/>
      <c r="H3407" s="113" t="n"/>
      <c r="I3407" s="113" t="n"/>
      <c r="J3407" s="113" t="n"/>
      <c r="K3407" s="113" t="n"/>
      <c r="L3407" s="113" t="n"/>
      <c r="M3407" s="113" t="n"/>
      <c r="N3407" s="113" t="n"/>
      <c r="O3407" s="113" t="n"/>
      <c r="P3407" s="113" t="n"/>
      <c r="Q3407" s="113" t="n"/>
      <c r="R3407" s="113" t="n"/>
      <c r="S3407" s="113" t="n"/>
      <c r="T3407" s="113" t="n"/>
      <c r="U3407" s="113" t="n"/>
      <c r="V3407" s="113" t="n"/>
      <c r="W3407" s="113" t="n"/>
      <c r="X3407" s="113" t="n"/>
      <c r="Y3407" s="113" t="n"/>
      <c r="Z3407" s="117">
        <f>IF($B3407="",0,IF($S3407="EVET",IF($D3407="GELİR",$O3407,-$O3407),0))</f>
        <v/>
      </c>
      <c r="AA3407" s="117">
        <f>IF($B3407="",0,IF(OR($W3407="EVET",$X3407="EVET",$Y3407="EVET"),0,IF($D3407="GELİR",IF($E3407="SATIŞ İADESİ/İSKONTO",-$O3407,$O3407),-$O3407)))</f>
        <v/>
      </c>
      <c r="AB3407" s="117">
        <f>IF($B3407="","",IF(OR($D3407="",$E3407="",$O3407=""),"EKSİK",IF($O3407&lt;=0,"SIFIR/NEGATİF",IF(COUNTIFS($C$6:$C$5000,$C3407,$O$6:$O$5000,$O3407,$B$6:$B$5000,$B3407)&gt;1,"MÜKERRER","OK"))))</f>
        <v/>
      </c>
    </row>
    <row r="3408" ht="16.5" customHeight="1" s="80">
      <c r="A3408" s="113" t="n"/>
      <c r="B3408" s="113" t="n"/>
      <c r="C3408" s="113" t="n"/>
      <c r="D3408" s="113" t="n"/>
      <c r="E3408" s="113" t="n"/>
      <c r="F3408" s="113" t="n"/>
      <c r="G3408" s="113" t="n"/>
      <c r="H3408" s="113" t="n"/>
      <c r="I3408" s="113" t="n"/>
      <c r="J3408" s="113" t="n"/>
      <c r="K3408" s="113" t="n"/>
      <c r="L3408" s="113" t="n"/>
      <c r="M3408" s="113" t="n"/>
      <c r="N3408" s="113" t="n"/>
      <c r="O3408" s="113" t="n"/>
      <c r="P3408" s="113" t="n"/>
      <c r="Q3408" s="113" t="n"/>
      <c r="R3408" s="113" t="n"/>
      <c r="S3408" s="113" t="n"/>
      <c r="T3408" s="113" t="n"/>
      <c r="U3408" s="113" t="n"/>
      <c r="V3408" s="113" t="n"/>
      <c r="W3408" s="113" t="n"/>
      <c r="X3408" s="113" t="n"/>
      <c r="Y3408" s="113" t="n"/>
      <c r="Z3408" s="117">
        <f>IF($B3408="",0,IF($S3408="EVET",IF($D3408="GELİR",$O3408,-$O3408),0))</f>
        <v/>
      </c>
      <c r="AA3408" s="117">
        <f>IF($B3408="",0,IF(OR($W3408="EVET",$X3408="EVET",$Y3408="EVET"),0,IF($D3408="GELİR",IF($E3408="SATIŞ İADESİ/İSKONTO",-$O3408,$O3408),-$O3408)))</f>
        <v/>
      </c>
      <c r="AB3408" s="117">
        <f>IF($B3408="","",IF(OR($D3408="",$E3408="",$O3408=""),"EKSİK",IF($O3408&lt;=0,"SIFIR/NEGATİF",IF(COUNTIFS($C$6:$C$5000,$C3408,$O$6:$O$5000,$O3408,$B$6:$B$5000,$B3408)&gt;1,"MÜKERRER","OK"))))</f>
        <v/>
      </c>
    </row>
    <row r="3409" ht="16.5" customHeight="1" s="80">
      <c r="A3409" s="113" t="n"/>
      <c r="B3409" s="113" t="n"/>
      <c r="C3409" s="113" t="n"/>
      <c r="D3409" s="113" t="n"/>
      <c r="E3409" s="113" t="n"/>
      <c r="F3409" s="113" t="n"/>
      <c r="G3409" s="113" t="n"/>
      <c r="H3409" s="113" t="n"/>
      <c r="I3409" s="113" t="n"/>
      <c r="J3409" s="113" t="n"/>
      <c r="K3409" s="113" t="n"/>
      <c r="L3409" s="113" t="n"/>
      <c r="M3409" s="113" t="n"/>
      <c r="N3409" s="113" t="n"/>
      <c r="O3409" s="113" t="n"/>
      <c r="P3409" s="113" t="n"/>
      <c r="Q3409" s="113" t="n"/>
      <c r="R3409" s="113" t="n"/>
      <c r="S3409" s="113" t="n"/>
      <c r="T3409" s="113" t="n"/>
      <c r="U3409" s="113" t="n"/>
      <c r="V3409" s="113" t="n"/>
      <c r="W3409" s="113" t="n"/>
      <c r="X3409" s="113" t="n"/>
      <c r="Y3409" s="113" t="n"/>
      <c r="Z3409" s="117">
        <f>IF($B3409="",0,IF($S3409="EVET",IF($D3409="GELİR",$O3409,-$O3409),0))</f>
        <v/>
      </c>
      <c r="AA3409" s="117">
        <f>IF($B3409="",0,IF(OR($W3409="EVET",$X3409="EVET",$Y3409="EVET"),0,IF($D3409="GELİR",IF($E3409="SATIŞ İADESİ/İSKONTO",-$O3409,$O3409),-$O3409)))</f>
        <v/>
      </c>
      <c r="AB3409" s="117">
        <f>IF($B3409="","",IF(OR($D3409="",$E3409="",$O3409=""),"EKSİK",IF($O3409&lt;=0,"SIFIR/NEGATİF",IF(COUNTIFS($C$6:$C$5000,$C3409,$O$6:$O$5000,$O3409,$B$6:$B$5000,$B3409)&gt;1,"MÜKERRER","OK"))))</f>
        <v/>
      </c>
    </row>
    <row r="3410" ht="16.5" customHeight="1" s="80">
      <c r="A3410" s="113" t="n"/>
      <c r="B3410" s="113" t="n"/>
      <c r="C3410" s="113" t="n"/>
      <c r="D3410" s="113" t="n"/>
      <c r="E3410" s="113" t="n"/>
      <c r="F3410" s="113" t="n"/>
      <c r="G3410" s="113" t="n"/>
      <c r="H3410" s="113" t="n"/>
      <c r="I3410" s="113" t="n"/>
      <c r="J3410" s="113" t="n"/>
      <c r="K3410" s="113" t="n"/>
      <c r="L3410" s="113" t="n"/>
      <c r="M3410" s="113" t="n"/>
      <c r="N3410" s="113" t="n"/>
      <c r="O3410" s="113" t="n"/>
      <c r="P3410" s="113" t="n"/>
      <c r="Q3410" s="113" t="n"/>
      <c r="R3410" s="113" t="n"/>
      <c r="S3410" s="113" t="n"/>
      <c r="T3410" s="113" t="n"/>
      <c r="U3410" s="113" t="n"/>
      <c r="V3410" s="113" t="n"/>
      <c r="W3410" s="113" t="n"/>
      <c r="X3410" s="113" t="n"/>
      <c r="Y3410" s="113" t="n"/>
      <c r="Z3410" s="117">
        <f>IF($B3410="",0,IF($S3410="EVET",IF($D3410="GELİR",$O3410,-$O3410),0))</f>
        <v/>
      </c>
      <c r="AA3410" s="117">
        <f>IF($B3410="",0,IF(OR($W3410="EVET",$X3410="EVET",$Y3410="EVET"),0,IF($D3410="GELİR",IF($E3410="SATIŞ İADESİ/İSKONTO",-$O3410,$O3410),-$O3410)))</f>
        <v/>
      </c>
      <c r="AB3410" s="117">
        <f>IF($B3410="","",IF(OR($D3410="",$E3410="",$O3410=""),"EKSİK",IF($O3410&lt;=0,"SIFIR/NEGATİF",IF(COUNTIFS($C$6:$C$5000,$C3410,$O$6:$O$5000,$O3410,$B$6:$B$5000,$B3410)&gt;1,"MÜKERRER","OK"))))</f>
        <v/>
      </c>
    </row>
    <row r="3411" ht="16.5" customHeight="1" s="80">
      <c r="A3411" s="113" t="n"/>
      <c r="B3411" s="113" t="n"/>
      <c r="C3411" s="113" t="n"/>
      <c r="D3411" s="113" t="n"/>
      <c r="E3411" s="113" t="n"/>
      <c r="F3411" s="113" t="n"/>
      <c r="G3411" s="113" t="n"/>
      <c r="H3411" s="113" t="n"/>
      <c r="I3411" s="113" t="n"/>
      <c r="J3411" s="113" t="n"/>
      <c r="K3411" s="113" t="n"/>
      <c r="L3411" s="113" t="n"/>
      <c r="M3411" s="113" t="n"/>
      <c r="N3411" s="113" t="n"/>
      <c r="O3411" s="113" t="n"/>
      <c r="P3411" s="113" t="n"/>
      <c r="Q3411" s="113" t="n"/>
      <c r="R3411" s="113" t="n"/>
      <c r="S3411" s="113" t="n"/>
      <c r="T3411" s="113" t="n"/>
      <c r="U3411" s="113" t="n"/>
      <c r="V3411" s="113" t="n"/>
      <c r="W3411" s="113" t="n"/>
      <c r="X3411" s="113" t="n"/>
      <c r="Y3411" s="113" t="n"/>
      <c r="Z3411" s="117">
        <f>IF($B3411="",0,IF($S3411="EVET",IF($D3411="GELİR",$O3411,-$O3411),0))</f>
        <v/>
      </c>
      <c r="AA3411" s="117">
        <f>IF($B3411="",0,IF(OR($W3411="EVET",$X3411="EVET",$Y3411="EVET"),0,IF($D3411="GELİR",IF($E3411="SATIŞ İADESİ/İSKONTO",-$O3411,$O3411),-$O3411)))</f>
        <v/>
      </c>
      <c r="AB3411" s="117">
        <f>IF($B3411="","",IF(OR($D3411="",$E3411="",$O3411=""),"EKSİK",IF($O3411&lt;=0,"SIFIR/NEGATİF",IF(COUNTIFS($C$6:$C$5000,$C3411,$O$6:$O$5000,$O3411,$B$6:$B$5000,$B3411)&gt;1,"MÜKERRER","OK"))))</f>
        <v/>
      </c>
    </row>
    <row r="3412" ht="16.5" customHeight="1" s="80">
      <c r="A3412" s="113" t="n"/>
      <c r="B3412" s="113" t="n"/>
      <c r="C3412" s="113" t="n"/>
      <c r="D3412" s="113" t="n"/>
      <c r="E3412" s="113" t="n"/>
      <c r="F3412" s="113" t="n"/>
      <c r="G3412" s="113" t="n"/>
      <c r="H3412" s="113" t="n"/>
      <c r="I3412" s="113" t="n"/>
      <c r="J3412" s="113" t="n"/>
      <c r="K3412" s="113" t="n"/>
      <c r="L3412" s="113" t="n"/>
      <c r="M3412" s="113" t="n"/>
      <c r="N3412" s="113" t="n"/>
      <c r="O3412" s="113" t="n"/>
      <c r="P3412" s="113" t="n"/>
      <c r="Q3412" s="113" t="n"/>
      <c r="R3412" s="113" t="n"/>
      <c r="S3412" s="113" t="n"/>
      <c r="T3412" s="113" t="n"/>
      <c r="U3412" s="113" t="n"/>
      <c r="V3412" s="113" t="n"/>
      <c r="W3412" s="113" t="n"/>
      <c r="X3412" s="113" t="n"/>
      <c r="Y3412" s="113" t="n"/>
      <c r="Z3412" s="117">
        <f>IF($B3412="",0,IF($S3412="EVET",IF($D3412="GELİR",$O3412,-$O3412),0))</f>
        <v/>
      </c>
      <c r="AA3412" s="117">
        <f>IF($B3412="",0,IF(OR($W3412="EVET",$X3412="EVET",$Y3412="EVET"),0,IF($D3412="GELİR",IF($E3412="SATIŞ İADESİ/İSKONTO",-$O3412,$O3412),-$O3412)))</f>
        <v/>
      </c>
      <c r="AB3412" s="117">
        <f>IF($B3412="","",IF(OR($D3412="",$E3412="",$O3412=""),"EKSİK",IF($O3412&lt;=0,"SIFIR/NEGATİF",IF(COUNTIFS($C$6:$C$5000,$C3412,$O$6:$O$5000,$O3412,$B$6:$B$5000,$B3412)&gt;1,"MÜKERRER","OK"))))</f>
        <v/>
      </c>
    </row>
    <row r="3413" ht="16.5" customHeight="1" s="80">
      <c r="A3413" s="113" t="n"/>
      <c r="B3413" s="113" t="n"/>
      <c r="C3413" s="113" t="n"/>
      <c r="D3413" s="113" t="n"/>
      <c r="E3413" s="113" t="n"/>
      <c r="F3413" s="113" t="n"/>
      <c r="G3413" s="113" t="n"/>
      <c r="H3413" s="113" t="n"/>
      <c r="I3413" s="113" t="n"/>
      <c r="J3413" s="113" t="n"/>
      <c r="K3413" s="113" t="n"/>
      <c r="L3413" s="113" t="n"/>
      <c r="M3413" s="113" t="n"/>
      <c r="N3413" s="113" t="n"/>
      <c r="O3413" s="113" t="n"/>
      <c r="P3413" s="113" t="n"/>
      <c r="Q3413" s="113" t="n"/>
      <c r="R3413" s="113" t="n"/>
      <c r="S3413" s="113" t="n"/>
      <c r="T3413" s="113" t="n"/>
      <c r="U3413" s="113" t="n"/>
      <c r="V3413" s="113" t="n"/>
      <c r="W3413" s="113" t="n"/>
      <c r="X3413" s="113" t="n"/>
      <c r="Y3413" s="113" t="n"/>
      <c r="Z3413" s="117">
        <f>IF($B3413="",0,IF($S3413="EVET",IF($D3413="GELİR",$O3413,-$O3413),0))</f>
        <v/>
      </c>
      <c r="AA3413" s="117">
        <f>IF($B3413="",0,IF(OR($W3413="EVET",$X3413="EVET",$Y3413="EVET"),0,IF($D3413="GELİR",IF($E3413="SATIŞ İADESİ/İSKONTO",-$O3413,$O3413),-$O3413)))</f>
        <v/>
      </c>
      <c r="AB3413" s="117">
        <f>IF($B3413="","",IF(OR($D3413="",$E3413="",$O3413=""),"EKSİK",IF($O3413&lt;=0,"SIFIR/NEGATİF",IF(COUNTIFS($C$6:$C$5000,$C3413,$O$6:$O$5000,$O3413,$B$6:$B$5000,$B3413)&gt;1,"MÜKERRER","OK"))))</f>
        <v/>
      </c>
    </row>
    <row r="3414" ht="16.5" customHeight="1" s="80">
      <c r="A3414" s="113" t="n"/>
      <c r="B3414" s="113" t="n"/>
      <c r="C3414" s="113" t="n"/>
      <c r="D3414" s="113" t="n"/>
      <c r="E3414" s="113" t="n"/>
      <c r="F3414" s="113" t="n"/>
      <c r="G3414" s="113" t="n"/>
      <c r="H3414" s="113" t="n"/>
      <c r="I3414" s="113" t="n"/>
      <c r="J3414" s="113" t="n"/>
      <c r="K3414" s="113" t="n"/>
      <c r="L3414" s="113" t="n"/>
      <c r="M3414" s="113" t="n"/>
      <c r="N3414" s="113" t="n"/>
      <c r="O3414" s="113" t="n"/>
      <c r="P3414" s="113" t="n"/>
      <c r="Q3414" s="113" t="n"/>
      <c r="R3414" s="113" t="n"/>
      <c r="S3414" s="113" t="n"/>
      <c r="T3414" s="113" t="n"/>
      <c r="U3414" s="113" t="n"/>
      <c r="V3414" s="113" t="n"/>
      <c r="W3414" s="113" t="n"/>
      <c r="X3414" s="113" t="n"/>
      <c r="Y3414" s="113" t="n"/>
      <c r="Z3414" s="117">
        <f>IF($B3414="",0,IF($S3414="EVET",IF($D3414="GELİR",$O3414,-$O3414),0))</f>
        <v/>
      </c>
      <c r="AA3414" s="117">
        <f>IF($B3414="",0,IF(OR($W3414="EVET",$X3414="EVET",$Y3414="EVET"),0,IF($D3414="GELİR",IF($E3414="SATIŞ İADESİ/İSKONTO",-$O3414,$O3414),-$O3414)))</f>
        <v/>
      </c>
      <c r="AB3414" s="117">
        <f>IF($B3414="","",IF(OR($D3414="",$E3414="",$O3414=""),"EKSİK",IF($O3414&lt;=0,"SIFIR/NEGATİF",IF(COUNTIFS($C$6:$C$5000,$C3414,$O$6:$O$5000,$O3414,$B$6:$B$5000,$B3414)&gt;1,"MÜKERRER","OK"))))</f>
        <v/>
      </c>
    </row>
    <row r="3415" ht="16.5" customHeight="1" s="80">
      <c r="A3415" s="113" t="n"/>
      <c r="B3415" s="113" t="n"/>
      <c r="C3415" s="113" t="n"/>
      <c r="D3415" s="113" t="n"/>
      <c r="E3415" s="113" t="n"/>
      <c r="F3415" s="113" t="n"/>
      <c r="G3415" s="113" t="n"/>
      <c r="H3415" s="113" t="n"/>
      <c r="I3415" s="113" t="n"/>
      <c r="J3415" s="113" t="n"/>
      <c r="K3415" s="113" t="n"/>
      <c r="L3415" s="113" t="n"/>
      <c r="M3415" s="113" t="n"/>
      <c r="N3415" s="113" t="n"/>
      <c r="O3415" s="113" t="n"/>
      <c r="P3415" s="113" t="n"/>
      <c r="Q3415" s="113" t="n"/>
      <c r="R3415" s="113" t="n"/>
      <c r="S3415" s="113" t="n"/>
      <c r="T3415" s="113" t="n"/>
      <c r="U3415" s="113" t="n"/>
      <c r="V3415" s="113" t="n"/>
      <c r="W3415" s="113" t="n"/>
      <c r="X3415" s="113" t="n"/>
      <c r="Y3415" s="113" t="n"/>
      <c r="Z3415" s="117">
        <f>IF($B3415="",0,IF($S3415="EVET",IF($D3415="GELİR",$O3415,-$O3415),0))</f>
        <v/>
      </c>
      <c r="AA3415" s="117">
        <f>IF($B3415="",0,IF(OR($W3415="EVET",$X3415="EVET",$Y3415="EVET"),0,IF($D3415="GELİR",IF($E3415="SATIŞ İADESİ/İSKONTO",-$O3415,$O3415),-$O3415)))</f>
        <v/>
      </c>
      <c r="AB3415" s="117">
        <f>IF($B3415="","",IF(OR($D3415="",$E3415="",$O3415=""),"EKSİK",IF($O3415&lt;=0,"SIFIR/NEGATİF",IF(COUNTIFS($C$6:$C$5000,$C3415,$O$6:$O$5000,$O3415,$B$6:$B$5000,$B3415)&gt;1,"MÜKERRER","OK"))))</f>
        <v/>
      </c>
    </row>
    <row r="3416" ht="16.5" customHeight="1" s="80">
      <c r="A3416" s="113" t="n"/>
      <c r="B3416" s="113" t="n"/>
      <c r="C3416" s="113" t="n"/>
      <c r="D3416" s="113" t="n"/>
      <c r="E3416" s="113" t="n"/>
      <c r="F3416" s="113" t="n"/>
      <c r="G3416" s="113" t="n"/>
      <c r="H3416" s="113" t="n"/>
      <c r="I3416" s="113" t="n"/>
      <c r="J3416" s="113" t="n"/>
      <c r="K3416" s="113" t="n"/>
      <c r="L3416" s="113" t="n"/>
      <c r="M3416" s="113" t="n"/>
      <c r="N3416" s="113" t="n"/>
      <c r="O3416" s="113" t="n"/>
      <c r="P3416" s="113" t="n"/>
      <c r="Q3416" s="113" t="n"/>
      <c r="R3416" s="113" t="n"/>
      <c r="S3416" s="113" t="n"/>
      <c r="T3416" s="113" t="n"/>
      <c r="U3416" s="113" t="n"/>
      <c r="V3416" s="113" t="n"/>
      <c r="W3416" s="113" t="n"/>
      <c r="X3416" s="113" t="n"/>
      <c r="Y3416" s="113" t="n"/>
      <c r="Z3416" s="117">
        <f>IF($B3416="",0,IF($S3416="EVET",IF($D3416="GELİR",$O3416,-$O3416),0))</f>
        <v/>
      </c>
      <c r="AA3416" s="117">
        <f>IF($B3416="",0,IF(OR($W3416="EVET",$X3416="EVET",$Y3416="EVET"),0,IF($D3416="GELİR",IF($E3416="SATIŞ İADESİ/İSKONTO",-$O3416,$O3416),-$O3416)))</f>
        <v/>
      </c>
      <c r="AB3416" s="117">
        <f>IF($B3416="","",IF(OR($D3416="",$E3416="",$O3416=""),"EKSİK",IF($O3416&lt;=0,"SIFIR/NEGATİF",IF(COUNTIFS($C$6:$C$5000,$C3416,$O$6:$O$5000,$O3416,$B$6:$B$5000,$B3416)&gt;1,"MÜKERRER","OK"))))</f>
        <v/>
      </c>
    </row>
    <row r="3417" ht="16.5" customHeight="1" s="80">
      <c r="A3417" s="113" t="n"/>
      <c r="B3417" s="113" t="n"/>
      <c r="C3417" s="113" t="n"/>
      <c r="D3417" s="113" t="n"/>
      <c r="E3417" s="113" t="n"/>
      <c r="F3417" s="113" t="n"/>
      <c r="G3417" s="113" t="n"/>
      <c r="H3417" s="113" t="n"/>
      <c r="I3417" s="113" t="n"/>
      <c r="J3417" s="113" t="n"/>
      <c r="K3417" s="113" t="n"/>
      <c r="L3417" s="113" t="n"/>
      <c r="M3417" s="113" t="n"/>
      <c r="N3417" s="113" t="n"/>
      <c r="O3417" s="113" t="n"/>
      <c r="P3417" s="113" t="n"/>
      <c r="Q3417" s="113" t="n"/>
      <c r="R3417" s="113" t="n"/>
      <c r="S3417" s="113" t="n"/>
      <c r="T3417" s="113" t="n"/>
      <c r="U3417" s="113" t="n"/>
      <c r="V3417" s="113" t="n"/>
      <c r="W3417" s="113" t="n"/>
      <c r="X3417" s="113" t="n"/>
      <c r="Y3417" s="113" t="n"/>
      <c r="Z3417" s="117">
        <f>IF($B3417="",0,IF($S3417="EVET",IF($D3417="GELİR",$O3417,-$O3417),0))</f>
        <v/>
      </c>
      <c r="AA3417" s="117">
        <f>IF($B3417="",0,IF(OR($W3417="EVET",$X3417="EVET",$Y3417="EVET"),0,IF($D3417="GELİR",IF($E3417="SATIŞ İADESİ/İSKONTO",-$O3417,$O3417),-$O3417)))</f>
        <v/>
      </c>
      <c r="AB3417" s="117">
        <f>IF($B3417="","",IF(OR($D3417="",$E3417="",$O3417=""),"EKSİK",IF($O3417&lt;=0,"SIFIR/NEGATİF",IF(COUNTIFS($C$6:$C$5000,$C3417,$O$6:$O$5000,$O3417,$B$6:$B$5000,$B3417)&gt;1,"MÜKERRER","OK"))))</f>
        <v/>
      </c>
    </row>
    <row r="3418" ht="16.5" customHeight="1" s="80">
      <c r="A3418" s="113" t="n"/>
      <c r="B3418" s="113" t="n"/>
      <c r="C3418" s="113" t="n"/>
      <c r="D3418" s="113" t="n"/>
      <c r="E3418" s="113" t="n"/>
      <c r="F3418" s="113" t="n"/>
      <c r="G3418" s="113" t="n"/>
      <c r="H3418" s="113" t="n"/>
      <c r="I3418" s="113" t="n"/>
      <c r="J3418" s="113" t="n"/>
      <c r="K3418" s="113" t="n"/>
      <c r="L3418" s="113" t="n"/>
      <c r="M3418" s="113" t="n"/>
      <c r="N3418" s="113" t="n"/>
      <c r="O3418" s="113" t="n"/>
      <c r="P3418" s="113" t="n"/>
      <c r="Q3418" s="113" t="n"/>
      <c r="R3418" s="113" t="n"/>
      <c r="S3418" s="113" t="n"/>
      <c r="T3418" s="113" t="n"/>
      <c r="U3418" s="113" t="n"/>
      <c r="V3418" s="113" t="n"/>
      <c r="W3418" s="113" t="n"/>
      <c r="X3418" s="113" t="n"/>
      <c r="Y3418" s="113" t="n"/>
      <c r="Z3418" s="117">
        <f>IF($B3418="",0,IF($S3418="EVET",IF($D3418="GELİR",$O3418,-$O3418),0))</f>
        <v/>
      </c>
      <c r="AA3418" s="117">
        <f>IF($B3418="",0,IF(OR($W3418="EVET",$X3418="EVET",$Y3418="EVET"),0,IF($D3418="GELİR",IF($E3418="SATIŞ İADESİ/İSKONTO",-$O3418,$O3418),-$O3418)))</f>
        <v/>
      </c>
      <c r="AB3418" s="117">
        <f>IF($B3418="","",IF(OR($D3418="",$E3418="",$O3418=""),"EKSİK",IF($O3418&lt;=0,"SIFIR/NEGATİF",IF(COUNTIFS($C$6:$C$5000,$C3418,$O$6:$O$5000,$O3418,$B$6:$B$5000,$B3418)&gt;1,"MÜKERRER","OK"))))</f>
        <v/>
      </c>
    </row>
    <row r="3419" ht="16.5" customHeight="1" s="80">
      <c r="A3419" s="113" t="n"/>
      <c r="B3419" s="113" t="n"/>
      <c r="C3419" s="113" t="n"/>
      <c r="D3419" s="113" t="n"/>
      <c r="E3419" s="113" t="n"/>
      <c r="F3419" s="113" t="n"/>
      <c r="G3419" s="113" t="n"/>
      <c r="H3419" s="113" t="n"/>
      <c r="I3419" s="113" t="n"/>
      <c r="J3419" s="113" t="n"/>
      <c r="K3419" s="113" t="n"/>
      <c r="L3419" s="113" t="n"/>
      <c r="M3419" s="113" t="n"/>
      <c r="N3419" s="113" t="n"/>
      <c r="O3419" s="113" t="n"/>
      <c r="P3419" s="113" t="n"/>
      <c r="Q3419" s="113" t="n"/>
      <c r="R3419" s="113" t="n"/>
      <c r="S3419" s="113" t="n"/>
      <c r="T3419" s="113" t="n"/>
      <c r="U3419" s="113" t="n"/>
      <c r="V3419" s="113" t="n"/>
      <c r="W3419" s="113" t="n"/>
      <c r="X3419" s="113" t="n"/>
      <c r="Y3419" s="113" t="n"/>
      <c r="Z3419" s="117">
        <f>IF($B3419="",0,IF($S3419="EVET",IF($D3419="GELİR",$O3419,-$O3419),0))</f>
        <v/>
      </c>
      <c r="AA3419" s="117">
        <f>IF($B3419="",0,IF(OR($W3419="EVET",$X3419="EVET",$Y3419="EVET"),0,IF($D3419="GELİR",IF($E3419="SATIŞ İADESİ/İSKONTO",-$O3419,$O3419),-$O3419)))</f>
        <v/>
      </c>
      <c r="AB3419" s="117">
        <f>IF($B3419="","",IF(OR($D3419="",$E3419="",$O3419=""),"EKSİK",IF($O3419&lt;=0,"SIFIR/NEGATİF",IF(COUNTIFS($C$6:$C$5000,$C3419,$O$6:$O$5000,$O3419,$B$6:$B$5000,$B3419)&gt;1,"MÜKERRER","OK"))))</f>
        <v/>
      </c>
    </row>
    <row r="3420" ht="16.5" customHeight="1" s="80">
      <c r="A3420" s="113" t="n"/>
      <c r="B3420" s="113" t="n"/>
      <c r="C3420" s="113" t="n"/>
      <c r="D3420" s="113" t="n"/>
      <c r="E3420" s="113" t="n"/>
      <c r="F3420" s="113" t="n"/>
      <c r="G3420" s="113" t="n"/>
      <c r="H3420" s="113" t="n"/>
      <c r="I3420" s="113" t="n"/>
      <c r="J3420" s="113" t="n"/>
      <c r="K3420" s="113" t="n"/>
      <c r="L3420" s="113" t="n"/>
      <c r="M3420" s="113" t="n"/>
      <c r="N3420" s="113" t="n"/>
      <c r="O3420" s="113" t="n"/>
      <c r="P3420" s="113" t="n"/>
      <c r="Q3420" s="113" t="n"/>
      <c r="R3420" s="113" t="n"/>
      <c r="S3420" s="113" t="n"/>
      <c r="T3420" s="113" t="n"/>
      <c r="U3420" s="113" t="n"/>
      <c r="V3420" s="113" t="n"/>
      <c r="W3420" s="113" t="n"/>
      <c r="X3420" s="113" t="n"/>
      <c r="Y3420" s="113" t="n"/>
      <c r="Z3420" s="117">
        <f>IF($B3420="",0,IF($S3420="EVET",IF($D3420="GELİR",$O3420,-$O3420),0))</f>
        <v/>
      </c>
      <c r="AA3420" s="117">
        <f>IF($B3420="",0,IF(OR($W3420="EVET",$X3420="EVET",$Y3420="EVET"),0,IF($D3420="GELİR",IF($E3420="SATIŞ İADESİ/İSKONTO",-$O3420,$O3420),-$O3420)))</f>
        <v/>
      </c>
      <c r="AB3420" s="117">
        <f>IF($B3420="","",IF(OR($D3420="",$E3420="",$O3420=""),"EKSİK",IF($O3420&lt;=0,"SIFIR/NEGATİF",IF(COUNTIFS($C$6:$C$5000,$C3420,$O$6:$O$5000,$O3420,$B$6:$B$5000,$B3420)&gt;1,"MÜKERRER","OK"))))</f>
        <v/>
      </c>
    </row>
    <row r="3421" ht="16.5" customHeight="1" s="80">
      <c r="A3421" s="113" t="n"/>
      <c r="B3421" s="113" t="n"/>
      <c r="C3421" s="113" t="n"/>
      <c r="D3421" s="113" t="n"/>
      <c r="E3421" s="113" t="n"/>
      <c r="F3421" s="113" t="n"/>
      <c r="G3421" s="113" t="n"/>
      <c r="H3421" s="113" t="n"/>
      <c r="I3421" s="113" t="n"/>
      <c r="J3421" s="113" t="n"/>
      <c r="K3421" s="113" t="n"/>
      <c r="L3421" s="113" t="n"/>
      <c r="M3421" s="113" t="n"/>
      <c r="N3421" s="113" t="n"/>
      <c r="O3421" s="113" t="n"/>
      <c r="P3421" s="113" t="n"/>
      <c r="Q3421" s="113" t="n"/>
      <c r="R3421" s="113" t="n"/>
      <c r="S3421" s="113" t="n"/>
      <c r="T3421" s="113" t="n"/>
      <c r="U3421" s="113" t="n"/>
      <c r="V3421" s="113" t="n"/>
      <c r="W3421" s="113" t="n"/>
      <c r="X3421" s="113" t="n"/>
      <c r="Y3421" s="113" t="n"/>
      <c r="Z3421" s="117">
        <f>IF($B3421="",0,IF($S3421="EVET",IF($D3421="GELİR",$O3421,-$O3421),0))</f>
        <v/>
      </c>
      <c r="AA3421" s="117">
        <f>IF($B3421="",0,IF(OR($W3421="EVET",$X3421="EVET",$Y3421="EVET"),0,IF($D3421="GELİR",IF($E3421="SATIŞ İADESİ/İSKONTO",-$O3421,$O3421),-$O3421)))</f>
        <v/>
      </c>
      <c r="AB3421" s="117">
        <f>IF($B3421="","",IF(OR($D3421="",$E3421="",$O3421=""),"EKSİK",IF($O3421&lt;=0,"SIFIR/NEGATİF",IF(COUNTIFS($C$6:$C$5000,$C3421,$O$6:$O$5000,$O3421,$B$6:$B$5000,$B3421)&gt;1,"MÜKERRER","OK"))))</f>
        <v/>
      </c>
    </row>
    <row r="3422" ht="16.5" customHeight="1" s="80">
      <c r="A3422" s="113" t="n"/>
      <c r="B3422" s="113" t="n"/>
      <c r="C3422" s="113" t="n"/>
      <c r="D3422" s="113" t="n"/>
      <c r="E3422" s="113" t="n"/>
      <c r="F3422" s="113" t="n"/>
      <c r="G3422" s="113" t="n"/>
      <c r="H3422" s="113" t="n"/>
      <c r="I3422" s="113" t="n"/>
      <c r="J3422" s="113" t="n"/>
      <c r="K3422" s="113" t="n"/>
      <c r="L3422" s="113" t="n"/>
      <c r="M3422" s="113" t="n"/>
      <c r="N3422" s="113" t="n"/>
      <c r="O3422" s="113" t="n"/>
      <c r="P3422" s="113" t="n"/>
      <c r="Q3422" s="113" t="n"/>
      <c r="R3422" s="113" t="n"/>
      <c r="S3422" s="113" t="n"/>
      <c r="T3422" s="113" t="n"/>
      <c r="U3422" s="113" t="n"/>
      <c r="V3422" s="113" t="n"/>
      <c r="W3422" s="113" t="n"/>
      <c r="X3422" s="113" t="n"/>
      <c r="Y3422" s="113" t="n"/>
      <c r="Z3422" s="117">
        <f>IF($B3422="",0,IF($S3422="EVET",IF($D3422="GELİR",$O3422,-$O3422),0))</f>
        <v/>
      </c>
      <c r="AA3422" s="117">
        <f>IF($B3422="",0,IF(OR($W3422="EVET",$X3422="EVET",$Y3422="EVET"),0,IF($D3422="GELİR",IF($E3422="SATIŞ İADESİ/İSKONTO",-$O3422,$O3422),-$O3422)))</f>
        <v/>
      </c>
      <c r="AB3422" s="117">
        <f>IF($B3422="","",IF(OR($D3422="",$E3422="",$O3422=""),"EKSİK",IF($O3422&lt;=0,"SIFIR/NEGATİF",IF(COUNTIFS($C$6:$C$5000,$C3422,$O$6:$O$5000,$O3422,$B$6:$B$5000,$B3422)&gt;1,"MÜKERRER","OK"))))</f>
        <v/>
      </c>
    </row>
    <row r="3423" ht="16.5" customHeight="1" s="80">
      <c r="A3423" s="113" t="n"/>
      <c r="B3423" s="113" t="n"/>
      <c r="C3423" s="113" t="n"/>
      <c r="D3423" s="113" t="n"/>
      <c r="E3423" s="113" t="n"/>
      <c r="F3423" s="113" t="n"/>
      <c r="G3423" s="113" t="n"/>
      <c r="H3423" s="113" t="n"/>
      <c r="I3423" s="113" t="n"/>
      <c r="J3423" s="113" t="n"/>
      <c r="K3423" s="113" t="n"/>
      <c r="L3423" s="113" t="n"/>
      <c r="M3423" s="113" t="n"/>
      <c r="N3423" s="113" t="n"/>
      <c r="O3423" s="113" t="n"/>
      <c r="P3423" s="113" t="n"/>
      <c r="Q3423" s="113" t="n"/>
      <c r="R3423" s="113" t="n"/>
      <c r="S3423" s="113" t="n"/>
      <c r="T3423" s="113" t="n"/>
      <c r="U3423" s="113" t="n"/>
      <c r="V3423" s="113" t="n"/>
      <c r="W3423" s="113" t="n"/>
      <c r="X3423" s="113" t="n"/>
      <c r="Y3423" s="113" t="n"/>
      <c r="Z3423" s="117">
        <f>IF($B3423="",0,IF($S3423="EVET",IF($D3423="GELİR",$O3423,-$O3423),0))</f>
        <v/>
      </c>
      <c r="AA3423" s="117">
        <f>IF($B3423="",0,IF(OR($W3423="EVET",$X3423="EVET",$Y3423="EVET"),0,IF($D3423="GELİR",IF($E3423="SATIŞ İADESİ/İSKONTO",-$O3423,$O3423),-$O3423)))</f>
        <v/>
      </c>
      <c r="AB3423" s="117">
        <f>IF($B3423="","",IF(OR($D3423="",$E3423="",$O3423=""),"EKSİK",IF($O3423&lt;=0,"SIFIR/NEGATİF",IF(COUNTIFS($C$6:$C$5000,$C3423,$O$6:$O$5000,$O3423,$B$6:$B$5000,$B3423)&gt;1,"MÜKERRER","OK"))))</f>
        <v/>
      </c>
    </row>
    <row r="3424" ht="16.5" customHeight="1" s="80">
      <c r="A3424" s="113" t="n"/>
      <c r="B3424" s="113" t="n"/>
      <c r="C3424" s="113" t="n"/>
      <c r="D3424" s="113" t="n"/>
      <c r="E3424" s="113" t="n"/>
      <c r="F3424" s="113" t="n"/>
      <c r="G3424" s="113" t="n"/>
      <c r="H3424" s="113" t="n"/>
      <c r="I3424" s="113" t="n"/>
      <c r="J3424" s="113" t="n"/>
      <c r="K3424" s="113" t="n"/>
      <c r="L3424" s="113" t="n"/>
      <c r="M3424" s="113" t="n"/>
      <c r="N3424" s="113" t="n"/>
      <c r="O3424" s="113" t="n"/>
      <c r="P3424" s="113" t="n"/>
      <c r="Q3424" s="113" t="n"/>
      <c r="R3424" s="113" t="n"/>
      <c r="S3424" s="113" t="n"/>
      <c r="T3424" s="113" t="n"/>
      <c r="U3424" s="113" t="n"/>
      <c r="V3424" s="113" t="n"/>
      <c r="W3424" s="113" t="n"/>
      <c r="X3424" s="113" t="n"/>
      <c r="Y3424" s="113" t="n"/>
      <c r="Z3424" s="117">
        <f>IF($B3424="",0,IF($S3424="EVET",IF($D3424="GELİR",$O3424,-$O3424),0))</f>
        <v/>
      </c>
      <c r="AA3424" s="117">
        <f>IF($B3424="",0,IF(OR($W3424="EVET",$X3424="EVET",$Y3424="EVET"),0,IF($D3424="GELİR",IF($E3424="SATIŞ İADESİ/İSKONTO",-$O3424,$O3424),-$O3424)))</f>
        <v/>
      </c>
      <c r="AB3424" s="117">
        <f>IF($B3424="","",IF(OR($D3424="",$E3424="",$O3424=""),"EKSİK",IF($O3424&lt;=0,"SIFIR/NEGATİF",IF(COUNTIFS($C$6:$C$5000,$C3424,$O$6:$O$5000,$O3424,$B$6:$B$5000,$B3424)&gt;1,"MÜKERRER","OK"))))</f>
        <v/>
      </c>
    </row>
    <row r="3425" ht="16.5" customHeight="1" s="80">
      <c r="A3425" s="113" t="n"/>
      <c r="B3425" s="113" t="n"/>
      <c r="C3425" s="113" t="n"/>
      <c r="D3425" s="113" t="n"/>
      <c r="E3425" s="113" t="n"/>
      <c r="F3425" s="113" t="n"/>
      <c r="G3425" s="113" t="n"/>
      <c r="H3425" s="113" t="n"/>
      <c r="I3425" s="113" t="n"/>
      <c r="J3425" s="113" t="n"/>
      <c r="K3425" s="113" t="n"/>
      <c r="L3425" s="113" t="n"/>
      <c r="M3425" s="113" t="n"/>
      <c r="N3425" s="113" t="n"/>
      <c r="O3425" s="113" t="n"/>
      <c r="P3425" s="113" t="n"/>
      <c r="Q3425" s="113" t="n"/>
      <c r="R3425" s="113" t="n"/>
      <c r="S3425" s="113" t="n"/>
      <c r="T3425" s="113" t="n"/>
      <c r="U3425" s="113" t="n"/>
      <c r="V3425" s="113" t="n"/>
      <c r="W3425" s="113" t="n"/>
      <c r="X3425" s="113" t="n"/>
      <c r="Y3425" s="113" t="n"/>
      <c r="Z3425" s="117">
        <f>IF($B3425="",0,IF($S3425="EVET",IF($D3425="GELİR",$O3425,-$O3425),0))</f>
        <v/>
      </c>
      <c r="AA3425" s="117">
        <f>IF($B3425="",0,IF(OR($W3425="EVET",$X3425="EVET",$Y3425="EVET"),0,IF($D3425="GELİR",IF($E3425="SATIŞ İADESİ/İSKONTO",-$O3425,$O3425),-$O3425)))</f>
        <v/>
      </c>
      <c r="AB3425" s="117">
        <f>IF($B3425="","",IF(OR($D3425="",$E3425="",$O3425=""),"EKSİK",IF($O3425&lt;=0,"SIFIR/NEGATİF",IF(COUNTIFS($C$6:$C$5000,$C3425,$O$6:$O$5000,$O3425,$B$6:$B$5000,$B3425)&gt;1,"MÜKERRER","OK"))))</f>
        <v/>
      </c>
    </row>
    <row r="3426" ht="16.5" customHeight="1" s="80">
      <c r="A3426" s="113" t="n"/>
      <c r="B3426" s="113" t="n"/>
      <c r="C3426" s="113" t="n"/>
      <c r="D3426" s="113" t="n"/>
      <c r="E3426" s="113" t="n"/>
      <c r="F3426" s="113" t="n"/>
      <c r="G3426" s="113" t="n"/>
      <c r="H3426" s="113" t="n"/>
      <c r="I3426" s="113" t="n"/>
      <c r="J3426" s="113" t="n"/>
      <c r="K3426" s="113" t="n"/>
      <c r="L3426" s="113" t="n"/>
      <c r="M3426" s="113" t="n"/>
      <c r="N3426" s="113" t="n"/>
      <c r="O3426" s="113" t="n"/>
      <c r="P3426" s="113" t="n"/>
      <c r="Q3426" s="113" t="n"/>
      <c r="R3426" s="113" t="n"/>
      <c r="S3426" s="113" t="n"/>
      <c r="T3426" s="113" t="n"/>
      <c r="U3426" s="113" t="n"/>
      <c r="V3426" s="113" t="n"/>
      <c r="W3426" s="113" t="n"/>
      <c r="X3426" s="113" t="n"/>
      <c r="Y3426" s="113" t="n"/>
      <c r="Z3426" s="117">
        <f>IF($B3426="",0,IF($S3426="EVET",IF($D3426="GELİR",$O3426,-$O3426),0))</f>
        <v/>
      </c>
      <c r="AA3426" s="117">
        <f>IF($B3426="",0,IF(OR($W3426="EVET",$X3426="EVET",$Y3426="EVET"),0,IF($D3426="GELİR",IF($E3426="SATIŞ İADESİ/İSKONTO",-$O3426,$O3426),-$O3426)))</f>
        <v/>
      </c>
      <c r="AB3426" s="117">
        <f>IF($B3426="","",IF(OR($D3426="",$E3426="",$O3426=""),"EKSİK",IF($O3426&lt;=0,"SIFIR/NEGATİF",IF(COUNTIFS($C$6:$C$5000,$C3426,$O$6:$O$5000,$O3426,$B$6:$B$5000,$B3426)&gt;1,"MÜKERRER","OK"))))</f>
        <v/>
      </c>
    </row>
    <row r="3427" ht="16.5" customHeight="1" s="80">
      <c r="A3427" s="113" t="n"/>
      <c r="B3427" s="113" t="n"/>
      <c r="C3427" s="113" t="n"/>
      <c r="D3427" s="113" t="n"/>
      <c r="E3427" s="113" t="n"/>
      <c r="F3427" s="113" t="n"/>
      <c r="G3427" s="113" t="n"/>
      <c r="H3427" s="113" t="n"/>
      <c r="I3427" s="113" t="n"/>
      <c r="J3427" s="113" t="n"/>
      <c r="K3427" s="113" t="n"/>
      <c r="L3427" s="113" t="n"/>
      <c r="M3427" s="113" t="n"/>
      <c r="N3427" s="113" t="n"/>
      <c r="O3427" s="113" t="n"/>
      <c r="P3427" s="113" t="n"/>
      <c r="Q3427" s="113" t="n"/>
      <c r="R3427" s="113" t="n"/>
      <c r="S3427" s="113" t="n"/>
      <c r="T3427" s="113" t="n"/>
      <c r="U3427" s="113" t="n"/>
      <c r="V3427" s="113" t="n"/>
      <c r="W3427" s="113" t="n"/>
      <c r="X3427" s="113" t="n"/>
      <c r="Y3427" s="113" t="n"/>
      <c r="Z3427" s="117">
        <f>IF($B3427="",0,IF($S3427="EVET",IF($D3427="GELİR",$O3427,-$O3427),0))</f>
        <v/>
      </c>
      <c r="AA3427" s="117">
        <f>IF($B3427="",0,IF(OR($W3427="EVET",$X3427="EVET",$Y3427="EVET"),0,IF($D3427="GELİR",IF($E3427="SATIŞ İADESİ/İSKONTO",-$O3427,$O3427),-$O3427)))</f>
        <v/>
      </c>
      <c r="AB3427" s="117">
        <f>IF($B3427="","",IF(OR($D3427="",$E3427="",$O3427=""),"EKSİK",IF($O3427&lt;=0,"SIFIR/NEGATİF",IF(COUNTIFS($C$6:$C$5000,$C3427,$O$6:$O$5000,$O3427,$B$6:$B$5000,$B3427)&gt;1,"MÜKERRER","OK"))))</f>
        <v/>
      </c>
    </row>
    <row r="3428" ht="16.5" customHeight="1" s="80">
      <c r="A3428" s="113" t="n"/>
      <c r="B3428" s="113" t="n"/>
      <c r="C3428" s="113" t="n"/>
      <c r="D3428" s="113" t="n"/>
      <c r="E3428" s="113" t="n"/>
      <c r="F3428" s="113" t="n"/>
      <c r="G3428" s="113" t="n"/>
      <c r="H3428" s="113" t="n"/>
      <c r="I3428" s="113" t="n"/>
      <c r="J3428" s="113" t="n"/>
      <c r="K3428" s="113" t="n"/>
      <c r="L3428" s="113" t="n"/>
      <c r="M3428" s="113" t="n"/>
      <c r="N3428" s="113" t="n"/>
      <c r="O3428" s="113" t="n"/>
      <c r="P3428" s="113" t="n"/>
      <c r="Q3428" s="113" t="n"/>
      <c r="R3428" s="113" t="n"/>
      <c r="S3428" s="113" t="n"/>
      <c r="T3428" s="113" t="n"/>
      <c r="U3428" s="113" t="n"/>
      <c r="V3428" s="113" t="n"/>
      <c r="W3428" s="113" t="n"/>
      <c r="X3428" s="113" t="n"/>
      <c r="Y3428" s="113" t="n"/>
      <c r="Z3428" s="117">
        <f>IF($B3428="",0,IF($S3428="EVET",IF($D3428="GELİR",$O3428,-$O3428),0))</f>
        <v/>
      </c>
      <c r="AA3428" s="117">
        <f>IF($B3428="",0,IF(OR($W3428="EVET",$X3428="EVET",$Y3428="EVET"),0,IF($D3428="GELİR",IF($E3428="SATIŞ İADESİ/İSKONTO",-$O3428,$O3428),-$O3428)))</f>
        <v/>
      </c>
      <c r="AB3428" s="117">
        <f>IF($B3428="","",IF(OR($D3428="",$E3428="",$O3428=""),"EKSİK",IF($O3428&lt;=0,"SIFIR/NEGATİF",IF(COUNTIFS($C$6:$C$5000,$C3428,$O$6:$O$5000,$O3428,$B$6:$B$5000,$B3428)&gt;1,"MÜKERRER","OK"))))</f>
        <v/>
      </c>
    </row>
    <row r="3429" ht="16.5" customHeight="1" s="80">
      <c r="A3429" s="113" t="n"/>
      <c r="B3429" s="113" t="n"/>
      <c r="C3429" s="113" t="n"/>
      <c r="D3429" s="113" t="n"/>
      <c r="E3429" s="113" t="n"/>
      <c r="F3429" s="113" t="n"/>
      <c r="G3429" s="113" t="n"/>
      <c r="H3429" s="113" t="n"/>
      <c r="I3429" s="113" t="n"/>
      <c r="J3429" s="113" t="n"/>
      <c r="K3429" s="113" t="n"/>
      <c r="L3429" s="113" t="n"/>
      <c r="M3429" s="113" t="n"/>
      <c r="N3429" s="113" t="n"/>
      <c r="O3429" s="113" t="n"/>
      <c r="P3429" s="113" t="n"/>
      <c r="Q3429" s="113" t="n"/>
      <c r="R3429" s="113" t="n"/>
      <c r="S3429" s="113" t="n"/>
      <c r="T3429" s="113" t="n"/>
      <c r="U3429" s="113" t="n"/>
      <c r="V3429" s="113" t="n"/>
      <c r="W3429" s="113" t="n"/>
      <c r="X3429" s="113" t="n"/>
      <c r="Y3429" s="113" t="n"/>
      <c r="Z3429" s="117">
        <f>IF($B3429="",0,IF($S3429="EVET",IF($D3429="GELİR",$O3429,-$O3429),0))</f>
        <v/>
      </c>
      <c r="AA3429" s="117">
        <f>IF($B3429="",0,IF(OR($W3429="EVET",$X3429="EVET",$Y3429="EVET"),0,IF($D3429="GELİR",IF($E3429="SATIŞ İADESİ/İSKONTO",-$O3429,$O3429),-$O3429)))</f>
        <v/>
      </c>
      <c r="AB3429" s="117">
        <f>IF($B3429="","",IF(OR($D3429="",$E3429="",$O3429=""),"EKSİK",IF($O3429&lt;=0,"SIFIR/NEGATİF",IF(COUNTIFS($C$6:$C$5000,$C3429,$O$6:$O$5000,$O3429,$B$6:$B$5000,$B3429)&gt;1,"MÜKERRER","OK"))))</f>
        <v/>
      </c>
    </row>
    <row r="3430" ht="16.5" customHeight="1" s="80">
      <c r="A3430" s="113" t="n"/>
      <c r="B3430" s="113" t="n"/>
      <c r="C3430" s="113" t="n"/>
      <c r="D3430" s="113" t="n"/>
      <c r="E3430" s="113" t="n"/>
      <c r="F3430" s="113" t="n"/>
      <c r="G3430" s="113" t="n"/>
      <c r="H3430" s="113" t="n"/>
      <c r="I3430" s="113" t="n"/>
      <c r="J3430" s="113" t="n"/>
      <c r="K3430" s="113" t="n"/>
      <c r="L3430" s="113" t="n"/>
      <c r="M3430" s="113" t="n"/>
      <c r="N3430" s="113" t="n"/>
      <c r="O3430" s="113" t="n"/>
      <c r="P3430" s="113" t="n"/>
      <c r="Q3430" s="113" t="n"/>
      <c r="R3430" s="113" t="n"/>
      <c r="S3430" s="113" t="n"/>
      <c r="T3430" s="113" t="n"/>
      <c r="U3430" s="113" t="n"/>
      <c r="V3430" s="113" t="n"/>
      <c r="W3430" s="113" t="n"/>
      <c r="X3430" s="113" t="n"/>
      <c r="Y3430" s="113" t="n"/>
      <c r="Z3430" s="117">
        <f>IF($B3430="",0,IF($S3430="EVET",IF($D3430="GELİR",$O3430,-$O3430),0))</f>
        <v/>
      </c>
      <c r="AA3430" s="117">
        <f>IF($B3430="",0,IF(OR($W3430="EVET",$X3430="EVET",$Y3430="EVET"),0,IF($D3430="GELİR",IF($E3430="SATIŞ İADESİ/İSKONTO",-$O3430,$O3430),-$O3430)))</f>
        <v/>
      </c>
      <c r="AB3430" s="117">
        <f>IF($B3430="","",IF(OR($D3430="",$E3430="",$O3430=""),"EKSİK",IF($O3430&lt;=0,"SIFIR/NEGATİF",IF(COUNTIFS($C$6:$C$5000,$C3430,$O$6:$O$5000,$O3430,$B$6:$B$5000,$B3430)&gt;1,"MÜKERRER","OK"))))</f>
        <v/>
      </c>
    </row>
    <row r="3431" ht="16.5" customHeight="1" s="80">
      <c r="A3431" s="113" t="n"/>
      <c r="B3431" s="113" t="n"/>
      <c r="C3431" s="113" t="n"/>
      <c r="D3431" s="113" t="n"/>
      <c r="E3431" s="113" t="n"/>
      <c r="F3431" s="113" t="n"/>
      <c r="G3431" s="113" t="n"/>
      <c r="H3431" s="113" t="n"/>
      <c r="I3431" s="113" t="n"/>
      <c r="J3431" s="113" t="n"/>
      <c r="K3431" s="113" t="n"/>
      <c r="L3431" s="113" t="n"/>
      <c r="M3431" s="113" t="n"/>
      <c r="N3431" s="113" t="n"/>
      <c r="O3431" s="113" t="n"/>
      <c r="P3431" s="113" t="n"/>
      <c r="Q3431" s="113" t="n"/>
      <c r="R3431" s="113" t="n"/>
      <c r="S3431" s="113" t="n"/>
      <c r="T3431" s="113" t="n"/>
      <c r="U3431" s="113" t="n"/>
      <c r="V3431" s="113" t="n"/>
      <c r="W3431" s="113" t="n"/>
      <c r="X3431" s="113" t="n"/>
      <c r="Y3431" s="113" t="n"/>
      <c r="Z3431" s="117">
        <f>IF($B3431="",0,IF($S3431="EVET",IF($D3431="GELİR",$O3431,-$O3431),0))</f>
        <v/>
      </c>
      <c r="AA3431" s="117">
        <f>IF($B3431="",0,IF(OR($W3431="EVET",$X3431="EVET",$Y3431="EVET"),0,IF($D3431="GELİR",IF($E3431="SATIŞ İADESİ/İSKONTO",-$O3431,$O3431),-$O3431)))</f>
        <v/>
      </c>
      <c r="AB3431" s="117">
        <f>IF($B3431="","",IF(OR($D3431="",$E3431="",$O3431=""),"EKSİK",IF($O3431&lt;=0,"SIFIR/NEGATİF",IF(COUNTIFS($C$6:$C$5000,$C3431,$O$6:$O$5000,$O3431,$B$6:$B$5000,$B3431)&gt;1,"MÜKERRER","OK"))))</f>
        <v/>
      </c>
    </row>
    <row r="3432" ht="16.5" customHeight="1" s="80">
      <c r="A3432" s="113" t="n"/>
      <c r="B3432" s="113" t="n"/>
      <c r="C3432" s="113" t="n"/>
      <c r="D3432" s="113" t="n"/>
      <c r="E3432" s="113" t="n"/>
      <c r="F3432" s="113" t="n"/>
      <c r="G3432" s="113" t="n"/>
      <c r="H3432" s="113" t="n"/>
      <c r="I3432" s="113" t="n"/>
      <c r="J3432" s="113" t="n"/>
      <c r="K3432" s="113" t="n"/>
      <c r="L3432" s="113" t="n"/>
      <c r="M3432" s="113" t="n"/>
      <c r="N3432" s="113" t="n"/>
      <c r="O3432" s="113" t="n"/>
      <c r="P3432" s="113" t="n"/>
      <c r="Q3432" s="113" t="n"/>
      <c r="R3432" s="113" t="n"/>
      <c r="S3432" s="113" t="n"/>
      <c r="T3432" s="113" t="n"/>
      <c r="U3432" s="113" t="n"/>
      <c r="V3432" s="113" t="n"/>
      <c r="W3432" s="113" t="n"/>
      <c r="X3432" s="113" t="n"/>
      <c r="Y3432" s="113" t="n"/>
      <c r="Z3432" s="117">
        <f>IF($B3432="",0,IF($S3432="EVET",IF($D3432="GELİR",$O3432,-$O3432),0))</f>
        <v/>
      </c>
      <c r="AA3432" s="117">
        <f>IF($B3432="",0,IF(OR($W3432="EVET",$X3432="EVET",$Y3432="EVET"),0,IF($D3432="GELİR",IF($E3432="SATIŞ İADESİ/İSKONTO",-$O3432,$O3432),-$O3432)))</f>
        <v/>
      </c>
      <c r="AB3432" s="117">
        <f>IF($B3432="","",IF(OR($D3432="",$E3432="",$O3432=""),"EKSİK",IF($O3432&lt;=0,"SIFIR/NEGATİF",IF(COUNTIFS($C$6:$C$5000,$C3432,$O$6:$O$5000,$O3432,$B$6:$B$5000,$B3432)&gt;1,"MÜKERRER","OK"))))</f>
        <v/>
      </c>
    </row>
    <row r="3433" ht="16.5" customHeight="1" s="80">
      <c r="A3433" s="113" t="n"/>
      <c r="B3433" s="113" t="n"/>
      <c r="C3433" s="113" t="n"/>
      <c r="D3433" s="113" t="n"/>
      <c r="E3433" s="113" t="n"/>
      <c r="F3433" s="113" t="n"/>
      <c r="G3433" s="113" t="n"/>
      <c r="H3433" s="113" t="n"/>
      <c r="I3433" s="113" t="n"/>
      <c r="J3433" s="113" t="n"/>
      <c r="K3433" s="113" t="n"/>
      <c r="L3433" s="113" t="n"/>
      <c r="M3433" s="113" t="n"/>
      <c r="N3433" s="113" t="n"/>
      <c r="O3433" s="113" t="n"/>
      <c r="P3433" s="113" t="n"/>
      <c r="Q3433" s="113" t="n"/>
      <c r="R3433" s="113" t="n"/>
      <c r="S3433" s="113" t="n"/>
      <c r="T3433" s="113" t="n"/>
      <c r="U3433" s="113" t="n"/>
      <c r="V3433" s="113" t="n"/>
      <c r="W3433" s="113" t="n"/>
      <c r="X3433" s="113" t="n"/>
      <c r="Y3433" s="113" t="n"/>
      <c r="Z3433" s="117">
        <f>IF($B3433="",0,IF($S3433="EVET",IF($D3433="GELİR",$O3433,-$O3433),0))</f>
        <v/>
      </c>
      <c r="AA3433" s="117">
        <f>IF($B3433="",0,IF(OR($W3433="EVET",$X3433="EVET",$Y3433="EVET"),0,IF($D3433="GELİR",IF($E3433="SATIŞ İADESİ/İSKONTO",-$O3433,$O3433),-$O3433)))</f>
        <v/>
      </c>
      <c r="AB3433" s="117">
        <f>IF($B3433="","",IF(OR($D3433="",$E3433="",$O3433=""),"EKSİK",IF($O3433&lt;=0,"SIFIR/NEGATİF",IF(COUNTIFS($C$6:$C$5000,$C3433,$O$6:$O$5000,$O3433,$B$6:$B$5000,$B3433)&gt;1,"MÜKERRER","OK"))))</f>
        <v/>
      </c>
    </row>
    <row r="3434" ht="16.5" customHeight="1" s="80">
      <c r="A3434" s="113" t="n"/>
      <c r="B3434" s="113" t="n"/>
      <c r="C3434" s="113" t="n"/>
      <c r="D3434" s="113" t="n"/>
      <c r="E3434" s="113" t="n"/>
      <c r="F3434" s="113" t="n"/>
      <c r="G3434" s="113" t="n"/>
      <c r="H3434" s="113" t="n"/>
      <c r="I3434" s="113" t="n"/>
      <c r="J3434" s="113" t="n"/>
      <c r="K3434" s="113" t="n"/>
      <c r="L3434" s="113" t="n"/>
      <c r="M3434" s="113" t="n"/>
      <c r="N3434" s="113" t="n"/>
      <c r="O3434" s="113" t="n"/>
      <c r="P3434" s="113" t="n"/>
      <c r="Q3434" s="113" t="n"/>
      <c r="R3434" s="113" t="n"/>
      <c r="S3434" s="113" t="n"/>
      <c r="T3434" s="113" t="n"/>
      <c r="U3434" s="113" t="n"/>
      <c r="V3434" s="113" t="n"/>
      <c r="W3434" s="113" t="n"/>
      <c r="X3434" s="113" t="n"/>
      <c r="Y3434" s="113" t="n"/>
      <c r="Z3434" s="117">
        <f>IF($B3434="",0,IF($S3434="EVET",IF($D3434="GELİR",$O3434,-$O3434),0))</f>
        <v/>
      </c>
      <c r="AA3434" s="117">
        <f>IF($B3434="",0,IF(OR($W3434="EVET",$X3434="EVET",$Y3434="EVET"),0,IF($D3434="GELİR",IF($E3434="SATIŞ İADESİ/İSKONTO",-$O3434,$O3434),-$O3434)))</f>
        <v/>
      </c>
      <c r="AB3434" s="117">
        <f>IF($B3434="","",IF(OR($D3434="",$E3434="",$O3434=""),"EKSİK",IF($O3434&lt;=0,"SIFIR/NEGATİF",IF(COUNTIFS($C$6:$C$5000,$C3434,$O$6:$O$5000,$O3434,$B$6:$B$5000,$B3434)&gt;1,"MÜKERRER","OK"))))</f>
        <v/>
      </c>
    </row>
    <row r="3435" ht="16.5" customHeight="1" s="80">
      <c r="A3435" s="113" t="n"/>
      <c r="B3435" s="113" t="n"/>
      <c r="C3435" s="113" t="n"/>
      <c r="D3435" s="113" t="n"/>
      <c r="E3435" s="113" t="n"/>
      <c r="F3435" s="113" t="n"/>
      <c r="G3435" s="113" t="n"/>
      <c r="H3435" s="113" t="n"/>
      <c r="I3435" s="113" t="n"/>
      <c r="J3435" s="113" t="n"/>
      <c r="K3435" s="113" t="n"/>
      <c r="L3435" s="113" t="n"/>
      <c r="M3435" s="113" t="n"/>
      <c r="N3435" s="113" t="n"/>
      <c r="O3435" s="113" t="n"/>
      <c r="P3435" s="113" t="n"/>
      <c r="Q3435" s="113" t="n"/>
      <c r="R3435" s="113" t="n"/>
      <c r="S3435" s="113" t="n"/>
      <c r="T3435" s="113" t="n"/>
      <c r="U3435" s="113" t="n"/>
      <c r="V3435" s="113" t="n"/>
      <c r="W3435" s="113" t="n"/>
      <c r="X3435" s="113" t="n"/>
      <c r="Y3435" s="113" t="n"/>
      <c r="Z3435" s="117">
        <f>IF($B3435="",0,IF($S3435="EVET",IF($D3435="GELİR",$O3435,-$O3435),0))</f>
        <v/>
      </c>
      <c r="AA3435" s="117">
        <f>IF($B3435="",0,IF(OR($W3435="EVET",$X3435="EVET",$Y3435="EVET"),0,IF($D3435="GELİR",IF($E3435="SATIŞ İADESİ/İSKONTO",-$O3435,$O3435),-$O3435)))</f>
        <v/>
      </c>
      <c r="AB3435" s="117">
        <f>IF($B3435="","",IF(OR($D3435="",$E3435="",$O3435=""),"EKSİK",IF($O3435&lt;=0,"SIFIR/NEGATİF",IF(COUNTIFS($C$6:$C$5000,$C3435,$O$6:$O$5000,$O3435,$B$6:$B$5000,$B3435)&gt;1,"MÜKERRER","OK"))))</f>
        <v/>
      </c>
    </row>
    <row r="3436" ht="16.5" customHeight="1" s="80">
      <c r="A3436" s="113" t="n"/>
      <c r="B3436" s="113" t="n"/>
      <c r="C3436" s="113" t="n"/>
      <c r="D3436" s="113" t="n"/>
      <c r="E3436" s="113" t="n"/>
      <c r="F3436" s="113" t="n"/>
      <c r="G3436" s="113" t="n"/>
      <c r="H3436" s="113" t="n"/>
      <c r="I3436" s="113" t="n"/>
      <c r="J3436" s="113" t="n"/>
      <c r="K3436" s="113" t="n"/>
      <c r="L3436" s="113" t="n"/>
      <c r="M3436" s="113" t="n"/>
      <c r="N3436" s="113" t="n"/>
      <c r="O3436" s="113" t="n"/>
      <c r="P3436" s="113" t="n"/>
      <c r="Q3436" s="113" t="n"/>
      <c r="R3436" s="113" t="n"/>
      <c r="S3436" s="113" t="n"/>
      <c r="T3436" s="113" t="n"/>
      <c r="U3436" s="113" t="n"/>
      <c r="V3436" s="113" t="n"/>
      <c r="W3436" s="113" t="n"/>
      <c r="X3436" s="113" t="n"/>
      <c r="Y3436" s="113" t="n"/>
      <c r="Z3436" s="117">
        <f>IF($B3436="",0,IF($S3436="EVET",IF($D3436="GELİR",$O3436,-$O3436),0))</f>
        <v/>
      </c>
      <c r="AA3436" s="117">
        <f>IF($B3436="",0,IF(OR($W3436="EVET",$X3436="EVET",$Y3436="EVET"),0,IF($D3436="GELİR",IF($E3436="SATIŞ İADESİ/İSKONTO",-$O3436,$O3436),-$O3436)))</f>
        <v/>
      </c>
      <c r="AB3436" s="117">
        <f>IF($B3436="","",IF(OR($D3436="",$E3436="",$O3436=""),"EKSİK",IF($O3436&lt;=0,"SIFIR/NEGATİF",IF(COUNTIFS($C$6:$C$5000,$C3436,$O$6:$O$5000,$O3436,$B$6:$B$5000,$B3436)&gt;1,"MÜKERRER","OK"))))</f>
        <v/>
      </c>
    </row>
    <row r="3437" ht="16.5" customHeight="1" s="80">
      <c r="A3437" s="113" t="n"/>
      <c r="B3437" s="113" t="n"/>
      <c r="C3437" s="113" t="n"/>
      <c r="D3437" s="113" t="n"/>
      <c r="E3437" s="113" t="n"/>
      <c r="F3437" s="113" t="n"/>
      <c r="G3437" s="113" t="n"/>
      <c r="H3437" s="113" t="n"/>
      <c r="I3437" s="113" t="n"/>
      <c r="J3437" s="113" t="n"/>
      <c r="K3437" s="113" t="n"/>
      <c r="L3437" s="113" t="n"/>
      <c r="M3437" s="113" t="n"/>
      <c r="N3437" s="113" t="n"/>
      <c r="O3437" s="113" t="n"/>
      <c r="P3437" s="113" t="n"/>
      <c r="Q3437" s="113" t="n"/>
      <c r="R3437" s="113" t="n"/>
      <c r="S3437" s="113" t="n"/>
      <c r="T3437" s="113" t="n"/>
      <c r="U3437" s="113" t="n"/>
      <c r="V3437" s="113" t="n"/>
      <c r="W3437" s="113" t="n"/>
      <c r="X3437" s="113" t="n"/>
      <c r="Y3437" s="113" t="n"/>
      <c r="Z3437" s="117">
        <f>IF($B3437="",0,IF($S3437="EVET",IF($D3437="GELİR",$O3437,-$O3437),0))</f>
        <v/>
      </c>
      <c r="AA3437" s="117">
        <f>IF($B3437="",0,IF(OR($W3437="EVET",$X3437="EVET",$Y3437="EVET"),0,IF($D3437="GELİR",IF($E3437="SATIŞ İADESİ/İSKONTO",-$O3437,$O3437),-$O3437)))</f>
        <v/>
      </c>
      <c r="AB3437" s="117">
        <f>IF($B3437="","",IF(OR($D3437="",$E3437="",$O3437=""),"EKSİK",IF($O3437&lt;=0,"SIFIR/NEGATİF",IF(COUNTIFS($C$6:$C$5000,$C3437,$O$6:$O$5000,$O3437,$B$6:$B$5000,$B3437)&gt;1,"MÜKERRER","OK"))))</f>
        <v/>
      </c>
    </row>
    <row r="3438" ht="16.5" customHeight="1" s="80">
      <c r="A3438" s="113" t="n"/>
      <c r="B3438" s="113" t="n"/>
      <c r="C3438" s="113" t="n"/>
      <c r="D3438" s="113" t="n"/>
      <c r="E3438" s="113" t="n"/>
      <c r="F3438" s="113" t="n"/>
      <c r="G3438" s="113" t="n"/>
      <c r="H3438" s="113" t="n"/>
      <c r="I3438" s="113" t="n"/>
      <c r="J3438" s="113" t="n"/>
      <c r="K3438" s="113" t="n"/>
      <c r="L3438" s="113" t="n"/>
      <c r="M3438" s="113" t="n"/>
      <c r="N3438" s="113" t="n"/>
      <c r="O3438" s="113" t="n"/>
      <c r="P3438" s="113" t="n"/>
      <c r="Q3438" s="113" t="n"/>
      <c r="R3438" s="113" t="n"/>
      <c r="S3438" s="113" t="n"/>
      <c r="T3438" s="113" t="n"/>
      <c r="U3438" s="113" t="n"/>
      <c r="V3438" s="113" t="n"/>
      <c r="W3438" s="113" t="n"/>
      <c r="X3438" s="113" t="n"/>
      <c r="Y3438" s="113" t="n"/>
      <c r="Z3438" s="117">
        <f>IF($B3438="",0,IF($S3438="EVET",IF($D3438="GELİR",$O3438,-$O3438),0))</f>
        <v/>
      </c>
      <c r="AA3438" s="117">
        <f>IF($B3438="",0,IF(OR($W3438="EVET",$X3438="EVET",$Y3438="EVET"),0,IF($D3438="GELİR",IF($E3438="SATIŞ İADESİ/İSKONTO",-$O3438,$O3438),-$O3438)))</f>
        <v/>
      </c>
      <c r="AB3438" s="117">
        <f>IF($B3438="","",IF(OR($D3438="",$E3438="",$O3438=""),"EKSİK",IF($O3438&lt;=0,"SIFIR/NEGATİF",IF(COUNTIFS($C$6:$C$5000,$C3438,$O$6:$O$5000,$O3438,$B$6:$B$5000,$B3438)&gt;1,"MÜKERRER","OK"))))</f>
        <v/>
      </c>
    </row>
    <row r="3439" ht="16.5" customHeight="1" s="80">
      <c r="A3439" s="113" t="n"/>
      <c r="B3439" s="113" t="n"/>
      <c r="C3439" s="113" t="n"/>
      <c r="D3439" s="113" t="n"/>
      <c r="E3439" s="113" t="n"/>
      <c r="F3439" s="113" t="n"/>
      <c r="G3439" s="113" t="n"/>
      <c r="H3439" s="113" t="n"/>
      <c r="I3439" s="113" t="n"/>
      <c r="J3439" s="113" t="n"/>
      <c r="K3439" s="113" t="n"/>
      <c r="L3439" s="113" t="n"/>
      <c r="M3439" s="113" t="n"/>
      <c r="N3439" s="113" t="n"/>
      <c r="O3439" s="113" t="n"/>
      <c r="P3439" s="113" t="n"/>
      <c r="Q3439" s="113" t="n"/>
      <c r="R3439" s="113" t="n"/>
      <c r="S3439" s="113" t="n"/>
      <c r="T3439" s="113" t="n"/>
      <c r="U3439" s="113" t="n"/>
      <c r="V3439" s="113" t="n"/>
      <c r="W3439" s="113" t="n"/>
      <c r="X3439" s="113" t="n"/>
      <c r="Y3439" s="113" t="n"/>
      <c r="Z3439" s="117">
        <f>IF($B3439="",0,IF($S3439="EVET",IF($D3439="GELİR",$O3439,-$O3439),0))</f>
        <v/>
      </c>
      <c r="AA3439" s="117">
        <f>IF($B3439="",0,IF(OR($W3439="EVET",$X3439="EVET",$Y3439="EVET"),0,IF($D3439="GELİR",IF($E3439="SATIŞ İADESİ/İSKONTO",-$O3439,$O3439),-$O3439)))</f>
        <v/>
      </c>
      <c r="AB3439" s="117">
        <f>IF($B3439="","",IF(OR($D3439="",$E3439="",$O3439=""),"EKSİK",IF($O3439&lt;=0,"SIFIR/NEGATİF",IF(COUNTIFS($C$6:$C$5000,$C3439,$O$6:$O$5000,$O3439,$B$6:$B$5000,$B3439)&gt;1,"MÜKERRER","OK"))))</f>
        <v/>
      </c>
    </row>
    <row r="3440" ht="16.5" customHeight="1" s="80">
      <c r="A3440" s="113" t="n"/>
      <c r="B3440" s="113" t="n"/>
      <c r="C3440" s="113" t="n"/>
      <c r="D3440" s="113" t="n"/>
      <c r="E3440" s="113" t="n"/>
      <c r="F3440" s="113" t="n"/>
      <c r="G3440" s="113" t="n"/>
      <c r="H3440" s="113" t="n"/>
      <c r="I3440" s="113" t="n"/>
      <c r="J3440" s="113" t="n"/>
      <c r="K3440" s="113" t="n"/>
      <c r="L3440" s="113" t="n"/>
      <c r="M3440" s="113" t="n"/>
      <c r="N3440" s="113" t="n"/>
      <c r="O3440" s="113" t="n"/>
      <c r="P3440" s="113" t="n"/>
      <c r="Q3440" s="113" t="n"/>
      <c r="R3440" s="113" t="n"/>
      <c r="S3440" s="113" t="n"/>
      <c r="T3440" s="113" t="n"/>
      <c r="U3440" s="113" t="n"/>
      <c r="V3440" s="113" t="n"/>
      <c r="W3440" s="113" t="n"/>
      <c r="X3440" s="113" t="n"/>
      <c r="Y3440" s="113" t="n"/>
      <c r="Z3440" s="117">
        <f>IF($B3440="",0,IF($S3440="EVET",IF($D3440="GELİR",$O3440,-$O3440),0))</f>
        <v/>
      </c>
      <c r="AA3440" s="117">
        <f>IF($B3440="",0,IF(OR($W3440="EVET",$X3440="EVET",$Y3440="EVET"),0,IF($D3440="GELİR",IF($E3440="SATIŞ İADESİ/İSKONTO",-$O3440,$O3440),-$O3440)))</f>
        <v/>
      </c>
      <c r="AB3440" s="117">
        <f>IF($B3440="","",IF(OR($D3440="",$E3440="",$O3440=""),"EKSİK",IF($O3440&lt;=0,"SIFIR/NEGATİF",IF(COUNTIFS($C$6:$C$5000,$C3440,$O$6:$O$5000,$O3440,$B$6:$B$5000,$B3440)&gt;1,"MÜKERRER","OK"))))</f>
        <v/>
      </c>
    </row>
    <row r="3441" ht="16.5" customHeight="1" s="80">
      <c r="A3441" s="113" t="n"/>
      <c r="B3441" s="113" t="n"/>
      <c r="C3441" s="113" t="n"/>
      <c r="D3441" s="113" t="n"/>
      <c r="E3441" s="113" t="n"/>
      <c r="F3441" s="113" t="n"/>
      <c r="G3441" s="113" t="n"/>
      <c r="H3441" s="113" t="n"/>
      <c r="I3441" s="113" t="n"/>
      <c r="J3441" s="113" t="n"/>
      <c r="K3441" s="113" t="n"/>
      <c r="L3441" s="113" t="n"/>
      <c r="M3441" s="113" t="n"/>
      <c r="N3441" s="113" t="n"/>
      <c r="O3441" s="113" t="n"/>
      <c r="P3441" s="113" t="n"/>
      <c r="Q3441" s="113" t="n"/>
      <c r="R3441" s="113" t="n"/>
      <c r="S3441" s="113" t="n"/>
      <c r="T3441" s="113" t="n"/>
      <c r="U3441" s="113" t="n"/>
      <c r="V3441" s="113" t="n"/>
      <c r="W3441" s="113" t="n"/>
      <c r="X3441" s="113" t="n"/>
      <c r="Y3441" s="113" t="n"/>
      <c r="Z3441" s="117">
        <f>IF($B3441="",0,IF($S3441="EVET",IF($D3441="GELİR",$O3441,-$O3441),0))</f>
        <v/>
      </c>
      <c r="AA3441" s="117">
        <f>IF($B3441="",0,IF(OR($W3441="EVET",$X3441="EVET",$Y3441="EVET"),0,IF($D3441="GELİR",IF($E3441="SATIŞ İADESİ/İSKONTO",-$O3441,$O3441),-$O3441)))</f>
        <v/>
      </c>
      <c r="AB3441" s="117">
        <f>IF($B3441="","",IF(OR($D3441="",$E3441="",$O3441=""),"EKSİK",IF($O3441&lt;=0,"SIFIR/NEGATİF",IF(COUNTIFS($C$6:$C$5000,$C3441,$O$6:$O$5000,$O3441,$B$6:$B$5000,$B3441)&gt;1,"MÜKERRER","OK"))))</f>
        <v/>
      </c>
    </row>
    <row r="3442" ht="16.5" customHeight="1" s="80">
      <c r="A3442" s="113" t="n"/>
      <c r="B3442" s="113" t="n"/>
      <c r="C3442" s="113" t="n"/>
      <c r="D3442" s="113" t="n"/>
      <c r="E3442" s="113" t="n"/>
      <c r="F3442" s="113" t="n"/>
      <c r="G3442" s="113" t="n"/>
      <c r="H3442" s="113" t="n"/>
      <c r="I3442" s="113" t="n"/>
      <c r="J3442" s="113" t="n"/>
      <c r="K3442" s="113" t="n"/>
      <c r="L3442" s="113" t="n"/>
      <c r="M3442" s="113" t="n"/>
      <c r="N3442" s="113" t="n"/>
      <c r="O3442" s="113" t="n"/>
      <c r="P3442" s="113" t="n"/>
      <c r="Q3442" s="113" t="n"/>
      <c r="R3442" s="113" t="n"/>
      <c r="S3442" s="113" t="n"/>
      <c r="T3442" s="113" t="n"/>
      <c r="U3442" s="113" t="n"/>
      <c r="V3442" s="113" t="n"/>
      <c r="W3442" s="113" t="n"/>
      <c r="X3442" s="113" t="n"/>
      <c r="Y3442" s="113" t="n"/>
      <c r="Z3442" s="117">
        <f>IF($B3442="",0,IF($S3442="EVET",IF($D3442="GELİR",$O3442,-$O3442),0))</f>
        <v/>
      </c>
      <c r="AA3442" s="117">
        <f>IF($B3442="",0,IF(OR($W3442="EVET",$X3442="EVET",$Y3442="EVET"),0,IF($D3442="GELİR",IF($E3442="SATIŞ İADESİ/İSKONTO",-$O3442,$O3442),-$O3442)))</f>
        <v/>
      </c>
      <c r="AB3442" s="117">
        <f>IF($B3442="","",IF(OR($D3442="",$E3442="",$O3442=""),"EKSİK",IF($O3442&lt;=0,"SIFIR/NEGATİF",IF(COUNTIFS($C$6:$C$5000,$C3442,$O$6:$O$5000,$O3442,$B$6:$B$5000,$B3442)&gt;1,"MÜKERRER","OK"))))</f>
        <v/>
      </c>
    </row>
    <row r="3443" ht="16.5" customHeight="1" s="80">
      <c r="A3443" s="113" t="n"/>
      <c r="B3443" s="113" t="n"/>
      <c r="C3443" s="113" t="n"/>
      <c r="D3443" s="113" t="n"/>
      <c r="E3443" s="113" t="n"/>
      <c r="F3443" s="113" t="n"/>
      <c r="G3443" s="113" t="n"/>
      <c r="H3443" s="113" t="n"/>
      <c r="I3443" s="113" t="n"/>
      <c r="J3443" s="113" t="n"/>
      <c r="K3443" s="113" t="n"/>
      <c r="L3443" s="113" t="n"/>
      <c r="M3443" s="113" t="n"/>
      <c r="N3443" s="113" t="n"/>
      <c r="O3443" s="113" t="n"/>
      <c r="P3443" s="113" t="n"/>
      <c r="Q3443" s="113" t="n"/>
      <c r="R3443" s="113" t="n"/>
      <c r="S3443" s="113" t="n"/>
      <c r="T3443" s="113" t="n"/>
      <c r="U3443" s="113" t="n"/>
      <c r="V3443" s="113" t="n"/>
      <c r="W3443" s="113" t="n"/>
      <c r="X3443" s="113" t="n"/>
      <c r="Y3443" s="113" t="n"/>
      <c r="Z3443" s="117">
        <f>IF($B3443="",0,IF($S3443="EVET",IF($D3443="GELİR",$O3443,-$O3443),0))</f>
        <v/>
      </c>
      <c r="AA3443" s="117">
        <f>IF($B3443="",0,IF(OR($W3443="EVET",$X3443="EVET",$Y3443="EVET"),0,IF($D3443="GELİR",IF($E3443="SATIŞ İADESİ/İSKONTO",-$O3443,$O3443),-$O3443)))</f>
        <v/>
      </c>
      <c r="AB3443" s="117">
        <f>IF($B3443="","",IF(OR($D3443="",$E3443="",$O3443=""),"EKSİK",IF($O3443&lt;=0,"SIFIR/NEGATİF",IF(COUNTIFS($C$6:$C$5000,$C3443,$O$6:$O$5000,$O3443,$B$6:$B$5000,$B3443)&gt;1,"MÜKERRER","OK"))))</f>
        <v/>
      </c>
    </row>
    <row r="3444" ht="16.5" customHeight="1" s="80">
      <c r="A3444" s="113" t="n"/>
      <c r="B3444" s="113" t="n"/>
      <c r="C3444" s="113" t="n"/>
      <c r="D3444" s="113" t="n"/>
      <c r="E3444" s="113" t="n"/>
      <c r="F3444" s="113" t="n"/>
      <c r="G3444" s="113" t="n"/>
      <c r="H3444" s="113" t="n"/>
      <c r="I3444" s="113" t="n"/>
      <c r="J3444" s="113" t="n"/>
      <c r="K3444" s="113" t="n"/>
      <c r="L3444" s="113" t="n"/>
      <c r="M3444" s="113" t="n"/>
      <c r="N3444" s="113" t="n"/>
      <c r="O3444" s="113" t="n"/>
      <c r="P3444" s="113" t="n"/>
      <c r="Q3444" s="113" t="n"/>
      <c r="R3444" s="113" t="n"/>
      <c r="S3444" s="113" t="n"/>
      <c r="T3444" s="113" t="n"/>
      <c r="U3444" s="113" t="n"/>
      <c r="V3444" s="113" t="n"/>
      <c r="W3444" s="113" t="n"/>
      <c r="X3444" s="113" t="n"/>
      <c r="Y3444" s="113" t="n"/>
      <c r="Z3444" s="117">
        <f>IF($B3444="",0,IF($S3444="EVET",IF($D3444="GELİR",$O3444,-$O3444),0))</f>
        <v/>
      </c>
      <c r="AA3444" s="117">
        <f>IF($B3444="",0,IF(OR($W3444="EVET",$X3444="EVET",$Y3444="EVET"),0,IF($D3444="GELİR",IF($E3444="SATIŞ İADESİ/İSKONTO",-$O3444,$O3444),-$O3444)))</f>
        <v/>
      </c>
      <c r="AB3444" s="117">
        <f>IF($B3444="","",IF(OR($D3444="",$E3444="",$O3444=""),"EKSİK",IF($O3444&lt;=0,"SIFIR/NEGATİF",IF(COUNTIFS($C$6:$C$5000,$C3444,$O$6:$O$5000,$O3444,$B$6:$B$5000,$B3444)&gt;1,"MÜKERRER","OK"))))</f>
        <v/>
      </c>
    </row>
    <row r="3445" ht="16.5" customHeight="1" s="80">
      <c r="A3445" s="113" t="n"/>
      <c r="B3445" s="113" t="n"/>
      <c r="C3445" s="113" t="n"/>
      <c r="D3445" s="113" t="n"/>
      <c r="E3445" s="113" t="n"/>
      <c r="F3445" s="113" t="n"/>
      <c r="G3445" s="113" t="n"/>
      <c r="H3445" s="113" t="n"/>
      <c r="I3445" s="113" t="n"/>
      <c r="J3445" s="113" t="n"/>
      <c r="K3445" s="113" t="n"/>
      <c r="L3445" s="113" t="n"/>
      <c r="M3445" s="113" t="n"/>
      <c r="N3445" s="113" t="n"/>
      <c r="O3445" s="113" t="n"/>
      <c r="P3445" s="113" t="n"/>
      <c r="Q3445" s="113" t="n"/>
      <c r="R3445" s="113" t="n"/>
      <c r="S3445" s="113" t="n"/>
      <c r="T3445" s="113" t="n"/>
      <c r="U3445" s="113" t="n"/>
      <c r="V3445" s="113" t="n"/>
      <c r="W3445" s="113" t="n"/>
      <c r="X3445" s="113" t="n"/>
      <c r="Y3445" s="113" t="n"/>
      <c r="Z3445" s="117">
        <f>IF($B3445="",0,IF($S3445="EVET",IF($D3445="GELİR",$O3445,-$O3445),0))</f>
        <v/>
      </c>
      <c r="AA3445" s="117">
        <f>IF($B3445="",0,IF(OR($W3445="EVET",$X3445="EVET",$Y3445="EVET"),0,IF($D3445="GELİR",IF($E3445="SATIŞ İADESİ/İSKONTO",-$O3445,$O3445),-$O3445)))</f>
        <v/>
      </c>
      <c r="AB3445" s="117">
        <f>IF($B3445="","",IF(OR($D3445="",$E3445="",$O3445=""),"EKSİK",IF($O3445&lt;=0,"SIFIR/NEGATİF",IF(COUNTIFS($C$6:$C$5000,$C3445,$O$6:$O$5000,$O3445,$B$6:$B$5000,$B3445)&gt;1,"MÜKERRER","OK"))))</f>
        <v/>
      </c>
    </row>
    <row r="3446" ht="16.5" customHeight="1" s="80">
      <c r="A3446" s="113" t="n"/>
      <c r="B3446" s="113" t="n"/>
      <c r="C3446" s="113" t="n"/>
      <c r="D3446" s="113" t="n"/>
      <c r="E3446" s="113" t="n"/>
      <c r="F3446" s="113" t="n"/>
      <c r="G3446" s="113" t="n"/>
      <c r="H3446" s="113" t="n"/>
      <c r="I3446" s="113" t="n"/>
      <c r="J3446" s="113" t="n"/>
      <c r="K3446" s="113" t="n"/>
      <c r="L3446" s="113" t="n"/>
      <c r="M3446" s="113" t="n"/>
      <c r="N3446" s="113" t="n"/>
      <c r="O3446" s="113" t="n"/>
      <c r="P3446" s="113" t="n"/>
      <c r="Q3446" s="113" t="n"/>
      <c r="R3446" s="113" t="n"/>
      <c r="S3446" s="113" t="n"/>
      <c r="T3446" s="113" t="n"/>
      <c r="U3446" s="113" t="n"/>
      <c r="V3446" s="113" t="n"/>
      <c r="W3446" s="113" t="n"/>
      <c r="X3446" s="113" t="n"/>
      <c r="Y3446" s="113" t="n"/>
      <c r="Z3446" s="117">
        <f>IF($B3446="",0,IF($S3446="EVET",IF($D3446="GELİR",$O3446,-$O3446),0))</f>
        <v/>
      </c>
      <c r="AA3446" s="117">
        <f>IF($B3446="",0,IF(OR($W3446="EVET",$X3446="EVET",$Y3446="EVET"),0,IF($D3446="GELİR",IF($E3446="SATIŞ İADESİ/İSKONTO",-$O3446,$O3446),-$O3446)))</f>
        <v/>
      </c>
      <c r="AB3446" s="117">
        <f>IF($B3446="","",IF(OR($D3446="",$E3446="",$O3446=""),"EKSİK",IF($O3446&lt;=0,"SIFIR/NEGATİF",IF(COUNTIFS($C$6:$C$5000,$C3446,$O$6:$O$5000,$O3446,$B$6:$B$5000,$B3446)&gt;1,"MÜKERRER","OK"))))</f>
        <v/>
      </c>
    </row>
    <row r="3447" ht="16.5" customHeight="1" s="80">
      <c r="A3447" s="113" t="n"/>
      <c r="B3447" s="113" t="n"/>
      <c r="C3447" s="113" t="n"/>
      <c r="D3447" s="113" t="n"/>
      <c r="E3447" s="113" t="n"/>
      <c r="F3447" s="113" t="n"/>
      <c r="G3447" s="113" t="n"/>
      <c r="H3447" s="113" t="n"/>
      <c r="I3447" s="113" t="n"/>
      <c r="J3447" s="113" t="n"/>
      <c r="K3447" s="113" t="n"/>
      <c r="L3447" s="113" t="n"/>
      <c r="M3447" s="113" t="n"/>
      <c r="N3447" s="113" t="n"/>
      <c r="O3447" s="113" t="n"/>
      <c r="P3447" s="113" t="n"/>
      <c r="Q3447" s="113" t="n"/>
      <c r="R3447" s="113" t="n"/>
      <c r="S3447" s="113" t="n"/>
      <c r="T3447" s="113" t="n"/>
      <c r="U3447" s="113" t="n"/>
      <c r="V3447" s="113" t="n"/>
      <c r="W3447" s="113" t="n"/>
      <c r="X3447" s="113" t="n"/>
      <c r="Y3447" s="113" t="n"/>
      <c r="Z3447" s="117">
        <f>IF($B3447="",0,IF($S3447="EVET",IF($D3447="GELİR",$O3447,-$O3447),0))</f>
        <v/>
      </c>
      <c r="AA3447" s="117">
        <f>IF($B3447="",0,IF(OR($W3447="EVET",$X3447="EVET",$Y3447="EVET"),0,IF($D3447="GELİR",IF($E3447="SATIŞ İADESİ/İSKONTO",-$O3447,$O3447),-$O3447)))</f>
        <v/>
      </c>
      <c r="AB3447" s="117">
        <f>IF($B3447="","",IF(OR($D3447="",$E3447="",$O3447=""),"EKSİK",IF($O3447&lt;=0,"SIFIR/NEGATİF",IF(COUNTIFS($C$6:$C$5000,$C3447,$O$6:$O$5000,$O3447,$B$6:$B$5000,$B3447)&gt;1,"MÜKERRER","OK"))))</f>
        <v/>
      </c>
    </row>
    <row r="3448" ht="16.5" customHeight="1" s="80">
      <c r="A3448" s="113" t="n"/>
      <c r="B3448" s="113" t="n"/>
      <c r="C3448" s="113" t="n"/>
      <c r="D3448" s="113" t="n"/>
      <c r="E3448" s="113" t="n"/>
      <c r="F3448" s="113" t="n"/>
      <c r="G3448" s="113" t="n"/>
      <c r="H3448" s="113" t="n"/>
      <c r="I3448" s="113" t="n"/>
      <c r="J3448" s="113" t="n"/>
      <c r="K3448" s="113" t="n"/>
      <c r="L3448" s="113" t="n"/>
      <c r="M3448" s="113" t="n"/>
      <c r="N3448" s="113" t="n"/>
      <c r="O3448" s="113" t="n"/>
      <c r="P3448" s="113" t="n"/>
      <c r="Q3448" s="113" t="n"/>
      <c r="R3448" s="113" t="n"/>
      <c r="S3448" s="113" t="n"/>
      <c r="T3448" s="113" t="n"/>
      <c r="U3448" s="113" t="n"/>
      <c r="V3448" s="113" t="n"/>
      <c r="W3448" s="113" t="n"/>
      <c r="X3448" s="113" t="n"/>
      <c r="Y3448" s="113" t="n"/>
      <c r="Z3448" s="117">
        <f>IF($B3448="",0,IF($S3448="EVET",IF($D3448="GELİR",$O3448,-$O3448),0))</f>
        <v/>
      </c>
      <c r="AA3448" s="117">
        <f>IF($B3448="",0,IF(OR($W3448="EVET",$X3448="EVET",$Y3448="EVET"),0,IF($D3448="GELİR",IF($E3448="SATIŞ İADESİ/İSKONTO",-$O3448,$O3448),-$O3448)))</f>
        <v/>
      </c>
      <c r="AB3448" s="117">
        <f>IF($B3448="","",IF(OR($D3448="",$E3448="",$O3448=""),"EKSİK",IF($O3448&lt;=0,"SIFIR/NEGATİF",IF(COUNTIFS($C$6:$C$5000,$C3448,$O$6:$O$5000,$O3448,$B$6:$B$5000,$B3448)&gt;1,"MÜKERRER","OK"))))</f>
        <v/>
      </c>
    </row>
    <row r="3449" ht="16.5" customHeight="1" s="80">
      <c r="A3449" s="113" t="n"/>
      <c r="B3449" s="113" t="n"/>
      <c r="C3449" s="113" t="n"/>
      <c r="D3449" s="113" t="n"/>
      <c r="E3449" s="113" t="n"/>
      <c r="F3449" s="113" t="n"/>
      <c r="G3449" s="113" t="n"/>
      <c r="H3449" s="113" t="n"/>
      <c r="I3449" s="113" t="n"/>
      <c r="J3449" s="113" t="n"/>
      <c r="K3449" s="113" t="n"/>
      <c r="L3449" s="113" t="n"/>
      <c r="M3449" s="113" t="n"/>
      <c r="N3449" s="113" t="n"/>
      <c r="O3449" s="113" t="n"/>
      <c r="P3449" s="113" t="n"/>
      <c r="Q3449" s="113" t="n"/>
      <c r="R3449" s="113" t="n"/>
      <c r="S3449" s="113" t="n"/>
      <c r="T3449" s="113" t="n"/>
      <c r="U3449" s="113" t="n"/>
      <c r="V3449" s="113" t="n"/>
      <c r="W3449" s="113" t="n"/>
      <c r="X3449" s="113" t="n"/>
      <c r="Y3449" s="113" t="n"/>
      <c r="Z3449" s="117">
        <f>IF($B3449="",0,IF($S3449="EVET",IF($D3449="GELİR",$O3449,-$O3449),0))</f>
        <v/>
      </c>
      <c r="AA3449" s="117">
        <f>IF($B3449="",0,IF(OR($W3449="EVET",$X3449="EVET",$Y3449="EVET"),0,IF($D3449="GELİR",IF($E3449="SATIŞ İADESİ/İSKONTO",-$O3449,$O3449),-$O3449)))</f>
        <v/>
      </c>
      <c r="AB3449" s="117">
        <f>IF($B3449="","",IF(OR($D3449="",$E3449="",$O3449=""),"EKSİK",IF($O3449&lt;=0,"SIFIR/NEGATİF",IF(COUNTIFS($C$6:$C$5000,$C3449,$O$6:$O$5000,$O3449,$B$6:$B$5000,$B3449)&gt;1,"MÜKERRER","OK"))))</f>
        <v/>
      </c>
    </row>
    <row r="3450" ht="16.5" customHeight="1" s="80">
      <c r="A3450" s="113" t="n"/>
      <c r="B3450" s="113" t="n"/>
      <c r="C3450" s="113" t="n"/>
      <c r="D3450" s="113" t="n"/>
      <c r="E3450" s="113" t="n"/>
      <c r="F3450" s="113" t="n"/>
      <c r="G3450" s="113" t="n"/>
      <c r="H3450" s="113" t="n"/>
      <c r="I3450" s="113" t="n"/>
      <c r="J3450" s="113" t="n"/>
      <c r="K3450" s="113" t="n"/>
      <c r="L3450" s="113" t="n"/>
      <c r="M3450" s="113" t="n"/>
      <c r="N3450" s="113" t="n"/>
      <c r="O3450" s="113" t="n"/>
      <c r="P3450" s="113" t="n"/>
      <c r="Q3450" s="113" t="n"/>
      <c r="R3450" s="113" t="n"/>
      <c r="S3450" s="113" t="n"/>
      <c r="T3450" s="113" t="n"/>
      <c r="U3450" s="113" t="n"/>
      <c r="V3450" s="113" t="n"/>
      <c r="W3450" s="113" t="n"/>
      <c r="X3450" s="113" t="n"/>
      <c r="Y3450" s="113" t="n"/>
      <c r="Z3450" s="117">
        <f>IF($B3450="",0,IF($S3450="EVET",IF($D3450="GELİR",$O3450,-$O3450),0))</f>
        <v/>
      </c>
      <c r="AA3450" s="117">
        <f>IF($B3450="",0,IF(OR($W3450="EVET",$X3450="EVET",$Y3450="EVET"),0,IF($D3450="GELİR",IF($E3450="SATIŞ İADESİ/İSKONTO",-$O3450,$O3450),-$O3450)))</f>
        <v/>
      </c>
      <c r="AB3450" s="117">
        <f>IF($B3450="","",IF(OR($D3450="",$E3450="",$O3450=""),"EKSİK",IF($O3450&lt;=0,"SIFIR/NEGATİF",IF(COUNTIFS($C$6:$C$5000,$C3450,$O$6:$O$5000,$O3450,$B$6:$B$5000,$B3450)&gt;1,"MÜKERRER","OK"))))</f>
        <v/>
      </c>
    </row>
    <row r="3451" ht="16.5" customHeight="1" s="80">
      <c r="A3451" s="113" t="n"/>
      <c r="B3451" s="113" t="n"/>
      <c r="C3451" s="113" t="n"/>
      <c r="D3451" s="113" t="n"/>
      <c r="E3451" s="113" t="n"/>
      <c r="F3451" s="113" t="n"/>
      <c r="G3451" s="113" t="n"/>
      <c r="H3451" s="113" t="n"/>
      <c r="I3451" s="113" t="n"/>
      <c r="J3451" s="113" t="n"/>
      <c r="K3451" s="113" t="n"/>
      <c r="L3451" s="113" t="n"/>
      <c r="M3451" s="113" t="n"/>
      <c r="N3451" s="113" t="n"/>
      <c r="O3451" s="113" t="n"/>
      <c r="P3451" s="113" t="n"/>
      <c r="Q3451" s="113" t="n"/>
      <c r="R3451" s="113" t="n"/>
      <c r="S3451" s="113" t="n"/>
      <c r="T3451" s="113" t="n"/>
      <c r="U3451" s="113" t="n"/>
      <c r="V3451" s="113" t="n"/>
      <c r="W3451" s="113" t="n"/>
      <c r="X3451" s="113" t="n"/>
      <c r="Y3451" s="113" t="n"/>
      <c r="Z3451" s="117">
        <f>IF($B3451="",0,IF($S3451="EVET",IF($D3451="GELİR",$O3451,-$O3451),0))</f>
        <v/>
      </c>
      <c r="AA3451" s="117">
        <f>IF($B3451="",0,IF(OR($W3451="EVET",$X3451="EVET",$Y3451="EVET"),0,IF($D3451="GELİR",IF($E3451="SATIŞ İADESİ/İSKONTO",-$O3451,$O3451),-$O3451)))</f>
        <v/>
      </c>
      <c r="AB3451" s="117">
        <f>IF($B3451="","",IF(OR($D3451="",$E3451="",$O3451=""),"EKSİK",IF($O3451&lt;=0,"SIFIR/NEGATİF",IF(COUNTIFS($C$6:$C$5000,$C3451,$O$6:$O$5000,$O3451,$B$6:$B$5000,$B3451)&gt;1,"MÜKERRER","OK"))))</f>
        <v/>
      </c>
    </row>
    <row r="3452" ht="16.5" customHeight="1" s="80">
      <c r="A3452" s="113" t="n"/>
      <c r="B3452" s="113" t="n"/>
      <c r="C3452" s="113" t="n"/>
      <c r="D3452" s="113" t="n"/>
      <c r="E3452" s="113" t="n"/>
      <c r="F3452" s="113" t="n"/>
      <c r="G3452" s="113" t="n"/>
      <c r="H3452" s="113" t="n"/>
      <c r="I3452" s="113" t="n"/>
      <c r="J3452" s="113" t="n"/>
      <c r="K3452" s="113" t="n"/>
      <c r="L3452" s="113" t="n"/>
      <c r="M3452" s="113" t="n"/>
      <c r="N3452" s="113" t="n"/>
      <c r="O3452" s="113" t="n"/>
      <c r="P3452" s="113" t="n"/>
      <c r="Q3452" s="113" t="n"/>
      <c r="R3452" s="113" t="n"/>
      <c r="S3452" s="113" t="n"/>
      <c r="T3452" s="113" t="n"/>
      <c r="U3452" s="113" t="n"/>
      <c r="V3452" s="113" t="n"/>
      <c r="W3452" s="113" t="n"/>
      <c r="X3452" s="113" t="n"/>
      <c r="Y3452" s="113" t="n"/>
      <c r="Z3452" s="117">
        <f>IF($B3452="",0,IF($S3452="EVET",IF($D3452="GELİR",$O3452,-$O3452),0))</f>
        <v/>
      </c>
      <c r="AA3452" s="117">
        <f>IF($B3452="",0,IF(OR($W3452="EVET",$X3452="EVET",$Y3452="EVET"),0,IF($D3452="GELİR",IF($E3452="SATIŞ İADESİ/İSKONTO",-$O3452,$O3452),-$O3452)))</f>
        <v/>
      </c>
      <c r="AB3452" s="117">
        <f>IF($B3452="","",IF(OR($D3452="",$E3452="",$O3452=""),"EKSİK",IF($O3452&lt;=0,"SIFIR/NEGATİF",IF(COUNTIFS($C$6:$C$5000,$C3452,$O$6:$O$5000,$O3452,$B$6:$B$5000,$B3452)&gt;1,"MÜKERRER","OK"))))</f>
        <v/>
      </c>
    </row>
    <row r="3453" ht="16.5" customHeight="1" s="80">
      <c r="A3453" s="113" t="n"/>
      <c r="B3453" s="113" t="n"/>
      <c r="C3453" s="113" t="n"/>
      <c r="D3453" s="113" t="n"/>
      <c r="E3453" s="113" t="n"/>
      <c r="F3453" s="113" t="n"/>
      <c r="G3453" s="113" t="n"/>
      <c r="H3453" s="113" t="n"/>
      <c r="I3453" s="113" t="n"/>
      <c r="J3453" s="113" t="n"/>
      <c r="K3453" s="113" t="n"/>
      <c r="L3453" s="113" t="n"/>
      <c r="M3453" s="113" t="n"/>
      <c r="N3453" s="113" t="n"/>
      <c r="O3453" s="113" t="n"/>
      <c r="P3453" s="113" t="n"/>
      <c r="Q3453" s="113" t="n"/>
      <c r="R3453" s="113" t="n"/>
      <c r="S3453" s="113" t="n"/>
      <c r="T3453" s="113" t="n"/>
      <c r="U3453" s="113" t="n"/>
      <c r="V3453" s="113" t="n"/>
      <c r="W3453" s="113" t="n"/>
      <c r="X3453" s="113" t="n"/>
      <c r="Y3453" s="113" t="n"/>
      <c r="Z3453" s="117">
        <f>IF($B3453="",0,IF($S3453="EVET",IF($D3453="GELİR",$O3453,-$O3453),0))</f>
        <v/>
      </c>
      <c r="AA3453" s="117">
        <f>IF($B3453="",0,IF(OR($W3453="EVET",$X3453="EVET",$Y3453="EVET"),0,IF($D3453="GELİR",IF($E3453="SATIŞ İADESİ/İSKONTO",-$O3453,$O3453),-$O3453)))</f>
        <v/>
      </c>
      <c r="AB3453" s="117">
        <f>IF($B3453="","",IF(OR($D3453="",$E3453="",$O3453=""),"EKSİK",IF($O3453&lt;=0,"SIFIR/NEGATİF",IF(COUNTIFS($C$6:$C$5000,$C3453,$O$6:$O$5000,$O3453,$B$6:$B$5000,$B3453)&gt;1,"MÜKERRER","OK"))))</f>
        <v/>
      </c>
    </row>
    <row r="3454" ht="16.5" customHeight="1" s="80">
      <c r="A3454" s="113" t="n"/>
      <c r="B3454" s="113" t="n"/>
      <c r="C3454" s="113" t="n"/>
      <c r="D3454" s="113" t="n"/>
      <c r="E3454" s="113" t="n"/>
      <c r="F3454" s="113" t="n"/>
      <c r="G3454" s="113" t="n"/>
      <c r="H3454" s="113" t="n"/>
      <c r="I3454" s="113" t="n"/>
      <c r="J3454" s="113" t="n"/>
      <c r="K3454" s="113" t="n"/>
      <c r="L3454" s="113" t="n"/>
      <c r="M3454" s="113" t="n"/>
      <c r="N3454" s="113" t="n"/>
      <c r="O3454" s="113" t="n"/>
      <c r="P3454" s="113" t="n"/>
      <c r="Q3454" s="113" t="n"/>
      <c r="R3454" s="113" t="n"/>
      <c r="S3454" s="113" t="n"/>
      <c r="T3454" s="113" t="n"/>
      <c r="U3454" s="113" t="n"/>
      <c r="V3454" s="113" t="n"/>
      <c r="W3454" s="113" t="n"/>
      <c r="X3454" s="113" t="n"/>
      <c r="Y3454" s="113" t="n"/>
      <c r="Z3454" s="117">
        <f>IF($B3454="",0,IF($S3454="EVET",IF($D3454="GELİR",$O3454,-$O3454),0))</f>
        <v/>
      </c>
      <c r="AA3454" s="117">
        <f>IF($B3454="",0,IF(OR($W3454="EVET",$X3454="EVET",$Y3454="EVET"),0,IF($D3454="GELİR",IF($E3454="SATIŞ İADESİ/İSKONTO",-$O3454,$O3454),-$O3454)))</f>
        <v/>
      </c>
      <c r="AB3454" s="117">
        <f>IF($B3454="","",IF(OR($D3454="",$E3454="",$O3454=""),"EKSİK",IF($O3454&lt;=0,"SIFIR/NEGATİF",IF(COUNTIFS($C$6:$C$5000,$C3454,$O$6:$O$5000,$O3454,$B$6:$B$5000,$B3454)&gt;1,"MÜKERRER","OK"))))</f>
        <v/>
      </c>
    </row>
    <row r="3455" ht="16.5" customHeight="1" s="80">
      <c r="A3455" s="113" t="n"/>
      <c r="B3455" s="113" t="n"/>
      <c r="C3455" s="113" t="n"/>
      <c r="D3455" s="113" t="n"/>
      <c r="E3455" s="113" t="n"/>
      <c r="F3455" s="113" t="n"/>
      <c r="G3455" s="113" t="n"/>
      <c r="H3455" s="113" t="n"/>
      <c r="I3455" s="113" t="n"/>
      <c r="J3455" s="113" t="n"/>
      <c r="K3455" s="113" t="n"/>
      <c r="L3455" s="113" t="n"/>
      <c r="M3455" s="113" t="n"/>
      <c r="N3455" s="113" t="n"/>
      <c r="O3455" s="113" t="n"/>
      <c r="P3455" s="113" t="n"/>
      <c r="Q3455" s="113" t="n"/>
      <c r="R3455" s="113" t="n"/>
      <c r="S3455" s="113" t="n"/>
      <c r="T3455" s="113" t="n"/>
      <c r="U3455" s="113" t="n"/>
      <c r="V3455" s="113" t="n"/>
      <c r="W3455" s="113" t="n"/>
      <c r="X3455" s="113" t="n"/>
      <c r="Y3455" s="113" t="n"/>
      <c r="Z3455" s="117">
        <f>IF($B3455="",0,IF($S3455="EVET",IF($D3455="GELİR",$O3455,-$O3455),0))</f>
        <v/>
      </c>
      <c r="AA3455" s="117">
        <f>IF($B3455="",0,IF(OR($W3455="EVET",$X3455="EVET",$Y3455="EVET"),0,IF($D3455="GELİR",IF($E3455="SATIŞ İADESİ/İSKONTO",-$O3455,$O3455),-$O3455)))</f>
        <v/>
      </c>
      <c r="AB3455" s="117">
        <f>IF($B3455="","",IF(OR($D3455="",$E3455="",$O3455=""),"EKSİK",IF($O3455&lt;=0,"SIFIR/NEGATİF",IF(COUNTIFS($C$6:$C$5000,$C3455,$O$6:$O$5000,$O3455,$B$6:$B$5000,$B3455)&gt;1,"MÜKERRER","OK"))))</f>
        <v/>
      </c>
    </row>
    <row r="3456" ht="16.5" customHeight="1" s="80">
      <c r="A3456" s="113" t="n"/>
      <c r="B3456" s="113" t="n"/>
      <c r="C3456" s="113" t="n"/>
      <c r="D3456" s="113" t="n"/>
      <c r="E3456" s="113" t="n"/>
      <c r="F3456" s="113" t="n"/>
      <c r="G3456" s="113" t="n"/>
      <c r="H3456" s="113" t="n"/>
      <c r="I3456" s="113" t="n"/>
      <c r="J3456" s="113" t="n"/>
      <c r="K3456" s="113" t="n"/>
      <c r="L3456" s="113" t="n"/>
      <c r="M3456" s="113" t="n"/>
      <c r="N3456" s="113" t="n"/>
      <c r="O3456" s="113" t="n"/>
      <c r="P3456" s="113" t="n"/>
      <c r="Q3456" s="113" t="n"/>
      <c r="R3456" s="113" t="n"/>
      <c r="S3456" s="113" t="n"/>
      <c r="T3456" s="113" t="n"/>
      <c r="U3456" s="113" t="n"/>
      <c r="V3456" s="113" t="n"/>
      <c r="W3456" s="113" t="n"/>
      <c r="X3456" s="113" t="n"/>
      <c r="Y3456" s="113" t="n"/>
      <c r="Z3456" s="117">
        <f>IF($B3456="",0,IF($S3456="EVET",IF($D3456="GELİR",$O3456,-$O3456),0))</f>
        <v/>
      </c>
      <c r="AA3456" s="117">
        <f>IF($B3456="",0,IF(OR($W3456="EVET",$X3456="EVET",$Y3456="EVET"),0,IF($D3456="GELİR",IF($E3456="SATIŞ İADESİ/İSKONTO",-$O3456,$O3456),-$O3456)))</f>
        <v/>
      </c>
      <c r="AB3456" s="117">
        <f>IF($B3456="","",IF(OR($D3456="",$E3456="",$O3456=""),"EKSİK",IF($O3456&lt;=0,"SIFIR/NEGATİF",IF(COUNTIFS($C$6:$C$5000,$C3456,$O$6:$O$5000,$O3456,$B$6:$B$5000,$B3456)&gt;1,"MÜKERRER","OK"))))</f>
        <v/>
      </c>
    </row>
    <row r="3457" ht="16.5" customHeight="1" s="80">
      <c r="A3457" s="113" t="n"/>
      <c r="B3457" s="113" t="n"/>
      <c r="C3457" s="113" t="n"/>
      <c r="D3457" s="113" t="n"/>
      <c r="E3457" s="113" t="n"/>
      <c r="F3457" s="113" t="n"/>
      <c r="G3457" s="113" t="n"/>
      <c r="H3457" s="113" t="n"/>
      <c r="I3457" s="113" t="n"/>
      <c r="J3457" s="113" t="n"/>
      <c r="K3457" s="113" t="n"/>
      <c r="L3457" s="113" t="n"/>
      <c r="M3457" s="113" t="n"/>
      <c r="N3457" s="113" t="n"/>
      <c r="O3457" s="113" t="n"/>
      <c r="P3457" s="113" t="n"/>
      <c r="Q3457" s="113" t="n"/>
      <c r="R3457" s="113" t="n"/>
      <c r="S3457" s="113" t="n"/>
      <c r="T3457" s="113" t="n"/>
      <c r="U3457" s="113" t="n"/>
      <c r="V3457" s="113" t="n"/>
      <c r="W3457" s="113" t="n"/>
      <c r="X3457" s="113" t="n"/>
      <c r="Y3457" s="113" t="n"/>
      <c r="Z3457" s="117">
        <f>IF($B3457="",0,IF($S3457="EVET",IF($D3457="GELİR",$O3457,-$O3457),0))</f>
        <v/>
      </c>
      <c r="AA3457" s="117">
        <f>IF($B3457="",0,IF(OR($W3457="EVET",$X3457="EVET",$Y3457="EVET"),0,IF($D3457="GELİR",IF($E3457="SATIŞ İADESİ/İSKONTO",-$O3457,$O3457),-$O3457)))</f>
        <v/>
      </c>
      <c r="AB3457" s="117">
        <f>IF($B3457="","",IF(OR($D3457="",$E3457="",$O3457=""),"EKSİK",IF($O3457&lt;=0,"SIFIR/NEGATİF",IF(COUNTIFS($C$6:$C$5000,$C3457,$O$6:$O$5000,$O3457,$B$6:$B$5000,$B3457)&gt;1,"MÜKERRER","OK"))))</f>
        <v/>
      </c>
    </row>
    <row r="3458" ht="16.5" customHeight="1" s="80">
      <c r="A3458" s="113" t="n"/>
      <c r="B3458" s="113" t="n"/>
      <c r="C3458" s="113" t="n"/>
      <c r="D3458" s="113" t="n"/>
      <c r="E3458" s="113" t="n"/>
      <c r="F3458" s="113" t="n"/>
      <c r="G3458" s="113" t="n"/>
      <c r="H3458" s="113" t="n"/>
      <c r="I3458" s="113" t="n"/>
      <c r="J3458" s="113" t="n"/>
      <c r="K3458" s="113" t="n"/>
      <c r="L3458" s="113" t="n"/>
      <c r="M3458" s="113" t="n"/>
      <c r="N3458" s="113" t="n"/>
      <c r="O3458" s="113" t="n"/>
      <c r="P3458" s="113" t="n"/>
      <c r="Q3458" s="113" t="n"/>
      <c r="R3458" s="113" t="n"/>
      <c r="S3458" s="113" t="n"/>
      <c r="T3458" s="113" t="n"/>
      <c r="U3458" s="113" t="n"/>
      <c r="V3458" s="113" t="n"/>
      <c r="W3458" s="113" t="n"/>
      <c r="X3458" s="113" t="n"/>
      <c r="Y3458" s="113" t="n"/>
      <c r="Z3458" s="117">
        <f>IF($B3458="",0,IF($S3458="EVET",IF($D3458="GELİR",$O3458,-$O3458),0))</f>
        <v/>
      </c>
      <c r="AA3458" s="117">
        <f>IF($B3458="",0,IF(OR($W3458="EVET",$X3458="EVET",$Y3458="EVET"),0,IF($D3458="GELİR",IF($E3458="SATIŞ İADESİ/İSKONTO",-$O3458,$O3458),-$O3458)))</f>
        <v/>
      </c>
      <c r="AB3458" s="117">
        <f>IF($B3458="","",IF(OR($D3458="",$E3458="",$O3458=""),"EKSİK",IF($O3458&lt;=0,"SIFIR/NEGATİF",IF(COUNTIFS($C$6:$C$5000,$C3458,$O$6:$O$5000,$O3458,$B$6:$B$5000,$B3458)&gt;1,"MÜKERRER","OK"))))</f>
        <v/>
      </c>
    </row>
    <row r="3459" ht="16.5" customHeight="1" s="80">
      <c r="A3459" s="113" t="n"/>
      <c r="B3459" s="113" t="n"/>
      <c r="C3459" s="113" t="n"/>
      <c r="D3459" s="113" t="n"/>
      <c r="E3459" s="113" t="n"/>
      <c r="F3459" s="113" t="n"/>
      <c r="G3459" s="113" t="n"/>
      <c r="H3459" s="113" t="n"/>
      <c r="I3459" s="113" t="n"/>
      <c r="J3459" s="113" t="n"/>
      <c r="K3459" s="113" t="n"/>
      <c r="L3459" s="113" t="n"/>
      <c r="M3459" s="113" t="n"/>
      <c r="N3459" s="113" t="n"/>
      <c r="O3459" s="113" t="n"/>
      <c r="P3459" s="113" t="n"/>
      <c r="Q3459" s="113" t="n"/>
      <c r="R3459" s="113" t="n"/>
      <c r="S3459" s="113" t="n"/>
      <c r="T3459" s="113" t="n"/>
      <c r="U3459" s="113" t="n"/>
      <c r="V3459" s="113" t="n"/>
      <c r="W3459" s="113" t="n"/>
      <c r="X3459" s="113" t="n"/>
      <c r="Y3459" s="113" t="n"/>
      <c r="Z3459" s="117">
        <f>IF($B3459="",0,IF($S3459="EVET",IF($D3459="GELİR",$O3459,-$O3459),0))</f>
        <v/>
      </c>
      <c r="AA3459" s="117">
        <f>IF($B3459="",0,IF(OR($W3459="EVET",$X3459="EVET",$Y3459="EVET"),0,IF($D3459="GELİR",IF($E3459="SATIŞ İADESİ/İSKONTO",-$O3459,$O3459),-$O3459)))</f>
        <v/>
      </c>
      <c r="AB3459" s="117">
        <f>IF($B3459="","",IF(OR($D3459="",$E3459="",$O3459=""),"EKSİK",IF($O3459&lt;=0,"SIFIR/NEGATİF",IF(COUNTIFS($C$6:$C$5000,$C3459,$O$6:$O$5000,$O3459,$B$6:$B$5000,$B3459)&gt;1,"MÜKERRER","OK"))))</f>
        <v/>
      </c>
    </row>
    <row r="3460" ht="16.5" customHeight="1" s="80">
      <c r="A3460" s="113" t="n"/>
      <c r="B3460" s="113" t="n"/>
      <c r="C3460" s="113" t="n"/>
      <c r="D3460" s="113" t="n"/>
      <c r="E3460" s="113" t="n"/>
      <c r="F3460" s="113" t="n"/>
      <c r="G3460" s="113" t="n"/>
      <c r="H3460" s="113" t="n"/>
      <c r="I3460" s="113" t="n"/>
      <c r="J3460" s="113" t="n"/>
      <c r="K3460" s="113" t="n"/>
      <c r="L3460" s="113" t="n"/>
      <c r="M3460" s="113" t="n"/>
      <c r="N3460" s="113" t="n"/>
      <c r="O3460" s="113" t="n"/>
      <c r="P3460" s="113" t="n"/>
      <c r="Q3460" s="113" t="n"/>
      <c r="R3460" s="113" t="n"/>
      <c r="S3460" s="113" t="n"/>
      <c r="T3460" s="113" t="n"/>
      <c r="U3460" s="113" t="n"/>
      <c r="V3460" s="113" t="n"/>
      <c r="W3460" s="113" t="n"/>
      <c r="X3460" s="113" t="n"/>
      <c r="Y3460" s="113" t="n"/>
      <c r="Z3460" s="117">
        <f>IF($B3460="",0,IF($S3460="EVET",IF($D3460="GELİR",$O3460,-$O3460),0))</f>
        <v/>
      </c>
      <c r="AA3460" s="117">
        <f>IF($B3460="",0,IF(OR($W3460="EVET",$X3460="EVET",$Y3460="EVET"),0,IF($D3460="GELİR",IF($E3460="SATIŞ İADESİ/İSKONTO",-$O3460,$O3460),-$O3460)))</f>
        <v/>
      </c>
      <c r="AB3460" s="117">
        <f>IF($B3460="","",IF(OR($D3460="",$E3460="",$O3460=""),"EKSİK",IF($O3460&lt;=0,"SIFIR/NEGATİF",IF(COUNTIFS($C$6:$C$5000,$C3460,$O$6:$O$5000,$O3460,$B$6:$B$5000,$B3460)&gt;1,"MÜKERRER","OK"))))</f>
        <v/>
      </c>
    </row>
    <row r="3461" ht="16.5" customHeight="1" s="80">
      <c r="A3461" s="113" t="n"/>
      <c r="B3461" s="113" t="n"/>
      <c r="C3461" s="113" t="n"/>
      <c r="D3461" s="113" t="n"/>
      <c r="E3461" s="113" t="n"/>
      <c r="F3461" s="113" t="n"/>
      <c r="G3461" s="113" t="n"/>
      <c r="H3461" s="113" t="n"/>
      <c r="I3461" s="113" t="n"/>
      <c r="J3461" s="113" t="n"/>
      <c r="K3461" s="113" t="n"/>
      <c r="L3461" s="113" t="n"/>
      <c r="M3461" s="113" t="n"/>
      <c r="N3461" s="113" t="n"/>
      <c r="O3461" s="113" t="n"/>
      <c r="P3461" s="113" t="n"/>
      <c r="Q3461" s="113" t="n"/>
      <c r="R3461" s="113" t="n"/>
      <c r="S3461" s="113" t="n"/>
      <c r="T3461" s="113" t="n"/>
      <c r="U3461" s="113" t="n"/>
      <c r="V3461" s="113" t="n"/>
      <c r="W3461" s="113" t="n"/>
      <c r="X3461" s="113" t="n"/>
      <c r="Y3461" s="113" t="n"/>
      <c r="Z3461" s="117">
        <f>IF($B3461="",0,IF($S3461="EVET",IF($D3461="GELİR",$O3461,-$O3461),0))</f>
        <v/>
      </c>
      <c r="AA3461" s="117">
        <f>IF($B3461="",0,IF(OR($W3461="EVET",$X3461="EVET",$Y3461="EVET"),0,IF($D3461="GELİR",IF($E3461="SATIŞ İADESİ/İSKONTO",-$O3461,$O3461),-$O3461)))</f>
        <v/>
      </c>
      <c r="AB3461" s="117">
        <f>IF($B3461="","",IF(OR($D3461="",$E3461="",$O3461=""),"EKSİK",IF($O3461&lt;=0,"SIFIR/NEGATİF",IF(COUNTIFS($C$6:$C$5000,$C3461,$O$6:$O$5000,$O3461,$B$6:$B$5000,$B3461)&gt;1,"MÜKERRER","OK"))))</f>
        <v/>
      </c>
    </row>
    <row r="3462" ht="16.5" customHeight="1" s="80">
      <c r="A3462" s="113" t="n"/>
      <c r="B3462" s="113" t="n"/>
      <c r="C3462" s="113" t="n"/>
      <c r="D3462" s="113" t="n"/>
      <c r="E3462" s="113" t="n"/>
      <c r="F3462" s="113" t="n"/>
      <c r="G3462" s="113" t="n"/>
      <c r="H3462" s="113" t="n"/>
      <c r="I3462" s="113" t="n"/>
      <c r="J3462" s="113" t="n"/>
      <c r="K3462" s="113" t="n"/>
      <c r="L3462" s="113" t="n"/>
      <c r="M3462" s="113" t="n"/>
      <c r="N3462" s="113" t="n"/>
      <c r="O3462" s="113" t="n"/>
      <c r="P3462" s="113" t="n"/>
      <c r="Q3462" s="113" t="n"/>
      <c r="R3462" s="113" t="n"/>
      <c r="S3462" s="113" t="n"/>
      <c r="T3462" s="113" t="n"/>
      <c r="U3462" s="113" t="n"/>
      <c r="V3462" s="113" t="n"/>
      <c r="W3462" s="113" t="n"/>
      <c r="X3462" s="113" t="n"/>
      <c r="Y3462" s="113" t="n"/>
      <c r="Z3462" s="117">
        <f>IF($B3462="",0,IF($S3462="EVET",IF($D3462="GELİR",$O3462,-$O3462),0))</f>
        <v/>
      </c>
      <c r="AA3462" s="117">
        <f>IF($B3462="",0,IF(OR($W3462="EVET",$X3462="EVET",$Y3462="EVET"),0,IF($D3462="GELİR",IF($E3462="SATIŞ İADESİ/İSKONTO",-$O3462,$O3462),-$O3462)))</f>
        <v/>
      </c>
      <c r="AB3462" s="117">
        <f>IF($B3462="","",IF(OR($D3462="",$E3462="",$O3462=""),"EKSİK",IF($O3462&lt;=0,"SIFIR/NEGATİF",IF(COUNTIFS($C$6:$C$5000,$C3462,$O$6:$O$5000,$O3462,$B$6:$B$5000,$B3462)&gt;1,"MÜKERRER","OK"))))</f>
        <v/>
      </c>
    </row>
    <row r="3463" ht="16.5" customHeight="1" s="80">
      <c r="A3463" s="113" t="n"/>
      <c r="B3463" s="113" t="n"/>
      <c r="C3463" s="113" t="n"/>
      <c r="D3463" s="113" t="n"/>
      <c r="E3463" s="113" t="n"/>
      <c r="F3463" s="113" t="n"/>
      <c r="G3463" s="113" t="n"/>
      <c r="H3463" s="113" t="n"/>
      <c r="I3463" s="113" t="n"/>
      <c r="J3463" s="113" t="n"/>
      <c r="K3463" s="113" t="n"/>
      <c r="L3463" s="113" t="n"/>
      <c r="M3463" s="113" t="n"/>
      <c r="N3463" s="113" t="n"/>
      <c r="O3463" s="113" t="n"/>
      <c r="P3463" s="113" t="n"/>
      <c r="Q3463" s="113" t="n"/>
      <c r="R3463" s="113" t="n"/>
      <c r="S3463" s="113" t="n"/>
      <c r="T3463" s="113" t="n"/>
      <c r="U3463" s="113" t="n"/>
      <c r="V3463" s="113" t="n"/>
      <c r="W3463" s="113" t="n"/>
      <c r="X3463" s="113" t="n"/>
      <c r="Y3463" s="113" t="n"/>
      <c r="Z3463" s="117">
        <f>IF($B3463="",0,IF($S3463="EVET",IF($D3463="GELİR",$O3463,-$O3463),0))</f>
        <v/>
      </c>
      <c r="AA3463" s="117">
        <f>IF($B3463="",0,IF(OR($W3463="EVET",$X3463="EVET",$Y3463="EVET"),0,IF($D3463="GELİR",IF($E3463="SATIŞ İADESİ/İSKONTO",-$O3463,$O3463),-$O3463)))</f>
        <v/>
      </c>
      <c r="AB3463" s="117">
        <f>IF($B3463="","",IF(OR($D3463="",$E3463="",$O3463=""),"EKSİK",IF($O3463&lt;=0,"SIFIR/NEGATİF",IF(COUNTIFS($C$6:$C$5000,$C3463,$O$6:$O$5000,$O3463,$B$6:$B$5000,$B3463)&gt;1,"MÜKERRER","OK"))))</f>
        <v/>
      </c>
    </row>
    <row r="3464" ht="16.5" customHeight="1" s="80">
      <c r="A3464" s="113" t="n"/>
      <c r="B3464" s="113" t="n"/>
      <c r="C3464" s="113" t="n"/>
      <c r="D3464" s="113" t="n"/>
      <c r="E3464" s="113" t="n"/>
      <c r="F3464" s="113" t="n"/>
      <c r="G3464" s="113" t="n"/>
      <c r="H3464" s="113" t="n"/>
      <c r="I3464" s="113" t="n"/>
      <c r="J3464" s="113" t="n"/>
      <c r="K3464" s="113" t="n"/>
      <c r="L3464" s="113" t="n"/>
      <c r="M3464" s="113" t="n"/>
      <c r="N3464" s="113" t="n"/>
      <c r="O3464" s="113" t="n"/>
      <c r="P3464" s="113" t="n"/>
      <c r="Q3464" s="113" t="n"/>
      <c r="R3464" s="113" t="n"/>
      <c r="S3464" s="113" t="n"/>
      <c r="T3464" s="113" t="n"/>
      <c r="U3464" s="113" t="n"/>
      <c r="V3464" s="113" t="n"/>
      <c r="W3464" s="113" t="n"/>
      <c r="X3464" s="113" t="n"/>
      <c r="Y3464" s="113" t="n"/>
      <c r="Z3464" s="117">
        <f>IF($B3464="",0,IF($S3464="EVET",IF($D3464="GELİR",$O3464,-$O3464),0))</f>
        <v/>
      </c>
      <c r="AA3464" s="117">
        <f>IF($B3464="",0,IF(OR($W3464="EVET",$X3464="EVET",$Y3464="EVET"),0,IF($D3464="GELİR",IF($E3464="SATIŞ İADESİ/İSKONTO",-$O3464,$O3464),-$O3464)))</f>
        <v/>
      </c>
      <c r="AB3464" s="117">
        <f>IF($B3464="","",IF(OR($D3464="",$E3464="",$O3464=""),"EKSİK",IF($O3464&lt;=0,"SIFIR/NEGATİF",IF(COUNTIFS($C$6:$C$5000,$C3464,$O$6:$O$5000,$O3464,$B$6:$B$5000,$B3464)&gt;1,"MÜKERRER","OK"))))</f>
        <v/>
      </c>
    </row>
    <row r="3465" ht="16.5" customHeight="1" s="80">
      <c r="A3465" s="113" t="n"/>
      <c r="B3465" s="113" t="n"/>
      <c r="C3465" s="113" t="n"/>
      <c r="D3465" s="113" t="n"/>
      <c r="E3465" s="113" t="n"/>
      <c r="F3465" s="113" t="n"/>
      <c r="G3465" s="113" t="n"/>
      <c r="H3465" s="113" t="n"/>
      <c r="I3465" s="113" t="n"/>
      <c r="J3465" s="113" t="n"/>
      <c r="K3465" s="113" t="n"/>
      <c r="L3465" s="113" t="n"/>
      <c r="M3465" s="113" t="n"/>
      <c r="N3465" s="113" t="n"/>
      <c r="O3465" s="113" t="n"/>
      <c r="P3465" s="113" t="n"/>
      <c r="Q3465" s="113" t="n"/>
      <c r="R3465" s="113" t="n"/>
      <c r="S3465" s="113" t="n"/>
      <c r="T3465" s="113" t="n"/>
      <c r="U3465" s="113" t="n"/>
      <c r="V3465" s="113" t="n"/>
      <c r="W3465" s="113" t="n"/>
      <c r="X3465" s="113" t="n"/>
      <c r="Y3465" s="113" t="n"/>
      <c r="Z3465" s="117">
        <f>IF($B3465="",0,IF($S3465="EVET",IF($D3465="GELİR",$O3465,-$O3465),0))</f>
        <v/>
      </c>
      <c r="AA3465" s="117">
        <f>IF($B3465="",0,IF(OR($W3465="EVET",$X3465="EVET",$Y3465="EVET"),0,IF($D3465="GELİR",IF($E3465="SATIŞ İADESİ/İSKONTO",-$O3465,$O3465),-$O3465)))</f>
        <v/>
      </c>
      <c r="AB3465" s="117">
        <f>IF($B3465="","",IF(OR($D3465="",$E3465="",$O3465=""),"EKSİK",IF($O3465&lt;=0,"SIFIR/NEGATİF",IF(COUNTIFS($C$6:$C$5000,$C3465,$O$6:$O$5000,$O3465,$B$6:$B$5000,$B3465)&gt;1,"MÜKERRER","OK"))))</f>
        <v/>
      </c>
    </row>
    <row r="3466" ht="16.5" customHeight="1" s="80">
      <c r="A3466" s="113" t="n"/>
      <c r="B3466" s="113" t="n"/>
      <c r="C3466" s="113" t="n"/>
      <c r="D3466" s="113" t="n"/>
      <c r="E3466" s="113" t="n"/>
      <c r="F3466" s="113" t="n"/>
      <c r="G3466" s="113" t="n"/>
      <c r="H3466" s="113" t="n"/>
      <c r="I3466" s="113" t="n"/>
      <c r="J3466" s="113" t="n"/>
      <c r="K3466" s="113" t="n"/>
      <c r="L3466" s="113" t="n"/>
      <c r="M3466" s="113" t="n"/>
      <c r="N3466" s="113" t="n"/>
      <c r="O3466" s="113" t="n"/>
      <c r="P3466" s="113" t="n"/>
      <c r="Q3466" s="113" t="n"/>
      <c r="R3466" s="113" t="n"/>
      <c r="S3466" s="113" t="n"/>
      <c r="T3466" s="113" t="n"/>
      <c r="U3466" s="113" t="n"/>
      <c r="V3466" s="113" t="n"/>
      <c r="W3466" s="113" t="n"/>
      <c r="X3466" s="113" t="n"/>
      <c r="Y3466" s="113" t="n"/>
      <c r="Z3466" s="117">
        <f>IF($B3466="",0,IF($S3466="EVET",IF($D3466="GELİR",$O3466,-$O3466),0))</f>
        <v/>
      </c>
      <c r="AA3466" s="117">
        <f>IF($B3466="",0,IF(OR($W3466="EVET",$X3466="EVET",$Y3466="EVET"),0,IF($D3466="GELİR",IF($E3466="SATIŞ İADESİ/İSKONTO",-$O3466,$O3466),-$O3466)))</f>
        <v/>
      </c>
      <c r="AB3466" s="117">
        <f>IF($B3466="","",IF(OR($D3466="",$E3466="",$O3466=""),"EKSİK",IF($O3466&lt;=0,"SIFIR/NEGATİF",IF(COUNTIFS($C$6:$C$5000,$C3466,$O$6:$O$5000,$O3466,$B$6:$B$5000,$B3466)&gt;1,"MÜKERRER","OK"))))</f>
        <v/>
      </c>
    </row>
    <row r="3467" ht="16.5" customHeight="1" s="80">
      <c r="A3467" s="113" t="n"/>
      <c r="B3467" s="113" t="n"/>
      <c r="C3467" s="113" t="n"/>
      <c r="D3467" s="113" t="n"/>
      <c r="E3467" s="113" t="n"/>
      <c r="F3467" s="113" t="n"/>
      <c r="G3467" s="113" t="n"/>
      <c r="H3467" s="113" t="n"/>
      <c r="I3467" s="113" t="n"/>
      <c r="J3467" s="113" t="n"/>
      <c r="K3467" s="113" t="n"/>
      <c r="L3467" s="113" t="n"/>
      <c r="M3467" s="113" t="n"/>
      <c r="N3467" s="113" t="n"/>
      <c r="O3467" s="113" t="n"/>
      <c r="P3467" s="113" t="n"/>
      <c r="Q3467" s="113" t="n"/>
      <c r="R3467" s="113" t="n"/>
      <c r="S3467" s="113" t="n"/>
      <c r="T3467" s="113" t="n"/>
      <c r="U3467" s="113" t="n"/>
      <c r="V3467" s="113" t="n"/>
      <c r="W3467" s="113" t="n"/>
      <c r="X3467" s="113" t="n"/>
      <c r="Y3467" s="113" t="n"/>
      <c r="Z3467" s="117">
        <f>IF($B3467="",0,IF($S3467="EVET",IF($D3467="GELİR",$O3467,-$O3467),0))</f>
        <v/>
      </c>
      <c r="AA3467" s="117">
        <f>IF($B3467="",0,IF(OR($W3467="EVET",$X3467="EVET",$Y3467="EVET"),0,IF($D3467="GELİR",IF($E3467="SATIŞ İADESİ/İSKONTO",-$O3467,$O3467),-$O3467)))</f>
        <v/>
      </c>
      <c r="AB3467" s="117">
        <f>IF($B3467="","",IF(OR($D3467="",$E3467="",$O3467=""),"EKSİK",IF($O3467&lt;=0,"SIFIR/NEGATİF",IF(COUNTIFS($C$6:$C$5000,$C3467,$O$6:$O$5000,$O3467,$B$6:$B$5000,$B3467)&gt;1,"MÜKERRER","OK"))))</f>
        <v/>
      </c>
    </row>
    <row r="3468" ht="16.5" customHeight="1" s="80">
      <c r="A3468" s="113" t="n"/>
      <c r="B3468" s="113" t="n"/>
      <c r="C3468" s="113" t="n"/>
      <c r="D3468" s="113" t="n"/>
      <c r="E3468" s="113" t="n"/>
      <c r="F3468" s="113" t="n"/>
      <c r="G3468" s="113" t="n"/>
      <c r="H3468" s="113" t="n"/>
      <c r="I3468" s="113" t="n"/>
      <c r="J3468" s="113" t="n"/>
      <c r="K3468" s="113" t="n"/>
      <c r="L3468" s="113" t="n"/>
      <c r="M3468" s="113" t="n"/>
      <c r="N3468" s="113" t="n"/>
      <c r="O3468" s="113" t="n"/>
      <c r="P3468" s="113" t="n"/>
      <c r="Q3468" s="113" t="n"/>
      <c r="R3468" s="113" t="n"/>
      <c r="S3468" s="113" t="n"/>
      <c r="T3468" s="113" t="n"/>
      <c r="U3468" s="113" t="n"/>
      <c r="V3468" s="113" t="n"/>
      <c r="W3468" s="113" t="n"/>
      <c r="X3468" s="113" t="n"/>
      <c r="Y3468" s="113" t="n"/>
      <c r="Z3468" s="117">
        <f>IF($B3468="",0,IF($S3468="EVET",IF($D3468="GELİR",$O3468,-$O3468),0))</f>
        <v/>
      </c>
      <c r="AA3468" s="117">
        <f>IF($B3468="",0,IF(OR($W3468="EVET",$X3468="EVET",$Y3468="EVET"),0,IF($D3468="GELİR",IF($E3468="SATIŞ İADESİ/İSKONTO",-$O3468,$O3468),-$O3468)))</f>
        <v/>
      </c>
      <c r="AB3468" s="117">
        <f>IF($B3468="","",IF(OR($D3468="",$E3468="",$O3468=""),"EKSİK",IF($O3468&lt;=0,"SIFIR/NEGATİF",IF(COUNTIFS($C$6:$C$5000,$C3468,$O$6:$O$5000,$O3468,$B$6:$B$5000,$B3468)&gt;1,"MÜKERRER","OK"))))</f>
        <v/>
      </c>
    </row>
    <row r="3469" ht="16.5" customHeight="1" s="80">
      <c r="A3469" s="113" t="n"/>
      <c r="B3469" s="113" t="n"/>
      <c r="C3469" s="113" t="n"/>
      <c r="D3469" s="113" t="n"/>
      <c r="E3469" s="113" t="n"/>
      <c r="F3469" s="113" t="n"/>
      <c r="G3469" s="113" t="n"/>
      <c r="H3469" s="113" t="n"/>
      <c r="I3469" s="113" t="n"/>
      <c r="J3469" s="113" t="n"/>
      <c r="K3469" s="113" t="n"/>
      <c r="L3469" s="113" t="n"/>
      <c r="M3469" s="113" t="n"/>
      <c r="N3469" s="113" t="n"/>
      <c r="O3469" s="113" t="n"/>
      <c r="P3469" s="113" t="n"/>
      <c r="Q3469" s="113" t="n"/>
      <c r="R3469" s="113" t="n"/>
      <c r="S3469" s="113" t="n"/>
      <c r="T3469" s="113" t="n"/>
      <c r="U3469" s="113" t="n"/>
      <c r="V3469" s="113" t="n"/>
      <c r="W3469" s="113" t="n"/>
      <c r="X3469" s="113" t="n"/>
      <c r="Y3469" s="113" t="n"/>
      <c r="Z3469" s="117">
        <f>IF($B3469="",0,IF($S3469="EVET",IF($D3469="GELİR",$O3469,-$O3469),0))</f>
        <v/>
      </c>
      <c r="AA3469" s="117">
        <f>IF($B3469="",0,IF(OR($W3469="EVET",$X3469="EVET",$Y3469="EVET"),0,IF($D3469="GELİR",IF($E3469="SATIŞ İADESİ/İSKONTO",-$O3469,$O3469),-$O3469)))</f>
        <v/>
      </c>
      <c r="AB3469" s="117">
        <f>IF($B3469="","",IF(OR($D3469="",$E3469="",$O3469=""),"EKSİK",IF($O3469&lt;=0,"SIFIR/NEGATİF",IF(COUNTIFS($C$6:$C$5000,$C3469,$O$6:$O$5000,$O3469,$B$6:$B$5000,$B3469)&gt;1,"MÜKERRER","OK"))))</f>
        <v/>
      </c>
    </row>
    <row r="3470" ht="16.5" customHeight="1" s="80">
      <c r="A3470" s="113" t="n"/>
      <c r="B3470" s="113" t="n"/>
      <c r="C3470" s="113" t="n"/>
      <c r="D3470" s="113" t="n"/>
      <c r="E3470" s="113" t="n"/>
      <c r="F3470" s="113" t="n"/>
      <c r="G3470" s="113" t="n"/>
      <c r="H3470" s="113" t="n"/>
      <c r="I3470" s="113" t="n"/>
      <c r="J3470" s="113" t="n"/>
      <c r="K3470" s="113" t="n"/>
      <c r="L3470" s="113" t="n"/>
      <c r="M3470" s="113" t="n"/>
      <c r="N3470" s="113" t="n"/>
      <c r="O3470" s="113" t="n"/>
      <c r="P3470" s="113" t="n"/>
      <c r="Q3470" s="113" t="n"/>
      <c r="R3470" s="113" t="n"/>
      <c r="S3470" s="113" t="n"/>
      <c r="T3470" s="113" t="n"/>
      <c r="U3470" s="113" t="n"/>
      <c r="V3470" s="113" t="n"/>
      <c r="W3470" s="113" t="n"/>
      <c r="X3470" s="113" t="n"/>
      <c r="Y3470" s="113" t="n"/>
      <c r="Z3470" s="117">
        <f>IF($B3470="",0,IF($S3470="EVET",IF($D3470="GELİR",$O3470,-$O3470),0))</f>
        <v/>
      </c>
      <c r="AA3470" s="117">
        <f>IF($B3470="",0,IF(OR($W3470="EVET",$X3470="EVET",$Y3470="EVET"),0,IF($D3470="GELİR",IF($E3470="SATIŞ İADESİ/İSKONTO",-$O3470,$O3470),-$O3470)))</f>
        <v/>
      </c>
      <c r="AB3470" s="117">
        <f>IF($B3470="","",IF(OR($D3470="",$E3470="",$O3470=""),"EKSİK",IF($O3470&lt;=0,"SIFIR/NEGATİF",IF(COUNTIFS($C$6:$C$5000,$C3470,$O$6:$O$5000,$O3470,$B$6:$B$5000,$B3470)&gt;1,"MÜKERRER","OK"))))</f>
        <v/>
      </c>
    </row>
    <row r="3471" ht="16.5" customHeight="1" s="80">
      <c r="A3471" s="113" t="n"/>
      <c r="B3471" s="113" t="n"/>
      <c r="C3471" s="113" t="n"/>
      <c r="D3471" s="113" t="n"/>
      <c r="E3471" s="113" t="n"/>
      <c r="F3471" s="113" t="n"/>
      <c r="G3471" s="113" t="n"/>
      <c r="H3471" s="113" t="n"/>
      <c r="I3471" s="113" t="n"/>
      <c r="J3471" s="113" t="n"/>
      <c r="K3471" s="113" t="n"/>
      <c r="L3471" s="113" t="n"/>
      <c r="M3471" s="113" t="n"/>
      <c r="N3471" s="113" t="n"/>
      <c r="O3471" s="113" t="n"/>
      <c r="P3471" s="113" t="n"/>
      <c r="Q3471" s="113" t="n"/>
      <c r="R3471" s="113" t="n"/>
      <c r="S3471" s="113" t="n"/>
      <c r="T3471" s="113" t="n"/>
      <c r="U3471" s="113" t="n"/>
      <c r="V3471" s="113" t="n"/>
      <c r="W3471" s="113" t="n"/>
      <c r="X3471" s="113" t="n"/>
      <c r="Y3471" s="113" t="n"/>
      <c r="Z3471" s="117">
        <f>IF($B3471="",0,IF($S3471="EVET",IF($D3471="GELİR",$O3471,-$O3471),0))</f>
        <v/>
      </c>
      <c r="AA3471" s="117">
        <f>IF($B3471="",0,IF(OR($W3471="EVET",$X3471="EVET",$Y3471="EVET"),0,IF($D3471="GELİR",IF($E3471="SATIŞ İADESİ/İSKONTO",-$O3471,$O3471),-$O3471)))</f>
        <v/>
      </c>
      <c r="AB3471" s="117">
        <f>IF($B3471="","",IF(OR($D3471="",$E3471="",$O3471=""),"EKSİK",IF($O3471&lt;=0,"SIFIR/NEGATİF",IF(COUNTIFS($C$6:$C$5000,$C3471,$O$6:$O$5000,$O3471,$B$6:$B$5000,$B3471)&gt;1,"MÜKERRER","OK"))))</f>
        <v/>
      </c>
    </row>
    <row r="3472" ht="16.5" customHeight="1" s="80">
      <c r="A3472" s="113" t="n"/>
      <c r="B3472" s="113" t="n"/>
      <c r="C3472" s="113" t="n"/>
      <c r="D3472" s="113" t="n"/>
      <c r="E3472" s="113" t="n"/>
      <c r="F3472" s="113" t="n"/>
      <c r="G3472" s="113" t="n"/>
      <c r="H3472" s="113" t="n"/>
      <c r="I3472" s="113" t="n"/>
      <c r="J3472" s="113" t="n"/>
      <c r="K3472" s="113" t="n"/>
      <c r="L3472" s="113" t="n"/>
      <c r="M3472" s="113" t="n"/>
      <c r="N3472" s="113" t="n"/>
      <c r="O3472" s="113" t="n"/>
      <c r="P3472" s="113" t="n"/>
      <c r="Q3472" s="113" t="n"/>
      <c r="R3472" s="113" t="n"/>
      <c r="S3472" s="113" t="n"/>
      <c r="T3472" s="113" t="n"/>
      <c r="U3472" s="113" t="n"/>
      <c r="V3472" s="113" t="n"/>
      <c r="W3472" s="113" t="n"/>
      <c r="X3472" s="113" t="n"/>
      <c r="Y3472" s="113" t="n"/>
      <c r="Z3472" s="117">
        <f>IF($B3472="",0,IF($S3472="EVET",IF($D3472="GELİR",$O3472,-$O3472),0))</f>
        <v/>
      </c>
      <c r="AA3472" s="117">
        <f>IF($B3472="",0,IF(OR($W3472="EVET",$X3472="EVET",$Y3472="EVET"),0,IF($D3472="GELİR",IF($E3472="SATIŞ İADESİ/İSKONTO",-$O3472,$O3472),-$O3472)))</f>
        <v/>
      </c>
      <c r="AB3472" s="117">
        <f>IF($B3472="","",IF(OR($D3472="",$E3472="",$O3472=""),"EKSİK",IF($O3472&lt;=0,"SIFIR/NEGATİF",IF(COUNTIFS($C$6:$C$5000,$C3472,$O$6:$O$5000,$O3472,$B$6:$B$5000,$B3472)&gt;1,"MÜKERRER","OK"))))</f>
        <v/>
      </c>
    </row>
    <row r="3473" ht="16.5" customHeight="1" s="80">
      <c r="A3473" s="113" t="n"/>
      <c r="B3473" s="113" t="n"/>
      <c r="C3473" s="113" t="n"/>
      <c r="D3473" s="113" t="n"/>
      <c r="E3473" s="113" t="n"/>
      <c r="F3473" s="113" t="n"/>
      <c r="G3473" s="113" t="n"/>
      <c r="H3473" s="113" t="n"/>
      <c r="I3473" s="113" t="n"/>
      <c r="J3473" s="113" t="n"/>
      <c r="K3473" s="113" t="n"/>
      <c r="L3473" s="113" t="n"/>
      <c r="M3473" s="113" t="n"/>
      <c r="N3473" s="113" t="n"/>
      <c r="O3473" s="113" t="n"/>
      <c r="P3473" s="113" t="n"/>
      <c r="Q3473" s="113" t="n"/>
      <c r="R3473" s="113" t="n"/>
      <c r="S3473" s="113" t="n"/>
      <c r="T3473" s="113" t="n"/>
      <c r="U3473" s="113" t="n"/>
      <c r="V3473" s="113" t="n"/>
      <c r="W3473" s="113" t="n"/>
      <c r="X3473" s="113" t="n"/>
      <c r="Y3473" s="113" t="n"/>
      <c r="Z3473" s="117">
        <f>IF($B3473="",0,IF($S3473="EVET",IF($D3473="GELİR",$O3473,-$O3473),0))</f>
        <v/>
      </c>
      <c r="AA3473" s="117">
        <f>IF($B3473="",0,IF(OR($W3473="EVET",$X3473="EVET",$Y3473="EVET"),0,IF($D3473="GELİR",IF($E3473="SATIŞ İADESİ/İSKONTO",-$O3473,$O3473),-$O3473)))</f>
        <v/>
      </c>
      <c r="AB3473" s="117">
        <f>IF($B3473="","",IF(OR($D3473="",$E3473="",$O3473=""),"EKSİK",IF($O3473&lt;=0,"SIFIR/NEGATİF",IF(COUNTIFS($C$6:$C$5000,$C3473,$O$6:$O$5000,$O3473,$B$6:$B$5000,$B3473)&gt;1,"MÜKERRER","OK"))))</f>
        <v/>
      </c>
    </row>
    <row r="3474" ht="16.5" customHeight="1" s="80">
      <c r="A3474" s="113" t="n"/>
      <c r="B3474" s="113" t="n"/>
      <c r="C3474" s="113" t="n"/>
      <c r="D3474" s="113" t="n"/>
      <c r="E3474" s="113" t="n"/>
      <c r="F3474" s="113" t="n"/>
      <c r="G3474" s="113" t="n"/>
      <c r="H3474" s="113" t="n"/>
      <c r="I3474" s="113" t="n"/>
      <c r="J3474" s="113" t="n"/>
      <c r="K3474" s="113" t="n"/>
      <c r="L3474" s="113" t="n"/>
      <c r="M3474" s="113" t="n"/>
      <c r="N3474" s="113" t="n"/>
      <c r="O3474" s="113" t="n"/>
      <c r="P3474" s="113" t="n"/>
      <c r="Q3474" s="113" t="n"/>
      <c r="R3474" s="113" t="n"/>
      <c r="S3474" s="113" t="n"/>
      <c r="T3474" s="113" t="n"/>
      <c r="U3474" s="113" t="n"/>
      <c r="V3474" s="113" t="n"/>
      <c r="W3474" s="113" t="n"/>
      <c r="X3474" s="113" t="n"/>
      <c r="Y3474" s="113" t="n"/>
      <c r="Z3474" s="117">
        <f>IF($B3474="",0,IF($S3474="EVET",IF($D3474="GELİR",$O3474,-$O3474),0))</f>
        <v/>
      </c>
      <c r="AA3474" s="117">
        <f>IF($B3474="",0,IF(OR($W3474="EVET",$X3474="EVET",$Y3474="EVET"),0,IF($D3474="GELİR",IF($E3474="SATIŞ İADESİ/İSKONTO",-$O3474,$O3474),-$O3474)))</f>
        <v/>
      </c>
      <c r="AB3474" s="117">
        <f>IF($B3474="","",IF(OR($D3474="",$E3474="",$O3474=""),"EKSİK",IF($O3474&lt;=0,"SIFIR/NEGATİF",IF(COUNTIFS($C$6:$C$5000,$C3474,$O$6:$O$5000,$O3474,$B$6:$B$5000,$B3474)&gt;1,"MÜKERRER","OK"))))</f>
        <v/>
      </c>
    </row>
    <row r="3475" ht="16.5" customHeight="1" s="80">
      <c r="A3475" s="113" t="n"/>
      <c r="B3475" s="113" t="n"/>
      <c r="C3475" s="113" t="n"/>
      <c r="D3475" s="113" t="n"/>
      <c r="E3475" s="113" t="n"/>
      <c r="F3475" s="113" t="n"/>
      <c r="G3475" s="113" t="n"/>
      <c r="H3475" s="113" t="n"/>
      <c r="I3475" s="113" t="n"/>
      <c r="J3475" s="113" t="n"/>
      <c r="K3475" s="113" t="n"/>
      <c r="L3475" s="113" t="n"/>
      <c r="M3475" s="113" t="n"/>
      <c r="N3475" s="113" t="n"/>
      <c r="O3475" s="113" t="n"/>
      <c r="P3475" s="113" t="n"/>
      <c r="Q3475" s="113" t="n"/>
      <c r="R3475" s="113" t="n"/>
      <c r="S3475" s="113" t="n"/>
      <c r="T3475" s="113" t="n"/>
      <c r="U3475" s="113" t="n"/>
      <c r="V3475" s="113" t="n"/>
      <c r="W3475" s="113" t="n"/>
      <c r="X3475" s="113" t="n"/>
      <c r="Y3475" s="113" t="n"/>
      <c r="Z3475" s="117">
        <f>IF($B3475="",0,IF($S3475="EVET",IF($D3475="GELİR",$O3475,-$O3475),0))</f>
        <v/>
      </c>
      <c r="AA3475" s="117">
        <f>IF($B3475="",0,IF(OR($W3475="EVET",$X3475="EVET",$Y3475="EVET"),0,IF($D3475="GELİR",IF($E3475="SATIŞ İADESİ/İSKONTO",-$O3475,$O3475),-$O3475)))</f>
        <v/>
      </c>
      <c r="AB3475" s="117">
        <f>IF($B3475="","",IF(OR($D3475="",$E3475="",$O3475=""),"EKSİK",IF($O3475&lt;=0,"SIFIR/NEGATİF",IF(COUNTIFS($C$6:$C$5000,$C3475,$O$6:$O$5000,$O3475,$B$6:$B$5000,$B3475)&gt;1,"MÜKERRER","OK"))))</f>
        <v/>
      </c>
    </row>
    <row r="3476" ht="16.5" customHeight="1" s="80">
      <c r="A3476" s="113" t="n"/>
      <c r="B3476" s="113" t="n"/>
      <c r="C3476" s="113" t="n"/>
      <c r="D3476" s="113" t="n"/>
      <c r="E3476" s="113" t="n"/>
      <c r="F3476" s="113" t="n"/>
      <c r="G3476" s="113" t="n"/>
      <c r="H3476" s="113" t="n"/>
      <c r="I3476" s="113" t="n"/>
      <c r="J3476" s="113" t="n"/>
      <c r="K3476" s="113" t="n"/>
      <c r="L3476" s="113" t="n"/>
      <c r="M3476" s="113" t="n"/>
      <c r="N3476" s="113" t="n"/>
      <c r="O3476" s="113" t="n"/>
      <c r="P3476" s="113" t="n"/>
      <c r="Q3476" s="113" t="n"/>
      <c r="R3476" s="113" t="n"/>
      <c r="S3476" s="113" t="n"/>
      <c r="T3476" s="113" t="n"/>
      <c r="U3476" s="113" t="n"/>
      <c r="V3476" s="113" t="n"/>
      <c r="W3476" s="113" t="n"/>
      <c r="X3476" s="113" t="n"/>
      <c r="Y3476" s="113" t="n"/>
      <c r="Z3476" s="117">
        <f>IF($B3476="",0,IF($S3476="EVET",IF($D3476="GELİR",$O3476,-$O3476),0))</f>
        <v/>
      </c>
      <c r="AA3476" s="117">
        <f>IF($B3476="",0,IF(OR($W3476="EVET",$X3476="EVET",$Y3476="EVET"),0,IF($D3476="GELİR",IF($E3476="SATIŞ İADESİ/İSKONTO",-$O3476,$O3476),-$O3476)))</f>
        <v/>
      </c>
      <c r="AB3476" s="117">
        <f>IF($B3476="","",IF(OR($D3476="",$E3476="",$O3476=""),"EKSİK",IF($O3476&lt;=0,"SIFIR/NEGATİF",IF(COUNTIFS($C$6:$C$5000,$C3476,$O$6:$O$5000,$O3476,$B$6:$B$5000,$B3476)&gt;1,"MÜKERRER","OK"))))</f>
        <v/>
      </c>
    </row>
    <row r="3477" ht="16.5" customHeight="1" s="80">
      <c r="A3477" s="113" t="n"/>
      <c r="B3477" s="113" t="n"/>
      <c r="C3477" s="113" t="n"/>
      <c r="D3477" s="113" t="n"/>
      <c r="E3477" s="113" t="n"/>
      <c r="F3477" s="113" t="n"/>
      <c r="G3477" s="113" t="n"/>
      <c r="H3477" s="113" t="n"/>
      <c r="I3477" s="113" t="n"/>
      <c r="J3477" s="113" t="n"/>
      <c r="K3477" s="113" t="n"/>
      <c r="L3477" s="113" t="n"/>
      <c r="M3477" s="113" t="n"/>
      <c r="N3477" s="113" t="n"/>
      <c r="O3477" s="113" t="n"/>
      <c r="P3477" s="113" t="n"/>
      <c r="Q3477" s="113" t="n"/>
      <c r="R3477" s="113" t="n"/>
      <c r="S3477" s="113" t="n"/>
      <c r="T3477" s="113" t="n"/>
      <c r="U3477" s="113" t="n"/>
      <c r="V3477" s="113" t="n"/>
      <c r="W3477" s="113" t="n"/>
      <c r="X3477" s="113" t="n"/>
      <c r="Y3477" s="113" t="n"/>
      <c r="Z3477" s="117">
        <f>IF($B3477="",0,IF($S3477="EVET",IF($D3477="GELİR",$O3477,-$O3477),0))</f>
        <v/>
      </c>
      <c r="AA3477" s="117">
        <f>IF($B3477="",0,IF(OR($W3477="EVET",$X3477="EVET",$Y3477="EVET"),0,IF($D3477="GELİR",IF($E3477="SATIŞ İADESİ/İSKONTO",-$O3477,$O3477),-$O3477)))</f>
        <v/>
      </c>
      <c r="AB3477" s="117">
        <f>IF($B3477="","",IF(OR($D3477="",$E3477="",$O3477=""),"EKSİK",IF($O3477&lt;=0,"SIFIR/NEGATİF",IF(COUNTIFS($C$6:$C$5000,$C3477,$O$6:$O$5000,$O3477,$B$6:$B$5000,$B3477)&gt;1,"MÜKERRER","OK"))))</f>
        <v/>
      </c>
    </row>
    <row r="3478" ht="16.5" customHeight="1" s="80">
      <c r="A3478" s="113" t="n"/>
      <c r="B3478" s="113" t="n"/>
      <c r="C3478" s="113" t="n"/>
      <c r="D3478" s="113" t="n"/>
      <c r="E3478" s="113" t="n"/>
      <c r="F3478" s="113" t="n"/>
      <c r="G3478" s="113" t="n"/>
      <c r="H3478" s="113" t="n"/>
      <c r="I3478" s="113" t="n"/>
      <c r="J3478" s="113" t="n"/>
      <c r="K3478" s="113" t="n"/>
      <c r="L3478" s="113" t="n"/>
      <c r="M3478" s="113" t="n"/>
      <c r="N3478" s="113" t="n"/>
      <c r="O3478" s="113" t="n"/>
      <c r="P3478" s="113" t="n"/>
      <c r="Q3478" s="113" t="n"/>
      <c r="R3478" s="113" t="n"/>
      <c r="S3478" s="113" t="n"/>
      <c r="T3478" s="113" t="n"/>
      <c r="U3478" s="113" t="n"/>
      <c r="V3478" s="113" t="n"/>
      <c r="W3478" s="113" t="n"/>
      <c r="X3478" s="113" t="n"/>
      <c r="Y3478" s="113" t="n"/>
      <c r="Z3478" s="117">
        <f>IF($B3478="",0,IF($S3478="EVET",IF($D3478="GELİR",$O3478,-$O3478),0))</f>
        <v/>
      </c>
      <c r="AA3478" s="117">
        <f>IF($B3478="",0,IF(OR($W3478="EVET",$X3478="EVET",$Y3478="EVET"),0,IF($D3478="GELİR",IF($E3478="SATIŞ İADESİ/İSKONTO",-$O3478,$O3478),-$O3478)))</f>
        <v/>
      </c>
      <c r="AB3478" s="117">
        <f>IF($B3478="","",IF(OR($D3478="",$E3478="",$O3478=""),"EKSİK",IF($O3478&lt;=0,"SIFIR/NEGATİF",IF(COUNTIFS($C$6:$C$5000,$C3478,$O$6:$O$5000,$O3478,$B$6:$B$5000,$B3478)&gt;1,"MÜKERRER","OK"))))</f>
        <v/>
      </c>
    </row>
    <row r="3479" ht="16.5" customHeight="1" s="80">
      <c r="A3479" s="113" t="n"/>
      <c r="B3479" s="113" t="n"/>
      <c r="C3479" s="113" t="n"/>
      <c r="D3479" s="113" t="n"/>
      <c r="E3479" s="113" t="n"/>
      <c r="F3479" s="113" t="n"/>
      <c r="G3479" s="113" t="n"/>
      <c r="H3479" s="113" t="n"/>
      <c r="I3479" s="113" t="n"/>
      <c r="J3479" s="113" t="n"/>
      <c r="K3479" s="113" t="n"/>
      <c r="L3479" s="113" t="n"/>
      <c r="M3479" s="113" t="n"/>
      <c r="N3479" s="113" t="n"/>
      <c r="O3479" s="113" t="n"/>
      <c r="P3479" s="113" t="n"/>
      <c r="Q3479" s="113" t="n"/>
      <c r="R3479" s="113" t="n"/>
      <c r="S3479" s="113" t="n"/>
      <c r="T3479" s="113" t="n"/>
      <c r="U3479" s="113" t="n"/>
      <c r="V3479" s="113" t="n"/>
      <c r="W3479" s="113" t="n"/>
      <c r="X3479" s="113" t="n"/>
      <c r="Y3479" s="113" t="n"/>
      <c r="Z3479" s="117">
        <f>IF($B3479="",0,IF($S3479="EVET",IF($D3479="GELİR",$O3479,-$O3479),0))</f>
        <v/>
      </c>
      <c r="AA3479" s="117">
        <f>IF($B3479="",0,IF(OR($W3479="EVET",$X3479="EVET",$Y3479="EVET"),0,IF($D3479="GELİR",IF($E3479="SATIŞ İADESİ/İSKONTO",-$O3479,$O3479),-$O3479)))</f>
        <v/>
      </c>
      <c r="AB3479" s="117">
        <f>IF($B3479="","",IF(OR($D3479="",$E3479="",$O3479=""),"EKSİK",IF($O3479&lt;=0,"SIFIR/NEGATİF",IF(COUNTIFS($C$6:$C$5000,$C3479,$O$6:$O$5000,$O3479,$B$6:$B$5000,$B3479)&gt;1,"MÜKERRER","OK"))))</f>
        <v/>
      </c>
    </row>
    <row r="3480" ht="16.5" customHeight="1" s="80">
      <c r="A3480" s="113" t="n"/>
      <c r="B3480" s="113" t="n"/>
      <c r="C3480" s="113" t="n"/>
      <c r="D3480" s="113" t="n"/>
      <c r="E3480" s="113" t="n"/>
      <c r="F3480" s="113" t="n"/>
      <c r="G3480" s="113" t="n"/>
      <c r="H3480" s="113" t="n"/>
      <c r="I3480" s="113" t="n"/>
      <c r="J3480" s="113" t="n"/>
      <c r="K3480" s="113" t="n"/>
      <c r="L3480" s="113" t="n"/>
      <c r="M3480" s="113" t="n"/>
      <c r="N3480" s="113" t="n"/>
      <c r="O3480" s="113" t="n"/>
      <c r="P3480" s="113" t="n"/>
      <c r="Q3480" s="113" t="n"/>
      <c r="R3480" s="113" t="n"/>
      <c r="S3480" s="113" t="n"/>
      <c r="T3480" s="113" t="n"/>
      <c r="U3480" s="113" t="n"/>
      <c r="V3480" s="113" t="n"/>
      <c r="W3480" s="113" t="n"/>
      <c r="X3480" s="113" t="n"/>
      <c r="Y3480" s="113" t="n"/>
      <c r="Z3480" s="117">
        <f>IF($B3480="",0,IF($S3480="EVET",IF($D3480="GELİR",$O3480,-$O3480),0))</f>
        <v/>
      </c>
      <c r="AA3480" s="117">
        <f>IF($B3480="",0,IF(OR($W3480="EVET",$X3480="EVET",$Y3480="EVET"),0,IF($D3480="GELİR",IF($E3480="SATIŞ İADESİ/İSKONTO",-$O3480,$O3480),-$O3480)))</f>
        <v/>
      </c>
      <c r="AB3480" s="117">
        <f>IF($B3480="","",IF(OR($D3480="",$E3480="",$O3480=""),"EKSİK",IF($O3480&lt;=0,"SIFIR/NEGATİF",IF(COUNTIFS($C$6:$C$5000,$C3480,$O$6:$O$5000,$O3480,$B$6:$B$5000,$B3480)&gt;1,"MÜKERRER","OK"))))</f>
        <v/>
      </c>
    </row>
    <row r="3481" ht="16.5" customHeight="1" s="80">
      <c r="A3481" s="113" t="n"/>
      <c r="B3481" s="113" t="n"/>
      <c r="C3481" s="113" t="n"/>
      <c r="D3481" s="113" t="n"/>
      <c r="E3481" s="113" t="n"/>
      <c r="F3481" s="113" t="n"/>
      <c r="G3481" s="113" t="n"/>
      <c r="H3481" s="113" t="n"/>
      <c r="I3481" s="113" t="n"/>
      <c r="J3481" s="113" t="n"/>
      <c r="K3481" s="113" t="n"/>
      <c r="L3481" s="113" t="n"/>
      <c r="M3481" s="113" t="n"/>
      <c r="N3481" s="113" t="n"/>
      <c r="O3481" s="113" t="n"/>
      <c r="P3481" s="113" t="n"/>
      <c r="Q3481" s="113" t="n"/>
      <c r="R3481" s="113" t="n"/>
      <c r="S3481" s="113" t="n"/>
      <c r="T3481" s="113" t="n"/>
      <c r="U3481" s="113" t="n"/>
      <c r="V3481" s="113" t="n"/>
      <c r="W3481" s="113" t="n"/>
      <c r="X3481" s="113" t="n"/>
      <c r="Y3481" s="113" t="n"/>
      <c r="Z3481" s="117">
        <f>IF($B3481="",0,IF($S3481="EVET",IF($D3481="GELİR",$O3481,-$O3481),0))</f>
        <v/>
      </c>
      <c r="AA3481" s="117">
        <f>IF($B3481="",0,IF(OR($W3481="EVET",$X3481="EVET",$Y3481="EVET"),0,IF($D3481="GELİR",IF($E3481="SATIŞ İADESİ/İSKONTO",-$O3481,$O3481),-$O3481)))</f>
        <v/>
      </c>
      <c r="AB3481" s="117">
        <f>IF($B3481="","",IF(OR($D3481="",$E3481="",$O3481=""),"EKSİK",IF($O3481&lt;=0,"SIFIR/NEGATİF",IF(COUNTIFS($C$6:$C$5000,$C3481,$O$6:$O$5000,$O3481,$B$6:$B$5000,$B3481)&gt;1,"MÜKERRER","OK"))))</f>
        <v/>
      </c>
    </row>
    <row r="3482" ht="16.5" customHeight="1" s="80">
      <c r="A3482" s="113" t="n"/>
      <c r="B3482" s="113" t="n"/>
      <c r="C3482" s="113" t="n"/>
      <c r="D3482" s="113" t="n"/>
      <c r="E3482" s="113" t="n"/>
      <c r="F3482" s="113" t="n"/>
      <c r="G3482" s="113" t="n"/>
      <c r="H3482" s="113" t="n"/>
      <c r="I3482" s="113" t="n"/>
      <c r="J3482" s="113" t="n"/>
      <c r="K3482" s="113" t="n"/>
      <c r="L3482" s="113" t="n"/>
      <c r="M3482" s="113" t="n"/>
      <c r="N3482" s="113" t="n"/>
      <c r="O3482" s="113" t="n"/>
      <c r="P3482" s="113" t="n"/>
      <c r="Q3482" s="113" t="n"/>
      <c r="R3482" s="113" t="n"/>
      <c r="S3482" s="113" t="n"/>
      <c r="T3482" s="113" t="n"/>
      <c r="U3482" s="113" t="n"/>
      <c r="V3482" s="113" t="n"/>
      <c r="W3482" s="113" t="n"/>
      <c r="X3482" s="113" t="n"/>
      <c r="Y3482" s="113" t="n"/>
      <c r="Z3482" s="117">
        <f>IF($B3482="",0,IF($S3482="EVET",IF($D3482="GELİR",$O3482,-$O3482),0))</f>
        <v/>
      </c>
      <c r="AA3482" s="117">
        <f>IF($B3482="",0,IF(OR($W3482="EVET",$X3482="EVET",$Y3482="EVET"),0,IF($D3482="GELİR",IF($E3482="SATIŞ İADESİ/İSKONTO",-$O3482,$O3482),-$O3482)))</f>
        <v/>
      </c>
      <c r="AB3482" s="117">
        <f>IF($B3482="","",IF(OR($D3482="",$E3482="",$O3482=""),"EKSİK",IF($O3482&lt;=0,"SIFIR/NEGATİF",IF(COUNTIFS($C$6:$C$5000,$C3482,$O$6:$O$5000,$O3482,$B$6:$B$5000,$B3482)&gt;1,"MÜKERRER","OK"))))</f>
        <v/>
      </c>
    </row>
    <row r="3483" ht="16.5" customHeight="1" s="80">
      <c r="A3483" s="113" t="n"/>
      <c r="B3483" s="113" t="n"/>
      <c r="C3483" s="113" t="n"/>
      <c r="D3483" s="113" t="n"/>
      <c r="E3483" s="113" t="n"/>
      <c r="F3483" s="113" t="n"/>
      <c r="G3483" s="113" t="n"/>
      <c r="H3483" s="113" t="n"/>
      <c r="I3483" s="113" t="n"/>
      <c r="J3483" s="113" t="n"/>
      <c r="K3483" s="113" t="n"/>
      <c r="L3483" s="113" t="n"/>
      <c r="M3483" s="113" t="n"/>
      <c r="N3483" s="113" t="n"/>
      <c r="O3483" s="113" t="n"/>
      <c r="P3483" s="113" t="n"/>
      <c r="Q3483" s="113" t="n"/>
      <c r="R3483" s="113" t="n"/>
      <c r="S3483" s="113" t="n"/>
      <c r="T3483" s="113" t="n"/>
      <c r="U3483" s="113" t="n"/>
      <c r="V3483" s="113" t="n"/>
      <c r="W3483" s="113" t="n"/>
      <c r="X3483" s="113" t="n"/>
      <c r="Y3483" s="113" t="n"/>
      <c r="Z3483" s="117">
        <f>IF($B3483="",0,IF($S3483="EVET",IF($D3483="GELİR",$O3483,-$O3483),0))</f>
        <v/>
      </c>
      <c r="AA3483" s="117">
        <f>IF($B3483="",0,IF(OR($W3483="EVET",$X3483="EVET",$Y3483="EVET"),0,IF($D3483="GELİR",IF($E3483="SATIŞ İADESİ/İSKONTO",-$O3483,$O3483),-$O3483)))</f>
        <v/>
      </c>
      <c r="AB3483" s="117">
        <f>IF($B3483="","",IF(OR($D3483="",$E3483="",$O3483=""),"EKSİK",IF($O3483&lt;=0,"SIFIR/NEGATİF",IF(COUNTIFS($C$6:$C$5000,$C3483,$O$6:$O$5000,$O3483,$B$6:$B$5000,$B3483)&gt;1,"MÜKERRER","OK"))))</f>
        <v/>
      </c>
    </row>
    <row r="3484" ht="16.5" customHeight="1" s="80">
      <c r="A3484" s="113" t="n"/>
      <c r="B3484" s="113" t="n"/>
      <c r="C3484" s="113" t="n"/>
      <c r="D3484" s="113" t="n"/>
      <c r="E3484" s="113" t="n"/>
      <c r="F3484" s="113" t="n"/>
      <c r="G3484" s="113" t="n"/>
      <c r="H3484" s="113" t="n"/>
      <c r="I3484" s="113" t="n"/>
      <c r="J3484" s="113" t="n"/>
      <c r="K3484" s="113" t="n"/>
      <c r="L3484" s="113" t="n"/>
      <c r="M3484" s="113" t="n"/>
      <c r="N3484" s="113" t="n"/>
      <c r="O3484" s="113" t="n"/>
      <c r="P3484" s="113" t="n"/>
      <c r="Q3484" s="113" t="n"/>
      <c r="R3484" s="113" t="n"/>
      <c r="S3484" s="113" t="n"/>
      <c r="T3484" s="113" t="n"/>
      <c r="U3484" s="113" t="n"/>
      <c r="V3484" s="113" t="n"/>
      <c r="W3484" s="113" t="n"/>
      <c r="X3484" s="113" t="n"/>
      <c r="Y3484" s="113" t="n"/>
      <c r="Z3484" s="117">
        <f>IF($B3484="",0,IF($S3484="EVET",IF($D3484="GELİR",$O3484,-$O3484),0))</f>
        <v/>
      </c>
      <c r="AA3484" s="117">
        <f>IF($B3484="",0,IF(OR($W3484="EVET",$X3484="EVET",$Y3484="EVET"),0,IF($D3484="GELİR",IF($E3484="SATIŞ İADESİ/İSKONTO",-$O3484,$O3484),-$O3484)))</f>
        <v/>
      </c>
      <c r="AB3484" s="117">
        <f>IF($B3484="","",IF(OR($D3484="",$E3484="",$O3484=""),"EKSİK",IF($O3484&lt;=0,"SIFIR/NEGATİF",IF(COUNTIFS($C$6:$C$5000,$C3484,$O$6:$O$5000,$O3484,$B$6:$B$5000,$B3484)&gt;1,"MÜKERRER","OK"))))</f>
        <v/>
      </c>
    </row>
    <row r="3485" ht="16.5" customHeight="1" s="80">
      <c r="A3485" s="113" t="n"/>
      <c r="B3485" s="113" t="n"/>
      <c r="C3485" s="113" t="n"/>
      <c r="D3485" s="113" t="n"/>
      <c r="E3485" s="113" t="n"/>
      <c r="F3485" s="113" t="n"/>
      <c r="G3485" s="113" t="n"/>
      <c r="H3485" s="113" t="n"/>
      <c r="I3485" s="113" t="n"/>
      <c r="J3485" s="113" t="n"/>
      <c r="K3485" s="113" t="n"/>
      <c r="L3485" s="113" t="n"/>
      <c r="M3485" s="113" t="n"/>
      <c r="N3485" s="113" t="n"/>
      <c r="O3485" s="113" t="n"/>
      <c r="P3485" s="113" t="n"/>
      <c r="Q3485" s="113" t="n"/>
      <c r="R3485" s="113" t="n"/>
      <c r="S3485" s="113" t="n"/>
      <c r="T3485" s="113" t="n"/>
      <c r="U3485" s="113" t="n"/>
      <c r="V3485" s="113" t="n"/>
      <c r="W3485" s="113" t="n"/>
      <c r="X3485" s="113" t="n"/>
      <c r="Y3485" s="113" t="n"/>
      <c r="Z3485" s="117">
        <f>IF($B3485="",0,IF($S3485="EVET",IF($D3485="GELİR",$O3485,-$O3485),0))</f>
        <v/>
      </c>
      <c r="AA3485" s="117">
        <f>IF($B3485="",0,IF(OR($W3485="EVET",$X3485="EVET",$Y3485="EVET"),0,IF($D3485="GELİR",IF($E3485="SATIŞ İADESİ/İSKONTO",-$O3485,$O3485),-$O3485)))</f>
        <v/>
      </c>
      <c r="AB3485" s="117">
        <f>IF($B3485="","",IF(OR($D3485="",$E3485="",$O3485=""),"EKSİK",IF($O3485&lt;=0,"SIFIR/NEGATİF",IF(COUNTIFS($C$6:$C$5000,$C3485,$O$6:$O$5000,$O3485,$B$6:$B$5000,$B3485)&gt;1,"MÜKERRER","OK"))))</f>
        <v/>
      </c>
    </row>
    <row r="3486" ht="16.5" customHeight="1" s="80">
      <c r="A3486" s="113" t="n"/>
      <c r="B3486" s="113" t="n"/>
      <c r="C3486" s="113" t="n"/>
      <c r="D3486" s="113" t="n"/>
      <c r="E3486" s="113" t="n"/>
      <c r="F3486" s="113" t="n"/>
      <c r="G3486" s="113" t="n"/>
      <c r="H3486" s="113" t="n"/>
      <c r="I3486" s="113" t="n"/>
      <c r="J3486" s="113" t="n"/>
      <c r="K3486" s="113" t="n"/>
      <c r="L3486" s="113" t="n"/>
      <c r="M3486" s="113" t="n"/>
      <c r="N3486" s="113" t="n"/>
      <c r="O3486" s="113" t="n"/>
      <c r="P3486" s="113" t="n"/>
      <c r="Q3486" s="113" t="n"/>
      <c r="R3486" s="113" t="n"/>
      <c r="S3486" s="113" t="n"/>
      <c r="T3486" s="113" t="n"/>
      <c r="U3486" s="113" t="n"/>
      <c r="V3486" s="113" t="n"/>
      <c r="W3486" s="113" t="n"/>
      <c r="X3486" s="113" t="n"/>
      <c r="Y3486" s="113" t="n"/>
      <c r="Z3486" s="117">
        <f>IF($B3486="",0,IF($S3486="EVET",IF($D3486="GELİR",$O3486,-$O3486),0))</f>
        <v/>
      </c>
      <c r="AA3486" s="117">
        <f>IF($B3486="",0,IF(OR($W3486="EVET",$X3486="EVET",$Y3486="EVET"),0,IF($D3486="GELİR",IF($E3486="SATIŞ İADESİ/İSKONTO",-$O3486,$O3486),-$O3486)))</f>
        <v/>
      </c>
      <c r="AB3486" s="117">
        <f>IF($B3486="","",IF(OR($D3486="",$E3486="",$O3486=""),"EKSİK",IF($O3486&lt;=0,"SIFIR/NEGATİF",IF(COUNTIFS($C$6:$C$5000,$C3486,$O$6:$O$5000,$O3486,$B$6:$B$5000,$B3486)&gt;1,"MÜKERRER","OK"))))</f>
        <v/>
      </c>
    </row>
    <row r="3487" ht="16.5" customHeight="1" s="80">
      <c r="A3487" s="113" t="n"/>
      <c r="B3487" s="113" t="n"/>
      <c r="C3487" s="113" t="n"/>
      <c r="D3487" s="113" t="n"/>
      <c r="E3487" s="113" t="n"/>
      <c r="F3487" s="113" t="n"/>
      <c r="G3487" s="113" t="n"/>
      <c r="H3487" s="113" t="n"/>
      <c r="I3487" s="113" t="n"/>
      <c r="J3487" s="113" t="n"/>
      <c r="K3487" s="113" t="n"/>
      <c r="L3487" s="113" t="n"/>
      <c r="M3487" s="113" t="n"/>
      <c r="N3487" s="113" t="n"/>
      <c r="O3487" s="113" t="n"/>
      <c r="P3487" s="113" t="n"/>
      <c r="Q3487" s="113" t="n"/>
      <c r="R3487" s="113" t="n"/>
      <c r="S3487" s="113" t="n"/>
      <c r="T3487" s="113" t="n"/>
      <c r="U3487" s="113" t="n"/>
      <c r="V3487" s="113" t="n"/>
      <c r="W3487" s="113" t="n"/>
      <c r="X3487" s="113" t="n"/>
      <c r="Y3487" s="113" t="n"/>
      <c r="Z3487" s="117">
        <f>IF($B3487="",0,IF($S3487="EVET",IF($D3487="GELİR",$O3487,-$O3487),0))</f>
        <v/>
      </c>
      <c r="AA3487" s="117">
        <f>IF($B3487="",0,IF(OR($W3487="EVET",$X3487="EVET",$Y3487="EVET"),0,IF($D3487="GELİR",IF($E3487="SATIŞ İADESİ/İSKONTO",-$O3487,$O3487),-$O3487)))</f>
        <v/>
      </c>
      <c r="AB3487" s="117">
        <f>IF($B3487="","",IF(OR($D3487="",$E3487="",$O3487=""),"EKSİK",IF($O3487&lt;=0,"SIFIR/NEGATİF",IF(COUNTIFS($C$6:$C$5000,$C3487,$O$6:$O$5000,$O3487,$B$6:$B$5000,$B3487)&gt;1,"MÜKERRER","OK"))))</f>
        <v/>
      </c>
    </row>
    <row r="3488" ht="16.5" customHeight="1" s="80">
      <c r="A3488" s="113" t="n"/>
      <c r="B3488" s="113" t="n"/>
      <c r="C3488" s="113" t="n"/>
      <c r="D3488" s="113" t="n"/>
      <c r="E3488" s="113" t="n"/>
      <c r="F3488" s="113" t="n"/>
      <c r="G3488" s="113" t="n"/>
      <c r="H3488" s="113" t="n"/>
      <c r="I3488" s="113" t="n"/>
      <c r="J3488" s="113" t="n"/>
      <c r="K3488" s="113" t="n"/>
      <c r="L3488" s="113" t="n"/>
      <c r="M3488" s="113" t="n"/>
      <c r="N3488" s="113" t="n"/>
      <c r="O3488" s="113" t="n"/>
      <c r="P3488" s="113" t="n"/>
      <c r="Q3488" s="113" t="n"/>
      <c r="R3488" s="113" t="n"/>
      <c r="S3488" s="113" t="n"/>
      <c r="T3488" s="113" t="n"/>
      <c r="U3488" s="113" t="n"/>
      <c r="V3488" s="113" t="n"/>
      <c r="W3488" s="113" t="n"/>
      <c r="X3488" s="113" t="n"/>
      <c r="Y3488" s="113" t="n"/>
      <c r="Z3488" s="117">
        <f>IF($B3488="",0,IF($S3488="EVET",IF($D3488="GELİR",$O3488,-$O3488),0))</f>
        <v/>
      </c>
      <c r="AA3488" s="117">
        <f>IF($B3488="",0,IF(OR($W3488="EVET",$X3488="EVET",$Y3488="EVET"),0,IF($D3488="GELİR",IF($E3488="SATIŞ İADESİ/İSKONTO",-$O3488,$O3488),-$O3488)))</f>
        <v/>
      </c>
      <c r="AB3488" s="117">
        <f>IF($B3488="","",IF(OR($D3488="",$E3488="",$O3488=""),"EKSİK",IF($O3488&lt;=0,"SIFIR/NEGATİF",IF(COUNTIFS($C$6:$C$5000,$C3488,$O$6:$O$5000,$O3488,$B$6:$B$5000,$B3488)&gt;1,"MÜKERRER","OK"))))</f>
        <v/>
      </c>
    </row>
    <row r="3489" ht="16.5" customHeight="1" s="80">
      <c r="A3489" s="113" t="n"/>
      <c r="B3489" s="113" t="n"/>
      <c r="C3489" s="113" t="n"/>
      <c r="D3489" s="113" t="n"/>
      <c r="E3489" s="113" t="n"/>
      <c r="F3489" s="113" t="n"/>
      <c r="G3489" s="113" t="n"/>
      <c r="H3489" s="113" t="n"/>
      <c r="I3489" s="113" t="n"/>
      <c r="J3489" s="113" t="n"/>
      <c r="K3489" s="113" t="n"/>
      <c r="L3489" s="113" t="n"/>
      <c r="M3489" s="113" t="n"/>
      <c r="N3489" s="113" t="n"/>
      <c r="O3489" s="113" t="n"/>
      <c r="P3489" s="113" t="n"/>
      <c r="Q3489" s="113" t="n"/>
      <c r="R3489" s="113" t="n"/>
      <c r="S3489" s="113" t="n"/>
      <c r="T3489" s="113" t="n"/>
      <c r="U3489" s="113" t="n"/>
      <c r="V3489" s="113" t="n"/>
      <c r="W3489" s="113" t="n"/>
      <c r="X3489" s="113" t="n"/>
      <c r="Y3489" s="113" t="n"/>
      <c r="Z3489" s="117">
        <f>IF($B3489="",0,IF($S3489="EVET",IF($D3489="GELİR",$O3489,-$O3489),0))</f>
        <v/>
      </c>
      <c r="AA3489" s="117">
        <f>IF($B3489="",0,IF(OR($W3489="EVET",$X3489="EVET",$Y3489="EVET"),0,IF($D3489="GELİR",IF($E3489="SATIŞ İADESİ/İSKONTO",-$O3489,$O3489),-$O3489)))</f>
        <v/>
      </c>
      <c r="AB3489" s="117">
        <f>IF($B3489="","",IF(OR($D3489="",$E3489="",$O3489=""),"EKSİK",IF($O3489&lt;=0,"SIFIR/NEGATİF",IF(COUNTIFS($C$6:$C$5000,$C3489,$O$6:$O$5000,$O3489,$B$6:$B$5000,$B3489)&gt;1,"MÜKERRER","OK"))))</f>
        <v/>
      </c>
    </row>
    <row r="3490" ht="16.5" customHeight="1" s="80">
      <c r="A3490" s="113" t="n"/>
      <c r="B3490" s="113" t="n"/>
      <c r="C3490" s="113" t="n"/>
      <c r="D3490" s="113" t="n"/>
      <c r="E3490" s="113" t="n"/>
      <c r="F3490" s="113" t="n"/>
      <c r="G3490" s="113" t="n"/>
      <c r="H3490" s="113" t="n"/>
      <c r="I3490" s="113" t="n"/>
      <c r="J3490" s="113" t="n"/>
      <c r="K3490" s="113" t="n"/>
      <c r="L3490" s="113" t="n"/>
      <c r="M3490" s="113" t="n"/>
      <c r="N3490" s="113" t="n"/>
      <c r="O3490" s="113" t="n"/>
      <c r="P3490" s="113" t="n"/>
      <c r="Q3490" s="113" t="n"/>
      <c r="R3490" s="113" t="n"/>
      <c r="S3490" s="113" t="n"/>
      <c r="T3490" s="113" t="n"/>
      <c r="U3490" s="113" t="n"/>
      <c r="V3490" s="113" t="n"/>
      <c r="W3490" s="113" t="n"/>
      <c r="X3490" s="113" t="n"/>
      <c r="Y3490" s="113" t="n"/>
      <c r="Z3490" s="117">
        <f>IF($B3490="",0,IF($S3490="EVET",IF($D3490="GELİR",$O3490,-$O3490),0))</f>
        <v/>
      </c>
      <c r="AA3490" s="117">
        <f>IF($B3490="",0,IF(OR($W3490="EVET",$X3490="EVET",$Y3490="EVET"),0,IF($D3490="GELİR",IF($E3490="SATIŞ İADESİ/İSKONTO",-$O3490,$O3490),-$O3490)))</f>
        <v/>
      </c>
      <c r="AB3490" s="117">
        <f>IF($B3490="","",IF(OR($D3490="",$E3490="",$O3490=""),"EKSİK",IF($O3490&lt;=0,"SIFIR/NEGATİF",IF(COUNTIFS($C$6:$C$5000,$C3490,$O$6:$O$5000,$O3490,$B$6:$B$5000,$B3490)&gt;1,"MÜKERRER","OK"))))</f>
        <v/>
      </c>
    </row>
    <row r="3491" ht="16.5" customHeight="1" s="80">
      <c r="A3491" s="113" t="n"/>
      <c r="B3491" s="113" t="n"/>
      <c r="C3491" s="113" t="n"/>
      <c r="D3491" s="113" t="n"/>
      <c r="E3491" s="113" t="n"/>
      <c r="F3491" s="113" t="n"/>
      <c r="G3491" s="113" t="n"/>
      <c r="H3491" s="113" t="n"/>
      <c r="I3491" s="113" t="n"/>
      <c r="J3491" s="113" t="n"/>
      <c r="K3491" s="113" t="n"/>
      <c r="L3491" s="113" t="n"/>
      <c r="M3491" s="113" t="n"/>
      <c r="N3491" s="113" t="n"/>
      <c r="O3491" s="113" t="n"/>
      <c r="P3491" s="113" t="n"/>
      <c r="Q3491" s="113" t="n"/>
      <c r="R3491" s="113" t="n"/>
      <c r="S3491" s="113" t="n"/>
      <c r="T3491" s="113" t="n"/>
      <c r="U3491" s="113" t="n"/>
      <c r="V3491" s="113" t="n"/>
      <c r="W3491" s="113" t="n"/>
      <c r="X3491" s="113" t="n"/>
      <c r="Y3491" s="113" t="n"/>
      <c r="Z3491" s="117">
        <f>IF($B3491="",0,IF($S3491="EVET",IF($D3491="GELİR",$O3491,-$O3491),0))</f>
        <v/>
      </c>
      <c r="AA3491" s="117">
        <f>IF($B3491="",0,IF(OR($W3491="EVET",$X3491="EVET",$Y3491="EVET"),0,IF($D3491="GELİR",IF($E3491="SATIŞ İADESİ/İSKONTO",-$O3491,$O3491),-$O3491)))</f>
        <v/>
      </c>
      <c r="AB3491" s="117">
        <f>IF($B3491="","",IF(OR($D3491="",$E3491="",$O3491=""),"EKSİK",IF($O3491&lt;=0,"SIFIR/NEGATİF",IF(COUNTIFS($C$6:$C$5000,$C3491,$O$6:$O$5000,$O3491,$B$6:$B$5000,$B3491)&gt;1,"MÜKERRER","OK"))))</f>
        <v/>
      </c>
    </row>
    <row r="3492" ht="16.5" customHeight="1" s="80">
      <c r="A3492" s="113" t="n"/>
      <c r="B3492" s="113" t="n"/>
      <c r="C3492" s="113" t="n"/>
      <c r="D3492" s="113" t="n"/>
      <c r="E3492" s="113" t="n"/>
      <c r="F3492" s="113" t="n"/>
      <c r="G3492" s="113" t="n"/>
      <c r="H3492" s="113" t="n"/>
      <c r="I3492" s="113" t="n"/>
      <c r="J3492" s="113" t="n"/>
      <c r="K3492" s="113" t="n"/>
      <c r="L3492" s="113" t="n"/>
      <c r="M3492" s="113" t="n"/>
      <c r="N3492" s="113" t="n"/>
      <c r="O3492" s="113" t="n"/>
      <c r="P3492" s="113" t="n"/>
      <c r="Q3492" s="113" t="n"/>
      <c r="R3492" s="113" t="n"/>
      <c r="S3492" s="113" t="n"/>
      <c r="T3492" s="113" t="n"/>
      <c r="U3492" s="113" t="n"/>
      <c r="V3492" s="113" t="n"/>
      <c r="W3492" s="113" t="n"/>
      <c r="X3492" s="113" t="n"/>
      <c r="Y3492" s="113" t="n"/>
      <c r="Z3492" s="117">
        <f>IF($B3492="",0,IF($S3492="EVET",IF($D3492="GELİR",$O3492,-$O3492),0))</f>
        <v/>
      </c>
      <c r="AA3492" s="117">
        <f>IF($B3492="",0,IF(OR($W3492="EVET",$X3492="EVET",$Y3492="EVET"),0,IF($D3492="GELİR",IF($E3492="SATIŞ İADESİ/İSKONTO",-$O3492,$O3492),-$O3492)))</f>
        <v/>
      </c>
      <c r="AB3492" s="117">
        <f>IF($B3492="","",IF(OR($D3492="",$E3492="",$O3492=""),"EKSİK",IF($O3492&lt;=0,"SIFIR/NEGATİF",IF(COUNTIFS($C$6:$C$5000,$C3492,$O$6:$O$5000,$O3492,$B$6:$B$5000,$B3492)&gt;1,"MÜKERRER","OK"))))</f>
        <v/>
      </c>
    </row>
    <row r="3493" ht="16.5" customHeight="1" s="80">
      <c r="A3493" s="113" t="n"/>
      <c r="B3493" s="113" t="n"/>
      <c r="C3493" s="113" t="n"/>
      <c r="D3493" s="113" t="n"/>
      <c r="E3493" s="113" t="n"/>
      <c r="F3493" s="113" t="n"/>
      <c r="G3493" s="113" t="n"/>
      <c r="H3493" s="113" t="n"/>
      <c r="I3493" s="113" t="n"/>
      <c r="J3493" s="113" t="n"/>
      <c r="K3493" s="113" t="n"/>
      <c r="L3493" s="113" t="n"/>
      <c r="M3493" s="113" t="n"/>
      <c r="N3493" s="113" t="n"/>
      <c r="O3493" s="113" t="n"/>
      <c r="P3493" s="113" t="n"/>
      <c r="Q3493" s="113" t="n"/>
      <c r="R3493" s="113" t="n"/>
      <c r="S3493" s="113" t="n"/>
      <c r="T3493" s="113" t="n"/>
      <c r="U3493" s="113" t="n"/>
      <c r="V3493" s="113" t="n"/>
      <c r="W3493" s="113" t="n"/>
      <c r="X3493" s="113" t="n"/>
      <c r="Y3493" s="113" t="n"/>
      <c r="Z3493" s="117">
        <f>IF($B3493="",0,IF($S3493="EVET",IF($D3493="GELİR",$O3493,-$O3493),0))</f>
        <v/>
      </c>
      <c r="AA3493" s="117">
        <f>IF($B3493="",0,IF(OR($W3493="EVET",$X3493="EVET",$Y3493="EVET"),0,IF($D3493="GELİR",IF($E3493="SATIŞ İADESİ/İSKONTO",-$O3493,$O3493),-$O3493)))</f>
        <v/>
      </c>
      <c r="AB3493" s="117">
        <f>IF($B3493="","",IF(OR($D3493="",$E3493="",$O3493=""),"EKSİK",IF($O3493&lt;=0,"SIFIR/NEGATİF",IF(COUNTIFS($C$6:$C$5000,$C3493,$O$6:$O$5000,$O3493,$B$6:$B$5000,$B3493)&gt;1,"MÜKERRER","OK"))))</f>
        <v/>
      </c>
    </row>
    <row r="3494" ht="16.5" customHeight="1" s="80">
      <c r="A3494" s="113" t="n"/>
      <c r="B3494" s="113" t="n"/>
      <c r="C3494" s="113" t="n"/>
      <c r="D3494" s="113" t="n"/>
      <c r="E3494" s="113" t="n"/>
      <c r="F3494" s="113" t="n"/>
      <c r="G3494" s="113" t="n"/>
      <c r="H3494" s="113" t="n"/>
      <c r="I3494" s="113" t="n"/>
      <c r="J3494" s="113" t="n"/>
      <c r="K3494" s="113" t="n"/>
      <c r="L3494" s="113" t="n"/>
      <c r="M3494" s="113" t="n"/>
      <c r="N3494" s="113" t="n"/>
      <c r="O3494" s="113" t="n"/>
      <c r="P3494" s="113" t="n"/>
      <c r="Q3494" s="113" t="n"/>
      <c r="R3494" s="113" t="n"/>
      <c r="S3494" s="113" t="n"/>
      <c r="T3494" s="113" t="n"/>
      <c r="U3494" s="113" t="n"/>
      <c r="V3494" s="113" t="n"/>
      <c r="W3494" s="113" t="n"/>
      <c r="X3494" s="113" t="n"/>
      <c r="Y3494" s="113" t="n"/>
      <c r="Z3494" s="117">
        <f>IF($B3494="",0,IF($S3494="EVET",IF($D3494="GELİR",$O3494,-$O3494),0))</f>
        <v/>
      </c>
      <c r="AA3494" s="117">
        <f>IF($B3494="",0,IF(OR($W3494="EVET",$X3494="EVET",$Y3494="EVET"),0,IF($D3494="GELİR",IF($E3494="SATIŞ İADESİ/İSKONTO",-$O3494,$O3494),-$O3494)))</f>
        <v/>
      </c>
      <c r="AB3494" s="117">
        <f>IF($B3494="","",IF(OR($D3494="",$E3494="",$O3494=""),"EKSİK",IF($O3494&lt;=0,"SIFIR/NEGATİF",IF(COUNTIFS($C$6:$C$5000,$C3494,$O$6:$O$5000,$O3494,$B$6:$B$5000,$B3494)&gt;1,"MÜKERRER","OK"))))</f>
        <v/>
      </c>
    </row>
    <row r="3495" ht="16.5" customHeight="1" s="80">
      <c r="A3495" s="113" t="n"/>
      <c r="B3495" s="113" t="n"/>
      <c r="C3495" s="113" t="n"/>
      <c r="D3495" s="113" t="n"/>
      <c r="E3495" s="113" t="n"/>
      <c r="F3495" s="113" t="n"/>
      <c r="G3495" s="113" t="n"/>
      <c r="H3495" s="113" t="n"/>
      <c r="I3495" s="113" t="n"/>
      <c r="J3495" s="113" t="n"/>
      <c r="K3495" s="113" t="n"/>
      <c r="L3495" s="113" t="n"/>
      <c r="M3495" s="113" t="n"/>
      <c r="N3495" s="113" t="n"/>
      <c r="O3495" s="113" t="n"/>
      <c r="P3495" s="113" t="n"/>
      <c r="Q3495" s="113" t="n"/>
      <c r="R3495" s="113" t="n"/>
      <c r="S3495" s="113" t="n"/>
      <c r="T3495" s="113" t="n"/>
      <c r="U3495" s="113" t="n"/>
      <c r="V3495" s="113" t="n"/>
      <c r="W3495" s="113" t="n"/>
      <c r="X3495" s="113" t="n"/>
      <c r="Y3495" s="113" t="n"/>
      <c r="Z3495" s="117">
        <f>IF($B3495="",0,IF($S3495="EVET",IF($D3495="GELİR",$O3495,-$O3495),0))</f>
        <v/>
      </c>
      <c r="AA3495" s="117">
        <f>IF($B3495="",0,IF(OR($W3495="EVET",$X3495="EVET",$Y3495="EVET"),0,IF($D3495="GELİR",IF($E3495="SATIŞ İADESİ/İSKONTO",-$O3495,$O3495),-$O3495)))</f>
        <v/>
      </c>
      <c r="AB3495" s="117">
        <f>IF($B3495="","",IF(OR($D3495="",$E3495="",$O3495=""),"EKSİK",IF($O3495&lt;=0,"SIFIR/NEGATİF",IF(COUNTIFS($C$6:$C$5000,$C3495,$O$6:$O$5000,$O3495,$B$6:$B$5000,$B3495)&gt;1,"MÜKERRER","OK"))))</f>
        <v/>
      </c>
    </row>
    <row r="3496" ht="16.5" customHeight="1" s="80">
      <c r="A3496" s="113" t="n"/>
      <c r="B3496" s="113" t="n"/>
      <c r="C3496" s="113" t="n"/>
      <c r="D3496" s="113" t="n"/>
      <c r="E3496" s="113" t="n"/>
      <c r="F3496" s="113" t="n"/>
      <c r="G3496" s="113" t="n"/>
      <c r="H3496" s="113" t="n"/>
      <c r="I3496" s="113" t="n"/>
      <c r="J3496" s="113" t="n"/>
      <c r="K3496" s="113" t="n"/>
      <c r="L3496" s="113" t="n"/>
      <c r="M3496" s="113" t="n"/>
      <c r="N3496" s="113" t="n"/>
      <c r="O3496" s="113" t="n"/>
      <c r="P3496" s="113" t="n"/>
      <c r="Q3496" s="113" t="n"/>
      <c r="R3496" s="113" t="n"/>
      <c r="S3496" s="113" t="n"/>
      <c r="T3496" s="113" t="n"/>
      <c r="U3496" s="113" t="n"/>
      <c r="V3496" s="113" t="n"/>
      <c r="W3496" s="113" t="n"/>
      <c r="X3496" s="113" t="n"/>
      <c r="Y3496" s="113" t="n"/>
      <c r="Z3496" s="117">
        <f>IF($B3496="",0,IF($S3496="EVET",IF($D3496="GELİR",$O3496,-$O3496),0))</f>
        <v/>
      </c>
      <c r="AA3496" s="117">
        <f>IF($B3496="",0,IF(OR($W3496="EVET",$X3496="EVET",$Y3496="EVET"),0,IF($D3496="GELİR",IF($E3496="SATIŞ İADESİ/İSKONTO",-$O3496,$O3496),-$O3496)))</f>
        <v/>
      </c>
      <c r="AB3496" s="117">
        <f>IF($B3496="","",IF(OR($D3496="",$E3496="",$O3496=""),"EKSİK",IF($O3496&lt;=0,"SIFIR/NEGATİF",IF(COUNTIFS($C$6:$C$5000,$C3496,$O$6:$O$5000,$O3496,$B$6:$B$5000,$B3496)&gt;1,"MÜKERRER","OK"))))</f>
        <v/>
      </c>
    </row>
    <row r="3497" ht="16.5" customHeight="1" s="80">
      <c r="A3497" s="113" t="n"/>
      <c r="B3497" s="113" t="n"/>
      <c r="C3497" s="113" t="n"/>
      <c r="D3497" s="113" t="n"/>
      <c r="E3497" s="113" t="n"/>
      <c r="F3497" s="113" t="n"/>
      <c r="G3497" s="113" t="n"/>
      <c r="H3497" s="113" t="n"/>
      <c r="I3497" s="113" t="n"/>
      <c r="J3497" s="113" t="n"/>
      <c r="K3497" s="113" t="n"/>
      <c r="L3497" s="113" t="n"/>
      <c r="M3497" s="113" t="n"/>
      <c r="N3497" s="113" t="n"/>
      <c r="O3497" s="113" t="n"/>
      <c r="P3497" s="113" t="n"/>
      <c r="Q3497" s="113" t="n"/>
      <c r="R3497" s="113" t="n"/>
      <c r="S3497" s="113" t="n"/>
      <c r="T3497" s="113" t="n"/>
      <c r="U3497" s="113" t="n"/>
      <c r="V3497" s="113" t="n"/>
      <c r="W3497" s="113" t="n"/>
      <c r="X3497" s="113" t="n"/>
      <c r="Y3497" s="113" t="n"/>
      <c r="Z3497" s="117">
        <f>IF($B3497="",0,IF($S3497="EVET",IF($D3497="GELİR",$O3497,-$O3497),0))</f>
        <v/>
      </c>
      <c r="AA3497" s="117">
        <f>IF($B3497="",0,IF(OR($W3497="EVET",$X3497="EVET",$Y3497="EVET"),0,IF($D3497="GELİR",IF($E3497="SATIŞ İADESİ/İSKONTO",-$O3497,$O3497),-$O3497)))</f>
        <v/>
      </c>
      <c r="AB3497" s="117">
        <f>IF($B3497="","",IF(OR($D3497="",$E3497="",$O3497=""),"EKSİK",IF($O3497&lt;=0,"SIFIR/NEGATİF",IF(COUNTIFS($C$6:$C$5000,$C3497,$O$6:$O$5000,$O3497,$B$6:$B$5000,$B3497)&gt;1,"MÜKERRER","OK"))))</f>
        <v/>
      </c>
    </row>
    <row r="3498" ht="16.5" customHeight="1" s="80">
      <c r="A3498" s="113" t="n"/>
      <c r="B3498" s="113" t="n"/>
      <c r="C3498" s="113" t="n"/>
      <c r="D3498" s="113" t="n"/>
      <c r="E3498" s="113" t="n"/>
      <c r="F3498" s="113" t="n"/>
      <c r="G3498" s="113" t="n"/>
      <c r="H3498" s="113" t="n"/>
      <c r="I3498" s="113" t="n"/>
      <c r="J3498" s="113" t="n"/>
      <c r="K3498" s="113" t="n"/>
      <c r="L3498" s="113" t="n"/>
      <c r="M3498" s="113" t="n"/>
      <c r="N3498" s="113" t="n"/>
      <c r="O3498" s="113" t="n"/>
      <c r="P3498" s="113" t="n"/>
      <c r="Q3498" s="113" t="n"/>
      <c r="R3498" s="113" t="n"/>
      <c r="S3498" s="113" t="n"/>
      <c r="T3498" s="113" t="n"/>
      <c r="U3498" s="113" t="n"/>
      <c r="V3498" s="113" t="n"/>
      <c r="W3498" s="113" t="n"/>
      <c r="X3498" s="113" t="n"/>
      <c r="Y3498" s="113" t="n"/>
      <c r="Z3498" s="117">
        <f>IF($B3498="",0,IF($S3498="EVET",IF($D3498="GELİR",$O3498,-$O3498),0))</f>
        <v/>
      </c>
      <c r="AA3498" s="117">
        <f>IF($B3498="",0,IF(OR($W3498="EVET",$X3498="EVET",$Y3498="EVET"),0,IF($D3498="GELİR",IF($E3498="SATIŞ İADESİ/İSKONTO",-$O3498,$O3498),-$O3498)))</f>
        <v/>
      </c>
      <c r="AB3498" s="117">
        <f>IF($B3498="","",IF(OR($D3498="",$E3498="",$O3498=""),"EKSİK",IF($O3498&lt;=0,"SIFIR/NEGATİF",IF(COUNTIFS($C$6:$C$5000,$C3498,$O$6:$O$5000,$O3498,$B$6:$B$5000,$B3498)&gt;1,"MÜKERRER","OK"))))</f>
        <v/>
      </c>
    </row>
    <row r="3499" ht="16.5" customHeight="1" s="80">
      <c r="A3499" s="113" t="n"/>
      <c r="B3499" s="113" t="n"/>
      <c r="C3499" s="113" t="n"/>
      <c r="D3499" s="113" t="n"/>
      <c r="E3499" s="113" t="n"/>
      <c r="F3499" s="113" t="n"/>
      <c r="G3499" s="113" t="n"/>
      <c r="H3499" s="113" t="n"/>
      <c r="I3499" s="113" t="n"/>
      <c r="J3499" s="113" t="n"/>
      <c r="K3499" s="113" t="n"/>
      <c r="L3499" s="113" t="n"/>
      <c r="M3499" s="113" t="n"/>
      <c r="N3499" s="113" t="n"/>
      <c r="O3499" s="113" t="n"/>
      <c r="P3499" s="113" t="n"/>
      <c r="Q3499" s="113" t="n"/>
      <c r="R3499" s="113" t="n"/>
      <c r="S3499" s="113" t="n"/>
      <c r="T3499" s="113" t="n"/>
      <c r="U3499" s="113" t="n"/>
      <c r="V3499" s="113" t="n"/>
      <c r="W3499" s="113" t="n"/>
      <c r="X3499" s="113" t="n"/>
      <c r="Y3499" s="113" t="n"/>
      <c r="Z3499" s="117">
        <f>IF($B3499="",0,IF($S3499="EVET",IF($D3499="GELİR",$O3499,-$O3499),0))</f>
        <v/>
      </c>
      <c r="AA3499" s="117">
        <f>IF($B3499="",0,IF(OR($W3499="EVET",$X3499="EVET",$Y3499="EVET"),0,IF($D3499="GELİR",IF($E3499="SATIŞ İADESİ/İSKONTO",-$O3499,$O3499),-$O3499)))</f>
        <v/>
      </c>
      <c r="AB3499" s="117">
        <f>IF($B3499="","",IF(OR($D3499="",$E3499="",$O3499=""),"EKSİK",IF($O3499&lt;=0,"SIFIR/NEGATİF",IF(COUNTIFS($C$6:$C$5000,$C3499,$O$6:$O$5000,$O3499,$B$6:$B$5000,$B3499)&gt;1,"MÜKERRER","OK"))))</f>
        <v/>
      </c>
    </row>
    <row r="3500" ht="16.5" customHeight="1" s="80">
      <c r="A3500" s="113" t="n"/>
      <c r="B3500" s="113" t="n"/>
      <c r="C3500" s="113" t="n"/>
      <c r="D3500" s="113" t="n"/>
      <c r="E3500" s="113" t="n"/>
      <c r="F3500" s="113" t="n"/>
      <c r="G3500" s="113" t="n"/>
      <c r="H3500" s="113" t="n"/>
      <c r="I3500" s="113" t="n"/>
      <c r="J3500" s="113" t="n"/>
      <c r="K3500" s="113" t="n"/>
      <c r="L3500" s="113" t="n"/>
      <c r="M3500" s="113" t="n"/>
      <c r="N3500" s="113" t="n"/>
      <c r="O3500" s="113" t="n"/>
      <c r="P3500" s="113" t="n"/>
      <c r="Q3500" s="113" t="n"/>
      <c r="R3500" s="113" t="n"/>
      <c r="S3500" s="113" t="n"/>
      <c r="T3500" s="113" t="n"/>
      <c r="U3500" s="113" t="n"/>
      <c r="V3500" s="113" t="n"/>
      <c r="W3500" s="113" t="n"/>
      <c r="X3500" s="113" t="n"/>
      <c r="Y3500" s="113" t="n"/>
      <c r="Z3500" s="117">
        <f>IF($B3500="",0,IF($S3500="EVET",IF($D3500="GELİR",$O3500,-$O3500),0))</f>
        <v/>
      </c>
      <c r="AA3500" s="117">
        <f>IF($B3500="",0,IF(OR($W3500="EVET",$X3500="EVET",$Y3500="EVET"),0,IF($D3500="GELİR",IF($E3500="SATIŞ İADESİ/İSKONTO",-$O3500,$O3500),-$O3500)))</f>
        <v/>
      </c>
      <c r="AB3500" s="117">
        <f>IF($B3500="","",IF(OR($D3500="",$E3500="",$O3500=""),"EKSİK",IF($O3500&lt;=0,"SIFIR/NEGATİF",IF(COUNTIFS($C$6:$C$5000,$C3500,$O$6:$O$5000,$O3500,$B$6:$B$5000,$B3500)&gt;1,"MÜKERRER","OK"))))</f>
        <v/>
      </c>
    </row>
    <row r="3501" ht="16.5" customHeight="1" s="80">
      <c r="A3501" s="113" t="n"/>
      <c r="B3501" s="113" t="n"/>
      <c r="C3501" s="113" t="n"/>
      <c r="D3501" s="113" t="n"/>
      <c r="E3501" s="113" t="n"/>
      <c r="F3501" s="113" t="n"/>
      <c r="G3501" s="113" t="n"/>
      <c r="H3501" s="113" t="n"/>
      <c r="I3501" s="113" t="n"/>
      <c r="J3501" s="113" t="n"/>
      <c r="K3501" s="113" t="n"/>
      <c r="L3501" s="113" t="n"/>
      <c r="M3501" s="113" t="n"/>
      <c r="N3501" s="113" t="n"/>
      <c r="O3501" s="113" t="n"/>
      <c r="P3501" s="113" t="n"/>
      <c r="Q3501" s="113" t="n"/>
      <c r="R3501" s="113" t="n"/>
      <c r="S3501" s="113" t="n"/>
      <c r="T3501" s="113" t="n"/>
      <c r="U3501" s="113" t="n"/>
      <c r="V3501" s="113" t="n"/>
      <c r="W3501" s="113" t="n"/>
      <c r="X3501" s="113" t="n"/>
      <c r="Y3501" s="113" t="n"/>
      <c r="Z3501" s="117">
        <f>IF($B3501="",0,IF($S3501="EVET",IF($D3501="GELİR",$O3501,-$O3501),0))</f>
        <v/>
      </c>
      <c r="AA3501" s="117">
        <f>IF($B3501="",0,IF(OR($W3501="EVET",$X3501="EVET",$Y3501="EVET"),0,IF($D3501="GELİR",IF($E3501="SATIŞ İADESİ/İSKONTO",-$O3501,$O3501),-$O3501)))</f>
        <v/>
      </c>
      <c r="AB3501" s="117">
        <f>IF($B3501="","",IF(OR($D3501="",$E3501="",$O3501=""),"EKSİK",IF($O3501&lt;=0,"SIFIR/NEGATİF",IF(COUNTIFS($C$6:$C$5000,$C3501,$O$6:$O$5000,$O3501,$B$6:$B$5000,$B3501)&gt;1,"MÜKERRER","OK"))))</f>
        <v/>
      </c>
    </row>
    <row r="3502" ht="16.5" customHeight="1" s="80">
      <c r="A3502" s="113" t="n"/>
      <c r="B3502" s="113" t="n"/>
      <c r="C3502" s="113" t="n"/>
      <c r="D3502" s="113" t="n"/>
      <c r="E3502" s="113" t="n"/>
      <c r="F3502" s="113" t="n"/>
      <c r="G3502" s="113" t="n"/>
      <c r="H3502" s="113" t="n"/>
      <c r="I3502" s="113" t="n"/>
      <c r="J3502" s="113" t="n"/>
      <c r="K3502" s="113" t="n"/>
      <c r="L3502" s="113" t="n"/>
      <c r="M3502" s="113" t="n"/>
      <c r="N3502" s="113" t="n"/>
      <c r="O3502" s="113" t="n"/>
      <c r="P3502" s="113" t="n"/>
      <c r="Q3502" s="113" t="n"/>
      <c r="R3502" s="113" t="n"/>
      <c r="S3502" s="113" t="n"/>
      <c r="T3502" s="113" t="n"/>
      <c r="U3502" s="113" t="n"/>
      <c r="V3502" s="113" t="n"/>
      <c r="W3502" s="113" t="n"/>
      <c r="X3502" s="113" t="n"/>
      <c r="Y3502" s="113" t="n"/>
      <c r="Z3502" s="117">
        <f>IF($B3502="",0,IF($S3502="EVET",IF($D3502="GELİR",$O3502,-$O3502),0))</f>
        <v/>
      </c>
      <c r="AA3502" s="117">
        <f>IF($B3502="",0,IF(OR($W3502="EVET",$X3502="EVET",$Y3502="EVET"),0,IF($D3502="GELİR",IF($E3502="SATIŞ İADESİ/İSKONTO",-$O3502,$O3502),-$O3502)))</f>
        <v/>
      </c>
      <c r="AB3502" s="117">
        <f>IF($B3502="","",IF(OR($D3502="",$E3502="",$O3502=""),"EKSİK",IF($O3502&lt;=0,"SIFIR/NEGATİF",IF(COUNTIFS($C$6:$C$5000,$C3502,$O$6:$O$5000,$O3502,$B$6:$B$5000,$B3502)&gt;1,"MÜKERRER","OK"))))</f>
        <v/>
      </c>
    </row>
    <row r="3503" ht="16.5" customHeight="1" s="80">
      <c r="A3503" s="113" t="n"/>
      <c r="B3503" s="113" t="n"/>
      <c r="C3503" s="113" t="n"/>
      <c r="D3503" s="113" t="n"/>
      <c r="E3503" s="113" t="n"/>
      <c r="F3503" s="113" t="n"/>
      <c r="G3503" s="113" t="n"/>
      <c r="H3503" s="113" t="n"/>
      <c r="I3503" s="113" t="n"/>
      <c r="J3503" s="113" t="n"/>
      <c r="K3503" s="113" t="n"/>
      <c r="L3503" s="113" t="n"/>
      <c r="M3503" s="113" t="n"/>
      <c r="N3503" s="113" t="n"/>
      <c r="O3503" s="113" t="n"/>
      <c r="P3503" s="113" t="n"/>
      <c r="Q3503" s="113" t="n"/>
      <c r="R3503" s="113" t="n"/>
      <c r="S3503" s="113" t="n"/>
      <c r="T3503" s="113" t="n"/>
      <c r="U3503" s="113" t="n"/>
      <c r="V3503" s="113" t="n"/>
      <c r="W3503" s="113" t="n"/>
      <c r="X3503" s="113" t="n"/>
      <c r="Y3503" s="113" t="n"/>
      <c r="Z3503" s="117">
        <f>IF($B3503="",0,IF($S3503="EVET",IF($D3503="GELİR",$O3503,-$O3503),0))</f>
        <v/>
      </c>
      <c r="AA3503" s="117">
        <f>IF($B3503="",0,IF(OR($W3503="EVET",$X3503="EVET",$Y3503="EVET"),0,IF($D3503="GELİR",IF($E3503="SATIŞ İADESİ/İSKONTO",-$O3503,$O3503),-$O3503)))</f>
        <v/>
      </c>
      <c r="AB3503" s="117">
        <f>IF($B3503="","",IF(OR($D3503="",$E3503="",$O3503=""),"EKSİK",IF($O3503&lt;=0,"SIFIR/NEGATİF",IF(COUNTIFS($C$6:$C$5000,$C3503,$O$6:$O$5000,$O3503,$B$6:$B$5000,$B3503)&gt;1,"MÜKERRER","OK"))))</f>
        <v/>
      </c>
    </row>
    <row r="3504" ht="16.5" customHeight="1" s="80">
      <c r="A3504" s="113" t="n"/>
      <c r="B3504" s="113" t="n"/>
      <c r="C3504" s="113" t="n"/>
      <c r="D3504" s="113" t="n"/>
      <c r="E3504" s="113" t="n"/>
      <c r="F3504" s="113" t="n"/>
      <c r="G3504" s="113" t="n"/>
      <c r="H3504" s="113" t="n"/>
      <c r="I3504" s="113" t="n"/>
      <c r="J3504" s="113" t="n"/>
      <c r="K3504" s="113" t="n"/>
      <c r="L3504" s="113" t="n"/>
      <c r="M3504" s="113" t="n"/>
      <c r="N3504" s="113" t="n"/>
      <c r="O3504" s="113" t="n"/>
      <c r="P3504" s="113" t="n"/>
      <c r="Q3504" s="113" t="n"/>
      <c r="R3504" s="113" t="n"/>
      <c r="S3504" s="113" t="n"/>
      <c r="T3504" s="113" t="n"/>
      <c r="U3504" s="113" t="n"/>
      <c r="V3504" s="113" t="n"/>
      <c r="W3504" s="113" t="n"/>
      <c r="X3504" s="113" t="n"/>
      <c r="Y3504" s="113" t="n"/>
      <c r="Z3504" s="117">
        <f>IF($B3504="",0,IF($S3504="EVET",IF($D3504="GELİR",$O3504,-$O3504),0))</f>
        <v/>
      </c>
      <c r="AA3504" s="117">
        <f>IF($B3504="",0,IF(OR($W3504="EVET",$X3504="EVET",$Y3504="EVET"),0,IF($D3504="GELİR",IF($E3504="SATIŞ İADESİ/İSKONTO",-$O3504,$O3504),-$O3504)))</f>
        <v/>
      </c>
      <c r="AB3504" s="117">
        <f>IF($B3504="","",IF(OR($D3504="",$E3504="",$O3504=""),"EKSİK",IF($O3504&lt;=0,"SIFIR/NEGATİF",IF(COUNTIFS($C$6:$C$5000,$C3504,$O$6:$O$5000,$O3504,$B$6:$B$5000,$B3504)&gt;1,"MÜKERRER","OK"))))</f>
        <v/>
      </c>
    </row>
    <row r="3505" ht="16.5" customHeight="1" s="80">
      <c r="A3505" s="113" t="n"/>
      <c r="B3505" s="113" t="n"/>
      <c r="C3505" s="113" t="n"/>
      <c r="D3505" s="113" t="n"/>
      <c r="E3505" s="113" t="n"/>
      <c r="F3505" s="113" t="n"/>
      <c r="G3505" s="113" t="n"/>
      <c r="H3505" s="113" t="n"/>
      <c r="I3505" s="113" t="n"/>
      <c r="J3505" s="113" t="n"/>
      <c r="K3505" s="113" t="n"/>
      <c r="L3505" s="113" t="n"/>
      <c r="M3505" s="113" t="n"/>
      <c r="N3505" s="113" t="n"/>
      <c r="O3505" s="113" t="n"/>
      <c r="P3505" s="113" t="n"/>
      <c r="Q3505" s="113" t="n"/>
      <c r="R3505" s="113" t="n"/>
      <c r="S3505" s="113" t="n"/>
      <c r="T3505" s="113" t="n"/>
      <c r="U3505" s="113" t="n"/>
      <c r="V3505" s="113" t="n"/>
      <c r="W3505" s="113" t="n"/>
      <c r="X3505" s="113" t="n"/>
      <c r="Y3505" s="113" t="n"/>
      <c r="Z3505" s="117">
        <f>IF($B3505="",0,IF($S3505="EVET",IF($D3505="GELİR",$O3505,-$O3505),0))</f>
        <v/>
      </c>
      <c r="AA3505" s="117">
        <f>IF($B3505="",0,IF(OR($W3505="EVET",$X3505="EVET",$Y3505="EVET"),0,IF($D3505="GELİR",IF($E3505="SATIŞ İADESİ/İSKONTO",-$O3505,$O3505),-$O3505)))</f>
        <v/>
      </c>
      <c r="AB3505" s="117">
        <f>IF($B3505="","",IF(OR($D3505="",$E3505="",$O3505=""),"EKSİK",IF($O3505&lt;=0,"SIFIR/NEGATİF",IF(COUNTIFS($C$6:$C$5000,$C3505,$O$6:$O$5000,$O3505,$B$6:$B$5000,$B3505)&gt;1,"MÜKERRER","OK"))))</f>
        <v/>
      </c>
    </row>
    <row r="3506" ht="16.5" customHeight="1" s="80">
      <c r="A3506" s="113" t="n"/>
      <c r="B3506" s="113" t="n"/>
      <c r="C3506" s="113" t="n"/>
      <c r="D3506" s="113" t="n"/>
      <c r="E3506" s="113" t="n"/>
      <c r="F3506" s="113" t="n"/>
      <c r="G3506" s="113" t="n"/>
      <c r="H3506" s="113" t="n"/>
      <c r="I3506" s="113" t="n"/>
      <c r="J3506" s="113" t="n"/>
      <c r="K3506" s="113" t="n"/>
      <c r="L3506" s="113" t="n"/>
      <c r="M3506" s="113" t="n"/>
      <c r="N3506" s="113" t="n"/>
      <c r="O3506" s="113" t="n"/>
      <c r="P3506" s="113" t="n"/>
      <c r="Q3506" s="113" t="n"/>
      <c r="R3506" s="113" t="n"/>
      <c r="S3506" s="113" t="n"/>
      <c r="T3506" s="113" t="n"/>
      <c r="U3506" s="113" t="n"/>
      <c r="V3506" s="113" t="n"/>
      <c r="W3506" s="113" t="n"/>
      <c r="X3506" s="113" t="n"/>
      <c r="Y3506" s="113" t="n"/>
      <c r="Z3506" s="117">
        <f>IF($B3506="",0,IF($S3506="EVET",IF($D3506="GELİR",$O3506,-$O3506),0))</f>
        <v/>
      </c>
      <c r="AA3506" s="117">
        <f>IF($B3506="",0,IF(OR($W3506="EVET",$X3506="EVET",$Y3506="EVET"),0,IF($D3506="GELİR",IF($E3506="SATIŞ İADESİ/İSKONTO",-$O3506,$O3506),-$O3506)))</f>
        <v/>
      </c>
      <c r="AB3506" s="117">
        <f>IF($B3506="","",IF(OR($D3506="",$E3506="",$O3506=""),"EKSİK",IF($O3506&lt;=0,"SIFIR/NEGATİF",IF(COUNTIFS($C$6:$C$5000,$C3506,$O$6:$O$5000,$O3506,$B$6:$B$5000,$B3506)&gt;1,"MÜKERRER","OK"))))</f>
        <v/>
      </c>
    </row>
    <row r="3507" ht="16.5" customHeight="1" s="80">
      <c r="A3507" s="113" t="n"/>
      <c r="B3507" s="113" t="n"/>
      <c r="C3507" s="113" t="n"/>
      <c r="D3507" s="113" t="n"/>
      <c r="E3507" s="113" t="n"/>
      <c r="F3507" s="113" t="n"/>
      <c r="G3507" s="113" t="n"/>
      <c r="H3507" s="113" t="n"/>
      <c r="I3507" s="113" t="n"/>
      <c r="J3507" s="113" t="n"/>
      <c r="K3507" s="113" t="n"/>
      <c r="L3507" s="113" t="n"/>
      <c r="M3507" s="113" t="n"/>
      <c r="N3507" s="113" t="n"/>
      <c r="O3507" s="113" t="n"/>
      <c r="P3507" s="113" t="n"/>
      <c r="Q3507" s="113" t="n"/>
      <c r="R3507" s="113" t="n"/>
      <c r="S3507" s="113" t="n"/>
      <c r="T3507" s="113" t="n"/>
      <c r="U3507" s="113" t="n"/>
      <c r="V3507" s="113" t="n"/>
      <c r="W3507" s="113" t="n"/>
      <c r="X3507" s="113" t="n"/>
      <c r="Y3507" s="113" t="n"/>
      <c r="Z3507" s="117">
        <f>IF($B3507="",0,IF($S3507="EVET",IF($D3507="GELİR",$O3507,-$O3507),0))</f>
        <v/>
      </c>
      <c r="AA3507" s="117">
        <f>IF($B3507="",0,IF(OR($W3507="EVET",$X3507="EVET",$Y3507="EVET"),0,IF($D3507="GELİR",IF($E3507="SATIŞ İADESİ/İSKONTO",-$O3507,$O3507),-$O3507)))</f>
        <v/>
      </c>
      <c r="AB3507" s="117">
        <f>IF($B3507="","",IF(OR($D3507="",$E3507="",$O3507=""),"EKSİK",IF($O3507&lt;=0,"SIFIR/NEGATİF",IF(COUNTIFS($C$6:$C$5000,$C3507,$O$6:$O$5000,$O3507,$B$6:$B$5000,$B3507)&gt;1,"MÜKERRER","OK"))))</f>
        <v/>
      </c>
    </row>
    <row r="3508" ht="16.5" customHeight="1" s="80">
      <c r="A3508" s="113" t="n"/>
      <c r="B3508" s="113" t="n"/>
      <c r="C3508" s="113" t="n"/>
      <c r="D3508" s="113" t="n"/>
      <c r="E3508" s="113" t="n"/>
      <c r="F3508" s="113" t="n"/>
      <c r="G3508" s="113" t="n"/>
      <c r="H3508" s="113" t="n"/>
      <c r="I3508" s="113" t="n"/>
      <c r="J3508" s="113" t="n"/>
      <c r="K3508" s="113" t="n"/>
      <c r="L3508" s="113" t="n"/>
      <c r="M3508" s="113" t="n"/>
      <c r="N3508" s="113" t="n"/>
      <c r="O3508" s="113" t="n"/>
      <c r="P3508" s="113" t="n"/>
      <c r="Q3508" s="113" t="n"/>
      <c r="R3508" s="113" t="n"/>
      <c r="S3508" s="113" t="n"/>
      <c r="T3508" s="113" t="n"/>
      <c r="U3508" s="113" t="n"/>
      <c r="V3508" s="113" t="n"/>
      <c r="W3508" s="113" t="n"/>
      <c r="X3508" s="113" t="n"/>
      <c r="Y3508" s="113" t="n"/>
      <c r="Z3508" s="117">
        <f>IF($B3508="",0,IF($S3508="EVET",IF($D3508="GELİR",$O3508,-$O3508),0))</f>
        <v/>
      </c>
      <c r="AA3508" s="117">
        <f>IF($B3508="",0,IF(OR($W3508="EVET",$X3508="EVET",$Y3508="EVET"),0,IF($D3508="GELİR",IF($E3508="SATIŞ İADESİ/İSKONTO",-$O3508,$O3508),-$O3508)))</f>
        <v/>
      </c>
      <c r="AB3508" s="117">
        <f>IF($B3508="","",IF(OR($D3508="",$E3508="",$O3508=""),"EKSİK",IF($O3508&lt;=0,"SIFIR/NEGATİF",IF(COUNTIFS($C$6:$C$5000,$C3508,$O$6:$O$5000,$O3508,$B$6:$B$5000,$B3508)&gt;1,"MÜKERRER","OK"))))</f>
        <v/>
      </c>
    </row>
    <row r="3509" ht="16.5" customHeight="1" s="80">
      <c r="A3509" s="113" t="n"/>
      <c r="B3509" s="113" t="n"/>
      <c r="C3509" s="113" t="n"/>
      <c r="D3509" s="113" t="n"/>
      <c r="E3509" s="113" t="n"/>
      <c r="F3509" s="113" t="n"/>
      <c r="G3509" s="113" t="n"/>
      <c r="H3509" s="113" t="n"/>
      <c r="I3509" s="113" t="n"/>
      <c r="J3509" s="113" t="n"/>
      <c r="K3509" s="113" t="n"/>
      <c r="L3509" s="113" t="n"/>
      <c r="M3509" s="113" t="n"/>
      <c r="N3509" s="113" t="n"/>
      <c r="O3509" s="113" t="n"/>
      <c r="P3509" s="113" t="n"/>
      <c r="Q3509" s="113" t="n"/>
      <c r="R3509" s="113" t="n"/>
      <c r="S3509" s="113" t="n"/>
      <c r="T3509" s="113" t="n"/>
      <c r="U3509" s="113" t="n"/>
      <c r="V3509" s="113" t="n"/>
      <c r="W3509" s="113" t="n"/>
      <c r="X3509" s="113" t="n"/>
      <c r="Y3509" s="113" t="n"/>
      <c r="Z3509" s="117">
        <f>IF($B3509="",0,IF($S3509="EVET",IF($D3509="GELİR",$O3509,-$O3509),0))</f>
        <v/>
      </c>
      <c r="AA3509" s="117">
        <f>IF($B3509="",0,IF(OR($W3509="EVET",$X3509="EVET",$Y3509="EVET"),0,IF($D3509="GELİR",IF($E3509="SATIŞ İADESİ/İSKONTO",-$O3509,$O3509),-$O3509)))</f>
        <v/>
      </c>
      <c r="AB3509" s="117">
        <f>IF($B3509="","",IF(OR($D3509="",$E3509="",$O3509=""),"EKSİK",IF($O3509&lt;=0,"SIFIR/NEGATİF",IF(COUNTIFS($C$6:$C$5000,$C3509,$O$6:$O$5000,$O3509,$B$6:$B$5000,$B3509)&gt;1,"MÜKERRER","OK"))))</f>
        <v/>
      </c>
    </row>
    <row r="3510" ht="16.5" customHeight="1" s="80">
      <c r="A3510" s="113" t="n"/>
      <c r="B3510" s="113" t="n"/>
      <c r="C3510" s="113" t="n"/>
      <c r="D3510" s="113" t="n"/>
      <c r="E3510" s="113" t="n"/>
      <c r="F3510" s="113" t="n"/>
      <c r="G3510" s="113" t="n"/>
      <c r="H3510" s="113" t="n"/>
      <c r="I3510" s="113" t="n"/>
      <c r="J3510" s="113" t="n"/>
      <c r="K3510" s="113" t="n"/>
      <c r="L3510" s="113" t="n"/>
      <c r="M3510" s="113" t="n"/>
      <c r="N3510" s="113" t="n"/>
      <c r="O3510" s="113" t="n"/>
      <c r="P3510" s="113" t="n"/>
      <c r="Q3510" s="113" t="n"/>
      <c r="R3510" s="113" t="n"/>
      <c r="S3510" s="113" t="n"/>
      <c r="T3510" s="113" t="n"/>
      <c r="U3510" s="113" t="n"/>
      <c r="V3510" s="113" t="n"/>
      <c r="W3510" s="113" t="n"/>
      <c r="X3510" s="113" t="n"/>
      <c r="Y3510" s="113" t="n"/>
      <c r="Z3510" s="117">
        <f>IF($B3510="",0,IF($S3510="EVET",IF($D3510="GELİR",$O3510,-$O3510),0))</f>
        <v/>
      </c>
      <c r="AA3510" s="117">
        <f>IF($B3510="",0,IF(OR($W3510="EVET",$X3510="EVET",$Y3510="EVET"),0,IF($D3510="GELİR",IF($E3510="SATIŞ İADESİ/İSKONTO",-$O3510,$O3510),-$O3510)))</f>
        <v/>
      </c>
      <c r="AB3510" s="117">
        <f>IF($B3510="","",IF(OR($D3510="",$E3510="",$O3510=""),"EKSİK",IF($O3510&lt;=0,"SIFIR/NEGATİF",IF(COUNTIFS($C$6:$C$5000,$C3510,$O$6:$O$5000,$O3510,$B$6:$B$5000,$B3510)&gt;1,"MÜKERRER","OK"))))</f>
        <v/>
      </c>
    </row>
    <row r="3511" ht="16.5" customHeight="1" s="80">
      <c r="A3511" s="113" t="n"/>
      <c r="B3511" s="113" t="n"/>
      <c r="C3511" s="113" t="n"/>
      <c r="D3511" s="113" t="n"/>
      <c r="E3511" s="113" t="n"/>
      <c r="F3511" s="113" t="n"/>
      <c r="G3511" s="113" t="n"/>
      <c r="H3511" s="113" t="n"/>
      <c r="I3511" s="113" t="n"/>
      <c r="J3511" s="113" t="n"/>
      <c r="K3511" s="113" t="n"/>
      <c r="L3511" s="113" t="n"/>
      <c r="M3511" s="113" t="n"/>
      <c r="N3511" s="113" t="n"/>
      <c r="O3511" s="113" t="n"/>
      <c r="P3511" s="113" t="n"/>
      <c r="Q3511" s="113" t="n"/>
      <c r="R3511" s="113" t="n"/>
      <c r="S3511" s="113" t="n"/>
      <c r="T3511" s="113" t="n"/>
      <c r="U3511" s="113" t="n"/>
      <c r="V3511" s="113" t="n"/>
      <c r="W3511" s="113" t="n"/>
      <c r="X3511" s="113" t="n"/>
      <c r="Y3511" s="113" t="n"/>
      <c r="Z3511" s="117">
        <f>IF($B3511="",0,IF($S3511="EVET",IF($D3511="GELİR",$O3511,-$O3511),0))</f>
        <v/>
      </c>
      <c r="AA3511" s="117">
        <f>IF($B3511="",0,IF(OR($W3511="EVET",$X3511="EVET",$Y3511="EVET"),0,IF($D3511="GELİR",IF($E3511="SATIŞ İADESİ/İSKONTO",-$O3511,$O3511),-$O3511)))</f>
        <v/>
      </c>
      <c r="AB3511" s="117">
        <f>IF($B3511="","",IF(OR($D3511="",$E3511="",$O3511=""),"EKSİK",IF($O3511&lt;=0,"SIFIR/NEGATİF",IF(COUNTIFS($C$6:$C$5000,$C3511,$O$6:$O$5000,$O3511,$B$6:$B$5000,$B3511)&gt;1,"MÜKERRER","OK"))))</f>
        <v/>
      </c>
    </row>
    <row r="3512" ht="16.5" customHeight="1" s="80">
      <c r="A3512" s="113" t="n"/>
      <c r="B3512" s="113" t="n"/>
      <c r="C3512" s="113" t="n"/>
      <c r="D3512" s="113" t="n"/>
      <c r="E3512" s="113" t="n"/>
      <c r="F3512" s="113" t="n"/>
      <c r="G3512" s="113" t="n"/>
      <c r="H3512" s="113" t="n"/>
      <c r="I3512" s="113" t="n"/>
      <c r="J3512" s="113" t="n"/>
      <c r="K3512" s="113" t="n"/>
      <c r="L3512" s="113" t="n"/>
      <c r="M3512" s="113" t="n"/>
      <c r="N3512" s="113" t="n"/>
      <c r="O3512" s="113" t="n"/>
      <c r="P3512" s="113" t="n"/>
      <c r="Q3512" s="113" t="n"/>
      <c r="R3512" s="113" t="n"/>
      <c r="S3512" s="113" t="n"/>
      <c r="T3512" s="113" t="n"/>
      <c r="U3512" s="113" t="n"/>
      <c r="V3512" s="113" t="n"/>
      <c r="W3512" s="113" t="n"/>
      <c r="X3512" s="113" t="n"/>
      <c r="Y3512" s="113" t="n"/>
      <c r="Z3512" s="117">
        <f>IF($B3512="",0,IF($S3512="EVET",IF($D3512="GELİR",$O3512,-$O3512),0))</f>
        <v/>
      </c>
      <c r="AA3512" s="117">
        <f>IF($B3512="",0,IF(OR($W3512="EVET",$X3512="EVET",$Y3512="EVET"),0,IF($D3512="GELİR",IF($E3512="SATIŞ İADESİ/İSKONTO",-$O3512,$O3512),-$O3512)))</f>
        <v/>
      </c>
      <c r="AB3512" s="117">
        <f>IF($B3512="","",IF(OR($D3512="",$E3512="",$O3512=""),"EKSİK",IF($O3512&lt;=0,"SIFIR/NEGATİF",IF(COUNTIFS($C$6:$C$5000,$C3512,$O$6:$O$5000,$O3512,$B$6:$B$5000,$B3512)&gt;1,"MÜKERRER","OK"))))</f>
        <v/>
      </c>
    </row>
    <row r="3513" ht="16.5" customHeight="1" s="80">
      <c r="A3513" s="113" t="n"/>
      <c r="B3513" s="113" t="n"/>
      <c r="C3513" s="113" t="n"/>
      <c r="D3513" s="113" t="n"/>
      <c r="E3513" s="113" t="n"/>
      <c r="F3513" s="113" t="n"/>
      <c r="G3513" s="113" t="n"/>
      <c r="H3513" s="113" t="n"/>
      <c r="I3513" s="113" t="n"/>
      <c r="J3513" s="113" t="n"/>
      <c r="K3513" s="113" t="n"/>
      <c r="L3513" s="113" t="n"/>
      <c r="M3513" s="113" t="n"/>
      <c r="N3513" s="113" t="n"/>
      <c r="O3513" s="113" t="n"/>
      <c r="P3513" s="113" t="n"/>
      <c r="Q3513" s="113" t="n"/>
      <c r="R3513" s="113" t="n"/>
      <c r="S3513" s="113" t="n"/>
      <c r="T3513" s="113" t="n"/>
      <c r="U3513" s="113" t="n"/>
      <c r="V3513" s="113" t="n"/>
      <c r="W3513" s="113" t="n"/>
      <c r="X3513" s="113" t="n"/>
      <c r="Y3513" s="113" t="n"/>
      <c r="Z3513" s="117">
        <f>IF($B3513="",0,IF($S3513="EVET",IF($D3513="GELİR",$O3513,-$O3513),0))</f>
        <v/>
      </c>
      <c r="AA3513" s="117">
        <f>IF($B3513="",0,IF(OR($W3513="EVET",$X3513="EVET",$Y3513="EVET"),0,IF($D3513="GELİR",IF($E3513="SATIŞ İADESİ/İSKONTO",-$O3513,$O3513),-$O3513)))</f>
        <v/>
      </c>
      <c r="AB3513" s="117">
        <f>IF($B3513="","",IF(OR($D3513="",$E3513="",$O3513=""),"EKSİK",IF($O3513&lt;=0,"SIFIR/NEGATİF",IF(COUNTIFS($C$6:$C$5000,$C3513,$O$6:$O$5000,$O3513,$B$6:$B$5000,$B3513)&gt;1,"MÜKERRER","OK"))))</f>
        <v/>
      </c>
    </row>
    <row r="3514" ht="16.5" customHeight="1" s="80">
      <c r="A3514" s="113" t="n"/>
      <c r="B3514" s="113" t="n"/>
      <c r="C3514" s="113" t="n"/>
      <c r="D3514" s="113" t="n"/>
      <c r="E3514" s="113" t="n"/>
      <c r="F3514" s="113" t="n"/>
      <c r="G3514" s="113" t="n"/>
      <c r="H3514" s="113" t="n"/>
      <c r="I3514" s="113" t="n"/>
      <c r="J3514" s="113" t="n"/>
      <c r="K3514" s="113" t="n"/>
      <c r="L3514" s="113" t="n"/>
      <c r="M3514" s="113" t="n"/>
      <c r="N3514" s="113" t="n"/>
      <c r="O3514" s="113" t="n"/>
      <c r="P3514" s="113" t="n"/>
      <c r="Q3514" s="113" t="n"/>
      <c r="R3514" s="113" t="n"/>
      <c r="S3514" s="113" t="n"/>
      <c r="T3514" s="113" t="n"/>
      <c r="U3514" s="113" t="n"/>
      <c r="V3514" s="113" t="n"/>
      <c r="W3514" s="113" t="n"/>
      <c r="X3514" s="113" t="n"/>
      <c r="Y3514" s="113" t="n"/>
      <c r="Z3514" s="117">
        <f>IF($B3514="",0,IF($S3514="EVET",IF($D3514="GELİR",$O3514,-$O3514),0))</f>
        <v/>
      </c>
      <c r="AA3514" s="117">
        <f>IF($B3514="",0,IF(OR($W3514="EVET",$X3514="EVET",$Y3514="EVET"),0,IF($D3514="GELİR",IF($E3514="SATIŞ İADESİ/İSKONTO",-$O3514,$O3514),-$O3514)))</f>
        <v/>
      </c>
      <c r="AB3514" s="117">
        <f>IF($B3514="","",IF(OR($D3514="",$E3514="",$O3514=""),"EKSİK",IF($O3514&lt;=0,"SIFIR/NEGATİF",IF(COUNTIFS($C$6:$C$5000,$C3514,$O$6:$O$5000,$O3514,$B$6:$B$5000,$B3514)&gt;1,"MÜKERRER","OK"))))</f>
        <v/>
      </c>
    </row>
    <row r="3515" ht="16.5" customHeight="1" s="80">
      <c r="A3515" s="113" t="n"/>
      <c r="B3515" s="113" t="n"/>
      <c r="C3515" s="113" t="n"/>
      <c r="D3515" s="113" t="n"/>
      <c r="E3515" s="113" t="n"/>
      <c r="F3515" s="113" t="n"/>
      <c r="G3515" s="113" t="n"/>
      <c r="H3515" s="113" t="n"/>
      <c r="I3515" s="113" t="n"/>
      <c r="J3515" s="113" t="n"/>
      <c r="K3515" s="113" t="n"/>
      <c r="L3515" s="113" t="n"/>
      <c r="M3515" s="113" t="n"/>
      <c r="N3515" s="113" t="n"/>
      <c r="O3515" s="113" t="n"/>
      <c r="P3515" s="113" t="n"/>
      <c r="Q3515" s="113" t="n"/>
      <c r="R3515" s="113" t="n"/>
      <c r="S3515" s="113" t="n"/>
      <c r="T3515" s="113" t="n"/>
      <c r="U3515" s="113" t="n"/>
      <c r="V3515" s="113" t="n"/>
      <c r="W3515" s="113" t="n"/>
      <c r="X3515" s="113" t="n"/>
      <c r="Y3515" s="113" t="n"/>
      <c r="Z3515" s="117">
        <f>IF($B3515="",0,IF($S3515="EVET",IF($D3515="GELİR",$O3515,-$O3515),0))</f>
        <v/>
      </c>
      <c r="AA3515" s="117">
        <f>IF($B3515="",0,IF(OR($W3515="EVET",$X3515="EVET",$Y3515="EVET"),0,IF($D3515="GELİR",IF($E3515="SATIŞ İADESİ/İSKONTO",-$O3515,$O3515),-$O3515)))</f>
        <v/>
      </c>
      <c r="AB3515" s="117">
        <f>IF($B3515="","",IF(OR($D3515="",$E3515="",$O3515=""),"EKSİK",IF($O3515&lt;=0,"SIFIR/NEGATİF",IF(COUNTIFS($C$6:$C$5000,$C3515,$O$6:$O$5000,$O3515,$B$6:$B$5000,$B3515)&gt;1,"MÜKERRER","OK"))))</f>
        <v/>
      </c>
    </row>
    <row r="3516" ht="16.5" customHeight="1" s="80">
      <c r="A3516" s="113" t="n"/>
      <c r="B3516" s="113" t="n"/>
      <c r="C3516" s="113" t="n"/>
      <c r="D3516" s="113" t="n"/>
      <c r="E3516" s="113" t="n"/>
      <c r="F3516" s="113" t="n"/>
      <c r="G3516" s="113" t="n"/>
      <c r="H3516" s="113" t="n"/>
      <c r="I3516" s="113" t="n"/>
      <c r="J3516" s="113" t="n"/>
      <c r="K3516" s="113" t="n"/>
      <c r="L3516" s="113" t="n"/>
      <c r="M3516" s="113" t="n"/>
      <c r="N3516" s="113" t="n"/>
      <c r="O3516" s="113" t="n"/>
      <c r="P3516" s="113" t="n"/>
      <c r="Q3516" s="113" t="n"/>
      <c r="R3516" s="113" t="n"/>
      <c r="S3516" s="113" t="n"/>
      <c r="T3516" s="113" t="n"/>
      <c r="U3516" s="113" t="n"/>
      <c r="V3516" s="113" t="n"/>
      <c r="W3516" s="113" t="n"/>
      <c r="X3516" s="113" t="n"/>
      <c r="Y3516" s="113" t="n"/>
      <c r="Z3516" s="117">
        <f>IF($B3516="",0,IF($S3516="EVET",IF($D3516="GELİR",$O3516,-$O3516),0))</f>
        <v/>
      </c>
      <c r="AA3516" s="117">
        <f>IF($B3516="",0,IF(OR($W3516="EVET",$X3516="EVET",$Y3516="EVET"),0,IF($D3516="GELİR",IF($E3516="SATIŞ İADESİ/İSKONTO",-$O3516,$O3516),-$O3516)))</f>
        <v/>
      </c>
      <c r="AB3516" s="117">
        <f>IF($B3516="","",IF(OR($D3516="",$E3516="",$O3516=""),"EKSİK",IF($O3516&lt;=0,"SIFIR/NEGATİF",IF(COUNTIFS($C$6:$C$5000,$C3516,$O$6:$O$5000,$O3516,$B$6:$B$5000,$B3516)&gt;1,"MÜKERRER","OK"))))</f>
        <v/>
      </c>
    </row>
    <row r="3517" ht="16.5" customHeight="1" s="80">
      <c r="A3517" s="113" t="n"/>
      <c r="B3517" s="113" t="n"/>
      <c r="C3517" s="113" t="n"/>
      <c r="D3517" s="113" t="n"/>
      <c r="E3517" s="113" t="n"/>
      <c r="F3517" s="113" t="n"/>
      <c r="G3517" s="113" t="n"/>
      <c r="H3517" s="113" t="n"/>
      <c r="I3517" s="113" t="n"/>
      <c r="J3517" s="113" t="n"/>
      <c r="K3517" s="113" t="n"/>
      <c r="L3517" s="113" t="n"/>
      <c r="M3517" s="113" t="n"/>
      <c r="N3517" s="113" t="n"/>
      <c r="O3517" s="113" t="n"/>
      <c r="P3517" s="113" t="n"/>
      <c r="Q3517" s="113" t="n"/>
      <c r="R3517" s="113" t="n"/>
      <c r="S3517" s="113" t="n"/>
      <c r="T3517" s="113" t="n"/>
      <c r="U3517" s="113" t="n"/>
      <c r="V3517" s="113" t="n"/>
      <c r="W3517" s="113" t="n"/>
      <c r="X3517" s="113" t="n"/>
      <c r="Y3517" s="113" t="n"/>
      <c r="Z3517" s="117">
        <f>IF($B3517="",0,IF($S3517="EVET",IF($D3517="GELİR",$O3517,-$O3517),0))</f>
        <v/>
      </c>
      <c r="AA3517" s="117">
        <f>IF($B3517="",0,IF(OR($W3517="EVET",$X3517="EVET",$Y3517="EVET"),0,IF($D3517="GELİR",IF($E3517="SATIŞ İADESİ/İSKONTO",-$O3517,$O3517),-$O3517)))</f>
        <v/>
      </c>
      <c r="AB3517" s="117">
        <f>IF($B3517="","",IF(OR($D3517="",$E3517="",$O3517=""),"EKSİK",IF($O3517&lt;=0,"SIFIR/NEGATİF",IF(COUNTIFS($C$6:$C$5000,$C3517,$O$6:$O$5000,$O3517,$B$6:$B$5000,$B3517)&gt;1,"MÜKERRER","OK"))))</f>
        <v/>
      </c>
    </row>
    <row r="3518" ht="16.5" customHeight="1" s="80">
      <c r="A3518" s="113" t="n"/>
      <c r="B3518" s="113" t="n"/>
      <c r="C3518" s="113" t="n"/>
      <c r="D3518" s="113" t="n"/>
      <c r="E3518" s="113" t="n"/>
      <c r="F3518" s="113" t="n"/>
      <c r="G3518" s="113" t="n"/>
      <c r="H3518" s="113" t="n"/>
      <c r="I3518" s="113" t="n"/>
      <c r="J3518" s="113" t="n"/>
      <c r="K3518" s="113" t="n"/>
      <c r="L3518" s="113" t="n"/>
      <c r="M3518" s="113" t="n"/>
      <c r="N3518" s="113" t="n"/>
      <c r="O3518" s="113" t="n"/>
      <c r="P3518" s="113" t="n"/>
      <c r="Q3518" s="113" t="n"/>
      <c r="R3518" s="113" t="n"/>
      <c r="S3518" s="113" t="n"/>
      <c r="T3518" s="113" t="n"/>
      <c r="U3518" s="113" t="n"/>
      <c r="V3518" s="113" t="n"/>
      <c r="W3518" s="113" t="n"/>
      <c r="X3518" s="113" t="n"/>
      <c r="Y3518" s="113" t="n"/>
      <c r="Z3518" s="117">
        <f>IF($B3518="",0,IF($S3518="EVET",IF($D3518="GELİR",$O3518,-$O3518),0))</f>
        <v/>
      </c>
      <c r="AA3518" s="117">
        <f>IF($B3518="",0,IF(OR($W3518="EVET",$X3518="EVET",$Y3518="EVET"),0,IF($D3518="GELİR",IF($E3518="SATIŞ İADESİ/İSKONTO",-$O3518,$O3518),-$O3518)))</f>
        <v/>
      </c>
      <c r="AB3518" s="117">
        <f>IF($B3518="","",IF(OR($D3518="",$E3518="",$O3518=""),"EKSİK",IF($O3518&lt;=0,"SIFIR/NEGATİF",IF(COUNTIFS($C$6:$C$5000,$C3518,$O$6:$O$5000,$O3518,$B$6:$B$5000,$B3518)&gt;1,"MÜKERRER","OK"))))</f>
        <v/>
      </c>
    </row>
    <row r="3519" ht="16.5" customHeight="1" s="80">
      <c r="A3519" s="113" t="n"/>
      <c r="B3519" s="113" t="n"/>
      <c r="C3519" s="113" t="n"/>
      <c r="D3519" s="113" t="n"/>
      <c r="E3519" s="113" t="n"/>
      <c r="F3519" s="113" t="n"/>
      <c r="G3519" s="113" t="n"/>
      <c r="H3519" s="113" t="n"/>
      <c r="I3519" s="113" t="n"/>
      <c r="J3519" s="113" t="n"/>
      <c r="K3519" s="113" t="n"/>
      <c r="L3519" s="113" t="n"/>
      <c r="M3519" s="113" t="n"/>
      <c r="N3519" s="113" t="n"/>
      <c r="O3519" s="113" t="n"/>
      <c r="P3519" s="113" t="n"/>
      <c r="Q3519" s="113" t="n"/>
      <c r="R3519" s="113" t="n"/>
      <c r="S3519" s="113" t="n"/>
      <c r="T3519" s="113" t="n"/>
      <c r="U3519" s="113" t="n"/>
      <c r="V3519" s="113" t="n"/>
      <c r="W3519" s="113" t="n"/>
      <c r="X3519" s="113" t="n"/>
      <c r="Y3519" s="113" t="n"/>
      <c r="Z3519" s="117">
        <f>IF($B3519="",0,IF($S3519="EVET",IF($D3519="GELİR",$O3519,-$O3519),0))</f>
        <v/>
      </c>
      <c r="AA3519" s="117">
        <f>IF($B3519="",0,IF(OR($W3519="EVET",$X3519="EVET",$Y3519="EVET"),0,IF($D3519="GELİR",IF($E3519="SATIŞ İADESİ/İSKONTO",-$O3519,$O3519),-$O3519)))</f>
        <v/>
      </c>
      <c r="AB3519" s="117">
        <f>IF($B3519="","",IF(OR($D3519="",$E3519="",$O3519=""),"EKSİK",IF($O3519&lt;=0,"SIFIR/NEGATİF",IF(COUNTIFS($C$6:$C$5000,$C3519,$O$6:$O$5000,$O3519,$B$6:$B$5000,$B3519)&gt;1,"MÜKERRER","OK"))))</f>
        <v/>
      </c>
    </row>
    <row r="3520" ht="16.5" customHeight="1" s="80">
      <c r="A3520" s="113" t="n"/>
      <c r="B3520" s="113" t="n"/>
      <c r="C3520" s="113" t="n"/>
      <c r="D3520" s="113" t="n"/>
      <c r="E3520" s="113" t="n"/>
      <c r="F3520" s="113" t="n"/>
      <c r="G3520" s="113" t="n"/>
      <c r="H3520" s="113" t="n"/>
      <c r="I3520" s="113" t="n"/>
      <c r="J3520" s="113" t="n"/>
      <c r="K3520" s="113" t="n"/>
      <c r="L3520" s="113" t="n"/>
      <c r="M3520" s="113" t="n"/>
      <c r="N3520" s="113" t="n"/>
      <c r="O3520" s="113" t="n"/>
      <c r="P3520" s="113" t="n"/>
      <c r="Q3520" s="113" t="n"/>
      <c r="R3520" s="113" t="n"/>
      <c r="S3520" s="113" t="n"/>
      <c r="T3520" s="113" t="n"/>
      <c r="U3520" s="113" t="n"/>
      <c r="V3520" s="113" t="n"/>
      <c r="W3520" s="113" t="n"/>
      <c r="X3520" s="113" t="n"/>
      <c r="Y3520" s="113" t="n"/>
      <c r="Z3520" s="117">
        <f>IF($B3520="",0,IF($S3520="EVET",IF($D3520="GELİR",$O3520,-$O3520),0))</f>
        <v/>
      </c>
      <c r="AA3520" s="117">
        <f>IF($B3520="",0,IF(OR($W3520="EVET",$X3520="EVET",$Y3520="EVET"),0,IF($D3520="GELİR",IF($E3520="SATIŞ İADESİ/İSKONTO",-$O3520,$O3520),-$O3520)))</f>
        <v/>
      </c>
      <c r="AB3520" s="117">
        <f>IF($B3520="","",IF(OR($D3520="",$E3520="",$O3520=""),"EKSİK",IF($O3520&lt;=0,"SIFIR/NEGATİF",IF(COUNTIFS($C$6:$C$5000,$C3520,$O$6:$O$5000,$O3520,$B$6:$B$5000,$B3520)&gt;1,"MÜKERRER","OK"))))</f>
        <v/>
      </c>
    </row>
    <row r="3521" ht="16.5" customHeight="1" s="80">
      <c r="A3521" s="113" t="n"/>
      <c r="B3521" s="113" t="n"/>
      <c r="C3521" s="113" t="n"/>
      <c r="D3521" s="113" t="n"/>
      <c r="E3521" s="113" t="n"/>
      <c r="F3521" s="113" t="n"/>
      <c r="G3521" s="113" t="n"/>
      <c r="H3521" s="113" t="n"/>
      <c r="I3521" s="113" t="n"/>
      <c r="J3521" s="113" t="n"/>
      <c r="K3521" s="113" t="n"/>
      <c r="L3521" s="113" t="n"/>
      <c r="M3521" s="113" t="n"/>
      <c r="N3521" s="113" t="n"/>
      <c r="O3521" s="113" t="n"/>
      <c r="P3521" s="113" t="n"/>
      <c r="Q3521" s="113" t="n"/>
      <c r="R3521" s="113" t="n"/>
      <c r="S3521" s="113" t="n"/>
      <c r="T3521" s="113" t="n"/>
      <c r="U3521" s="113" t="n"/>
      <c r="V3521" s="113" t="n"/>
      <c r="W3521" s="113" t="n"/>
      <c r="X3521" s="113" t="n"/>
      <c r="Y3521" s="113" t="n"/>
      <c r="Z3521" s="117">
        <f>IF($B3521="",0,IF($S3521="EVET",IF($D3521="GELİR",$O3521,-$O3521),0))</f>
        <v/>
      </c>
      <c r="AA3521" s="117">
        <f>IF($B3521="",0,IF(OR($W3521="EVET",$X3521="EVET",$Y3521="EVET"),0,IF($D3521="GELİR",IF($E3521="SATIŞ İADESİ/İSKONTO",-$O3521,$O3521),-$O3521)))</f>
        <v/>
      </c>
      <c r="AB3521" s="117">
        <f>IF($B3521="","",IF(OR($D3521="",$E3521="",$O3521=""),"EKSİK",IF($O3521&lt;=0,"SIFIR/NEGATİF",IF(COUNTIFS($C$6:$C$5000,$C3521,$O$6:$O$5000,$O3521,$B$6:$B$5000,$B3521)&gt;1,"MÜKERRER","OK"))))</f>
        <v/>
      </c>
    </row>
    <row r="3522" ht="16.5" customHeight="1" s="80">
      <c r="A3522" s="113" t="n"/>
      <c r="B3522" s="113" t="n"/>
      <c r="C3522" s="113" t="n"/>
      <c r="D3522" s="113" t="n"/>
      <c r="E3522" s="113" t="n"/>
      <c r="F3522" s="113" t="n"/>
      <c r="G3522" s="113" t="n"/>
      <c r="H3522" s="113" t="n"/>
      <c r="I3522" s="113" t="n"/>
      <c r="J3522" s="113" t="n"/>
      <c r="K3522" s="113" t="n"/>
      <c r="L3522" s="113" t="n"/>
      <c r="M3522" s="113" t="n"/>
      <c r="N3522" s="113" t="n"/>
      <c r="O3522" s="113" t="n"/>
      <c r="P3522" s="113" t="n"/>
      <c r="Q3522" s="113" t="n"/>
      <c r="R3522" s="113" t="n"/>
      <c r="S3522" s="113" t="n"/>
      <c r="T3522" s="113" t="n"/>
      <c r="U3522" s="113" t="n"/>
      <c r="V3522" s="113" t="n"/>
      <c r="W3522" s="113" t="n"/>
      <c r="X3522" s="113" t="n"/>
      <c r="Y3522" s="113" t="n"/>
      <c r="Z3522" s="117">
        <f>IF($B3522="",0,IF($S3522="EVET",IF($D3522="GELİR",$O3522,-$O3522),0))</f>
        <v/>
      </c>
      <c r="AA3522" s="117">
        <f>IF($B3522="",0,IF(OR($W3522="EVET",$X3522="EVET",$Y3522="EVET"),0,IF($D3522="GELİR",IF($E3522="SATIŞ İADESİ/İSKONTO",-$O3522,$O3522),-$O3522)))</f>
        <v/>
      </c>
      <c r="AB3522" s="117">
        <f>IF($B3522="","",IF(OR($D3522="",$E3522="",$O3522=""),"EKSİK",IF($O3522&lt;=0,"SIFIR/NEGATİF",IF(COUNTIFS($C$6:$C$5000,$C3522,$O$6:$O$5000,$O3522,$B$6:$B$5000,$B3522)&gt;1,"MÜKERRER","OK"))))</f>
        <v/>
      </c>
    </row>
    <row r="3523" ht="16.5" customHeight="1" s="80">
      <c r="A3523" s="113" t="n"/>
      <c r="B3523" s="113" t="n"/>
      <c r="C3523" s="113" t="n"/>
      <c r="D3523" s="113" t="n"/>
      <c r="E3523" s="113" t="n"/>
      <c r="F3523" s="113" t="n"/>
      <c r="G3523" s="113" t="n"/>
      <c r="H3523" s="113" t="n"/>
      <c r="I3523" s="113" t="n"/>
      <c r="J3523" s="113" t="n"/>
      <c r="K3523" s="113" t="n"/>
      <c r="L3523" s="113" t="n"/>
      <c r="M3523" s="113" t="n"/>
      <c r="N3523" s="113" t="n"/>
      <c r="O3523" s="113" t="n"/>
      <c r="P3523" s="113" t="n"/>
      <c r="Q3523" s="113" t="n"/>
      <c r="R3523" s="113" t="n"/>
      <c r="S3523" s="113" t="n"/>
      <c r="T3523" s="113" t="n"/>
      <c r="U3523" s="113" t="n"/>
      <c r="V3523" s="113" t="n"/>
      <c r="W3523" s="113" t="n"/>
      <c r="X3523" s="113" t="n"/>
      <c r="Y3523" s="113" t="n"/>
      <c r="Z3523" s="117">
        <f>IF($B3523="",0,IF($S3523="EVET",IF($D3523="GELİR",$O3523,-$O3523),0))</f>
        <v/>
      </c>
      <c r="AA3523" s="117">
        <f>IF($B3523="",0,IF(OR($W3523="EVET",$X3523="EVET",$Y3523="EVET"),0,IF($D3523="GELİR",IF($E3523="SATIŞ İADESİ/İSKONTO",-$O3523,$O3523),-$O3523)))</f>
        <v/>
      </c>
      <c r="AB3523" s="117">
        <f>IF($B3523="","",IF(OR($D3523="",$E3523="",$O3523=""),"EKSİK",IF($O3523&lt;=0,"SIFIR/NEGATİF",IF(COUNTIFS($C$6:$C$5000,$C3523,$O$6:$O$5000,$O3523,$B$6:$B$5000,$B3523)&gt;1,"MÜKERRER","OK"))))</f>
        <v/>
      </c>
    </row>
    <row r="3524" ht="16.5" customHeight="1" s="80">
      <c r="A3524" s="113" t="n"/>
      <c r="B3524" s="113" t="n"/>
      <c r="C3524" s="113" t="n"/>
      <c r="D3524" s="113" t="n"/>
      <c r="E3524" s="113" t="n"/>
      <c r="F3524" s="113" t="n"/>
      <c r="G3524" s="113" t="n"/>
      <c r="H3524" s="113" t="n"/>
      <c r="I3524" s="113" t="n"/>
      <c r="J3524" s="113" t="n"/>
      <c r="K3524" s="113" t="n"/>
      <c r="L3524" s="113" t="n"/>
      <c r="M3524" s="113" t="n"/>
      <c r="N3524" s="113" t="n"/>
      <c r="O3524" s="113" t="n"/>
      <c r="P3524" s="113" t="n"/>
      <c r="Q3524" s="113" t="n"/>
      <c r="R3524" s="113" t="n"/>
      <c r="S3524" s="113" t="n"/>
      <c r="T3524" s="113" t="n"/>
      <c r="U3524" s="113" t="n"/>
      <c r="V3524" s="113" t="n"/>
      <c r="W3524" s="113" t="n"/>
      <c r="X3524" s="113" t="n"/>
      <c r="Y3524" s="113" t="n"/>
      <c r="Z3524" s="117">
        <f>IF($B3524="",0,IF($S3524="EVET",IF($D3524="GELİR",$O3524,-$O3524),0))</f>
        <v/>
      </c>
      <c r="AA3524" s="117">
        <f>IF($B3524="",0,IF(OR($W3524="EVET",$X3524="EVET",$Y3524="EVET"),0,IF($D3524="GELİR",IF($E3524="SATIŞ İADESİ/İSKONTO",-$O3524,$O3524),-$O3524)))</f>
        <v/>
      </c>
      <c r="AB3524" s="117">
        <f>IF($B3524="","",IF(OR($D3524="",$E3524="",$O3524=""),"EKSİK",IF($O3524&lt;=0,"SIFIR/NEGATİF",IF(COUNTIFS($C$6:$C$5000,$C3524,$O$6:$O$5000,$O3524,$B$6:$B$5000,$B3524)&gt;1,"MÜKERRER","OK"))))</f>
        <v/>
      </c>
    </row>
    <row r="3525" ht="16.5" customHeight="1" s="80">
      <c r="A3525" s="113" t="n"/>
      <c r="B3525" s="113" t="n"/>
      <c r="C3525" s="113" t="n"/>
      <c r="D3525" s="113" t="n"/>
      <c r="E3525" s="113" t="n"/>
      <c r="F3525" s="113" t="n"/>
      <c r="G3525" s="113" t="n"/>
      <c r="H3525" s="113" t="n"/>
      <c r="I3525" s="113" t="n"/>
      <c r="J3525" s="113" t="n"/>
      <c r="K3525" s="113" t="n"/>
      <c r="L3525" s="113" t="n"/>
      <c r="M3525" s="113" t="n"/>
      <c r="N3525" s="113" t="n"/>
      <c r="O3525" s="113" t="n"/>
      <c r="P3525" s="113" t="n"/>
      <c r="Q3525" s="113" t="n"/>
      <c r="R3525" s="113" t="n"/>
      <c r="S3525" s="113" t="n"/>
      <c r="T3525" s="113" t="n"/>
      <c r="U3525" s="113" t="n"/>
      <c r="V3525" s="113" t="n"/>
      <c r="W3525" s="113" t="n"/>
      <c r="X3525" s="113" t="n"/>
      <c r="Y3525" s="113" t="n"/>
      <c r="Z3525" s="117">
        <f>IF($B3525="",0,IF($S3525="EVET",IF($D3525="GELİR",$O3525,-$O3525),0))</f>
        <v/>
      </c>
      <c r="AA3525" s="117">
        <f>IF($B3525="",0,IF(OR($W3525="EVET",$X3525="EVET",$Y3525="EVET"),0,IF($D3525="GELİR",IF($E3525="SATIŞ İADESİ/İSKONTO",-$O3525,$O3525),-$O3525)))</f>
        <v/>
      </c>
      <c r="AB3525" s="117">
        <f>IF($B3525="","",IF(OR($D3525="",$E3525="",$O3525=""),"EKSİK",IF($O3525&lt;=0,"SIFIR/NEGATİF",IF(COUNTIFS($C$6:$C$5000,$C3525,$O$6:$O$5000,$O3525,$B$6:$B$5000,$B3525)&gt;1,"MÜKERRER","OK"))))</f>
        <v/>
      </c>
    </row>
    <row r="3526" ht="16.5" customHeight="1" s="80">
      <c r="A3526" s="113" t="n"/>
      <c r="B3526" s="113" t="n"/>
      <c r="C3526" s="113" t="n"/>
      <c r="D3526" s="113" t="n"/>
      <c r="E3526" s="113" t="n"/>
      <c r="F3526" s="113" t="n"/>
      <c r="G3526" s="113" t="n"/>
      <c r="H3526" s="113" t="n"/>
      <c r="I3526" s="113" t="n"/>
      <c r="J3526" s="113" t="n"/>
      <c r="K3526" s="113" t="n"/>
      <c r="L3526" s="113" t="n"/>
      <c r="M3526" s="113" t="n"/>
      <c r="N3526" s="113" t="n"/>
      <c r="O3526" s="113" t="n"/>
      <c r="P3526" s="113" t="n"/>
      <c r="Q3526" s="113" t="n"/>
      <c r="R3526" s="113" t="n"/>
      <c r="S3526" s="113" t="n"/>
      <c r="T3526" s="113" t="n"/>
      <c r="U3526" s="113" t="n"/>
      <c r="V3526" s="113" t="n"/>
      <c r="W3526" s="113" t="n"/>
      <c r="X3526" s="113" t="n"/>
      <c r="Y3526" s="113" t="n"/>
      <c r="Z3526" s="117">
        <f>IF($B3526="",0,IF($S3526="EVET",IF($D3526="GELİR",$O3526,-$O3526),0))</f>
        <v/>
      </c>
      <c r="AA3526" s="117">
        <f>IF($B3526="",0,IF(OR($W3526="EVET",$X3526="EVET",$Y3526="EVET"),0,IF($D3526="GELİR",IF($E3526="SATIŞ İADESİ/İSKONTO",-$O3526,$O3526),-$O3526)))</f>
        <v/>
      </c>
      <c r="AB3526" s="117">
        <f>IF($B3526="","",IF(OR($D3526="",$E3526="",$O3526=""),"EKSİK",IF($O3526&lt;=0,"SIFIR/NEGATİF",IF(COUNTIFS($C$6:$C$5000,$C3526,$O$6:$O$5000,$O3526,$B$6:$B$5000,$B3526)&gt;1,"MÜKERRER","OK"))))</f>
        <v/>
      </c>
    </row>
    <row r="3527" ht="16.5" customHeight="1" s="80">
      <c r="A3527" s="113" t="n"/>
      <c r="B3527" s="113" t="n"/>
      <c r="C3527" s="113" t="n"/>
      <c r="D3527" s="113" t="n"/>
      <c r="E3527" s="113" t="n"/>
      <c r="F3527" s="113" t="n"/>
      <c r="G3527" s="113" t="n"/>
      <c r="H3527" s="113" t="n"/>
      <c r="I3527" s="113" t="n"/>
      <c r="J3527" s="113" t="n"/>
      <c r="K3527" s="113" t="n"/>
      <c r="L3527" s="113" t="n"/>
      <c r="M3527" s="113" t="n"/>
      <c r="N3527" s="113" t="n"/>
      <c r="O3527" s="113" t="n"/>
      <c r="P3527" s="113" t="n"/>
      <c r="Q3527" s="113" t="n"/>
      <c r="R3527" s="113" t="n"/>
      <c r="S3527" s="113" t="n"/>
      <c r="T3527" s="113" t="n"/>
      <c r="U3527" s="113" t="n"/>
      <c r="V3527" s="113" t="n"/>
      <c r="W3527" s="113" t="n"/>
      <c r="X3527" s="113" t="n"/>
      <c r="Y3527" s="113" t="n"/>
      <c r="Z3527" s="117">
        <f>IF($B3527="",0,IF($S3527="EVET",IF($D3527="GELİR",$O3527,-$O3527),0))</f>
        <v/>
      </c>
      <c r="AA3527" s="117">
        <f>IF($B3527="",0,IF(OR($W3527="EVET",$X3527="EVET",$Y3527="EVET"),0,IF($D3527="GELİR",IF($E3527="SATIŞ İADESİ/İSKONTO",-$O3527,$O3527),-$O3527)))</f>
        <v/>
      </c>
      <c r="AB3527" s="117">
        <f>IF($B3527="","",IF(OR($D3527="",$E3527="",$O3527=""),"EKSİK",IF($O3527&lt;=0,"SIFIR/NEGATİF",IF(COUNTIFS($C$6:$C$5000,$C3527,$O$6:$O$5000,$O3527,$B$6:$B$5000,$B3527)&gt;1,"MÜKERRER","OK"))))</f>
        <v/>
      </c>
    </row>
    <row r="3528" ht="16.5" customHeight="1" s="80">
      <c r="A3528" s="113" t="n"/>
      <c r="B3528" s="113" t="n"/>
      <c r="C3528" s="113" t="n"/>
      <c r="D3528" s="113" t="n"/>
      <c r="E3528" s="113" t="n"/>
      <c r="F3528" s="113" t="n"/>
      <c r="G3528" s="113" t="n"/>
      <c r="H3528" s="113" t="n"/>
      <c r="I3528" s="113" t="n"/>
      <c r="J3528" s="113" t="n"/>
      <c r="K3528" s="113" t="n"/>
      <c r="L3528" s="113" t="n"/>
      <c r="M3528" s="113" t="n"/>
      <c r="N3528" s="113" t="n"/>
      <c r="O3528" s="113" t="n"/>
      <c r="P3528" s="113" t="n"/>
      <c r="Q3528" s="113" t="n"/>
      <c r="R3528" s="113" t="n"/>
      <c r="S3528" s="113" t="n"/>
      <c r="T3528" s="113" t="n"/>
      <c r="U3528" s="113" t="n"/>
      <c r="V3528" s="113" t="n"/>
      <c r="W3528" s="113" t="n"/>
      <c r="X3528" s="113" t="n"/>
      <c r="Y3528" s="113" t="n"/>
      <c r="Z3528" s="117">
        <f>IF($B3528="",0,IF($S3528="EVET",IF($D3528="GELİR",$O3528,-$O3528),0))</f>
        <v/>
      </c>
      <c r="AA3528" s="117">
        <f>IF($B3528="",0,IF(OR($W3528="EVET",$X3528="EVET",$Y3528="EVET"),0,IF($D3528="GELİR",IF($E3528="SATIŞ İADESİ/İSKONTO",-$O3528,$O3528),-$O3528)))</f>
        <v/>
      </c>
      <c r="AB3528" s="117">
        <f>IF($B3528="","",IF(OR($D3528="",$E3528="",$O3528=""),"EKSİK",IF($O3528&lt;=0,"SIFIR/NEGATİF",IF(COUNTIFS($C$6:$C$5000,$C3528,$O$6:$O$5000,$O3528,$B$6:$B$5000,$B3528)&gt;1,"MÜKERRER","OK"))))</f>
        <v/>
      </c>
    </row>
    <row r="3529" ht="16.5" customHeight="1" s="80">
      <c r="A3529" s="113" t="n"/>
      <c r="B3529" s="113" t="n"/>
      <c r="C3529" s="113" t="n"/>
      <c r="D3529" s="113" t="n"/>
      <c r="E3529" s="113" t="n"/>
      <c r="F3529" s="113" t="n"/>
      <c r="G3529" s="113" t="n"/>
      <c r="H3529" s="113" t="n"/>
      <c r="I3529" s="113" t="n"/>
      <c r="J3529" s="113" t="n"/>
      <c r="K3529" s="113" t="n"/>
      <c r="L3529" s="113" t="n"/>
      <c r="M3529" s="113" t="n"/>
      <c r="N3529" s="113" t="n"/>
      <c r="O3529" s="113" t="n"/>
      <c r="P3529" s="113" t="n"/>
      <c r="Q3529" s="113" t="n"/>
      <c r="R3529" s="113" t="n"/>
      <c r="S3529" s="113" t="n"/>
      <c r="T3529" s="113" t="n"/>
      <c r="U3529" s="113" t="n"/>
      <c r="V3529" s="113" t="n"/>
      <c r="W3529" s="113" t="n"/>
      <c r="X3529" s="113" t="n"/>
      <c r="Y3529" s="113" t="n"/>
      <c r="Z3529" s="117">
        <f>IF($B3529="",0,IF($S3529="EVET",IF($D3529="GELİR",$O3529,-$O3529),0))</f>
        <v/>
      </c>
      <c r="AA3529" s="117">
        <f>IF($B3529="",0,IF(OR($W3529="EVET",$X3529="EVET",$Y3529="EVET"),0,IF($D3529="GELİR",IF($E3529="SATIŞ İADESİ/İSKONTO",-$O3529,$O3529),-$O3529)))</f>
        <v/>
      </c>
      <c r="AB3529" s="117">
        <f>IF($B3529="","",IF(OR($D3529="",$E3529="",$O3529=""),"EKSİK",IF($O3529&lt;=0,"SIFIR/NEGATİF",IF(COUNTIFS($C$6:$C$5000,$C3529,$O$6:$O$5000,$O3529,$B$6:$B$5000,$B3529)&gt;1,"MÜKERRER","OK"))))</f>
        <v/>
      </c>
    </row>
    <row r="3530" ht="16.5" customHeight="1" s="80">
      <c r="A3530" s="113" t="n"/>
      <c r="B3530" s="113" t="n"/>
      <c r="C3530" s="113" t="n"/>
      <c r="D3530" s="113" t="n"/>
      <c r="E3530" s="113" t="n"/>
      <c r="F3530" s="113" t="n"/>
      <c r="G3530" s="113" t="n"/>
      <c r="H3530" s="113" t="n"/>
      <c r="I3530" s="113" t="n"/>
      <c r="J3530" s="113" t="n"/>
      <c r="K3530" s="113" t="n"/>
      <c r="L3530" s="113" t="n"/>
      <c r="M3530" s="113" t="n"/>
      <c r="N3530" s="113" t="n"/>
      <c r="O3530" s="113" t="n"/>
      <c r="P3530" s="113" t="n"/>
      <c r="Q3530" s="113" t="n"/>
      <c r="R3530" s="113" t="n"/>
      <c r="S3530" s="113" t="n"/>
      <c r="T3530" s="113" t="n"/>
      <c r="U3530" s="113" t="n"/>
      <c r="V3530" s="113" t="n"/>
      <c r="W3530" s="113" t="n"/>
      <c r="X3530" s="113" t="n"/>
      <c r="Y3530" s="113" t="n"/>
      <c r="Z3530" s="117">
        <f>IF($B3530="",0,IF($S3530="EVET",IF($D3530="GELİR",$O3530,-$O3530),0))</f>
        <v/>
      </c>
      <c r="AA3530" s="117">
        <f>IF($B3530="",0,IF(OR($W3530="EVET",$X3530="EVET",$Y3530="EVET"),0,IF($D3530="GELİR",IF($E3530="SATIŞ İADESİ/İSKONTO",-$O3530,$O3530),-$O3530)))</f>
        <v/>
      </c>
      <c r="AB3530" s="117">
        <f>IF($B3530="","",IF(OR($D3530="",$E3530="",$O3530=""),"EKSİK",IF($O3530&lt;=0,"SIFIR/NEGATİF",IF(COUNTIFS($C$6:$C$5000,$C3530,$O$6:$O$5000,$O3530,$B$6:$B$5000,$B3530)&gt;1,"MÜKERRER","OK"))))</f>
        <v/>
      </c>
    </row>
    <row r="3531" ht="16.5" customHeight="1" s="80">
      <c r="A3531" s="113" t="n"/>
      <c r="B3531" s="113" t="n"/>
      <c r="C3531" s="113" t="n"/>
      <c r="D3531" s="113" t="n"/>
      <c r="E3531" s="113" t="n"/>
      <c r="F3531" s="113" t="n"/>
      <c r="G3531" s="113" t="n"/>
      <c r="H3531" s="113" t="n"/>
      <c r="I3531" s="113" t="n"/>
      <c r="J3531" s="113" t="n"/>
      <c r="K3531" s="113" t="n"/>
      <c r="L3531" s="113" t="n"/>
      <c r="M3531" s="113" t="n"/>
      <c r="N3531" s="113" t="n"/>
      <c r="O3531" s="113" t="n"/>
      <c r="P3531" s="113" t="n"/>
      <c r="Q3531" s="113" t="n"/>
      <c r="R3531" s="113" t="n"/>
      <c r="S3531" s="113" t="n"/>
      <c r="T3531" s="113" t="n"/>
      <c r="U3531" s="113" t="n"/>
      <c r="V3531" s="113" t="n"/>
      <c r="W3531" s="113" t="n"/>
      <c r="X3531" s="113" t="n"/>
      <c r="Y3531" s="113" t="n"/>
      <c r="Z3531" s="117">
        <f>IF($B3531="",0,IF($S3531="EVET",IF($D3531="GELİR",$O3531,-$O3531),0))</f>
        <v/>
      </c>
      <c r="AA3531" s="117">
        <f>IF($B3531="",0,IF(OR($W3531="EVET",$X3531="EVET",$Y3531="EVET"),0,IF($D3531="GELİR",IF($E3531="SATIŞ İADESİ/İSKONTO",-$O3531,$O3531),-$O3531)))</f>
        <v/>
      </c>
      <c r="AB3531" s="117">
        <f>IF($B3531="","",IF(OR($D3531="",$E3531="",$O3531=""),"EKSİK",IF($O3531&lt;=0,"SIFIR/NEGATİF",IF(COUNTIFS($C$6:$C$5000,$C3531,$O$6:$O$5000,$O3531,$B$6:$B$5000,$B3531)&gt;1,"MÜKERRER","OK"))))</f>
        <v/>
      </c>
    </row>
    <row r="3532" ht="16.5" customHeight="1" s="80">
      <c r="A3532" s="113" t="n"/>
      <c r="B3532" s="113" t="n"/>
      <c r="C3532" s="113" t="n"/>
      <c r="D3532" s="113" t="n"/>
      <c r="E3532" s="113" t="n"/>
      <c r="F3532" s="113" t="n"/>
      <c r="G3532" s="113" t="n"/>
      <c r="H3532" s="113" t="n"/>
      <c r="I3532" s="113" t="n"/>
      <c r="J3532" s="113" t="n"/>
      <c r="K3532" s="113" t="n"/>
      <c r="L3532" s="113" t="n"/>
      <c r="M3532" s="113" t="n"/>
      <c r="N3532" s="113" t="n"/>
      <c r="O3532" s="113" t="n"/>
      <c r="P3532" s="113" t="n"/>
      <c r="Q3532" s="113" t="n"/>
      <c r="R3532" s="113" t="n"/>
      <c r="S3532" s="113" t="n"/>
      <c r="T3532" s="113" t="n"/>
      <c r="U3532" s="113" t="n"/>
      <c r="V3532" s="113" t="n"/>
      <c r="W3532" s="113" t="n"/>
      <c r="X3532" s="113" t="n"/>
      <c r="Y3532" s="113" t="n"/>
      <c r="Z3532" s="117">
        <f>IF($B3532="",0,IF($S3532="EVET",IF($D3532="GELİR",$O3532,-$O3532),0))</f>
        <v/>
      </c>
      <c r="AA3532" s="117">
        <f>IF($B3532="",0,IF(OR($W3532="EVET",$X3532="EVET",$Y3532="EVET"),0,IF($D3532="GELİR",IF($E3532="SATIŞ İADESİ/İSKONTO",-$O3532,$O3532),-$O3532)))</f>
        <v/>
      </c>
      <c r="AB3532" s="117">
        <f>IF($B3532="","",IF(OR($D3532="",$E3532="",$O3532=""),"EKSİK",IF($O3532&lt;=0,"SIFIR/NEGATİF",IF(COUNTIFS($C$6:$C$5000,$C3532,$O$6:$O$5000,$O3532,$B$6:$B$5000,$B3532)&gt;1,"MÜKERRER","OK"))))</f>
        <v/>
      </c>
    </row>
    <row r="3533" ht="16.5" customHeight="1" s="80">
      <c r="A3533" s="113" t="n"/>
      <c r="B3533" s="113" t="n"/>
      <c r="C3533" s="113" t="n"/>
      <c r="D3533" s="113" t="n"/>
      <c r="E3533" s="113" t="n"/>
      <c r="F3533" s="113" t="n"/>
      <c r="G3533" s="113" t="n"/>
      <c r="H3533" s="113" t="n"/>
      <c r="I3533" s="113" t="n"/>
      <c r="J3533" s="113" t="n"/>
      <c r="K3533" s="113" t="n"/>
      <c r="L3533" s="113" t="n"/>
      <c r="M3533" s="113" t="n"/>
      <c r="N3533" s="113" t="n"/>
      <c r="O3533" s="113" t="n"/>
      <c r="P3533" s="113" t="n"/>
      <c r="Q3533" s="113" t="n"/>
      <c r="R3533" s="113" t="n"/>
      <c r="S3533" s="113" t="n"/>
      <c r="T3533" s="113" t="n"/>
      <c r="U3533" s="113" t="n"/>
      <c r="V3533" s="113" t="n"/>
      <c r="W3533" s="113" t="n"/>
      <c r="X3533" s="113" t="n"/>
      <c r="Y3533" s="113" t="n"/>
      <c r="Z3533" s="117">
        <f>IF($B3533="",0,IF($S3533="EVET",IF($D3533="GELİR",$O3533,-$O3533),0))</f>
        <v/>
      </c>
      <c r="AA3533" s="117">
        <f>IF($B3533="",0,IF(OR($W3533="EVET",$X3533="EVET",$Y3533="EVET"),0,IF($D3533="GELİR",IF($E3533="SATIŞ İADESİ/İSKONTO",-$O3533,$O3533),-$O3533)))</f>
        <v/>
      </c>
      <c r="AB3533" s="117">
        <f>IF($B3533="","",IF(OR($D3533="",$E3533="",$O3533=""),"EKSİK",IF($O3533&lt;=0,"SIFIR/NEGATİF",IF(COUNTIFS($C$6:$C$5000,$C3533,$O$6:$O$5000,$O3533,$B$6:$B$5000,$B3533)&gt;1,"MÜKERRER","OK"))))</f>
        <v/>
      </c>
    </row>
    <row r="3534" ht="16.5" customHeight="1" s="80">
      <c r="A3534" s="113" t="n"/>
      <c r="B3534" s="113" t="n"/>
      <c r="C3534" s="113" t="n"/>
      <c r="D3534" s="113" t="n"/>
      <c r="E3534" s="113" t="n"/>
      <c r="F3534" s="113" t="n"/>
      <c r="G3534" s="113" t="n"/>
      <c r="H3534" s="113" t="n"/>
      <c r="I3534" s="113" t="n"/>
      <c r="J3534" s="113" t="n"/>
      <c r="K3534" s="113" t="n"/>
      <c r="L3534" s="113" t="n"/>
      <c r="M3534" s="113" t="n"/>
      <c r="N3534" s="113" t="n"/>
      <c r="O3534" s="113" t="n"/>
      <c r="P3534" s="113" t="n"/>
      <c r="Q3534" s="113" t="n"/>
      <c r="R3534" s="113" t="n"/>
      <c r="S3534" s="113" t="n"/>
      <c r="T3534" s="113" t="n"/>
      <c r="U3534" s="113" t="n"/>
      <c r="V3534" s="113" t="n"/>
      <c r="W3534" s="113" t="n"/>
      <c r="X3534" s="113" t="n"/>
      <c r="Y3534" s="113" t="n"/>
      <c r="Z3534" s="117">
        <f>IF($B3534="",0,IF($S3534="EVET",IF($D3534="GELİR",$O3534,-$O3534),0))</f>
        <v/>
      </c>
      <c r="AA3534" s="117">
        <f>IF($B3534="",0,IF(OR($W3534="EVET",$X3534="EVET",$Y3534="EVET"),0,IF($D3534="GELİR",IF($E3534="SATIŞ İADESİ/İSKONTO",-$O3534,$O3534),-$O3534)))</f>
        <v/>
      </c>
      <c r="AB3534" s="117">
        <f>IF($B3534="","",IF(OR($D3534="",$E3534="",$O3534=""),"EKSİK",IF($O3534&lt;=0,"SIFIR/NEGATİF",IF(COUNTIFS($C$6:$C$5000,$C3534,$O$6:$O$5000,$O3534,$B$6:$B$5000,$B3534)&gt;1,"MÜKERRER","OK"))))</f>
        <v/>
      </c>
    </row>
    <row r="3535" ht="16.5" customHeight="1" s="80">
      <c r="A3535" s="113" t="n"/>
      <c r="B3535" s="113" t="n"/>
      <c r="C3535" s="113" t="n"/>
      <c r="D3535" s="113" t="n"/>
      <c r="E3535" s="113" t="n"/>
      <c r="F3535" s="113" t="n"/>
      <c r="G3535" s="113" t="n"/>
      <c r="H3535" s="113" t="n"/>
      <c r="I3535" s="113" t="n"/>
      <c r="J3535" s="113" t="n"/>
      <c r="K3535" s="113" t="n"/>
      <c r="L3535" s="113" t="n"/>
      <c r="M3535" s="113" t="n"/>
      <c r="N3535" s="113" t="n"/>
      <c r="O3535" s="113" t="n"/>
      <c r="P3535" s="113" t="n"/>
      <c r="Q3535" s="113" t="n"/>
      <c r="R3535" s="113" t="n"/>
      <c r="S3535" s="113" t="n"/>
      <c r="T3535" s="113" t="n"/>
      <c r="U3535" s="113" t="n"/>
      <c r="V3535" s="113" t="n"/>
      <c r="W3535" s="113" t="n"/>
      <c r="X3535" s="113" t="n"/>
      <c r="Y3535" s="113" t="n"/>
      <c r="Z3535" s="117">
        <f>IF($B3535="",0,IF($S3535="EVET",IF($D3535="GELİR",$O3535,-$O3535),0))</f>
        <v/>
      </c>
      <c r="AA3535" s="117">
        <f>IF($B3535="",0,IF(OR($W3535="EVET",$X3535="EVET",$Y3535="EVET"),0,IF($D3535="GELİR",IF($E3535="SATIŞ İADESİ/İSKONTO",-$O3535,$O3535),-$O3535)))</f>
        <v/>
      </c>
      <c r="AB3535" s="117">
        <f>IF($B3535="","",IF(OR($D3535="",$E3535="",$O3535=""),"EKSİK",IF($O3535&lt;=0,"SIFIR/NEGATİF",IF(COUNTIFS($C$6:$C$5000,$C3535,$O$6:$O$5000,$O3535,$B$6:$B$5000,$B3535)&gt;1,"MÜKERRER","OK"))))</f>
        <v/>
      </c>
    </row>
    <row r="3536" ht="16.5" customHeight="1" s="80">
      <c r="A3536" s="113" t="n"/>
      <c r="B3536" s="113" t="n"/>
      <c r="C3536" s="113" t="n"/>
      <c r="D3536" s="113" t="n"/>
      <c r="E3536" s="113" t="n"/>
      <c r="F3536" s="113" t="n"/>
      <c r="G3536" s="113" t="n"/>
      <c r="H3536" s="113" t="n"/>
      <c r="I3536" s="113" t="n"/>
      <c r="J3536" s="113" t="n"/>
      <c r="K3536" s="113" t="n"/>
      <c r="L3536" s="113" t="n"/>
      <c r="M3536" s="113" t="n"/>
      <c r="N3536" s="113" t="n"/>
      <c r="O3536" s="113" t="n"/>
      <c r="P3536" s="113" t="n"/>
      <c r="Q3536" s="113" t="n"/>
      <c r="R3536" s="113" t="n"/>
      <c r="S3536" s="113" t="n"/>
      <c r="T3536" s="113" t="n"/>
      <c r="U3536" s="113" t="n"/>
      <c r="V3536" s="113" t="n"/>
      <c r="W3536" s="113" t="n"/>
      <c r="X3536" s="113" t="n"/>
      <c r="Y3536" s="113" t="n"/>
      <c r="Z3536" s="117">
        <f>IF($B3536="",0,IF($S3536="EVET",IF($D3536="GELİR",$O3536,-$O3536),0))</f>
        <v/>
      </c>
      <c r="AA3536" s="117">
        <f>IF($B3536="",0,IF(OR($W3536="EVET",$X3536="EVET",$Y3536="EVET"),0,IF($D3536="GELİR",IF($E3536="SATIŞ İADESİ/İSKONTO",-$O3536,$O3536),-$O3536)))</f>
        <v/>
      </c>
      <c r="AB3536" s="117">
        <f>IF($B3536="","",IF(OR($D3536="",$E3536="",$O3536=""),"EKSİK",IF($O3536&lt;=0,"SIFIR/NEGATİF",IF(COUNTIFS($C$6:$C$5000,$C3536,$O$6:$O$5000,$O3536,$B$6:$B$5000,$B3536)&gt;1,"MÜKERRER","OK"))))</f>
        <v/>
      </c>
    </row>
    <row r="3537" ht="16.5" customHeight="1" s="80">
      <c r="A3537" s="113" t="n"/>
      <c r="B3537" s="113" t="n"/>
      <c r="C3537" s="113" t="n"/>
      <c r="D3537" s="113" t="n"/>
      <c r="E3537" s="113" t="n"/>
      <c r="F3537" s="113" t="n"/>
      <c r="G3537" s="113" t="n"/>
      <c r="H3537" s="113" t="n"/>
      <c r="I3537" s="113" t="n"/>
      <c r="J3537" s="113" t="n"/>
      <c r="K3537" s="113" t="n"/>
      <c r="L3537" s="113" t="n"/>
      <c r="M3537" s="113" t="n"/>
      <c r="N3537" s="113" t="n"/>
      <c r="O3537" s="113" t="n"/>
      <c r="P3537" s="113" t="n"/>
      <c r="Q3537" s="113" t="n"/>
      <c r="R3537" s="113" t="n"/>
      <c r="S3537" s="113" t="n"/>
      <c r="T3537" s="113" t="n"/>
      <c r="U3537" s="113" t="n"/>
      <c r="V3537" s="113" t="n"/>
      <c r="W3537" s="113" t="n"/>
      <c r="X3537" s="113" t="n"/>
      <c r="Y3537" s="113" t="n"/>
      <c r="Z3537" s="117">
        <f>IF($B3537="",0,IF($S3537="EVET",IF($D3537="GELİR",$O3537,-$O3537),0))</f>
        <v/>
      </c>
      <c r="AA3537" s="117">
        <f>IF($B3537="",0,IF(OR($W3537="EVET",$X3537="EVET",$Y3537="EVET"),0,IF($D3537="GELİR",IF($E3537="SATIŞ İADESİ/İSKONTO",-$O3537,$O3537),-$O3537)))</f>
        <v/>
      </c>
      <c r="AB3537" s="117">
        <f>IF($B3537="","",IF(OR($D3537="",$E3537="",$O3537=""),"EKSİK",IF($O3537&lt;=0,"SIFIR/NEGATİF",IF(COUNTIFS($C$6:$C$5000,$C3537,$O$6:$O$5000,$O3537,$B$6:$B$5000,$B3537)&gt;1,"MÜKERRER","OK"))))</f>
        <v/>
      </c>
    </row>
    <row r="3538" ht="16.5" customHeight="1" s="80">
      <c r="A3538" s="113" t="n"/>
      <c r="B3538" s="113" t="n"/>
      <c r="C3538" s="113" t="n"/>
      <c r="D3538" s="113" t="n"/>
      <c r="E3538" s="113" t="n"/>
      <c r="F3538" s="113" t="n"/>
      <c r="G3538" s="113" t="n"/>
      <c r="H3538" s="113" t="n"/>
      <c r="I3538" s="113" t="n"/>
      <c r="J3538" s="113" t="n"/>
      <c r="K3538" s="113" t="n"/>
      <c r="L3538" s="113" t="n"/>
      <c r="M3538" s="113" t="n"/>
      <c r="N3538" s="113" t="n"/>
      <c r="O3538" s="113" t="n"/>
      <c r="P3538" s="113" t="n"/>
      <c r="Q3538" s="113" t="n"/>
      <c r="R3538" s="113" t="n"/>
      <c r="S3538" s="113" t="n"/>
      <c r="T3538" s="113" t="n"/>
      <c r="U3538" s="113" t="n"/>
      <c r="V3538" s="113" t="n"/>
      <c r="W3538" s="113" t="n"/>
      <c r="X3538" s="113" t="n"/>
      <c r="Y3538" s="113" t="n"/>
      <c r="Z3538" s="117">
        <f>IF($B3538="",0,IF($S3538="EVET",IF($D3538="GELİR",$O3538,-$O3538),0))</f>
        <v/>
      </c>
      <c r="AA3538" s="117">
        <f>IF($B3538="",0,IF(OR($W3538="EVET",$X3538="EVET",$Y3538="EVET"),0,IF($D3538="GELİR",IF($E3538="SATIŞ İADESİ/İSKONTO",-$O3538,$O3538),-$O3538)))</f>
        <v/>
      </c>
      <c r="AB3538" s="117">
        <f>IF($B3538="","",IF(OR($D3538="",$E3538="",$O3538=""),"EKSİK",IF($O3538&lt;=0,"SIFIR/NEGATİF",IF(COUNTIFS($C$6:$C$5000,$C3538,$O$6:$O$5000,$O3538,$B$6:$B$5000,$B3538)&gt;1,"MÜKERRER","OK"))))</f>
        <v/>
      </c>
    </row>
    <row r="3539" ht="16.5" customHeight="1" s="80">
      <c r="A3539" s="113" t="n"/>
      <c r="B3539" s="113" t="n"/>
      <c r="C3539" s="113" t="n"/>
      <c r="D3539" s="113" t="n"/>
      <c r="E3539" s="113" t="n"/>
      <c r="F3539" s="113" t="n"/>
      <c r="G3539" s="113" t="n"/>
      <c r="H3539" s="113" t="n"/>
      <c r="I3539" s="113" t="n"/>
      <c r="J3539" s="113" t="n"/>
      <c r="K3539" s="113" t="n"/>
      <c r="L3539" s="113" t="n"/>
      <c r="M3539" s="113" t="n"/>
      <c r="N3539" s="113" t="n"/>
      <c r="O3539" s="113" t="n"/>
      <c r="P3539" s="113" t="n"/>
      <c r="Q3539" s="113" t="n"/>
      <c r="R3539" s="113" t="n"/>
      <c r="S3539" s="113" t="n"/>
      <c r="T3539" s="113" t="n"/>
      <c r="U3539" s="113" t="n"/>
      <c r="V3539" s="113" t="n"/>
      <c r="W3539" s="113" t="n"/>
      <c r="X3539" s="113" t="n"/>
      <c r="Y3539" s="113" t="n"/>
      <c r="Z3539" s="117">
        <f>IF($B3539="",0,IF($S3539="EVET",IF($D3539="GELİR",$O3539,-$O3539),0))</f>
        <v/>
      </c>
      <c r="AA3539" s="117">
        <f>IF($B3539="",0,IF(OR($W3539="EVET",$X3539="EVET",$Y3539="EVET"),0,IF($D3539="GELİR",IF($E3539="SATIŞ İADESİ/İSKONTO",-$O3539,$O3539),-$O3539)))</f>
        <v/>
      </c>
      <c r="AB3539" s="117">
        <f>IF($B3539="","",IF(OR($D3539="",$E3539="",$O3539=""),"EKSİK",IF($O3539&lt;=0,"SIFIR/NEGATİF",IF(COUNTIFS($C$6:$C$5000,$C3539,$O$6:$O$5000,$O3539,$B$6:$B$5000,$B3539)&gt;1,"MÜKERRER","OK"))))</f>
        <v/>
      </c>
    </row>
    <row r="3540" ht="16.5" customHeight="1" s="80">
      <c r="A3540" s="113" t="n"/>
      <c r="B3540" s="113" t="n"/>
      <c r="C3540" s="113" t="n"/>
      <c r="D3540" s="113" t="n"/>
      <c r="E3540" s="113" t="n"/>
      <c r="F3540" s="113" t="n"/>
      <c r="G3540" s="113" t="n"/>
      <c r="H3540" s="113" t="n"/>
      <c r="I3540" s="113" t="n"/>
      <c r="J3540" s="113" t="n"/>
      <c r="K3540" s="113" t="n"/>
      <c r="L3540" s="113" t="n"/>
      <c r="M3540" s="113" t="n"/>
      <c r="N3540" s="113" t="n"/>
      <c r="O3540" s="113" t="n"/>
      <c r="P3540" s="113" t="n"/>
      <c r="Q3540" s="113" t="n"/>
      <c r="R3540" s="113" t="n"/>
      <c r="S3540" s="113" t="n"/>
      <c r="T3540" s="113" t="n"/>
      <c r="U3540" s="113" t="n"/>
      <c r="V3540" s="113" t="n"/>
      <c r="W3540" s="113" t="n"/>
      <c r="X3540" s="113" t="n"/>
      <c r="Y3540" s="113" t="n"/>
      <c r="Z3540" s="117">
        <f>IF($B3540="",0,IF($S3540="EVET",IF($D3540="GELİR",$O3540,-$O3540),0))</f>
        <v/>
      </c>
      <c r="AA3540" s="117">
        <f>IF($B3540="",0,IF(OR($W3540="EVET",$X3540="EVET",$Y3540="EVET"),0,IF($D3540="GELİR",IF($E3540="SATIŞ İADESİ/İSKONTO",-$O3540,$O3540),-$O3540)))</f>
        <v/>
      </c>
      <c r="AB3540" s="117">
        <f>IF($B3540="","",IF(OR($D3540="",$E3540="",$O3540=""),"EKSİK",IF($O3540&lt;=0,"SIFIR/NEGATİF",IF(COUNTIFS($C$6:$C$5000,$C3540,$O$6:$O$5000,$O3540,$B$6:$B$5000,$B3540)&gt;1,"MÜKERRER","OK"))))</f>
        <v/>
      </c>
    </row>
    <row r="3541" ht="16.5" customHeight="1" s="80">
      <c r="A3541" s="113" t="n"/>
      <c r="B3541" s="113" t="n"/>
      <c r="C3541" s="113" t="n"/>
      <c r="D3541" s="113" t="n"/>
      <c r="E3541" s="113" t="n"/>
      <c r="F3541" s="113" t="n"/>
      <c r="G3541" s="113" t="n"/>
      <c r="H3541" s="113" t="n"/>
      <c r="I3541" s="113" t="n"/>
      <c r="J3541" s="113" t="n"/>
      <c r="K3541" s="113" t="n"/>
      <c r="L3541" s="113" t="n"/>
      <c r="M3541" s="113" t="n"/>
      <c r="N3541" s="113" t="n"/>
      <c r="O3541" s="113" t="n"/>
      <c r="P3541" s="113" t="n"/>
      <c r="Q3541" s="113" t="n"/>
      <c r="R3541" s="113" t="n"/>
      <c r="S3541" s="113" t="n"/>
      <c r="T3541" s="113" t="n"/>
      <c r="U3541" s="113" t="n"/>
      <c r="V3541" s="113" t="n"/>
      <c r="W3541" s="113" t="n"/>
      <c r="X3541" s="113" t="n"/>
      <c r="Y3541" s="113" t="n"/>
      <c r="Z3541" s="117">
        <f>IF($B3541="",0,IF($S3541="EVET",IF($D3541="GELİR",$O3541,-$O3541),0))</f>
        <v/>
      </c>
      <c r="AA3541" s="117">
        <f>IF($B3541="",0,IF(OR($W3541="EVET",$X3541="EVET",$Y3541="EVET"),0,IF($D3541="GELİR",IF($E3541="SATIŞ İADESİ/İSKONTO",-$O3541,$O3541),-$O3541)))</f>
        <v/>
      </c>
      <c r="AB3541" s="117">
        <f>IF($B3541="","",IF(OR($D3541="",$E3541="",$O3541=""),"EKSİK",IF($O3541&lt;=0,"SIFIR/NEGATİF",IF(COUNTIFS($C$6:$C$5000,$C3541,$O$6:$O$5000,$O3541,$B$6:$B$5000,$B3541)&gt;1,"MÜKERRER","OK"))))</f>
        <v/>
      </c>
    </row>
    <row r="3542" ht="16.5" customHeight="1" s="80">
      <c r="A3542" s="113" t="n"/>
      <c r="B3542" s="113" t="n"/>
      <c r="C3542" s="113" t="n"/>
      <c r="D3542" s="113" t="n"/>
      <c r="E3542" s="113" t="n"/>
      <c r="F3542" s="113" t="n"/>
      <c r="G3542" s="113" t="n"/>
      <c r="H3542" s="113" t="n"/>
      <c r="I3542" s="113" t="n"/>
      <c r="J3542" s="113" t="n"/>
      <c r="K3542" s="113" t="n"/>
      <c r="L3542" s="113" t="n"/>
      <c r="M3542" s="113" t="n"/>
      <c r="N3542" s="113" t="n"/>
      <c r="O3542" s="113" t="n"/>
      <c r="P3542" s="113" t="n"/>
      <c r="Q3542" s="113" t="n"/>
      <c r="R3542" s="113" t="n"/>
      <c r="S3542" s="113" t="n"/>
      <c r="T3542" s="113" t="n"/>
      <c r="U3542" s="113" t="n"/>
      <c r="V3542" s="113" t="n"/>
      <c r="W3542" s="113" t="n"/>
      <c r="X3542" s="113" t="n"/>
      <c r="Y3542" s="113" t="n"/>
      <c r="Z3542" s="117">
        <f>IF($B3542="",0,IF($S3542="EVET",IF($D3542="GELİR",$O3542,-$O3542),0))</f>
        <v/>
      </c>
      <c r="AA3542" s="117">
        <f>IF($B3542="",0,IF(OR($W3542="EVET",$X3542="EVET",$Y3542="EVET"),0,IF($D3542="GELİR",IF($E3542="SATIŞ İADESİ/İSKONTO",-$O3542,$O3542),-$O3542)))</f>
        <v/>
      </c>
      <c r="AB3542" s="117">
        <f>IF($B3542="","",IF(OR($D3542="",$E3542="",$O3542=""),"EKSİK",IF($O3542&lt;=0,"SIFIR/NEGATİF",IF(COUNTIFS($C$6:$C$5000,$C3542,$O$6:$O$5000,$O3542,$B$6:$B$5000,$B3542)&gt;1,"MÜKERRER","OK"))))</f>
        <v/>
      </c>
    </row>
    <row r="3543" ht="16.5" customHeight="1" s="80">
      <c r="A3543" s="113" t="n"/>
      <c r="B3543" s="113" t="n"/>
      <c r="C3543" s="113" t="n"/>
      <c r="D3543" s="113" t="n"/>
      <c r="E3543" s="113" t="n"/>
      <c r="F3543" s="113" t="n"/>
      <c r="G3543" s="113" t="n"/>
      <c r="H3543" s="113" t="n"/>
      <c r="I3543" s="113" t="n"/>
      <c r="J3543" s="113" t="n"/>
      <c r="K3543" s="113" t="n"/>
      <c r="L3543" s="113" t="n"/>
      <c r="M3543" s="113" t="n"/>
      <c r="N3543" s="113" t="n"/>
      <c r="O3543" s="113" t="n"/>
      <c r="P3543" s="113" t="n"/>
      <c r="Q3543" s="113" t="n"/>
      <c r="R3543" s="113" t="n"/>
      <c r="S3543" s="113" t="n"/>
      <c r="T3543" s="113" t="n"/>
      <c r="U3543" s="113" t="n"/>
      <c r="V3543" s="113" t="n"/>
      <c r="W3543" s="113" t="n"/>
      <c r="X3543" s="113" t="n"/>
      <c r="Y3543" s="113" t="n"/>
      <c r="Z3543" s="117">
        <f>IF($B3543="",0,IF($S3543="EVET",IF($D3543="GELİR",$O3543,-$O3543),0))</f>
        <v/>
      </c>
      <c r="AA3543" s="117">
        <f>IF($B3543="",0,IF(OR($W3543="EVET",$X3543="EVET",$Y3543="EVET"),0,IF($D3543="GELİR",IF($E3543="SATIŞ İADESİ/İSKONTO",-$O3543,$O3543),-$O3543)))</f>
        <v/>
      </c>
      <c r="AB3543" s="117">
        <f>IF($B3543="","",IF(OR($D3543="",$E3543="",$O3543=""),"EKSİK",IF($O3543&lt;=0,"SIFIR/NEGATİF",IF(COUNTIFS($C$6:$C$5000,$C3543,$O$6:$O$5000,$O3543,$B$6:$B$5000,$B3543)&gt;1,"MÜKERRER","OK"))))</f>
        <v/>
      </c>
    </row>
    <row r="3544" ht="16.5" customHeight="1" s="80">
      <c r="A3544" s="113" t="n"/>
      <c r="B3544" s="113" t="n"/>
      <c r="C3544" s="113" t="n"/>
      <c r="D3544" s="113" t="n"/>
      <c r="E3544" s="113" t="n"/>
      <c r="F3544" s="113" t="n"/>
      <c r="G3544" s="113" t="n"/>
      <c r="H3544" s="113" t="n"/>
      <c r="I3544" s="113" t="n"/>
      <c r="J3544" s="113" t="n"/>
      <c r="K3544" s="113" t="n"/>
      <c r="L3544" s="113" t="n"/>
      <c r="M3544" s="113" t="n"/>
      <c r="N3544" s="113" t="n"/>
      <c r="O3544" s="113" t="n"/>
      <c r="P3544" s="113" t="n"/>
      <c r="Q3544" s="113" t="n"/>
      <c r="R3544" s="113" t="n"/>
      <c r="S3544" s="113" t="n"/>
      <c r="T3544" s="113" t="n"/>
      <c r="U3544" s="113" t="n"/>
      <c r="V3544" s="113" t="n"/>
      <c r="W3544" s="113" t="n"/>
      <c r="X3544" s="113" t="n"/>
      <c r="Y3544" s="113" t="n"/>
      <c r="Z3544" s="117">
        <f>IF($B3544="",0,IF($S3544="EVET",IF($D3544="GELİR",$O3544,-$O3544),0))</f>
        <v/>
      </c>
      <c r="AA3544" s="117">
        <f>IF($B3544="",0,IF(OR($W3544="EVET",$X3544="EVET",$Y3544="EVET"),0,IF($D3544="GELİR",IF($E3544="SATIŞ İADESİ/İSKONTO",-$O3544,$O3544),-$O3544)))</f>
        <v/>
      </c>
      <c r="AB3544" s="117">
        <f>IF($B3544="","",IF(OR($D3544="",$E3544="",$O3544=""),"EKSİK",IF($O3544&lt;=0,"SIFIR/NEGATİF",IF(COUNTIFS($C$6:$C$5000,$C3544,$O$6:$O$5000,$O3544,$B$6:$B$5000,$B3544)&gt;1,"MÜKERRER","OK"))))</f>
        <v/>
      </c>
    </row>
    <row r="3545" ht="16.5" customHeight="1" s="80">
      <c r="A3545" s="113" t="n"/>
      <c r="B3545" s="113" t="n"/>
      <c r="C3545" s="113" t="n"/>
      <c r="D3545" s="113" t="n"/>
      <c r="E3545" s="113" t="n"/>
      <c r="F3545" s="113" t="n"/>
      <c r="G3545" s="113" t="n"/>
      <c r="H3545" s="113" t="n"/>
      <c r="I3545" s="113" t="n"/>
      <c r="J3545" s="113" t="n"/>
      <c r="K3545" s="113" t="n"/>
      <c r="L3545" s="113" t="n"/>
      <c r="M3545" s="113" t="n"/>
      <c r="N3545" s="113" t="n"/>
      <c r="O3545" s="113" t="n"/>
      <c r="P3545" s="113" t="n"/>
      <c r="Q3545" s="113" t="n"/>
      <c r="R3545" s="113" t="n"/>
      <c r="S3545" s="113" t="n"/>
      <c r="T3545" s="113" t="n"/>
      <c r="U3545" s="113" t="n"/>
      <c r="V3545" s="113" t="n"/>
      <c r="W3545" s="113" t="n"/>
      <c r="X3545" s="113" t="n"/>
      <c r="Y3545" s="113" t="n"/>
      <c r="Z3545" s="117">
        <f>IF($B3545="",0,IF($S3545="EVET",IF($D3545="GELİR",$O3545,-$O3545),0))</f>
        <v/>
      </c>
      <c r="AA3545" s="117">
        <f>IF($B3545="",0,IF(OR($W3545="EVET",$X3545="EVET",$Y3545="EVET"),0,IF($D3545="GELİR",IF($E3545="SATIŞ İADESİ/İSKONTO",-$O3545,$O3545),-$O3545)))</f>
        <v/>
      </c>
      <c r="AB3545" s="117">
        <f>IF($B3545="","",IF(OR($D3545="",$E3545="",$O3545=""),"EKSİK",IF($O3545&lt;=0,"SIFIR/NEGATİF",IF(COUNTIFS($C$6:$C$5000,$C3545,$O$6:$O$5000,$O3545,$B$6:$B$5000,$B3545)&gt;1,"MÜKERRER","OK"))))</f>
        <v/>
      </c>
    </row>
    <row r="3546" ht="16.5" customHeight="1" s="80">
      <c r="A3546" s="113" t="n"/>
      <c r="B3546" s="113" t="n"/>
      <c r="C3546" s="113" t="n"/>
      <c r="D3546" s="113" t="n"/>
      <c r="E3546" s="113" t="n"/>
      <c r="F3546" s="113" t="n"/>
      <c r="G3546" s="113" t="n"/>
      <c r="H3546" s="113" t="n"/>
      <c r="I3546" s="113" t="n"/>
      <c r="J3546" s="113" t="n"/>
      <c r="K3546" s="113" t="n"/>
      <c r="L3546" s="113" t="n"/>
      <c r="M3546" s="113" t="n"/>
      <c r="N3546" s="113" t="n"/>
      <c r="O3546" s="113" t="n"/>
      <c r="P3546" s="113" t="n"/>
      <c r="Q3546" s="113" t="n"/>
      <c r="R3546" s="113" t="n"/>
      <c r="S3546" s="113" t="n"/>
      <c r="T3546" s="113" t="n"/>
      <c r="U3546" s="113" t="n"/>
      <c r="V3546" s="113" t="n"/>
      <c r="W3546" s="113" t="n"/>
      <c r="X3546" s="113" t="n"/>
      <c r="Y3546" s="113" t="n"/>
      <c r="Z3546" s="117">
        <f>IF($B3546="",0,IF($S3546="EVET",IF($D3546="GELİR",$O3546,-$O3546),0))</f>
        <v/>
      </c>
      <c r="AA3546" s="117">
        <f>IF($B3546="",0,IF(OR($W3546="EVET",$X3546="EVET",$Y3546="EVET"),0,IF($D3546="GELİR",IF($E3546="SATIŞ İADESİ/İSKONTO",-$O3546,$O3546),-$O3546)))</f>
        <v/>
      </c>
      <c r="AB3546" s="117">
        <f>IF($B3546="","",IF(OR($D3546="",$E3546="",$O3546=""),"EKSİK",IF($O3546&lt;=0,"SIFIR/NEGATİF",IF(COUNTIFS($C$6:$C$5000,$C3546,$O$6:$O$5000,$O3546,$B$6:$B$5000,$B3546)&gt;1,"MÜKERRER","OK"))))</f>
        <v/>
      </c>
    </row>
    <row r="3547" ht="16.5" customHeight="1" s="80">
      <c r="A3547" s="113" t="n"/>
      <c r="B3547" s="113" t="n"/>
      <c r="C3547" s="113" t="n"/>
      <c r="D3547" s="113" t="n"/>
      <c r="E3547" s="113" t="n"/>
      <c r="F3547" s="113" t="n"/>
      <c r="G3547" s="113" t="n"/>
      <c r="H3547" s="113" t="n"/>
      <c r="I3547" s="113" t="n"/>
      <c r="J3547" s="113" t="n"/>
      <c r="K3547" s="113" t="n"/>
      <c r="L3547" s="113" t="n"/>
      <c r="M3547" s="113" t="n"/>
      <c r="N3547" s="113" t="n"/>
      <c r="O3547" s="113" t="n"/>
      <c r="P3547" s="113" t="n"/>
      <c r="Q3547" s="113" t="n"/>
      <c r="R3547" s="113" t="n"/>
      <c r="S3547" s="113" t="n"/>
      <c r="T3547" s="113" t="n"/>
      <c r="U3547" s="113" t="n"/>
      <c r="V3547" s="113" t="n"/>
      <c r="W3547" s="113" t="n"/>
      <c r="X3547" s="113" t="n"/>
      <c r="Y3547" s="113" t="n"/>
      <c r="Z3547" s="117">
        <f>IF($B3547="",0,IF($S3547="EVET",IF($D3547="GELİR",$O3547,-$O3547),0))</f>
        <v/>
      </c>
      <c r="AA3547" s="117">
        <f>IF($B3547="",0,IF(OR($W3547="EVET",$X3547="EVET",$Y3547="EVET"),0,IF($D3547="GELİR",IF($E3547="SATIŞ İADESİ/İSKONTO",-$O3547,$O3547),-$O3547)))</f>
        <v/>
      </c>
      <c r="AB3547" s="117">
        <f>IF($B3547="","",IF(OR($D3547="",$E3547="",$O3547=""),"EKSİK",IF($O3547&lt;=0,"SIFIR/NEGATİF",IF(COUNTIFS($C$6:$C$5000,$C3547,$O$6:$O$5000,$O3547,$B$6:$B$5000,$B3547)&gt;1,"MÜKERRER","OK"))))</f>
        <v/>
      </c>
    </row>
    <row r="3548" ht="16.5" customHeight="1" s="80">
      <c r="A3548" s="113" t="n"/>
      <c r="B3548" s="113" t="n"/>
      <c r="C3548" s="113" t="n"/>
      <c r="D3548" s="113" t="n"/>
      <c r="E3548" s="113" t="n"/>
      <c r="F3548" s="113" t="n"/>
      <c r="G3548" s="113" t="n"/>
      <c r="H3548" s="113" t="n"/>
      <c r="I3548" s="113" t="n"/>
      <c r="J3548" s="113" t="n"/>
      <c r="K3548" s="113" t="n"/>
      <c r="L3548" s="113" t="n"/>
      <c r="M3548" s="113" t="n"/>
      <c r="N3548" s="113" t="n"/>
      <c r="O3548" s="113" t="n"/>
      <c r="P3548" s="113" t="n"/>
      <c r="Q3548" s="113" t="n"/>
      <c r="R3548" s="113" t="n"/>
      <c r="S3548" s="113" t="n"/>
      <c r="T3548" s="113" t="n"/>
      <c r="U3548" s="113" t="n"/>
      <c r="V3548" s="113" t="n"/>
      <c r="W3548" s="113" t="n"/>
      <c r="X3548" s="113" t="n"/>
      <c r="Y3548" s="113" t="n"/>
      <c r="Z3548" s="117">
        <f>IF($B3548="",0,IF($S3548="EVET",IF($D3548="GELİR",$O3548,-$O3548),0))</f>
        <v/>
      </c>
      <c r="AA3548" s="117">
        <f>IF($B3548="",0,IF(OR($W3548="EVET",$X3548="EVET",$Y3548="EVET"),0,IF($D3548="GELİR",IF($E3548="SATIŞ İADESİ/İSKONTO",-$O3548,$O3548),-$O3548)))</f>
        <v/>
      </c>
      <c r="AB3548" s="117">
        <f>IF($B3548="","",IF(OR($D3548="",$E3548="",$O3548=""),"EKSİK",IF($O3548&lt;=0,"SIFIR/NEGATİF",IF(COUNTIFS($C$6:$C$5000,$C3548,$O$6:$O$5000,$O3548,$B$6:$B$5000,$B3548)&gt;1,"MÜKERRER","OK"))))</f>
        <v/>
      </c>
    </row>
    <row r="3549" ht="16.5" customHeight="1" s="80">
      <c r="A3549" s="113" t="n"/>
      <c r="B3549" s="113" t="n"/>
      <c r="C3549" s="113" t="n"/>
      <c r="D3549" s="113" t="n"/>
      <c r="E3549" s="113" t="n"/>
      <c r="F3549" s="113" t="n"/>
      <c r="G3549" s="113" t="n"/>
      <c r="H3549" s="113" t="n"/>
      <c r="I3549" s="113" t="n"/>
      <c r="J3549" s="113" t="n"/>
      <c r="K3549" s="113" t="n"/>
      <c r="L3549" s="113" t="n"/>
      <c r="M3549" s="113" t="n"/>
      <c r="N3549" s="113" t="n"/>
      <c r="O3549" s="113" t="n"/>
      <c r="P3549" s="113" t="n"/>
      <c r="Q3549" s="113" t="n"/>
      <c r="R3549" s="113" t="n"/>
      <c r="S3549" s="113" t="n"/>
      <c r="T3549" s="113" t="n"/>
      <c r="U3549" s="113" t="n"/>
      <c r="V3549" s="113" t="n"/>
      <c r="W3549" s="113" t="n"/>
      <c r="X3549" s="113" t="n"/>
      <c r="Y3549" s="113" t="n"/>
      <c r="Z3549" s="117">
        <f>IF($B3549="",0,IF($S3549="EVET",IF($D3549="GELİR",$O3549,-$O3549),0))</f>
        <v/>
      </c>
      <c r="AA3549" s="117">
        <f>IF($B3549="",0,IF(OR($W3549="EVET",$X3549="EVET",$Y3549="EVET"),0,IF($D3549="GELİR",IF($E3549="SATIŞ İADESİ/İSKONTO",-$O3549,$O3549),-$O3549)))</f>
        <v/>
      </c>
      <c r="AB3549" s="117">
        <f>IF($B3549="","",IF(OR($D3549="",$E3549="",$O3549=""),"EKSİK",IF($O3549&lt;=0,"SIFIR/NEGATİF",IF(COUNTIFS($C$6:$C$5000,$C3549,$O$6:$O$5000,$O3549,$B$6:$B$5000,$B3549)&gt;1,"MÜKERRER","OK"))))</f>
        <v/>
      </c>
    </row>
    <row r="3550" ht="16.5" customHeight="1" s="80">
      <c r="A3550" s="113" t="n"/>
      <c r="B3550" s="113" t="n"/>
      <c r="C3550" s="113" t="n"/>
      <c r="D3550" s="113" t="n"/>
      <c r="E3550" s="113" t="n"/>
      <c r="F3550" s="113" t="n"/>
      <c r="G3550" s="113" t="n"/>
      <c r="H3550" s="113" t="n"/>
      <c r="I3550" s="113" t="n"/>
      <c r="J3550" s="113" t="n"/>
      <c r="K3550" s="113" t="n"/>
      <c r="L3550" s="113" t="n"/>
      <c r="M3550" s="113" t="n"/>
      <c r="N3550" s="113" t="n"/>
      <c r="O3550" s="113" t="n"/>
      <c r="P3550" s="113" t="n"/>
      <c r="Q3550" s="113" t="n"/>
      <c r="R3550" s="113" t="n"/>
      <c r="S3550" s="113" t="n"/>
      <c r="T3550" s="113" t="n"/>
      <c r="U3550" s="113" t="n"/>
      <c r="V3550" s="113" t="n"/>
      <c r="W3550" s="113" t="n"/>
      <c r="X3550" s="113" t="n"/>
      <c r="Y3550" s="113" t="n"/>
      <c r="Z3550" s="117">
        <f>IF($B3550="",0,IF($S3550="EVET",IF($D3550="GELİR",$O3550,-$O3550),0))</f>
        <v/>
      </c>
      <c r="AA3550" s="117">
        <f>IF($B3550="",0,IF(OR($W3550="EVET",$X3550="EVET",$Y3550="EVET"),0,IF($D3550="GELİR",IF($E3550="SATIŞ İADESİ/İSKONTO",-$O3550,$O3550),-$O3550)))</f>
        <v/>
      </c>
      <c r="AB3550" s="117">
        <f>IF($B3550="","",IF(OR($D3550="",$E3550="",$O3550=""),"EKSİK",IF($O3550&lt;=0,"SIFIR/NEGATİF",IF(COUNTIFS($C$6:$C$5000,$C3550,$O$6:$O$5000,$O3550,$B$6:$B$5000,$B3550)&gt;1,"MÜKERRER","OK"))))</f>
        <v/>
      </c>
    </row>
    <row r="3551" ht="16.5" customHeight="1" s="80">
      <c r="A3551" s="113" t="n"/>
      <c r="B3551" s="113" t="n"/>
      <c r="C3551" s="113" t="n"/>
      <c r="D3551" s="113" t="n"/>
      <c r="E3551" s="113" t="n"/>
      <c r="F3551" s="113" t="n"/>
      <c r="G3551" s="113" t="n"/>
      <c r="H3551" s="113" t="n"/>
      <c r="I3551" s="113" t="n"/>
      <c r="J3551" s="113" t="n"/>
      <c r="K3551" s="113" t="n"/>
      <c r="L3551" s="113" t="n"/>
      <c r="M3551" s="113" t="n"/>
      <c r="N3551" s="113" t="n"/>
      <c r="O3551" s="113" t="n"/>
      <c r="P3551" s="113" t="n"/>
      <c r="Q3551" s="113" t="n"/>
      <c r="R3551" s="113" t="n"/>
      <c r="S3551" s="113" t="n"/>
      <c r="T3551" s="113" t="n"/>
      <c r="U3551" s="113" t="n"/>
      <c r="V3551" s="113" t="n"/>
      <c r="W3551" s="113" t="n"/>
      <c r="X3551" s="113" t="n"/>
      <c r="Y3551" s="113" t="n"/>
      <c r="Z3551" s="117">
        <f>IF($B3551="",0,IF($S3551="EVET",IF($D3551="GELİR",$O3551,-$O3551),0))</f>
        <v/>
      </c>
      <c r="AA3551" s="117">
        <f>IF($B3551="",0,IF(OR($W3551="EVET",$X3551="EVET",$Y3551="EVET"),0,IF($D3551="GELİR",IF($E3551="SATIŞ İADESİ/İSKONTO",-$O3551,$O3551),-$O3551)))</f>
        <v/>
      </c>
      <c r="AB3551" s="117">
        <f>IF($B3551="","",IF(OR($D3551="",$E3551="",$O3551=""),"EKSİK",IF($O3551&lt;=0,"SIFIR/NEGATİF",IF(COUNTIFS($C$6:$C$5000,$C3551,$O$6:$O$5000,$O3551,$B$6:$B$5000,$B3551)&gt;1,"MÜKERRER","OK"))))</f>
        <v/>
      </c>
    </row>
    <row r="3552" ht="16.5" customHeight="1" s="80">
      <c r="A3552" s="113" t="n"/>
      <c r="B3552" s="113" t="n"/>
      <c r="C3552" s="113" t="n"/>
      <c r="D3552" s="113" t="n"/>
      <c r="E3552" s="113" t="n"/>
      <c r="F3552" s="113" t="n"/>
      <c r="G3552" s="113" t="n"/>
      <c r="H3552" s="113" t="n"/>
      <c r="I3552" s="113" t="n"/>
      <c r="J3552" s="113" t="n"/>
      <c r="K3552" s="113" t="n"/>
      <c r="L3552" s="113" t="n"/>
      <c r="M3552" s="113" t="n"/>
      <c r="N3552" s="113" t="n"/>
      <c r="O3552" s="113" t="n"/>
      <c r="P3552" s="113" t="n"/>
      <c r="Q3552" s="113" t="n"/>
      <c r="R3552" s="113" t="n"/>
      <c r="S3552" s="113" t="n"/>
      <c r="T3552" s="113" t="n"/>
      <c r="U3552" s="113" t="n"/>
      <c r="V3552" s="113" t="n"/>
      <c r="W3552" s="113" t="n"/>
      <c r="X3552" s="113" t="n"/>
      <c r="Y3552" s="113" t="n"/>
      <c r="Z3552" s="117">
        <f>IF($B3552="",0,IF($S3552="EVET",IF($D3552="GELİR",$O3552,-$O3552),0))</f>
        <v/>
      </c>
      <c r="AA3552" s="117">
        <f>IF($B3552="",0,IF(OR($W3552="EVET",$X3552="EVET",$Y3552="EVET"),0,IF($D3552="GELİR",IF($E3552="SATIŞ İADESİ/İSKONTO",-$O3552,$O3552),-$O3552)))</f>
        <v/>
      </c>
      <c r="AB3552" s="117">
        <f>IF($B3552="","",IF(OR($D3552="",$E3552="",$O3552=""),"EKSİK",IF($O3552&lt;=0,"SIFIR/NEGATİF",IF(COUNTIFS($C$6:$C$5000,$C3552,$O$6:$O$5000,$O3552,$B$6:$B$5000,$B3552)&gt;1,"MÜKERRER","OK"))))</f>
        <v/>
      </c>
    </row>
    <row r="3553" ht="16.5" customHeight="1" s="80">
      <c r="A3553" s="113" t="n"/>
      <c r="B3553" s="113" t="n"/>
      <c r="C3553" s="113" t="n"/>
      <c r="D3553" s="113" t="n"/>
      <c r="E3553" s="113" t="n"/>
      <c r="F3553" s="113" t="n"/>
      <c r="G3553" s="113" t="n"/>
      <c r="H3553" s="113" t="n"/>
      <c r="I3553" s="113" t="n"/>
      <c r="J3553" s="113" t="n"/>
      <c r="K3553" s="113" t="n"/>
      <c r="L3553" s="113" t="n"/>
      <c r="M3553" s="113" t="n"/>
      <c r="N3553" s="113" t="n"/>
      <c r="O3553" s="113" t="n"/>
      <c r="P3553" s="113" t="n"/>
      <c r="Q3553" s="113" t="n"/>
      <c r="R3553" s="113" t="n"/>
      <c r="S3553" s="113" t="n"/>
      <c r="T3553" s="113" t="n"/>
      <c r="U3553" s="113" t="n"/>
      <c r="V3553" s="113" t="n"/>
      <c r="W3553" s="113" t="n"/>
      <c r="X3553" s="113" t="n"/>
      <c r="Y3553" s="113" t="n"/>
      <c r="Z3553" s="117">
        <f>IF($B3553="",0,IF($S3553="EVET",IF($D3553="GELİR",$O3553,-$O3553),0))</f>
        <v/>
      </c>
      <c r="AA3553" s="117">
        <f>IF($B3553="",0,IF(OR($W3553="EVET",$X3553="EVET",$Y3553="EVET"),0,IF($D3553="GELİR",IF($E3553="SATIŞ İADESİ/İSKONTO",-$O3553,$O3553),-$O3553)))</f>
        <v/>
      </c>
      <c r="AB3553" s="117">
        <f>IF($B3553="","",IF(OR($D3553="",$E3553="",$O3553=""),"EKSİK",IF($O3553&lt;=0,"SIFIR/NEGATİF",IF(COUNTIFS($C$6:$C$5000,$C3553,$O$6:$O$5000,$O3553,$B$6:$B$5000,$B3553)&gt;1,"MÜKERRER","OK"))))</f>
        <v/>
      </c>
    </row>
    <row r="3554" ht="16.5" customHeight="1" s="80">
      <c r="A3554" s="113" t="n"/>
      <c r="B3554" s="113" t="n"/>
      <c r="C3554" s="113" t="n"/>
      <c r="D3554" s="113" t="n"/>
      <c r="E3554" s="113" t="n"/>
      <c r="F3554" s="113" t="n"/>
      <c r="G3554" s="113" t="n"/>
      <c r="H3554" s="113" t="n"/>
      <c r="I3554" s="113" t="n"/>
      <c r="J3554" s="113" t="n"/>
      <c r="K3554" s="113" t="n"/>
      <c r="L3554" s="113" t="n"/>
      <c r="M3554" s="113" t="n"/>
      <c r="N3554" s="113" t="n"/>
      <c r="O3554" s="113" t="n"/>
      <c r="P3554" s="113" t="n"/>
      <c r="Q3554" s="113" t="n"/>
      <c r="R3554" s="113" t="n"/>
      <c r="S3554" s="113" t="n"/>
      <c r="T3554" s="113" t="n"/>
      <c r="U3554" s="113" t="n"/>
      <c r="V3554" s="113" t="n"/>
      <c r="W3554" s="113" t="n"/>
      <c r="X3554" s="113" t="n"/>
      <c r="Y3554" s="113" t="n"/>
      <c r="Z3554" s="117">
        <f>IF($B3554="",0,IF($S3554="EVET",IF($D3554="GELİR",$O3554,-$O3554),0))</f>
        <v/>
      </c>
      <c r="AA3554" s="117">
        <f>IF($B3554="",0,IF(OR($W3554="EVET",$X3554="EVET",$Y3554="EVET"),0,IF($D3554="GELİR",IF($E3554="SATIŞ İADESİ/İSKONTO",-$O3554,$O3554),-$O3554)))</f>
        <v/>
      </c>
      <c r="AB3554" s="117">
        <f>IF($B3554="","",IF(OR($D3554="",$E3554="",$O3554=""),"EKSİK",IF($O3554&lt;=0,"SIFIR/NEGATİF",IF(COUNTIFS($C$6:$C$5000,$C3554,$O$6:$O$5000,$O3554,$B$6:$B$5000,$B3554)&gt;1,"MÜKERRER","OK"))))</f>
        <v/>
      </c>
    </row>
    <row r="3555" ht="16.5" customHeight="1" s="80">
      <c r="A3555" s="113" t="n"/>
      <c r="B3555" s="113" t="n"/>
      <c r="C3555" s="113" t="n"/>
      <c r="D3555" s="113" t="n"/>
      <c r="E3555" s="113" t="n"/>
      <c r="F3555" s="113" t="n"/>
      <c r="G3555" s="113" t="n"/>
      <c r="H3555" s="113" t="n"/>
      <c r="I3555" s="113" t="n"/>
      <c r="J3555" s="113" t="n"/>
      <c r="K3555" s="113" t="n"/>
      <c r="L3555" s="113" t="n"/>
      <c r="M3555" s="113" t="n"/>
      <c r="N3555" s="113" t="n"/>
      <c r="O3555" s="113" t="n"/>
      <c r="P3555" s="113" t="n"/>
      <c r="Q3555" s="113" t="n"/>
      <c r="R3555" s="113" t="n"/>
      <c r="S3555" s="113" t="n"/>
      <c r="T3555" s="113" t="n"/>
      <c r="U3555" s="113" t="n"/>
      <c r="V3555" s="113" t="n"/>
      <c r="W3555" s="113" t="n"/>
      <c r="X3555" s="113" t="n"/>
      <c r="Y3555" s="113" t="n"/>
      <c r="Z3555" s="117">
        <f>IF($B3555="",0,IF($S3555="EVET",IF($D3555="GELİR",$O3555,-$O3555),0))</f>
        <v/>
      </c>
      <c r="AA3555" s="117">
        <f>IF($B3555="",0,IF(OR($W3555="EVET",$X3555="EVET",$Y3555="EVET"),0,IF($D3555="GELİR",IF($E3555="SATIŞ İADESİ/İSKONTO",-$O3555,$O3555),-$O3555)))</f>
        <v/>
      </c>
      <c r="AB3555" s="117">
        <f>IF($B3555="","",IF(OR($D3555="",$E3555="",$O3555=""),"EKSİK",IF($O3555&lt;=0,"SIFIR/NEGATİF",IF(COUNTIFS($C$6:$C$5000,$C3555,$O$6:$O$5000,$O3555,$B$6:$B$5000,$B3555)&gt;1,"MÜKERRER","OK"))))</f>
        <v/>
      </c>
    </row>
    <row r="3556" ht="16.5" customHeight="1" s="80">
      <c r="A3556" s="113" t="n"/>
      <c r="B3556" s="113" t="n"/>
      <c r="C3556" s="113" t="n"/>
      <c r="D3556" s="113" t="n"/>
      <c r="E3556" s="113" t="n"/>
      <c r="F3556" s="113" t="n"/>
      <c r="G3556" s="113" t="n"/>
      <c r="H3556" s="113" t="n"/>
      <c r="I3556" s="113" t="n"/>
      <c r="J3556" s="113" t="n"/>
      <c r="K3556" s="113" t="n"/>
      <c r="L3556" s="113" t="n"/>
      <c r="M3556" s="113" t="n"/>
      <c r="N3556" s="113" t="n"/>
      <c r="O3556" s="113" t="n"/>
      <c r="P3556" s="113" t="n"/>
      <c r="Q3556" s="113" t="n"/>
      <c r="R3556" s="113" t="n"/>
      <c r="S3556" s="113" t="n"/>
      <c r="T3556" s="113" t="n"/>
      <c r="U3556" s="113" t="n"/>
      <c r="V3556" s="113" t="n"/>
      <c r="W3556" s="113" t="n"/>
      <c r="X3556" s="113" t="n"/>
      <c r="Y3556" s="113" t="n"/>
      <c r="Z3556" s="117">
        <f>IF($B3556="",0,IF($S3556="EVET",IF($D3556="GELİR",$O3556,-$O3556),0))</f>
        <v/>
      </c>
      <c r="AA3556" s="117">
        <f>IF($B3556="",0,IF(OR($W3556="EVET",$X3556="EVET",$Y3556="EVET"),0,IF($D3556="GELİR",IF($E3556="SATIŞ İADESİ/İSKONTO",-$O3556,$O3556),-$O3556)))</f>
        <v/>
      </c>
      <c r="AB3556" s="117">
        <f>IF($B3556="","",IF(OR($D3556="",$E3556="",$O3556=""),"EKSİK",IF($O3556&lt;=0,"SIFIR/NEGATİF",IF(COUNTIFS($C$6:$C$5000,$C3556,$O$6:$O$5000,$O3556,$B$6:$B$5000,$B3556)&gt;1,"MÜKERRER","OK"))))</f>
        <v/>
      </c>
    </row>
    <row r="3557" ht="16.5" customHeight="1" s="80">
      <c r="A3557" s="113" t="n"/>
      <c r="B3557" s="113" t="n"/>
      <c r="C3557" s="113" t="n"/>
      <c r="D3557" s="113" t="n"/>
      <c r="E3557" s="113" t="n"/>
      <c r="F3557" s="113" t="n"/>
      <c r="G3557" s="113" t="n"/>
      <c r="H3557" s="113" t="n"/>
      <c r="I3557" s="113" t="n"/>
      <c r="J3557" s="113" t="n"/>
      <c r="K3557" s="113" t="n"/>
      <c r="L3557" s="113" t="n"/>
      <c r="M3557" s="113" t="n"/>
      <c r="N3557" s="113" t="n"/>
      <c r="O3557" s="113" t="n"/>
      <c r="P3557" s="113" t="n"/>
      <c r="Q3557" s="113" t="n"/>
      <c r="R3557" s="113" t="n"/>
      <c r="S3557" s="113" t="n"/>
      <c r="T3557" s="113" t="n"/>
      <c r="U3557" s="113" t="n"/>
      <c r="V3557" s="113" t="n"/>
      <c r="W3557" s="113" t="n"/>
      <c r="X3557" s="113" t="n"/>
      <c r="Y3557" s="113" t="n"/>
      <c r="Z3557" s="117">
        <f>IF($B3557="",0,IF($S3557="EVET",IF($D3557="GELİR",$O3557,-$O3557),0))</f>
        <v/>
      </c>
      <c r="AA3557" s="117">
        <f>IF($B3557="",0,IF(OR($W3557="EVET",$X3557="EVET",$Y3557="EVET"),0,IF($D3557="GELİR",IF($E3557="SATIŞ İADESİ/İSKONTO",-$O3557,$O3557),-$O3557)))</f>
        <v/>
      </c>
      <c r="AB3557" s="117">
        <f>IF($B3557="","",IF(OR($D3557="",$E3557="",$O3557=""),"EKSİK",IF($O3557&lt;=0,"SIFIR/NEGATİF",IF(COUNTIFS($C$6:$C$5000,$C3557,$O$6:$O$5000,$O3557,$B$6:$B$5000,$B3557)&gt;1,"MÜKERRER","OK"))))</f>
        <v/>
      </c>
    </row>
    <row r="3558" ht="16.5" customHeight="1" s="80">
      <c r="A3558" s="113" t="n"/>
      <c r="B3558" s="113" t="n"/>
      <c r="C3558" s="113" t="n"/>
      <c r="D3558" s="113" t="n"/>
      <c r="E3558" s="113" t="n"/>
      <c r="F3558" s="113" t="n"/>
      <c r="G3558" s="113" t="n"/>
      <c r="H3558" s="113" t="n"/>
      <c r="I3558" s="113" t="n"/>
      <c r="J3558" s="113" t="n"/>
      <c r="K3558" s="113" t="n"/>
      <c r="L3558" s="113" t="n"/>
      <c r="M3558" s="113" t="n"/>
      <c r="N3558" s="113" t="n"/>
      <c r="O3558" s="113" t="n"/>
      <c r="P3558" s="113" t="n"/>
      <c r="Q3558" s="113" t="n"/>
      <c r="R3558" s="113" t="n"/>
      <c r="S3558" s="113" t="n"/>
      <c r="T3558" s="113" t="n"/>
      <c r="U3558" s="113" t="n"/>
      <c r="V3558" s="113" t="n"/>
      <c r="W3558" s="113" t="n"/>
      <c r="X3558" s="113" t="n"/>
      <c r="Y3558" s="113" t="n"/>
      <c r="Z3558" s="117">
        <f>IF($B3558="",0,IF($S3558="EVET",IF($D3558="GELİR",$O3558,-$O3558),0))</f>
        <v/>
      </c>
      <c r="AA3558" s="117">
        <f>IF($B3558="",0,IF(OR($W3558="EVET",$X3558="EVET",$Y3558="EVET"),0,IF($D3558="GELİR",IF($E3558="SATIŞ İADESİ/İSKONTO",-$O3558,$O3558),-$O3558)))</f>
        <v/>
      </c>
      <c r="AB3558" s="117">
        <f>IF($B3558="","",IF(OR($D3558="",$E3558="",$O3558=""),"EKSİK",IF($O3558&lt;=0,"SIFIR/NEGATİF",IF(COUNTIFS($C$6:$C$5000,$C3558,$O$6:$O$5000,$O3558,$B$6:$B$5000,$B3558)&gt;1,"MÜKERRER","OK"))))</f>
        <v/>
      </c>
    </row>
    <row r="3559" ht="16.5" customHeight="1" s="80">
      <c r="A3559" s="113" t="n"/>
      <c r="B3559" s="113" t="n"/>
      <c r="C3559" s="113" t="n"/>
      <c r="D3559" s="113" t="n"/>
      <c r="E3559" s="113" t="n"/>
      <c r="F3559" s="113" t="n"/>
      <c r="G3559" s="113" t="n"/>
      <c r="H3559" s="113" t="n"/>
      <c r="I3559" s="113" t="n"/>
      <c r="J3559" s="113" t="n"/>
      <c r="K3559" s="113" t="n"/>
      <c r="L3559" s="113" t="n"/>
      <c r="M3559" s="113" t="n"/>
      <c r="N3559" s="113" t="n"/>
      <c r="O3559" s="113" t="n"/>
      <c r="P3559" s="113" t="n"/>
      <c r="Q3559" s="113" t="n"/>
      <c r="R3559" s="113" t="n"/>
      <c r="S3559" s="113" t="n"/>
      <c r="T3559" s="113" t="n"/>
      <c r="U3559" s="113" t="n"/>
      <c r="V3559" s="113" t="n"/>
      <c r="W3559" s="113" t="n"/>
      <c r="X3559" s="113" t="n"/>
      <c r="Y3559" s="113" t="n"/>
      <c r="Z3559" s="117">
        <f>IF($B3559="",0,IF($S3559="EVET",IF($D3559="GELİR",$O3559,-$O3559),0))</f>
        <v/>
      </c>
      <c r="AA3559" s="117">
        <f>IF($B3559="",0,IF(OR($W3559="EVET",$X3559="EVET",$Y3559="EVET"),0,IF($D3559="GELİR",IF($E3559="SATIŞ İADESİ/İSKONTO",-$O3559,$O3559),-$O3559)))</f>
        <v/>
      </c>
      <c r="AB3559" s="117">
        <f>IF($B3559="","",IF(OR($D3559="",$E3559="",$O3559=""),"EKSİK",IF($O3559&lt;=0,"SIFIR/NEGATİF",IF(COUNTIFS($C$6:$C$5000,$C3559,$O$6:$O$5000,$O3559,$B$6:$B$5000,$B3559)&gt;1,"MÜKERRER","OK"))))</f>
        <v/>
      </c>
    </row>
    <row r="3560" ht="16.5" customHeight="1" s="80">
      <c r="A3560" s="113" t="n"/>
      <c r="B3560" s="113" t="n"/>
      <c r="C3560" s="113" t="n"/>
      <c r="D3560" s="113" t="n"/>
      <c r="E3560" s="113" t="n"/>
      <c r="F3560" s="113" t="n"/>
      <c r="G3560" s="113" t="n"/>
      <c r="H3560" s="113" t="n"/>
      <c r="I3560" s="113" t="n"/>
      <c r="J3560" s="113" t="n"/>
      <c r="K3560" s="113" t="n"/>
      <c r="L3560" s="113" t="n"/>
      <c r="M3560" s="113" t="n"/>
      <c r="N3560" s="113" t="n"/>
      <c r="O3560" s="113" t="n"/>
      <c r="P3560" s="113" t="n"/>
      <c r="Q3560" s="113" t="n"/>
      <c r="R3560" s="113" t="n"/>
      <c r="S3560" s="113" t="n"/>
      <c r="T3560" s="113" t="n"/>
      <c r="U3560" s="113" t="n"/>
      <c r="V3560" s="113" t="n"/>
      <c r="W3560" s="113" t="n"/>
      <c r="X3560" s="113" t="n"/>
      <c r="Y3560" s="113" t="n"/>
      <c r="Z3560" s="117">
        <f>IF($B3560="",0,IF($S3560="EVET",IF($D3560="GELİR",$O3560,-$O3560),0))</f>
        <v/>
      </c>
      <c r="AA3560" s="117">
        <f>IF($B3560="",0,IF(OR($W3560="EVET",$X3560="EVET",$Y3560="EVET"),0,IF($D3560="GELİR",IF($E3560="SATIŞ İADESİ/İSKONTO",-$O3560,$O3560),-$O3560)))</f>
        <v/>
      </c>
      <c r="AB3560" s="117">
        <f>IF($B3560="","",IF(OR($D3560="",$E3560="",$O3560=""),"EKSİK",IF($O3560&lt;=0,"SIFIR/NEGATİF",IF(COUNTIFS($C$6:$C$5000,$C3560,$O$6:$O$5000,$O3560,$B$6:$B$5000,$B3560)&gt;1,"MÜKERRER","OK"))))</f>
        <v/>
      </c>
    </row>
    <row r="3561" ht="16.5" customHeight="1" s="80">
      <c r="A3561" s="113" t="n"/>
      <c r="B3561" s="113" t="n"/>
      <c r="C3561" s="113" t="n"/>
      <c r="D3561" s="113" t="n"/>
      <c r="E3561" s="113" t="n"/>
      <c r="F3561" s="113" t="n"/>
      <c r="G3561" s="113" t="n"/>
      <c r="H3561" s="113" t="n"/>
      <c r="I3561" s="113" t="n"/>
      <c r="J3561" s="113" t="n"/>
      <c r="K3561" s="113" t="n"/>
      <c r="L3561" s="113" t="n"/>
      <c r="M3561" s="113" t="n"/>
      <c r="N3561" s="113" t="n"/>
      <c r="O3561" s="113" t="n"/>
      <c r="P3561" s="113" t="n"/>
      <c r="Q3561" s="113" t="n"/>
      <c r="R3561" s="113" t="n"/>
      <c r="S3561" s="113" t="n"/>
      <c r="T3561" s="113" t="n"/>
      <c r="U3561" s="113" t="n"/>
      <c r="V3561" s="113" t="n"/>
      <c r="W3561" s="113" t="n"/>
      <c r="X3561" s="113" t="n"/>
      <c r="Y3561" s="113" t="n"/>
      <c r="Z3561" s="117">
        <f>IF($B3561="",0,IF($S3561="EVET",IF($D3561="GELİR",$O3561,-$O3561),0))</f>
        <v/>
      </c>
      <c r="AA3561" s="117">
        <f>IF($B3561="",0,IF(OR($W3561="EVET",$X3561="EVET",$Y3561="EVET"),0,IF($D3561="GELİR",IF($E3561="SATIŞ İADESİ/İSKONTO",-$O3561,$O3561),-$O3561)))</f>
        <v/>
      </c>
      <c r="AB3561" s="117">
        <f>IF($B3561="","",IF(OR($D3561="",$E3561="",$O3561=""),"EKSİK",IF($O3561&lt;=0,"SIFIR/NEGATİF",IF(COUNTIFS($C$6:$C$5000,$C3561,$O$6:$O$5000,$O3561,$B$6:$B$5000,$B3561)&gt;1,"MÜKERRER","OK"))))</f>
        <v/>
      </c>
    </row>
    <row r="3562" ht="16.5" customHeight="1" s="80">
      <c r="A3562" s="113" t="n"/>
      <c r="B3562" s="113" t="n"/>
      <c r="C3562" s="113" t="n"/>
      <c r="D3562" s="113" t="n"/>
      <c r="E3562" s="113" t="n"/>
      <c r="F3562" s="113" t="n"/>
      <c r="G3562" s="113" t="n"/>
      <c r="H3562" s="113" t="n"/>
      <c r="I3562" s="113" t="n"/>
      <c r="J3562" s="113" t="n"/>
      <c r="K3562" s="113" t="n"/>
      <c r="L3562" s="113" t="n"/>
      <c r="M3562" s="113" t="n"/>
      <c r="N3562" s="113" t="n"/>
      <c r="O3562" s="113" t="n"/>
      <c r="P3562" s="113" t="n"/>
      <c r="Q3562" s="113" t="n"/>
      <c r="R3562" s="113" t="n"/>
      <c r="S3562" s="113" t="n"/>
      <c r="T3562" s="113" t="n"/>
      <c r="U3562" s="113" t="n"/>
      <c r="V3562" s="113" t="n"/>
      <c r="W3562" s="113" t="n"/>
      <c r="X3562" s="113" t="n"/>
      <c r="Y3562" s="113" t="n"/>
      <c r="Z3562" s="117">
        <f>IF($B3562="",0,IF($S3562="EVET",IF($D3562="GELİR",$O3562,-$O3562),0))</f>
        <v/>
      </c>
      <c r="AA3562" s="117">
        <f>IF($B3562="",0,IF(OR($W3562="EVET",$X3562="EVET",$Y3562="EVET"),0,IF($D3562="GELİR",IF($E3562="SATIŞ İADESİ/İSKONTO",-$O3562,$O3562),-$O3562)))</f>
        <v/>
      </c>
      <c r="AB3562" s="117">
        <f>IF($B3562="","",IF(OR($D3562="",$E3562="",$O3562=""),"EKSİK",IF($O3562&lt;=0,"SIFIR/NEGATİF",IF(COUNTIFS($C$6:$C$5000,$C3562,$O$6:$O$5000,$O3562,$B$6:$B$5000,$B3562)&gt;1,"MÜKERRER","OK"))))</f>
        <v/>
      </c>
    </row>
    <row r="3563" ht="16.5" customHeight="1" s="80">
      <c r="A3563" s="113" t="n"/>
      <c r="B3563" s="113" t="n"/>
      <c r="C3563" s="113" t="n"/>
      <c r="D3563" s="113" t="n"/>
      <c r="E3563" s="113" t="n"/>
      <c r="F3563" s="113" t="n"/>
      <c r="G3563" s="113" t="n"/>
      <c r="H3563" s="113" t="n"/>
      <c r="I3563" s="113" t="n"/>
      <c r="J3563" s="113" t="n"/>
      <c r="K3563" s="113" t="n"/>
      <c r="L3563" s="113" t="n"/>
      <c r="M3563" s="113" t="n"/>
      <c r="N3563" s="113" t="n"/>
      <c r="O3563" s="113" t="n"/>
      <c r="P3563" s="113" t="n"/>
      <c r="Q3563" s="113" t="n"/>
      <c r="R3563" s="113" t="n"/>
      <c r="S3563" s="113" t="n"/>
      <c r="T3563" s="113" t="n"/>
      <c r="U3563" s="113" t="n"/>
      <c r="V3563" s="113" t="n"/>
      <c r="W3563" s="113" t="n"/>
      <c r="X3563" s="113" t="n"/>
      <c r="Y3563" s="113" t="n"/>
      <c r="Z3563" s="117">
        <f>IF($B3563="",0,IF($S3563="EVET",IF($D3563="GELİR",$O3563,-$O3563),0))</f>
        <v/>
      </c>
      <c r="AA3563" s="117">
        <f>IF($B3563="",0,IF(OR($W3563="EVET",$X3563="EVET",$Y3563="EVET"),0,IF($D3563="GELİR",IF($E3563="SATIŞ İADESİ/İSKONTO",-$O3563,$O3563),-$O3563)))</f>
        <v/>
      </c>
      <c r="AB3563" s="117">
        <f>IF($B3563="","",IF(OR($D3563="",$E3563="",$O3563=""),"EKSİK",IF($O3563&lt;=0,"SIFIR/NEGATİF",IF(COUNTIFS($C$6:$C$5000,$C3563,$O$6:$O$5000,$O3563,$B$6:$B$5000,$B3563)&gt;1,"MÜKERRER","OK"))))</f>
        <v/>
      </c>
    </row>
    <row r="3564" ht="16.5" customHeight="1" s="80">
      <c r="A3564" s="113" t="n"/>
      <c r="B3564" s="113" t="n"/>
      <c r="C3564" s="113" t="n"/>
      <c r="D3564" s="113" t="n"/>
      <c r="E3564" s="113" t="n"/>
      <c r="F3564" s="113" t="n"/>
      <c r="G3564" s="113" t="n"/>
      <c r="H3564" s="113" t="n"/>
      <c r="I3564" s="113" t="n"/>
      <c r="J3564" s="113" t="n"/>
      <c r="K3564" s="113" t="n"/>
      <c r="L3564" s="113" t="n"/>
      <c r="M3564" s="113" t="n"/>
      <c r="N3564" s="113" t="n"/>
      <c r="O3564" s="113" t="n"/>
      <c r="P3564" s="113" t="n"/>
      <c r="Q3564" s="113" t="n"/>
      <c r="R3564" s="113" t="n"/>
      <c r="S3564" s="113" t="n"/>
      <c r="T3564" s="113" t="n"/>
      <c r="U3564" s="113" t="n"/>
      <c r="V3564" s="113" t="n"/>
      <c r="W3564" s="113" t="n"/>
      <c r="X3564" s="113" t="n"/>
      <c r="Y3564" s="113" t="n"/>
      <c r="Z3564" s="117">
        <f>IF($B3564="",0,IF($S3564="EVET",IF($D3564="GELİR",$O3564,-$O3564),0))</f>
        <v/>
      </c>
      <c r="AA3564" s="117">
        <f>IF($B3564="",0,IF(OR($W3564="EVET",$X3564="EVET",$Y3564="EVET"),0,IF($D3564="GELİR",IF($E3564="SATIŞ İADESİ/İSKONTO",-$O3564,$O3564),-$O3564)))</f>
        <v/>
      </c>
      <c r="AB3564" s="117">
        <f>IF($B3564="","",IF(OR($D3564="",$E3564="",$O3564=""),"EKSİK",IF($O3564&lt;=0,"SIFIR/NEGATİF",IF(COUNTIFS($C$6:$C$5000,$C3564,$O$6:$O$5000,$O3564,$B$6:$B$5000,$B3564)&gt;1,"MÜKERRER","OK"))))</f>
        <v/>
      </c>
    </row>
    <row r="3565" ht="16.5" customHeight="1" s="80">
      <c r="A3565" s="113" t="n"/>
      <c r="B3565" s="113" t="n"/>
      <c r="C3565" s="113" t="n"/>
      <c r="D3565" s="113" t="n"/>
      <c r="E3565" s="113" t="n"/>
      <c r="F3565" s="113" t="n"/>
      <c r="G3565" s="113" t="n"/>
      <c r="H3565" s="113" t="n"/>
      <c r="I3565" s="113" t="n"/>
      <c r="J3565" s="113" t="n"/>
      <c r="K3565" s="113" t="n"/>
      <c r="L3565" s="113" t="n"/>
      <c r="M3565" s="113" t="n"/>
      <c r="N3565" s="113" t="n"/>
      <c r="O3565" s="113" t="n"/>
      <c r="P3565" s="113" t="n"/>
      <c r="Q3565" s="113" t="n"/>
      <c r="R3565" s="113" t="n"/>
      <c r="S3565" s="113" t="n"/>
      <c r="T3565" s="113" t="n"/>
      <c r="U3565" s="113" t="n"/>
      <c r="V3565" s="113" t="n"/>
      <c r="W3565" s="113" t="n"/>
      <c r="X3565" s="113" t="n"/>
      <c r="Y3565" s="113" t="n"/>
      <c r="Z3565" s="117">
        <f>IF($B3565="",0,IF($S3565="EVET",IF($D3565="GELİR",$O3565,-$O3565),0))</f>
        <v/>
      </c>
      <c r="AA3565" s="117">
        <f>IF($B3565="",0,IF(OR($W3565="EVET",$X3565="EVET",$Y3565="EVET"),0,IF($D3565="GELİR",IF($E3565="SATIŞ İADESİ/İSKONTO",-$O3565,$O3565),-$O3565)))</f>
        <v/>
      </c>
      <c r="AB3565" s="117">
        <f>IF($B3565="","",IF(OR($D3565="",$E3565="",$O3565=""),"EKSİK",IF($O3565&lt;=0,"SIFIR/NEGATİF",IF(COUNTIFS($C$6:$C$5000,$C3565,$O$6:$O$5000,$O3565,$B$6:$B$5000,$B3565)&gt;1,"MÜKERRER","OK"))))</f>
        <v/>
      </c>
    </row>
    <row r="3566" ht="16.5" customHeight="1" s="80">
      <c r="A3566" s="113" t="n"/>
      <c r="B3566" s="113" t="n"/>
      <c r="C3566" s="113" t="n"/>
      <c r="D3566" s="113" t="n"/>
      <c r="E3566" s="113" t="n"/>
      <c r="F3566" s="113" t="n"/>
      <c r="G3566" s="113" t="n"/>
      <c r="H3566" s="113" t="n"/>
      <c r="I3566" s="113" t="n"/>
      <c r="J3566" s="113" t="n"/>
      <c r="K3566" s="113" t="n"/>
      <c r="L3566" s="113" t="n"/>
      <c r="M3566" s="113" t="n"/>
      <c r="N3566" s="113" t="n"/>
      <c r="O3566" s="113" t="n"/>
      <c r="P3566" s="113" t="n"/>
      <c r="Q3566" s="113" t="n"/>
      <c r="R3566" s="113" t="n"/>
      <c r="S3566" s="113" t="n"/>
      <c r="T3566" s="113" t="n"/>
      <c r="U3566" s="113" t="n"/>
      <c r="V3566" s="113" t="n"/>
      <c r="W3566" s="113" t="n"/>
      <c r="X3566" s="113" t="n"/>
      <c r="Y3566" s="113" t="n"/>
      <c r="Z3566" s="117">
        <f>IF($B3566="",0,IF($S3566="EVET",IF($D3566="GELİR",$O3566,-$O3566),0))</f>
        <v/>
      </c>
      <c r="AA3566" s="117">
        <f>IF($B3566="",0,IF(OR($W3566="EVET",$X3566="EVET",$Y3566="EVET"),0,IF($D3566="GELİR",IF($E3566="SATIŞ İADESİ/İSKONTO",-$O3566,$O3566),-$O3566)))</f>
        <v/>
      </c>
      <c r="AB3566" s="117">
        <f>IF($B3566="","",IF(OR($D3566="",$E3566="",$O3566=""),"EKSİK",IF($O3566&lt;=0,"SIFIR/NEGATİF",IF(COUNTIFS($C$6:$C$5000,$C3566,$O$6:$O$5000,$O3566,$B$6:$B$5000,$B3566)&gt;1,"MÜKERRER","OK"))))</f>
        <v/>
      </c>
    </row>
    <row r="3567" ht="16.5" customHeight="1" s="80">
      <c r="A3567" s="113" t="n"/>
      <c r="B3567" s="113" t="n"/>
      <c r="C3567" s="113" t="n"/>
      <c r="D3567" s="113" t="n"/>
      <c r="E3567" s="113" t="n"/>
      <c r="F3567" s="113" t="n"/>
      <c r="G3567" s="113" t="n"/>
      <c r="H3567" s="113" t="n"/>
      <c r="I3567" s="113" t="n"/>
      <c r="J3567" s="113" t="n"/>
      <c r="K3567" s="113" t="n"/>
      <c r="L3567" s="113" t="n"/>
      <c r="M3567" s="113" t="n"/>
      <c r="N3567" s="113" t="n"/>
      <c r="O3567" s="113" t="n"/>
      <c r="P3567" s="113" t="n"/>
      <c r="Q3567" s="113" t="n"/>
      <c r="R3567" s="113" t="n"/>
      <c r="S3567" s="113" t="n"/>
      <c r="T3567" s="113" t="n"/>
      <c r="U3567" s="113" t="n"/>
      <c r="V3567" s="113" t="n"/>
      <c r="W3567" s="113" t="n"/>
      <c r="X3567" s="113" t="n"/>
      <c r="Y3567" s="113" t="n"/>
      <c r="Z3567" s="117">
        <f>IF($B3567="",0,IF($S3567="EVET",IF($D3567="GELİR",$O3567,-$O3567),0))</f>
        <v/>
      </c>
      <c r="AA3567" s="117">
        <f>IF($B3567="",0,IF(OR($W3567="EVET",$X3567="EVET",$Y3567="EVET"),0,IF($D3567="GELİR",IF($E3567="SATIŞ İADESİ/İSKONTO",-$O3567,$O3567),-$O3567)))</f>
        <v/>
      </c>
      <c r="AB3567" s="117">
        <f>IF($B3567="","",IF(OR($D3567="",$E3567="",$O3567=""),"EKSİK",IF($O3567&lt;=0,"SIFIR/NEGATİF",IF(COUNTIFS($C$6:$C$5000,$C3567,$O$6:$O$5000,$O3567,$B$6:$B$5000,$B3567)&gt;1,"MÜKERRER","OK"))))</f>
        <v/>
      </c>
    </row>
    <row r="3568" ht="16.5" customHeight="1" s="80">
      <c r="A3568" s="113" t="n"/>
      <c r="B3568" s="113" t="n"/>
      <c r="C3568" s="113" t="n"/>
      <c r="D3568" s="113" t="n"/>
      <c r="E3568" s="113" t="n"/>
      <c r="F3568" s="113" t="n"/>
      <c r="G3568" s="113" t="n"/>
      <c r="H3568" s="113" t="n"/>
      <c r="I3568" s="113" t="n"/>
      <c r="J3568" s="113" t="n"/>
      <c r="K3568" s="113" t="n"/>
      <c r="L3568" s="113" t="n"/>
      <c r="M3568" s="113" t="n"/>
      <c r="N3568" s="113" t="n"/>
      <c r="O3568" s="113" t="n"/>
      <c r="P3568" s="113" t="n"/>
      <c r="Q3568" s="113" t="n"/>
      <c r="R3568" s="113" t="n"/>
      <c r="S3568" s="113" t="n"/>
      <c r="T3568" s="113" t="n"/>
      <c r="U3568" s="113" t="n"/>
      <c r="V3568" s="113" t="n"/>
      <c r="W3568" s="113" t="n"/>
      <c r="X3568" s="113" t="n"/>
      <c r="Y3568" s="113" t="n"/>
      <c r="Z3568" s="117">
        <f>IF($B3568="",0,IF($S3568="EVET",IF($D3568="GELİR",$O3568,-$O3568),0))</f>
        <v/>
      </c>
      <c r="AA3568" s="117">
        <f>IF($B3568="",0,IF(OR($W3568="EVET",$X3568="EVET",$Y3568="EVET"),0,IF($D3568="GELİR",IF($E3568="SATIŞ İADESİ/İSKONTO",-$O3568,$O3568),-$O3568)))</f>
        <v/>
      </c>
      <c r="AB3568" s="117">
        <f>IF($B3568="","",IF(OR($D3568="",$E3568="",$O3568=""),"EKSİK",IF($O3568&lt;=0,"SIFIR/NEGATİF",IF(COUNTIFS($C$6:$C$5000,$C3568,$O$6:$O$5000,$O3568,$B$6:$B$5000,$B3568)&gt;1,"MÜKERRER","OK"))))</f>
        <v/>
      </c>
    </row>
    <row r="3569" ht="16.5" customHeight="1" s="80">
      <c r="A3569" s="113" t="n"/>
      <c r="B3569" s="113" t="n"/>
      <c r="C3569" s="113" t="n"/>
      <c r="D3569" s="113" t="n"/>
      <c r="E3569" s="113" t="n"/>
      <c r="F3569" s="113" t="n"/>
      <c r="G3569" s="113" t="n"/>
      <c r="H3569" s="113" t="n"/>
      <c r="I3569" s="113" t="n"/>
      <c r="J3569" s="113" t="n"/>
      <c r="K3569" s="113" t="n"/>
      <c r="L3569" s="113" t="n"/>
      <c r="M3569" s="113" t="n"/>
      <c r="N3569" s="113" t="n"/>
      <c r="O3569" s="113" t="n"/>
      <c r="P3569" s="113" t="n"/>
      <c r="Q3569" s="113" t="n"/>
      <c r="R3569" s="113" t="n"/>
      <c r="S3569" s="113" t="n"/>
      <c r="T3569" s="113" t="n"/>
      <c r="U3569" s="113" t="n"/>
      <c r="V3569" s="113" t="n"/>
      <c r="W3569" s="113" t="n"/>
      <c r="X3569" s="113" t="n"/>
      <c r="Y3569" s="113" t="n"/>
      <c r="Z3569" s="117">
        <f>IF($B3569="",0,IF($S3569="EVET",IF($D3569="GELİR",$O3569,-$O3569),0))</f>
        <v/>
      </c>
      <c r="AA3569" s="117">
        <f>IF($B3569="",0,IF(OR($W3569="EVET",$X3569="EVET",$Y3569="EVET"),0,IF($D3569="GELİR",IF($E3569="SATIŞ İADESİ/İSKONTO",-$O3569,$O3569),-$O3569)))</f>
        <v/>
      </c>
      <c r="AB3569" s="117">
        <f>IF($B3569="","",IF(OR($D3569="",$E3569="",$O3569=""),"EKSİK",IF($O3569&lt;=0,"SIFIR/NEGATİF",IF(COUNTIFS($C$6:$C$5000,$C3569,$O$6:$O$5000,$O3569,$B$6:$B$5000,$B3569)&gt;1,"MÜKERRER","OK"))))</f>
        <v/>
      </c>
    </row>
    <row r="3570" ht="16.5" customHeight="1" s="80">
      <c r="A3570" s="113" t="n"/>
      <c r="B3570" s="113" t="n"/>
      <c r="C3570" s="113" t="n"/>
      <c r="D3570" s="113" t="n"/>
      <c r="E3570" s="113" t="n"/>
      <c r="F3570" s="113" t="n"/>
      <c r="G3570" s="113" t="n"/>
      <c r="H3570" s="113" t="n"/>
      <c r="I3570" s="113" t="n"/>
      <c r="J3570" s="113" t="n"/>
      <c r="K3570" s="113" t="n"/>
      <c r="L3570" s="113" t="n"/>
      <c r="M3570" s="113" t="n"/>
      <c r="N3570" s="113" t="n"/>
      <c r="O3570" s="113" t="n"/>
      <c r="P3570" s="113" t="n"/>
      <c r="Q3570" s="113" t="n"/>
      <c r="R3570" s="113" t="n"/>
      <c r="S3570" s="113" t="n"/>
      <c r="T3570" s="113" t="n"/>
      <c r="U3570" s="113" t="n"/>
      <c r="V3570" s="113" t="n"/>
      <c r="W3570" s="113" t="n"/>
      <c r="X3570" s="113" t="n"/>
      <c r="Y3570" s="113" t="n"/>
      <c r="Z3570" s="117">
        <f>IF($B3570="",0,IF($S3570="EVET",IF($D3570="GELİR",$O3570,-$O3570),0))</f>
        <v/>
      </c>
      <c r="AA3570" s="117">
        <f>IF($B3570="",0,IF(OR($W3570="EVET",$X3570="EVET",$Y3570="EVET"),0,IF($D3570="GELİR",IF($E3570="SATIŞ İADESİ/İSKONTO",-$O3570,$O3570),-$O3570)))</f>
        <v/>
      </c>
      <c r="AB3570" s="117">
        <f>IF($B3570="","",IF(OR($D3570="",$E3570="",$O3570=""),"EKSİK",IF($O3570&lt;=0,"SIFIR/NEGATİF",IF(COUNTIFS($C$6:$C$5000,$C3570,$O$6:$O$5000,$O3570,$B$6:$B$5000,$B3570)&gt;1,"MÜKERRER","OK"))))</f>
        <v/>
      </c>
    </row>
    <row r="3571" ht="16.5" customHeight="1" s="80">
      <c r="A3571" s="113" t="n"/>
      <c r="B3571" s="113" t="n"/>
      <c r="C3571" s="113" t="n"/>
      <c r="D3571" s="113" t="n"/>
      <c r="E3571" s="113" t="n"/>
      <c r="F3571" s="113" t="n"/>
      <c r="G3571" s="113" t="n"/>
      <c r="H3571" s="113" t="n"/>
      <c r="I3571" s="113" t="n"/>
      <c r="J3571" s="113" t="n"/>
      <c r="K3571" s="113" t="n"/>
      <c r="L3571" s="113" t="n"/>
      <c r="M3571" s="113" t="n"/>
      <c r="N3571" s="113" t="n"/>
      <c r="O3571" s="113" t="n"/>
      <c r="P3571" s="113" t="n"/>
      <c r="Q3571" s="113" t="n"/>
      <c r="R3571" s="113" t="n"/>
      <c r="S3571" s="113" t="n"/>
      <c r="T3571" s="113" t="n"/>
      <c r="U3571" s="113" t="n"/>
      <c r="V3571" s="113" t="n"/>
      <c r="W3571" s="113" t="n"/>
      <c r="X3571" s="113" t="n"/>
      <c r="Y3571" s="113" t="n"/>
      <c r="Z3571" s="117">
        <f>IF($B3571="",0,IF($S3571="EVET",IF($D3571="GELİR",$O3571,-$O3571),0))</f>
        <v/>
      </c>
      <c r="AA3571" s="117">
        <f>IF($B3571="",0,IF(OR($W3571="EVET",$X3571="EVET",$Y3571="EVET"),0,IF($D3571="GELİR",IF($E3571="SATIŞ İADESİ/İSKONTO",-$O3571,$O3571),-$O3571)))</f>
        <v/>
      </c>
      <c r="AB3571" s="117">
        <f>IF($B3571="","",IF(OR($D3571="",$E3571="",$O3571=""),"EKSİK",IF($O3571&lt;=0,"SIFIR/NEGATİF",IF(COUNTIFS($C$6:$C$5000,$C3571,$O$6:$O$5000,$O3571,$B$6:$B$5000,$B3571)&gt;1,"MÜKERRER","OK"))))</f>
        <v/>
      </c>
    </row>
    <row r="3572" ht="16.5" customHeight="1" s="80">
      <c r="A3572" s="113" t="n"/>
      <c r="B3572" s="113" t="n"/>
      <c r="C3572" s="113" t="n"/>
      <c r="D3572" s="113" t="n"/>
      <c r="E3572" s="113" t="n"/>
      <c r="F3572" s="113" t="n"/>
      <c r="G3572" s="113" t="n"/>
      <c r="H3572" s="113" t="n"/>
      <c r="I3572" s="113" t="n"/>
      <c r="J3572" s="113" t="n"/>
      <c r="K3572" s="113" t="n"/>
      <c r="L3572" s="113" t="n"/>
      <c r="M3572" s="113" t="n"/>
      <c r="N3572" s="113" t="n"/>
      <c r="O3572" s="113" t="n"/>
      <c r="P3572" s="113" t="n"/>
      <c r="Q3572" s="113" t="n"/>
      <c r="R3572" s="113" t="n"/>
      <c r="S3572" s="113" t="n"/>
      <c r="T3572" s="113" t="n"/>
      <c r="U3572" s="113" t="n"/>
      <c r="V3572" s="113" t="n"/>
      <c r="W3572" s="113" t="n"/>
      <c r="X3572" s="113" t="n"/>
      <c r="Y3572" s="113" t="n"/>
      <c r="Z3572" s="117">
        <f>IF($B3572="",0,IF($S3572="EVET",IF($D3572="GELİR",$O3572,-$O3572),0))</f>
        <v/>
      </c>
      <c r="AA3572" s="117">
        <f>IF($B3572="",0,IF(OR($W3572="EVET",$X3572="EVET",$Y3572="EVET"),0,IF($D3572="GELİR",IF($E3572="SATIŞ İADESİ/İSKONTO",-$O3572,$O3572),-$O3572)))</f>
        <v/>
      </c>
      <c r="AB3572" s="117">
        <f>IF($B3572="","",IF(OR($D3572="",$E3572="",$O3572=""),"EKSİK",IF($O3572&lt;=0,"SIFIR/NEGATİF",IF(COUNTIFS($C$6:$C$5000,$C3572,$O$6:$O$5000,$O3572,$B$6:$B$5000,$B3572)&gt;1,"MÜKERRER","OK"))))</f>
        <v/>
      </c>
    </row>
    <row r="3573" ht="16.5" customHeight="1" s="80">
      <c r="A3573" s="113" t="n"/>
      <c r="B3573" s="113" t="n"/>
      <c r="C3573" s="113" t="n"/>
      <c r="D3573" s="113" t="n"/>
      <c r="E3573" s="113" t="n"/>
      <c r="F3573" s="113" t="n"/>
      <c r="G3573" s="113" t="n"/>
      <c r="H3573" s="113" t="n"/>
      <c r="I3573" s="113" t="n"/>
      <c r="J3573" s="113" t="n"/>
      <c r="K3573" s="113" t="n"/>
      <c r="L3573" s="113" t="n"/>
      <c r="M3573" s="113" t="n"/>
      <c r="N3573" s="113" t="n"/>
      <c r="O3573" s="113" t="n"/>
      <c r="P3573" s="113" t="n"/>
      <c r="Q3573" s="113" t="n"/>
      <c r="R3573" s="113" t="n"/>
      <c r="S3573" s="113" t="n"/>
      <c r="T3573" s="113" t="n"/>
      <c r="U3573" s="113" t="n"/>
      <c r="V3573" s="113" t="n"/>
      <c r="W3573" s="113" t="n"/>
      <c r="X3573" s="113" t="n"/>
      <c r="Y3573" s="113" t="n"/>
      <c r="Z3573" s="117">
        <f>IF($B3573="",0,IF($S3573="EVET",IF($D3573="GELİR",$O3573,-$O3573),0))</f>
        <v/>
      </c>
      <c r="AA3573" s="117">
        <f>IF($B3573="",0,IF(OR($W3573="EVET",$X3573="EVET",$Y3573="EVET"),0,IF($D3573="GELİR",IF($E3573="SATIŞ İADESİ/İSKONTO",-$O3573,$O3573),-$O3573)))</f>
        <v/>
      </c>
      <c r="AB3573" s="117">
        <f>IF($B3573="","",IF(OR($D3573="",$E3573="",$O3573=""),"EKSİK",IF($O3573&lt;=0,"SIFIR/NEGATİF",IF(COUNTIFS($C$6:$C$5000,$C3573,$O$6:$O$5000,$O3573,$B$6:$B$5000,$B3573)&gt;1,"MÜKERRER","OK"))))</f>
        <v/>
      </c>
    </row>
    <row r="3574" ht="16.5" customHeight="1" s="80">
      <c r="A3574" s="113" t="n"/>
      <c r="B3574" s="113" t="n"/>
      <c r="C3574" s="113" t="n"/>
      <c r="D3574" s="113" t="n"/>
      <c r="E3574" s="113" t="n"/>
      <c r="F3574" s="113" t="n"/>
      <c r="G3574" s="113" t="n"/>
      <c r="H3574" s="113" t="n"/>
      <c r="I3574" s="113" t="n"/>
      <c r="J3574" s="113" t="n"/>
      <c r="K3574" s="113" t="n"/>
      <c r="L3574" s="113" t="n"/>
      <c r="M3574" s="113" t="n"/>
      <c r="N3574" s="113" t="n"/>
      <c r="O3574" s="113" t="n"/>
      <c r="P3574" s="113" t="n"/>
      <c r="Q3574" s="113" t="n"/>
      <c r="R3574" s="113" t="n"/>
      <c r="S3574" s="113" t="n"/>
      <c r="T3574" s="113" t="n"/>
      <c r="U3574" s="113" t="n"/>
      <c r="V3574" s="113" t="n"/>
      <c r="W3574" s="113" t="n"/>
      <c r="X3574" s="113" t="n"/>
      <c r="Y3574" s="113" t="n"/>
      <c r="Z3574" s="117">
        <f>IF($B3574="",0,IF($S3574="EVET",IF($D3574="GELİR",$O3574,-$O3574),0))</f>
        <v/>
      </c>
      <c r="AA3574" s="117">
        <f>IF($B3574="",0,IF(OR($W3574="EVET",$X3574="EVET",$Y3574="EVET"),0,IF($D3574="GELİR",IF($E3574="SATIŞ İADESİ/İSKONTO",-$O3574,$O3574),-$O3574)))</f>
        <v/>
      </c>
      <c r="AB3574" s="117">
        <f>IF($B3574="","",IF(OR($D3574="",$E3574="",$O3574=""),"EKSİK",IF($O3574&lt;=0,"SIFIR/NEGATİF",IF(COUNTIFS($C$6:$C$5000,$C3574,$O$6:$O$5000,$O3574,$B$6:$B$5000,$B3574)&gt;1,"MÜKERRER","OK"))))</f>
        <v/>
      </c>
    </row>
    <row r="3575" ht="16.5" customHeight="1" s="80">
      <c r="A3575" s="113" t="n"/>
      <c r="B3575" s="113" t="n"/>
      <c r="C3575" s="113" t="n"/>
      <c r="D3575" s="113" t="n"/>
      <c r="E3575" s="113" t="n"/>
      <c r="F3575" s="113" t="n"/>
      <c r="G3575" s="113" t="n"/>
      <c r="H3575" s="113" t="n"/>
      <c r="I3575" s="113" t="n"/>
      <c r="J3575" s="113" t="n"/>
      <c r="K3575" s="113" t="n"/>
      <c r="L3575" s="113" t="n"/>
      <c r="M3575" s="113" t="n"/>
      <c r="N3575" s="113" t="n"/>
      <c r="O3575" s="113" t="n"/>
      <c r="P3575" s="113" t="n"/>
      <c r="Q3575" s="113" t="n"/>
      <c r="R3575" s="113" t="n"/>
      <c r="S3575" s="113" t="n"/>
      <c r="T3575" s="113" t="n"/>
      <c r="U3575" s="113" t="n"/>
      <c r="V3575" s="113" t="n"/>
      <c r="W3575" s="113" t="n"/>
      <c r="X3575" s="113" t="n"/>
      <c r="Y3575" s="113" t="n"/>
      <c r="Z3575" s="117">
        <f>IF($B3575="",0,IF($S3575="EVET",IF($D3575="GELİR",$O3575,-$O3575),0))</f>
        <v/>
      </c>
      <c r="AA3575" s="117">
        <f>IF($B3575="",0,IF(OR($W3575="EVET",$X3575="EVET",$Y3575="EVET"),0,IF($D3575="GELİR",IF($E3575="SATIŞ İADESİ/İSKONTO",-$O3575,$O3575),-$O3575)))</f>
        <v/>
      </c>
      <c r="AB3575" s="117">
        <f>IF($B3575="","",IF(OR($D3575="",$E3575="",$O3575=""),"EKSİK",IF($O3575&lt;=0,"SIFIR/NEGATİF",IF(COUNTIFS($C$6:$C$5000,$C3575,$O$6:$O$5000,$O3575,$B$6:$B$5000,$B3575)&gt;1,"MÜKERRER","OK"))))</f>
        <v/>
      </c>
    </row>
    <row r="3576" ht="16.5" customHeight="1" s="80">
      <c r="A3576" s="113" t="n"/>
      <c r="B3576" s="113" t="n"/>
      <c r="C3576" s="113" t="n"/>
      <c r="D3576" s="113" t="n"/>
      <c r="E3576" s="113" t="n"/>
      <c r="F3576" s="113" t="n"/>
      <c r="G3576" s="113" t="n"/>
      <c r="H3576" s="113" t="n"/>
      <c r="I3576" s="113" t="n"/>
      <c r="J3576" s="113" t="n"/>
      <c r="K3576" s="113" t="n"/>
      <c r="L3576" s="113" t="n"/>
      <c r="M3576" s="113" t="n"/>
      <c r="N3576" s="113" t="n"/>
      <c r="O3576" s="113" t="n"/>
      <c r="P3576" s="113" t="n"/>
      <c r="Q3576" s="113" t="n"/>
      <c r="R3576" s="113" t="n"/>
      <c r="S3576" s="113" t="n"/>
      <c r="T3576" s="113" t="n"/>
      <c r="U3576" s="113" t="n"/>
      <c r="V3576" s="113" t="n"/>
      <c r="W3576" s="113" t="n"/>
      <c r="X3576" s="113" t="n"/>
      <c r="Y3576" s="113" t="n"/>
      <c r="Z3576" s="117">
        <f>IF($B3576="",0,IF($S3576="EVET",IF($D3576="GELİR",$O3576,-$O3576),0))</f>
        <v/>
      </c>
      <c r="AA3576" s="117">
        <f>IF($B3576="",0,IF(OR($W3576="EVET",$X3576="EVET",$Y3576="EVET"),0,IF($D3576="GELİR",IF($E3576="SATIŞ İADESİ/İSKONTO",-$O3576,$O3576),-$O3576)))</f>
        <v/>
      </c>
      <c r="AB3576" s="117">
        <f>IF($B3576="","",IF(OR($D3576="",$E3576="",$O3576=""),"EKSİK",IF($O3576&lt;=0,"SIFIR/NEGATİF",IF(COUNTIFS($C$6:$C$5000,$C3576,$O$6:$O$5000,$O3576,$B$6:$B$5000,$B3576)&gt;1,"MÜKERRER","OK"))))</f>
        <v/>
      </c>
    </row>
    <row r="3577" ht="16.5" customHeight="1" s="80">
      <c r="A3577" s="113" t="n"/>
      <c r="B3577" s="113" t="n"/>
      <c r="C3577" s="113" t="n"/>
      <c r="D3577" s="113" t="n"/>
      <c r="E3577" s="113" t="n"/>
      <c r="F3577" s="113" t="n"/>
      <c r="G3577" s="113" t="n"/>
      <c r="H3577" s="113" t="n"/>
      <c r="I3577" s="113" t="n"/>
      <c r="J3577" s="113" t="n"/>
      <c r="K3577" s="113" t="n"/>
      <c r="L3577" s="113" t="n"/>
      <c r="M3577" s="113" t="n"/>
      <c r="N3577" s="113" t="n"/>
      <c r="O3577" s="113" t="n"/>
      <c r="P3577" s="113" t="n"/>
      <c r="Q3577" s="113" t="n"/>
      <c r="R3577" s="113" t="n"/>
      <c r="S3577" s="113" t="n"/>
      <c r="T3577" s="113" t="n"/>
      <c r="U3577" s="113" t="n"/>
      <c r="V3577" s="113" t="n"/>
      <c r="W3577" s="113" t="n"/>
      <c r="X3577" s="113" t="n"/>
      <c r="Y3577" s="113" t="n"/>
      <c r="Z3577" s="117">
        <f>IF($B3577="",0,IF($S3577="EVET",IF($D3577="GELİR",$O3577,-$O3577),0))</f>
        <v/>
      </c>
      <c r="AA3577" s="117">
        <f>IF($B3577="",0,IF(OR($W3577="EVET",$X3577="EVET",$Y3577="EVET"),0,IF($D3577="GELİR",IF($E3577="SATIŞ İADESİ/İSKONTO",-$O3577,$O3577),-$O3577)))</f>
        <v/>
      </c>
      <c r="AB3577" s="117">
        <f>IF($B3577="","",IF(OR($D3577="",$E3577="",$O3577=""),"EKSİK",IF($O3577&lt;=0,"SIFIR/NEGATİF",IF(COUNTIFS($C$6:$C$5000,$C3577,$O$6:$O$5000,$O3577,$B$6:$B$5000,$B3577)&gt;1,"MÜKERRER","OK"))))</f>
        <v/>
      </c>
    </row>
    <row r="3578" ht="16.5" customHeight="1" s="80">
      <c r="A3578" s="113" t="n"/>
      <c r="B3578" s="113" t="n"/>
      <c r="C3578" s="113" t="n"/>
      <c r="D3578" s="113" t="n"/>
      <c r="E3578" s="113" t="n"/>
      <c r="F3578" s="113" t="n"/>
      <c r="G3578" s="113" t="n"/>
      <c r="H3578" s="113" t="n"/>
      <c r="I3578" s="113" t="n"/>
      <c r="J3578" s="113" t="n"/>
      <c r="K3578" s="113" t="n"/>
      <c r="L3578" s="113" t="n"/>
      <c r="M3578" s="113" t="n"/>
      <c r="N3578" s="113" t="n"/>
      <c r="O3578" s="113" t="n"/>
      <c r="P3578" s="113" t="n"/>
      <c r="Q3578" s="113" t="n"/>
      <c r="R3578" s="113" t="n"/>
      <c r="S3578" s="113" t="n"/>
      <c r="T3578" s="113" t="n"/>
      <c r="U3578" s="113" t="n"/>
      <c r="V3578" s="113" t="n"/>
      <c r="W3578" s="113" t="n"/>
      <c r="X3578" s="113" t="n"/>
      <c r="Y3578" s="113" t="n"/>
      <c r="Z3578" s="117">
        <f>IF($B3578="",0,IF($S3578="EVET",IF($D3578="GELİR",$O3578,-$O3578),0))</f>
        <v/>
      </c>
      <c r="AA3578" s="117">
        <f>IF($B3578="",0,IF(OR($W3578="EVET",$X3578="EVET",$Y3578="EVET"),0,IF($D3578="GELİR",IF($E3578="SATIŞ İADESİ/İSKONTO",-$O3578,$O3578),-$O3578)))</f>
        <v/>
      </c>
      <c r="AB3578" s="117">
        <f>IF($B3578="","",IF(OR($D3578="",$E3578="",$O3578=""),"EKSİK",IF($O3578&lt;=0,"SIFIR/NEGATİF",IF(COUNTIFS($C$6:$C$5000,$C3578,$O$6:$O$5000,$O3578,$B$6:$B$5000,$B3578)&gt;1,"MÜKERRER","OK"))))</f>
        <v/>
      </c>
    </row>
    <row r="3579" ht="16.5" customHeight="1" s="80">
      <c r="A3579" s="113" t="n"/>
      <c r="B3579" s="113" t="n"/>
      <c r="C3579" s="113" t="n"/>
      <c r="D3579" s="113" t="n"/>
      <c r="E3579" s="113" t="n"/>
      <c r="F3579" s="113" t="n"/>
      <c r="G3579" s="113" t="n"/>
      <c r="H3579" s="113" t="n"/>
      <c r="I3579" s="113" t="n"/>
      <c r="J3579" s="113" t="n"/>
      <c r="K3579" s="113" t="n"/>
      <c r="L3579" s="113" t="n"/>
      <c r="M3579" s="113" t="n"/>
      <c r="N3579" s="113" t="n"/>
      <c r="O3579" s="113" t="n"/>
      <c r="P3579" s="113" t="n"/>
      <c r="Q3579" s="113" t="n"/>
      <c r="R3579" s="113" t="n"/>
      <c r="S3579" s="113" t="n"/>
      <c r="T3579" s="113" t="n"/>
      <c r="U3579" s="113" t="n"/>
      <c r="V3579" s="113" t="n"/>
      <c r="W3579" s="113" t="n"/>
      <c r="X3579" s="113" t="n"/>
      <c r="Y3579" s="113" t="n"/>
      <c r="Z3579" s="117">
        <f>IF($B3579="",0,IF($S3579="EVET",IF($D3579="GELİR",$O3579,-$O3579),0))</f>
        <v/>
      </c>
      <c r="AA3579" s="117">
        <f>IF($B3579="",0,IF(OR($W3579="EVET",$X3579="EVET",$Y3579="EVET"),0,IF($D3579="GELİR",IF($E3579="SATIŞ İADESİ/İSKONTO",-$O3579,$O3579),-$O3579)))</f>
        <v/>
      </c>
      <c r="AB3579" s="117">
        <f>IF($B3579="","",IF(OR($D3579="",$E3579="",$O3579=""),"EKSİK",IF($O3579&lt;=0,"SIFIR/NEGATİF",IF(COUNTIFS($C$6:$C$5000,$C3579,$O$6:$O$5000,$O3579,$B$6:$B$5000,$B3579)&gt;1,"MÜKERRER","OK"))))</f>
        <v/>
      </c>
    </row>
    <row r="3580" ht="16.5" customHeight="1" s="80">
      <c r="A3580" s="113" t="n"/>
      <c r="B3580" s="113" t="n"/>
      <c r="C3580" s="113" t="n"/>
      <c r="D3580" s="113" t="n"/>
      <c r="E3580" s="113" t="n"/>
      <c r="F3580" s="113" t="n"/>
      <c r="G3580" s="113" t="n"/>
      <c r="H3580" s="113" t="n"/>
      <c r="I3580" s="113" t="n"/>
      <c r="J3580" s="113" t="n"/>
      <c r="K3580" s="113" t="n"/>
      <c r="L3580" s="113" t="n"/>
      <c r="M3580" s="113" t="n"/>
      <c r="N3580" s="113" t="n"/>
      <c r="O3580" s="113" t="n"/>
      <c r="P3580" s="113" t="n"/>
      <c r="Q3580" s="113" t="n"/>
      <c r="R3580" s="113" t="n"/>
      <c r="S3580" s="113" t="n"/>
      <c r="T3580" s="113" t="n"/>
      <c r="U3580" s="113" t="n"/>
      <c r="V3580" s="113" t="n"/>
      <c r="W3580" s="113" t="n"/>
      <c r="X3580" s="113" t="n"/>
      <c r="Y3580" s="113" t="n"/>
      <c r="Z3580" s="117">
        <f>IF($B3580="",0,IF($S3580="EVET",IF($D3580="GELİR",$O3580,-$O3580),0))</f>
        <v/>
      </c>
      <c r="AA3580" s="117">
        <f>IF($B3580="",0,IF(OR($W3580="EVET",$X3580="EVET",$Y3580="EVET"),0,IF($D3580="GELİR",IF($E3580="SATIŞ İADESİ/İSKONTO",-$O3580,$O3580),-$O3580)))</f>
        <v/>
      </c>
      <c r="AB3580" s="117">
        <f>IF($B3580="","",IF(OR($D3580="",$E3580="",$O3580=""),"EKSİK",IF($O3580&lt;=0,"SIFIR/NEGATİF",IF(COUNTIFS($C$6:$C$5000,$C3580,$O$6:$O$5000,$O3580,$B$6:$B$5000,$B3580)&gt;1,"MÜKERRER","OK"))))</f>
        <v/>
      </c>
    </row>
    <row r="3581" ht="16.5" customHeight="1" s="80">
      <c r="A3581" s="113" t="n"/>
      <c r="B3581" s="113" t="n"/>
      <c r="C3581" s="113" t="n"/>
      <c r="D3581" s="113" t="n"/>
      <c r="E3581" s="113" t="n"/>
      <c r="F3581" s="113" t="n"/>
      <c r="G3581" s="113" t="n"/>
      <c r="H3581" s="113" t="n"/>
      <c r="I3581" s="113" t="n"/>
      <c r="J3581" s="113" t="n"/>
      <c r="K3581" s="113" t="n"/>
      <c r="L3581" s="113" t="n"/>
      <c r="M3581" s="113" t="n"/>
      <c r="N3581" s="113" t="n"/>
      <c r="O3581" s="113" t="n"/>
      <c r="P3581" s="113" t="n"/>
      <c r="Q3581" s="113" t="n"/>
      <c r="R3581" s="113" t="n"/>
      <c r="S3581" s="113" t="n"/>
      <c r="T3581" s="113" t="n"/>
      <c r="U3581" s="113" t="n"/>
      <c r="V3581" s="113" t="n"/>
      <c r="W3581" s="113" t="n"/>
      <c r="X3581" s="113" t="n"/>
      <c r="Y3581" s="113" t="n"/>
      <c r="Z3581" s="117">
        <f>IF($B3581="",0,IF($S3581="EVET",IF($D3581="GELİR",$O3581,-$O3581),0))</f>
        <v/>
      </c>
      <c r="AA3581" s="117">
        <f>IF($B3581="",0,IF(OR($W3581="EVET",$X3581="EVET",$Y3581="EVET"),0,IF($D3581="GELİR",IF($E3581="SATIŞ İADESİ/İSKONTO",-$O3581,$O3581),-$O3581)))</f>
        <v/>
      </c>
      <c r="AB3581" s="117">
        <f>IF($B3581="","",IF(OR($D3581="",$E3581="",$O3581=""),"EKSİK",IF($O3581&lt;=0,"SIFIR/NEGATİF",IF(COUNTIFS($C$6:$C$5000,$C3581,$O$6:$O$5000,$O3581,$B$6:$B$5000,$B3581)&gt;1,"MÜKERRER","OK"))))</f>
        <v/>
      </c>
    </row>
    <row r="3582" ht="16.5" customHeight="1" s="80">
      <c r="A3582" s="113" t="n"/>
      <c r="B3582" s="113" t="n"/>
      <c r="C3582" s="113" t="n"/>
      <c r="D3582" s="113" t="n"/>
      <c r="E3582" s="113" t="n"/>
      <c r="F3582" s="113" t="n"/>
      <c r="G3582" s="113" t="n"/>
      <c r="H3582" s="113" t="n"/>
      <c r="I3582" s="113" t="n"/>
      <c r="J3582" s="113" t="n"/>
      <c r="K3582" s="113" t="n"/>
      <c r="L3582" s="113" t="n"/>
      <c r="M3582" s="113" t="n"/>
      <c r="N3582" s="113" t="n"/>
      <c r="O3582" s="113" t="n"/>
      <c r="P3582" s="113" t="n"/>
      <c r="Q3582" s="113" t="n"/>
      <c r="R3582" s="113" t="n"/>
      <c r="S3582" s="113" t="n"/>
      <c r="T3582" s="113" t="n"/>
      <c r="U3582" s="113" t="n"/>
      <c r="V3582" s="113" t="n"/>
      <c r="W3582" s="113" t="n"/>
      <c r="X3582" s="113" t="n"/>
      <c r="Y3582" s="113" t="n"/>
      <c r="Z3582" s="117">
        <f>IF($B3582="",0,IF($S3582="EVET",IF($D3582="GELİR",$O3582,-$O3582),0))</f>
        <v/>
      </c>
      <c r="AA3582" s="117">
        <f>IF($B3582="",0,IF(OR($W3582="EVET",$X3582="EVET",$Y3582="EVET"),0,IF($D3582="GELİR",IF($E3582="SATIŞ İADESİ/İSKONTO",-$O3582,$O3582),-$O3582)))</f>
        <v/>
      </c>
      <c r="AB3582" s="117">
        <f>IF($B3582="","",IF(OR($D3582="",$E3582="",$O3582=""),"EKSİK",IF($O3582&lt;=0,"SIFIR/NEGATİF",IF(COUNTIFS($C$6:$C$5000,$C3582,$O$6:$O$5000,$O3582,$B$6:$B$5000,$B3582)&gt;1,"MÜKERRER","OK"))))</f>
        <v/>
      </c>
    </row>
    <row r="3583" ht="16.5" customHeight="1" s="80">
      <c r="A3583" s="113" t="n"/>
      <c r="B3583" s="113" t="n"/>
      <c r="C3583" s="113" t="n"/>
      <c r="D3583" s="113" t="n"/>
      <c r="E3583" s="113" t="n"/>
      <c r="F3583" s="113" t="n"/>
      <c r="G3583" s="113" t="n"/>
      <c r="H3583" s="113" t="n"/>
      <c r="I3583" s="113" t="n"/>
      <c r="J3583" s="113" t="n"/>
      <c r="K3583" s="113" t="n"/>
      <c r="L3583" s="113" t="n"/>
      <c r="M3583" s="113" t="n"/>
      <c r="N3583" s="113" t="n"/>
      <c r="O3583" s="113" t="n"/>
      <c r="P3583" s="113" t="n"/>
      <c r="Q3583" s="113" t="n"/>
      <c r="R3583" s="113" t="n"/>
      <c r="S3583" s="113" t="n"/>
      <c r="T3583" s="113" t="n"/>
      <c r="U3583" s="113" t="n"/>
      <c r="V3583" s="113" t="n"/>
      <c r="W3583" s="113" t="n"/>
      <c r="X3583" s="113" t="n"/>
      <c r="Y3583" s="113" t="n"/>
      <c r="Z3583" s="117">
        <f>IF($B3583="",0,IF($S3583="EVET",IF($D3583="GELİR",$O3583,-$O3583),0))</f>
        <v/>
      </c>
      <c r="AA3583" s="117">
        <f>IF($B3583="",0,IF(OR($W3583="EVET",$X3583="EVET",$Y3583="EVET"),0,IF($D3583="GELİR",IF($E3583="SATIŞ İADESİ/İSKONTO",-$O3583,$O3583),-$O3583)))</f>
        <v/>
      </c>
      <c r="AB3583" s="117">
        <f>IF($B3583="","",IF(OR($D3583="",$E3583="",$O3583=""),"EKSİK",IF($O3583&lt;=0,"SIFIR/NEGATİF",IF(COUNTIFS($C$6:$C$5000,$C3583,$O$6:$O$5000,$O3583,$B$6:$B$5000,$B3583)&gt;1,"MÜKERRER","OK"))))</f>
        <v/>
      </c>
    </row>
    <row r="3584" ht="16.5" customHeight="1" s="80">
      <c r="A3584" s="113" t="n"/>
      <c r="B3584" s="113" t="n"/>
      <c r="C3584" s="113" t="n"/>
      <c r="D3584" s="113" t="n"/>
      <c r="E3584" s="113" t="n"/>
      <c r="F3584" s="113" t="n"/>
      <c r="G3584" s="113" t="n"/>
      <c r="H3584" s="113" t="n"/>
      <c r="I3584" s="113" t="n"/>
      <c r="J3584" s="113" t="n"/>
      <c r="K3584" s="113" t="n"/>
      <c r="L3584" s="113" t="n"/>
      <c r="M3584" s="113" t="n"/>
      <c r="N3584" s="113" t="n"/>
      <c r="O3584" s="113" t="n"/>
      <c r="P3584" s="113" t="n"/>
      <c r="Q3584" s="113" t="n"/>
      <c r="R3584" s="113" t="n"/>
      <c r="S3584" s="113" t="n"/>
      <c r="T3584" s="113" t="n"/>
      <c r="U3584" s="113" t="n"/>
      <c r="V3584" s="113" t="n"/>
      <c r="W3584" s="113" t="n"/>
      <c r="X3584" s="113" t="n"/>
      <c r="Y3584" s="113" t="n"/>
      <c r="Z3584" s="117">
        <f>IF($B3584="",0,IF($S3584="EVET",IF($D3584="GELİR",$O3584,-$O3584),0))</f>
        <v/>
      </c>
      <c r="AA3584" s="117">
        <f>IF($B3584="",0,IF(OR($W3584="EVET",$X3584="EVET",$Y3584="EVET"),0,IF($D3584="GELİR",IF($E3584="SATIŞ İADESİ/İSKONTO",-$O3584,$O3584),-$O3584)))</f>
        <v/>
      </c>
      <c r="AB3584" s="117">
        <f>IF($B3584="","",IF(OR($D3584="",$E3584="",$O3584=""),"EKSİK",IF($O3584&lt;=0,"SIFIR/NEGATİF",IF(COUNTIFS($C$6:$C$5000,$C3584,$O$6:$O$5000,$O3584,$B$6:$B$5000,$B3584)&gt;1,"MÜKERRER","OK"))))</f>
        <v/>
      </c>
    </row>
    <row r="3585" ht="16.5" customHeight="1" s="80">
      <c r="A3585" s="113" t="n"/>
      <c r="B3585" s="113" t="n"/>
      <c r="C3585" s="113" t="n"/>
      <c r="D3585" s="113" t="n"/>
      <c r="E3585" s="113" t="n"/>
      <c r="F3585" s="113" t="n"/>
      <c r="G3585" s="113" t="n"/>
      <c r="H3585" s="113" t="n"/>
      <c r="I3585" s="113" t="n"/>
      <c r="J3585" s="113" t="n"/>
      <c r="K3585" s="113" t="n"/>
      <c r="L3585" s="113" t="n"/>
      <c r="M3585" s="113" t="n"/>
      <c r="N3585" s="113" t="n"/>
      <c r="O3585" s="113" t="n"/>
      <c r="P3585" s="113" t="n"/>
      <c r="Q3585" s="113" t="n"/>
      <c r="R3585" s="113" t="n"/>
      <c r="S3585" s="113" t="n"/>
      <c r="T3585" s="113" t="n"/>
      <c r="U3585" s="113" t="n"/>
      <c r="V3585" s="113" t="n"/>
      <c r="W3585" s="113" t="n"/>
      <c r="X3585" s="113" t="n"/>
      <c r="Y3585" s="113" t="n"/>
      <c r="Z3585" s="117">
        <f>IF($B3585="",0,IF($S3585="EVET",IF($D3585="GELİR",$O3585,-$O3585),0))</f>
        <v/>
      </c>
      <c r="AA3585" s="117">
        <f>IF($B3585="",0,IF(OR($W3585="EVET",$X3585="EVET",$Y3585="EVET"),0,IF($D3585="GELİR",IF($E3585="SATIŞ İADESİ/İSKONTO",-$O3585,$O3585),-$O3585)))</f>
        <v/>
      </c>
      <c r="AB3585" s="117">
        <f>IF($B3585="","",IF(OR($D3585="",$E3585="",$O3585=""),"EKSİK",IF($O3585&lt;=0,"SIFIR/NEGATİF",IF(COUNTIFS($C$6:$C$5000,$C3585,$O$6:$O$5000,$O3585,$B$6:$B$5000,$B3585)&gt;1,"MÜKERRER","OK"))))</f>
        <v/>
      </c>
    </row>
    <row r="3586" ht="16.5" customHeight="1" s="80">
      <c r="A3586" s="113" t="n"/>
      <c r="B3586" s="113" t="n"/>
      <c r="C3586" s="113" t="n"/>
      <c r="D3586" s="113" t="n"/>
      <c r="E3586" s="113" t="n"/>
      <c r="F3586" s="113" t="n"/>
      <c r="G3586" s="113" t="n"/>
      <c r="H3586" s="113" t="n"/>
      <c r="I3586" s="113" t="n"/>
      <c r="J3586" s="113" t="n"/>
      <c r="K3586" s="113" t="n"/>
      <c r="L3586" s="113" t="n"/>
      <c r="M3586" s="113" t="n"/>
      <c r="N3586" s="113" t="n"/>
      <c r="O3586" s="113" t="n"/>
      <c r="P3586" s="113" t="n"/>
      <c r="Q3586" s="113" t="n"/>
      <c r="R3586" s="113" t="n"/>
      <c r="S3586" s="113" t="n"/>
      <c r="T3586" s="113" t="n"/>
      <c r="U3586" s="113" t="n"/>
      <c r="V3586" s="113" t="n"/>
      <c r="W3586" s="113" t="n"/>
      <c r="X3586" s="113" t="n"/>
      <c r="Y3586" s="113" t="n"/>
      <c r="Z3586" s="117">
        <f>IF($B3586="",0,IF($S3586="EVET",IF($D3586="GELİR",$O3586,-$O3586),0))</f>
        <v/>
      </c>
      <c r="AA3586" s="117">
        <f>IF($B3586="",0,IF(OR($W3586="EVET",$X3586="EVET",$Y3586="EVET"),0,IF($D3586="GELİR",IF($E3586="SATIŞ İADESİ/İSKONTO",-$O3586,$O3586),-$O3586)))</f>
        <v/>
      </c>
      <c r="AB3586" s="117">
        <f>IF($B3586="","",IF(OR($D3586="",$E3586="",$O3586=""),"EKSİK",IF($O3586&lt;=0,"SIFIR/NEGATİF",IF(COUNTIFS($C$6:$C$5000,$C3586,$O$6:$O$5000,$O3586,$B$6:$B$5000,$B3586)&gt;1,"MÜKERRER","OK"))))</f>
        <v/>
      </c>
    </row>
    <row r="3587" ht="16.5" customHeight="1" s="80">
      <c r="A3587" s="113" t="n"/>
      <c r="B3587" s="113" t="n"/>
      <c r="C3587" s="113" t="n"/>
      <c r="D3587" s="113" t="n"/>
      <c r="E3587" s="113" t="n"/>
      <c r="F3587" s="113" t="n"/>
      <c r="G3587" s="113" t="n"/>
      <c r="H3587" s="113" t="n"/>
      <c r="I3587" s="113" t="n"/>
      <c r="J3587" s="113" t="n"/>
      <c r="K3587" s="113" t="n"/>
      <c r="L3587" s="113" t="n"/>
      <c r="M3587" s="113" t="n"/>
      <c r="N3587" s="113" t="n"/>
      <c r="O3587" s="113" t="n"/>
      <c r="P3587" s="113" t="n"/>
      <c r="Q3587" s="113" t="n"/>
      <c r="R3587" s="113" t="n"/>
      <c r="S3587" s="113" t="n"/>
      <c r="T3587" s="113" t="n"/>
      <c r="U3587" s="113" t="n"/>
      <c r="V3587" s="113" t="n"/>
      <c r="W3587" s="113" t="n"/>
      <c r="X3587" s="113" t="n"/>
      <c r="Y3587" s="113" t="n"/>
      <c r="Z3587" s="117">
        <f>IF($B3587="",0,IF($S3587="EVET",IF($D3587="GELİR",$O3587,-$O3587),0))</f>
        <v/>
      </c>
      <c r="AA3587" s="117">
        <f>IF($B3587="",0,IF(OR($W3587="EVET",$X3587="EVET",$Y3587="EVET"),0,IF($D3587="GELİR",IF($E3587="SATIŞ İADESİ/İSKONTO",-$O3587,$O3587),-$O3587)))</f>
        <v/>
      </c>
      <c r="AB3587" s="117">
        <f>IF($B3587="","",IF(OR($D3587="",$E3587="",$O3587=""),"EKSİK",IF($O3587&lt;=0,"SIFIR/NEGATİF",IF(COUNTIFS($C$6:$C$5000,$C3587,$O$6:$O$5000,$O3587,$B$6:$B$5000,$B3587)&gt;1,"MÜKERRER","OK"))))</f>
        <v/>
      </c>
    </row>
    <row r="3588" ht="16.5" customHeight="1" s="80">
      <c r="A3588" s="113" t="n"/>
      <c r="B3588" s="113" t="n"/>
      <c r="C3588" s="113" t="n"/>
      <c r="D3588" s="113" t="n"/>
      <c r="E3588" s="113" t="n"/>
      <c r="F3588" s="113" t="n"/>
      <c r="G3588" s="113" t="n"/>
      <c r="H3588" s="113" t="n"/>
      <c r="I3588" s="113" t="n"/>
      <c r="J3588" s="113" t="n"/>
      <c r="K3588" s="113" t="n"/>
      <c r="L3588" s="113" t="n"/>
      <c r="M3588" s="113" t="n"/>
      <c r="N3588" s="113" t="n"/>
      <c r="O3588" s="113" t="n"/>
      <c r="P3588" s="113" t="n"/>
      <c r="Q3588" s="113" t="n"/>
      <c r="R3588" s="113" t="n"/>
      <c r="S3588" s="113" t="n"/>
      <c r="T3588" s="113" t="n"/>
      <c r="U3588" s="113" t="n"/>
      <c r="V3588" s="113" t="n"/>
      <c r="W3588" s="113" t="n"/>
      <c r="X3588" s="113" t="n"/>
      <c r="Y3588" s="113" t="n"/>
      <c r="Z3588" s="117">
        <f>IF($B3588="",0,IF($S3588="EVET",IF($D3588="GELİR",$O3588,-$O3588),0))</f>
        <v/>
      </c>
      <c r="AA3588" s="117">
        <f>IF($B3588="",0,IF(OR($W3588="EVET",$X3588="EVET",$Y3588="EVET"),0,IF($D3588="GELİR",IF($E3588="SATIŞ İADESİ/İSKONTO",-$O3588,$O3588),-$O3588)))</f>
        <v/>
      </c>
      <c r="AB3588" s="117">
        <f>IF($B3588="","",IF(OR($D3588="",$E3588="",$O3588=""),"EKSİK",IF($O3588&lt;=0,"SIFIR/NEGATİF",IF(COUNTIFS($C$6:$C$5000,$C3588,$O$6:$O$5000,$O3588,$B$6:$B$5000,$B3588)&gt;1,"MÜKERRER","OK"))))</f>
        <v/>
      </c>
    </row>
    <row r="3589" ht="16.5" customHeight="1" s="80">
      <c r="A3589" s="113" t="n"/>
      <c r="B3589" s="113" t="n"/>
      <c r="C3589" s="113" t="n"/>
      <c r="D3589" s="113" t="n"/>
      <c r="E3589" s="113" t="n"/>
      <c r="F3589" s="113" t="n"/>
      <c r="G3589" s="113" t="n"/>
      <c r="H3589" s="113" t="n"/>
      <c r="I3589" s="113" t="n"/>
      <c r="J3589" s="113" t="n"/>
      <c r="K3589" s="113" t="n"/>
      <c r="L3589" s="113" t="n"/>
      <c r="M3589" s="113" t="n"/>
      <c r="N3589" s="113" t="n"/>
      <c r="O3589" s="113" t="n"/>
      <c r="P3589" s="113" t="n"/>
      <c r="Q3589" s="113" t="n"/>
      <c r="R3589" s="113" t="n"/>
      <c r="S3589" s="113" t="n"/>
      <c r="T3589" s="113" t="n"/>
      <c r="U3589" s="113" t="n"/>
      <c r="V3589" s="113" t="n"/>
      <c r="W3589" s="113" t="n"/>
      <c r="X3589" s="113" t="n"/>
      <c r="Y3589" s="113" t="n"/>
      <c r="Z3589" s="117">
        <f>IF($B3589="",0,IF($S3589="EVET",IF($D3589="GELİR",$O3589,-$O3589),0))</f>
        <v/>
      </c>
      <c r="AA3589" s="117">
        <f>IF($B3589="",0,IF(OR($W3589="EVET",$X3589="EVET",$Y3589="EVET"),0,IF($D3589="GELİR",IF($E3589="SATIŞ İADESİ/İSKONTO",-$O3589,$O3589),-$O3589)))</f>
        <v/>
      </c>
      <c r="AB3589" s="117">
        <f>IF($B3589="","",IF(OR($D3589="",$E3589="",$O3589=""),"EKSİK",IF($O3589&lt;=0,"SIFIR/NEGATİF",IF(COUNTIFS($C$6:$C$5000,$C3589,$O$6:$O$5000,$O3589,$B$6:$B$5000,$B3589)&gt;1,"MÜKERRER","OK"))))</f>
        <v/>
      </c>
    </row>
    <row r="3590" ht="16.5" customHeight="1" s="80">
      <c r="A3590" s="113" t="n"/>
      <c r="B3590" s="113" t="n"/>
      <c r="C3590" s="113" t="n"/>
      <c r="D3590" s="113" t="n"/>
      <c r="E3590" s="113" t="n"/>
      <c r="F3590" s="113" t="n"/>
      <c r="G3590" s="113" t="n"/>
      <c r="H3590" s="113" t="n"/>
      <c r="I3590" s="113" t="n"/>
      <c r="J3590" s="113" t="n"/>
      <c r="K3590" s="113" t="n"/>
      <c r="L3590" s="113" t="n"/>
      <c r="M3590" s="113" t="n"/>
      <c r="N3590" s="113" t="n"/>
      <c r="O3590" s="113" t="n"/>
      <c r="P3590" s="113" t="n"/>
      <c r="Q3590" s="113" t="n"/>
      <c r="R3590" s="113" t="n"/>
      <c r="S3590" s="113" t="n"/>
      <c r="T3590" s="113" t="n"/>
      <c r="U3590" s="113" t="n"/>
      <c r="V3590" s="113" t="n"/>
      <c r="W3590" s="113" t="n"/>
      <c r="X3590" s="113" t="n"/>
      <c r="Y3590" s="113" t="n"/>
      <c r="Z3590" s="117">
        <f>IF($B3590="",0,IF($S3590="EVET",IF($D3590="GELİR",$O3590,-$O3590),0))</f>
        <v/>
      </c>
      <c r="AA3590" s="117">
        <f>IF($B3590="",0,IF(OR($W3590="EVET",$X3590="EVET",$Y3590="EVET"),0,IF($D3590="GELİR",IF($E3590="SATIŞ İADESİ/İSKONTO",-$O3590,$O3590),-$O3590)))</f>
        <v/>
      </c>
      <c r="AB3590" s="117">
        <f>IF($B3590="","",IF(OR($D3590="",$E3590="",$O3590=""),"EKSİK",IF($O3590&lt;=0,"SIFIR/NEGATİF",IF(COUNTIFS($C$6:$C$5000,$C3590,$O$6:$O$5000,$O3590,$B$6:$B$5000,$B3590)&gt;1,"MÜKERRER","OK"))))</f>
        <v/>
      </c>
    </row>
    <row r="3591" ht="16.5" customHeight="1" s="80">
      <c r="A3591" s="113" t="n"/>
      <c r="B3591" s="113" t="n"/>
      <c r="C3591" s="113" t="n"/>
      <c r="D3591" s="113" t="n"/>
      <c r="E3591" s="113" t="n"/>
      <c r="F3591" s="113" t="n"/>
      <c r="G3591" s="113" t="n"/>
      <c r="H3591" s="113" t="n"/>
      <c r="I3591" s="113" t="n"/>
      <c r="J3591" s="113" t="n"/>
      <c r="K3591" s="113" t="n"/>
      <c r="L3591" s="113" t="n"/>
      <c r="M3591" s="113" t="n"/>
      <c r="N3591" s="113" t="n"/>
      <c r="O3591" s="113" t="n"/>
      <c r="P3591" s="113" t="n"/>
      <c r="Q3591" s="113" t="n"/>
      <c r="R3591" s="113" t="n"/>
      <c r="S3591" s="113" t="n"/>
      <c r="T3591" s="113" t="n"/>
      <c r="U3591" s="113" t="n"/>
      <c r="V3591" s="113" t="n"/>
      <c r="W3591" s="113" t="n"/>
      <c r="X3591" s="113" t="n"/>
      <c r="Y3591" s="113" t="n"/>
      <c r="Z3591" s="117">
        <f>IF($B3591="",0,IF($S3591="EVET",IF($D3591="GELİR",$O3591,-$O3591),0))</f>
        <v/>
      </c>
      <c r="AA3591" s="117">
        <f>IF($B3591="",0,IF(OR($W3591="EVET",$X3591="EVET",$Y3591="EVET"),0,IF($D3591="GELİR",IF($E3591="SATIŞ İADESİ/İSKONTO",-$O3591,$O3591),-$O3591)))</f>
        <v/>
      </c>
      <c r="AB3591" s="117">
        <f>IF($B3591="","",IF(OR($D3591="",$E3591="",$O3591=""),"EKSİK",IF($O3591&lt;=0,"SIFIR/NEGATİF",IF(COUNTIFS($C$6:$C$5000,$C3591,$O$6:$O$5000,$O3591,$B$6:$B$5000,$B3591)&gt;1,"MÜKERRER","OK"))))</f>
        <v/>
      </c>
    </row>
    <row r="3592" ht="16.5" customHeight="1" s="80">
      <c r="A3592" s="113" t="n"/>
      <c r="B3592" s="113" t="n"/>
      <c r="C3592" s="113" t="n"/>
      <c r="D3592" s="113" t="n"/>
      <c r="E3592" s="113" t="n"/>
      <c r="F3592" s="113" t="n"/>
      <c r="G3592" s="113" t="n"/>
      <c r="H3592" s="113" t="n"/>
      <c r="I3592" s="113" t="n"/>
      <c r="J3592" s="113" t="n"/>
      <c r="K3592" s="113" t="n"/>
      <c r="L3592" s="113" t="n"/>
      <c r="M3592" s="113" t="n"/>
      <c r="N3592" s="113" t="n"/>
      <c r="O3592" s="113" t="n"/>
      <c r="P3592" s="113" t="n"/>
      <c r="Q3592" s="113" t="n"/>
      <c r="R3592" s="113" t="n"/>
      <c r="S3592" s="113" t="n"/>
      <c r="T3592" s="113" t="n"/>
      <c r="U3592" s="113" t="n"/>
      <c r="V3592" s="113" t="n"/>
      <c r="W3592" s="113" t="n"/>
      <c r="X3592" s="113" t="n"/>
      <c r="Y3592" s="113" t="n"/>
      <c r="Z3592" s="117">
        <f>IF($B3592="",0,IF($S3592="EVET",IF($D3592="GELİR",$O3592,-$O3592),0))</f>
        <v/>
      </c>
      <c r="AA3592" s="117">
        <f>IF($B3592="",0,IF(OR($W3592="EVET",$X3592="EVET",$Y3592="EVET"),0,IF($D3592="GELİR",IF($E3592="SATIŞ İADESİ/İSKONTO",-$O3592,$O3592),-$O3592)))</f>
        <v/>
      </c>
      <c r="AB3592" s="117">
        <f>IF($B3592="","",IF(OR($D3592="",$E3592="",$O3592=""),"EKSİK",IF($O3592&lt;=0,"SIFIR/NEGATİF",IF(COUNTIFS($C$6:$C$5000,$C3592,$O$6:$O$5000,$O3592,$B$6:$B$5000,$B3592)&gt;1,"MÜKERRER","OK"))))</f>
        <v/>
      </c>
    </row>
    <row r="3593" ht="16.5" customHeight="1" s="80">
      <c r="A3593" s="113" t="n"/>
      <c r="B3593" s="113" t="n"/>
      <c r="C3593" s="113" t="n"/>
      <c r="D3593" s="113" t="n"/>
      <c r="E3593" s="113" t="n"/>
      <c r="F3593" s="113" t="n"/>
      <c r="G3593" s="113" t="n"/>
      <c r="H3593" s="113" t="n"/>
      <c r="I3593" s="113" t="n"/>
      <c r="J3593" s="113" t="n"/>
      <c r="K3593" s="113" t="n"/>
      <c r="L3593" s="113" t="n"/>
      <c r="M3593" s="113" t="n"/>
      <c r="N3593" s="113" t="n"/>
      <c r="O3593" s="113" t="n"/>
      <c r="P3593" s="113" t="n"/>
      <c r="Q3593" s="113" t="n"/>
      <c r="R3593" s="113" t="n"/>
      <c r="S3593" s="113" t="n"/>
      <c r="T3593" s="113" t="n"/>
      <c r="U3593" s="113" t="n"/>
      <c r="V3593" s="113" t="n"/>
      <c r="W3593" s="113" t="n"/>
      <c r="X3593" s="113" t="n"/>
      <c r="Y3593" s="113" t="n"/>
      <c r="Z3593" s="117">
        <f>IF($B3593="",0,IF($S3593="EVET",IF($D3593="GELİR",$O3593,-$O3593),0))</f>
        <v/>
      </c>
      <c r="AA3593" s="117">
        <f>IF($B3593="",0,IF(OR($W3593="EVET",$X3593="EVET",$Y3593="EVET"),0,IF($D3593="GELİR",IF($E3593="SATIŞ İADESİ/İSKONTO",-$O3593,$O3593),-$O3593)))</f>
        <v/>
      </c>
      <c r="AB3593" s="117">
        <f>IF($B3593="","",IF(OR($D3593="",$E3593="",$O3593=""),"EKSİK",IF($O3593&lt;=0,"SIFIR/NEGATİF",IF(COUNTIFS($C$6:$C$5000,$C3593,$O$6:$O$5000,$O3593,$B$6:$B$5000,$B3593)&gt;1,"MÜKERRER","OK"))))</f>
        <v/>
      </c>
    </row>
    <row r="3594" ht="16.5" customHeight="1" s="80">
      <c r="A3594" s="113" t="n"/>
      <c r="B3594" s="113" t="n"/>
      <c r="C3594" s="113" t="n"/>
      <c r="D3594" s="113" t="n"/>
      <c r="E3594" s="113" t="n"/>
      <c r="F3594" s="113" t="n"/>
      <c r="G3594" s="113" t="n"/>
      <c r="H3594" s="113" t="n"/>
      <c r="I3594" s="113" t="n"/>
      <c r="J3594" s="113" t="n"/>
      <c r="K3594" s="113" t="n"/>
      <c r="L3594" s="113" t="n"/>
      <c r="M3594" s="113" t="n"/>
      <c r="N3594" s="113" t="n"/>
      <c r="O3594" s="113" t="n"/>
      <c r="P3594" s="113" t="n"/>
      <c r="Q3594" s="113" t="n"/>
      <c r="R3594" s="113" t="n"/>
      <c r="S3594" s="113" t="n"/>
      <c r="T3594" s="113" t="n"/>
      <c r="U3594" s="113" t="n"/>
      <c r="V3594" s="113" t="n"/>
      <c r="W3594" s="113" t="n"/>
      <c r="X3594" s="113" t="n"/>
      <c r="Y3594" s="113" t="n"/>
      <c r="Z3594" s="117">
        <f>IF($B3594="",0,IF($S3594="EVET",IF($D3594="GELİR",$O3594,-$O3594),0))</f>
        <v/>
      </c>
      <c r="AA3594" s="117">
        <f>IF($B3594="",0,IF(OR($W3594="EVET",$X3594="EVET",$Y3594="EVET"),0,IF($D3594="GELİR",IF($E3594="SATIŞ İADESİ/İSKONTO",-$O3594,$O3594),-$O3594)))</f>
        <v/>
      </c>
      <c r="AB3594" s="117">
        <f>IF($B3594="","",IF(OR($D3594="",$E3594="",$O3594=""),"EKSİK",IF($O3594&lt;=0,"SIFIR/NEGATİF",IF(COUNTIFS($C$6:$C$5000,$C3594,$O$6:$O$5000,$O3594,$B$6:$B$5000,$B3594)&gt;1,"MÜKERRER","OK"))))</f>
        <v/>
      </c>
    </row>
    <row r="3595" ht="16.5" customHeight="1" s="80">
      <c r="A3595" s="113" t="n"/>
      <c r="B3595" s="113" t="n"/>
      <c r="C3595" s="113" t="n"/>
      <c r="D3595" s="113" t="n"/>
      <c r="E3595" s="113" t="n"/>
      <c r="F3595" s="113" t="n"/>
      <c r="G3595" s="113" t="n"/>
      <c r="H3595" s="113" t="n"/>
      <c r="I3595" s="113" t="n"/>
      <c r="J3595" s="113" t="n"/>
      <c r="K3595" s="113" t="n"/>
      <c r="L3595" s="113" t="n"/>
      <c r="M3595" s="113" t="n"/>
      <c r="N3595" s="113" t="n"/>
      <c r="O3595" s="113" t="n"/>
      <c r="P3595" s="113" t="n"/>
      <c r="Q3595" s="113" t="n"/>
      <c r="R3595" s="113" t="n"/>
      <c r="S3595" s="113" t="n"/>
      <c r="T3595" s="113" t="n"/>
      <c r="U3595" s="113" t="n"/>
      <c r="V3595" s="113" t="n"/>
      <c r="W3595" s="113" t="n"/>
      <c r="X3595" s="113" t="n"/>
      <c r="Y3595" s="113" t="n"/>
      <c r="Z3595" s="117">
        <f>IF($B3595="",0,IF($S3595="EVET",IF($D3595="GELİR",$O3595,-$O3595),0))</f>
        <v/>
      </c>
      <c r="AA3595" s="117">
        <f>IF($B3595="",0,IF(OR($W3595="EVET",$X3595="EVET",$Y3595="EVET"),0,IF($D3595="GELİR",IF($E3595="SATIŞ İADESİ/İSKONTO",-$O3595,$O3595),-$O3595)))</f>
        <v/>
      </c>
      <c r="AB3595" s="117">
        <f>IF($B3595="","",IF(OR($D3595="",$E3595="",$O3595=""),"EKSİK",IF($O3595&lt;=0,"SIFIR/NEGATİF",IF(COUNTIFS($C$6:$C$5000,$C3595,$O$6:$O$5000,$O3595,$B$6:$B$5000,$B3595)&gt;1,"MÜKERRER","OK"))))</f>
        <v/>
      </c>
    </row>
    <row r="3596" ht="16.5" customHeight="1" s="80">
      <c r="A3596" s="113" t="n"/>
      <c r="B3596" s="113" t="n"/>
      <c r="C3596" s="113" t="n"/>
      <c r="D3596" s="113" t="n"/>
      <c r="E3596" s="113" t="n"/>
      <c r="F3596" s="113" t="n"/>
      <c r="G3596" s="113" t="n"/>
      <c r="H3596" s="113" t="n"/>
      <c r="I3596" s="113" t="n"/>
      <c r="J3596" s="113" t="n"/>
      <c r="K3596" s="113" t="n"/>
      <c r="L3596" s="113" t="n"/>
      <c r="M3596" s="113" t="n"/>
      <c r="N3596" s="113" t="n"/>
      <c r="O3596" s="113" t="n"/>
      <c r="P3596" s="113" t="n"/>
      <c r="Q3596" s="113" t="n"/>
      <c r="R3596" s="113" t="n"/>
      <c r="S3596" s="113" t="n"/>
      <c r="T3596" s="113" t="n"/>
      <c r="U3596" s="113" t="n"/>
      <c r="V3596" s="113" t="n"/>
      <c r="W3596" s="113" t="n"/>
      <c r="X3596" s="113" t="n"/>
      <c r="Y3596" s="113" t="n"/>
      <c r="Z3596" s="117">
        <f>IF($B3596="",0,IF($S3596="EVET",IF($D3596="GELİR",$O3596,-$O3596),0))</f>
        <v/>
      </c>
      <c r="AA3596" s="117">
        <f>IF($B3596="",0,IF(OR($W3596="EVET",$X3596="EVET",$Y3596="EVET"),0,IF($D3596="GELİR",IF($E3596="SATIŞ İADESİ/İSKONTO",-$O3596,$O3596),-$O3596)))</f>
        <v/>
      </c>
      <c r="AB3596" s="117">
        <f>IF($B3596="","",IF(OR($D3596="",$E3596="",$O3596=""),"EKSİK",IF($O3596&lt;=0,"SIFIR/NEGATİF",IF(COUNTIFS($C$6:$C$5000,$C3596,$O$6:$O$5000,$O3596,$B$6:$B$5000,$B3596)&gt;1,"MÜKERRER","OK"))))</f>
        <v/>
      </c>
    </row>
    <row r="3597" ht="16.5" customHeight="1" s="80">
      <c r="A3597" s="113" t="n"/>
      <c r="B3597" s="113" t="n"/>
      <c r="C3597" s="113" t="n"/>
      <c r="D3597" s="113" t="n"/>
      <c r="E3597" s="113" t="n"/>
      <c r="F3597" s="113" t="n"/>
      <c r="G3597" s="113" t="n"/>
      <c r="H3597" s="113" t="n"/>
      <c r="I3597" s="113" t="n"/>
      <c r="J3597" s="113" t="n"/>
      <c r="K3597" s="113" t="n"/>
      <c r="L3597" s="113" t="n"/>
      <c r="M3597" s="113" t="n"/>
      <c r="N3597" s="113" t="n"/>
      <c r="O3597" s="113" t="n"/>
      <c r="P3597" s="113" t="n"/>
      <c r="Q3597" s="113" t="n"/>
      <c r="R3597" s="113" t="n"/>
      <c r="S3597" s="113" t="n"/>
      <c r="T3597" s="113" t="n"/>
      <c r="U3597" s="113" t="n"/>
      <c r="V3597" s="113" t="n"/>
      <c r="W3597" s="113" t="n"/>
      <c r="X3597" s="113" t="n"/>
      <c r="Y3597" s="113" t="n"/>
      <c r="Z3597" s="117">
        <f>IF($B3597="",0,IF($S3597="EVET",IF($D3597="GELİR",$O3597,-$O3597),0))</f>
        <v/>
      </c>
      <c r="AA3597" s="117">
        <f>IF($B3597="",0,IF(OR($W3597="EVET",$X3597="EVET",$Y3597="EVET"),0,IF($D3597="GELİR",IF($E3597="SATIŞ İADESİ/İSKONTO",-$O3597,$O3597),-$O3597)))</f>
        <v/>
      </c>
      <c r="AB3597" s="117">
        <f>IF($B3597="","",IF(OR($D3597="",$E3597="",$O3597=""),"EKSİK",IF($O3597&lt;=0,"SIFIR/NEGATİF",IF(COUNTIFS($C$6:$C$5000,$C3597,$O$6:$O$5000,$O3597,$B$6:$B$5000,$B3597)&gt;1,"MÜKERRER","OK"))))</f>
        <v/>
      </c>
    </row>
    <row r="3598" ht="16.5" customHeight="1" s="80">
      <c r="A3598" s="113" t="n"/>
      <c r="B3598" s="113" t="n"/>
      <c r="C3598" s="113" t="n"/>
      <c r="D3598" s="113" t="n"/>
      <c r="E3598" s="113" t="n"/>
      <c r="F3598" s="113" t="n"/>
      <c r="G3598" s="113" t="n"/>
      <c r="H3598" s="113" t="n"/>
      <c r="I3598" s="113" t="n"/>
      <c r="J3598" s="113" t="n"/>
      <c r="K3598" s="113" t="n"/>
      <c r="L3598" s="113" t="n"/>
      <c r="M3598" s="113" t="n"/>
      <c r="N3598" s="113" t="n"/>
      <c r="O3598" s="113" t="n"/>
      <c r="P3598" s="113" t="n"/>
      <c r="Q3598" s="113" t="n"/>
      <c r="R3598" s="113" t="n"/>
      <c r="S3598" s="113" t="n"/>
      <c r="T3598" s="113" t="n"/>
      <c r="U3598" s="113" t="n"/>
      <c r="V3598" s="113" t="n"/>
      <c r="W3598" s="113" t="n"/>
      <c r="X3598" s="113" t="n"/>
      <c r="Y3598" s="113" t="n"/>
      <c r="Z3598" s="117">
        <f>IF($B3598="",0,IF($S3598="EVET",IF($D3598="GELİR",$O3598,-$O3598),0))</f>
        <v/>
      </c>
      <c r="AA3598" s="117">
        <f>IF($B3598="",0,IF(OR($W3598="EVET",$X3598="EVET",$Y3598="EVET"),0,IF($D3598="GELİR",IF($E3598="SATIŞ İADESİ/İSKONTO",-$O3598,$O3598),-$O3598)))</f>
        <v/>
      </c>
      <c r="AB3598" s="117">
        <f>IF($B3598="","",IF(OR($D3598="",$E3598="",$O3598=""),"EKSİK",IF($O3598&lt;=0,"SIFIR/NEGATİF",IF(COUNTIFS($C$6:$C$5000,$C3598,$O$6:$O$5000,$O3598,$B$6:$B$5000,$B3598)&gt;1,"MÜKERRER","OK"))))</f>
        <v/>
      </c>
    </row>
    <row r="3599" ht="16.5" customHeight="1" s="80">
      <c r="A3599" s="113" t="n"/>
      <c r="B3599" s="113" t="n"/>
      <c r="C3599" s="113" t="n"/>
      <c r="D3599" s="113" t="n"/>
      <c r="E3599" s="113" t="n"/>
      <c r="F3599" s="113" t="n"/>
      <c r="G3599" s="113" t="n"/>
      <c r="H3599" s="113" t="n"/>
      <c r="I3599" s="113" t="n"/>
      <c r="J3599" s="113" t="n"/>
      <c r="K3599" s="113" t="n"/>
      <c r="L3599" s="113" t="n"/>
      <c r="M3599" s="113" t="n"/>
      <c r="N3599" s="113" t="n"/>
      <c r="O3599" s="113" t="n"/>
      <c r="P3599" s="113" t="n"/>
      <c r="Q3599" s="113" t="n"/>
      <c r="R3599" s="113" t="n"/>
      <c r="S3599" s="113" t="n"/>
      <c r="T3599" s="113" t="n"/>
      <c r="U3599" s="113" t="n"/>
      <c r="V3599" s="113" t="n"/>
      <c r="W3599" s="113" t="n"/>
      <c r="X3599" s="113" t="n"/>
      <c r="Y3599" s="113" t="n"/>
      <c r="Z3599" s="117">
        <f>IF($B3599="",0,IF($S3599="EVET",IF($D3599="GELİR",$O3599,-$O3599),0))</f>
        <v/>
      </c>
      <c r="AA3599" s="117">
        <f>IF($B3599="",0,IF(OR($W3599="EVET",$X3599="EVET",$Y3599="EVET"),0,IF($D3599="GELİR",IF($E3599="SATIŞ İADESİ/İSKONTO",-$O3599,$O3599),-$O3599)))</f>
        <v/>
      </c>
      <c r="AB3599" s="117">
        <f>IF($B3599="","",IF(OR($D3599="",$E3599="",$O3599=""),"EKSİK",IF($O3599&lt;=0,"SIFIR/NEGATİF",IF(COUNTIFS($C$6:$C$5000,$C3599,$O$6:$O$5000,$O3599,$B$6:$B$5000,$B3599)&gt;1,"MÜKERRER","OK"))))</f>
        <v/>
      </c>
    </row>
    <row r="3600" ht="16.5" customHeight="1" s="80">
      <c r="A3600" s="113" t="n"/>
      <c r="B3600" s="113" t="n"/>
      <c r="C3600" s="113" t="n"/>
      <c r="D3600" s="113" t="n"/>
      <c r="E3600" s="113" t="n"/>
      <c r="F3600" s="113" t="n"/>
      <c r="G3600" s="113" t="n"/>
      <c r="H3600" s="113" t="n"/>
      <c r="I3600" s="113" t="n"/>
      <c r="J3600" s="113" t="n"/>
      <c r="K3600" s="113" t="n"/>
      <c r="L3600" s="113" t="n"/>
      <c r="M3600" s="113" t="n"/>
      <c r="N3600" s="113" t="n"/>
      <c r="O3600" s="113" t="n"/>
      <c r="P3600" s="113" t="n"/>
      <c r="Q3600" s="113" t="n"/>
      <c r="R3600" s="113" t="n"/>
      <c r="S3600" s="113" t="n"/>
      <c r="T3600" s="113" t="n"/>
      <c r="U3600" s="113" t="n"/>
      <c r="V3600" s="113" t="n"/>
      <c r="W3600" s="113" t="n"/>
      <c r="X3600" s="113" t="n"/>
      <c r="Y3600" s="113" t="n"/>
      <c r="Z3600" s="117">
        <f>IF($B3600="",0,IF($S3600="EVET",IF($D3600="GELİR",$O3600,-$O3600),0))</f>
        <v/>
      </c>
      <c r="AA3600" s="117">
        <f>IF($B3600="",0,IF(OR($W3600="EVET",$X3600="EVET",$Y3600="EVET"),0,IF($D3600="GELİR",IF($E3600="SATIŞ İADESİ/İSKONTO",-$O3600,$O3600),-$O3600)))</f>
        <v/>
      </c>
      <c r="AB3600" s="117">
        <f>IF($B3600="","",IF(OR($D3600="",$E3600="",$O3600=""),"EKSİK",IF($O3600&lt;=0,"SIFIR/NEGATİF",IF(COUNTIFS($C$6:$C$5000,$C3600,$O$6:$O$5000,$O3600,$B$6:$B$5000,$B3600)&gt;1,"MÜKERRER","OK"))))</f>
        <v/>
      </c>
    </row>
    <row r="3601" ht="16.5" customHeight="1" s="80">
      <c r="A3601" s="113" t="n"/>
      <c r="B3601" s="113" t="n"/>
      <c r="C3601" s="113" t="n"/>
      <c r="D3601" s="113" t="n"/>
      <c r="E3601" s="113" t="n"/>
      <c r="F3601" s="113" t="n"/>
      <c r="G3601" s="113" t="n"/>
      <c r="H3601" s="113" t="n"/>
      <c r="I3601" s="113" t="n"/>
      <c r="J3601" s="113" t="n"/>
      <c r="K3601" s="113" t="n"/>
      <c r="L3601" s="113" t="n"/>
      <c r="M3601" s="113" t="n"/>
      <c r="N3601" s="113" t="n"/>
      <c r="O3601" s="113" t="n"/>
      <c r="P3601" s="113" t="n"/>
      <c r="Q3601" s="113" t="n"/>
      <c r="R3601" s="113" t="n"/>
      <c r="S3601" s="113" t="n"/>
      <c r="T3601" s="113" t="n"/>
      <c r="U3601" s="113" t="n"/>
      <c r="V3601" s="113" t="n"/>
      <c r="W3601" s="113" t="n"/>
      <c r="X3601" s="113" t="n"/>
      <c r="Y3601" s="113" t="n"/>
      <c r="Z3601" s="117">
        <f>IF($B3601="",0,IF($S3601="EVET",IF($D3601="GELİR",$O3601,-$O3601),0))</f>
        <v/>
      </c>
      <c r="AA3601" s="117">
        <f>IF($B3601="",0,IF(OR($W3601="EVET",$X3601="EVET",$Y3601="EVET"),0,IF($D3601="GELİR",IF($E3601="SATIŞ İADESİ/İSKONTO",-$O3601,$O3601),-$O3601)))</f>
        <v/>
      </c>
      <c r="AB3601" s="117">
        <f>IF($B3601="","",IF(OR($D3601="",$E3601="",$O3601=""),"EKSİK",IF($O3601&lt;=0,"SIFIR/NEGATİF",IF(COUNTIFS($C$6:$C$5000,$C3601,$O$6:$O$5000,$O3601,$B$6:$B$5000,$B3601)&gt;1,"MÜKERRER","OK"))))</f>
        <v/>
      </c>
    </row>
    <row r="3602" ht="16.5" customHeight="1" s="80">
      <c r="A3602" s="113" t="n"/>
      <c r="B3602" s="113" t="n"/>
      <c r="C3602" s="113" t="n"/>
      <c r="D3602" s="113" t="n"/>
      <c r="E3602" s="113" t="n"/>
      <c r="F3602" s="113" t="n"/>
      <c r="G3602" s="113" t="n"/>
      <c r="H3602" s="113" t="n"/>
      <c r="I3602" s="113" t="n"/>
      <c r="J3602" s="113" t="n"/>
      <c r="K3602" s="113" t="n"/>
      <c r="L3602" s="113" t="n"/>
      <c r="M3602" s="113" t="n"/>
      <c r="N3602" s="113" t="n"/>
      <c r="O3602" s="113" t="n"/>
      <c r="P3602" s="113" t="n"/>
      <c r="Q3602" s="113" t="n"/>
      <c r="R3602" s="113" t="n"/>
      <c r="S3602" s="113" t="n"/>
      <c r="T3602" s="113" t="n"/>
      <c r="U3602" s="113" t="n"/>
      <c r="V3602" s="113" t="n"/>
      <c r="W3602" s="113" t="n"/>
      <c r="X3602" s="113" t="n"/>
      <c r="Y3602" s="113" t="n"/>
      <c r="Z3602" s="117">
        <f>IF($B3602="",0,IF($S3602="EVET",IF($D3602="GELİR",$O3602,-$O3602),0))</f>
        <v/>
      </c>
      <c r="AA3602" s="117">
        <f>IF($B3602="",0,IF(OR($W3602="EVET",$X3602="EVET",$Y3602="EVET"),0,IF($D3602="GELİR",IF($E3602="SATIŞ İADESİ/İSKONTO",-$O3602,$O3602),-$O3602)))</f>
        <v/>
      </c>
      <c r="AB3602" s="117">
        <f>IF($B3602="","",IF(OR($D3602="",$E3602="",$O3602=""),"EKSİK",IF($O3602&lt;=0,"SIFIR/NEGATİF",IF(COUNTIFS($C$6:$C$5000,$C3602,$O$6:$O$5000,$O3602,$B$6:$B$5000,$B3602)&gt;1,"MÜKERRER","OK"))))</f>
        <v/>
      </c>
    </row>
    <row r="3603" ht="16.5" customHeight="1" s="80">
      <c r="A3603" s="113" t="n"/>
      <c r="B3603" s="113" t="n"/>
      <c r="C3603" s="113" t="n"/>
      <c r="D3603" s="113" t="n"/>
      <c r="E3603" s="113" t="n"/>
      <c r="F3603" s="113" t="n"/>
      <c r="G3603" s="113" t="n"/>
      <c r="H3603" s="113" t="n"/>
      <c r="I3603" s="113" t="n"/>
      <c r="J3603" s="113" t="n"/>
      <c r="K3603" s="113" t="n"/>
      <c r="L3603" s="113" t="n"/>
      <c r="M3603" s="113" t="n"/>
      <c r="N3603" s="113" t="n"/>
      <c r="O3603" s="113" t="n"/>
      <c r="P3603" s="113" t="n"/>
      <c r="Q3603" s="113" t="n"/>
      <c r="R3603" s="113" t="n"/>
      <c r="S3603" s="113" t="n"/>
      <c r="T3603" s="113" t="n"/>
      <c r="U3603" s="113" t="n"/>
      <c r="V3603" s="113" t="n"/>
      <c r="W3603" s="113" t="n"/>
      <c r="X3603" s="113" t="n"/>
      <c r="Y3603" s="113" t="n"/>
      <c r="Z3603" s="117">
        <f>IF($B3603="",0,IF($S3603="EVET",IF($D3603="GELİR",$O3603,-$O3603),0))</f>
        <v/>
      </c>
      <c r="AA3603" s="117">
        <f>IF($B3603="",0,IF(OR($W3603="EVET",$X3603="EVET",$Y3603="EVET"),0,IF($D3603="GELİR",IF($E3603="SATIŞ İADESİ/İSKONTO",-$O3603,$O3603),-$O3603)))</f>
        <v/>
      </c>
      <c r="AB3603" s="117">
        <f>IF($B3603="","",IF(OR($D3603="",$E3603="",$O3603=""),"EKSİK",IF($O3603&lt;=0,"SIFIR/NEGATİF",IF(COUNTIFS($C$6:$C$5000,$C3603,$O$6:$O$5000,$O3603,$B$6:$B$5000,$B3603)&gt;1,"MÜKERRER","OK"))))</f>
        <v/>
      </c>
    </row>
    <row r="3604" ht="16.5" customHeight="1" s="80">
      <c r="A3604" s="113" t="n"/>
      <c r="B3604" s="113" t="n"/>
      <c r="C3604" s="113" t="n"/>
      <c r="D3604" s="113" t="n"/>
      <c r="E3604" s="113" t="n"/>
      <c r="F3604" s="113" t="n"/>
      <c r="G3604" s="113" t="n"/>
      <c r="H3604" s="113" t="n"/>
      <c r="I3604" s="113" t="n"/>
      <c r="J3604" s="113" t="n"/>
      <c r="K3604" s="113" t="n"/>
      <c r="L3604" s="113" t="n"/>
      <c r="M3604" s="113" t="n"/>
      <c r="N3604" s="113" t="n"/>
      <c r="O3604" s="113" t="n"/>
      <c r="P3604" s="113" t="n"/>
      <c r="Q3604" s="113" t="n"/>
      <c r="R3604" s="113" t="n"/>
      <c r="S3604" s="113" t="n"/>
      <c r="T3604" s="113" t="n"/>
      <c r="U3604" s="113" t="n"/>
      <c r="V3604" s="113" t="n"/>
      <c r="W3604" s="113" t="n"/>
      <c r="X3604" s="113" t="n"/>
      <c r="Y3604" s="113" t="n"/>
      <c r="Z3604" s="117">
        <f>IF($B3604="",0,IF($S3604="EVET",IF($D3604="GELİR",$O3604,-$O3604),0))</f>
        <v/>
      </c>
      <c r="AA3604" s="117">
        <f>IF($B3604="",0,IF(OR($W3604="EVET",$X3604="EVET",$Y3604="EVET"),0,IF($D3604="GELİR",IF($E3604="SATIŞ İADESİ/İSKONTO",-$O3604,$O3604),-$O3604)))</f>
        <v/>
      </c>
      <c r="AB3604" s="117">
        <f>IF($B3604="","",IF(OR($D3604="",$E3604="",$O3604=""),"EKSİK",IF($O3604&lt;=0,"SIFIR/NEGATİF",IF(COUNTIFS($C$6:$C$5000,$C3604,$O$6:$O$5000,$O3604,$B$6:$B$5000,$B3604)&gt;1,"MÜKERRER","OK"))))</f>
        <v/>
      </c>
    </row>
    <row r="3605" ht="16.5" customHeight="1" s="80">
      <c r="A3605" s="113" t="n"/>
      <c r="B3605" s="113" t="n"/>
      <c r="C3605" s="113" t="n"/>
      <c r="D3605" s="113" t="n"/>
      <c r="E3605" s="113" t="n"/>
      <c r="F3605" s="113" t="n"/>
      <c r="G3605" s="113" t="n"/>
      <c r="H3605" s="113" t="n"/>
      <c r="I3605" s="113" t="n"/>
      <c r="J3605" s="113" t="n"/>
      <c r="K3605" s="113" t="n"/>
      <c r="L3605" s="113" t="n"/>
      <c r="M3605" s="113" t="n"/>
      <c r="N3605" s="113" t="n"/>
      <c r="O3605" s="113" t="n"/>
      <c r="P3605" s="113" t="n"/>
      <c r="Q3605" s="113" t="n"/>
      <c r="R3605" s="113" t="n"/>
      <c r="S3605" s="113" t="n"/>
      <c r="T3605" s="113" t="n"/>
      <c r="U3605" s="113" t="n"/>
      <c r="V3605" s="113" t="n"/>
      <c r="W3605" s="113" t="n"/>
      <c r="X3605" s="113" t="n"/>
      <c r="Y3605" s="113" t="n"/>
      <c r="Z3605" s="117">
        <f>IF($B3605="",0,IF($S3605="EVET",IF($D3605="GELİR",$O3605,-$O3605),0))</f>
        <v/>
      </c>
      <c r="AA3605" s="117">
        <f>IF($B3605="",0,IF(OR($W3605="EVET",$X3605="EVET",$Y3605="EVET"),0,IF($D3605="GELİR",IF($E3605="SATIŞ İADESİ/İSKONTO",-$O3605,$O3605),-$O3605)))</f>
        <v/>
      </c>
      <c r="AB3605" s="117">
        <f>IF($B3605="","",IF(OR($D3605="",$E3605="",$O3605=""),"EKSİK",IF($O3605&lt;=0,"SIFIR/NEGATİF",IF(COUNTIFS($C$6:$C$5000,$C3605,$O$6:$O$5000,$O3605,$B$6:$B$5000,$B3605)&gt;1,"MÜKERRER","OK"))))</f>
        <v/>
      </c>
    </row>
    <row r="3606" ht="16.5" customHeight="1" s="80">
      <c r="A3606" s="113" t="n"/>
      <c r="B3606" s="113" t="n"/>
      <c r="C3606" s="113" t="n"/>
      <c r="D3606" s="113" t="n"/>
      <c r="E3606" s="113" t="n"/>
      <c r="F3606" s="113" t="n"/>
      <c r="G3606" s="113" t="n"/>
      <c r="H3606" s="113" t="n"/>
      <c r="I3606" s="113" t="n"/>
      <c r="J3606" s="113" t="n"/>
      <c r="K3606" s="113" t="n"/>
      <c r="L3606" s="113" t="n"/>
      <c r="M3606" s="113" t="n"/>
      <c r="N3606" s="113" t="n"/>
      <c r="O3606" s="113" t="n"/>
      <c r="P3606" s="113" t="n"/>
      <c r="Q3606" s="113" t="n"/>
      <c r="R3606" s="113" t="n"/>
      <c r="S3606" s="113" t="n"/>
      <c r="T3606" s="113" t="n"/>
      <c r="U3606" s="113" t="n"/>
      <c r="V3606" s="113" t="n"/>
      <c r="W3606" s="113" t="n"/>
      <c r="X3606" s="113" t="n"/>
      <c r="Y3606" s="113" t="n"/>
      <c r="Z3606" s="117">
        <f>IF($B3606="",0,IF($S3606="EVET",IF($D3606="GELİR",$O3606,-$O3606),0))</f>
        <v/>
      </c>
      <c r="AA3606" s="117">
        <f>IF($B3606="",0,IF(OR($W3606="EVET",$X3606="EVET",$Y3606="EVET"),0,IF($D3606="GELİR",IF($E3606="SATIŞ İADESİ/İSKONTO",-$O3606,$O3606),-$O3606)))</f>
        <v/>
      </c>
      <c r="AB3606" s="117">
        <f>IF($B3606="","",IF(OR($D3606="",$E3606="",$O3606=""),"EKSİK",IF($O3606&lt;=0,"SIFIR/NEGATİF",IF(COUNTIFS($C$6:$C$5000,$C3606,$O$6:$O$5000,$O3606,$B$6:$B$5000,$B3606)&gt;1,"MÜKERRER","OK"))))</f>
        <v/>
      </c>
    </row>
    <row r="3607" ht="16.5" customHeight="1" s="80">
      <c r="A3607" s="113" t="n"/>
      <c r="B3607" s="113" t="n"/>
      <c r="C3607" s="113" t="n"/>
      <c r="D3607" s="113" t="n"/>
      <c r="E3607" s="113" t="n"/>
      <c r="F3607" s="113" t="n"/>
      <c r="G3607" s="113" t="n"/>
      <c r="H3607" s="113" t="n"/>
      <c r="I3607" s="113" t="n"/>
      <c r="J3607" s="113" t="n"/>
      <c r="K3607" s="113" t="n"/>
      <c r="L3607" s="113" t="n"/>
      <c r="M3607" s="113" t="n"/>
      <c r="N3607" s="113" t="n"/>
      <c r="O3607" s="113" t="n"/>
      <c r="P3607" s="113" t="n"/>
      <c r="Q3607" s="113" t="n"/>
      <c r="R3607" s="113" t="n"/>
      <c r="S3607" s="113" t="n"/>
      <c r="T3607" s="113" t="n"/>
      <c r="U3607" s="113" t="n"/>
      <c r="V3607" s="113" t="n"/>
      <c r="W3607" s="113" t="n"/>
      <c r="X3607" s="113" t="n"/>
      <c r="Y3607" s="113" t="n"/>
      <c r="Z3607" s="117">
        <f>IF($B3607="",0,IF($S3607="EVET",IF($D3607="GELİR",$O3607,-$O3607),0))</f>
        <v/>
      </c>
      <c r="AA3607" s="117">
        <f>IF($B3607="",0,IF(OR($W3607="EVET",$X3607="EVET",$Y3607="EVET"),0,IF($D3607="GELİR",IF($E3607="SATIŞ İADESİ/İSKONTO",-$O3607,$O3607),-$O3607)))</f>
        <v/>
      </c>
      <c r="AB3607" s="117">
        <f>IF($B3607="","",IF(OR($D3607="",$E3607="",$O3607=""),"EKSİK",IF($O3607&lt;=0,"SIFIR/NEGATİF",IF(COUNTIFS($C$6:$C$5000,$C3607,$O$6:$O$5000,$O3607,$B$6:$B$5000,$B3607)&gt;1,"MÜKERRER","OK"))))</f>
        <v/>
      </c>
    </row>
    <row r="3608" ht="16.5" customHeight="1" s="80">
      <c r="A3608" s="113" t="n"/>
      <c r="B3608" s="113" t="n"/>
      <c r="C3608" s="113" t="n"/>
      <c r="D3608" s="113" t="n"/>
      <c r="E3608" s="113" t="n"/>
      <c r="F3608" s="113" t="n"/>
      <c r="G3608" s="113" t="n"/>
      <c r="H3608" s="113" t="n"/>
      <c r="I3608" s="113" t="n"/>
      <c r="J3608" s="113" t="n"/>
      <c r="K3608" s="113" t="n"/>
      <c r="L3608" s="113" t="n"/>
      <c r="M3608" s="113" t="n"/>
      <c r="N3608" s="113" t="n"/>
      <c r="O3608" s="113" t="n"/>
      <c r="P3608" s="113" t="n"/>
      <c r="Q3608" s="113" t="n"/>
      <c r="R3608" s="113" t="n"/>
      <c r="S3608" s="113" t="n"/>
      <c r="T3608" s="113" t="n"/>
      <c r="U3608" s="113" t="n"/>
      <c r="V3608" s="113" t="n"/>
      <c r="W3608" s="113" t="n"/>
      <c r="X3608" s="113" t="n"/>
      <c r="Y3608" s="113" t="n"/>
      <c r="Z3608" s="117">
        <f>IF($B3608="",0,IF($S3608="EVET",IF($D3608="GELİR",$O3608,-$O3608),0))</f>
        <v/>
      </c>
      <c r="AA3608" s="117">
        <f>IF($B3608="",0,IF(OR($W3608="EVET",$X3608="EVET",$Y3608="EVET"),0,IF($D3608="GELİR",IF($E3608="SATIŞ İADESİ/İSKONTO",-$O3608,$O3608),-$O3608)))</f>
        <v/>
      </c>
      <c r="AB3608" s="117">
        <f>IF($B3608="","",IF(OR($D3608="",$E3608="",$O3608=""),"EKSİK",IF($O3608&lt;=0,"SIFIR/NEGATİF",IF(COUNTIFS($C$6:$C$5000,$C3608,$O$6:$O$5000,$O3608,$B$6:$B$5000,$B3608)&gt;1,"MÜKERRER","OK"))))</f>
        <v/>
      </c>
    </row>
    <row r="3609" ht="16.5" customHeight="1" s="80">
      <c r="A3609" s="113" t="n"/>
      <c r="B3609" s="113" t="n"/>
      <c r="C3609" s="113" t="n"/>
      <c r="D3609" s="113" t="n"/>
      <c r="E3609" s="113" t="n"/>
      <c r="F3609" s="113" t="n"/>
      <c r="G3609" s="113" t="n"/>
      <c r="H3609" s="113" t="n"/>
      <c r="I3609" s="113" t="n"/>
      <c r="J3609" s="113" t="n"/>
      <c r="K3609" s="113" t="n"/>
      <c r="L3609" s="113" t="n"/>
      <c r="M3609" s="113" t="n"/>
      <c r="N3609" s="113" t="n"/>
      <c r="O3609" s="113" t="n"/>
      <c r="P3609" s="113" t="n"/>
      <c r="Q3609" s="113" t="n"/>
      <c r="R3609" s="113" t="n"/>
      <c r="S3609" s="113" t="n"/>
      <c r="T3609" s="113" t="n"/>
      <c r="U3609" s="113" t="n"/>
      <c r="V3609" s="113" t="n"/>
      <c r="W3609" s="113" t="n"/>
      <c r="X3609" s="113" t="n"/>
      <c r="Y3609" s="113" t="n"/>
      <c r="Z3609" s="117">
        <f>IF($B3609="",0,IF($S3609="EVET",IF($D3609="GELİR",$O3609,-$O3609),0))</f>
        <v/>
      </c>
      <c r="AA3609" s="117">
        <f>IF($B3609="",0,IF(OR($W3609="EVET",$X3609="EVET",$Y3609="EVET"),0,IF($D3609="GELİR",IF($E3609="SATIŞ İADESİ/İSKONTO",-$O3609,$O3609),-$O3609)))</f>
        <v/>
      </c>
      <c r="AB3609" s="117">
        <f>IF($B3609="","",IF(OR($D3609="",$E3609="",$O3609=""),"EKSİK",IF($O3609&lt;=0,"SIFIR/NEGATİF",IF(COUNTIFS($C$6:$C$5000,$C3609,$O$6:$O$5000,$O3609,$B$6:$B$5000,$B3609)&gt;1,"MÜKERRER","OK"))))</f>
        <v/>
      </c>
    </row>
    <row r="3610" ht="16.5" customHeight="1" s="80">
      <c r="A3610" s="113" t="n"/>
      <c r="B3610" s="113" t="n"/>
      <c r="C3610" s="113" t="n"/>
      <c r="D3610" s="113" t="n"/>
      <c r="E3610" s="113" t="n"/>
      <c r="F3610" s="113" t="n"/>
      <c r="G3610" s="113" t="n"/>
      <c r="H3610" s="113" t="n"/>
      <c r="I3610" s="113" t="n"/>
      <c r="J3610" s="113" t="n"/>
      <c r="K3610" s="113" t="n"/>
      <c r="L3610" s="113" t="n"/>
      <c r="M3610" s="113" t="n"/>
      <c r="N3610" s="113" t="n"/>
      <c r="O3610" s="113" t="n"/>
      <c r="P3610" s="113" t="n"/>
      <c r="Q3610" s="113" t="n"/>
      <c r="R3610" s="113" t="n"/>
      <c r="S3610" s="113" t="n"/>
      <c r="T3610" s="113" t="n"/>
      <c r="U3610" s="113" t="n"/>
      <c r="V3610" s="113" t="n"/>
      <c r="W3610" s="113" t="n"/>
      <c r="X3610" s="113" t="n"/>
      <c r="Y3610" s="113" t="n"/>
      <c r="Z3610" s="117">
        <f>IF($B3610="",0,IF($S3610="EVET",IF($D3610="GELİR",$O3610,-$O3610),0))</f>
        <v/>
      </c>
      <c r="AA3610" s="117">
        <f>IF($B3610="",0,IF(OR($W3610="EVET",$X3610="EVET",$Y3610="EVET"),0,IF($D3610="GELİR",IF($E3610="SATIŞ İADESİ/İSKONTO",-$O3610,$O3610),-$O3610)))</f>
        <v/>
      </c>
      <c r="AB3610" s="117">
        <f>IF($B3610="","",IF(OR($D3610="",$E3610="",$O3610=""),"EKSİK",IF($O3610&lt;=0,"SIFIR/NEGATİF",IF(COUNTIFS($C$6:$C$5000,$C3610,$O$6:$O$5000,$O3610,$B$6:$B$5000,$B3610)&gt;1,"MÜKERRER","OK"))))</f>
        <v/>
      </c>
    </row>
    <row r="3611" ht="16.5" customHeight="1" s="80">
      <c r="A3611" s="113" t="n"/>
      <c r="B3611" s="113" t="n"/>
      <c r="C3611" s="113" t="n"/>
      <c r="D3611" s="113" t="n"/>
      <c r="E3611" s="113" t="n"/>
      <c r="F3611" s="113" t="n"/>
      <c r="G3611" s="113" t="n"/>
      <c r="H3611" s="113" t="n"/>
      <c r="I3611" s="113" t="n"/>
      <c r="J3611" s="113" t="n"/>
      <c r="K3611" s="113" t="n"/>
      <c r="L3611" s="113" t="n"/>
      <c r="M3611" s="113" t="n"/>
      <c r="N3611" s="113" t="n"/>
      <c r="O3611" s="113" t="n"/>
      <c r="P3611" s="113" t="n"/>
      <c r="Q3611" s="113" t="n"/>
      <c r="R3611" s="113" t="n"/>
      <c r="S3611" s="113" t="n"/>
      <c r="T3611" s="113" t="n"/>
      <c r="U3611" s="113" t="n"/>
      <c r="V3611" s="113" t="n"/>
      <c r="W3611" s="113" t="n"/>
      <c r="X3611" s="113" t="n"/>
      <c r="Y3611" s="113" t="n"/>
      <c r="Z3611" s="117">
        <f>IF($B3611="",0,IF($S3611="EVET",IF($D3611="GELİR",$O3611,-$O3611),0))</f>
        <v/>
      </c>
      <c r="AA3611" s="117">
        <f>IF($B3611="",0,IF(OR($W3611="EVET",$X3611="EVET",$Y3611="EVET"),0,IF($D3611="GELİR",IF($E3611="SATIŞ İADESİ/İSKONTO",-$O3611,$O3611),-$O3611)))</f>
        <v/>
      </c>
      <c r="AB3611" s="117">
        <f>IF($B3611="","",IF(OR($D3611="",$E3611="",$O3611=""),"EKSİK",IF($O3611&lt;=0,"SIFIR/NEGATİF",IF(COUNTIFS($C$6:$C$5000,$C3611,$O$6:$O$5000,$O3611,$B$6:$B$5000,$B3611)&gt;1,"MÜKERRER","OK"))))</f>
        <v/>
      </c>
    </row>
    <row r="3612" ht="16.5" customHeight="1" s="80">
      <c r="A3612" s="113" t="n"/>
      <c r="B3612" s="113" t="n"/>
      <c r="C3612" s="113" t="n"/>
      <c r="D3612" s="113" t="n"/>
      <c r="E3612" s="113" t="n"/>
      <c r="F3612" s="113" t="n"/>
      <c r="G3612" s="113" t="n"/>
      <c r="H3612" s="113" t="n"/>
      <c r="I3612" s="113" t="n"/>
      <c r="J3612" s="113" t="n"/>
      <c r="K3612" s="113" t="n"/>
      <c r="L3612" s="113" t="n"/>
      <c r="M3612" s="113" t="n"/>
      <c r="N3612" s="113" t="n"/>
      <c r="O3612" s="113" t="n"/>
      <c r="P3612" s="113" t="n"/>
      <c r="Q3612" s="113" t="n"/>
      <c r="R3612" s="113" t="n"/>
      <c r="S3612" s="113" t="n"/>
      <c r="T3612" s="113" t="n"/>
      <c r="U3612" s="113" t="n"/>
      <c r="V3612" s="113" t="n"/>
      <c r="W3612" s="113" t="n"/>
      <c r="X3612" s="113" t="n"/>
      <c r="Y3612" s="113" t="n"/>
      <c r="Z3612" s="117">
        <f>IF($B3612="",0,IF($S3612="EVET",IF($D3612="GELİR",$O3612,-$O3612),0))</f>
        <v/>
      </c>
      <c r="AA3612" s="117">
        <f>IF($B3612="",0,IF(OR($W3612="EVET",$X3612="EVET",$Y3612="EVET"),0,IF($D3612="GELİR",IF($E3612="SATIŞ İADESİ/İSKONTO",-$O3612,$O3612),-$O3612)))</f>
        <v/>
      </c>
      <c r="AB3612" s="117">
        <f>IF($B3612="","",IF(OR($D3612="",$E3612="",$O3612=""),"EKSİK",IF($O3612&lt;=0,"SIFIR/NEGATİF",IF(COUNTIFS($C$6:$C$5000,$C3612,$O$6:$O$5000,$O3612,$B$6:$B$5000,$B3612)&gt;1,"MÜKERRER","OK"))))</f>
        <v/>
      </c>
    </row>
    <row r="3613" ht="16.5" customHeight="1" s="80">
      <c r="A3613" s="113" t="n"/>
      <c r="B3613" s="113" t="n"/>
      <c r="C3613" s="113" t="n"/>
      <c r="D3613" s="113" t="n"/>
      <c r="E3613" s="113" t="n"/>
      <c r="F3613" s="113" t="n"/>
      <c r="G3613" s="113" t="n"/>
      <c r="H3613" s="113" t="n"/>
      <c r="I3613" s="113" t="n"/>
      <c r="J3613" s="113" t="n"/>
      <c r="K3613" s="113" t="n"/>
      <c r="L3613" s="113" t="n"/>
      <c r="M3613" s="113" t="n"/>
      <c r="N3613" s="113" t="n"/>
      <c r="O3613" s="113" t="n"/>
      <c r="P3613" s="113" t="n"/>
      <c r="Q3613" s="113" t="n"/>
      <c r="R3613" s="113" t="n"/>
      <c r="S3613" s="113" t="n"/>
      <c r="T3613" s="113" t="n"/>
      <c r="U3613" s="113" t="n"/>
      <c r="V3613" s="113" t="n"/>
      <c r="W3613" s="113" t="n"/>
      <c r="X3613" s="113" t="n"/>
      <c r="Y3613" s="113" t="n"/>
      <c r="Z3613" s="117">
        <f>IF($B3613="",0,IF($S3613="EVET",IF($D3613="GELİR",$O3613,-$O3613),0))</f>
        <v/>
      </c>
      <c r="AA3613" s="117">
        <f>IF($B3613="",0,IF(OR($W3613="EVET",$X3613="EVET",$Y3613="EVET"),0,IF($D3613="GELİR",IF($E3613="SATIŞ İADESİ/İSKONTO",-$O3613,$O3613),-$O3613)))</f>
        <v/>
      </c>
      <c r="AB3613" s="117">
        <f>IF($B3613="","",IF(OR($D3613="",$E3613="",$O3613=""),"EKSİK",IF($O3613&lt;=0,"SIFIR/NEGATİF",IF(COUNTIFS($C$6:$C$5000,$C3613,$O$6:$O$5000,$O3613,$B$6:$B$5000,$B3613)&gt;1,"MÜKERRER","OK"))))</f>
        <v/>
      </c>
    </row>
    <row r="3614" ht="16.5" customHeight="1" s="80">
      <c r="A3614" s="113" t="n"/>
      <c r="B3614" s="113" t="n"/>
      <c r="C3614" s="113" t="n"/>
      <c r="D3614" s="113" t="n"/>
      <c r="E3614" s="113" t="n"/>
      <c r="F3614" s="113" t="n"/>
      <c r="G3614" s="113" t="n"/>
      <c r="H3614" s="113" t="n"/>
      <c r="I3614" s="113" t="n"/>
      <c r="J3614" s="113" t="n"/>
      <c r="K3614" s="113" t="n"/>
      <c r="L3614" s="113" t="n"/>
      <c r="M3614" s="113" t="n"/>
      <c r="N3614" s="113" t="n"/>
      <c r="O3614" s="113" t="n"/>
      <c r="P3614" s="113" t="n"/>
      <c r="Q3614" s="113" t="n"/>
      <c r="R3614" s="113" t="n"/>
      <c r="S3614" s="113" t="n"/>
      <c r="T3614" s="113" t="n"/>
      <c r="U3614" s="113" t="n"/>
      <c r="V3614" s="113" t="n"/>
      <c r="W3614" s="113" t="n"/>
      <c r="X3614" s="113" t="n"/>
      <c r="Y3614" s="113" t="n"/>
      <c r="Z3614" s="117">
        <f>IF($B3614="",0,IF($S3614="EVET",IF($D3614="GELİR",$O3614,-$O3614),0))</f>
        <v/>
      </c>
      <c r="AA3614" s="117">
        <f>IF($B3614="",0,IF(OR($W3614="EVET",$X3614="EVET",$Y3614="EVET"),0,IF($D3614="GELİR",IF($E3614="SATIŞ İADESİ/İSKONTO",-$O3614,$O3614),-$O3614)))</f>
        <v/>
      </c>
      <c r="AB3614" s="117">
        <f>IF($B3614="","",IF(OR($D3614="",$E3614="",$O3614=""),"EKSİK",IF($O3614&lt;=0,"SIFIR/NEGATİF",IF(COUNTIFS($C$6:$C$5000,$C3614,$O$6:$O$5000,$O3614,$B$6:$B$5000,$B3614)&gt;1,"MÜKERRER","OK"))))</f>
        <v/>
      </c>
    </row>
    <row r="3615" ht="16.5" customHeight="1" s="80">
      <c r="A3615" s="113" t="n"/>
      <c r="B3615" s="113" t="n"/>
      <c r="C3615" s="113" t="n"/>
      <c r="D3615" s="113" t="n"/>
      <c r="E3615" s="113" t="n"/>
      <c r="F3615" s="113" t="n"/>
      <c r="G3615" s="113" t="n"/>
      <c r="H3615" s="113" t="n"/>
      <c r="I3615" s="113" t="n"/>
      <c r="J3615" s="113" t="n"/>
      <c r="K3615" s="113" t="n"/>
      <c r="L3615" s="113" t="n"/>
      <c r="M3615" s="113" t="n"/>
      <c r="N3615" s="113" t="n"/>
      <c r="O3615" s="113" t="n"/>
      <c r="P3615" s="113" t="n"/>
      <c r="Q3615" s="113" t="n"/>
      <c r="R3615" s="113" t="n"/>
      <c r="S3615" s="113" t="n"/>
      <c r="T3615" s="113" t="n"/>
      <c r="U3615" s="113" t="n"/>
      <c r="V3615" s="113" t="n"/>
      <c r="W3615" s="113" t="n"/>
      <c r="X3615" s="113" t="n"/>
      <c r="Y3615" s="113" t="n"/>
      <c r="Z3615" s="117">
        <f>IF($B3615="",0,IF($S3615="EVET",IF($D3615="GELİR",$O3615,-$O3615),0))</f>
        <v/>
      </c>
      <c r="AA3615" s="117">
        <f>IF($B3615="",0,IF(OR($W3615="EVET",$X3615="EVET",$Y3615="EVET"),0,IF($D3615="GELİR",IF($E3615="SATIŞ İADESİ/İSKONTO",-$O3615,$O3615),-$O3615)))</f>
        <v/>
      </c>
      <c r="AB3615" s="117">
        <f>IF($B3615="","",IF(OR($D3615="",$E3615="",$O3615=""),"EKSİK",IF($O3615&lt;=0,"SIFIR/NEGATİF",IF(COUNTIFS($C$6:$C$5000,$C3615,$O$6:$O$5000,$O3615,$B$6:$B$5000,$B3615)&gt;1,"MÜKERRER","OK"))))</f>
        <v/>
      </c>
    </row>
    <row r="3616" ht="16.5" customHeight="1" s="80">
      <c r="A3616" s="113" t="n"/>
      <c r="B3616" s="113" t="n"/>
      <c r="C3616" s="113" t="n"/>
      <c r="D3616" s="113" t="n"/>
      <c r="E3616" s="113" t="n"/>
      <c r="F3616" s="113" t="n"/>
      <c r="G3616" s="113" t="n"/>
      <c r="H3616" s="113" t="n"/>
      <c r="I3616" s="113" t="n"/>
      <c r="J3616" s="113" t="n"/>
      <c r="K3616" s="113" t="n"/>
      <c r="L3616" s="113" t="n"/>
      <c r="M3616" s="113" t="n"/>
      <c r="N3616" s="113" t="n"/>
      <c r="O3616" s="113" t="n"/>
      <c r="P3616" s="113" t="n"/>
      <c r="Q3616" s="113" t="n"/>
      <c r="R3616" s="113" t="n"/>
      <c r="S3616" s="113" t="n"/>
      <c r="T3616" s="113" t="n"/>
      <c r="U3616" s="113" t="n"/>
      <c r="V3616" s="113" t="n"/>
      <c r="W3616" s="113" t="n"/>
      <c r="X3616" s="113" t="n"/>
      <c r="Y3616" s="113" t="n"/>
      <c r="Z3616" s="117">
        <f>IF($B3616="",0,IF($S3616="EVET",IF($D3616="GELİR",$O3616,-$O3616),0))</f>
        <v/>
      </c>
      <c r="AA3616" s="117">
        <f>IF($B3616="",0,IF(OR($W3616="EVET",$X3616="EVET",$Y3616="EVET"),0,IF($D3616="GELİR",IF($E3616="SATIŞ İADESİ/İSKONTO",-$O3616,$O3616),-$O3616)))</f>
        <v/>
      </c>
      <c r="AB3616" s="117">
        <f>IF($B3616="","",IF(OR($D3616="",$E3616="",$O3616=""),"EKSİK",IF($O3616&lt;=0,"SIFIR/NEGATİF",IF(COUNTIFS($C$6:$C$5000,$C3616,$O$6:$O$5000,$O3616,$B$6:$B$5000,$B3616)&gt;1,"MÜKERRER","OK"))))</f>
        <v/>
      </c>
    </row>
    <row r="3617" ht="16.5" customHeight="1" s="80">
      <c r="A3617" s="113" t="n"/>
      <c r="B3617" s="113" t="n"/>
      <c r="C3617" s="113" t="n"/>
      <c r="D3617" s="113" t="n"/>
      <c r="E3617" s="113" t="n"/>
      <c r="F3617" s="113" t="n"/>
      <c r="G3617" s="113" t="n"/>
      <c r="H3617" s="113" t="n"/>
      <c r="I3617" s="113" t="n"/>
      <c r="J3617" s="113" t="n"/>
      <c r="K3617" s="113" t="n"/>
      <c r="L3617" s="113" t="n"/>
      <c r="M3617" s="113" t="n"/>
      <c r="N3617" s="113" t="n"/>
      <c r="O3617" s="113" t="n"/>
      <c r="P3617" s="113" t="n"/>
      <c r="Q3617" s="113" t="n"/>
      <c r="R3617" s="113" t="n"/>
      <c r="S3617" s="113" t="n"/>
      <c r="T3617" s="113" t="n"/>
      <c r="U3617" s="113" t="n"/>
      <c r="V3617" s="113" t="n"/>
      <c r="W3617" s="113" t="n"/>
      <c r="X3617" s="113" t="n"/>
      <c r="Y3617" s="113" t="n"/>
      <c r="Z3617" s="117">
        <f>IF($B3617="",0,IF($S3617="EVET",IF($D3617="GELİR",$O3617,-$O3617),0))</f>
        <v/>
      </c>
      <c r="AA3617" s="117">
        <f>IF($B3617="",0,IF(OR($W3617="EVET",$X3617="EVET",$Y3617="EVET"),0,IF($D3617="GELİR",IF($E3617="SATIŞ İADESİ/İSKONTO",-$O3617,$O3617),-$O3617)))</f>
        <v/>
      </c>
      <c r="AB3617" s="117">
        <f>IF($B3617="","",IF(OR($D3617="",$E3617="",$O3617=""),"EKSİK",IF($O3617&lt;=0,"SIFIR/NEGATİF",IF(COUNTIFS($C$6:$C$5000,$C3617,$O$6:$O$5000,$O3617,$B$6:$B$5000,$B3617)&gt;1,"MÜKERRER","OK"))))</f>
        <v/>
      </c>
    </row>
    <row r="3618" ht="16.5" customHeight="1" s="80">
      <c r="A3618" s="113" t="n"/>
      <c r="B3618" s="113" t="n"/>
      <c r="C3618" s="113" t="n"/>
      <c r="D3618" s="113" t="n"/>
      <c r="E3618" s="113" t="n"/>
      <c r="F3618" s="113" t="n"/>
      <c r="G3618" s="113" t="n"/>
      <c r="H3618" s="113" t="n"/>
      <c r="I3618" s="113" t="n"/>
      <c r="J3618" s="113" t="n"/>
      <c r="K3618" s="113" t="n"/>
      <c r="L3618" s="113" t="n"/>
      <c r="M3618" s="113" t="n"/>
      <c r="N3618" s="113" t="n"/>
      <c r="O3618" s="113" t="n"/>
      <c r="P3618" s="113" t="n"/>
      <c r="Q3618" s="113" t="n"/>
      <c r="R3618" s="113" t="n"/>
      <c r="S3618" s="113" t="n"/>
      <c r="T3618" s="113" t="n"/>
      <c r="U3618" s="113" t="n"/>
      <c r="V3618" s="113" t="n"/>
      <c r="W3618" s="113" t="n"/>
      <c r="X3618" s="113" t="n"/>
      <c r="Y3618" s="113" t="n"/>
      <c r="Z3618" s="117">
        <f>IF($B3618="",0,IF($S3618="EVET",IF($D3618="GELİR",$O3618,-$O3618),0))</f>
        <v/>
      </c>
      <c r="AA3618" s="117">
        <f>IF($B3618="",0,IF(OR($W3618="EVET",$X3618="EVET",$Y3618="EVET"),0,IF($D3618="GELİR",IF($E3618="SATIŞ İADESİ/İSKONTO",-$O3618,$O3618),-$O3618)))</f>
        <v/>
      </c>
      <c r="AB3618" s="117">
        <f>IF($B3618="","",IF(OR($D3618="",$E3618="",$O3618=""),"EKSİK",IF($O3618&lt;=0,"SIFIR/NEGATİF",IF(COUNTIFS($C$6:$C$5000,$C3618,$O$6:$O$5000,$O3618,$B$6:$B$5000,$B3618)&gt;1,"MÜKERRER","OK"))))</f>
        <v/>
      </c>
    </row>
    <row r="3619" ht="16.5" customHeight="1" s="80">
      <c r="A3619" s="113" t="n"/>
      <c r="B3619" s="113" t="n"/>
      <c r="C3619" s="113" t="n"/>
      <c r="D3619" s="113" t="n"/>
      <c r="E3619" s="113" t="n"/>
      <c r="F3619" s="113" t="n"/>
      <c r="G3619" s="113" t="n"/>
      <c r="H3619" s="113" t="n"/>
      <c r="I3619" s="113" t="n"/>
      <c r="J3619" s="113" t="n"/>
      <c r="K3619" s="113" t="n"/>
      <c r="L3619" s="113" t="n"/>
      <c r="M3619" s="113" t="n"/>
      <c r="N3619" s="113" t="n"/>
      <c r="O3619" s="113" t="n"/>
      <c r="P3619" s="113" t="n"/>
      <c r="Q3619" s="113" t="n"/>
      <c r="R3619" s="113" t="n"/>
      <c r="S3619" s="113" t="n"/>
      <c r="T3619" s="113" t="n"/>
      <c r="U3619" s="113" t="n"/>
      <c r="V3619" s="113" t="n"/>
      <c r="W3619" s="113" t="n"/>
      <c r="X3619" s="113" t="n"/>
      <c r="Y3619" s="113" t="n"/>
      <c r="Z3619" s="117">
        <f>IF($B3619="",0,IF($S3619="EVET",IF($D3619="GELİR",$O3619,-$O3619),0))</f>
        <v/>
      </c>
      <c r="AA3619" s="117">
        <f>IF($B3619="",0,IF(OR($W3619="EVET",$X3619="EVET",$Y3619="EVET"),0,IF($D3619="GELİR",IF($E3619="SATIŞ İADESİ/İSKONTO",-$O3619,$O3619),-$O3619)))</f>
        <v/>
      </c>
      <c r="AB3619" s="117">
        <f>IF($B3619="","",IF(OR($D3619="",$E3619="",$O3619=""),"EKSİK",IF($O3619&lt;=0,"SIFIR/NEGATİF",IF(COUNTIFS($C$6:$C$5000,$C3619,$O$6:$O$5000,$O3619,$B$6:$B$5000,$B3619)&gt;1,"MÜKERRER","OK"))))</f>
        <v/>
      </c>
    </row>
    <row r="3620" ht="16.5" customHeight="1" s="80">
      <c r="A3620" s="113" t="n"/>
      <c r="B3620" s="113" t="n"/>
      <c r="C3620" s="113" t="n"/>
      <c r="D3620" s="113" t="n"/>
      <c r="E3620" s="113" t="n"/>
      <c r="F3620" s="113" t="n"/>
      <c r="G3620" s="113" t="n"/>
      <c r="H3620" s="113" t="n"/>
      <c r="I3620" s="113" t="n"/>
      <c r="J3620" s="113" t="n"/>
      <c r="K3620" s="113" t="n"/>
      <c r="L3620" s="113" t="n"/>
      <c r="M3620" s="113" t="n"/>
      <c r="N3620" s="113" t="n"/>
      <c r="O3620" s="113" t="n"/>
      <c r="P3620" s="113" t="n"/>
      <c r="Q3620" s="113" t="n"/>
      <c r="R3620" s="113" t="n"/>
      <c r="S3620" s="113" t="n"/>
      <c r="T3620" s="113" t="n"/>
      <c r="U3620" s="113" t="n"/>
      <c r="V3620" s="113" t="n"/>
      <c r="W3620" s="113" t="n"/>
      <c r="X3620" s="113" t="n"/>
      <c r="Y3620" s="113" t="n"/>
      <c r="Z3620" s="117">
        <f>IF($B3620="",0,IF($S3620="EVET",IF($D3620="GELİR",$O3620,-$O3620),0))</f>
        <v/>
      </c>
      <c r="AA3620" s="117">
        <f>IF($B3620="",0,IF(OR($W3620="EVET",$X3620="EVET",$Y3620="EVET"),0,IF($D3620="GELİR",IF($E3620="SATIŞ İADESİ/İSKONTO",-$O3620,$O3620),-$O3620)))</f>
        <v/>
      </c>
      <c r="AB3620" s="117">
        <f>IF($B3620="","",IF(OR($D3620="",$E3620="",$O3620=""),"EKSİK",IF($O3620&lt;=0,"SIFIR/NEGATİF",IF(COUNTIFS($C$6:$C$5000,$C3620,$O$6:$O$5000,$O3620,$B$6:$B$5000,$B3620)&gt;1,"MÜKERRER","OK"))))</f>
        <v/>
      </c>
    </row>
    <row r="3621" ht="16.5" customHeight="1" s="80">
      <c r="A3621" s="113" t="n"/>
      <c r="B3621" s="113" t="n"/>
      <c r="C3621" s="113" t="n"/>
      <c r="D3621" s="113" t="n"/>
      <c r="E3621" s="113" t="n"/>
      <c r="F3621" s="113" t="n"/>
      <c r="G3621" s="113" t="n"/>
      <c r="H3621" s="113" t="n"/>
      <c r="I3621" s="113" t="n"/>
      <c r="J3621" s="113" t="n"/>
      <c r="K3621" s="113" t="n"/>
      <c r="L3621" s="113" t="n"/>
      <c r="M3621" s="113" t="n"/>
      <c r="N3621" s="113" t="n"/>
      <c r="O3621" s="113" t="n"/>
      <c r="P3621" s="113" t="n"/>
      <c r="Q3621" s="113" t="n"/>
      <c r="R3621" s="113" t="n"/>
      <c r="S3621" s="113" t="n"/>
      <c r="T3621" s="113" t="n"/>
      <c r="U3621" s="113" t="n"/>
      <c r="V3621" s="113" t="n"/>
      <c r="W3621" s="113" t="n"/>
      <c r="X3621" s="113" t="n"/>
      <c r="Y3621" s="113" t="n"/>
      <c r="Z3621" s="117">
        <f>IF($B3621="",0,IF($S3621="EVET",IF($D3621="GELİR",$O3621,-$O3621),0))</f>
        <v/>
      </c>
      <c r="AA3621" s="117">
        <f>IF($B3621="",0,IF(OR($W3621="EVET",$X3621="EVET",$Y3621="EVET"),0,IF($D3621="GELİR",IF($E3621="SATIŞ İADESİ/İSKONTO",-$O3621,$O3621),-$O3621)))</f>
        <v/>
      </c>
      <c r="AB3621" s="117">
        <f>IF($B3621="","",IF(OR($D3621="",$E3621="",$O3621=""),"EKSİK",IF($O3621&lt;=0,"SIFIR/NEGATİF",IF(COUNTIFS($C$6:$C$5000,$C3621,$O$6:$O$5000,$O3621,$B$6:$B$5000,$B3621)&gt;1,"MÜKERRER","OK"))))</f>
        <v/>
      </c>
    </row>
    <row r="3622" ht="16.5" customHeight="1" s="80">
      <c r="A3622" s="113" t="n"/>
      <c r="B3622" s="113" t="n"/>
      <c r="C3622" s="113" t="n"/>
      <c r="D3622" s="113" t="n"/>
      <c r="E3622" s="113" t="n"/>
      <c r="F3622" s="113" t="n"/>
      <c r="G3622" s="113" t="n"/>
      <c r="H3622" s="113" t="n"/>
      <c r="I3622" s="113" t="n"/>
      <c r="J3622" s="113" t="n"/>
      <c r="K3622" s="113" t="n"/>
      <c r="L3622" s="113" t="n"/>
      <c r="M3622" s="113" t="n"/>
      <c r="N3622" s="113" t="n"/>
      <c r="O3622" s="113" t="n"/>
      <c r="P3622" s="113" t="n"/>
      <c r="Q3622" s="113" t="n"/>
      <c r="R3622" s="113" t="n"/>
      <c r="S3622" s="113" t="n"/>
      <c r="T3622" s="113" t="n"/>
      <c r="U3622" s="113" t="n"/>
      <c r="V3622" s="113" t="n"/>
      <c r="W3622" s="113" t="n"/>
      <c r="X3622" s="113" t="n"/>
      <c r="Y3622" s="113" t="n"/>
      <c r="Z3622" s="117">
        <f>IF($B3622="",0,IF($S3622="EVET",IF($D3622="GELİR",$O3622,-$O3622),0))</f>
        <v/>
      </c>
      <c r="AA3622" s="117">
        <f>IF($B3622="",0,IF(OR($W3622="EVET",$X3622="EVET",$Y3622="EVET"),0,IF($D3622="GELİR",IF($E3622="SATIŞ İADESİ/İSKONTO",-$O3622,$O3622),-$O3622)))</f>
        <v/>
      </c>
      <c r="AB3622" s="117">
        <f>IF($B3622="","",IF(OR($D3622="",$E3622="",$O3622=""),"EKSİK",IF($O3622&lt;=0,"SIFIR/NEGATİF",IF(COUNTIFS($C$6:$C$5000,$C3622,$O$6:$O$5000,$O3622,$B$6:$B$5000,$B3622)&gt;1,"MÜKERRER","OK"))))</f>
        <v/>
      </c>
    </row>
    <row r="3623" ht="16.5" customHeight="1" s="80">
      <c r="A3623" s="113" t="n"/>
      <c r="B3623" s="113" t="n"/>
      <c r="C3623" s="113" t="n"/>
      <c r="D3623" s="113" t="n"/>
      <c r="E3623" s="113" t="n"/>
      <c r="F3623" s="113" t="n"/>
      <c r="G3623" s="113" t="n"/>
      <c r="H3623" s="113" t="n"/>
      <c r="I3623" s="113" t="n"/>
      <c r="J3623" s="113" t="n"/>
      <c r="K3623" s="113" t="n"/>
      <c r="L3623" s="113" t="n"/>
      <c r="M3623" s="113" t="n"/>
      <c r="N3623" s="113" t="n"/>
      <c r="O3623" s="113" t="n"/>
      <c r="P3623" s="113" t="n"/>
      <c r="Q3623" s="113" t="n"/>
      <c r="R3623" s="113" t="n"/>
      <c r="S3623" s="113" t="n"/>
      <c r="T3623" s="113" t="n"/>
      <c r="U3623" s="113" t="n"/>
      <c r="V3623" s="113" t="n"/>
      <c r="W3623" s="113" t="n"/>
      <c r="X3623" s="113" t="n"/>
      <c r="Y3623" s="113" t="n"/>
      <c r="Z3623" s="117">
        <f>IF($B3623="",0,IF($S3623="EVET",IF($D3623="GELİR",$O3623,-$O3623),0))</f>
        <v/>
      </c>
      <c r="AA3623" s="117">
        <f>IF($B3623="",0,IF(OR($W3623="EVET",$X3623="EVET",$Y3623="EVET"),0,IF($D3623="GELİR",IF($E3623="SATIŞ İADESİ/İSKONTO",-$O3623,$O3623),-$O3623)))</f>
        <v/>
      </c>
      <c r="AB3623" s="117">
        <f>IF($B3623="","",IF(OR($D3623="",$E3623="",$O3623=""),"EKSİK",IF($O3623&lt;=0,"SIFIR/NEGATİF",IF(COUNTIFS($C$6:$C$5000,$C3623,$O$6:$O$5000,$O3623,$B$6:$B$5000,$B3623)&gt;1,"MÜKERRER","OK"))))</f>
        <v/>
      </c>
    </row>
    <row r="3624" ht="16.5" customHeight="1" s="80">
      <c r="A3624" s="113" t="n"/>
      <c r="B3624" s="113" t="n"/>
      <c r="C3624" s="113" t="n"/>
      <c r="D3624" s="113" t="n"/>
      <c r="E3624" s="113" t="n"/>
      <c r="F3624" s="113" t="n"/>
      <c r="G3624" s="113" t="n"/>
      <c r="H3624" s="113" t="n"/>
      <c r="I3624" s="113" t="n"/>
      <c r="J3624" s="113" t="n"/>
      <c r="K3624" s="113" t="n"/>
      <c r="L3624" s="113" t="n"/>
      <c r="M3624" s="113" t="n"/>
      <c r="N3624" s="113" t="n"/>
      <c r="O3624" s="113" t="n"/>
      <c r="P3624" s="113" t="n"/>
      <c r="Q3624" s="113" t="n"/>
      <c r="R3624" s="113" t="n"/>
      <c r="S3624" s="113" t="n"/>
      <c r="T3624" s="113" t="n"/>
      <c r="U3624" s="113" t="n"/>
      <c r="V3624" s="113" t="n"/>
      <c r="W3624" s="113" t="n"/>
      <c r="X3624" s="113" t="n"/>
      <c r="Y3624" s="113" t="n"/>
      <c r="Z3624" s="117">
        <f>IF($B3624="",0,IF($S3624="EVET",IF($D3624="GELİR",$O3624,-$O3624),0))</f>
        <v/>
      </c>
      <c r="AA3624" s="117">
        <f>IF($B3624="",0,IF(OR($W3624="EVET",$X3624="EVET",$Y3624="EVET"),0,IF($D3624="GELİR",IF($E3624="SATIŞ İADESİ/İSKONTO",-$O3624,$O3624),-$O3624)))</f>
        <v/>
      </c>
      <c r="AB3624" s="117">
        <f>IF($B3624="","",IF(OR($D3624="",$E3624="",$O3624=""),"EKSİK",IF($O3624&lt;=0,"SIFIR/NEGATİF",IF(COUNTIFS($C$6:$C$5000,$C3624,$O$6:$O$5000,$O3624,$B$6:$B$5000,$B3624)&gt;1,"MÜKERRER","OK"))))</f>
        <v/>
      </c>
    </row>
    <row r="3625" ht="16.5" customHeight="1" s="80">
      <c r="A3625" s="113" t="n"/>
      <c r="B3625" s="113" t="n"/>
      <c r="C3625" s="113" t="n"/>
      <c r="D3625" s="113" t="n"/>
      <c r="E3625" s="113" t="n"/>
      <c r="F3625" s="113" t="n"/>
      <c r="G3625" s="113" t="n"/>
      <c r="H3625" s="113" t="n"/>
      <c r="I3625" s="113" t="n"/>
      <c r="J3625" s="113" t="n"/>
      <c r="K3625" s="113" t="n"/>
      <c r="L3625" s="113" t="n"/>
      <c r="M3625" s="113" t="n"/>
      <c r="N3625" s="113" t="n"/>
      <c r="O3625" s="113" t="n"/>
      <c r="P3625" s="113" t="n"/>
      <c r="Q3625" s="113" t="n"/>
      <c r="R3625" s="113" t="n"/>
      <c r="S3625" s="113" t="n"/>
      <c r="T3625" s="113" t="n"/>
      <c r="U3625" s="113" t="n"/>
      <c r="V3625" s="113" t="n"/>
      <c r="W3625" s="113" t="n"/>
      <c r="X3625" s="113" t="n"/>
      <c r="Y3625" s="113" t="n"/>
      <c r="Z3625" s="117">
        <f>IF($B3625="",0,IF($S3625="EVET",IF($D3625="GELİR",$O3625,-$O3625),0))</f>
        <v/>
      </c>
      <c r="AA3625" s="117">
        <f>IF($B3625="",0,IF(OR($W3625="EVET",$X3625="EVET",$Y3625="EVET"),0,IF($D3625="GELİR",IF($E3625="SATIŞ İADESİ/İSKONTO",-$O3625,$O3625),-$O3625)))</f>
        <v/>
      </c>
      <c r="AB3625" s="117">
        <f>IF($B3625="","",IF(OR($D3625="",$E3625="",$O3625=""),"EKSİK",IF($O3625&lt;=0,"SIFIR/NEGATİF",IF(COUNTIFS($C$6:$C$5000,$C3625,$O$6:$O$5000,$O3625,$B$6:$B$5000,$B3625)&gt;1,"MÜKERRER","OK"))))</f>
        <v/>
      </c>
    </row>
    <row r="3626" ht="16.5" customHeight="1" s="80">
      <c r="A3626" s="113" t="n"/>
      <c r="B3626" s="113" t="n"/>
      <c r="C3626" s="113" t="n"/>
      <c r="D3626" s="113" t="n"/>
      <c r="E3626" s="113" t="n"/>
      <c r="F3626" s="113" t="n"/>
      <c r="G3626" s="113" t="n"/>
      <c r="H3626" s="113" t="n"/>
      <c r="I3626" s="113" t="n"/>
      <c r="J3626" s="113" t="n"/>
      <c r="K3626" s="113" t="n"/>
      <c r="L3626" s="113" t="n"/>
      <c r="M3626" s="113" t="n"/>
      <c r="N3626" s="113" t="n"/>
      <c r="O3626" s="113" t="n"/>
      <c r="P3626" s="113" t="n"/>
      <c r="Q3626" s="113" t="n"/>
      <c r="R3626" s="113" t="n"/>
      <c r="S3626" s="113" t="n"/>
      <c r="T3626" s="113" t="n"/>
      <c r="U3626" s="113" t="n"/>
      <c r="V3626" s="113" t="n"/>
      <c r="W3626" s="113" t="n"/>
      <c r="X3626" s="113" t="n"/>
      <c r="Y3626" s="113" t="n"/>
      <c r="Z3626" s="117">
        <f>IF($B3626="",0,IF($S3626="EVET",IF($D3626="GELİR",$O3626,-$O3626),0))</f>
        <v/>
      </c>
      <c r="AA3626" s="117">
        <f>IF($B3626="",0,IF(OR($W3626="EVET",$X3626="EVET",$Y3626="EVET"),0,IF($D3626="GELİR",IF($E3626="SATIŞ İADESİ/İSKONTO",-$O3626,$O3626),-$O3626)))</f>
        <v/>
      </c>
      <c r="AB3626" s="117">
        <f>IF($B3626="","",IF(OR($D3626="",$E3626="",$O3626=""),"EKSİK",IF($O3626&lt;=0,"SIFIR/NEGATİF",IF(COUNTIFS($C$6:$C$5000,$C3626,$O$6:$O$5000,$O3626,$B$6:$B$5000,$B3626)&gt;1,"MÜKERRER","OK"))))</f>
        <v/>
      </c>
    </row>
    <row r="3627" ht="16.5" customHeight="1" s="80">
      <c r="A3627" s="113" t="n"/>
      <c r="B3627" s="113" t="n"/>
      <c r="C3627" s="113" t="n"/>
      <c r="D3627" s="113" t="n"/>
      <c r="E3627" s="113" t="n"/>
      <c r="F3627" s="113" t="n"/>
      <c r="G3627" s="113" t="n"/>
      <c r="H3627" s="113" t="n"/>
      <c r="I3627" s="113" t="n"/>
      <c r="J3627" s="113" t="n"/>
      <c r="K3627" s="113" t="n"/>
      <c r="L3627" s="113" t="n"/>
      <c r="M3627" s="113" t="n"/>
      <c r="N3627" s="113" t="n"/>
      <c r="O3627" s="113" t="n"/>
      <c r="P3627" s="113" t="n"/>
      <c r="Q3627" s="113" t="n"/>
      <c r="R3627" s="113" t="n"/>
      <c r="S3627" s="113" t="n"/>
      <c r="T3627" s="113" t="n"/>
      <c r="U3627" s="113" t="n"/>
      <c r="V3627" s="113" t="n"/>
      <c r="W3627" s="113" t="n"/>
      <c r="X3627" s="113" t="n"/>
      <c r="Y3627" s="113" t="n"/>
      <c r="Z3627" s="117">
        <f>IF($B3627="",0,IF($S3627="EVET",IF($D3627="GELİR",$O3627,-$O3627),0))</f>
        <v/>
      </c>
      <c r="AA3627" s="117">
        <f>IF($B3627="",0,IF(OR($W3627="EVET",$X3627="EVET",$Y3627="EVET"),0,IF($D3627="GELİR",IF($E3627="SATIŞ İADESİ/İSKONTO",-$O3627,$O3627),-$O3627)))</f>
        <v/>
      </c>
      <c r="AB3627" s="117">
        <f>IF($B3627="","",IF(OR($D3627="",$E3627="",$O3627=""),"EKSİK",IF($O3627&lt;=0,"SIFIR/NEGATİF",IF(COUNTIFS($C$6:$C$5000,$C3627,$O$6:$O$5000,$O3627,$B$6:$B$5000,$B3627)&gt;1,"MÜKERRER","OK"))))</f>
        <v/>
      </c>
    </row>
    <row r="3628" ht="16.5" customHeight="1" s="80">
      <c r="A3628" s="113" t="n"/>
      <c r="B3628" s="113" t="n"/>
      <c r="C3628" s="113" t="n"/>
      <c r="D3628" s="113" t="n"/>
      <c r="E3628" s="113" t="n"/>
      <c r="F3628" s="113" t="n"/>
      <c r="G3628" s="113" t="n"/>
      <c r="H3628" s="113" t="n"/>
      <c r="I3628" s="113" t="n"/>
      <c r="J3628" s="113" t="n"/>
      <c r="K3628" s="113" t="n"/>
      <c r="L3628" s="113" t="n"/>
      <c r="M3628" s="113" t="n"/>
      <c r="N3628" s="113" t="n"/>
      <c r="O3628" s="113" t="n"/>
      <c r="P3628" s="113" t="n"/>
      <c r="Q3628" s="113" t="n"/>
      <c r="R3628" s="113" t="n"/>
      <c r="S3628" s="113" t="n"/>
      <c r="T3628" s="113" t="n"/>
      <c r="U3628" s="113" t="n"/>
      <c r="V3628" s="113" t="n"/>
      <c r="W3628" s="113" t="n"/>
      <c r="X3628" s="113" t="n"/>
      <c r="Y3628" s="113" t="n"/>
      <c r="Z3628" s="117">
        <f>IF($B3628="",0,IF($S3628="EVET",IF($D3628="GELİR",$O3628,-$O3628),0))</f>
        <v/>
      </c>
      <c r="AA3628" s="117">
        <f>IF($B3628="",0,IF(OR($W3628="EVET",$X3628="EVET",$Y3628="EVET"),0,IF($D3628="GELİR",IF($E3628="SATIŞ İADESİ/İSKONTO",-$O3628,$O3628),-$O3628)))</f>
        <v/>
      </c>
      <c r="AB3628" s="117">
        <f>IF($B3628="","",IF(OR($D3628="",$E3628="",$O3628=""),"EKSİK",IF($O3628&lt;=0,"SIFIR/NEGATİF",IF(COUNTIFS($C$6:$C$5000,$C3628,$O$6:$O$5000,$O3628,$B$6:$B$5000,$B3628)&gt;1,"MÜKERRER","OK"))))</f>
        <v/>
      </c>
    </row>
    <row r="3629" ht="16.5" customHeight="1" s="80">
      <c r="A3629" s="113" t="n"/>
      <c r="B3629" s="113" t="n"/>
      <c r="C3629" s="113" t="n"/>
      <c r="D3629" s="113" t="n"/>
      <c r="E3629" s="113" t="n"/>
      <c r="F3629" s="113" t="n"/>
      <c r="G3629" s="113" t="n"/>
      <c r="H3629" s="113" t="n"/>
      <c r="I3629" s="113" t="n"/>
      <c r="J3629" s="113" t="n"/>
      <c r="K3629" s="113" t="n"/>
      <c r="L3629" s="113" t="n"/>
      <c r="M3629" s="113" t="n"/>
      <c r="N3629" s="113" t="n"/>
      <c r="O3629" s="113" t="n"/>
      <c r="P3629" s="113" t="n"/>
      <c r="Q3629" s="113" t="n"/>
      <c r="R3629" s="113" t="n"/>
      <c r="S3629" s="113" t="n"/>
      <c r="T3629" s="113" t="n"/>
      <c r="U3629" s="113" t="n"/>
      <c r="V3629" s="113" t="n"/>
      <c r="W3629" s="113" t="n"/>
      <c r="X3629" s="113" t="n"/>
      <c r="Y3629" s="113" t="n"/>
      <c r="Z3629" s="117">
        <f>IF($B3629="",0,IF($S3629="EVET",IF($D3629="GELİR",$O3629,-$O3629),0))</f>
        <v/>
      </c>
      <c r="AA3629" s="117">
        <f>IF($B3629="",0,IF(OR($W3629="EVET",$X3629="EVET",$Y3629="EVET"),0,IF($D3629="GELİR",IF($E3629="SATIŞ İADESİ/İSKONTO",-$O3629,$O3629),-$O3629)))</f>
        <v/>
      </c>
      <c r="AB3629" s="117">
        <f>IF($B3629="","",IF(OR($D3629="",$E3629="",$O3629=""),"EKSİK",IF($O3629&lt;=0,"SIFIR/NEGATİF",IF(COUNTIFS($C$6:$C$5000,$C3629,$O$6:$O$5000,$O3629,$B$6:$B$5000,$B3629)&gt;1,"MÜKERRER","OK"))))</f>
        <v/>
      </c>
    </row>
    <row r="3630" ht="16.5" customHeight="1" s="80">
      <c r="A3630" s="113" t="n"/>
      <c r="B3630" s="113" t="n"/>
      <c r="C3630" s="113" t="n"/>
      <c r="D3630" s="113" t="n"/>
      <c r="E3630" s="113" t="n"/>
      <c r="F3630" s="113" t="n"/>
      <c r="G3630" s="113" t="n"/>
      <c r="H3630" s="113" t="n"/>
      <c r="I3630" s="113" t="n"/>
      <c r="J3630" s="113" t="n"/>
      <c r="K3630" s="113" t="n"/>
      <c r="L3630" s="113" t="n"/>
      <c r="M3630" s="113" t="n"/>
      <c r="N3630" s="113" t="n"/>
      <c r="O3630" s="113" t="n"/>
      <c r="P3630" s="113" t="n"/>
      <c r="Q3630" s="113" t="n"/>
      <c r="R3630" s="113" t="n"/>
      <c r="S3630" s="113" t="n"/>
      <c r="T3630" s="113" t="n"/>
      <c r="U3630" s="113" t="n"/>
      <c r="V3630" s="113" t="n"/>
      <c r="W3630" s="113" t="n"/>
      <c r="X3630" s="113" t="n"/>
      <c r="Y3630" s="113" t="n"/>
      <c r="Z3630" s="117">
        <f>IF($B3630="",0,IF($S3630="EVET",IF($D3630="GELİR",$O3630,-$O3630),0))</f>
        <v/>
      </c>
      <c r="AA3630" s="117">
        <f>IF($B3630="",0,IF(OR($W3630="EVET",$X3630="EVET",$Y3630="EVET"),0,IF($D3630="GELİR",IF($E3630="SATIŞ İADESİ/İSKONTO",-$O3630,$O3630),-$O3630)))</f>
        <v/>
      </c>
      <c r="AB3630" s="117">
        <f>IF($B3630="","",IF(OR($D3630="",$E3630="",$O3630=""),"EKSİK",IF($O3630&lt;=0,"SIFIR/NEGATİF",IF(COUNTIFS($C$6:$C$5000,$C3630,$O$6:$O$5000,$O3630,$B$6:$B$5000,$B3630)&gt;1,"MÜKERRER","OK"))))</f>
        <v/>
      </c>
    </row>
    <row r="3631" ht="16.5" customHeight="1" s="80">
      <c r="A3631" s="113" t="n"/>
      <c r="B3631" s="113" t="n"/>
      <c r="C3631" s="113" t="n"/>
      <c r="D3631" s="113" t="n"/>
      <c r="E3631" s="113" t="n"/>
      <c r="F3631" s="113" t="n"/>
      <c r="G3631" s="113" t="n"/>
      <c r="H3631" s="113" t="n"/>
      <c r="I3631" s="113" t="n"/>
      <c r="J3631" s="113" t="n"/>
      <c r="K3631" s="113" t="n"/>
      <c r="L3631" s="113" t="n"/>
      <c r="M3631" s="113" t="n"/>
      <c r="N3631" s="113" t="n"/>
      <c r="O3631" s="113" t="n"/>
      <c r="P3631" s="113" t="n"/>
      <c r="Q3631" s="113" t="n"/>
      <c r="R3631" s="113" t="n"/>
      <c r="S3631" s="113" t="n"/>
      <c r="T3631" s="113" t="n"/>
      <c r="U3631" s="113" t="n"/>
      <c r="V3631" s="113" t="n"/>
      <c r="W3631" s="113" t="n"/>
      <c r="X3631" s="113" t="n"/>
      <c r="Y3631" s="113" t="n"/>
      <c r="Z3631" s="117">
        <f>IF($B3631="",0,IF($S3631="EVET",IF($D3631="GELİR",$O3631,-$O3631),0))</f>
        <v/>
      </c>
      <c r="AA3631" s="117">
        <f>IF($B3631="",0,IF(OR($W3631="EVET",$X3631="EVET",$Y3631="EVET"),0,IF($D3631="GELİR",IF($E3631="SATIŞ İADESİ/İSKONTO",-$O3631,$O3631),-$O3631)))</f>
        <v/>
      </c>
      <c r="AB3631" s="117">
        <f>IF($B3631="","",IF(OR($D3631="",$E3631="",$O3631=""),"EKSİK",IF($O3631&lt;=0,"SIFIR/NEGATİF",IF(COUNTIFS($C$6:$C$5000,$C3631,$O$6:$O$5000,$O3631,$B$6:$B$5000,$B3631)&gt;1,"MÜKERRER","OK"))))</f>
        <v/>
      </c>
    </row>
    <row r="3632" ht="16.5" customHeight="1" s="80">
      <c r="A3632" s="113" t="n"/>
      <c r="B3632" s="113" t="n"/>
      <c r="C3632" s="113" t="n"/>
      <c r="D3632" s="113" t="n"/>
      <c r="E3632" s="113" t="n"/>
      <c r="F3632" s="113" t="n"/>
      <c r="G3632" s="113" t="n"/>
      <c r="H3632" s="113" t="n"/>
      <c r="I3632" s="113" t="n"/>
      <c r="J3632" s="113" t="n"/>
      <c r="K3632" s="113" t="n"/>
      <c r="L3632" s="113" t="n"/>
      <c r="M3632" s="113" t="n"/>
      <c r="N3632" s="113" t="n"/>
      <c r="O3632" s="113" t="n"/>
      <c r="P3632" s="113" t="n"/>
      <c r="Q3632" s="113" t="n"/>
      <c r="R3632" s="113" t="n"/>
      <c r="S3632" s="113" t="n"/>
      <c r="T3632" s="113" t="n"/>
      <c r="U3632" s="113" t="n"/>
      <c r="V3632" s="113" t="n"/>
      <c r="W3632" s="113" t="n"/>
      <c r="X3632" s="113" t="n"/>
      <c r="Y3632" s="113" t="n"/>
      <c r="Z3632" s="117">
        <f>IF($B3632="",0,IF($S3632="EVET",IF($D3632="GELİR",$O3632,-$O3632),0))</f>
        <v/>
      </c>
      <c r="AA3632" s="117">
        <f>IF($B3632="",0,IF(OR($W3632="EVET",$X3632="EVET",$Y3632="EVET"),0,IF($D3632="GELİR",IF($E3632="SATIŞ İADESİ/İSKONTO",-$O3632,$O3632),-$O3632)))</f>
        <v/>
      </c>
      <c r="AB3632" s="117">
        <f>IF($B3632="","",IF(OR($D3632="",$E3632="",$O3632=""),"EKSİK",IF($O3632&lt;=0,"SIFIR/NEGATİF",IF(COUNTIFS($C$6:$C$5000,$C3632,$O$6:$O$5000,$O3632,$B$6:$B$5000,$B3632)&gt;1,"MÜKERRER","OK"))))</f>
        <v/>
      </c>
    </row>
    <row r="3633" ht="16.5" customHeight="1" s="80">
      <c r="A3633" s="113" t="n"/>
      <c r="B3633" s="113" t="n"/>
      <c r="C3633" s="113" t="n"/>
      <c r="D3633" s="113" t="n"/>
      <c r="E3633" s="113" t="n"/>
      <c r="F3633" s="113" t="n"/>
      <c r="G3633" s="113" t="n"/>
      <c r="H3633" s="113" t="n"/>
      <c r="I3633" s="113" t="n"/>
      <c r="J3633" s="113" t="n"/>
      <c r="K3633" s="113" t="n"/>
      <c r="L3633" s="113" t="n"/>
      <c r="M3633" s="113" t="n"/>
      <c r="N3633" s="113" t="n"/>
      <c r="O3633" s="113" t="n"/>
      <c r="P3633" s="113" t="n"/>
      <c r="Q3633" s="113" t="n"/>
      <c r="R3633" s="113" t="n"/>
      <c r="S3633" s="113" t="n"/>
      <c r="T3633" s="113" t="n"/>
      <c r="U3633" s="113" t="n"/>
      <c r="V3633" s="113" t="n"/>
      <c r="W3633" s="113" t="n"/>
      <c r="X3633" s="113" t="n"/>
      <c r="Y3633" s="113" t="n"/>
      <c r="Z3633" s="117">
        <f>IF($B3633="",0,IF($S3633="EVET",IF($D3633="GELİR",$O3633,-$O3633),0))</f>
        <v/>
      </c>
      <c r="AA3633" s="117">
        <f>IF($B3633="",0,IF(OR($W3633="EVET",$X3633="EVET",$Y3633="EVET"),0,IF($D3633="GELİR",IF($E3633="SATIŞ İADESİ/İSKONTO",-$O3633,$O3633),-$O3633)))</f>
        <v/>
      </c>
      <c r="AB3633" s="117">
        <f>IF($B3633="","",IF(OR($D3633="",$E3633="",$O3633=""),"EKSİK",IF($O3633&lt;=0,"SIFIR/NEGATİF",IF(COUNTIFS($C$6:$C$5000,$C3633,$O$6:$O$5000,$O3633,$B$6:$B$5000,$B3633)&gt;1,"MÜKERRER","OK"))))</f>
        <v/>
      </c>
    </row>
    <row r="3634" ht="16.5" customHeight="1" s="80">
      <c r="A3634" s="113" t="n"/>
      <c r="B3634" s="113" t="n"/>
      <c r="C3634" s="113" t="n"/>
      <c r="D3634" s="113" t="n"/>
      <c r="E3634" s="113" t="n"/>
      <c r="F3634" s="113" t="n"/>
      <c r="G3634" s="113" t="n"/>
      <c r="H3634" s="113" t="n"/>
      <c r="I3634" s="113" t="n"/>
      <c r="J3634" s="113" t="n"/>
      <c r="K3634" s="113" t="n"/>
      <c r="L3634" s="113" t="n"/>
      <c r="M3634" s="113" t="n"/>
      <c r="N3634" s="113" t="n"/>
      <c r="O3634" s="113" t="n"/>
      <c r="P3634" s="113" t="n"/>
      <c r="Q3634" s="113" t="n"/>
      <c r="R3634" s="113" t="n"/>
      <c r="S3634" s="113" t="n"/>
      <c r="T3634" s="113" t="n"/>
      <c r="U3634" s="113" t="n"/>
      <c r="V3634" s="113" t="n"/>
      <c r="W3634" s="113" t="n"/>
      <c r="X3634" s="113" t="n"/>
      <c r="Y3634" s="113" t="n"/>
      <c r="Z3634" s="117">
        <f>IF($B3634="",0,IF($S3634="EVET",IF($D3634="GELİR",$O3634,-$O3634),0))</f>
        <v/>
      </c>
      <c r="AA3634" s="117">
        <f>IF($B3634="",0,IF(OR($W3634="EVET",$X3634="EVET",$Y3634="EVET"),0,IF($D3634="GELİR",IF($E3634="SATIŞ İADESİ/İSKONTO",-$O3634,$O3634),-$O3634)))</f>
        <v/>
      </c>
      <c r="AB3634" s="117">
        <f>IF($B3634="","",IF(OR($D3634="",$E3634="",$O3634=""),"EKSİK",IF($O3634&lt;=0,"SIFIR/NEGATİF",IF(COUNTIFS($C$6:$C$5000,$C3634,$O$6:$O$5000,$O3634,$B$6:$B$5000,$B3634)&gt;1,"MÜKERRER","OK"))))</f>
        <v/>
      </c>
    </row>
    <row r="3635" ht="16.5" customHeight="1" s="80">
      <c r="A3635" s="113" t="n"/>
      <c r="B3635" s="113" t="n"/>
      <c r="C3635" s="113" t="n"/>
      <c r="D3635" s="113" t="n"/>
      <c r="E3635" s="113" t="n"/>
      <c r="F3635" s="113" t="n"/>
      <c r="G3635" s="113" t="n"/>
      <c r="H3635" s="113" t="n"/>
      <c r="I3635" s="113" t="n"/>
      <c r="J3635" s="113" t="n"/>
      <c r="K3635" s="113" t="n"/>
      <c r="L3635" s="113" t="n"/>
      <c r="M3635" s="113" t="n"/>
      <c r="N3635" s="113" t="n"/>
      <c r="O3635" s="113" t="n"/>
      <c r="P3635" s="113" t="n"/>
      <c r="Q3635" s="113" t="n"/>
      <c r="R3635" s="113" t="n"/>
      <c r="S3635" s="113" t="n"/>
      <c r="T3635" s="113" t="n"/>
      <c r="U3635" s="113" t="n"/>
      <c r="V3635" s="113" t="n"/>
      <c r="W3635" s="113" t="n"/>
      <c r="X3635" s="113" t="n"/>
      <c r="Y3635" s="113" t="n"/>
      <c r="Z3635" s="117">
        <f>IF($B3635="",0,IF($S3635="EVET",IF($D3635="GELİR",$O3635,-$O3635),0))</f>
        <v/>
      </c>
      <c r="AA3635" s="117">
        <f>IF($B3635="",0,IF(OR($W3635="EVET",$X3635="EVET",$Y3635="EVET"),0,IF($D3635="GELİR",IF($E3635="SATIŞ İADESİ/İSKONTO",-$O3635,$O3635),-$O3635)))</f>
        <v/>
      </c>
      <c r="AB3635" s="117">
        <f>IF($B3635="","",IF(OR($D3635="",$E3635="",$O3635=""),"EKSİK",IF($O3635&lt;=0,"SIFIR/NEGATİF",IF(COUNTIFS($C$6:$C$5000,$C3635,$O$6:$O$5000,$O3635,$B$6:$B$5000,$B3635)&gt;1,"MÜKERRER","OK"))))</f>
        <v/>
      </c>
    </row>
    <row r="3636" ht="16.5" customHeight="1" s="80">
      <c r="A3636" s="113" t="n"/>
      <c r="B3636" s="113" t="n"/>
      <c r="C3636" s="113" t="n"/>
      <c r="D3636" s="113" t="n"/>
      <c r="E3636" s="113" t="n"/>
      <c r="F3636" s="113" t="n"/>
      <c r="G3636" s="113" t="n"/>
      <c r="H3636" s="113" t="n"/>
      <c r="I3636" s="113" t="n"/>
      <c r="J3636" s="113" t="n"/>
      <c r="K3636" s="113" t="n"/>
      <c r="L3636" s="113" t="n"/>
      <c r="M3636" s="113" t="n"/>
      <c r="N3636" s="113" t="n"/>
      <c r="O3636" s="113" t="n"/>
      <c r="P3636" s="113" t="n"/>
      <c r="Q3636" s="113" t="n"/>
      <c r="R3636" s="113" t="n"/>
      <c r="S3636" s="113" t="n"/>
      <c r="T3636" s="113" t="n"/>
      <c r="U3636" s="113" t="n"/>
      <c r="V3636" s="113" t="n"/>
      <c r="W3636" s="113" t="n"/>
      <c r="X3636" s="113" t="n"/>
      <c r="Y3636" s="113" t="n"/>
      <c r="Z3636" s="117">
        <f>IF($B3636="",0,IF($S3636="EVET",IF($D3636="GELİR",$O3636,-$O3636),0))</f>
        <v/>
      </c>
      <c r="AA3636" s="117">
        <f>IF($B3636="",0,IF(OR($W3636="EVET",$X3636="EVET",$Y3636="EVET"),0,IF($D3636="GELİR",IF($E3636="SATIŞ İADESİ/İSKONTO",-$O3636,$O3636),-$O3636)))</f>
        <v/>
      </c>
      <c r="AB3636" s="117">
        <f>IF($B3636="","",IF(OR($D3636="",$E3636="",$O3636=""),"EKSİK",IF($O3636&lt;=0,"SIFIR/NEGATİF",IF(COUNTIFS($C$6:$C$5000,$C3636,$O$6:$O$5000,$O3636,$B$6:$B$5000,$B3636)&gt;1,"MÜKERRER","OK"))))</f>
        <v/>
      </c>
    </row>
    <row r="3637" ht="16.5" customHeight="1" s="80">
      <c r="A3637" s="113" t="n"/>
      <c r="B3637" s="113" t="n"/>
      <c r="C3637" s="113" t="n"/>
      <c r="D3637" s="113" t="n"/>
      <c r="E3637" s="113" t="n"/>
      <c r="F3637" s="113" t="n"/>
      <c r="G3637" s="113" t="n"/>
      <c r="H3637" s="113" t="n"/>
      <c r="I3637" s="113" t="n"/>
      <c r="J3637" s="113" t="n"/>
      <c r="K3637" s="113" t="n"/>
      <c r="L3637" s="113" t="n"/>
      <c r="M3637" s="113" t="n"/>
      <c r="N3637" s="113" t="n"/>
      <c r="O3637" s="113" t="n"/>
      <c r="P3637" s="113" t="n"/>
      <c r="Q3637" s="113" t="n"/>
      <c r="R3637" s="113" t="n"/>
      <c r="S3637" s="113" t="n"/>
      <c r="T3637" s="113" t="n"/>
      <c r="U3637" s="113" t="n"/>
      <c r="V3637" s="113" t="n"/>
      <c r="W3637" s="113" t="n"/>
      <c r="X3637" s="113" t="n"/>
      <c r="Y3637" s="113" t="n"/>
      <c r="Z3637" s="117">
        <f>IF($B3637="",0,IF($S3637="EVET",IF($D3637="GELİR",$O3637,-$O3637),0))</f>
        <v/>
      </c>
      <c r="AA3637" s="117">
        <f>IF($B3637="",0,IF(OR($W3637="EVET",$X3637="EVET",$Y3637="EVET"),0,IF($D3637="GELİR",IF($E3637="SATIŞ İADESİ/İSKONTO",-$O3637,$O3637),-$O3637)))</f>
        <v/>
      </c>
      <c r="AB3637" s="117">
        <f>IF($B3637="","",IF(OR($D3637="",$E3637="",$O3637=""),"EKSİK",IF($O3637&lt;=0,"SIFIR/NEGATİF",IF(COUNTIFS($C$6:$C$5000,$C3637,$O$6:$O$5000,$O3637,$B$6:$B$5000,$B3637)&gt;1,"MÜKERRER","OK"))))</f>
        <v/>
      </c>
    </row>
    <row r="3638" ht="16.5" customHeight="1" s="80">
      <c r="A3638" s="113" t="n"/>
      <c r="B3638" s="113" t="n"/>
      <c r="C3638" s="113" t="n"/>
      <c r="D3638" s="113" t="n"/>
      <c r="E3638" s="113" t="n"/>
      <c r="F3638" s="113" t="n"/>
      <c r="G3638" s="113" t="n"/>
      <c r="H3638" s="113" t="n"/>
      <c r="I3638" s="113" t="n"/>
      <c r="J3638" s="113" t="n"/>
      <c r="K3638" s="113" t="n"/>
      <c r="L3638" s="113" t="n"/>
      <c r="M3638" s="113" t="n"/>
      <c r="N3638" s="113" t="n"/>
      <c r="O3638" s="113" t="n"/>
      <c r="P3638" s="113" t="n"/>
      <c r="Q3638" s="113" t="n"/>
      <c r="R3638" s="113" t="n"/>
      <c r="S3638" s="113" t="n"/>
      <c r="T3638" s="113" t="n"/>
      <c r="U3638" s="113" t="n"/>
      <c r="V3638" s="113" t="n"/>
      <c r="W3638" s="113" t="n"/>
      <c r="X3638" s="113" t="n"/>
      <c r="Y3638" s="113" t="n"/>
      <c r="Z3638" s="117">
        <f>IF($B3638="",0,IF($S3638="EVET",IF($D3638="GELİR",$O3638,-$O3638),0))</f>
        <v/>
      </c>
      <c r="AA3638" s="117">
        <f>IF($B3638="",0,IF(OR($W3638="EVET",$X3638="EVET",$Y3638="EVET"),0,IF($D3638="GELİR",IF($E3638="SATIŞ İADESİ/İSKONTO",-$O3638,$O3638),-$O3638)))</f>
        <v/>
      </c>
      <c r="AB3638" s="117">
        <f>IF($B3638="","",IF(OR($D3638="",$E3638="",$O3638=""),"EKSİK",IF($O3638&lt;=0,"SIFIR/NEGATİF",IF(COUNTIFS($C$6:$C$5000,$C3638,$O$6:$O$5000,$O3638,$B$6:$B$5000,$B3638)&gt;1,"MÜKERRER","OK"))))</f>
        <v/>
      </c>
    </row>
    <row r="3639" ht="16.5" customHeight="1" s="80">
      <c r="A3639" s="113" t="n"/>
      <c r="B3639" s="113" t="n"/>
      <c r="C3639" s="113" t="n"/>
      <c r="D3639" s="113" t="n"/>
      <c r="E3639" s="113" t="n"/>
      <c r="F3639" s="113" t="n"/>
      <c r="G3639" s="113" t="n"/>
      <c r="H3639" s="113" t="n"/>
      <c r="I3639" s="113" t="n"/>
      <c r="J3639" s="113" t="n"/>
      <c r="K3639" s="113" t="n"/>
      <c r="L3639" s="113" t="n"/>
      <c r="M3639" s="113" t="n"/>
      <c r="N3639" s="113" t="n"/>
      <c r="O3639" s="113" t="n"/>
      <c r="P3639" s="113" t="n"/>
      <c r="Q3639" s="113" t="n"/>
      <c r="R3639" s="113" t="n"/>
      <c r="S3639" s="113" t="n"/>
      <c r="T3639" s="113" t="n"/>
      <c r="U3639" s="113" t="n"/>
      <c r="V3639" s="113" t="n"/>
      <c r="W3639" s="113" t="n"/>
      <c r="X3639" s="113" t="n"/>
      <c r="Y3639" s="113" t="n"/>
      <c r="Z3639" s="117">
        <f>IF($B3639="",0,IF($S3639="EVET",IF($D3639="GELİR",$O3639,-$O3639),0))</f>
        <v/>
      </c>
      <c r="AA3639" s="117">
        <f>IF($B3639="",0,IF(OR($W3639="EVET",$X3639="EVET",$Y3639="EVET"),0,IF($D3639="GELİR",IF($E3639="SATIŞ İADESİ/İSKONTO",-$O3639,$O3639),-$O3639)))</f>
        <v/>
      </c>
      <c r="AB3639" s="117">
        <f>IF($B3639="","",IF(OR($D3639="",$E3639="",$O3639=""),"EKSİK",IF($O3639&lt;=0,"SIFIR/NEGATİF",IF(COUNTIFS($C$6:$C$5000,$C3639,$O$6:$O$5000,$O3639,$B$6:$B$5000,$B3639)&gt;1,"MÜKERRER","OK"))))</f>
        <v/>
      </c>
    </row>
    <row r="3640" ht="16.5" customHeight="1" s="80">
      <c r="A3640" s="113" t="n"/>
      <c r="B3640" s="113" t="n"/>
      <c r="C3640" s="113" t="n"/>
      <c r="D3640" s="113" t="n"/>
      <c r="E3640" s="113" t="n"/>
      <c r="F3640" s="113" t="n"/>
      <c r="G3640" s="113" t="n"/>
      <c r="H3640" s="113" t="n"/>
      <c r="I3640" s="113" t="n"/>
      <c r="J3640" s="113" t="n"/>
      <c r="K3640" s="113" t="n"/>
      <c r="L3640" s="113" t="n"/>
      <c r="M3640" s="113" t="n"/>
      <c r="N3640" s="113" t="n"/>
      <c r="O3640" s="113" t="n"/>
      <c r="P3640" s="113" t="n"/>
      <c r="Q3640" s="113" t="n"/>
      <c r="R3640" s="113" t="n"/>
      <c r="S3640" s="113" t="n"/>
      <c r="T3640" s="113" t="n"/>
      <c r="U3640" s="113" t="n"/>
      <c r="V3640" s="113" t="n"/>
      <c r="W3640" s="113" t="n"/>
      <c r="X3640" s="113" t="n"/>
      <c r="Y3640" s="113" t="n"/>
      <c r="Z3640" s="117">
        <f>IF($B3640="",0,IF($S3640="EVET",IF($D3640="GELİR",$O3640,-$O3640),0))</f>
        <v/>
      </c>
      <c r="AA3640" s="117">
        <f>IF($B3640="",0,IF(OR($W3640="EVET",$X3640="EVET",$Y3640="EVET"),0,IF($D3640="GELİR",IF($E3640="SATIŞ İADESİ/İSKONTO",-$O3640,$O3640),-$O3640)))</f>
        <v/>
      </c>
      <c r="AB3640" s="117">
        <f>IF($B3640="","",IF(OR($D3640="",$E3640="",$O3640=""),"EKSİK",IF($O3640&lt;=0,"SIFIR/NEGATİF",IF(COUNTIFS($C$6:$C$5000,$C3640,$O$6:$O$5000,$O3640,$B$6:$B$5000,$B3640)&gt;1,"MÜKERRER","OK"))))</f>
        <v/>
      </c>
    </row>
    <row r="3641" ht="16.5" customHeight="1" s="80">
      <c r="A3641" s="113" t="n"/>
      <c r="B3641" s="113" t="n"/>
      <c r="C3641" s="113" t="n"/>
      <c r="D3641" s="113" t="n"/>
      <c r="E3641" s="113" t="n"/>
      <c r="F3641" s="113" t="n"/>
      <c r="G3641" s="113" t="n"/>
      <c r="H3641" s="113" t="n"/>
      <c r="I3641" s="113" t="n"/>
      <c r="J3641" s="113" t="n"/>
      <c r="K3641" s="113" t="n"/>
      <c r="L3641" s="113" t="n"/>
      <c r="M3641" s="113" t="n"/>
      <c r="N3641" s="113" t="n"/>
      <c r="O3641" s="113" t="n"/>
      <c r="P3641" s="113" t="n"/>
      <c r="Q3641" s="113" t="n"/>
      <c r="R3641" s="113" t="n"/>
      <c r="S3641" s="113" t="n"/>
      <c r="T3641" s="113" t="n"/>
      <c r="U3641" s="113" t="n"/>
      <c r="V3641" s="113" t="n"/>
      <c r="W3641" s="113" t="n"/>
      <c r="X3641" s="113" t="n"/>
      <c r="Y3641" s="113" t="n"/>
      <c r="Z3641" s="117">
        <f>IF($B3641="",0,IF($S3641="EVET",IF($D3641="GELİR",$O3641,-$O3641),0))</f>
        <v/>
      </c>
      <c r="AA3641" s="117">
        <f>IF($B3641="",0,IF(OR($W3641="EVET",$X3641="EVET",$Y3641="EVET"),0,IF($D3641="GELİR",IF($E3641="SATIŞ İADESİ/İSKONTO",-$O3641,$O3641),-$O3641)))</f>
        <v/>
      </c>
      <c r="AB3641" s="117">
        <f>IF($B3641="","",IF(OR($D3641="",$E3641="",$O3641=""),"EKSİK",IF($O3641&lt;=0,"SIFIR/NEGATİF",IF(COUNTIFS($C$6:$C$5000,$C3641,$O$6:$O$5000,$O3641,$B$6:$B$5000,$B3641)&gt;1,"MÜKERRER","OK"))))</f>
        <v/>
      </c>
    </row>
    <row r="3642" ht="16.5" customHeight="1" s="80">
      <c r="A3642" s="113" t="n"/>
      <c r="B3642" s="113" t="n"/>
      <c r="C3642" s="113" t="n"/>
      <c r="D3642" s="113" t="n"/>
      <c r="E3642" s="113" t="n"/>
      <c r="F3642" s="113" t="n"/>
      <c r="G3642" s="113" t="n"/>
      <c r="H3642" s="113" t="n"/>
      <c r="I3642" s="113" t="n"/>
      <c r="J3642" s="113" t="n"/>
      <c r="K3642" s="113" t="n"/>
      <c r="L3642" s="113" t="n"/>
      <c r="M3642" s="113" t="n"/>
      <c r="N3642" s="113" t="n"/>
      <c r="O3642" s="113" t="n"/>
      <c r="P3642" s="113" t="n"/>
      <c r="Q3642" s="113" t="n"/>
      <c r="R3642" s="113" t="n"/>
      <c r="S3642" s="113" t="n"/>
      <c r="T3642" s="113" t="n"/>
      <c r="U3642" s="113" t="n"/>
      <c r="V3642" s="113" t="n"/>
      <c r="W3642" s="113" t="n"/>
      <c r="X3642" s="113" t="n"/>
      <c r="Y3642" s="113" t="n"/>
      <c r="Z3642" s="117">
        <f>IF($B3642="",0,IF($S3642="EVET",IF($D3642="GELİR",$O3642,-$O3642),0))</f>
        <v/>
      </c>
      <c r="AA3642" s="117">
        <f>IF($B3642="",0,IF(OR($W3642="EVET",$X3642="EVET",$Y3642="EVET"),0,IF($D3642="GELİR",IF($E3642="SATIŞ İADESİ/İSKONTO",-$O3642,$O3642),-$O3642)))</f>
        <v/>
      </c>
      <c r="AB3642" s="117">
        <f>IF($B3642="","",IF(OR($D3642="",$E3642="",$O3642=""),"EKSİK",IF($O3642&lt;=0,"SIFIR/NEGATİF",IF(COUNTIFS($C$6:$C$5000,$C3642,$O$6:$O$5000,$O3642,$B$6:$B$5000,$B3642)&gt;1,"MÜKERRER","OK"))))</f>
        <v/>
      </c>
    </row>
    <row r="3643" ht="16.5" customHeight="1" s="80">
      <c r="A3643" s="113" t="n"/>
      <c r="B3643" s="113" t="n"/>
      <c r="C3643" s="113" t="n"/>
      <c r="D3643" s="113" t="n"/>
      <c r="E3643" s="113" t="n"/>
      <c r="F3643" s="113" t="n"/>
      <c r="G3643" s="113" t="n"/>
      <c r="H3643" s="113" t="n"/>
      <c r="I3643" s="113" t="n"/>
      <c r="J3643" s="113" t="n"/>
      <c r="K3643" s="113" t="n"/>
      <c r="L3643" s="113" t="n"/>
      <c r="M3643" s="113" t="n"/>
      <c r="N3643" s="113" t="n"/>
      <c r="O3643" s="113" t="n"/>
      <c r="P3643" s="113" t="n"/>
      <c r="Q3643" s="113" t="n"/>
      <c r="R3643" s="113" t="n"/>
      <c r="S3643" s="113" t="n"/>
      <c r="T3643" s="113" t="n"/>
      <c r="U3643" s="113" t="n"/>
      <c r="V3643" s="113" t="n"/>
      <c r="W3643" s="113" t="n"/>
      <c r="X3643" s="113" t="n"/>
      <c r="Y3643" s="113" t="n"/>
      <c r="Z3643" s="117">
        <f>IF($B3643="",0,IF($S3643="EVET",IF($D3643="GELİR",$O3643,-$O3643),0))</f>
        <v/>
      </c>
      <c r="AA3643" s="117">
        <f>IF($B3643="",0,IF(OR($W3643="EVET",$X3643="EVET",$Y3643="EVET"),0,IF($D3643="GELİR",IF($E3643="SATIŞ İADESİ/İSKONTO",-$O3643,$O3643),-$O3643)))</f>
        <v/>
      </c>
      <c r="AB3643" s="117">
        <f>IF($B3643="","",IF(OR($D3643="",$E3643="",$O3643=""),"EKSİK",IF($O3643&lt;=0,"SIFIR/NEGATİF",IF(COUNTIFS($C$6:$C$5000,$C3643,$O$6:$O$5000,$O3643,$B$6:$B$5000,$B3643)&gt;1,"MÜKERRER","OK"))))</f>
        <v/>
      </c>
    </row>
    <row r="3644" ht="16.5" customHeight="1" s="80">
      <c r="A3644" s="113" t="n"/>
      <c r="B3644" s="113" t="n"/>
      <c r="C3644" s="113" t="n"/>
      <c r="D3644" s="113" t="n"/>
      <c r="E3644" s="113" t="n"/>
      <c r="F3644" s="113" t="n"/>
      <c r="G3644" s="113" t="n"/>
      <c r="H3644" s="113" t="n"/>
      <c r="I3644" s="113" t="n"/>
      <c r="J3644" s="113" t="n"/>
      <c r="K3644" s="113" t="n"/>
      <c r="L3644" s="113" t="n"/>
      <c r="M3644" s="113" t="n"/>
      <c r="N3644" s="113" t="n"/>
      <c r="O3644" s="113" t="n"/>
      <c r="P3644" s="113" t="n"/>
      <c r="Q3644" s="113" t="n"/>
      <c r="R3644" s="113" t="n"/>
      <c r="S3644" s="113" t="n"/>
      <c r="T3644" s="113" t="n"/>
      <c r="U3644" s="113" t="n"/>
      <c r="V3644" s="113" t="n"/>
      <c r="W3644" s="113" t="n"/>
      <c r="X3644" s="113" t="n"/>
      <c r="Y3644" s="113" t="n"/>
      <c r="Z3644" s="117">
        <f>IF($B3644="",0,IF($S3644="EVET",IF($D3644="GELİR",$O3644,-$O3644),0))</f>
        <v/>
      </c>
      <c r="AA3644" s="117">
        <f>IF($B3644="",0,IF(OR($W3644="EVET",$X3644="EVET",$Y3644="EVET"),0,IF($D3644="GELİR",IF($E3644="SATIŞ İADESİ/İSKONTO",-$O3644,$O3644),-$O3644)))</f>
        <v/>
      </c>
      <c r="AB3644" s="117">
        <f>IF($B3644="","",IF(OR($D3644="",$E3644="",$O3644=""),"EKSİK",IF($O3644&lt;=0,"SIFIR/NEGATİF",IF(COUNTIFS($C$6:$C$5000,$C3644,$O$6:$O$5000,$O3644,$B$6:$B$5000,$B3644)&gt;1,"MÜKERRER","OK"))))</f>
        <v/>
      </c>
    </row>
    <row r="3645" ht="16.5" customHeight="1" s="80">
      <c r="A3645" s="113" t="n"/>
      <c r="B3645" s="113" t="n"/>
      <c r="C3645" s="113" t="n"/>
      <c r="D3645" s="113" t="n"/>
      <c r="E3645" s="113" t="n"/>
      <c r="F3645" s="113" t="n"/>
      <c r="G3645" s="113" t="n"/>
      <c r="H3645" s="113" t="n"/>
      <c r="I3645" s="113" t="n"/>
      <c r="J3645" s="113" t="n"/>
      <c r="K3645" s="113" t="n"/>
      <c r="L3645" s="113" t="n"/>
      <c r="M3645" s="113" t="n"/>
      <c r="N3645" s="113" t="n"/>
      <c r="O3645" s="113" t="n"/>
      <c r="P3645" s="113" t="n"/>
      <c r="Q3645" s="113" t="n"/>
      <c r="R3645" s="113" t="n"/>
      <c r="S3645" s="113" t="n"/>
      <c r="T3645" s="113" t="n"/>
      <c r="U3645" s="113" t="n"/>
      <c r="V3645" s="113" t="n"/>
      <c r="W3645" s="113" t="n"/>
      <c r="X3645" s="113" t="n"/>
      <c r="Y3645" s="113" t="n"/>
      <c r="Z3645" s="117">
        <f>IF($B3645="",0,IF($S3645="EVET",IF($D3645="GELİR",$O3645,-$O3645),0))</f>
        <v/>
      </c>
      <c r="AA3645" s="117">
        <f>IF($B3645="",0,IF(OR($W3645="EVET",$X3645="EVET",$Y3645="EVET"),0,IF($D3645="GELİR",IF($E3645="SATIŞ İADESİ/İSKONTO",-$O3645,$O3645),-$O3645)))</f>
        <v/>
      </c>
      <c r="AB3645" s="117">
        <f>IF($B3645="","",IF(OR($D3645="",$E3645="",$O3645=""),"EKSİK",IF($O3645&lt;=0,"SIFIR/NEGATİF",IF(COUNTIFS($C$6:$C$5000,$C3645,$O$6:$O$5000,$O3645,$B$6:$B$5000,$B3645)&gt;1,"MÜKERRER","OK"))))</f>
        <v/>
      </c>
    </row>
    <row r="3646" ht="16.5" customHeight="1" s="80">
      <c r="A3646" s="113" t="n"/>
      <c r="B3646" s="113" t="n"/>
      <c r="C3646" s="113" t="n"/>
      <c r="D3646" s="113" t="n"/>
      <c r="E3646" s="113" t="n"/>
      <c r="F3646" s="113" t="n"/>
      <c r="G3646" s="113" t="n"/>
      <c r="H3646" s="113" t="n"/>
      <c r="I3646" s="113" t="n"/>
      <c r="J3646" s="113" t="n"/>
      <c r="K3646" s="113" t="n"/>
      <c r="L3646" s="113" t="n"/>
      <c r="M3646" s="113" t="n"/>
      <c r="N3646" s="113" t="n"/>
      <c r="O3646" s="113" t="n"/>
      <c r="P3646" s="113" t="n"/>
      <c r="Q3646" s="113" t="n"/>
      <c r="R3646" s="113" t="n"/>
      <c r="S3646" s="113" t="n"/>
      <c r="T3646" s="113" t="n"/>
      <c r="U3646" s="113" t="n"/>
      <c r="V3646" s="113" t="n"/>
      <c r="W3646" s="113" t="n"/>
      <c r="X3646" s="113" t="n"/>
      <c r="Y3646" s="113" t="n"/>
      <c r="Z3646" s="117">
        <f>IF($B3646="",0,IF($S3646="EVET",IF($D3646="GELİR",$O3646,-$O3646),0))</f>
        <v/>
      </c>
      <c r="AA3646" s="117">
        <f>IF($B3646="",0,IF(OR($W3646="EVET",$X3646="EVET",$Y3646="EVET"),0,IF($D3646="GELİR",IF($E3646="SATIŞ İADESİ/İSKONTO",-$O3646,$O3646),-$O3646)))</f>
        <v/>
      </c>
      <c r="AB3646" s="117">
        <f>IF($B3646="","",IF(OR($D3646="",$E3646="",$O3646=""),"EKSİK",IF($O3646&lt;=0,"SIFIR/NEGATİF",IF(COUNTIFS($C$6:$C$5000,$C3646,$O$6:$O$5000,$O3646,$B$6:$B$5000,$B3646)&gt;1,"MÜKERRER","OK"))))</f>
        <v/>
      </c>
    </row>
    <row r="3647" ht="16.5" customHeight="1" s="80">
      <c r="A3647" s="113" t="n"/>
      <c r="B3647" s="113" t="n"/>
      <c r="C3647" s="113" t="n"/>
      <c r="D3647" s="113" t="n"/>
      <c r="E3647" s="113" t="n"/>
      <c r="F3647" s="113" t="n"/>
      <c r="G3647" s="113" t="n"/>
      <c r="H3647" s="113" t="n"/>
      <c r="I3647" s="113" t="n"/>
      <c r="J3647" s="113" t="n"/>
      <c r="K3647" s="113" t="n"/>
      <c r="L3647" s="113" t="n"/>
      <c r="M3647" s="113" t="n"/>
      <c r="N3647" s="113" t="n"/>
      <c r="O3647" s="113" t="n"/>
      <c r="P3647" s="113" t="n"/>
      <c r="Q3647" s="113" t="n"/>
      <c r="R3647" s="113" t="n"/>
      <c r="S3647" s="113" t="n"/>
      <c r="T3647" s="113" t="n"/>
      <c r="U3647" s="113" t="n"/>
      <c r="V3647" s="113" t="n"/>
      <c r="W3647" s="113" t="n"/>
      <c r="X3647" s="113" t="n"/>
      <c r="Y3647" s="113" t="n"/>
      <c r="Z3647" s="117">
        <f>IF($B3647="",0,IF($S3647="EVET",IF($D3647="GELİR",$O3647,-$O3647),0))</f>
        <v/>
      </c>
      <c r="AA3647" s="117">
        <f>IF($B3647="",0,IF(OR($W3647="EVET",$X3647="EVET",$Y3647="EVET"),0,IF($D3647="GELİR",IF($E3647="SATIŞ İADESİ/İSKONTO",-$O3647,$O3647),-$O3647)))</f>
        <v/>
      </c>
      <c r="AB3647" s="117">
        <f>IF($B3647="","",IF(OR($D3647="",$E3647="",$O3647=""),"EKSİK",IF($O3647&lt;=0,"SIFIR/NEGATİF",IF(COUNTIFS($C$6:$C$5000,$C3647,$O$6:$O$5000,$O3647,$B$6:$B$5000,$B3647)&gt;1,"MÜKERRER","OK"))))</f>
        <v/>
      </c>
    </row>
    <row r="3648" ht="16.5" customHeight="1" s="80">
      <c r="A3648" s="113" t="n"/>
      <c r="B3648" s="113" t="n"/>
      <c r="C3648" s="113" t="n"/>
      <c r="D3648" s="113" t="n"/>
      <c r="E3648" s="113" t="n"/>
      <c r="F3648" s="113" t="n"/>
      <c r="G3648" s="113" t="n"/>
      <c r="H3648" s="113" t="n"/>
      <c r="I3648" s="113" t="n"/>
      <c r="J3648" s="113" t="n"/>
      <c r="K3648" s="113" t="n"/>
      <c r="L3648" s="113" t="n"/>
      <c r="M3648" s="113" t="n"/>
      <c r="N3648" s="113" t="n"/>
      <c r="O3648" s="113" t="n"/>
      <c r="P3648" s="113" t="n"/>
      <c r="Q3648" s="113" t="n"/>
      <c r="R3648" s="113" t="n"/>
      <c r="S3648" s="113" t="n"/>
      <c r="T3648" s="113" t="n"/>
      <c r="U3648" s="113" t="n"/>
      <c r="V3648" s="113" t="n"/>
      <c r="W3648" s="113" t="n"/>
      <c r="X3648" s="113" t="n"/>
      <c r="Y3648" s="113" t="n"/>
      <c r="Z3648" s="117">
        <f>IF($B3648="",0,IF($S3648="EVET",IF($D3648="GELİR",$O3648,-$O3648),0))</f>
        <v/>
      </c>
      <c r="AA3648" s="117">
        <f>IF($B3648="",0,IF(OR($W3648="EVET",$X3648="EVET",$Y3648="EVET"),0,IF($D3648="GELİR",IF($E3648="SATIŞ İADESİ/İSKONTO",-$O3648,$O3648),-$O3648)))</f>
        <v/>
      </c>
      <c r="AB3648" s="117">
        <f>IF($B3648="","",IF(OR($D3648="",$E3648="",$O3648=""),"EKSİK",IF($O3648&lt;=0,"SIFIR/NEGATİF",IF(COUNTIFS($C$6:$C$5000,$C3648,$O$6:$O$5000,$O3648,$B$6:$B$5000,$B3648)&gt;1,"MÜKERRER","OK"))))</f>
        <v/>
      </c>
    </row>
    <row r="3649" ht="16.5" customHeight="1" s="80">
      <c r="A3649" s="113" t="n"/>
      <c r="B3649" s="113" t="n"/>
      <c r="C3649" s="113" t="n"/>
      <c r="D3649" s="113" t="n"/>
      <c r="E3649" s="113" t="n"/>
      <c r="F3649" s="113" t="n"/>
      <c r="G3649" s="113" t="n"/>
      <c r="H3649" s="113" t="n"/>
      <c r="I3649" s="113" t="n"/>
      <c r="J3649" s="113" t="n"/>
      <c r="K3649" s="113" t="n"/>
      <c r="L3649" s="113" t="n"/>
      <c r="M3649" s="113" t="n"/>
      <c r="N3649" s="113" t="n"/>
      <c r="O3649" s="113" t="n"/>
      <c r="P3649" s="113" t="n"/>
      <c r="Q3649" s="113" t="n"/>
      <c r="R3649" s="113" t="n"/>
      <c r="S3649" s="113" t="n"/>
      <c r="T3649" s="113" t="n"/>
      <c r="U3649" s="113" t="n"/>
      <c r="V3649" s="113" t="n"/>
      <c r="W3649" s="113" t="n"/>
      <c r="X3649" s="113" t="n"/>
      <c r="Y3649" s="113" t="n"/>
      <c r="Z3649" s="117">
        <f>IF($B3649="",0,IF($S3649="EVET",IF($D3649="GELİR",$O3649,-$O3649),0))</f>
        <v/>
      </c>
      <c r="AA3649" s="117">
        <f>IF($B3649="",0,IF(OR($W3649="EVET",$X3649="EVET",$Y3649="EVET"),0,IF($D3649="GELİR",IF($E3649="SATIŞ İADESİ/İSKONTO",-$O3649,$O3649),-$O3649)))</f>
        <v/>
      </c>
      <c r="AB3649" s="117">
        <f>IF($B3649="","",IF(OR($D3649="",$E3649="",$O3649=""),"EKSİK",IF($O3649&lt;=0,"SIFIR/NEGATİF",IF(COUNTIFS($C$6:$C$5000,$C3649,$O$6:$O$5000,$O3649,$B$6:$B$5000,$B3649)&gt;1,"MÜKERRER","OK"))))</f>
        <v/>
      </c>
    </row>
    <row r="3650" ht="16.5" customHeight="1" s="80">
      <c r="A3650" s="113" t="n"/>
      <c r="B3650" s="113" t="n"/>
      <c r="C3650" s="113" t="n"/>
      <c r="D3650" s="113" t="n"/>
      <c r="E3650" s="113" t="n"/>
      <c r="F3650" s="113" t="n"/>
      <c r="G3650" s="113" t="n"/>
      <c r="H3650" s="113" t="n"/>
      <c r="I3650" s="113" t="n"/>
      <c r="J3650" s="113" t="n"/>
      <c r="K3650" s="113" t="n"/>
      <c r="L3650" s="113" t="n"/>
      <c r="M3650" s="113" t="n"/>
      <c r="N3650" s="113" t="n"/>
      <c r="O3650" s="113" t="n"/>
      <c r="P3650" s="113" t="n"/>
      <c r="Q3650" s="113" t="n"/>
      <c r="R3650" s="113" t="n"/>
      <c r="S3650" s="113" t="n"/>
      <c r="T3650" s="113" t="n"/>
      <c r="U3650" s="113" t="n"/>
      <c r="V3650" s="113" t="n"/>
      <c r="W3650" s="113" t="n"/>
      <c r="X3650" s="113" t="n"/>
      <c r="Y3650" s="113" t="n"/>
      <c r="Z3650" s="117">
        <f>IF($B3650="",0,IF($S3650="EVET",IF($D3650="GELİR",$O3650,-$O3650),0))</f>
        <v/>
      </c>
      <c r="AA3650" s="117">
        <f>IF($B3650="",0,IF(OR($W3650="EVET",$X3650="EVET",$Y3650="EVET"),0,IF($D3650="GELİR",IF($E3650="SATIŞ İADESİ/İSKONTO",-$O3650,$O3650),-$O3650)))</f>
        <v/>
      </c>
      <c r="AB3650" s="117">
        <f>IF($B3650="","",IF(OR($D3650="",$E3650="",$O3650=""),"EKSİK",IF($O3650&lt;=0,"SIFIR/NEGATİF",IF(COUNTIFS($C$6:$C$5000,$C3650,$O$6:$O$5000,$O3650,$B$6:$B$5000,$B3650)&gt;1,"MÜKERRER","OK"))))</f>
        <v/>
      </c>
    </row>
    <row r="3651" ht="16.5" customHeight="1" s="80">
      <c r="A3651" s="113" t="n"/>
      <c r="B3651" s="113" t="n"/>
      <c r="C3651" s="113" t="n"/>
      <c r="D3651" s="113" t="n"/>
      <c r="E3651" s="113" t="n"/>
      <c r="F3651" s="113" t="n"/>
      <c r="G3651" s="113" t="n"/>
      <c r="H3651" s="113" t="n"/>
      <c r="I3651" s="113" t="n"/>
      <c r="J3651" s="113" t="n"/>
      <c r="K3651" s="113" t="n"/>
      <c r="L3651" s="113" t="n"/>
      <c r="M3651" s="113" t="n"/>
      <c r="N3651" s="113" t="n"/>
      <c r="O3651" s="113" t="n"/>
      <c r="P3651" s="113" t="n"/>
      <c r="Q3651" s="113" t="n"/>
      <c r="R3651" s="113" t="n"/>
      <c r="S3651" s="113" t="n"/>
      <c r="T3651" s="113" t="n"/>
      <c r="U3651" s="113" t="n"/>
      <c r="V3651" s="113" t="n"/>
      <c r="W3651" s="113" t="n"/>
      <c r="X3651" s="113" t="n"/>
      <c r="Y3651" s="113" t="n"/>
      <c r="Z3651" s="117">
        <f>IF($B3651="",0,IF($S3651="EVET",IF($D3651="GELİR",$O3651,-$O3651),0))</f>
        <v/>
      </c>
      <c r="AA3651" s="117">
        <f>IF($B3651="",0,IF(OR($W3651="EVET",$X3651="EVET",$Y3651="EVET"),0,IF($D3651="GELİR",IF($E3651="SATIŞ İADESİ/İSKONTO",-$O3651,$O3651),-$O3651)))</f>
        <v/>
      </c>
      <c r="AB3651" s="117">
        <f>IF($B3651="","",IF(OR($D3651="",$E3651="",$O3651=""),"EKSİK",IF($O3651&lt;=0,"SIFIR/NEGATİF",IF(COUNTIFS($C$6:$C$5000,$C3651,$O$6:$O$5000,$O3651,$B$6:$B$5000,$B3651)&gt;1,"MÜKERRER","OK"))))</f>
        <v/>
      </c>
    </row>
    <row r="3652" ht="16.5" customHeight="1" s="80">
      <c r="A3652" s="113" t="n"/>
      <c r="B3652" s="113" t="n"/>
      <c r="C3652" s="113" t="n"/>
      <c r="D3652" s="113" t="n"/>
      <c r="E3652" s="113" t="n"/>
      <c r="F3652" s="113" t="n"/>
      <c r="G3652" s="113" t="n"/>
      <c r="H3652" s="113" t="n"/>
      <c r="I3652" s="113" t="n"/>
      <c r="J3652" s="113" t="n"/>
      <c r="K3652" s="113" t="n"/>
      <c r="L3652" s="113" t="n"/>
      <c r="M3652" s="113" t="n"/>
      <c r="N3652" s="113" t="n"/>
      <c r="O3652" s="113" t="n"/>
      <c r="P3652" s="113" t="n"/>
      <c r="Q3652" s="113" t="n"/>
      <c r="R3652" s="113" t="n"/>
      <c r="S3652" s="113" t="n"/>
      <c r="T3652" s="113" t="n"/>
      <c r="U3652" s="113" t="n"/>
      <c r="V3652" s="113" t="n"/>
      <c r="W3652" s="113" t="n"/>
      <c r="X3652" s="113" t="n"/>
      <c r="Y3652" s="113" t="n"/>
      <c r="Z3652" s="117">
        <f>IF($B3652="",0,IF($S3652="EVET",IF($D3652="GELİR",$O3652,-$O3652),0))</f>
        <v/>
      </c>
      <c r="AA3652" s="117">
        <f>IF($B3652="",0,IF(OR($W3652="EVET",$X3652="EVET",$Y3652="EVET"),0,IF($D3652="GELİR",IF($E3652="SATIŞ İADESİ/İSKONTO",-$O3652,$O3652),-$O3652)))</f>
        <v/>
      </c>
      <c r="AB3652" s="117">
        <f>IF($B3652="","",IF(OR($D3652="",$E3652="",$O3652=""),"EKSİK",IF($O3652&lt;=0,"SIFIR/NEGATİF",IF(COUNTIFS($C$6:$C$5000,$C3652,$O$6:$O$5000,$O3652,$B$6:$B$5000,$B3652)&gt;1,"MÜKERRER","OK"))))</f>
        <v/>
      </c>
    </row>
    <row r="3653" ht="16.5" customHeight="1" s="80">
      <c r="A3653" s="113" t="n"/>
      <c r="B3653" s="113" t="n"/>
      <c r="C3653" s="113" t="n"/>
      <c r="D3653" s="113" t="n"/>
      <c r="E3653" s="113" t="n"/>
      <c r="F3653" s="113" t="n"/>
      <c r="G3653" s="113" t="n"/>
      <c r="H3653" s="113" t="n"/>
      <c r="I3653" s="113" t="n"/>
      <c r="J3653" s="113" t="n"/>
      <c r="K3653" s="113" t="n"/>
      <c r="L3653" s="113" t="n"/>
      <c r="M3653" s="113" t="n"/>
      <c r="N3653" s="113" t="n"/>
      <c r="O3653" s="113" t="n"/>
      <c r="P3653" s="113" t="n"/>
      <c r="Q3653" s="113" t="n"/>
      <c r="R3653" s="113" t="n"/>
      <c r="S3653" s="113" t="n"/>
      <c r="T3653" s="113" t="n"/>
      <c r="U3653" s="113" t="n"/>
      <c r="V3653" s="113" t="n"/>
      <c r="W3653" s="113" t="n"/>
      <c r="X3653" s="113" t="n"/>
      <c r="Y3653" s="113" t="n"/>
      <c r="Z3653" s="117">
        <f>IF($B3653="",0,IF($S3653="EVET",IF($D3653="GELİR",$O3653,-$O3653),0))</f>
        <v/>
      </c>
      <c r="AA3653" s="117">
        <f>IF($B3653="",0,IF(OR($W3653="EVET",$X3653="EVET",$Y3653="EVET"),0,IF($D3653="GELİR",IF($E3653="SATIŞ İADESİ/İSKONTO",-$O3653,$O3653),-$O3653)))</f>
        <v/>
      </c>
      <c r="AB3653" s="117">
        <f>IF($B3653="","",IF(OR($D3653="",$E3653="",$O3653=""),"EKSİK",IF($O3653&lt;=0,"SIFIR/NEGATİF",IF(COUNTIFS($C$6:$C$5000,$C3653,$O$6:$O$5000,$O3653,$B$6:$B$5000,$B3653)&gt;1,"MÜKERRER","OK"))))</f>
        <v/>
      </c>
    </row>
    <row r="3654" ht="16.5" customHeight="1" s="80">
      <c r="A3654" s="113" t="n"/>
      <c r="B3654" s="113" t="n"/>
      <c r="C3654" s="113" t="n"/>
      <c r="D3654" s="113" t="n"/>
      <c r="E3654" s="113" t="n"/>
      <c r="F3654" s="113" t="n"/>
      <c r="G3654" s="113" t="n"/>
      <c r="H3654" s="113" t="n"/>
      <c r="I3654" s="113" t="n"/>
      <c r="J3654" s="113" t="n"/>
      <c r="K3654" s="113" t="n"/>
      <c r="L3654" s="113" t="n"/>
      <c r="M3654" s="113" t="n"/>
      <c r="N3654" s="113" t="n"/>
      <c r="O3654" s="113" t="n"/>
      <c r="P3654" s="113" t="n"/>
      <c r="Q3654" s="113" t="n"/>
      <c r="R3654" s="113" t="n"/>
      <c r="S3654" s="113" t="n"/>
      <c r="T3654" s="113" t="n"/>
      <c r="U3654" s="113" t="n"/>
      <c r="V3654" s="113" t="n"/>
      <c r="W3654" s="113" t="n"/>
      <c r="X3654" s="113" t="n"/>
      <c r="Y3654" s="113" t="n"/>
      <c r="Z3654" s="117">
        <f>IF($B3654="",0,IF($S3654="EVET",IF($D3654="GELİR",$O3654,-$O3654),0))</f>
        <v/>
      </c>
      <c r="AA3654" s="117">
        <f>IF($B3654="",0,IF(OR($W3654="EVET",$X3654="EVET",$Y3654="EVET"),0,IF($D3654="GELİR",IF($E3654="SATIŞ İADESİ/İSKONTO",-$O3654,$O3654),-$O3654)))</f>
        <v/>
      </c>
      <c r="AB3654" s="117">
        <f>IF($B3654="","",IF(OR($D3654="",$E3654="",$O3654=""),"EKSİK",IF($O3654&lt;=0,"SIFIR/NEGATİF",IF(COUNTIFS($C$6:$C$5000,$C3654,$O$6:$O$5000,$O3654,$B$6:$B$5000,$B3654)&gt;1,"MÜKERRER","OK"))))</f>
        <v/>
      </c>
    </row>
    <row r="3655" ht="16.5" customHeight="1" s="80">
      <c r="A3655" s="113" t="n"/>
      <c r="B3655" s="113" t="n"/>
      <c r="C3655" s="113" t="n"/>
      <c r="D3655" s="113" t="n"/>
      <c r="E3655" s="113" t="n"/>
      <c r="F3655" s="113" t="n"/>
      <c r="G3655" s="113" t="n"/>
      <c r="H3655" s="113" t="n"/>
      <c r="I3655" s="113" t="n"/>
      <c r="J3655" s="113" t="n"/>
      <c r="K3655" s="113" t="n"/>
      <c r="L3655" s="113" t="n"/>
      <c r="M3655" s="113" t="n"/>
      <c r="N3655" s="113" t="n"/>
      <c r="O3655" s="113" t="n"/>
      <c r="P3655" s="113" t="n"/>
      <c r="Q3655" s="113" t="n"/>
      <c r="R3655" s="113" t="n"/>
      <c r="S3655" s="113" t="n"/>
      <c r="T3655" s="113" t="n"/>
      <c r="U3655" s="113" t="n"/>
      <c r="V3655" s="113" t="n"/>
      <c r="W3655" s="113" t="n"/>
      <c r="X3655" s="113" t="n"/>
      <c r="Y3655" s="113" t="n"/>
      <c r="Z3655" s="117">
        <f>IF($B3655="",0,IF($S3655="EVET",IF($D3655="GELİR",$O3655,-$O3655),0))</f>
        <v/>
      </c>
      <c r="AA3655" s="117">
        <f>IF($B3655="",0,IF(OR($W3655="EVET",$X3655="EVET",$Y3655="EVET"),0,IF($D3655="GELİR",IF($E3655="SATIŞ İADESİ/İSKONTO",-$O3655,$O3655),-$O3655)))</f>
        <v/>
      </c>
      <c r="AB3655" s="117">
        <f>IF($B3655="","",IF(OR($D3655="",$E3655="",$O3655=""),"EKSİK",IF($O3655&lt;=0,"SIFIR/NEGATİF",IF(COUNTIFS($C$6:$C$5000,$C3655,$O$6:$O$5000,$O3655,$B$6:$B$5000,$B3655)&gt;1,"MÜKERRER","OK"))))</f>
        <v/>
      </c>
    </row>
    <row r="3656" ht="16.5" customHeight="1" s="80">
      <c r="A3656" s="113" t="n"/>
      <c r="B3656" s="113" t="n"/>
      <c r="C3656" s="113" t="n"/>
      <c r="D3656" s="113" t="n"/>
      <c r="E3656" s="113" t="n"/>
      <c r="F3656" s="113" t="n"/>
      <c r="G3656" s="113" t="n"/>
      <c r="H3656" s="113" t="n"/>
      <c r="I3656" s="113" t="n"/>
      <c r="J3656" s="113" t="n"/>
      <c r="K3656" s="113" t="n"/>
      <c r="L3656" s="113" t="n"/>
      <c r="M3656" s="113" t="n"/>
      <c r="N3656" s="113" t="n"/>
      <c r="O3656" s="113" t="n"/>
      <c r="P3656" s="113" t="n"/>
      <c r="Q3656" s="113" t="n"/>
      <c r="R3656" s="113" t="n"/>
      <c r="S3656" s="113" t="n"/>
      <c r="T3656" s="113" t="n"/>
      <c r="U3656" s="113" t="n"/>
      <c r="V3656" s="113" t="n"/>
      <c r="W3656" s="113" t="n"/>
      <c r="X3656" s="113" t="n"/>
      <c r="Y3656" s="113" t="n"/>
      <c r="Z3656" s="117">
        <f>IF($B3656="",0,IF($S3656="EVET",IF($D3656="GELİR",$O3656,-$O3656),0))</f>
        <v/>
      </c>
      <c r="AA3656" s="117">
        <f>IF($B3656="",0,IF(OR($W3656="EVET",$X3656="EVET",$Y3656="EVET"),0,IF($D3656="GELİR",IF($E3656="SATIŞ İADESİ/İSKONTO",-$O3656,$O3656),-$O3656)))</f>
        <v/>
      </c>
      <c r="AB3656" s="117">
        <f>IF($B3656="","",IF(OR($D3656="",$E3656="",$O3656=""),"EKSİK",IF($O3656&lt;=0,"SIFIR/NEGATİF",IF(COUNTIFS($C$6:$C$5000,$C3656,$O$6:$O$5000,$O3656,$B$6:$B$5000,$B3656)&gt;1,"MÜKERRER","OK"))))</f>
        <v/>
      </c>
    </row>
    <row r="3657" ht="16.5" customHeight="1" s="80">
      <c r="A3657" s="113" t="n"/>
      <c r="B3657" s="113" t="n"/>
      <c r="C3657" s="113" t="n"/>
      <c r="D3657" s="113" t="n"/>
      <c r="E3657" s="113" t="n"/>
      <c r="F3657" s="113" t="n"/>
      <c r="G3657" s="113" t="n"/>
      <c r="H3657" s="113" t="n"/>
      <c r="I3657" s="113" t="n"/>
      <c r="J3657" s="113" t="n"/>
      <c r="K3657" s="113" t="n"/>
      <c r="L3657" s="113" t="n"/>
      <c r="M3657" s="113" t="n"/>
      <c r="N3657" s="113" t="n"/>
      <c r="O3657" s="113" t="n"/>
      <c r="P3657" s="113" t="n"/>
      <c r="Q3657" s="113" t="n"/>
      <c r="R3657" s="113" t="n"/>
      <c r="S3657" s="113" t="n"/>
      <c r="T3657" s="113" t="n"/>
      <c r="U3657" s="113" t="n"/>
      <c r="V3657" s="113" t="n"/>
      <c r="W3657" s="113" t="n"/>
      <c r="X3657" s="113" t="n"/>
      <c r="Y3657" s="113" t="n"/>
      <c r="Z3657" s="117">
        <f>IF($B3657="",0,IF($S3657="EVET",IF($D3657="GELİR",$O3657,-$O3657),0))</f>
        <v/>
      </c>
      <c r="AA3657" s="117">
        <f>IF($B3657="",0,IF(OR($W3657="EVET",$X3657="EVET",$Y3657="EVET"),0,IF($D3657="GELİR",IF($E3657="SATIŞ İADESİ/İSKONTO",-$O3657,$O3657),-$O3657)))</f>
        <v/>
      </c>
      <c r="AB3657" s="117">
        <f>IF($B3657="","",IF(OR($D3657="",$E3657="",$O3657=""),"EKSİK",IF($O3657&lt;=0,"SIFIR/NEGATİF",IF(COUNTIFS($C$6:$C$5000,$C3657,$O$6:$O$5000,$O3657,$B$6:$B$5000,$B3657)&gt;1,"MÜKERRER","OK"))))</f>
        <v/>
      </c>
    </row>
    <row r="3658" ht="16.5" customHeight="1" s="80">
      <c r="A3658" s="113" t="n"/>
      <c r="B3658" s="113" t="n"/>
      <c r="C3658" s="113" t="n"/>
      <c r="D3658" s="113" t="n"/>
      <c r="E3658" s="113" t="n"/>
      <c r="F3658" s="113" t="n"/>
      <c r="G3658" s="113" t="n"/>
      <c r="H3658" s="113" t="n"/>
      <c r="I3658" s="113" t="n"/>
      <c r="J3658" s="113" t="n"/>
      <c r="K3658" s="113" t="n"/>
      <c r="L3658" s="113" t="n"/>
      <c r="M3658" s="113" t="n"/>
      <c r="N3658" s="113" t="n"/>
      <c r="O3658" s="113" t="n"/>
      <c r="P3658" s="113" t="n"/>
      <c r="Q3658" s="113" t="n"/>
      <c r="R3658" s="113" t="n"/>
      <c r="S3658" s="113" t="n"/>
      <c r="T3658" s="113" t="n"/>
      <c r="U3658" s="113" t="n"/>
      <c r="V3658" s="113" t="n"/>
      <c r="W3658" s="113" t="n"/>
      <c r="X3658" s="113" t="n"/>
      <c r="Y3658" s="113" t="n"/>
      <c r="Z3658" s="117">
        <f>IF($B3658="",0,IF($S3658="EVET",IF($D3658="GELİR",$O3658,-$O3658),0))</f>
        <v/>
      </c>
      <c r="AA3658" s="117">
        <f>IF($B3658="",0,IF(OR($W3658="EVET",$X3658="EVET",$Y3658="EVET"),0,IF($D3658="GELİR",IF($E3658="SATIŞ İADESİ/İSKONTO",-$O3658,$O3658),-$O3658)))</f>
        <v/>
      </c>
      <c r="AB3658" s="117">
        <f>IF($B3658="","",IF(OR($D3658="",$E3658="",$O3658=""),"EKSİK",IF($O3658&lt;=0,"SIFIR/NEGATİF",IF(COUNTIFS($C$6:$C$5000,$C3658,$O$6:$O$5000,$O3658,$B$6:$B$5000,$B3658)&gt;1,"MÜKERRER","OK"))))</f>
        <v/>
      </c>
    </row>
    <row r="3659" ht="16.5" customHeight="1" s="80">
      <c r="A3659" s="113" t="n"/>
      <c r="B3659" s="113" t="n"/>
      <c r="C3659" s="113" t="n"/>
      <c r="D3659" s="113" t="n"/>
      <c r="E3659" s="113" t="n"/>
      <c r="F3659" s="113" t="n"/>
      <c r="G3659" s="113" t="n"/>
      <c r="H3659" s="113" t="n"/>
      <c r="I3659" s="113" t="n"/>
      <c r="J3659" s="113" t="n"/>
      <c r="K3659" s="113" t="n"/>
      <c r="L3659" s="113" t="n"/>
      <c r="M3659" s="113" t="n"/>
      <c r="N3659" s="113" t="n"/>
      <c r="O3659" s="113" t="n"/>
      <c r="P3659" s="113" t="n"/>
      <c r="Q3659" s="113" t="n"/>
      <c r="R3659" s="113" t="n"/>
      <c r="S3659" s="113" t="n"/>
      <c r="T3659" s="113" t="n"/>
      <c r="U3659" s="113" t="n"/>
      <c r="V3659" s="113" t="n"/>
      <c r="W3659" s="113" t="n"/>
      <c r="X3659" s="113" t="n"/>
      <c r="Y3659" s="113" t="n"/>
      <c r="Z3659" s="117">
        <f>IF($B3659="",0,IF($S3659="EVET",IF($D3659="GELİR",$O3659,-$O3659),0))</f>
        <v/>
      </c>
      <c r="AA3659" s="117">
        <f>IF($B3659="",0,IF(OR($W3659="EVET",$X3659="EVET",$Y3659="EVET"),0,IF($D3659="GELİR",IF($E3659="SATIŞ İADESİ/İSKONTO",-$O3659,$O3659),-$O3659)))</f>
        <v/>
      </c>
      <c r="AB3659" s="117">
        <f>IF($B3659="","",IF(OR($D3659="",$E3659="",$O3659=""),"EKSİK",IF($O3659&lt;=0,"SIFIR/NEGATİF",IF(COUNTIFS($C$6:$C$5000,$C3659,$O$6:$O$5000,$O3659,$B$6:$B$5000,$B3659)&gt;1,"MÜKERRER","OK"))))</f>
        <v/>
      </c>
    </row>
    <row r="3660" ht="16.5" customHeight="1" s="80">
      <c r="A3660" s="113" t="n"/>
      <c r="B3660" s="113" t="n"/>
      <c r="C3660" s="113" t="n"/>
      <c r="D3660" s="113" t="n"/>
      <c r="E3660" s="113" t="n"/>
      <c r="F3660" s="113" t="n"/>
      <c r="G3660" s="113" t="n"/>
      <c r="H3660" s="113" t="n"/>
      <c r="I3660" s="113" t="n"/>
      <c r="J3660" s="113" t="n"/>
      <c r="K3660" s="113" t="n"/>
      <c r="L3660" s="113" t="n"/>
      <c r="M3660" s="113" t="n"/>
      <c r="N3660" s="113" t="n"/>
      <c r="O3660" s="113" t="n"/>
      <c r="P3660" s="113" t="n"/>
      <c r="Q3660" s="113" t="n"/>
      <c r="R3660" s="113" t="n"/>
      <c r="S3660" s="113" t="n"/>
      <c r="T3660" s="113" t="n"/>
      <c r="U3660" s="113" t="n"/>
      <c r="V3660" s="113" t="n"/>
      <c r="W3660" s="113" t="n"/>
      <c r="X3660" s="113" t="n"/>
      <c r="Y3660" s="113" t="n"/>
      <c r="Z3660" s="117">
        <f>IF($B3660="",0,IF($S3660="EVET",IF($D3660="GELİR",$O3660,-$O3660),0))</f>
        <v/>
      </c>
      <c r="AA3660" s="117">
        <f>IF($B3660="",0,IF(OR($W3660="EVET",$X3660="EVET",$Y3660="EVET"),0,IF($D3660="GELİR",IF($E3660="SATIŞ İADESİ/İSKONTO",-$O3660,$O3660),-$O3660)))</f>
        <v/>
      </c>
      <c r="AB3660" s="117">
        <f>IF($B3660="","",IF(OR($D3660="",$E3660="",$O3660=""),"EKSİK",IF($O3660&lt;=0,"SIFIR/NEGATİF",IF(COUNTIFS($C$6:$C$5000,$C3660,$O$6:$O$5000,$O3660,$B$6:$B$5000,$B3660)&gt;1,"MÜKERRER","OK"))))</f>
        <v/>
      </c>
    </row>
    <row r="3661" ht="16.5" customHeight="1" s="80">
      <c r="A3661" s="113" t="n"/>
      <c r="B3661" s="113" t="n"/>
      <c r="C3661" s="113" t="n"/>
      <c r="D3661" s="113" t="n"/>
      <c r="E3661" s="113" t="n"/>
      <c r="F3661" s="113" t="n"/>
      <c r="G3661" s="113" t="n"/>
      <c r="H3661" s="113" t="n"/>
      <c r="I3661" s="113" t="n"/>
      <c r="J3661" s="113" t="n"/>
      <c r="K3661" s="113" t="n"/>
      <c r="L3661" s="113" t="n"/>
      <c r="M3661" s="113" t="n"/>
      <c r="N3661" s="113" t="n"/>
      <c r="O3661" s="113" t="n"/>
      <c r="P3661" s="113" t="n"/>
      <c r="Q3661" s="113" t="n"/>
      <c r="R3661" s="113" t="n"/>
      <c r="S3661" s="113" t="n"/>
      <c r="T3661" s="113" t="n"/>
      <c r="U3661" s="113" t="n"/>
      <c r="V3661" s="113" t="n"/>
      <c r="W3661" s="113" t="n"/>
      <c r="X3661" s="113" t="n"/>
      <c r="Y3661" s="113" t="n"/>
      <c r="Z3661" s="117">
        <f>IF($B3661="",0,IF($S3661="EVET",IF($D3661="GELİR",$O3661,-$O3661),0))</f>
        <v/>
      </c>
      <c r="AA3661" s="117">
        <f>IF($B3661="",0,IF(OR($W3661="EVET",$X3661="EVET",$Y3661="EVET"),0,IF($D3661="GELİR",IF($E3661="SATIŞ İADESİ/İSKONTO",-$O3661,$O3661),-$O3661)))</f>
        <v/>
      </c>
      <c r="AB3661" s="117">
        <f>IF($B3661="","",IF(OR($D3661="",$E3661="",$O3661=""),"EKSİK",IF($O3661&lt;=0,"SIFIR/NEGATİF",IF(COUNTIFS($C$6:$C$5000,$C3661,$O$6:$O$5000,$O3661,$B$6:$B$5000,$B3661)&gt;1,"MÜKERRER","OK"))))</f>
        <v/>
      </c>
    </row>
    <row r="3662" ht="16.5" customHeight="1" s="80">
      <c r="A3662" s="113" t="n"/>
      <c r="B3662" s="113" t="n"/>
      <c r="C3662" s="113" t="n"/>
      <c r="D3662" s="113" t="n"/>
      <c r="E3662" s="113" t="n"/>
      <c r="F3662" s="113" t="n"/>
      <c r="G3662" s="113" t="n"/>
      <c r="H3662" s="113" t="n"/>
      <c r="I3662" s="113" t="n"/>
      <c r="J3662" s="113" t="n"/>
      <c r="K3662" s="113" t="n"/>
      <c r="L3662" s="113" t="n"/>
      <c r="M3662" s="113" t="n"/>
      <c r="N3662" s="113" t="n"/>
      <c r="O3662" s="113" t="n"/>
      <c r="P3662" s="113" t="n"/>
      <c r="Q3662" s="113" t="n"/>
      <c r="R3662" s="113" t="n"/>
      <c r="S3662" s="113" t="n"/>
      <c r="T3662" s="113" t="n"/>
      <c r="U3662" s="113" t="n"/>
      <c r="V3662" s="113" t="n"/>
      <c r="W3662" s="113" t="n"/>
      <c r="X3662" s="113" t="n"/>
      <c r="Y3662" s="113" t="n"/>
      <c r="Z3662" s="117">
        <f>IF($B3662="",0,IF($S3662="EVET",IF($D3662="GELİR",$O3662,-$O3662),0))</f>
        <v/>
      </c>
      <c r="AA3662" s="117">
        <f>IF($B3662="",0,IF(OR($W3662="EVET",$X3662="EVET",$Y3662="EVET"),0,IF($D3662="GELİR",IF($E3662="SATIŞ İADESİ/İSKONTO",-$O3662,$O3662),-$O3662)))</f>
        <v/>
      </c>
      <c r="AB3662" s="117">
        <f>IF($B3662="","",IF(OR($D3662="",$E3662="",$O3662=""),"EKSİK",IF($O3662&lt;=0,"SIFIR/NEGATİF",IF(COUNTIFS($C$6:$C$5000,$C3662,$O$6:$O$5000,$O3662,$B$6:$B$5000,$B3662)&gt;1,"MÜKERRER","OK"))))</f>
        <v/>
      </c>
    </row>
    <row r="3663" ht="16.5" customHeight="1" s="80">
      <c r="A3663" s="113" t="n"/>
      <c r="B3663" s="113" t="n"/>
      <c r="C3663" s="113" t="n"/>
      <c r="D3663" s="113" t="n"/>
      <c r="E3663" s="113" t="n"/>
      <c r="F3663" s="113" t="n"/>
      <c r="G3663" s="113" t="n"/>
      <c r="H3663" s="113" t="n"/>
      <c r="I3663" s="113" t="n"/>
      <c r="J3663" s="113" t="n"/>
      <c r="K3663" s="113" t="n"/>
      <c r="L3663" s="113" t="n"/>
      <c r="M3663" s="113" t="n"/>
      <c r="N3663" s="113" t="n"/>
      <c r="O3663" s="113" t="n"/>
      <c r="P3663" s="113" t="n"/>
      <c r="Q3663" s="113" t="n"/>
      <c r="R3663" s="113" t="n"/>
      <c r="S3663" s="113" t="n"/>
      <c r="T3663" s="113" t="n"/>
      <c r="U3663" s="113" t="n"/>
      <c r="V3663" s="113" t="n"/>
      <c r="W3663" s="113" t="n"/>
      <c r="X3663" s="113" t="n"/>
      <c r="Y3663" s="113" t="n"/>
      <c r="Z3663" s="117">
        <f>IF($B3663="",0,IF($S3663="EVET",IF($D3663="GELİR",$O3663,-$O3663),0))</f>
        <v/>
      </c>
      <c r="AA3663" s="117">
        <f>IF($B3663="",0,IF(OR($W3663="EVET",$X3663="EVET",$Y3663="EVET"),0,IF($D3663="GELİR",IF($E3663="SATIŞ İADESİ/İSKONTO",-$O3663,$O3663),-$O3663)))</f>
        <v/>
      </c>
      <c r="AB3663" s="117">
        <f>IF($B3663="","",IF(OR($D3663="",$E3663="",$O3663=""),"EKSİK",IF($O3663&lt;=0,"SIFIR/NEGATİF",IF(COUNTIFS($C$6:$C$5000,$C3663,$O$6:$O$5000,$O3663,$B$6:$B$5000,$B3663)&gt;1,"MÜKERRER","OK"))))</f>
        <v/>
      </c>
    </row>
    <row r="3664" ht="16.5" customHeight="1" s="80">
      <c r="A3664" s="113" t="n"/>
      <c r="B3664" s="113" t="n"/>
      <c r="C3664" s="113" t="n"/>
      <c r="D3664" s="113" t="n"/>
      <c r="E3664" s="113" t="n"/>
      <c r="F3664" s="113" t="n"/>
      <c r="G3664" s="113" t="n"/>
      <c r="H3664" s="113" t="n"/>
      <c r="I3664" s="113" t="n"/>
      <c r="J3664" s="113" t="n"/>
      <c r="K3664" s="113" t="n"/>
      <c r="L3664" s="113" t="n"/>
      <c r="M3664" s="113" t="n"/>
      <c r="N3664" s="113" t="n"/>
      <c r="O3664" s="113" t="n"/>
      <c r="P3664" s="113" t="n"/>
      <c r="Q3664" s="113" t="n"/>
      <c r="R3664" s="113" t="n"/>
      <c r="S3664" s="113" t="n"/>
      <c r="T3664" s="113" t="n"/>
      <c r="U3664" s="113" t="n"/>
      <c r="V3664" s="113" t="n"/>
      <c r="W3664" s="113" t="n"/>
      <c r="X3664" s="113" t="n"/>
      <c r="Y3664" s="113" t="n"/>
      <c r="Z3664" s="117">
        <f>IF($B3664="",0,IF($S3664="EVET",IF($D3664="GELİR",$O3664,-$O3664),0))</f>
        <v/>
      </c>
      <c r="AA3664" s="117">
        <f>IF($B3664="",0,IF(OR($W3664="EVET",$X3664="EVET",$Y3664="EVET"),0,IF($D3664="GELİR",IF($E3664="SATIŞ İADESİ/İSKONTO",-$O3664,$O3664),-$O3664)))</f>
        <v/>
      </c>
      <c r="AB3664" s="117">
        <f>IF($B3664="","",IF(OR($D3664="",$E3664="",$O3664=""),"EKSİK",IF($O3664&lt;=0,"SIFIR/NEGATİF",IF(COUNTIFS($C$6:$C$5000,$C3664,$O$6:$O$5000,$O3664,$B$6:$B$5000,$B3664)&gt;1,"MÜKERRER","OK"))))</f>
        <v/>
      </c>
    </row>
    <row r="3665" ht="16.5" customHeight="1" s="80">
      <c r="A3665" s="113" t="n"/>
      <c r="B3665" s="113" t="n"/>
      <c r="C3665" s="113" t="n"/>
      <c r="D3665" s="113" t="n"/>
      <c r="E3665" s="113" t="n"/>
      <c r="F3665" s="113" t="n"/>
      <c r="G3665" s="113" t="n"/>
      <c r="H3665" s="113" t="n"/>
      <c r="I3665" s="113" t="n"/>
      <c r="J3665" s="113" t="n"/>
      <c r="K3665" s="113" t="n"/>
      <c r="L3665" s="113" t="n"/>
      <c r="M3665" s="113" t="n"/>
      <c r="N3665" s="113" t="n"/>
      <c r="O3665" s="113" t="n"/>
      <c r="P3665" s="113" t="n"/>
      <c r="Q3665" s="113" t="n"/>
      <c r="R3665" s="113" t="n"/>
      <c r="S3665" s="113" t="n"/>
      <c r="T3665" s="113" t="n"/>
      <c r="U3665" s="113" t="n"/>
      <c r="V3665" s="113" t="n"/>
      <c r="W3665" s="113" t="n"/>
      <c r="X3665" s="113" t="n"/>
      <c r="Y3665" s="113" t="n"/>
      <c r="Z3665" s="117">
        <f>IF($B3665="",0,IF($S3665="EVET",IF($D3665="GELİR",$O3665,-$O3665),0))</f>
        <v/>
      </c>
      <c r="AA3665" s="117">
        <f>IF($B3665="",0,IF(OR($W3665="EVET",$X3665="EVET",$Y3665="EVET"),0,IF($D3665="GELİR",IF($E3665="SATIŞ İADESİ/İSKONTO",-$O3665,$O3665),-$O3665)))</f>
        <v/>
      </c>
      <c r="AB3665" s="117">
        <f>IF($B3665="","",IF(OR($D3665="",$E3665="",$O3665=""),"EKSİK",IF($O3665&lt;=0,"SIFIR/NEGATİF",IF(COUNTIFS($C$6:$C$5000,$C3665,$O$6:$O$5000,$O3665,$B$6:$B$5000,$B3665)&gt;1,"MÜKERRER","OK"))))</f>
        <v/>
      </c>
    </row>
    <row r="3666" ht="16.5" customHeight="1" s="80">
      <c r="A3666" s="113" t="n"/>
      <c r="B3666" s="113" t="n"/>
      <c r="C3666" s="113" t="n"/>
      <c r="D3666" s="113" t="n"/>
      <c r="E3666" s="113" t="n"/>
      <c r="F3666" s="113" t="n"/>
      <c r="G3666" s="113" t="n"/>
      <c r="H3666" s="113" t="n"/>
      <c r="I3666" s="113" t="n"/>
      <c r="J3666" s="113" t="n"/>
      <c r="K3666" s="113" t="n"/>
      <c r="L3666" s="113" t="n"/>
      <c r="M3666" s="113" t="n"/>
      <c r="N3666" s="113" t="n"/>
      <c r="O3666" s="113" t="n"/>
      <c r="P3666" s="113" t="n"/>
      <c r="Q3666" s="113" t="n"/>
      <c r="R3666" s="113" t="n"/>
      <c r="S3666" s="113" t="n"/>
      <c r="T3666" s="113" t="n"/>
      <c r="U3666" s="113" t="n"/>
      <c r="V3666" s="113" t="n"/>
      <c r="W3666" s="113" t="n"/>
      <c r="X3666" s="113" t="n"/>
      <c r="Y3666" s="113" t="n"/>
      <c r="Z3666" s="117">
        <f>IF($B3666="",0,IF($S3666="EVET",IF($D3666="GELİR",$O3666,-$O3666),0))</f>
        <v/>
      </c>
      <c r="AA3666" s="117">
        <f>IF($B3666="",0,IF(OR($W3666="EVET",$X3666="EVET",$Y3666="EVET"),0,IF($D3666="GELİR",IF($E3666="SATIŞ İADESİ/İSKONTO",-$O3666,$O3666),-$O3666)))</f>
        <v/>
      </c>
      <c r="AB3666" s="117">
        <f>IF($B3666="","",IF(OR($D3666="",$E3666="",$O3666=""),"EKSİK",IF($O3666&lt;=0,"SIFIR/NEGATİF",IF(COUNTIFS($C$6:$C$5000,$C3666,$O$6:$O$5000,$O3666,$B$6:$B$5000,$B3666)&gt;1,"MÜKERRER","OK"))))</f>
        <v/>
      </c>
    </row>
    <row r="3667" ht="16.5" customHeight="1" s="80">
      <c r="A3667" s="113" t="n"/>
      <c r="B3667" s="113" t="n"/>
      <c r="C3667" s="113" t="n"/>
      <c r="D3667" s="113" t="n"/>
      <c r="E3667" s="113" t="n"/>
      <c r="F3667" s="113" t="n"/>
      <c r="G3667" s="113" t="n"/>
      <c r="H3667" s="113" t="n"/>
      <c r="I3667" s="113" t="n"/>
      <c r="J3667" s="113" t="n"/>
      <c r="K3667" s="113" t="n"/>
      <c r="L3667" s="113" t="n"/>
      <c r="M3667" s="113" t="n"/>
      <c r="N3667" s="113" t="n"/>
      <c r="O3667" s="113" t="n"/>
      <c r="P3667" s="113" t="n"/>
      <c r="Q3667" s="113" t="n"/>
      <c r="R3667" s="113" t="n"/>
      <c r="S3667" s="113" t="n"/>
      <c r="T3667" s="113" t="n"/>
      <c r="U3667" s="113" t="n"/>
      <c r="V3667" s="113" t="n"/>
      <c r="W3667" s="113" t="n"/>
      <c r="X3667" s="113" t="n"/>
      <c r="Y3667" s="113" t="n"/>
      <c r="Z3667" s="117">
        <f>IF($B3667="",0,IF($S3667="EVET",IF($D3667="GELİR",$O3667,-$O3667),0))</f>
        <v/>
      </c>
      <c r="AA3667" s="117">
        <f>IF($B3667="",0,IF(OR($W3667="EVET",$X3667="EVET",$Y3667="EVET"),0,IF($D3667="GELİR",IF($E3667="SATIŞ İADESİ/İSKONTO",-$O3667,$O3667),-$O3667)))</f>
        <v/>
      </c>
      <c r="AB3667" s="117">
        <f>IF($B3667="","",IF(OR($D3667="",$E3667="",$O3667=""),"EKSİK",IF($O3667&lt;=0,"SIFIR/NEGATİF",IF(COUNTIFS($C$6:$C$5000,$C3667,$O$6:$O$5000,$O3667,$B$6:$B$5000,$B3667)&gt;1,"MÜKERRER","OK"))))</f>
        <v/>
      </c>
    </row>
    <row r="3668" ht="16.5" customHeight="1" s="80">
      <c r="A3668" s="113" t="n"/>
      <c r="B3668" s="113" t="n"/>
      <c r="C3668" s="113" t="n"/>
      <c r="D3668" s="113" t="n"/>
      <c r="E3668" s="113" t="n"/>
      <c r="F3668" s="113" t="n"/>
      <c r="G3668" s="113" t="n"/>
      <c r="H3668" s="113" t="n"/>
      <c r="I3668" s="113" t="n"/>
      <c r="J3668" s="113" t="n"/>
      <c r="K3668" s="113" t="n"/>
      <c r="L3668" s="113" t="n"/>
      <c r="M3668" s="113" t="n"/>
      <c r="N3668" s="113" t="n"/>
      <c r="O3668" s="113" t="n"/>
      <c r="P3668" s="113" t="n"/>
      <c r="Q3668" s="113" t="n"/>
      <c r="R3668" s="113" t="n"/>
      <c r="S3668" s="113" t="n"/>
      <c r="T3668" s="113" t="n"/>
      <c r="U3668" s="113" t="n"/>
      <c r="V3668" s="113" t="n"/>
      <c r="W3668" s="113" t="n"/>
      <c r="X3668" s="113" t="n"/>
      <c r="Y3668" s="113" t="n"/>
      <c r="Z3668" s="117">
        <f>IF($B3668="",0,IF($S3668="EVET",IF($D3668="GELİR",$O3668,-$O3668),0))</f>
        <v/>
      </c>
      <c r="AA3668" s="117">
        <f>IF($B3668="",0,IF(OR($W3668="EVET",$X3668="EVET",$Y3668="EVET"),0,IF($D3668="GELİR",IF($E3668="SATIŞ İADESİ/İSKONTO",-$O3668,$O3668),-$O3668)))</f>
        <v/>
      </c>
      <c r="AB3668" s="117">
        <f>IF($B3668="","",IF(OR($D3668="",$E3668="",$O3668=""),"EKSİK",IF($O3668&lt;=0,"SIFIR/NEGATİF",IF(COUNTIFS($C$6:$C$5000,$C3668,$O$6:$O$5000,$O3668,$B$6:$B$5000,$B3668)&gt;1,"MÜKERRER","OK"))))</f>
        <v/>
      </c>
    </row>
    <row r="3669" ht="16.5" customHeight="1" s="80">
      <c r="A3669" s="113" t="n"/>
      <c r="B3669" s="113" t="n"/>
      <c r="C3669" s="113" t="n"/>
      <c r="D3669" s="113" t="n"/>
      <c r="E3669" s="113" t="n"/>
      <c r="F3669" s="113" t="n"/>
      <c r="G3669" s="113" t="n"/>
      <c r="H3669" s="113" t="n"/>
      <c r="I3669" s="113" t="n"/>
      <c r="J3669" s="113" t="n"/>
      <c r="K3669" s="113" t="n"/>
      <c r="L3669" s="113" t="n"/>
      <c r="M3669" s="113" t="n"/>
      <c r="N3669" s="113" t="n"/>
      <c r="O3669" s="113" t="n"/>
      <c r="P3669" s="113" t="n"/>
      <c r="Q3669" s="113" t="n"/>
      <c r="R3669" s="113" t="n"/>
      <c r="S3669" s="113" t="n"/>
      <c r="T3669" s="113" t="n"/>
      <c r="U3669" s="113" t="n"/>
      <c r="V3669" s="113" t="n"/>
      <c r="W3669" s="113" t="n"/>
      <c r="X3669" s="113" t="n"/>
      <c r="Y3669" s="113" t="n"/>
      <c r="Z3669" s="117">
        <f>IF($B3669="",0,IF($S3669="EVET",IF($D3669="GELİR",$O3669,-$O3669),0))</f>
        <v/>
      </c>
      <c r="AA3669" s="117">
        <f>IF($B3669="",0,IF(OR($W3669="EVET",$X3669="EVET",$Y3669="EVET"),0,IF($D3669="GELİR",IF($E3669="SATIŞ İADESİ/İSKONTO",-$O3669,$O3669),-$O3669)))</f>
        <v/>
      </c>
      <c r="AB3669" s="117">
        <f>IF($B3669="","",IF(OR($D3669="",$E3669="",$O3669=""),"EKSİK",IF($O3669&lt;=0,"SIFIR/NEGATİF",IF(COUNTIFS($C$6:$C$5000,$C3669,$O$6:$O$5000,$O3669,$B$6:$B$5000,$B3669)&gt;1,"MÜKERRER","OK"))))</f>
        <v/>
      </c>
    </row>
    <row r="3670" ht="16.5" customHeight="1" s="80">
      <c r="A3670" s="113" t="n"/>
      <c r="B3670" s="113" t="n"/>
      <c r="C3670" s="113" t="n"/>
      <c r="D3670" s="113" t="n"/>
      <c r="E3670" s="113" t="n"/>
      <c r="F3670" s="113" t="n"/>
      <c r="G3670" s="113" t="n"/>
      <c r="H3670" s="113" t="n"/>
      <c r="I3670" s="113" t="n"/>
      <c r="J3670" s="113" t="n"/>
      <c r="K3670" s="113" t="n"/>
      <c r="L3670" s="113" t="n"/>
      <c r="M3670" s="113" t="n"/>
      <c r="N3670" s="113" t="n"/>
      <c r="O3670" s="113" t="n"/>
      <c r="P3670" s="113" t="n"/>
      <c r="Q3670" s="113" t="n"/>
      <c r="R3670" s="113" t="n"/>
      <c r="S3670" s="113" t="n"/>
      <c r="T3670" s="113" t="n"/>
      <c r="U3670" s="113" t="n"/>
      <c r="V3670" s="113" t="n"/>
      <c r="W3670" s="113" t="n"/>
      <c r="X3670" s="113" t="n"/>
      <c r="Y3670" s="113" t="n"/>
      <c r="Z3670" s="117">
        <f>IF($B3670="",0,IF($S3670="EVET",IF($D3670="GELİR",$O3670,-$O3670),0))</f>
        <v/>
      </c>
      <c r="AA3670" s="117">
        <f>IF($B3670="",0,IF(OR($W3670="EVET",$X3670="EVET",$Y3670="EVET"),0,IF($D3670="GELİR",IF($E3670="SATIŞ İADESİ/İSKONTO",-$O3670,$O3670),-$O3670)))</f>
        <v/>
      </c>
      <c r="AB3670" s="117">
        <f>IF($B3670="","",IF(OR($D3670="",$E3670="",$O3670=""),"EKSİK",IF($O3670&lt;=0,"SIFIR/NEGATİF",IF(COUNTIFS($C$6:$C$5000,$C3670,$O$6:$O$5000,$O3670,$B$6:$B$5000,$B3670)&gt;1,"MÜKERRER","OK"))))</f>
        <v/>
      </c>
    </row>
    <row r="3671" ht="16.5" customHeight="1" s="80">
      <c r="A3671" s="113" t="n"/>
      <c r="B3671" s="113" t="n"/>
      <c r="C3671" s="113" t="n"/>
      <c r="D3671" s="113" t="n"/>
      <c r="E3671" s="113" t="n"/>
      <c r="F3671" s="113" t="n"/>
      <c r="G3671" s="113" t="n"/>
      <c r="H3671" s="113" t="n"/>
      <c r="I3671" s="113" t="n"/>
      <c r="J3671" s="113" t="n"/>
      <c r="K3671" s="113" t="n"/>
      <c r="L3671" s="113" t="n"/>
      <c r="M3671" s="113" t="n"/>
      <c r="N3671" s="113" t="n"/>
      <c r="O3671" s="113" t="n"/>
      <c r="P3671" s="113" t="n"/>
      <c r="Q3671" s="113" t="n"/>
      <c r="R3671" s="113" t="n"/>
      <c r="S3671" s="113" t="n"/>
      <c r="T3671" s="113" t="n"/>
      <c r="U3671" s="113" t="n"/>
      <c r="V3671" s="113" t="n"/>
      <c r="W3671" s="113" t="n"/>
      <c r="X3671" s="113" t="n"/>
      <c r="Y3671" s="113" t="n"/>
      <c r="Z3671" s="117">
        <f>IF($B3671="",0,IF($S3671="EVET",IF($D3671="GELİR",$O3671,-$O3671),0))</f>
        <v/>
      </c>
      <c r="AA3671" s="117">
        <f>IF($B3671="",0,IF(OR($W3671="EVET",$X3671="EVET",$Y3671="EVET"),0,IF($D3671="GELİR",IF($E3671="SATIŞ İADESİ/İSKONTO",-$O3671,$O3671),-$O3671)))</f>
        <v/>
      </c>
      <c r="AB3671" s="117">
        <f>IF($B3671="","",IF(OR($D3671="",$E3671="",$O3671=""),"EKSİK",IF($O3671&lt;=0,"SIFIR/NEGATİF",IF(COUNTIFS($C$6:$C$5000,$C3671,$O$6:$O$5000,$O3671,$B$6:$B$5000,$B3671)&gt;1,"MÜKERRER","OK"))))</f>
        <v/>
      </c>
    </row>
    <row r="3672" ht="16.5" customHeight="1" s="80">
      <c r="A3672" s="113" t="n"/>
      <c r="B3672" s="113" t="n"/>
      <c r="C3672" s="113" t="n"/>
      <c r="D3672" s="113" t="n"/>
      <c r="E3672" s="113" t="n"/>
      <c r="F3672" s="113" t="n"/>
      <c r="G3672" s="113" t="n"/>
      <c r="H3672" s="113" t="n"/>
      <c r="I3672" s="113" t="n"/>
      <c r="J3672" s="113" t="n"/>
      <c r="K3672" s="113" t="n"/>
      <c r="L3672" s="113" t="n"/>
      <c r="M3672" s="113" t="n"/>
      <c r="N3672" s="113" t="n"/>
      <c r="O3672" s="113" t="n"/>
      <c r="P3672" s="113" t="n"/>
      <c r="Q3672" s="113" t="n"/>
      <c r="R3672" s="113" t="n"/>
      <c r="S3672" s="113" t="n"/>
      <c r="T3672" s="113" t="n"/>
      <c r="U3672" s="113" t="n"/>
      <c r="V3672" s="113" t="n"/>
      <c r="W3672" s="113" t="n"/>
      <c r="X3672" s="113" t="n"/>
      <c r="Y3672" s="113" t="n"/>
      <c r="Z3672" s="117">
        <f>IF($B3672="",0,IF($S3672="EVET",IF($D3672="GELİR",$O3672,-$O3672),0))</f>
        <v/>
      </c>
      <c r="AA3672" s="117">
        <f>IF($B3672="",0,IF(OR($W3672="EVET",$X3672="EVET",$Y3672="EVET"),0,IF($D3672="GELİR",IF($E3672="SATIŞ İADESİ/İSKONTO",-$O3672,$O3672),-$O3672)))</f>
        <v/>
      </c>
      <c r="AB3672" s="117">
        <f>IF($B3672="","",IF(OR($D3672="",$E3672="",$O3672=""),"EKSİK",IF($O3672&lt;=0,"SIFIR/NEGATİF",IF(COUNTIFS($C$6:$C$5000,$C3672,$O$6:$O$5000,$O3672,$B$6:$B$5000,$B3672)&gt;1,"MÜKERRER","OK"))))</f>
        <v/>
      </c>
    </row>
    <row r="3673" ht="16.5" customHeight="1" s="80">
      <c r="A3673" s="113" t="n"/>
      <c r="B3673" s="113" t="n"/>
      <c r="C3673" s="113" t="n"/>
      <c r="D3673" s="113" t="n"/>
      <c r="E3673" s="113" t="n"/>
      <c r="F3673" s="113" t="n"/>
      <c r="G3673" s="113" t="n"/>
      <c r="H3673" s="113" t="n"/>
      <c r="I3673" s="113" t="n"/>
      <c r="J3673" s="113" t="n"/>
      <c r="K3673" s="113" t="n"/>
      <c r="L3673" s="113" t="n"/>
      <c r="M3673" s="113" t="n"/>
      <c r="N3673" s="113" t="n"/>
      <c r="O3673" s="113" t="n"/>
      <c r="P3673" s="113" t="n"/>
      <c r="Q3673" s="113" t="n"/>
      <c r="R3673" s="113" t="n"/>
      <c r="S3673" s="113" t="n"/>
      <c r="T3673" s="113" t="n"/>
      <c r="U3673" s="113" t="n"/>
      <c r="V3673" s="113" t="n"/>
      <c r="W3673" s="113" t="n"/>
      <c r="X3673" s="113" t="n"/>
      <c r="Y3673" s="113" t="n"/>
      <c r="Z3673" s="117">
        <f>IF($B3673="",0,IF($S3673="EVET",IF($D3673="GELİR",$O3673,-$O3673),0))</f>
        <v/>
      </c>
      <c r="AA3673" s="117">
        <f>IF($B3673="",0,IF(OR($W3673="EVET",$X3673="EVET",$Y3673="EVET"),0,IF($D3673="GELİR",IF($E3673="SATIŞ İADESİ/İSKONTO",-$O3673,$O3673),-$O3673)))</f>
        <v/>
      </c>
      <c r="AB3673" s="117">
        <f>IF($B3673="","",IF(OR($D3673="",$E3673="",$O3673=""),"EKSİK",IF($O3673&lt;=0,"SIFIR/NEGATİF",IF(COUNTIFS($C$6:$C$5000,$C3673,$O$6:$O$5000,$O3673,$B$6:$B$5000,$B3673)&gt;1,"MÜKERRER","OK"))))</f>
        <v/>
      </c>
    </row>
    <row r="3674" ht="16.5" customHeight="1" s="80">
      <c r="A3674" s="113" t="n"/>
      <c r="B3674" s="113" t="n"/>
      <c r="C3674" s="113" t="n"/>
      <c r="D3674" s="113" t="n"/>
      <c r="E3674" s="113" t="n"/>
      <c r="F3674" s="113" t="n"/>
      <c r="G3674" s="113" t="n"/>
      <c r="H3674" s="113" t="n"/>
      <c r="I3674" s="113" t="n"/>
      <c r="J3674" s="113" t="n"/>
      <c r="K3674" s="113" t="n"/>
      <c r="L3674" s="113" t="n"/>
      <c r="M3674" s="113" t="n"/>
      <c r="N3674" s="113" t="n"/>
      <c r="O3674" s="113" t="n"/>
      <c r="P3674" s="113" t="n"/>
      <c r="Q3674" s="113" t="n"/>
      <c r="R3674" s="113" t="n"/>
      <c r="S3674" s="113" t="n"/>
      <c r="T3674" s="113" t="n"/>
      <c r="U3674" s="113" t="n"/>
      <c r="V3674" s="113" t="n"/>
      <c r="W3674" s="113" t="n"/>
      <c r="X3674" s="113" t="n"/>
      <c r="Y3674" s="113" t="n"/>
      <c r="Z3674" s="117">
        <f>IF($B3674="",0,IF($S3674="EVET",IF($D3674="GELİR",$O3674,-$O3674),0))</f>
        <v/>
      </c>
      <c r="AA3674" s="117">
        <f>IF($B3674="",0,IF(OR($W3674="EVET",$X3674="EVET",$Y3674="EVET"),0,IF($D3674="GELİR",IF($E3674="SATIŞ İADESİ/İSKONTO",-$O3674,$O3674),-$O3674)))</f>
        <v/>
      </c>
      <c r="AB3674" s="117">
        <f>IF($B3674="","",IF(OR($D3674="",$E3674="",$O3674=""),"EKSİK",IF($O3674&lt;=0,"SIFIR/NEGATİF",IF(COUNTIFS($C$6:$C$5000,$C3674,$O$6:$O$5000,$O3674,$B$6:$B$5000,$B3674)&gt;1,"MÜKERRER","OK"))))</f>
        <v/>
      </c>
    </row>
    <row r="3675" ht="16.5" customHeight="1" s="80">
      <c r="A3675" s="113" t="n"/>
      <c r="B3675" s="113" t="n"/>
      <c r="C3675" s="113" t="n"/>
      <c r="D3675" s="113" t="n"/>
      <c r="E3675" s="113" t="n"/>
      <c r="F3675" s="113" t="n"/>
      <c r="G3675" s="113" t="n"/>
      <c r="H3675" s="113" t="n"/>
      <c r="I3675" s="113" t="n"/>
      <c r="J3675" s="113" t="n"/>
      <c r="K3675" s="113" t="n"/>
      <c r="L3675" s="113" t="n"/>
      <c r="M3675" s="113" t="n"/>
      <c r="N3675" s="113" t="n"/>
      <c r="O3675" s="113" t="n"/>
      <c r="P3675" s="113" t="n"/>
      <c r="Q3675" s="113" t="n"/>
      <c r="R3675" s="113" t="n"/>
      <c r="S3675" s="113" t="n"/>
      <c r="T3675" s="113" t="n"/>
      <c r="U3675" s="113" t="n"/>
      <c r="V3675" s="113" t="n"/>
      <c r="W3675" s="113" t="n"/>
      <c r="X3675" s="113" t="n"/>
      <c r="Y3675" s="113" t="n"/>
      <c r="Z3675" s="117">
        <f>IF($B3675="",0,IF($S3675="EVET",IF($D3675="GELİR",$O3675,-$O3675),0))</f>
        <v/>
      </c>
      <c r="AA3675" s="117">
        <f>IF($B3675="",0,IF(OR($W3675="EVET",$X3675="EVET",$Y3675="EVET"),0,IF($D3675="GELİR",IF($E3675="SATIŞ İADESİ/İSKONTO",-$O3675,$O3675),-$O3675)))</f>
        <v/>
      </c>
      <c r="AB3675" s="117">
        <f>IF($B3675="","",IF(OR($D3675="",$E3675="",$O3675=""),"EKSİK",IF($O3675&lt;=0,"SIFIR/NEGATİF",IF(COUNTIFS($C$6:$C$5000,$C3675,$O$6:$O$5000,$O3675,$B$6:$B$5000,$B3675)&gt;1,"MÜKERRER","OK"))))</f>
        <v/>
      </c>
    </row>
    <row r="3676" ht="16.5" customHeight="1" s="80">
      <c r="A3676" s="113" t="n"/>
      <c r="B3676" s="113" t="n"/>
      <c r="C3676" s="113" t="n"/>
      <c r="D3676" s="113" t="n"/>
      <c r="E3676" s="113" t="n"/>
      <c r="F3676" s="113" t="n"/>
      <c r="G3676" s="113" t="n"/>
      <c r="H3676" s="113" t="n"/>
      <c r="I3676" s="113" t="n"/>
      <c r="J3676" s="113" t="n"/>
      <c r="K3676" s="113" t="n"/>
      <c r="L3676" s="113" t="n"/>
      <c r="M3676" s="113" t="n"/>
      <c r="N3676" s="113" t="n"/>
      <c r="O3676" s="113" t="n"/>
      <c r="P3676" s="113" t="n"/>
      <c r="Q3676" s="113" t="n"/>
      <c r="R3676" s="113" t="n"/>
      <c r="S3676" s="113" t="n"/>
      <c r="T3676" s="113" t="n"/>
      <c r="U3676" s="113" t="n"/>
      <c r="V3676" s="113" t="n"/>
      <c r="W3676" s="113" t="n"/>
      <c r="X3676" s="113" t="n"/>
      <c r="Y3676" s="113" t="n"/>
      <c r="Z3676" s="117">
        <f>IF($B3676="",0,IF($S3676="EVET",IF($D3676="GELİR",$O3676,-$O3676),0))</f>
        <v/>
      </c>
      <c r="AA3676" s="117">
        <f>IF($B3676="",0,IF(OR($W3676="EVET",$X3676="EVET",$Y3676="EVET"),0,IF($D3676="GELİR",IF($E3676="SATIŞ İADESİ/İSKONTO",-$O3676,$O3676),-$O3676)))</f>
        <v/>
      </c>
      <c r="AB3676" s="117">
        <f>IF($B3676="","",IF(OR($D3676="",$E3676="",$O3676=""),"EKSİK",IF($O3676&lt;=0,"SIFIR/NEGATİF",IF(COUNTIFS($C$6:$C$5000,$C3676,$O$6:$O$5000,$O3676,$B$6:$B$5000,$B3676)&gt;1,"MÜKERRER","OK"))))</f>
        <v/>
      </c>
    </row>
    <row r="3677" ht="16.5" customHeight="1" s="80">
      <c r="A3677" s="113" t="n"/>
      <c r="B3677" s="113" t="n"/>
      <c r="C3677" s="113" t="n"/>
      <c r="D3677" s="113" t="n"/>
      <c r="E3677" s="113" t="n"/>
      <c r="F3677" s="113" t="n"/>
      <c r="G3677" s="113" t="n"/>
      <c r="H3677" s="113" t="n"/>
      <c r="I3677" s="113" t="n"/>
      <c r="J3677" s="113" t="n"/>
      <c r="K3677" s="113" t="n"/>
      <c r="L3677" s="113" t="n"/>
      <c r="M3677" s="113" t="n"/>
      <c r="N3677" s="113" t="n"/>
      <c r="O3677" s="113" t="n"/>
      <c r="P3677" s="113" t="n"/>
      <c r="Q3677" s="113" t="n"/>
      <c r="R3677" s="113" t="n"/>
      <c r="S3677" s="113" t="n"/>
      <c r="T3677" s="113" t="n"/>
      <c r="U3677" s="113" t="n"/>
      <c r="V3677" s="113" t="n"/>
      <c r="W3677" s="113" t="n"/>
      <c r="X3677" s="113" t="n"/>
      <c r="Y3677" s="113" t="n"/>
      <c r="Z3677" s="117">
        <f>IF($B3677="",0,IF($S3677="EVET",IF($D3677="GELİR",$O3677,-$O3677),0))</f>
        <v/>
      </c>
      <c r="AA3677" s="117">
        <f>IF($B3677="",0,IF(OR($W3677="EVET",$X3677="EVET",$Y3677="EVET"),0,IF($D3677="GELİR",IF($E3677="SATIŞ İADESİ/İSKONTO",-$O3677,$O3677),-$O3677)))</f>
        <v/>
      </c>
      <c r="AB3677" s="117">
        <f>IF($B3677="","",IF(OR($D3677="",$E3677="",$O3677=""),"EKSİK",IF($O3677&lt;=0,"SIFIR/NEGATİF",IF(COUNTIFS($C$6:$C$5000,$C3677,$O$6:$O$5000,$O3677,$B$6:$B$5000,$B3677)&gt;1,"MÜKERRER","OK"))))</f>
        <v/>
      </c>
    </row>
    <row r="3678" ht="16.5" customHeight="1" s="80">
      <c r="A3678" s="113" t="n"/>
      <c r="B3678" s="113" t="n"/>
      <c r="C3678" s="113" t="n"/>
      <c r="D3678" s="113" t="n"/>
      <c r="E3678" s="113" t="n"/>
      <c r="F3678" s="113" t="n"/>
      <c r="G3678" s="113" t="n"/>
      <c r="H3678" s="113" t="n"/>
      <c r="I3678" s="113" t="n"/>
      <c r="J3678" s="113" t="n"/>
      <c r="K3678" s="113" t="n"/>
      <c r="L3678" s="113" t="n"/>
      <c r="M3678" s="113" t="n"/>
      <c r="N3678" s="113" t="n"/>
      <c r="O3678" s="113" t="n"/>
      <c r="P3678" s="113" t="n"/>
      <c r="Q3678" s="113" t="n"/>
      <c r="R3678" s="113" t="n"/>
      <c r="S3678" s="113" t="n"/>
      <c r="T3678" s="113" t="n"/>
      <c r="U3678" s="113" t="n"/>
      <c r="V3678" s="113" t="n"/>
      <c r="W3678" s="113" t="n"/>
      <c r="X3678" s="113" t="n"/>
      <c r="Y3678" s="113" t="n"/>
      <c r="Z3678" s="117">
        <f>IF($B3678="",0,IF($S3678="EVET",IF($D3678="GELİR",$O3678,-$O3678),0))</f>
        <v/>
      </c>
      <c r="AA3678" s="117">
        <f>IF($B3678="",0,IF(OR($W3678="EVET",$X3678="EVET",$Y3678="EVET"),0,IF($D3678="GELİR",IF($E3678="SATIŞ İADESİ/İSKONTO",-$O3678,$O3678),-$O3678)))</f>
        <v/>
      </c>
      <c r="AB3678" s="117">
        <f>IF($B3678="","",IF(OR($D3678="",$E3678="",$O3678=""),"EKSİK",IF($O3678&lt;=0,"SIFIR/NEGATİF",IF(COUNTIFS($C$6:$C$5000,$C3678,$O$6:$O$5000,$O3678,$B$6:$B$5000,$B3678)&gt;1,"MÜKERRER","OK"))))</f>
        <v/>
      </c>
    </row>
    <row r="3679" ht="16.5" customHeight="1" s="80">
      <c r="A3679" s="113" t="n"/>
      <c r="B3679" s="113" t="n"/>
      <c r="C3679" s="113" t="n"/>
      <c r="D3679" s="113" t="n"/>
      <c r="E3679" s="113" t="n"/>
      <c r="F3679" s="113" t="n"/>
      <c r="G3679" s="113" t="n"/>
      <c r="H3679" s="113" t="n"/>
      <c r="I3679" s="113" t="n"/>
      <c r="J3679" s="113" t="n"/>
      <c r="K3679" s="113" t="n"/>
      <c r="L3679" s="113" t="n"/>
      <c r="M3679" s="113" t="n"/>
      <c r="N3679" s="113" t="n"/>
      <c r="O3679" s="113" t="n"/>
      <c r="P3679" s="113" t="n"/>
      <c r="Q3679" s="113" t="n"/>
      <c r="R3679" s="113" t="n"/>
      <c r="S3679" s="113" t="n"/>
      <c r="T3679" s="113" t="n"/>
      <c r="U3679" s="113" t="n"/>
      <c r="V3679" s="113" t="n"/>
      <c r="W3679" s="113" t="n"/>
      <c r="X3679" s="113" t="n"/>
      <c r="Y3679" s="113" t="n"/>
      <c r="Z3679" s="117">
        <f>IF($B3679="",0,IF($S3679="EVET",IF($D3679="GELİR",$O3679,-$O3679),0))</f>
        <v/>
      </c>
      <c r="AA3679" s="117">
        <f>IF($B3679="",0,IF(OR($W3679="EVET",$X3679="EVET",$Y3679="EVET"),0,IF($D3679="GELİR",IF($E3679="SATIŞ İADESİ/İSKONTO",-$O3679,$O3679),-$O3679)))</f>
        <v/>
      </c>
      <c r="AB3679" s="117">
        <f>IF($B3679="","",IF(OR($D3679="",$E3679="",$O3679=""),"EKSİK",IF($O3679&lt;=0,"SIFIR/NEGATİF",IF(COUNTIFS($C$6:$C$5000,$C3679,$O$6:$O$5000,$O3679,$B$6:$B$5000,$B3679)&gt;1,"MÜKERRER","OK"))))</f>
        <v/>
      </c>
    </row>
    <row r="3680" ht="16.5" customHeight="1" s="80">
      <c r="A3680" s="113" t="n"/>
      <c r="B3680" s="113" t="n"/>
      <c r="C3680" s="113" t="n"/>
      <c r="D3680" s="113" t="n"/>
      <c r="E3680" s="113" t="n"/>
      <c r="F3680" s="113" t="n"/>
      <c r="G3680" s="113" t="n"/>
      <c r="H3680" s="113" t="n"/>
      <c r="I3680" s="113" t="n"/>
      <c r="J3680" s="113" t="n"/>
      <c r="K3680" s="113" t="n"/>
      <c r="L3680" s="113" t="n"/>
      <c r="M3680" s="113" t="n"/>
      <c r="N3680" s="113" t="n"/>
      <c r="O3680" s="113" t="n"/>
      <c r="P3680" s="113" t="n"/>
      <c r="Q3680" s="113" t="n"/>
      <c r="R3680" s="113" t="n"/>
      <c r="S3680" s="113" t="n"/>
      <c r="T3680" s="113" t="n"/>
      <c r="U3680" s="113" t="n"/>
      <c r="V3680" s="113" t="n"/>
      <c r="W3680" s="113" t="n"/>
      <c r="X3680" s="113" t="n"/>
      <c r="Y3680" s="113" t="n"/>
      <c r="Z3680" s="117">
        <f>IF($B3680="",0,IF($S3680="EVET",IF($D3680="GELİR",$O3680,-$O3680),0))</f>
        <v/>
      </c>
      <c r="AA3680" s="117">
        <f>IF($B3680="",0,IF(OR($W3680="EVET",$X3680="EVET",$Y3680="EVET"),0,IF($D3680="GELİR",IF($E3680="SATIŞ İADESİ/İSKONTO",-$O3680,$O3680),-$O3680)))</f>
        <v/>
      </c>
      <c r="AB3680" s="117">
        <f>IF($B3680="","",IF(OR($D3680="",$E3680="",$O3680=""),"EKSİK",IF($O3680&lt;=0,"SIFIR/NEGATİF",IF(COUNTIFS($C$6:$C$5000,$C3680,$O$6:$O$5000,$O3680,$B$6:$B$5000,$B3680)&gt;1,"MÜKERRER","OK"))))</f>
        <v/>
      </c>
    </row>
    <row r="3681" ht="16.5" customHeight="1" s="80">
      <c r="A3681" s="113" t="n"/>
      <c r="B3681" s="113" t="n"/>
      <c r="C3681" s="113" t="n"/>
      <c r="D3681" s="113" t="n"/>
      <c r="E3681" s="113" t="n"/>
      <c r="F3681" s="113" t="n"/>
      <c r="G3681" s="113" t="n"/>
      <c r="H3681" s="113" t="n"/>
      <c r="I3681" s="113" t="n"/>
      <c r="J3681" s="113" t="n"/>
      <c r="K3681" s="113" t="n"/>
      <c r="L3681" s="113" t="n"/>
      <c r="M3681" s="113" t="n"/>
      <c r="N3681" s="113" t="n"/>
      <c r="O3681" s="113" t="n"/>
      <c r="P3681" s="113" t="n"/>
      <c r="Q3681" s="113" t="n"/>
      <c r="R3681" s="113" t="n"/>
      <c r="S3681" s="113" t="n"/>
      <c r="T3681" s="113" t="n"/>
      <c r="U3681" s="113" t="n"/>
      <c r="V3681" s="113" t="n"/>
      <c r="W3681" s="113" t="n"/>
      <c r="X3681" s="113" t="n"/>
      <c r="Y3681" s="113" t="n"/>
      <c r="Z3681" s="117">
        <f>IF($B3681="",0,IF($S3681="EVET",IF($D3681="GELİR",$O3681,-$O3681),0))</f>
        <v/>
      </c>
      <c r="AA3681" s="117">
        <f>IF($B3681="",0,IF(OR($W3681="EVET",$X3681="EVET",$Y3681="EVET"),0,IF($D3681="GELİR",IF($E3681="SATIŞ İADESİ/İSKONTO",-$O3681,$O3681),-$O3681)))</f>
        <v/>
      </c>
      <c r="AB3681" s="117">
        <f>IF($B3681="","",IF(OR($D3681="",$E3681="",$O3681=""),"EKSİK",IF($O3681&lt;=0,"SIFIR/NEGATİF",IF(COUNTIFS($C$6:$C$5000,$C3681,$O$6:$O$5000,$O3681,$B$6:$B$5000,$B3681)&gt;1,"MÜKERRER","OK"))))</f>
        <v/>
      </c>
    </row>
    <row r="3682" ht="16.5" customHeight="1" s="80">
      <c r="A3682" s="113" t="n"/>
      <c r="B3682" s="113" t="n"/>
      <c r="C3682" s="113" t="n"/>
      <c r="D3682" s="113" t="n"/>
      <c r="E3682" s="113" t="n"/>
      <c r="F3682" s="113" t="n"/>
      <c r="G3682" s="113" t="n"/>
      <c r="H3682" s="113" t="n"/>
      <c r="I3682" s="113" t="n"/>
      <c r="J3682" s="113" t="n"/>
      <c r="K3682" s="113" t="n"/>
      <c r="L3682" s="113" t="n"/>
      <c r="M3682" s="113" t="n"/>
      <c r="N3682" s="113" t="n"/>
      <c r="O3682" s="113" t="n"/>
      <c r="P3682" s="113" t="n"/>
      <c r="Q3682" s="113" t="n"/>
      <c r="R3682" s="113" t="n"/>
      <c r="S3682" s="113" t="n"/>
      <c r="T3682" s="113" t="n"/>
      <c r="U3682" s="113" t="n"/>
      <c r="V3682" s="113" t="n"/>
      <c r="W3682" s="113" t="n"/>
      <c r="X3682" s="113" t="n"/>
      <c r="Y3682" s="113" t="n"/>
      <c r="Z3682" s="117">
        <f>IF($B3682="",0,IF($S3682="EVET",IF($D3682="GELİR",$O3682,-$O3682),0))</f>
        <v/>
      </c>
      <c r="AA3682" s="117">
        <f>IF($B3682="",0,IF(OR($W3682="EVET",$X3682="EVET",$Y3682="EVET"),0,IF($D3682="GELİR",IF($E3682="SATIŞ İADESİ/İSKONTO",-$O3682,$O3682),-$O3682)))</f>
        <v/>
      </c>
      <c r="AB3682" s="117">
        <f>IF($B3682="","",IF(OR($D3682="",$E3682="",$O3682=""),"EKSİK",IF($O3682&lt;=0,"SIFIR/NEGATİF",IF(COUNTIFS($C$6:$C$5000,$C3682,$O$6:$O$5000,$O3682,$B$6:$B$5000,$B3682)&gt;1,"MÜKERRER","OK"))))</f>
        <v/>
      </c>
    </row>
    <row r="3683" ht="16.5" customHeight="1" s="80">
      <c r="A3683" s="113" t="n"/>
      <c r="B3683" s="113" t="n"/>
      <c r="C3683" s="113" t="n"/>
      <c r="D3683" s="113" t="n"/>
      <c r="E3683" s="113" t="n"/>
      <c r="F3683" s="113" t="n"/>
      <c r="G3683" s="113" t="n"/>
      <c r="H3683" s="113" t="n"/>
      <c r="I3683" s="113" t="n"/>
      <c r="J3683" s="113" t="n"/>
      <c r="K3683" s="113" t="n"/>
      <c r="L3683" s="113" t="n"/>
      <c r="M3683" s="113" t="n"/>
      <c r="N3683" s="113" t="n"/>
      <c r="O3683" s="113" t="n"/>
      <c r="P3683" s="113" t="n"/>
      <c r="Q3683" s="113" t="n"/>
      <c r="R3683" s="113" t="n"/>
      <c r="S3683" s="113" t="n"/>
      <c r="T3683" s="113" t="n"/>
      <c r="U3683" s="113" t="n"/>
      <c r="V3683" s="113" t="n"/>
      <c r="W3683" s="113" t="n"/>
      <c r="X3683" s="113" t="n"/>
      <c r="Y3683" s="113" t="n"/>
      <c r="Z3683" s="117">
        <f>IF($B3683="",0,IF($S3683="EVET",IF($D3683="GELİR",$O3683,-$O3683),0))</f>
        <v/>
      </c>
      <c r="AA3683" s="117">
        <f>IF($B3683="",0,IF(OR($W3683="EVET",$X3683="EVET",$Y3683="EVET"),0,IF($D3683="GELİR",IF($E3683="SATIŞ İADESİ/İSKONTO",-$O3683,$O3683),-$O3683)))</f>
        <v/>
      </c>
      <c r="AB3683" s="117">
        <f>IF($B3683="","",IF(OR($D3683="",$E3683="",$O3683=""),"EKSİK",IF($O3683&lt;=0,"SIFIR/NEGATİF",IF(COUNTIFS($C$6:$C$5000,$C3683,$O$6:$O$5000,$O3683,$B$6:$B$5000,$B3683)&gt;1,"MÜKERRER","OK"))))</f>
        <v/>
      </c>
    </row>
    <row r="3684" ht="16.5" customHeight="1" s="80">
      <c r="A3684" s="113" t="n"/>
      <c r="B3684" s="113" t="n"/>
      <c r="C3684" s="113" t="n"/>
      <c r="D3684" s="113" t="n"/>
      <c r="E3684" s="113" t="n"/>
      <c r="F3684" s="113" t="n"/>
      <c r="G3684" s="113" t="n"/>
      <c r="H3684" s="113" t="n"/>
      <c r="I3684" s="113" t="n"/>
      <c r="J3684" s="113" t="n"/>
      <c r="K3684" s="113" t="n"/>
      <c r="L3684" s="113" t="n"/>
      <c r="M3684" s="113" t="n"/>
      <c r="N3684" s="113" t="n"/>
      <c r="O3684" s="113" t="n"/>
      <c r="P3684" s="113" t="n"/>
      <c r="Q3684" s="113" t="n"/>
      <c r="R3684" s="113" t="n"/>
      <c r="S3684" s="113" t="n"/>
      <c r="T3684" s="113" t="n"/>
      <c r="U3684" s="113" t="n"/>
      <c r="V3684" s="113" t="n"/>
      <c r="W3684" s="113" t="n"/>
      <c r="X3684" s="113" t="n"/>
      <c r="Y3684" s="113" t="n"/>
      <c r="Z3684" s="117">
        <f>IF($B3684="",0,IF($S3684="EVET",IF($D3684="GELİR",$O3684,-$O3684),0))</f>
        <v/>
      </c>
      <c r="AA3684" s="117">
        <f>IF($B3684="",0,IF(OR($W3684="EVET",$X3684="EVET",$Y3684="EVET"),0,IF($D3684="GELİR",IF($E3684="SATIŞ İADESİ/İSKONTO",-$O3684,$O3684),-$O3684)))</f>
        <v/>
      </c>
      <c r="AB3684" s="117">
        <f>IF($B3684="","",IF(OR($D3684="",$E3684="",$O3684=""),"EKSİK",IF($O3684&lt;=0,"SIFIR/NEGATİF",IF(COUNTIFS($C$6:$C$5000,$C3684,$O$6:$O$5000,$O3684,$B$6:$B$5000,$B3684)&gt;1,"MÜKERRER","OK"))))</f>
        <v/>
      </c>
    </row>
    <row r="3685" ht="16.5" customHeight="1" s="80">
      <c r="A3685" s="113" t="n"/>
      <c r="B3685" s="113" t="n"/>
      <c r="C3685" s="113" t="n"/>
      <c r="D3685" s="113" t="n"/>
      <c r="E3685" s="113" t="n"/>
      <c r="F3685" s="113" t="n"/>
      <c r="G3685" s="113" t="n"/>
      <c r="H3685" s="113" t="n"/>
      <c r="I3685" s="113" t="n"/>
      <c r="J3685" s="113" t="n"/>
      <c r="K3685" s="113" t="n"/>
      <c r="L3685" s="113" t="n"/>
      <c r="M3685" s="113" t="n"/>
      <c r="N3685" s="113" t="n"/>
      <c r="O3685" s="113" t="n"/>
      <c r="P3685" s="113" t="n"/>
      <c r="Q3685" s="113" t="n"/>
      <c r="R3685" s="113" t="n"/>
      <c r="S3685" s="113" t="n"/>
      <c r="T3685" s="113" t="n"/>
      <c r="U3685" s="113" t="n"/>
      <c r="V3685" s="113" t="n"/>
      <c r="W3685" s="113" t="n"/>
      <c r="X3685" s="113" t="n"/>
      <c r="Y3685" s="113" t="n"/>
      <c r="Z3685" s="117">
        <f>IF($B3685="",0,IF($S3685="EVET",IF($D3685="GELİR",$O3685,-$O3685),0))</f>
        <v/>
      </c>
      <c r="AA3685" s="117">
        <f>IF($B3685="",0,IF(OR($W3685="EVET",$X3685="EVET",$Y3685="EVET"),0,IF($D3685="GELİR",IF($E3685="SATIŞ İADESİ/İSKONTO",-$O3685,$O3685),-$O3685)))</f>
        <v/>
      </c>
      <c r="AB3685" s="117">
        <f>IF($B3685="","",IF(OR($D3685="",$E3685="",$O3685=""),"EKSİK",IF($O3685&lt;=0,"SIFIR/NEGATİF",IF(COUNTIFS($C$6:$C$5000,$C3685,$O$6:$O$5000,$O3685,$B$6:$B$5000,$B3685)&gt;1,"MÜKERRER","OK"))))</f>
        <v/>
      </c>
    </row>
    <row r="3686" ht="16.5" customHeight="1" s="80">
      <c r="A3686" s="113" t="n"/>
      <c r="B3686" s="113" t="n"/>
      <c r="C3686" s="113" t="n"/>
      <c r="D3686" s="113" t="n"/>
      <c r="E3686" s="113" t="n"/>
      <c r="F3686" s="113" t="n"/>
      <c r="G3686" s="113" t="n"/>
      <c r="H3686" s="113" t="n"/>
      <c r="I3686" s="113" t="n"/>
      <c r="J3686" s="113" t="n"/>
      <c r="K3686" s="113" t="n"/>
      <c r="L3686" s="113" t="n"/>
      <c r="M3686" s="113" t="n"/>
      <c r="N3686" s="113" t="n"/>
      <c r="O3686" s="113" t="n"/>
      <c r="P3686" s="113" t="n"/>
      <c r="Q3686" s="113" t="n"/>
      <c r="R3686" s="113" t="n"/>
      <c r="S3686" s="113" t="n"/>
      <c r="T3686" s="113" t="n"/>
      <c r="U3686" s="113" t="n"/>
      <c r="V3686" s="113" t="n"/>
      <c r="W3686" s="113" t="n"/>
      <c r="X3686" s="113" t="n"/>
      <c r="Y3686" s="113" t="n"/>
      <c r="Z3686" s="117">
        <f>IF($B3686="",0,IF($S3686="EVET",IF($D3686="GELİR",$O3686,-$O3686),0))</f>
        <v/>
      </c>
      <c r="AA3686" s="117">
        <f>IF($B3686="",0,IF(OR($W3686="EVET",$X3686="EVET",$Y3686="EVET"),0,IF($D3686="GELİR",IF($E3686="SATIŞ İADESİ/İSKONTO",-$O3686,$O3686),-$O3686)))</f>
        <v/>
      </c>
      <c r="AB3686" s="117">
        <f>IF($B3686="","",IF(OR($D3686="",$E3686="",$O3686=""),"EKSİK",IF($O3686&lt;=0,"SIFIR/NEGATİF",IF(COUNTIFS($C$6:$C$5000,$C3686,$O$6:$O$5000,$O3686,$B$6:$B$5000,$B3686)&gt;1,"MÜKERRER","OK"))))</f>
        <v/>
      </c>
    </row>
    <row r="3687" ht="16.5" customHeight="1" s="80">
      <c r="A3687" s="113" t="n"/>
      <c r="B3687" s="113" t="n"/>
      <c r="C3687" s="113" t="n"/>
      <c r="D3687" s="113" t="n"/>
      <c r="E3687" s="113" t="n"/>
      <c r="F3687" s="113" t="n"/>
      <c r="G3687" s="113" t="n"/>
      <c r="H3687" s="113" t="n"/>
      <c r="I3687" s="113" t="n"/>
      <c r="J3687" s="113" t="n"/>
      <c r="K3687" s="113" t="n"/>
      <c r="L3687" s="113" t="n"/>
      <c r="M3687" s="113" t="n"/>
      <c r="N3687" s="113" t="n"/>
      <c r="O3687" s="113" t="n"/>
      <c r="P3687" s="113" t="n"/>
      <c r="Q3687" s="113" t="n"/>
      <c r="R3687" s="113" t="n"/>
      <c r="S3687" s="113" t="n"/>
      <c r="T3687" s="113" t="n"/>
      <c r="U3687" s="113" t="n"/>
      <c r="V3687" s="113" t="n"/>
      <c r="W3687" s="113" t="n"/>
      <c r="X3687" s="113" t="n"/>
      <c r="Y3687" s="113" t="n"/>
      <c r="Z3687" s="117">
        <f>IF($B3687="",0,IF($S3687="EVET",IF($D3687="GELİR",$O3687,-$O3687),0))</f>
        <v/>
      </c>
      <c r="AA3687" s="117">
        <f>IF($B3687="",0,IF(OR($W3687="EVET",$X3687="EVET",$Y3687="EVET"),0,IF($D3687="GELİR",IF($E3687="SATIŞ İADESİ/İSKONTO",-$O3687,$O3687),-$O3687)))</f>
        <v/>
      </c>
      <c r="AB3687" s="117">
        <f>IF($B3687="","",IF(OR($D3687="",$E3687="",$O3687=""),"EKSİK",IF($O3687&lt;=0,"SIFIR/NEGATİF",IF(COUNTIFS($C$6:$C$5000,$C3687,$O$6:$O$5000,$O3687,$B$6:$B$5000,$B3687)&gt;1,"MÜKERRER","OK"))))</f>
        <v/>
      </c>
    </row>
    <row r="3688" ht="16.5" customHeight="1" s="80">
      <c r="A3688" s="113" t="n"/>
      <c r="B3688" s="113" t="n"/>
      <c r="C3688" s="113" t="n"/>
      <c r="D3688" s="113" t="n"/>
      <c r="E3688" s="113" t="n"/>
      <c r="F3688" s="113" t="n"/>
      <c r="G3688" s="113" t="n"/>
      <c r="H3688" s="113" t="n"/>
      <c r="I3688" s="113" t="n"/>
      <c r="J3688" s="113" t="n"/>
      <c r="K3688" s="113" t="n"/>
      <c r="L3688" s="113" t="n"/>
      <c r="M3688" s="113" t="n"/>
      <c r="N3688" s="113" t="n"/>
      <c r="O3688" s="113" t="n"/>
      <c r="P3688" s="113" t="n"/>
      <c r="Q3688" s="113" t="n"/>
      <c r="R3688" s="113" t="n"/>
      <c r="S3688" s="113" t="n"/>
      <c r="T3688" s="113" t="n"/>
      <c r="U3688" s="113" t="n"/>
      <c r="V3688" s="113" t="n"/>
      <c r="W3688" s="113" t="n"/>
      <c r="X3688" s="113" t="n"/>
      <c r="Y3688" s="113" t="n"/>
      <c r="Z3688" s="117">
        <f>IF($B3688="",0,IF($S3688="EVET",IF($D3688="GELİR",$O3688,-$O3688),0))</f>
        <v/>
      </c>
      <c r="AA3688" s="117">
        <f>IF($B3688="",0,IF(OR($W3688="EVET",$X3688="EVET",$Y3688="EVET"),0,IF($D3688="GELİR",IF($E3688="SATIŞ İADESİ/İSKONTO",-$O3688,$O3688),-$O3688)))</f>
        <v/>
      </c>
      <c r="AB3688" s="117">
        <f>IF($B3688="","",IF(OR($D3688="",$E3688="",$O3688=""),"EKSİK",IF($O3688&lt;=0,"SIFIR/NEGATİF",IF(COUNTIFS($C$6:$C$5000,$C3688,$O$6:$O$5000,$O3688,$B$6:$B$5000,$B3688)&gt;1,"MÜKERRER","OK"))))</f>
        <v/>
      </c>
    </row>
    <row r="3689" ht="16.5" customHeight="1" s="80">
      <c r="A3689" s="113" t="n"/>
      <c r="B3689" s="113" t="n"/>
      <c r="C3689" s="113" t="n"/>
      <c r="D3689" s="113" t="n"/>
      <c r="E3689" s="113" t="n"/>
      <c r="F3689" s="113" t="n"/>
      <c r="G3689" s="113" t="n"/>
      <c r="H3689" s="113" t="n"/>
      <c r="I3689" s="113" t="n"/>
      <c r="J3689" s="113" t="n"/>
      <c r="K3689" s="113" t="n"/>
      <c r="L3689" s="113" t="n"/>
      <c r="M3689" s="113" t="n"/>
      <c r="N3689" s="113" t="n"/>
      <c r="O3689" s="113" t="n"/>
      <c r="P3689" s="113" t="n"/>
      <c r="Q3689" s="113" t="n"/>
      <c r="R3689" s="113" t="n"/>
      <c r="S3689" s="113" t="n"/>
      <c r="T3689" s="113" t="n"/>
      <c r="U3689" s="113" t="n"/>
      <c r="V3689" s="113" t="n"/>
      <c r="W3689" s="113" t="n"/>
      <c r="X3689" s="113" t="n"/>
      <c r="Y3689" s="113" t="n"/>
      <c r="Z3689" s="117">
        <f>IF($B3689="",0,IF($S3689="EVET",IF($D3689="GELİR",$O3689,-$O3689),0))</f>
        <v/>
      </c>
      <c r="AA3689" s="117">
        <f>IF($B3689="",0,IF(OR($W3689="EVET",$X3689="EVET",$Y3689="EVET"),0,IF($D3689="GELİR",IF($E3689="SATIŞ İADESİ/İSKONTO",-$O3689,$O3689),-$O3689)))</f>
        <v/>
      </c>
      <c r="AB3689" s="117">
        <f>IF($B3689="","",IF(OR($D3689="",$E3689="",$O3689=""),"EKSİK",IF($O3689&lt;=0,"SIFIR/NEGATİF",IF(COUNTIFS($C$6:$C$5000,$C3689,$O$6:$O$5000,$O3689,$B$6:$B$5000,$B3689)&gt;1,"MÜKERRER","OK"))))</f>
        <v/>
      </c>
    </row>
    <row r="3690" ht="16.5" customHeight="1" s="80">
      <c r="A3690" s="113" t="n"/>
      <c r="B3690" s="113" t="n"/>
      <c r="C3690" s="113" t="n"/>
      <c r="D3690" s="113" t="n"/>
      <c r="E3690" s="113" t="n"/>
      <c r="F3690" s="113" t="n"/>
      <c r="G3690" s="113" t="n"/>
      <c r="H3690" s="113" t="n"/>
      <c r="I3690" s="113" t="n"/>
      <c r="J3690" s="113" t="n"/>
      <c r="K3690" s="113" t="n"/>
      <c r="L3690" s="113" t="n"/>
      <c r="M3690" s="113" t="n"/>
      <c r="N3690" s="113" t="n"/>
      <c r="O3690" s="113" t="n"/>
      <c r="P3690" s="113" t="n"/>
      <c r="Q3690" s="113" t="n"/>
      <c r="R3690" s="113" t="n"/>
      <c r="S3690" s="113" t="n"/>
      <c r="T3690" s="113" t="n"/>
      <c r="U3690" s="113" t="n"/>
      <c r="V3690" s="113" t="n"/>
      <c r="W3690" s="113" t="n"/>
      <c r="X3690" s="113" t="n"/>
      <c r="Y3690" s="113" t="n"/>
      <c r="Z3690" s="117">
        <f>IF($B3690="",0,IF($S3690="EVET",IF($D3690="GELİR",$O3690,-$O3690),0))</f>
        <v/>
      </c>
      <c r="AA3690" s="117">
        <f>IF($B3690="",0,IF(OR($W3690="EVET",$X3690="EVET",$Y3690="EVET"),0,IF($D3690="GELİR",IF($E3690="SATIŞ İADESİ/İSKONTO",-$O3690,$O3690),-$O3690)))</f>
        <v/>
      </c>
      <c r="AB3690" s="117">
        <f>IF($B3690="","",IF(OR($D3690="",$E3690="",$O3690=""),"EKSİK",IF($O3690&lt;=0,"SIFIR/NEGATİF",IF(COUNTIFS($C$6:$C$5000,$C3690,$O$6:$O$5000,$O3690,$B$6:$B$5000,$B3690)&gt;1,"MÜKERRER","OK"))))</f>
        <v/>
      </c>
    </row>
    <row r="3691" ht="16.5" customHeight="1" s="80">
      <c r="A3691" s="113" t="n"/>
      <c r="B3691" s="113" t="n"/>
      <c r="C3691" s="113" t="n"/>
      <c r="D3691" s="113" t="n"/>
      <c r="E3691" s="113" t="n"/>
      <c r="F3691" s="113" t="n"/>
      <c r="G3691" s="113" t="n"/>
      <c r="H3691" s="113" t="n"/>
      <c r="I3691" s="113" t="n"/>
      <c r="J3691" s="113" t="n"/>
      <c r="K3691" s="113" t="n"/>
      <c r="L3691" s="113" t="n"/>
      <c r="M3691" s="113" t="n"/>
      <c r="N3691" s="113" t="n"/>
      <c r="O3691" s="113" t="n"/>
      <c r="P3691" s="113" t="n"/>
      <c r="Q3691" s="113" t="n"/>
      <c r="R3691" s="113" t="n"/>
      <c r="S3691" s="113" t="n"/>
      <c r="T3691" s="113" t="n"/>
      <c r="U3691" s="113" t="n"/>
      <c r="V3691" s="113" t="n"/>
      <c r="W3691" s="113" t="n"/>
      <c r="X3691" s="113" t="n"/>
      <c r="Y3691" s="113" t="n"/>
      <c r="Z3691" s="117">
        <f>IF($B3691="",0,IF($S3691="EVET",IF($D3691="GELİR",$O3691,-$O3691),0))</f>
        <v/>
      </c>
      <c r="AA3691" s="117">
        <f>IF($B3691="",0,IF(OR($W3691="EVET",$X3691="EVET",$Y3691="EVET"),0,IF($D3691="GELİR",IF($E3691="SATIŞ İADESİ/İSKONTO",-$O3691,$O3691),-$O3691)))</f>
        <v/>
      </c>
      <c r="AB3691" s="117">
        <f>IF($B3691="","",IF(OR($D3691="",$E3691="",$O3691=""),"EKSİK",IF($O3691&lt;=0,"SIFIR/NEGATİF",IF(COUNTIFS($C$6:$C$5000,$C3691,$O$6:$O$5000,$O3691,$B$6:$B$5000,$B3691)&gt;1,"MÜKERRER","OK"))))</f>
        <v/>
      </c>
    </row>
    <row r="3692" ht="16.5" customHeight="1" s="80">
      <c r="A3692" s="113" t="n"/>
      <c r="B3692" s="113" t="n"/>
      <c r="C3692" s="113" t="n"/>
      <c r="D3692" s="113" t="n"/>
      <c r="E3692" s="113" t="n"/>
      <c r="F3692" s="113" t="n"/>
      <c r="G3692" s="113" t="n"/>
      <c r="H3692" s="113" t="n"/>
      <c r="I3692" s="113" t="n"/>
      <c r="J3692" s="113" t="n"/>
      <c r="K3692" s="113" t="n"/>
      <c r="L3692" s="113" t="n"/>
      <c r="M3692" s="113" t="n"/>
      <c r="N3692" s="113" t="n"/>
      <c r="O3692" s="113" t="n"/>
      <c r="P3692" s="113" t="n"/>
      <c r="Q3692" s="113" t="n"/>
      <c r="R3692" s="113" t="n"/>
      <c r="S3692" s="113" t="n"/>
      <c r="T3692" s="113" t="n"/>
      <c r="U3692" s="113" t="n"/>
      <c r="V3692" s="113" t="n"/>
      <c r="W3692" s="113" t="n"/>
      <c r="X3692" s="113" t="n"/>
      <c r="Y3692" s="113" t="n"/>
      <c r="Z3692" s="117">
        <f>IF($B3692="",0,IF($S3692="EVET",IF($D3692="GELİR",$O3692,-$O3692),0))</f>
        <v/>
      </c>
      <c r="AA3692" s="117">
        <f>IF($B3692="",0,IF(OR($W3692="EVET",$X3692="EVET",$Y3692="EVET"),0,IF($D3692="GELİR",IF($E3692="SATIŞ İADESİ/İSKONTO",-$O3692,$O3692),-$O3692)))</f>
        <v/>
      </c>
      <c r="AB3692" s="117">
        <f>IF($B3692="","",IF(OR($D3692="",$E3692="",$O3692=""),"EKSİK",IF($O3692&lt;=0,"SIFIR/NEGATİF",IF(COUNTIFS($C$6:$C$5000,$C3692,$O$6:$O$5000,$O3692,$B$6:$B$5000,$B3692)&gt;1,"MÜKERRER","OK"))))</f>
        <v/>
      </c>
    </row>
    <row r="3693" ht="16.5" customHeight="1" s="80">
      <c r="A3693" s="113" t="n"/>
      <c r="B3693" s="113" t="n"/>
      <c r="C3693" s="113" t="n"/>
      <c r="D3693" s="113" t="n"/>
      <c r="E3693" s="113" t="n"/>
      <c r="F3693" s="113" t="n"/>
      <c r="G3693" s="113" t="n"/>
      <c r="H3693" s="113" t="n"/>
      <c r="I3693" s="113" t="n"/>
      <c r="J3693" s="113" t="n"/>
      <c r="K3693" s="113" t="n"/>
      <c r="L3693" s="113" t="n"/>
      <c r="M3693" s="113" t="n"/>
      <c r="N3693" s="113" t="n"/>
      <c r="O3693" s="113" t="n"/>
      <c r="P3693" s="113" t="n"/>
      <c r="Q3693" s="113" t="n"/>
      <c r="R3693" s="113" t="n"/>
      <c r="S3693" s="113" t="n"/>
      <c r="T3693" s="113" t="n"/>
      <c r="U3693" s="113" t="n"/>
      <c r="V3693" s="113" t="n"/>
      <c r="W3693" s="113" t="n"/>
      <c r="X3693" s="113" t="n"/>
      <c r="Y3693" s="113" t="n"/>
      <c r="Z3693" s="117">
        <f>IF($B3693="",0,IF($S3693="EVET",IF($D3693="GELİR",$O3693,-$O3693),0))</f>
        <v/>
      </c>
      <c r="AA3693" s="117">
        <f>IF($B3693="",0,IF(OR($W3693="EVET",$X3693="EVET",$Y3693="EVET"),0,IF($D3693="GELİR",IF($E3693="SATIŞ İADESİ/İSKONTO",-$O3693,$O3693),-$O3693)))</f>
        <v/>
      </c>
      <c r="AB3693" s="117">
        <f>IF($B3693="","",IF(OR($D3693="",$E3693="",$O3693=""),"EKSİK",IF($O3693&lt;=0,"SIFIR/NEGATİF",IF(COUNTIFS($C$6:$C$5000,$C3693,$O$6:$O$5000,$O3693,$B$6:$B$5000,$B3693)&gt;1,"MÜKERRER","OK"))))</f>
        <v/>
      </c>
    </row>
    <row r="3694" ht="16.5" customHeight="1" s="80">
      <c r="A3694" s="113" t="n"/>
      <c r="B3694" s="113" t="n"/>
      <c r="C3694" s="113" t="n"/>
      <c r="D3694" s="113" t="n"/>
      <c r="E3694" s="113" t="n"/>
      <c r="F3694" s="113" t="n"/>
      <c r="G3694" s="113" t="n"/>
      <c r="H3694" s="113" t="n"/>
      <c r="I3694" s="113" t="n"/>
      <c r="J3694" s="113" t="n"/>
      <c r="K3694" s="113" t="n"/>
      <c r="L3694" s="113" t="n"/>
      <c r="M3694" s="113" t="n"/>
      <c r="N3694" s="113" t="n"/>
      <c r="O3694" s="113" t="n"/>
      <c r="P3694" s="113" t="n"/>
      <c r="Q3694" s="113" t="n"/>
      <c r="R3694" s="113" t="n"/>
      <c r="S3694" s="113" t="n"/>
      <c r="T3694" s="113" t="n"/>
      <c r="U3694" s="113" t="n"/>
      <c r="V3694" s="113" t="n"/>
      <c r="W3694" s="113" t="n"/>
      <c r="X3694" s="113" t="n"/>
      <c r="Y3694" s="113" t="n"/>
      <c r="Z3694" s="117">
        <f>IF($B3694="",0,IF($S3694="EVET",IF($D3694="GELİR",$O3694,-$O3694),0))</f>
        <v/>
      </c>
      <c r="AA3694" s="117">
        <f>IF($B3694="",0,IF(OR($W3694="EVET",$X3694="EVET",$Y3694="EVET"),0,IF($D3694="GELİR",IF($E3694="SATIŞ İADESİ/İSKONTO",-$O3694,$O3694),-$O3694)))</f>
        <v/>
      </c>
      <c r="AB3694" s="117">
        <f>IF($B3694="","",IF(OR($D3694="",$E3694="",$O3694=""),"EKSİK",IF($O3694&lt;=0,"SIFIR/NEGATİF",IF(COUNTIFS($C$6:$C$5000,$C3694,$O$6:$O$5000,$O3694,$B$6:$B$5000,$B3694)&gt;1,"MÜKERRER","OK"))))</f>
        <v/>
      </c>
    </row>
    <row r="3695" ht="16.5" customHeight="1" s="80">
      <c r="A3695" s="113" t="n"/>
      <c r="B3695" s="113" t="n"/>
      <c r="C3695" s="113" t="n"/>
      <c r="D3695" s="113" t="n"/>
      <c r="E3695" s="113" t="n"/>
      <c r="F3695" s="113" t="n"/>
      <c r="G3695" s="113" t="n"/>
      <c r="H3695" s="113" t="n"/>
      <c r="I3695" s="113" t="n"/>
      <c r="J3695" s="113" t="n"/>
      <c r="K3695" s="113" t="n"/>
      <c r="L3695" s="113" t="n"/>
      <c r="M3695" s="113" t="n"/>
      <c r="N3695" s="113" t="n"/>
      <c r="O3695" s="113" t="n"/>
      <c r="P3695" s="113" t="n"/>
      <c r="Q3695" s="113" t="n"/>
      <c r="R3695" s="113" t="n"/>
      <c r="S3695" s="113" t="n"/>
      <c r="T3695" s="113" t="n"/>
      <c r="U3695" s="113" t="n"/>
      <c r="V3695" s="113" t="n"/>
      <c r="W3695" s="113" t="n"/>
      <c r="X3695" s="113" t="n"/>
      <c r="Y3695" s="113" t="n"/>
      <c r="Z3695" s="117">
        <f>IF($B3695="",0,IF($S3695="EVET",IF($D3695="GELİR",$O3695,-$O3695),0))</f>
        <v/>
      </c>
      <c r="AA3695" s="117">
        <f>IF($B3695="",0,IF(OR($W3695="EVET",$X3695="EVET",$Y3695="EVET"),0,IF($D3695="GELİR",IF($E3695="SATIŞ İADESİ/İSKONTO",-$O3695,$O3695),-$O3695)))</f>
        <v/>
      </c>
      <c r="AB3695" s="117">
        <f>IF($B3695="","",IF(OR($D3695="",$E3695="",$O3695=""),"EKSİK",IF($O3695&lt;=0,"SIFIR/NEGATİF",IF(COUNTIFS($C$6:$C$5000,$C3695,$O$6:$O$5000,$O3695,$B$6:$B$5000,$B3695)&gt;1,"MÜKERRER","OK"))))</f>
        <v/>
      </c>
    </row>
    <row r="3696" ht="16.5" customHeight="1" s="80">
      <c r="A3696" s="113" t="n"/>
      <c r="B3696" s="113" t="n"/>
      <c r="C3696" s="113" t="n"/>
      <c r="D3696" s="113" t="n"/>
      <c r="E3696" s="113" t="n"/>
      <c r="F3696" s="113" t="n"/>
      <c r="G3696" s="113" t="n"/>
      <c r="H3696" s="113" t="n"/>
      <c r="I3696" s="113" t="n"/>
      <c r="J3696" s="113" t="n"/>
      <c r="K3696" s="113" t="n"/>
      <c r="L3696" s="113" t="n"/>
      <c r="M3696" s="113" t="n"/>
      <c r="N3696" s="113" t="n"/>
      <c r="O3696" s="113" t="n"/>
      <c r="P3696" s="113" t="n"/>
      <c r="Q3696" s="113" t="n"/>
      <c r="R3696" s="113" t="n"/>
      <c r="S3696" s="113" t="n"/>
      <c r="T3696" s="113" t="n"/>
      <c r="U3696" s="113" t="n"/>
      <c r="V3696" s="113" t="n"/>
      <c r="W3696" s="113" t="n"/>
      <c r="X3696" s="113" t="n"/>
      <c r="Y3696" s="113" t="n"/>
      <c r="Z3696" s="117">
        <f>IF($B3696="",0,IF($S3696="EVET",IF($D3696="GELİR",$O3696,-$O3696),0))</f>
        <v/>
      </c>
      <c r="AA3696" s="117">
        <f>IF($B3696="",0,IF(OR($W3696="EVET",$X3696="EVET",$Y3696="EVET"),0,IF($D3696="GELİR",IF($E3696="SATIŞ İADESİ/İSKONTO",-$O3696,$O3696),-$O3696)))</f>
        <v/>
      </c>
      <c r="AB3696" s="117">
        <f>IF($B3696="","",IF(OR($D3696="",$E3696="",$O3696=""),"EKSİK",IF($O3696&lt;=0,"SIFIR/NEGATİF",IF(COUNTIFS($C$6:$C$5000,$C3696,$O$6:$O$5000,$O3696,$B$6:$B$5000,$B3696)&gt;1,"MÜKERRER","OK"))))</f>
        <v/>
      </c>
    </row>
    <row r="3697" ht="16.5" customHeight="1" s="80">
      <c r="A3697" s="113" t="n"/>
      <c r="B3697" s="113" t="n"/>
      <c r="C3697" s="113" t="n"/>
      <c r="D3697" s="113" t="n"/>
      <c r="E3697" s="113" t="n"/>
      <c r="F3697" s="113" t="n"/>
      <c r="G3697" s="113" t="n"/>
      <c r="H3697" s="113" t="n"/>
      <c r="I3697" s="113" t="n"/>
      <c r="J3697" s="113" t="n"/>
      <c r="K3697" s="113" t="n"/>
      <c r="L3697" s="113" t="n"/>
      <c r="M3697" s="113" t="n"/>
      <c r="N3697" s="113" t="n"/>
      <c r="O3697" s="113" t="n"/>
      <c r="P3697" s="113" t="n"/>
      <c r="Q3697" s="113" t="n"/>
      <c r="R3697" s="113" t="n"/>
      <c r="S3697" s="113" t="n"/>
      <c r="T3697" s="113" t="n"/>
      <c r="U3697" s="113" t="n"/>
      <c r="V3697" s="113" t="n"/>
      <c r="W3697" s="113" t="n"/>
      <c r="X3697" s="113" t="n"/>
      <c r="Y3697" s="113" t="n"/>
      <c r="Z3697" s="117">
        <f>IF($B3697="",0,IF($S3697="EVET",IF($D3697="GELİR",$O3697,-$O3697),0))</f>
        <v/>
      </c>
      <c r="AA3697" s="117">
        <f>IF($B3697="",0,IF(OR($W3697="EVET",$X3697="EVET",$Y3697="EVET"),0,IF($D3697="GELİR",IF($E3697="SATIŞ İADESİ/İSKONTO",-$O3697,$O3697),-$O3697)))</f>
        <v/>
      </c>
      <c r="AB3697" s="117">
        <f>IF($B3697="","",IF(OR($D3697="",$E3697="",$O3697=""),"EKSİK",IF($O3697&lt;=0,"SIFIR/NEGATİF",IF(COUNTIFS($C$6:$C$5000,$C3697,$O$6:$O$5000,$O3697,$B$6:$B$5000,$B3697)&gt;1,"MÜKERRER","OK"))))</f>
        <v/>
      </c>
    </row>
    <row r="3698" ht="16.5" customHeight="1" s="80">
      <c r="A3698" s="113" t="n"/>
      <c r="B3698" s="113" t="n"/>
      <c r="C3698" s="113" t="n"/>
      <c r="D3698" s="113" t="n"/>
      <c r="E3698" s="113" t="n"/>
      <c r="F3698" s="113" t="n"/>
      <c r="G3698" s="113" t="n"/>
      <c r="H3698" s="113" t="n"/>
      <c r="I3698" s="113" t="n"/>
      <c r="J3698" s="113" t="n"/>
      <c r="K3698" s="113" t="n"/>
      <c r="L3698" s="113" t="n"/>
      <c r="M3698" s="113" t="n"/>
      <c r="N3698" s="113" t="n"/>
      <c r="O3698" s="113" t="n"/>
      <c r="P3698" s="113" t="n"/>
      <c r="Q3698" s="113" t="n"/>
      <c r="R3698" s="113" t="n"/>
      <c r="S3698" s="113" t="n"/>
      <c r="T3698" s="113" t="n"/>
      <c r="U3698" s="113" t="n"/>
      <c r="V3698" s="113" t="n"/>
      <c r="W3698" s="113" t="n"/>
      <c r="X3698" s="113" t="n"/>
      <c r="Y3698" s="113" t="n"/>
      <c r="Z3698" s="117">
        <f>IF($B3698="",0,IF($S3698="EVET",IF($D3698="GELİR",$O3698,-$O3698),0))</f>
        <v/>
      </c>
      <c r="AA3698" s="117">
        <f>IF($B3698="",0,IF(OR($W3698="EVET",$X3698="EVET",$Y3698="EVET"),0,IF($D3698="GELİR",IF($E3698="SATIŞ İADESİ/İSKONTO",-$O3698,$O3698),-$O3698)))</f>
        <v/>
      </c>
      <c r="AB3698" s="117">
        <f>IF($B3698="","",IF(OR($D3698="",$E3698="",$O3698=""),"EKSİK",IF($O3698&lt;=0,"SIFIR/NEGATİF",IF(COUNTIFS($C$6:$C$5000,$C3698,$O$6:$O$5000,$O3698,$B$6:$B$5000,$B3698)&gt;1,"MÜKERRER","OK"))))</f>
        <v/>
      </c>
    </row>
    <row r="3699" ht="16.5" customHeight="1" s="80">
      <c r="A3699" s="113" t="n"/>
      <c r="B3699" s="113" t="n"/>
      <c r="C3699" s="113" t="n"/>
      <c r="D3699" s="113" t="n"/>
      <c r="E3699" s="113" t="n"/>
      <c r="F3699" s="113" t="n"/>
      <c r="G3699" s="113" t="n"/>
      <c r="H3699" s="113" t="n"/>
      <c r="I3699" s="113" t="n"/>
      <c r="J3699" s="113" t="n"/>
      <c r="K3699" s="113" t="n"/>
      <c r="L3699" s="113" t="n"/>
      <c r="M3699" s="113" t="n"/>
      <c r="N3699" s="113" t="n"/>
      <c r="O3699" s="113" t="n"/>
      <c r="P3699" s="113" t="n"/>
      <c r="Q3699" s="113" t="n"/>
      <c r="R3699" s="113" t="n"/>
      <c r="S3699" s="113" t="n"/>
      <c r="T3699" s="113" t="n"/>
      <c r="U3699" s="113" t="n"/>
      <c r="V3699" s="113" t="n"/>
      <c r="W3699" s="113" t="n"/>
      <c r="X3699" s="113" t="n"/>
      <c r="Y3699" s="113" t="n"/>
      <c r="Z3699" s="117">
        <f>IF($B3699="",0,IF($S3699="EVET",IF($D3699="GELİR",$O3699,-$O3699),0))</f>
        <v/>
      </c>
      <c r="AA3699" s="117">
        <f>IF($B3699="",0,IF(OR($W3699="EVET",$X3699="EVET",$Y3699="EVET"),0,IF($D3699="GELİR",IF($E3699="SATIŞ İADESİ/İSKONTO",-$O3699,$O3699),-$O3699)))</f>
        <v/>
      </c>
      <c r="AB3699" s="117">
        <f>IF($B3699="","",IF(OR($D3699="",$E3699="",$O3699=""),"EKSİK",IF($O3699&lt;=0,"SIFIR/NEGATİF",IF(COUNTIFS($C$6:$C$5000,$C3699,$O$6:$O$5000,$O3699,$B$6:$B$5000,$B3699)&gt;1,"MÜKERRER","OK"))))</f>
        <v/>
      </c>
    </row>
    <row r="3700" ht="16.5" customHeight="1" s="80">
      <c r="A3700" s="113" t="n"/>
      <c r="B3700" s="113" t="n"/>
      <c r="C3700" s="113" t="n"/>
      <c r="D3700" s="113" t="n"/>
      <c r="E3700" s="113" t="n"/>
      <c r="F3700" s="113" t="n"/>
      <c r="G3700" s="113" t="n"/>
      <c r="H3700" s="113" t="n"/>
      <c r="I3700" s="113" t="n"/>
      <c r="J3700" s="113" t="n"/>
      <c r="K3700" s="113" t="n"/>
      <c r="L3700" s="113" t="n"/>
      <c r="M3700" s="113" t="n"/>
      <c r="N3700" s="113" t="n"/>
      <c r="O3700" s="113" t="n"/>
      <c r="P3700" s="113" t="n"/>
      <c r="Q3700" s="113" t="n"/>
      <c r="R3700" s="113" t="n"/>
      <c r="S3700" s="113" t="n"/>
      <c r="T3700" s="113" t="n"/>
      <c r="U3700" s="113" t="n"/>
      <c r="V3700" s="113" t="n"/>
      <c r="W3700" s="113" t="n"/>
      <c r="X3700" s="113" t="n"/>
      <c r="Y3700" s="113" t="n"/>
      <c r="Z3700" s="117">
        <f>IF($B3700="",0,IF($S3700="EVET",IF($D3700="GELİR",$O3700,-$O3700),0))</f>
        <v/>
      </c>
      <c r="AA3700" s="117">
        <f>IF($B3700="",0,IF(OR($W3700="EVET",$X3700="EVET",$Y3700="EVET"),0,IF($D3700="GELİR",IF($E3700="SATIŞ İADESİ/İSKONTO",-$O3700,$O3700),-$O3700)))</f>
        <v/>
      </c>
      <c r="AB3700" s="117">
        <f>IF($B3700="","",IF(OR($D3700="",$E3700="",$O3700=""),"EKSİK",IF($O3700&lt;=0,"SIFIR/NEGATİF",IF(COUNTIFS($C$6:$C$5000,$C3700,$O$6:$O$5000,$O3700,$B$6:$B$5000,$B3700)&gt;1,"MÜKERRER","OK"))))</f>
        <v/>
      </c>
    </row>
    <row r="3701" ht="16.5" customHeight="1" s="80">
      <c r="A3701" s="113" t="n"/>
      <c r="B3701" s="113" t="n"/>
      <c r="C3701" s="113" t="n"/>
      <c r="D3701" s="113" t="n"/>
      <c r="E3701" s="113" t="n"/>
      <c r="F3701" s="113" t="n"/>
      <c r="G3701" s="113" t="n"/>
      <c r="H3701" s="113" t="n"/>
      <c r="I3701" s="113" t="n"/>
      <c r="J3701" s="113" t="n"/>
      <c r="K3701" s="113" t="n"/>
      <c r="L3701" s="113" t="n"/>
      <c r="M3701" s="113" t="n"/>
      <c r="N3701" s="113" t="n"/>
      <c r="O3701" s="113" t="n"/>
      <c r="P3701" s="113" t="n"/>
      <c r="Q3701" s="113" t="n"/>
      <c r="R3701" s="113" t="n"/>
      <c r="S3701" s="113" t="n"/>
      <c r="T3701" s="113" t="n"/>
      <c r="U3701" s="113" t="n"/>
      <c r="V3701" s="113" t="n"/>
      <c r="W3701" s="113" t="n"/>
      <c r="X3701" s="113" t="n"/>
      <c r="Y3701" s="113" t="n"/>
      <c r="Z3701" s="117">
        <f>IF($B3701="",0,IF($S3701="EVET",IF($D3701="GELİR",$O3701,-$O3701),0))</f>
        <v/>
      </c>
      <c r="AA3701" s="117">
        <f>IF($B3701="",0,IF(OR($W3701="EVET",$X3701="EVET",$Y3701="EVET"),0,IF($D3701="GELİR",IF($E3701="SATIŞ İADESİ/İSKONTO",-$O3701,$O3701),-$O3701)))</f>
        <v/>
      </c>
      <c r="AB3701" s="117">
        <f>IF($B3701="","",IF(OR($D3701="",$E3701="",$O3701=""),"EKSİK",IF($O3701&lt;=0,"SIFIR/NEGATİF",IF(COUNTIFS($C$6:$C$5000,$C3701,$O$6:$O$5000,$O3701,$B$6:$B$5000,$B3701)&gt;1,"MÜKERRER","OK"))))</f>
        <v/>
      </c>
    </row>
    <row r="3702" ht="16.5" customHeight="1" s="80">
      <c r="A3702" s="113" t="n"/>
      <c r="B3702" s="113" t="n"/>
      <c r="C3702" s="113" t="n"/>
      <c r="D3702" s="113" t="n"/>
      <c r="E3702" s="113" t="n"/>
      <c r="F3702" s="113" t="n"/>
      <c r="G3702" s="113" t="n"/>
      <c r="H3702" s="113" t="n"/>
      <c r="I3702" s="113" t="n"/>
      <c r="J3702" s="113" t="n"/>
      <c r="K3702" s="113" t="n"/>
      <c r="L3702" s="113" t="n"/>
      <c r="M3702" s="113" t="n"/>
      <c r="N3702" s="113" t="n"/>
      <c r="O3702" s="113" t="n"/>
      <c r="P3702" s="113" t="n"/>
      <c r="Q3702" s="113" t="n"/>
      <c r="R3702" s="113" t="n"/>
      <c r="S3702" s="113" t="n"/>
      <c r="T3702" s="113" t="n"/>
      <c r="U3702" s="113" t="n"/>
      <c r="V3702" s="113" t="n"/>
      <c r="W3702" s="113" t="n"/>
      <c r="X3702" s="113" t="n"/>
      <c r="Y3702" s="113" t="n"/>
      <c r="Z3702" s="117">
        <f>IF($B3702="",0,IF($S3702="EVET",IF($D3702="GELİR",$O3702,-$O3702),0))</f>
        <v/>
      </c>
      <c r="AA3702" s="117">
        <f>IF($B3702="",0,IF(OR($W3702="EVET",$X3702="EVET",$Y3702="EVET"),0,IF($D3702="GELİR",IF($E3702="SATIŞ İADESİ/İSKONTO",-$O3702,$O3702),-$O3702)))</f>
        <v/>
      </c>
      <c r="AB3702" s="117">
        <f>IF($B3702="","",IF(OR($D3702="",$E3702="",$O3702=""),"EKSİK",IF($O3702&lt;=0,"SIFIR/NEGATİF",IF(COUNTIFS($C$6:$C$5000,$C3702,$O$6:$O$5000,$O3702,$B$6:$B$5000,$B3702)&gt;1,"MÜKERRER","OK"))))</f>
        <v/>
      </c>
    </row>
    <row r="3703" ht="16.5" customHeight="1" s="80">
      <c r="A3703" s="113" t="n"/>
      <c r="B3703" s="113" t="n"/>
      <c r="C3703" s="113" t="n"/>
      <c r="D3703" s="113" t="n"/>
      <c r="E3703" s="113" t="n"/>
      <c r="F3703" s="113" t="n"/>
      <c r="G3703" s="113" t="n"/>
      <c r="H3703" s="113" t="n"/>
      <c r="I3703" s="113" t="n"/>
      <c r="J3703" s="113" t="n"/>
      <c r="K3703" s="113" t="n"/>
      <c r="L3703" s="113" t="n"/>
      <c r="M3703" s="113" t="n"/>
      <c r="N3703" s="113" t="n"/>
      <c r="O3703" s="113" t="n"/>
      <c r="P3703" s="113" t="n"/>
      <c r="Q3703" s="113" t="n"/>
      <c r="R3703" s="113" t="n"/>
      <c r="S3703" s="113" t="n"/>
      <c r="T3703" s="113" t="n"/>
      <c r="U3703" s="113" t="n"/>
      <c r="V3703" s="113" t="n"/>
      <c r="W3703" s="113" t="n"/>
      <c r="X3703" s="113" t="n"/>
      <c r="Y3703" s="113" t="n"/>
      <c r="Z3703" s="117">
        <f>IF($B3703="",0,IF($S3703="EVET",IF($D3703="GELİR",$O3703,-$O3703),0))</f>
        <v/>
      </c>
      <c r="AA3703" s="117">
        <f>IF($B3703="",0,IF(OR($W3703="EVET",$X3703="EVET",$Y3703="EVET"),0,IF($D3703="GELİR",IF($E3703="SATIŞ İADESİ/İSKONTO",-$O3703,$O3703),-$O3703)))</f>
        <v/>
      </c>
      <c r="AB3703" s="117">
        <f>IF($B3703="","",IF(OR($D3703="",$E3703="",$O3703=""),"EKSİK",IF($O3703&lt;=0,"SIFIR/NEGATİF",IF(COUNTIFS($C$6:$C$5000,$C3703,$O$6:$O$5000,$O3703,$B$6:$B$5000,$B3703)&gt;1,"MÜKERRER","OK"))))</f>
        <v/>
      </c>
    </row>
    <row r="3704" ht="16.5" customHeight="1" s="80">
      <c r="A3704" s="113" t="n"/>
      <c r="B3704" s="113" t="n"/>
      <c r="C3704" s="113" t="n"/>
      <c r="D3704" s="113" t="n"/>
      <c r="E3704" s="113" t="n"/>
      <c r="F3704" s="113" t="n"/>
      <c r="G3704" s="113" t="n"/>
      <c r="H3704" s="113" t="n"/>
      <c r="I3704" s="113" t="n"/>
      <c r="J3704" s="113" t="n"/>
      <c r="K3704" s="113" t="n"/>
      <c r="L3704" s="113" t="n"/>
      <c r="M3704" s="113" t="n"/>
      <c r="N3704" s="113" t="n"/>
      <c r="O3704" s="113" t="n"/>
      <c r="P3704" s="113" t="n"/>
      <c r="Q3704" s="113" t="n"/>
      <c r="R3704" s="113" t="n"/>
      <c r="S3704" s="113" t="n"/>
      <c r="T3704" s="113" t="n"/>
      <c r="U3704" s="113" t="n"/>
      <c r="V3704" s="113" t="n"/>
      <c r="W3704" s="113" t="n"/>
      <c r="X3704" s="113" t="n"/>
      <c r="Y3704" s="113" t="n"/>
      <c r="Z3704" s="117">
        <f>IF($B3704="",0,IF($S3704="EVET",IF($D3704="GELİR",$O3704,-$O3704),0))</f>
        <v/>
      </c>
      <c r="AA3704" s="117">
        <f>IF($B3704="",0,IF(OR($W3704="EVET",$X3704="EVET",$Y3704="EVET"),0,IF($D3704="GELİR",IF($E3704="SATIŞ İADESİ/İSKONTO",-$O3704,$O3704),-$O3704)))</f>
        <v/>
      </c>
      <c r="AB3704" s="117">
        <f>IF($B3704="","",IF(OR($D3704="",$E3704="",$O3704=""),"EKSİK",IF($O3704&lt;=0,"SIFIR/NEGATİF",IF(COUNTIFS($C$6:$C$5000,$C3704,$O$6:$O$5000,$O3704,$B$6:$B$5000,$B3704)&gt;1,"MÜKERRER","OK"))))</f>
        <v/>
      </c>
    </row>
    <row r="3705" ht="16.5" customHeight="1" s="80">
      <c r="A3705" s="113" t="n"/>
      <c r="B3705" s="113" t="n"/>
      <c r="C3705" s="113" t="n"/>
      <c r="D3705" s="113" t="n"/>
      <c r="E3705" s="113" t="n"/>
      <c r="F3705" s="113" t="n"/>
      <c r="G3705" s="113" t="n"/>
      <c r="H3705" s="113" t="n"/>
      <c r="I3705" s="113" t="n"/>
      <c r="J3705" s="113" t="n"/>
      <c r="K3705" s="113" t="n"/>
      <c r="L3705" s="113" t="n"/>
      <c r="M3705" s="113" t="n"/>
      <c r="N3705" s="113" t="n"/>
      <c r="O3705" s="113" t="n"/>
      <c r="P3705" s="113" t="n"/>
      <c r="Q3705" s="113" t="n"/>
      <c r="R3705" s="113" t="n"/>
      <c r="S3705" s="113" t="n"/>
      <c r="T3705" s="113" t="n"/>
      <c r="U3705" s="113" t="n"/>
      <c r="V3705" s="113" t="n"/>
      <c r="W3705" s="113" t="n"/>
      <c r="X3705" s="113" t="n"/>
      <c r="Y3705" s="113" t="n"/>
      <c r="Z3705" s="117">
        <f>IF($B3705="",0,IF($S3705="EVET",IF($D3705="GELİR",$O3705,-$O3705),0))</f>
        <v/>
      </c>
      <c r="AA3705" s="117">
        <f>IF($B3705="",0,IF(OR($W3705="EVET",$X3705="EVET",$Y3705="EVET"),0,IF($D3705="GELİR",IF($E3705="SATIŞ İADESİ/İSKONTO",-$O3705,$O3705),-$O3705)))</f>
        <v/>
      </c>
      <c r="AB3705" s="117">
        <f>IF($B3705="","",IF(OR($D3705="",$E3705="",$O3705=""),"EKSİK",IF($O3705&lt;=0,"SIFIR/NEGATİF",IF(COUNTIFS($C$6:$C$5000,$C3705,$O$6:$O$5000,$O3705,$B$6:$B$5000,$B3705)&gt;1,"MÜKERRER","OK"))))</f>
        <v/>
      </c>
    </row>
    <row r="3706" ht="16.5" customHeight="1" s="80">
      <c r="A3706" s="113" t="n"/>
      <c r="B3706" s="113" t="n"/>
      <c r="C3706" s="113" t="n"/>
      <c r="D3706" s="113" t="n"/>
      <c r="E3706" s="113" t="n"/>
      <c r="F3706" s="113" t="n"/>
      <c r="G3706" s="113" t="n"/>
      <c r="H3706" s="113" t="n"/>
      <c r="I3706" s="113" t="n"/>
      <c r="J3706" s="113" t="n"/>
      <c r="K3706" s="113" t="n"/>
      <c r="L3706" s="113" t="n"/>
      <c r="M3706" s="113" t="n"/>
      <c r="N3706" s="113" t="n"/>
      <c r="O3706" s="113" t="n"/>
      <c r="P3706" s="113" t="n"/>
      <c r="Q3706" s="113" t="n"/>
      <c r="R3706" s="113" t="n"/>
      <c r="S3706" s="113" t="n"/>
      <c r="T3706" s="113" t="n"/>
      <c r="U3706" s="113" t="n"/>
      <c r="V3706" s="113" t="n"/>
      <c r="W3706" s="113" t="n"/>
      <c r="X3706" s="113" t="n"/>
      <c r="Y3706" s="113" t="n"/>
      <c r="Z3706" s="117">
        <f>IF($B3706="",0,IF($S3706="EVET",IF($D3706="GELİR",$O3706,-$O3706),0))</f>
        <v/>
      </c>
      <c r="AA3706" s="117">
        <f>IF($B3706="",0,IF(OR($W3706="EVET",$X3706="EVET",$Y3706="EVET"),0,IF($D3706="GELİR",IF($E3706="SATIŞ İADESİ/İSKONTO",-$O3706,$O3706),-$O3706)))</f>
        <v/>
      </c>
      <c r="AB3706" s="117">
        <f>IF($B3706="","",IF(OR($D3706="",$E3706="",$O3706=""),"EKSİK",IF($O3706&lt;=0,"SIFIR/NEGATİF",IF(COUNTIFS($C$6:$C$5000,$C3706,$O$6:$O$5000,$O3706,$B$6:$B$5000,$B3706)&gt;1,"MÜKERRER","OK"))))</f>
        <v/>
      </c>
    </row>
    <row r="3707" ht="16.5" customHeight="1" s="80">
      <c r="A3707" s="113" t="n"/>
      <c r="B3707" s="113" t="n"/>
      <c r="C3707" s="113" t="n"/>
      <c r="D3707" s="113" t="n"/>
      <c r="E3707" s="113" t="n"/>
      <c r="F3707" s="113" t="n"/>
      <c r="G3707" s="113" t="n"/>
      <c r="H3707" s="113" t="n"/>
      <c r="I3707" s="113" t="n"/>
      <c r="J3707" s="113" t="n"/>
      <c r="K3707" s="113" t="n"/>
      <c r="L3707" s="113" t="n"/>
      <c r="M3707" s="113" t="n"/>
      <c r="N3707" s="113" t="n"/>
      <c r="O3707" s="113" t="n"/>
      <c r="P3707" s="113" t="n"/>
      <c r="Q3707" s="113" t="n"/>
      <c r="R3707" s="113" t="n"/>
      <c r="S3707" s="113" t="n"/>
      <c r="T3707" s="113" t="n"/>
      <c r="U3707" s="113" t="n"/>
      <c r="V3707" s="113" t="n"/>
      <c r="W3707" s="113" t="n"/>
      <c r="X3707" s="113" t="n"/>
      <c r="Y3707" s="113" t="n"/>
      <c r="Z3707" s="117">
        <f>IF($B3707="",0,IF($S3707="EVET",IF($D3707="GELİR",$O3707,-$O3707),0))</f>
        <v/>
      </c>
      <c r="AA3707" s="117">
        <f>IF($B3707="",0,IF(OR($W3707="EVET",$X3707="EVET",$Y3707="EVET"),0,IF($D3707="GELİR",IF($E3707="SATIŞ İADESİ/İSKONTO",-$O3707,$O3707),-$O3707)))</f>
        <v/>
      </c>
      <c r="AB3707" s="117">
        <f>IF($B3707="","",IF(OR($D3707="",$E3707="",$O3707=""),"EKSİK",IF($O3707&lt;=0,"SIFIR/NEGATİF",IF(COUNTIFS($C$6:$C$5000,$C3707,$O$6:$O$5000,$O3707,$B$6:$B$5000,$B3707)&gt;1,"MÜKERRER","OK"))))</f>
        <v/>
      </c>
    </row>
    <row r="3708" ht="16.5" customHeight="1" s="80">
      <c r="A3708" s="113" t="n"/>
      <c r="B3708" s="113" t="n"/>
      <c r="C3708" s="113" t="n"/>
      <c r="D3708" s="113" t="n"/>
      <c r="E3708" s="113" t="n"/>
      <c r="F3708" s="113" t="n"/>
      <c r="G3708" s="113" t="n"/>
      <c r="H3708" s="113" t="n"/>
      <c r="I3708" s="113" t="n"/>
      <c r="J3708" s="113" t="n"/>
      <c r="K3708" s="113" t="n"/>
      <c r="L3708" s="113" t="n"/>
      <c r="M3708" s="113" t="n"/>
      <c r="N3708" s="113" t="n"/>
      <c r="O3708" s="113" t="n"/>
      <c r="P3708" s="113" t="n"/>
      <c r="Q3708" s="113" t="n"/>
      <c r="R3708" s="113" t="n"/>
      <c r="S3708" s="113" t="n"/>
      <c r="T3708" s="113" t="n"/>
      <c r="U3708" s="113" t="n"/>
      <c r="V3708" s="113" t="n"/>
      <c r="W3708" s="113" t="n"/>
      <c r="X3708" s="113" t="n"/>
      <c r="Y3708" s="113" t="n"/>
      <c r="Z3708" s="117">
        <f>IF($B3708="",0,IF($S3708="EVET",IF($D3708="GELİR",$O3708,-$O3708),0))</f>
        <v/>
      </c>
      <c r="AA3708" s="117">
        <f>IF($B3708="",0,IF(OR($W3708="EVET",$X3708="EVET",$Y3708="EVET"),0,IF($D3708="GELİR",IF($E3708="SATIŞ İADESİ/İSKONTO",-$O3708,$O3708),-$O3708)))</f>
        <v/>
      </c>
      <c r="AB3708" s="117">
        <f>IF($B3708="","",IF(OR($D3708="",$E3708="",$O3708=""),"EKSİK",IF($O3708&lt;=0,"SIFIR/NEGATİF",IF(COUNTIFS($C$6:$C$5000,$C3708,$O$6:$O$5000,$O3708,$B$6:$B$5000,$B3708)&gt;1,"MÜKERRER","OK"))))</f>
        <v/>
      </c>
    </row>
    <row r="3709" ht="16.5" customHeight="1" s="80">
      <c r="A3709" s="113" t="n"/>
      <c r="B3709" s="113" t="n"/>
      <c r="C3709" s="113" t="n"/>
      <c r="D3709" s="113" t="n"/>
      <c r="E3709" s="113" t="n"/>
      <c r="F3709" s="113" t="n"/>
      <c r="G3709" s="113" t="n"/>
      <c r="H3709" s="113" t="n"/>
      <c r="I3709" s="113" t="n"/>
      <c r="J3709" s="113" t="n"/>
      <c r="K3709" s="113" t="n"/>
      <c r="L3709" s="113" t="n"/>
      <c r="M3709" s="113" t="n"/>
      <c r="N3709" s="113" t="n"/>
      <c r="O3709" s="113" t="n"/>
      <c r="P3709" s="113" t="n"/>
      <c r="Q3709" s="113" t="n"/>
      <c r="R3709" s="113" t="n"/>
      <c r="S3709" s="113" t="n"/>
      <c r="T3709" s="113" t="n"/>
      <c r="U3709" s="113" t="n"/>
      <c r="V3709" s="113" t="n"/>
      <c r="W3709" s="113" t="n"/>
      <c r="X3709" s="113" t="n"/>
      <c r="Y3709" s="113" t="n"/>
      <c r="Z3709" s="117">
        <f>IF($B3709="",0,IF($S3709="EVET",IF($D3709="GELİR",$O3709,-$O3709),0))</f>
        <v/>
      </c>
      <c r="AA3709" s="117">
        <f>IF($B3709="",0,IF(OR($W3709="EVET",$X3709="EVET",$Y3709="EVET"),0,IF($D3709="GELİR",IF($E3709="SATIŞ İADESİ/İSKONTO",-$O3709,$O3709),-$O3709)))</f>
        <v/>
      </c>
      <c r="AB3709" s="117">
        <f>IF($B3709="","",IF(OR($D3709="",$E3709="",$O3709=""),"EKSİK",IF($O3709&lt;=0,"SIFIR/NEGATİF",IF(COUNTIFS($C$6:$C$5000,$C3709,$O$6:$O$5000,$O3709,$B$6:$B$5000,$B3709)&gt;1,"MÜKERRER","OK"))))</f>
        <v/>
      </c>
    </row>
    <row r="3710" ht="16.5" customHeight="1" s="80">
      <c r="A3710" s="113" t="n"/>
      <c r="B3710" s="113" t="n"/>
      <c r="C3710" s="113" t="n"/>
      <c r="D3710" s="113" t="n"/>
      <c r="E3710" s="113" t="n"/>
      <c r="F3710" s="113" t="n"/>
      <c r="G3710" s="113" t="n"/>
      <c r="H3710" s="113" t="n"/>
      <c r="I3710" s="113" t="n"/>
      <c r="J3710" s="113" t="n"/>
      <c r="K3710" s="113" t="n"/>
      <c r="L3710" s="113" t="n"/>
      <c r="M3710" s="113" t="n"/>
      <c r="N3710" s="113" t="n"/>
      <c r="O3710" s="113" t="n"/>
      <c r="P3710" s="113" t="n"/>
      <c r="Q3710" s="113" t="n"/>
      <c r="R3710" s="113" t="n"/>
      <c r="S3710" s="113" t="n"/>
      <c r="T3710" s="113" t="n"/>
      <c r="U3710" s="113" t="n"/>
      <c r="V3710" s="113" t="n"/>
      <c r="W3710" s="113" t="n"/>
      <c r="X3710" s="113" t="n"/>
      <c r="Y3710" s="113" t="n"/>
      <c r="Z3710" s="117">
        <f>IF($B3710="",0,IF($S3710="EVET",IF($D3710="GELİR",$O3710,-$O3710),0))</f>
        <v/>
      </c>
      <c r="AA3710" s="117">
        <f>IF($B3710="",0,IF(OR($W3710="EVET",$X3710="EVET",$Y3710="EVET"),0,IF($D3710="GELİR",IF($E3710="SATIŞ İADESİ/İSKONTO",-$O3710,$O3710),-$O3710)))</f>
        <v/>
      </c>
      <c r="AB3710" s="117">
        <f>IF($B3710="","",IF(OR($D3710="",$E3710="",$O3710=""),"EKSİK",IF($O3710&lt;=0,"SIFIR/NEGATİF",IF(COUNTIFS($C$6:$C$5000,$C3710,$O$6:$O$5000,$O3710,$B$6:$B$5000,$B3710)&gt;1,"MÜKERRER","OK"))))</f>
        <v/>
      </c>
    </row>
    <row r="3711" ht="16.5" customHeight="1" s="80">
      <c r="A3711" s="113" t="n"/>
      <c r="B3711" s="113" t="n"/>
      <c r="C3711" s="113" t="n"/>
      <c r="D3711" s="113" t="n"/>
      <c r="E3711" s="113" t="n"/>
      <c r="F3711" s="113" t="n"/>
      <c r="G3711" s="113" t="n"/>
      <c r="H3711" s="113" t="n"/>
      <c r="I3711" s="113" t="n"/>
      <c r="J3711" s="113" t="n"/>
      <c r="K3711" s="113" t="n"/>
      <c r="L3711" s="113" t="n"/>
      <c r="M3711" s="113" t="n"/>
      <c r="N3711" s="113" t="n"/>
      <c r="O3711" s="113" t="n"/>
      <c r="P3711" s="113" t="n"/>
      <c r="Q3711" s="113" t="n"/>
      <c r="R3711" s="113" t="n"/>
      <c r="S3711" s="113" t="n"/>
      <c r="T3711" s="113" t="n"/>
      <c r="U3711" s="113" t="n"/>
      <c r="V3711" s="113" t="n"/>
      <c r="W3711" s="113" t="n"/>
      <c r="X3711" s="113" t="n"/>
      <c r="Y3711" s="113" t="n"/>
      <c r="Z3711" s="117">
        <f>IF($B3711="",0,IF($S3711="EVET",IF($D3711="GELİR",$O3711,-$O3711),0))</f>
        <v/>
      </c>
      <c r="AA3711" s="117">
        <f>IF($B3711="",0,IF(OR($W3711="EVET",$X3711="EVET",$Y3711="EVET"),0,IF($D3711="GELİR",IF($E3711="SATIŞ İADESİ/İSKONTO",-$O3711,$O3711),-$O3711)))</f>
        <v/>
      </c>
      <c r="AB3711" s="117">
        <f>IF($B3711="","",IF(OR($D3711="",$E3711="",$O3711=""),"EKSİK",IF($O3711&lt;=0,"SIFIR/NEGATİF",IF(COUNTIFS($C$6:$C$5000,$C3711,$O$6:$O$5000,$O3711,$B$6:$B$5000,$B3711)&gt;1,"MÜKERRER","OK"))))</f>
        <v/>
      </c>
    </row>
    <row r="3712" ht="16.5" customHeight="1" s="80">
      <c r="A3712" s="113" t="n"/>
      <c r="B3712" s="113" t="n"/>
      <c r="C3712" s="113" t="n"/>
      <c r="D3712" s="113" t="n"/>
      <c r="E3712" s="113" t="n"/>
      <c r="F3712" s="113" t="n"/>
      <c r="G3712" s="113" t="n"/>
      <c r="H3712" s="113" t="n"/>
      <c r="I3712" s="113" t="n"/>
      <c r="J3712" s="113" t="n"/>
      <c r="K3712" s="113" t="n"/>
      <c r="L3712" s="113" t="n"/>
      <c r="M3712" s="113" t="n"/>
      <c r="N3712" s="113" t="n"/>
      <c r="O3712" s="113" t="n"/>
      <c r="P3712" s="113" t="n"/>
      <c r="Q3712" s="113" t="n"/>
      <c r="R3712" s="113" t="n"/>
      <c r="S3712" s="113" t="n"/>
      <c r="T3712" s="113" t="n"/>
      <c r="U3712" s="113" t="n"/>
      <c r="V3712" s="113" t="n"/>
      <c r="W3712" s="113" t="n"/>
      <c r="X3712" s="113" t="n"/>
      <c r="Y3712" s="113" t="n"/>
      <c r="Z3712" s="117">
        <f>IF($B3712="",0,IF($S3712="EVET",IF($D3712="GELİR",$O3712,-$O3712),0))</f>
        <v/>
      </c>
      <c r="AA3712" s="117">
        <f>IF($B3712="",0,IF(OR($W3712="EVET",$X3712="EVET",$Y3712="EVET"),0,IF($D3712="GELİR",IF($E3712="SATIŞ İADESİ/İSKONTO",-$O3712,$O3712),-$O3712)))</f>
        <v/>
      </c>
      <c r="AB3712" s="117">
        <f>IF($B3712="","",IF(OR($D3712="",$E3712="",$O3712=""),"EKSİK",IF($O3712&lt;=0,"SIFIR/NEGATİF",IF(COUNTIFS($C$6:$C$5000,$C3712,$O$6:$O$5000,$O3712,$B$6:$B$5000,$B3712)&gt;1,"MÜKERRER","OK"))))</f>
        <v/>
      </c>
    </row>
    <row r="3713" ht="16.5" customHeight="1" s="80">
      <c r="A3713" s="113" t="n"/>
      <c r="B3713" s="113" t="n"/>
      <c r="C3713" s="113" t="n"/>
      <c r="D3713" s="113" t="n"/>
      <c r="E3713" s="113" t="n"/>
      <c r="F3713" s="113" t="n"/>
      <c r="G3713" s="113" t="n"/>
      <c r="H3713" s="113" t="n"/>
      <c r="I3713" s="113" t="n"/>
      <c r="J3713" s="113" t="n"/>
      <c r="K3713" s="113" t="n"/>
      <c r="L3713" s="113" t="n"/>
      <c r="M3713" s="113" t="n"/>
      <c r="N3713" s="113" t="n"/>
      <c r="O3713" s="113" t="n"/>
      <c r="P3713" s="113" t="n"/>
      <c r="Q3713" s="113" t="n"/>
      <c r="R3713" s="113" t="n"/>
      <c r="S3713" s="113" t="n"/>
      <c r="T3713" s="113" t="n"/>
      <c r="U3713" s="113" t="n"/>
      <c r="V3713" s="113" t="n"/>
      <c r="W3713" s="113" t="n"/>
      <c r="X3713" s="113" t="n"/>
      <c r="Y3713" s="113" t="n"/>
      <c r="Z3713" s="117">
        <f>IF($B3713="",0,IF($S3713="EVET",IF($D3713="GELİR",$O3713,-$O3713),0))</f>
        <v/>
      </c>
      <c r="AA3713" s="117">
        <f>IF($B3713="",0,IF(OR($W3713="EVET",$X3713="EVET",$Y3713="EVET"),0,IF($D3713="GELİR",IF($E3713="SATIŞ İADESİ/İSKONTO",-$O3713,$O3713),-$O3713)))</f>
        <v/>
      </c>
      <c r="AB3713" s="117">
        <f>IF($B3713="","",IF(OR($D3713="",$E3713="",$O3713=""),"EKSİK",IF($O3713&lt;=0,"SIFIR/NEGATİF",IF(COUNTIFS($C$6:$C$5000,$C3713,$O$6:$O$5000,$O3713,$B$6:$B$5000,$B3713)&gt;1,"MÜKERRER","OK"))))</f>
        <v/>
      </c>
    </row>
    <row r="3714" ht="16.5" customHeight="1" s="80">
      <c r="A3714" s="113" t="n"/>
      <c r="B3714" s="113" t="n"/>
      <c r="C3714" s="113" t="n"/>
      <c r="D3714" s="113" t="n"/>
      <c r="E3714" s="113" t="n"/>
      <c r="F3714" s="113" t="n"/>
      <c r="G3714" s="113" t="n"/>
      <c r="H3714" s="113" t="n"/>
      <c r="I3714" s="113" t="n"/>
      <c r="J3714" s="113" t="n"/>
      <c r="K3714" s="113" t="n"/>
      <c r="L3714" s="113" t="n"/>
      <c r="M3714" s="113" t="n"/>
      <c r="N3714" s="113" t="n"/>
      <c r="O3714" s="113" t="n"/>
      <c r="P3714" s="113" t="n"/>
      <c r="Q3714" s="113" t="n"/>
      <c r="R3714" s="113" t="n"/>
      <c r="S3714" s="113" t="n"/>
      <c r="T3714" s="113" t="n"/>
      <c r="U3714" s="113" t="n"/>
      <c r="V3714" s="113" t="n"/>
      <c r="W3714" s="113" t="n"/>
      <c r="X3714" s="113" t="n"/>
      <c r="Y3714" s="113" t="n"/>
      <c r="Z3714" s="117">
        <f>IF($B3714="",0,IF($S3714="EVET",IF($D3714="GELİR",$O3714,-$O3714),0))</f>
        <v/>
      </c>
      <c r="AA3714" s="117">
        <f>IF($B3714="",0,IF(OR($W3714="EVET",$X3714="EVET",$Y3714="EVET"),0,IF($D3714="GELİR",IF($E3714="SATIŞ İADESİ/İSKONTO",-$O3714,$O3714),-$O3714)))</f>
        <v/>
      </c>
      <c r="AB3714" s="117">
        <f>IF($B3714="","",IF(OR($D3714="",$E3714="",$O3714=""),"EKSİK",IF($O3714&lt;=0,"SIFIR/NEGATİF",IF(COUNTIFS($C$6:$C$5000,$C3714,$O$6:$O$5000,$O3714,$B$6:$B$5000,$B3714)&gt;1,"MÜKERRER","OK"))))</f>
        <v/>
      </c>
    </row>
    <row r="3715" ht="16.5" customHeight="1" s="80">
      <c r="A3715" s="113" t="n"/>
      <c r="B3715" s="113" t="n"/>
      <c r="C3715" s="113" t="n"/>
      <c r="D3715" s="113" t="n"/>
      <c r="E3715" s="113" t="n"/>
      <c r="F3715" s="113" t="n"/>
      <c r="G3715" s="113" t="n"/>
      <c r="H3715" s="113" t="n"/>
      <c r="I3715" s="113" t="n"/>
      <c r="J3715" s="113" t="n"/>
      <c r="K3715" s="113" t="n"/>
      <c r="L3715" s="113" t="n"/>
      <c r="M3715" s="113" t="n"/>
      <c r="N3715" s="113" t="n"/>
      <c r="O3715" s="113" t="n"/>
      <c r="P3715" s="113" t="n"/>
      <c r="Q3715" s="113" t="n"/>
      <c r="R3715" s="113" t="n"/>
      <c r="S3715" s="113" t="n"/>
      <c r="T3715" s="113" t="n"/>
      <c r="U3715" s="113" t="n"/>
      <c r="V3715" s="113" t="n"/>
      <c r="W3715" s="113" t="n"/>
      <c r="X3715" s="113" t="n"/>
      <c r="Y3715" s="113" t="n"/>
      <c r="Z3715" s="117">
        <f>IF($B3715="",0,IF($S3715="EVET",IF($D3715="GELİR",$O3715,-$O3715),0))</f>
        <v/>
      </c>
      <c r="AA3715" s="117">
        <f>IF($B3715="",0,IF(OR($W3715="EVET",$X3715="EVET",$Y3715="EVET"),0,IF($D3715="GELİR",IF($E3715="SATIŞ İADESİ/İSKONTO",-$O3715,$O3715),-$O3715)))</f>
        <v/>
      </c>
      <c r="AB3715" s="117">
        <f>IF($B3715="","",IF(OR($D3715="",$E3715="",$O3715=""),"EKSİK",IF($O3715&lt;=0,"SIFIR/NEGATİF",IF(COUNTIFS($C$6:$C$5000,$C3715,$O$6:$O$5000,$O3715,$B$6:$B$5000,$B3715)&gt;1,"MÜKERRER","OK"))))</f>
        <v/>
      </c>
    </row>
    <row r="3716" ht="16.5" customHeight="1" s="80">
      <c r="A3716" s="113" t="n"/>
      <c r="B3716" s="113" t="n"/>
      <c r="C3716" s="113" t="n"/>
      <c r="D3716" s="113" t="n"/>
      <c r="E3716" s="113" t="n"/>
      <c r="F3716" s="113" t="n"/>
      <c r="G3716" s="113" t="n"/>
      <c r="H3716" s="113" t="n"/>
      <c r="I3716" s="113" t="n"/>
      <c r="J3716" s="113" t="n"/>
      <c r="K3716" s="113" t="n"/>
      <c r="L3716" s="113" t="n"/>
      <c r="M3716" s="113" t="n"/>
      <c r="N3716" s="113" t="n"/>
      <c r="O3716" s="113" t="n"/>
      <c r="P3716" s="113" t="n"/>
      <c r="Q3716" s="113" t="n"/>
      <c r="R3716" s="113" t="n"/>
      <c r="S3716" s="113" t="n"/>
      <c r="T3716" s="113" t="n"/>
      <c r="U3716" s="113" t="n"/>
      <c r="V3716" s="113" t="n"/>
      <c r="W3716" s="113" t="n"/>
      <c r="X3716" s="113" t="n"/>
      <c r="Y3716" s="113" t="n"/>
      <c r="Z3716" s="117">
        <f>IF($B3716="",0,IF($S3716="EVET",IF($D3716="GELİR",$O3716,-$O3716),0))</f>
        <v/>
      </c>
      <c r="AA3716" s="117">
        <f>IF($B3716="",0,IF(OR($W3716="EVET",$X3716="EVET",$Y3716="EVET"),0,IF($D3716="GELİR",IF($E3716="SATIŞ İADESİ/İSKONTO",-$O3716,$O3716),-$O3716)))</f>
        <v/>
      </c>
      <c r="AB3716" s="117">
        <f>IF($B3716="","",IF(OR($D3716="",$E3716="",$O3716=""),"EKSİK",IF($O3716&lt;=0,"SIFIR/NEGATİF",IF(COUNTIFS($C$6:$C$5000,$C3716,$O$6:$O$5000,$O3716,$B$6:$B$5000,$B3716)&gt;1,"MÜKERRER","OK"))))</f>
        <v/>
      </c>
    </row>
    <row r="3717" ht="16.5" customHeight="1" s="80">
      <c r="A3717" s="113" t="n"/>
      <c r="B3717" s="113" t="n"/>
      <c r="C3717" s="113" t="n"/>
      <c r="D3717" s="113" t="n"/>
      <c r="E3717" s="113" t="n"/>
      <c r="F3717" s="113" t="n"/>
      <c r="G3717" s="113" t="n"/>
      <c r="H3717" s="113" t="n"/>
      <c r="I3717" s="113" t="n"/>
      <c r="J3717" s="113" t="n"/>
      <c r="K3717" s="113" t="n"/>
      <c r="L3717" s="113" t="n"/>
      <c r="M3717" s="113" t="n"/>
      <c r="N3717" s="113" t="n"/>
      <c r="O3717" s="113" t="n"/>
      <c r="P3717" s="113" t="n"/>
      <c r="Q3717" s="113" t="n"/>
      <c r="R3717" s="113" t="n"/>
      <c r="S3717" s="113" t="n"/>
      <c r="T3717" s="113" t="n"/>
      <c r="U3717" s="113" t="n"/>
      <c r="V3717" s="113" t="n"/>
      <c r="W3717" s="113" t="n"/>
      <c r="X3717" s="113" t="n"/>
      <c r="Y3717" s="113" t="n"/>
      <c r="Z3717" s="117">
        <f>IF($B3717="",0,IF($S3717="EVET",IF($D3717="GELİR",$O3717,-$O3717),0))</f>
        <v/>
      </c>
      <c r="AA3717" s="117">
        <f>IF($B3717="",0,IF(OR($W3717="EVET",$X3717="EVET",$Y3717="EVET"),0,IF($D3717="GELİR",IF($E3717="SATIŞ İADESİ/İSKONTO",-$O3717,$O3717),-$O3717)))</f>
        <v/>
      </c>
      <c r="AB3717" s="117">
        <f>IF($B3717="","",IF(OR($D3717="",$E3717="",$O3717=""),"EKSİK",IF($O3717&lt;=0,"SIFIR/NEGATİF",IF(COUNTIFS($C$6:$C$5000,$C3717,$O$6:$O$5000,$O3717,$B$6:$B$5000,$B3717)&gt;1,"MÜKERRER","OK"))))</f>
        <v/>
      </c>
    </row>
    <row r="3718" ht="16.5" customHeight="1" s="80">
      <c r="A3718" s="113" t="n"/>
      <c r="B3718" s="113" t="n"/>
      <c r="C3718" s="113" t="n"/>
      <c r="D3718" s="113" t="n"/>
      <c r="E3718" s="113" t="n"/>
      <c r="F3718" s="113" t="n"/>
      <c r="G3718" s="113" t="n"/>
      <c r="H3718" s="113" t="n"/>
      <c r="I3718" s="113" t="n"/>
      <c r="J3718" s="113" t="n"/>
      <c r="K3718" s="113" t="n"/>
      <c r="L3718" s="113" t="n"/>
      <c r="M3718" s="113" t="n"/>
      <c r="N3718" s="113" t="n"/>
      <c r="O3718" s="113" t="n"/>
      <c r="P3718" s="113" t="n"/>
      <c r="Q3718" s="113" t="n"/>
      <c r="R3718" s="113" t="n"/>
      <c r="S3718" s="113" t="n"/>
      <c r="T3718" s="113" t="n"/>
      <c r="U3718" s="113" t="n"/>
      <c r="V3718" s="113" t="n"/>
      <c r="W3718" s="113" t="n"/>
      <c r="X3718" s="113" t="n"/>
      <c r="Y3718" s="113" t="n"/>
      <c r="Z3718" s="117">
        <f>IF($B3718="",0,IF($S3718="EVET",IF($D3718="GELİR",$O3718,-$O3718),0))</f>
        <v/>
      </c>
      <c r="AA3718" s="117">
        <f>IF($B3718="",0,IF(OR($W3718="EVET",$X3718="EVET",$Y3718="EVET"),0,IF($D3718="GELİR",IF($E3718="SATIŞ İADESİ/İSKONTO",-$O3718,$O3718),-$O3718)))</f>
        <v/>
      </c>
      <c r="AB3718" s="117">
        <f>IF($B3718="","",IF(OR($D3718="",$E3718="",$O3718=""),"EKSİK",IF($O3718&lt;=0,"SIFIR/NEGATİF",IF(COUNTIFS($C$6:$C$5000,$C3718,$O$6:$O$5000,$O3718,$B$6:$B$5000,$B3718)&gt;1,"MÜKERRER","OK"))))</f>
        <v/>
      </c>
    </row>
    <row r="3719" ht="16.5" customHeight="1" s="80">
      <c r="A3719" s="113" t="n"/>
      <c r="B3719" s="113" t="n"/>
      <c r="C3719" s="113" t="n"/>
      <c r="D3719" s="113" t="n"/>
      <c r="E3719" s="113" t="n"/>
      <c r="F3719" s="113" t="n"/>
      <c r="G3719" s="113" t="n"/>
      <c r="H3719" s="113" t="n"/>
      <c r="I3719" s="113" t="n"/>
      <c r="J3719" s="113" t="n"/>
      <c r="K3719" s="113" t="n"/>
      <c r="L3719" s="113" t="n"/>
      <c r="M3719" s="113" t="n"/>
      <c r="N3719" s="113" t="n"/>
      <c r="O3719" s="113" t="n"/>
      <c r="P3719" s="113" t="n"/>
      <c r="Q3719" s="113" t="n"/>
      <c r="R3719" s="113" t="n"/>
      <c r="S3719" s="113" t="n"/>
      <c r="T3719" s="113" t="n"/>
      <c r="U3719" s="113" t="n"/>
      <c r="V3719" s="113" t="n"/>
      <c r="W3719" s="113" t="n"/>
      <c r="X3719" s="113" t="n"/>
      <c r="Y3719" s="113" t="n"/>
      <c r="Z3719" s="117">
        <f>IF($B3719="",0,IF($S3719="EVET",IF($D3719="GELİR",$O3719,-$O3719),0))</f>
        <v/>
      </c>
      <c r="AA3719" s="117">
        <f>IF($B3719="",0,IF(OR($W3719="EVET",$X3719="EVET",$Y3719="EVET"),0,IF($D3719="GELİR",IF($E3719="SATIŞ İADESİ/İSKONTO",-$O3719,$O3719),-$O3719)))</f>
        <v/>
      </c>
      <c r="AB3719" s="117">
        <f>IF($B3719="","",IF(OR($D3719="",$E3719="",$O3719=""),"EKSİK",IF($O3719&lt;=0,"SIFIR/NEGATİF",IF(COUNTIFS($C$6:$C$5000,$C3719,$O$6:$O$5000,$O3719,$B$6:$B$5000,$B3719)&gt;1,"MÜKERRER","OK"))))</f>
        <v/>
      </c>
    </row>
    <row r="3720" ht="16.5" customHeight="1" s="80">
      <c r="A3720" s="113" t="n"/>
      <c r="B3720" s="113" t="n"/>
      <c r="C3720" s="113" t="n"/>
      <c r="D3720" s="113" t="n"/>
      <c r="E3720" s="113" t="n"/>
      <c r="F3720" s="113" t="n"/>
      <c r="G3720" s="113" t="n"/>
      <c r="H3720" s="113" t="n"/>
      <c r="I3720" s="113" t="n"/>
      <c r="J3720" s="113" t="n"/>
      <c r="K3720" s="113" t="n"/>
      <c r="L3720" s="113" t="n"/>
      <c r="M3720" s="113" t="n"/>
      <c r="N3720" s="113" t="n"/>
      <c r="O3720" s="113" t="n"/>
      <c r="P3720" s="113" t="n"/>
      <c r="Q3720" s="113" t="n"/>
      <c r="R3720" s="113" t="n"/>
      <c r="S3720" s="113" t="n"/>
      <c r="T3720" s="113" t="n"/>
      <c r="U3720" s="113" t="n"/>
      <c r="V3720" s="113" t="n"/>
      <c r="W3720" s="113" t="n"/>
      <c r="X3720" s="113" t="n"/>
      <c r="Y3720" s="113" t="n"/>
      <c r="Z3720" s="117">
        <f>IF($B3720="",0,IF($S3720="EVET",IF($D3720="GELİR",$O3720,-$O3720),0))</f>
        <v/>
      </c>
      <c r="AA3720" s="117">
        <f>IF($B3720="",0,IF(OR($W3720="EVET",$X3720="EVET",$Y3720="EVET"),0,IF($D3720="GELİR",IF($E3720="SATIŞ İADESİ/İSKONTO",-$O3720,$O3720),-$O3720)))</f>
        <v/>
      </c>
      <c r="AB3720" s="117">
        <f>IF($B3720="","",IF(OR($D3720="",$E3720="",$O3720=""),"EKSİK",IF($O3720&lt;=0,"SIFIR/NEGATİF",IF(COUNTIFS($C$6:$C$5000,$C3720,$O$6:$O$5000,$O3720,$B$6:$B$5000,$B3720)&gt;1,"MÜKERRER","OK"))))</f>
        <v/>
      </c>
    </row>
    <row r="3721" ht="16.5" customHeight="1" s="80">
      <c r="A3721" s="113" t="n"/>
      <c r="B3721" s="113" t="n"/>
      <c r="C3721" s="113" t="n"/>
      <c r="D3721" s="113" t="n"/>
      <c r="E3721" s="113" t="n"/>
      <c r="F3721" s="113" t="n"/>
      <c r="G3721" s="113" t="n"/>
      <c r="H3721" s="113" t="n"/>
      <c r="I3721" s="113" t="n"/>
      <c r="J3721" s="113" t="n"/>
      <c r="K3721" s="113" t="n"/>
      <c r="L3721" s="113" t="n"/>
      <c r="M3721" s="113" t="n"/>
      <c r="N3721" s="113" t="n"/>
      <c r="O3721" s="113" t="n"/>
      <c r="P3721" s="113" t="n"/>
      <c r="Q3721" s="113" t="n"/>
      <c r="R3721" s="113" t="n"/>
      <c r="S3721" s="113" t="n"/>
      <c r="T3721" s="113" t="n"/>
      <c r="U3721" s="113" t="n"/>
      <c r="V3721" s="113" t="n"/>
      <c r="W3721" s="113" t="n"/>
      <c r="X3721" s="113" t="n"/>
      <c r="Y3721" s="113" t="n"/>
      <c r="Z3721" s="117">
        <f>IF($B3721="",0,IF($S3721="EVET",IF($D3721="GELİR",$O3721,-$O3721),0))</f>
        <v/>
      </c>
      <c r="AA3721" s="117">
        <f>IF($B3721="",0,IF(OR($W3721="EVET",$X3721="EVET",$Y3721="EVET"),0,IF($D3721="GELİR",IF($E3721="SATIŞ İADESİ/İSKONTO",-$O3721,$O3721),-$O3721)))</f>
        <v/>
      </c>
      <c r="AB3721" s="117">
        <f>IF($B3721="","",IF(OR($D3721="",$E3721="",$O3721=""),"EKSİK",IF($O3721&lt;=0,"SIFIR/NEGATİF",IF(COUNTIFS($C$6:$C$5000,$C3721,$O$6:$O$5000,$O3721,$B$6:$B$5000,$B3721)&gt;1,"MÜKERRER","OK"))))</f>
        <v/>
      </c>
    </row>
    <row r="3722" ht="16.5" customHeight="1" s="80">
      <c r="A3722" s="113" t="n"/>
      <c r="B3722" s="113" t="n"/>
      <c r="C3722" s="113" t="n"/>
      <c r="D3722" s="113" t="n"/>
      <c r="E3722" s="113" t="n"/>
      <c r="F3722" s="113" t="n"/>
      <c r="G3722" s="113" t="n"/>
      <c r="H3722" s="113" t="n"/>
      <c r="I3722" s="113" t="n"/>
      <c r="J3722" s="113" t="n"/>
      <c r="K3722" s="113" t="n"/>
      <c r="L3722" s="113" t="n"/>
      <c r="M3722" s="113" t="n"/>
      <c r="N3722" s="113" t="n"/>
      <c r="O3722" s="113" t="n"/>
      <c r="P3722" s="113" t="n"/>
      <c r="Q3722" s="113" t="n"/>
      <c r="R3722" s="113" t="n"/>
      <c r="S3722" s="113" t="n"/>
      <c r="T3722" s="113" t="n"/>
      <c r="U3722" s="113" t="n"/>
      <c r="V3722" s="113" t="n"/>
      <c r="W3722" s="113" t="n"/>
      <c r="X3722" s="113" t="n"/>
      <c r="Y3722" s="113" t="n"/>
      <c r="Z3722" s="117">
        <f>IF($B3722="",0,IF($S3722="EVET",IF($D3722="GELİR",$O3722,-$O3722),0))</f>
        <v/>
      </c>
      <c r="AA3722" s="117">
        <f>IF($B3722="",0,IF(OR($W3722="EVET",$X3722="EVET",$Y3722="EVET"),0,IF($D3722="GELİR",IF($E3722="SATIŞ İADESİ/İSKONTO",-$O3722,$O3722),-$O3722)))</f>
        <v/>
      </c>
      <c r="AB3722" s="117">
        <f>IF($B3722="","",IF(OR($D3722="",$E3722="",$O3722=""),"EKSİK",IF($O3722&lt;=0,"SIFIR/NEGATİF",IF(COUNTIFS($C$6:$C$5000,$C3722,$O$6:$O$5000,$O3722,$B$6:$B$5000,$B3722)&gt;1,"MÜKERRER","OK"))))</f>
        <v/>
      </c>
    </row>
    <row r="3723" ht="16.5" customHeight="1" s="80">
      <c r="A3723" s="113" t="n"/>
      <c r="B3723" s="113" t="n"/>
      <c r="C3723" s="113" t="n"/>
      <c r="D3723" s="113" t="n"/>
      <c r="E3723" s="113" t="n"/>
      <c r="F3723" s="113" t="n"/>
      <c r="G3723" s="113" t="n"/>
      <c r="H3723" s="113" t="n"/>
      <c r="I3723" s="113" t="n"/>
      <c r="J3723" s="113" t="n"/>
      <c r="K3723" s="113" t="n"/>
      <c r="L3723" s="113" t="n"/>
      <c r="M3723" s="113" t="n"/>
      <c r="N3723" s="113" t="n"/>
      <c r="O3723" s="113" t="n"/>
      <c r="P3723" s="113" t="n"/>
      <c r="Q3723" s="113" t="n"/>
      <c r="R3723" s="113" t="n"/>
      <c r="S3723" s="113" t="n"/>
      <c r="T3723" s="113" t="n"/>
      <c r="U3723" s="113" t="n"/>
      <c r="V3723" s="113" t="n"/>
      <c r="W3723" s="113" t="n"/>
      <c r="X3723" s="113" t="n"/>
      <c r="Y3723" s="113" t="n"/>
      <c r="Z3723" s="117">
        <f>IF($B3723="",0,IF($S3723="EVET",IF($D3723="GELİR",$O3723,-$O3723),0))</f>
        <v/>
      </c>
      <c r="AA3723" s="117">
        <f>IF($B3723="",0,IF(OR($W3723="EVET",$X3723="EVET",$Y3723="EVET"),0,IF($D3723="GELİR",IF($E3723="SATIŞ İADESİ/İSKONTO",-$O3723,$O3723),-$O3723)))</f>
        <v/>
      </c>
      <c r="AB3723" s="117">
        <f>IF($B3723="","",IF(OR($D3723="",$E3723="",$O3723=""),"EKSİK",IF($O3723&lt;=0,"SIFIR/NEGATİF",IF(COUNTIFS($C$6:$C$5000,$C3723,$O$6:$O$5000,$O3723,$B$6:$B$5000,$B3723)&gt;1,"MÜKERRER","OK"))))</f>
        <v/>
      </c>
    </row>
    <row r="3724" ht="16.5" customHeight="1" s="80">
      <c r="A3724" s="113" t="n"/>
      <c r="B3724" s="113" t="n"/>
      <c r="C3724" s="113" t="n"/>
      <c r="D3724" s="113" t="n"/>
      <c r="E3724" s="113" t="n"/>
      <c r="F3724" s="113" t="n"/>
      <c r="G3724" s="113" t="n"/>
      <c r="H3724" s="113" t="n"/>
      <c r="I3724" s="113" t="n"/>
      <c r="J3724" s="113" t="n"/>
      <c r="K3724" s="113" t="n"/>
      <c r="L3724" s="113" t="n"/>
      <c r="M3724" s="113" t="n"/>
      <c r="N3724" s="113" t="n"/>
      <c r="O3724" s="113" t="n"/>
      <c r="P3724" s="113" t="n"/>
      <c r="Q3724" s="113" t="n"/>
      <c r="R3724" s="113" t="n"/>
      <c r="S3724" s="113" t="n"/>
      <c r="T3724" s="113" t="n"/>
      <c r="U3724" s="113" t="n"/>
      <c r="V3724" s="113" t="n"/>
      <c r="W3724" s="113" t="n"/>
      <c r="X3724" s="113" t="n"/>
      <c r="Y3724" s="113" t="n"/>
      <c r="Z3724" s="117">
        <f>IF($B3724="",0,IF($S3724="EVET",IF($D3724="GELİR",$O3724,-$O3724),0))</f>
        <v/>
      </c>
      <c r="AA3724" s="117">
        <f>IF($B3724="",0,IF(OR($W3724="EVET",$X3724="EVET",$Y3724="EVET"),0,IF($D3724="GELİR",IF($E3724="SATIŞ İADESİ/İSKONTO",-$O3724,$O3724),-$O3724)))</f>
        <v/>
      </c>
      <c r="AB3724" s="117">
        <f>IF($B3724="","",IF(OR($D3724="",$E3724="",$O3724=""),"EKSİK",IF($O3724&lt;=0,"SIFIR/NEGATİF",IF(COUNTIFS($C$6:$C$5000,$C3724,$O$6:$O$5000,$O3724,$B$6:$B$5000,$B3724)&gt;1,"MÜKERRER","OK"))))</f>
        <v/>
      </c>
    </row>
    <row r="3725" ht="16.5" customHeight="1" s="80">
      <c r="A3725" s="113" t="n"/>
      <c r="B3725" s="113" t="n"/>
      <c r="C3725" s="113" t="n"/>
      <c r="D3725" s="113" t="n"/>
      <c r="E3725" s="113" t="n"/>
      <c r="F3725" s="113" t="n"/>
      <c r="G3725" s="113" t="n"/>
      <c r="H3725" s="113" t="n"/>
      <c r="I3725" s="113" t="n"/>
      <c r="J3725" s="113" t="n"/>
      <c r="K3725" s="113" t="n"/>
      <c r="L3725" s="113" t="n"/>
      <c r="M3725" s="113" t="n"/>
      <c r="N3725" s="113" t="n"/>
      <c r="O3725" s="113" t="n"/>
      <c r="P3725" s="113" t="n"/>
      <c r="Q3725" s="113" t="n"/>
      <c r="R3725" s="113" t="n"/>
      <c r="S3725" s="113" t="n"/>
      <c r="T3725" s="113" t="n"/>
      <c r="U3725" s="113" t="n"/>
      <c r="V3725" s="113" t="n"/>
      <c r="W3725" s="113" t="n"/>
      <c r="X3725" s="113" t="n"/>
      <c r="Y3725" s="113" t="n"/>
      <c r="Z3725" s="117">
        <f>IF($B3725="",0,IF($S3725="EVET",IF($D3725="GELİR",$O3725,-$O3725),0))</f>
        <v/>
      </c>
      <c r="AA3725" s="117">
        <f>IF($B3725="",0,IF(OR($W3725="EVET",$X3725="EVET",$Y3725="EVET"),0,IF($D3725="GELİR",IF($E3725="SATIŞ İADESİ/İSKONTO",-$O3725,$O3725),-$O3725)))</f>
        <v/>
      </c>
      <c r="AB3725" s="117">
        <f>IF($B3725="","",IF(OR($D3725="",$E3725="",$O3725=""),"EKSİK",IF($O3725&lt;=0,"SIFIR/NEGATİF",IF(COUNTIFS($C$6:$C$5000,$C3725,$O$6:$O$5000,$O3725,$B$6:$B$5000,$B3725)&gt;1,"MÜKERRER","OK"))))</f>
        <v/>
      </c>
    </row>
    <row r="3726" ht="16.5" customHeight="1" s="80">
      <c r="A3726" s="113" t="n"/>
      <c r="B3726" s="113" t="n"/>
      <c r="C3726" s="113" t="n"/>
      <c r="D3726" s="113" t="n"/>
      <c r="E3726" s="113" t="n"/>
      <c r="F3726" s="113" t="n"/>
      <c r="G3726" s="113" t="n"/>
      <c r="H3726" s="113" t="n"/>
      <c r="I3726" s="113" t="n"/>
      <c r="J3726" s="113" t="n"/>
      <c r="K3726" s="113" t="n"/>
      <c r="L3726" s="113" t="n"/>
      <c r="M3726" s="113" t="n"/>
      <c r="N3726" s="113" t="n"/>
      <c r="O3726" s="113" t="n"/>
      <c r="P3726" s="113" t="n"/>
      <c r="Q3726" s="113" t="n"/>
      <c r="R3726" s="113" t="n"/>
      <c r="S3726" s="113" t="n"/>
      <c r="T3726" s="113" t="n"/>
      <c r="U3726" s="113" t="n"/>
      <c r="V3726" s="113" t="n"/>
      <c r="W3726" s="113" t="n"/>
      <c r="X3726" s="113" t="n"/>
      <c r="Y3726" s="113" t="n"/>
      <c r="Z3726" s="117">
        <f>IF($B3726="",0,IF($S3726="EVET",IF($D3726="GELİR",$O3726,-$O3726),0))</f>
        <v/>
      </c>
      <c r="AA3726" s="117">
        <f>IF($B3726="",0,IF(OR($W3726="EVET",$X3726="EVET",$Y3726="EVET"),0,IF($D3726="GELİR",IF($E3726="SATIŞ İADESİ/İSKONTO",-$O3726,$O3726),-$O3726)))</f>
        <v/>
      </c>
      <c r="AB3726" s="117">
        <f>IF($B3726="","",IF(OR($D3726="",$E3726="",$O3726=""),"EKSİK",IF($O3726&lt;=0,"SIFIR/NEGATİF",IF(COUNTIFS($C$6:$C$5000,$C3726,$O$6:$O$5000,$O3726,$B$6:$B$5000,$B3726)&gt;1,"MÜKERRER","OK"))))</f>
        <v/>
      </c>
    </row>
    <row r="3727" ht="16.5" customHeight="1" s="80">
      <c r="A3727" s="113" t="n"/>
      <c r="B3727" s="113" t="n"/>
      <c r="C3727" s="113" t="n"/>
      <c r="D3727" s="113" t="n"/>
      <c r="E3727" s="113" t="n"/>
      <c r="F3727" s="113" t="n"/>
      <c r="G3727" s="113" t="n"/>
      <c r="H3727" s="113" t="n"/>
      <c r="I3727" s="113" t="n"/>
      <c r="J3727" s="113" t="n"/>
      <c r="K3727" s="113" t="n"/>
      <c r="L3727" s="113" t="n"/>
      <c r="M3727" s="113" t="n"/>
      <c r="N3727" s="113" t="n"/>
      <c r="O3727" s="113" t="n"/>
      <c r="P3727" s="113" t="n"/>
      <c r="Q3727" s="113" t="n"/>
      <c r="R3727" s="113" t="n"/>
      <c r="S3727" s="113" t="n"/>
      <c r="T3727" s="113" t="n"/>
      <c r="U3727" s="113" t="n"/>
      <c r="V3727" s="113" t="n"/>
      <c r="W3727" s="113" t="n"/>
      <c r="X3727" s="113" t="n"/>
      <c r="Y3727" s="113" t="n"/>
      <c r="Z3727" s="117">
        <f>IF($B3727="",0,IF($S3727="EVET",IF($D3727="GELİR",$O3727,-$O3727),0))</f>
        <v/>
      </c>
      <c r="AA3727" s="117">
        <f>IF($B3727="",0,IF(OR($W3727="EVET",$X3727="EVET",$Y3727="EVET"),0,IF($D3727="GELİR",IF($E3727="SATIŞ İADESİ/İSKONTO",-$O3727,$O3727),-$O3727)))</f>
        <v/>
      </c>
      <c r="AB3727" s="117">
        <f>IF($B3727="","",IF(OR($D3727="",$E3727="",$O3727=""),"EKSİK",IF($O3727&lt;=0,"SIFIR/NEGATİF",IF(COUNTIFS($C$6:$C$5000,$C3727,$O$6:$O$5000,$O3727,$B$6:$B$5000,$B3727)&gt;1,"MÜKERRER","OK"))))</f>
        <v/>
      </c>
    </row>
    <row r="3728" ht="16.5" customHeight="1" s="80">
      <c r="A3728" s="113" t="n"/>
      <c r="B3728" s="113" t="n"/>
      <c r="C3728" s="113" t="n"/>
      <c r="D3728" s="113" t="n"/>
      <c r="E3728" s="113" t="n"/>
      <c r="F3728" s="113" t="n"/>
      <c r="G3728" s="113" t="n"/>
      <c r="H3728" s="113" t="n"/>
      <c r="I3728" s="113" t="n"/>
      <c r="J3728" s="113" t="n"/>
      <c r="K3728" s="113" t="n"/>
      <c r="L3728" s="113" t="n"/>
      <c r="M3728" s="113" t="n"/>
      <c r="N3728" s="113" t="n"/>
      <c r="O3728" s="113" t="n"/>
      <c r="P3728" s="113" t="n"/>
      <c r="Q3728" s="113" t="n"/>
      <c r="R3728" s="113" t="n"/>
      <c r="S3728" s="113" t="n"/>
      <c r="T3728" s="113" t="n"/>
      <c r="U3728" s="113" t="n"/>
      <c r="V3728" s="113" t="n"/>
      <c r="W3728" s="113" t="n"/>
      <c r="X3728" s="113" t="n"/>
      <c r="Y3728" s="113" t="n"/>
      <c r="Z3728" s="117">
        <f>IF($B3728="",0,IF($S3728="EVET",IF($D3728="GELİR",$O3728,-$O3728),0))</f>
        <v/>
      </c>
      <c r="AA3728" s="117">
        <f>IF($B3728="",0,IF(OR($W3728="EVET",$X3728="EVET",$Y3728="EVET"),0,IF($D3728="GELİR",IF($E3728="SATIŞ İADESİ/İSKONTO",-$O3728,$O3728),-$O3728)))</f>
        <v/>
      </c>
      <c r="AB3728" s="117">
        <f>IF($B3728="","",IF(OR($D3728="",$E3728="",$O3728=""),"EKSİK",IF($O3728&lt;=0,"SIFIR/NEGATİF",IF(COUNTIFS($C$6:$C$5000,$C3728,$O$6:$O$5000,$O3728,$B$6:$B$5000,$B3728)&gt;1,"MÜKERRER","OK"))))</f>
        <v/>
      </c>
    </row>
    <row r="3729" ht="16.5" customHeight="1" s="80">
      <c r="A3729" s="113" t="n"/>
      <c r="B3729" s="113" t="n"/>
      <c r="C3729" s="113" t="n"/>
      <c r="D3729" s="113" t="n"/>
      <c r="E3729" s="113" t="n"/>
      <c r="F3729" s="113" t="n"/>
      <c r="G3729" s="113" t="n"/>
      <c r="H3729" s="113" t="n"/>
      <c r="I3729" s="113" t="n"/>
      <c r="J3729" s="113" t="n"/>
      <c r="K3729" s="113" t="n"/>
      <c r="L3729" s="113" t="n"/>
      <c r="M3729" s="113" t="n"/>
      <c r="N3729" s="113" t="n"/>
      <c r="O3729" s="113" t="n"/>
      <c r="P3729" s="113" t="n"/>
      <c r="Q3729" s="113" t="n"/>
      <c r="R3729" s="113" t="n"/>
      <c r="S3729" s="113" t="n"/>
      <c r="T3729" s="113" t="n"/>
      <c r="U3729" s="113" t="n"/>
      <c r="V3729" s="113" t="n"/>
      <c r="W3729" s="113" t="n"/>
      <c r="X3729" s="113" t="n"/>
      <c r="Y3729" s="113" t="n"/>
      <c r="Z3729" s="117">
        <f>IF($B3729="",0,IF($S3729="EVET",IF($D3729="GELİR",$O3729,-$O3729),0))</f>
        <v/>
      </c>
      <c r="AA3729" s="117">
        <f>IF($B3729="",0,IF(OR($W3729="EVET",$X3729="EVET",$Y3729="EVET"),0,IF($D3729="GELİR",IF($E3729="SATIŞ İADESİ/İSKONTO",-$O3729,$O3729),-$O3729)))</f>
        <v/>
      </c>
      <c r="AB3729" s="117">
        <f>IF($B3729="","",IF(OR($D3729="",$E3729="",$O3729=""),"EKSİK",IF($O3729&lt;=0,"SIFIR/NEGATİF",IF(COUNTIFS($C$6:$C$5000,$C3729,$O$6:$O$5000,$O3729,$B$6:$B$5000,$B3729)&gt;1,"MÜKERRER","OK"))))</f>
        <v/>
      </c>
    </row>
    <row r="3730" ht="16.5" customHeight="1" s="80">
      <c r="A3730" s="113" t="n"/>
      <c r="B3730" s="113" t="n"/>
      <c r="C3730" s="113" t="n"/>
      <c r="D3730" s="113" t="n"/>
      <c r="E3730" s="113" t="n"/>
      <c r="F3730" s="113" t="n"/>
      <c r="G3730" s="113" t="n"/>
      <c r="H3730" s="113" t="n"/>
      <c r="I3730" s="113" t="n"/>
      <c r="J3730" s="113" t="n"/>
      <c r="K3730" s="113" t="n"/>
      <c r="L3730" s="113" t="n"/>
      <c r="M3730" s="113" t="n"/>
      <c r="N3730" s="113" t="n"/>
      <c r="O3730" s="113" t="n"/>
      <c r="P3730" s="113" t="n"/>
      <c r="Q3730" s="113" t="n"/>
      <c r="R3730" s="113" t="n"/>
      <c r="S3730" s="113" t="n"/>
      <c r="T3730" s="113" t="n"/>
      <c r="U3730" s="113" t="n"/>
      <c r="V3730" s="113" t="n"/>
      <c r="W3730" s="113" t="n"/>
      <c r="X3730" s="113" t="n"/>
      <c r="Y3730" s="113" t="n"/>
      <c r="Z3730" s="117">
        <f>IF($B3730="",0,IF($S3730="EVET",IF($D3730="GELİR",$O3730,-$O3730),0))</f>
        <v/>
      </c>
      <c r="AA3730" s="117">
        <f>IF($B3730="",0,IF(OR($W3730="EVET",$X3730="EVET",$Y3730="EVET"),0,IF($D3730="GELİR",IF($E3730="SATIŞ İADESİ/İSKONTO",-$O3730,$O3730),-$O3730)))</f>
        <v/>
      </c>
      <c r="AB3730" s="117">
        <f>IF($B3730="","",IF(OR($D3730="",$E3730="",$O3730=""),"EKSİK",IF($O3730&lt;=0,"SIFIR/NEGATİF",IF(COUNTIFS($C$6:$C$5000,$C3730,$O$6:$O$5000,$O3730,$B$6:$B$5000,$B3730)&gt;1,"MÜKERRER","OK"))))</f>
        <v/>
      </c>
    </row>
    <row r="3731" ht="16.5" customHeight="1" s="80">
      <c r="A3731" s="113" t="n"/>
      <c r="B3731" s="113" t="n"/>
      <c r="C3731" s="113" t="n"/>
      <c r="D3731" s="113" t="n"/>
      <c r="E3731" s="113" t="n"/>
      <c r="F3731" s="113" t="n"/>
      <c r="G3731" s="113" t="n"/>
      <c r="H3731" s="113" t="n"/>
      <c r="I3731" s="113" t="n"/>
      <c r="J3731" s="113" t="n"/>
      <c r="K3731" s="113" t="n"/>
      <c r="L3731" s="113" t="n"/>
      <c r="M3731" s="113" t="n"/>
      <c r="N3731" s="113" t="n"/>
      <c r="O3731" s="113" t="n"/>
      <c r="P3731" s="113" t="n"/>
      <c r="Q3731" s="113" t="n"/>
      <c r="R3731" s="113" t="n"/>
      <c r="S3731" s="113" t="n"/>
      <c r="T3731" s="113" t="n"/>
      <c r="U3731" s="113" t="n"/>
      <c r="V3731" s="113" t="n"/>
      <c r="W3731" s="113" t="n"/>
      <c r="X3731" s="113" t="n"/>
      <c r="Y3731" s="113" t="n"/>
      <c r="Z3731" s="117">
        <f>IF($B3731="",0,IF($S3731="EVET",IF($D3731="GELİR",$O3731,-$O3731),0))</f>
        <v/>
      </c>
      <c r="AA3731" s="117">
        <f>IF($B3731="",0,IF(OR($W3731="EVET",$X3731="EVET",$Y3731="EVET"),0,IF($D3731="GELİR",IF($E3731="SATIŞ İADESİ/İSKONTO",-$O3731,$O3731),-$O3731)))</f>
        <v/>
      </c>
      <c r="AB3731" s="117">
        <f>IF($B3731="","",IF(OR($D3731="",$E3731="",$O3731=""),"EKSİK",IF($O3731&lt;=0,"SIFIR/NEGATİF",IF(COUNTIFS($C$6:$C$5000,$C3731,$O$6:$O$5000,$O3731,$B$6:$B$5000,$B3731)&gt;1,"MÜKERRER","OK"))))</f>
        <v/>
      </c>
    </row>
    <row r="3732" ht="16.5" customHeight="1" s="80">
      <c r="A3732" s="113" t="n"/>
      <c r="B3732" s="113" t="n"/>
      <c r="C3732" s="113" t="n"/>
      <c r="D3732" s="113" t="n"/>
      <c r="E3732" s="113" t="n"/>
      <c r="F3732" s="113" t="n"/>
      <c r="G3732" s="113" t="n"/>
      <c r="H3732" s="113" t="n"/>
      <c r="I3732" s="113" t="n"/>
      <c r="J3732" s="113" t="n"/>
      <c r="K3732" s="113" t="n"/>
      <c r="L3732" s="113" t="n"/>
      <c r="M3732" s="113" t="n"/>
      <c r="N3732" s="113" t="n"/>
      <c r="O3732" s="113" t="n"/>
      <c r="P3732" s="113" t="n"/>
      <c r="Q3732" s="113" t="n"/>
      <c r="R3732" s="113" t="n"/>
      <c r="S3732" s="113" t="n"/>
      <c r="T3732" s="113" t="n"/>
      <c r="U3732" s="113" t="n"/>
      <c r="V3732" s="113" t="n"/>
      <c r="W3732" s="113" t="n"/>
      <c r="X3732" s="113" t="n"/>
      <c r="Y3732" s="113" t="n"/>
      <c r="Z3732" s="117">
        <f>IF($B3732="",0,IF($S3732="EVET",IF($D3732="GELİR",$O3732,-$O3732),0))</f>
        <v/>
      </c>
      <c r="AA3732" s="117">
        <f>IF($B3732="",0,IF(OR($W3732="EVET",$X3732="EVET",$Y3732="EVET"),0,IF($D3732="GELİR",IF($E3732="SATIŞ İADESİ/İSKONTO",-$O3732,$O3732),-$O3732)))</f>
        <v/>
      </c>
      <c r="AB3732" s="117">
        <f>IF($B3732="","",IF(OR($D3732="",$E3732="",$O3732=""),"EKSİK",IF($O3732&lt;=0,"SIFIR/NEGATİF",IF(COUNTIFS($C$6:$C$5000,$C3732,$O$6:$O$5000,$O3732,$B$6:$B$5000,$B3732)&gt;1,"MÜKERRER","OK"))))</f>
        <v/>
      </c>
    </row>
    <row r="3733" ht="16.5" customHeight="1" s="80">
      <c r="A3733" s="113" t="n"/>
      <c r="B3733" s="113" t="n"/>
      <c r="C3733" s="113" t="n"/>
      <c r="D3733" s="113" t="n"/>
      <c r="E3733" s="113" t="n"/>
      <c r="F3733" s="113" t="n"/>
      <c r="G3733" s="113" t="n"/>
      <c r="H3733" s="113" t="n"/>
      <c r="I3733" s="113" t="n"/>
      <c r="J3733" s="113" t="n"/>
      <c r="K3733" s="113" t="n"/>
      <c r="L3733" s="113" t="n"/>
      <c r="M3733" s="113" t="n"/>
      <c r="N3733" s="113" t="n"/>
      <c r="O3733" s="113" t="n"/>
      <c r="P3733" s="113" t="n"/>
      <c r="Q3733" s="113" t="n"/>
      <c r="R3733" s="113" t="n"/>
      <c r="S3733" s="113" t="n"/>
      <c r="T3733" s="113" t="n"/>
      <c r="U3733" s="113" t="n"/>
      <c r="V3733" s="113" t="n"/>
      <c r="W3733" s="113" t="n"/>
      <c r="X3733" s="113" t="n"/>
      <c r="Y3733" s="113" t="n"/>
      <c r="Z3733" s="117">
        <f>IF($B3733="",0,IF($S3733="EVET",IF($D3733="GELİR",$O3733,-$O3733),0))</f>
        <v/>
      </c>
      <c r="AA3733" s="117">
        <f>IF($B3733="",0,IF(OR($W3733="EVET",$X3733="EVET",$Y3733="EVET"),0,IF($D3733="GELİR",IF($E3733="SATIŞ İADESİ/İSKONTO",-$O3733,$O3733),-$O3733)))</f>
        <v/>
      </c>
      <c r="AB3733" s="117">
        <f>IF($B3733="","",IF(OR($D3733="",$E3733="",$O3733=""),"EKSİK",IF($O3733&lt;=0,"SIFIR/NEGATİF",IF(COUNTIFS($C$6:$C$5000,$C3733,$O$6:$O$5000,$O3733,$B$6:$B$5000,$B3733)&gt;1,"MÜKERRER","OK"))))</f>
        <v/>
      </c>
    </row>
    <row r="3734" ht="16.5" customHeight="1" s="80">
      <c r="A3734" s="113" t="n"/>
      <c r="B3734" s="113" t="n"/>
      <c r="C3734" s="113" t="n"/>
      <c r="D3734" s="113" t="n"/>
      <c r="E3734" s="113" t="n"/>
      <c r="F3734" s="113" t="n"/>
      <c r="G3734" s="113" t="n"/>
      <c r="H3734" s="113" t="n"/>
      <c r="I3734" s="113" t="n"/>
      <c r="J3734" s="113" t="n"/>
      <c r="K3734" s="113" t="n"/>
      <c r="L3734" s="113" t="n"/>
      <c r="M3734" s="113" t="n"/>
      <c r="N3734" s="113" t="n"/>
      <c r="O3734" s="113" t="n"/>
      <c r="P3734" s="113" t="n"/>
      <c r="Q3734" s="113" t="n"/>
      <c r="R3734" s="113" t="n"/>
      <c r="S3734" s="113" t="n"/>
      <c r="T3734" s="113" t="n"/>
      <c r="U3734" s="113" t="n"/>
      <c r="V3734" s="113" t="n"/>
      <c r="W3734" s="113" t="n"/>
      <c r="X3734" s="113" t="n"/>
      <c r="Y3734" s="113" t="n"/>
      <c r="Z3734" s="117">
        <f>IF($B3734="",0,IF($S3734="EVET",IF($D3734="GELİR",$O3734,-$O3734),0))</f>
        <v/>
      </c>
      <c r="AA3734" s="117">
        <f>IF($B3734="",0,IF(OR($W3734="EVET",$X3734="EVET",$Y3734="EVET"),0,IF($D3734="GELİR",IF($E3734="SATIŞ İADESİ/İSKONTO",-$O3734,$O3734),-$O3734)))</f>
        <v/>
      </c>
      <c r="AB3734" s="117">
        <f>IF($B3734="","",IF(OR($D3734="",$E3734="",$O3734=""),"EKSİK",IF($O3734&lt;=0,"SIFIR/NEGATİF",IF(COUNTIFS($C$6:$C$5000,$C3734,$O$6:$O$5000,$O3734,$B$6:$B$5000,$B3734)&gt;1,"MÜKERRER","OK"))))</f>
        <v/>
      </c>
    </row>
    <row r="3735" ht="16.5" customHeight="1" s="80">
      <c r="A3735" s="113" t="n"/>
      <c r="B3735" s="113" t="n"/>
      <c r="C3735" s="113" t="n"/>
      <c r="D3735" s="113" t="n"/>
      <c r="E3735" s="113" t="n"/>
      <c r="F3735" s="113" t="n"/>
      <c r="G3735" s="113" t="n"/>
      <c r="H3735" s="113" t="n"/>
      <c r="I3735" s="113" t="n"/>
      <c r="J3735" s="113" t="n"/>
      <c r="K3735" s="113" t="n"/>
      <c r="L3735" s="113" t="n"/>
      <c r="M3735" s="113" t="n"/>
      <c r="N3735" s="113" t="n"/>
      <c r="O3735" s="113" t="n"/>
      <c r="P3735" s="113" t="n"/>
      <c r="Q3735" s="113" t="n"/>
      <c r="R3735" s="113" t="n"/>
      <c r="S3735" s="113" t="n"/>
      <c r="T3735" s="113" t="n"/>
      <c r="U3735" s="113" t="n"/>
      <c r="V3735" s="113" t="n"/>
      <c r="W3735" s="113" t="n"/>
      <c r="X3735" s="113" t="n"/>
      <c r="Y3735" s="113" t="n"/>
      <c r="Z3735" s="117">
        <f>IF($B3735="",0,IF($S3735="EVET",IF($D3735="GELİR",$O3735,-$O3735),0))</f>
        <v/>
      </c>
      <c r="AA3735" s="117">
        <f>IF($B3735="",0,IF(OR($W3735="EVET",$X3735="EVET",$Y3735="EVET"),0,IF($D3735="GELİR",IF($E3735="SATIŞ İADESİ/İSKONTO",-$O3735,$O3735),-$O3735)))</f>
        <v/>
      </c>
      <c r="AB3735" s="117">
        <f>IF($B3735="","",IF(OR($D3735="",$E3735="",$O3735=""),"EKSİK",IF($O3735&lt;=0,"SIFIR/NEGATİF",IF(COUNTIFS($C$6:$C$5000,$C3735,$O$6:$O$5000,$O3735,$B$6:$B$5000,$B3735)&gt;1,"MÜKERRER","OK"))))</f>
        <v/>
      </c>
    </row>
    <row r="3736" ht="16.5" customHeight="1" s="80">
      <c r="A3736" s="113" t="n"/>
      <c r="B3736" s="113" t="n"/>
      <c r="C3736" s="113" t="n"/>
      <c r="D3736" s="113" t="n"/>
      <c r="E3736" s="113" t="n"/>
      <c r="F3736" s="113" t="n"/>
      <c r="G3736" s="113" t="n"/>
      <c r="H3736" s="113" t="n"/>
      <c r="I3736" s="113" t="n"/>
      <c r="J3736" s="113" t="n"/>
      <c r="K3736" s="113" t="n"/>
      <c r="L3736" s="113" t="n"/>
      <c r="M3736" s="113" t="n"/>
      <c r="N3736" s="113" t="n"/>
      <c r="O3736" s="113" t="n"/>
      <c r="P3736" s="113" t="n"/>
      <c r="Q3736" s="113" t="n"/>
      <c r="R3736" s="113" t="n"/>
      <c r="S3736" s="113" t="n"/>
      <c r="T3736" s="113" t="n"/>
      <c r="U3736" s="113" t="n"/>
      <c r="V3736" s="113" t="n"/>
      <c r="W3736" s="113" t="n"/>
      <c r="X3736" s="113" t="n"/>
      <c r="Y3736" s="113" t="n"/>
      <c r="Z3736" s="117">
        <f>IF($B3736="",0,IF($S3736="EVET",IF($D3736="GELİR",$O3736,-$O3736),0))</f>
        <v/>
      </c>
      <c r="AA3736" s="117">
        <f>IF($B3736="",0,IF(OR($W3736="EVET",$X3736="EVET",$Y3736="EVET"),0,IF($D3736="GELİR",IF($E3736="SATIŞ İADESİ/İSKONTO",-$O3736,$O3736),-$O3736)))</f>
        <v/>
      </c>
      <c r="AB3736" s="117">
        <f>IF($B3736="","",IF(OR($D3736="",$E3736="",$O3736=""),"EKSİK",IF($O3736&lt;=0,"SIFIR/NEGATİF",IF(COUNTIFS($C$6:$C$5000,$C3736,$O$6:$O$5000,$O3736,$B$6:$B$5000,$B3736)&gt;1,"MÜKERRER","OK"))))</f>
        <v/>
      </c>
    </row>
    <row r="3737" ht="16.5" customHeight="1" s="80">
      <c r="A3737" s="113" t="n"/>
      <c r="B3737" s="113" t="n"/>
      <c r="C3737" s="113" t="n"/>
      <c r="D3737" s="113" t="n"/>
      <c r="E3737" s="113" t="n"/>
      <c r="F3737" s="113" t="n"/>
      <c r="G3737" s="113" t="n"/>
      <c r="H3737" s="113" t="n"/>
      <c r="I3737" s="113" t="n"/>
      <c r="J3737" s="113" t="n"/>
      <c r="K3737" s="113" t="n"/>
      <c r="L3737" s="113" t="n"/>
      <c r="M3737" s="113" t="n"/>
      <c r="N3737" s="113" t="n"/>
      <c r="O3737" s="113" t="n"/>
      <c r="P3737" s="113" t="n"/>
      <c r="Q3737" s="113" t="n"/>
      <c r="R3737" s="113" t="n"/>
      <c r="S3737" s="113" t="n"/>
      <c r="T3737" s="113" t="n"/>
      <c r="U3737" s="113" t="n"/>
      <c r="V3737" s="113" t="n"/>
      <c r="W3737" s="113" t="n"/>
      <c r="X3737" s="113" t="n"/>
      <c r="Y3737" s="113" t="n"/>
      <c r="Z3737" s="117">
        <f>IF($B3737="",0,IF($S3737="EVET",IF($D3737="GELİR",$O3737,-$O3737),0))</f>
        <v/>
      </c>
      <c r="AA3737" s="117">
        <f>IF($B3737="",0,IF(OR($W3737="EVET",$X3737="EVET",$Y3737="EVET"),0,IF($D3737="GELİR",IF($E3737="SATIŞ İADESİ/İSKONTO",-$O3737,$O3737),-$O3737)))</f>
        <v/>
      </c>
      <c r="AB3737" s="117">
        <f>IF($B3737="","",IF(OR($D3737="",$E3737="",$O3737=""),"EKSİK",IF($O3737&lt;=0,"SIFIR/NEGATİF",IF(COUNTIFS($C$6:$C$5000,$C3737,$O$6:$O$5000,$O3737,$B$6:$B$5000,$B3737)&gt;1,"MÜKERRER","OK"))))</f>
        <v/>
      </c>
    </row>
    <row r="3738" ht="16.5" customHeight="1" s="80">
      <c r="A3738" s="113" t="n"/>
      <c r="B3738" s="113" t="n"/>
      <c r="C3738" s="113" t="n"/>
      <c r="D3738" s="113" t="n"/>
      <c r="E3738" s="113" t="n"/>
      <c r="F3738" s="113" t="n"/>
      <c r="G3738" s="113" t="n"/>
      <c r="H3738" s="113" t="n"/>
      <c r="I3738" s="113" t="n"/>
      <c r="J3738" s="113" t="n"/>
      <c r="K3738" s="113" t="n"/>
      <c r="L3738" s="113" t="n"/>
      <c r="M3738" s="113" t="n"/>
      <c r="N3738" s="113" t="n"/>
      <c r="O3738" s="113" t="n"/>
      <c r="P3738" s="113" t="n"/>
      <c r="Q3738" s="113" t="n"/>
      <c r="R3738" s="113" t="n"/>
      <c r="S3738" s="113" t="n"/>
      <c r="T3738" s="113" t="n"/>
      <c r="U3738" s="113" t="n"/>
      <c r="V3738" s="113" t="n"/>
      <c r="W3738" s="113" t="n"/>
      <c r="X3738" s="113" t="n"/>
      <c r="Y3738" s="113" t="n"/>
      <c r="Z3738" s="117">
        <f>IF($B3738="",0,IF($S3738="EVET",IF($D3738="GELİR",$O3738,-$O3738),0))</f>
        <v/>
      </c>
      <c r="AA3738" s="117">
        <f>IF($B3738="",0,IF(OR($W3738="EVET",$X3738="EVET",$Y3738="EVET"),0,IF($D3738="GELİR",IF($E3738="SATIŞ İADESİ/İSKONTO",-$O3738,$O3738),-$O3738)))</f>
        <v/>
      </c>
      <c r="AB3738" s="117">
        <f>IF($B3738="","",IF(OR($D3738="",$E3738="",$O3738=""),"EKSİK",IF($O3738&lt;=0,"SIFIR/NEGATİF",IF(COUNTIFS($C$6:$C$5000,$C3738,$O$6:$O$5000,$O3738,$B$6:$B$5000,$B3738)&gt;1,"MÜKERRER","OK"))))</f>
        <v/>
      </c>
    </row>
    <row r="3739" ht="16.5" customHeight="1" s="80">
      <c r="A3739" s="113" t="n"/>
      <c r="B3739" s="113" t="n"/>
      <c r="C3739" s="113" t="n"/>
      <c r="D3739" s="113" t="n"/>
      <c r="E3739" s="113" t="n"/>
      <c r="F3739" s="113" t="n"/>
      <c r="G3739" s="113" t="n"/>
      <c r="H3739" s="113" t="n"/>
      <c r="I3739" s="113" t="n"/>
      <c r="J3739" s="113" t="n"/>
      <c r="K3739" s="113" t="n"/>
      <c r="L3739" s="113" t="n"/>
      <c r="M3739" s="113" t="n"/>
      <c r="N3739" s="113" t="n"/>
      <c r="O3739" s="113" t="n"/>
      <c r="P3739" s="113" t="n"/>
      <c r="Q3739" s="113" t="n"/>
      <c r="R3739" s="113" t="n"/>
      <c r="S3739" s="113" t="n"/>
      <c r="T3739" s="113" t="n"/>
      <c r="U3739" s="113" t="n"/>
      <c r="V3739" s="113" t="n"/>
      <c r="W3739" s="113" t="n"/>
      <c r="X3739" s="113" t="n"/>
      <c r="Y3739" s="113" t="n"/>
      <c r="Z3739" s="117">
        <f>IF($B3739="",0,IF($S3739="EVET",IF($D3739="GELİR",$O3739,-$O3739),0))</f>
        <v/>
      </c>
      <c r="AA3739" s="117">
        <f>IF($B3739="",0,IF(OR($W3739="EVET",$X3739="EVET",$Y3739="EVET"),0,IF($D3739="GELİR",IF($E3739="SATIŞ İADESİ/İSKONTO",-$O3739,$O3739),-$O3739)))</f>
        <v/>
      </c>
      <c r="AB3739" s="117">
        <f>IF($B3739="","",IF(OR($D3739="",$E3739="",$O3739=""),"EKSİK",IF($O3739&lt;=0,"SIFIR/NEGATİF",IF(COUNTIFS($C$6:$C$5000,$C3739,$O$6:$O$5000,$O3739,$B$6:$B$5000,$B3739)&gt;1,"MÜKERRER","OK"))))</f>
        <v/>
      </c>
    </row>
    <row r="3740" ht="16.5" customHeight="1" s="80">
      <c r="A3740" s="113" t="n"/>
      <c r="B3740" s="113" t="n"/>
      <c r="C3740" s="113" t="n"/>
      <c r="D3740" s="113" t="n"/>
      <c r="E3740" s="113" t="n"/>
      <c r="F3740" s="113" t="n"/>
      <c r="G3740" s="113" t="n"/>
      <c r="H3740" s="113" t="n"/>
      <c r="I3740" s="113" t="n"/>
      <c r="J3740" s="113" t="n"/>
      <c r="K3740" s="113" t="n"/>
      <c r="L3740" s="113" t="n"/>
      <c r="M3740" s="113" t="n"/>
      <c r="N3740" s="113" t="n"/>
      <c r="O3740" s="113" t="n"/>
      <c r="P3740" s="113" t="n"/>
      <c r="Q3740" s="113" t="n"/>
      <c r="R3740" s="113" t="n"/>
      <c r="S3740" s="113" t="n"/>
      <c r="T3740" s="113" t="n"/>
      <c r="U3740" s="113" t="n"/>
      <c r="V3740" s="113" t="n"/>
      <c r="W3740" s="113" t="n"/>
      <c r="X3740" s="113" t="n"/>
      <c r="Y3740" s="113" t="n"/>
      <c r="Z3740" s="117">
        <f>IF($B3740="",0,IF($S3740="EVET",IF($D3740="GELİR",$O3740,-$O3740),0))</f>
        <v/>
      </c>
      <c r="AA3740" s="117">
        <f>IF($B3740="",0,IF(OR($W3740="EVET",$X3740="EVET",$Y3740="EVET"),0,IF($D3740="GELİR",IF($E3740="SATIŞ İADESİ/İSKONTO",-$O3740,$O3740),-$O3740)))</f>
        <v/>
      </c>
      <c r="AB3740" s="117">
        <f>IF($B3740="","",IF(OR($D3740="",$E3740="",$O3740=""),"EKSİK",IF($O3740&lt;=0,"SIFIR/NEGATİF",IF(COUNTIFS($C$6:$C$5000,$C3740,$O$6:$O$5000,$O3740,$B$6:$B$5000,$B3740)&gt;1,"MÜKERRER","OK"))))</f>
        <v/>
      </c>
    </row>
    <row r="3741" ht="16.5" customHeight="1" s="80">
      <c r="A3741" s="113" t="n"/>
      <c r="B3741" s="113" t="n"/>
      <c r="C3741" s="113" t="n"/>
      <c r="D3741" s="113" t="n"/>
      <c r="E3741" s="113" t="n"/>
      <c r="F3741" s="113" t="n"/>
      <c r="G3741" s="113" t="n"/>
      <c r="H3741" s="113" t="n"/>
      <c r="I3741" s="113" t="n"/>
      <c r="J3741" s="113" t="n"/>
      <c r="K3741" s="113" t="n"/>
      <c r="L3741" s="113" t="n"/>
      <c r="M3741" s="113" t="n"/>
      <c r="N3741" s="113" t="n"/>
      <c r="O3741" s="113" t="n"/>
      <c r="P3741" s="113" t="n"/>
      <c r="Q3741" s="113" t="n"/>
      <c r="R3741" s="113" t="n"/>
      <c r="S3741" s="113" t="n"/>
      <c r="T3741" s="113" t="n"/>
      <c r="U3741" s="113" t="n"/>
      <c r="V3741" s="113" t="n"/>
      <c r="W3741" s="113" t="n"/>
      <c r="X3741" s="113" t="n"/>
      <c r="Y3741" s="113" t="n"/>
      <c r="Z3741" s="117">
        <f>IF($B3741="",0,IF($S3741="EVET",IF($D3741="GELİR",$O3741,-$O3741),0))</f>
        <v/>
      </c>
      <c r="AA3741" s="117">
        <f>IF($B3741="",0,IF(OR($W3741="EVET",$X3741="EVET",$Y3741="EVET"),0,IF($D3741="GELİR",IF($E3741="SATIŞ İADESİ/İSKONTO",-$O3741,$O3741),-$O3741)))</f>
        <v/>
      </c>
      <c r="AB3741" s="117">
        <f>IF($B3741="","",IF(OR($D3741="",$E3741="",$O3741=""),"EKSİK",IF($O3741&lt;=0,"SIFIR/NEGATİF",IF(COUNTIFS($C$6:$C$5000,$C3741,$O$6:$O$5000,$O3741,$B$6:$B$5000,$B3741)&gt;1,"MÜKERRER","OK"))))</f>
        <v/>
      </c>
    </row>
    <row r="3742" ht="16.5" customHeight="1" s="80">
      <c r="A3742" s="113" t="n"/>
      <c r="B3742" s="113" t="n"/>
      <c r="C3742" s="113" t="n"/>
      <c r="D3742" s="113" t="n"/>
      <c r="E3742" s="113" t="n"/>
      <c r="F3742" s="113" t="n"/>
      <c r="G3742" s="113" t="n"/>
      <c r="H3742" s="113" t="n"/>
      <c r="I3742" s="113" t="n"/>
      <c r="J3742" s="113" t="n"/>
      <c r="K3742" s="113" t="n"/>
      <c r="L3742" s="113" t="n"/>
      <c r="M3742" s="113" t="n"/>
      <c r="N3742" s="113" t="n"/>
      <c r="O3742" s="113" t="n"/>
      <c r="P3742" s="113" t="n"/>
      <c r="Q3742" s="113" t="n"/>
      <c r="R3742" s="113" t="n"/>
      <c r="S3742" s="113" t="n"/>
      <c r="T3742" s="113" t="n"/>
      <c r="U3742" s="113" t="n"/>
      <c r="V3742" s="113" t="n"/>
      <c r="W3742" s="113" t="n"/>
      <c r="X3742" s="113" t="n"/>
      <c r="Y3742" s="113" t="n"/>
      <c r="Z3742" s="117">
        <f>IF($B3742="",0,IF($S3742="EVET",IF($D3742="GELİR",$O3742,-$O3742),0))</f>
        <v/>
      </c>
      <c r="AA3742" s="117">
        <f>IF($B3742="",0,IF(OR($W3742="EVET",$X3742="EVET",$Y3742="EVET"),0,IF($D3742="GELİR",IF($E3742="SATIŞ İADESİ/İSKONTO",-$O3742,$O3742),-$O3742)))</f>
        <v/>
      </c>
      <c r="AB3742" s="117">
        <f>IF($B3742="","",IF(OR($D3742="",$E3742="",$O3742=""),"EKSİK",IF($O3742&lt;=0,"SIFIR/NEGATİF",IF(COUNTIFS($C$6:$C$5000,$C3742,$O$6:$O$5000,$O3742,$B$6:$B$5000,$B3742)&gt;1,"MÜKERRER","OK"))))</f>
        <v/>
      </c>
    </row>
    <row r="3743" ht="16.5" customHeight="1" s="80">
      <c r="A3743" s="113" t="n"/>
      <c r="B3743" s="113" t="n"/>
      <c r="C3743" s="113" t="n"/>
      <c r="D3743" s="113" t="n"/>
      <c r="E3743" s="113" t="n"/>
      <c r="F3743" s="113" t="n"/>
      <c r="G3743" s="113" t="n"/>
      <c r="H3743" s="113" t="n"/>
      <c r="I3743" s="113" t="n"/>
      <c r="J3743" s="113" t="n"/>
      <c r="K3743" s="113" t="n"/>
      <c r="L3743" s="113" t="n"/>
      <c r="M3743" s="113" t="n"/>
      <c r="N3743" s="113" t="n"/>
      <c r="O3743" s="113" t="n"/>
      <c r="P3743" s="113" t="n"/>
      <c r="Q3743" s="113" t="n"/>
      <c r="R3743" s="113" t="n"/>
      <c r="S3743" s="113" t="n"/>
      <c r="T3743" s="113" t="n"/>
      <c r="U3743" s="113" t="n"/>
      <c r="V3743" s="113" t="n"/>
      <c r="W3743" s="113" t="n"/>
      <c r="X3743" s="113" t="n"/>
      <c r="Y3743" s="113" t="n"/>
      <c r="Z3743" s="117">
        <f>IF($B3743="",0,IF($S3743="EVET",IF($D3743="GELİR",$O3743,-$O3743),0))</f>
        <v/>
      </c>
      <c r="AA3743" s="117">
        <f>IF($B3743="",0,IF(OR($W3743="EVET",$X3743="EVET",$Y3743="EVET"),0,IF($D3743="GELİR",IF($E3743="SATIŞ İADESİ/İSKONTO",-$O3743,$O3743),-$O3743)))</f>
        <v/>
      </c>
      <c r="AB3743" s="117">
        <f>IF($B3743="","",IF(OR($D3743="",$E3743="",$O3743=""),"EKSİK",IF($O3743&lt;=0,"SIFIR/NEGATİF",IF(COUNTIFS($C$6:$C$5000,$C3743,$O$6:$O$5000,$O3743,$B$6:$B$5000,$B3743)&gt;1,"MÜKERRER","OK"))))</f>
        <v/>
      </c>
    </row>
    <row r="3744" ht="16.5" customHeight="1" s="80">
      <c r="A3744" s="113" t="n"/>
      <c r="B3744" s="113" t="n"/>
      <c r="C3744" s="113" t="n"/>
      <c r="D3744" s="113" t="n"/>
      <c r="E3744" s="113" t="n"/>
      <c r="F3744" s="113" t="n"/>
      <c r="G3744" s="113" t="n"/>
      <c r="H3744" s="113" t="n"/>
      <c r="I3744" s="113" t="n"/>
      <c r="J3744" s="113" t="n"/>
      <c r="K3744" s="113" t="n"/>
      <c r="L3744" s="113" t="n"/>
      <c r="M3744" s="113" t="n"/>
      <c r="N3744" s="113" t="n"/>
      <c r="O3744" s="113" t="n"/>
      <c r="P3744" s="113" t="n"/>
      <c r="Q3744" s="113" t="n"/>
      <c r="R3744" s="113" t="n"/>
      <c r="S3744" s="113" t="n"/>
      <c r="T3744" s="113" t="n"/>
      <c r="U3744" s="113" t="n"/>
      <c r="V3744" s="113" t="n"/>
      <c r="W3744" s="113" t="n"/>
      <c r="X3744" s="113" t="n"/>
      <c r="Y3744" s="113" t="n"/>
      <c r="Z3744" s="117">
        <f>IF($B3744="",0,IF($S3744="EVET",IF($D3744="GELİR",$O3744,-$O3744),0))</f>
        <v/>
      </c>
      <c r="AA3744" s="117">
        <f>IF($B3744="",0,IF(OR($W3744="EVET",$X3744="EVET",$Y3744="EVET"),0,IF($D3744="GELİR",IF($E3744="SATIŞ İADESİ/İSKONTO",-$O3744,$O3744),-$O3744)))</f>
        <v/>
      </c>
      <c r="AB3744" s="117">
        <f>IF($B3744="","",IF(OR($D3744="",$E3744="",$O3744=""),"EKSİK",IF($O3744&lt;=0,"SIFIR/NEGATİF",IF(COUNTIFS($C$6:$C$5000,$C3744,$O$6:$O$5000,$O3744,$B$6:$B$5000,$B3744)&gt;1,"MÜKERRER","OK"))))</f>
        <v/>
      </c>
    </row>
    <row r="3745" ht="16.5" customHeight="1" s="80">
      <c r="A3745" s="113" t="n"/>
      <c r="B3745" s="113" t="n"/>
      <c r="C3745" s="113" t="n"/>
      <c r="D3745" s="113" t="n"/>
      <c r="E3745" s="113" t="n"/>
      <c r="F3745" s="113" t="n"/>
      <c r="G3745" s="113" t="n"/>
      <c r="H3745" s="113" t="n"/>
      <c r="I3745" s="113" t="n"/>
      <c r="J3745" s="113" t="n"/>
      <c r="K3745" s="113" t="n"/>
      <c r="L3745" s="113" t="n"/>
      <c r="M3745" s="113" t="n"/>
      <c r="N3745" s="113" t="n"/>
      <c r="O3745" s="113" t="n"/>
      <c r="P3745" s="113" t="n"/>
      <c r="Q3745" s="113" t="n"/>
      <c r="R3745" s="113" t="n"/>
      <c r="S3745" s="113" t="n"/>
      <c r="T3745" s="113" t="n"/>
      <c r="U3745" s="113" t="n"/>
      <c r="V3745" s="113" t="n"/>
      <c r="W3745" s="113" t="n"/>
      <c r="X3745" s="113" t="n"/>
      <c r="Y3745" s="113" t="n"/>
      <c r="Z3745" s="117">
        <f>IF($B3745="",0,IF($S3745="EVET",IF($D3745="GELİR",$O3745,-$O3745),0))</f>
        <v/>
      </c>
      <c r="AA3745" s="117">
        <f>IF($B3745="",0,IF(OR($W3745="EVET",$X3745="EVET",$Y3745="EVET"),0,IF($D3745="GELİR",IF($E3745="SATIŞ İADESİ/İSKONTO",-$O3745,$O3745),-$O3745)))</f>
        <v/>
      </c>
      <c r="AB3745" s="117">
        <f>IF($B3745="","",IF(OR($D3745="",$E3745="",$O3745=""),"EKSİK",IF($O3745&lt;=0,"SIFIR/NEGATİF",IF(COUNTIFS($C$6:$C$5000,$C3745,$O$6:$O$5000,$O3745,$B$6:$B$5000,$B3745)&gt;1,"MÜKERRER","OK"))))</f>
        <v/>
      </c>
    </row>
    <row r="3746" ht="16.5" customHeight="1" s="80">
      <c r="A3746" s="113" t="n"/>
      <c r="B3746" s="113" t="n"/>
      <c r="C3746" s="113" t="n"/>
      <c r="D3746" s="113" t="n"/>
      <c r="E3746" s="113" t="n"/>
      <c r="F3746" s="113" t="n"/>
      <c r="G3746" s="113" t="n"/>
      <c r="H3746" s="113" t="n"/>
      <c r="I3746" s="113" t="n"/>
      <c r="J3746" s="113" t="n"/>
      <c r="K3746" s="113" t="n"/>
      <c r="L3746" s="113" t="n"/>
      <c r="M3746" s="113" t="n"/>
      <c r="N3746" s="113" t="n"/>
      <c r="O3746" s="113" t="n"/>
      <c r="P3746" s="113" t="n"/>
      <c r="Q3746" s="113" t="n"/>
      <c r="R3746" s="113" t="n"/>
      <c r="S3746" s="113" t="n"/>
      <c r="T3746" s="113" t="n"/>
      <c r="U3746" s="113" t="n"/>
      <c r="V3746" s="113" t="n"/>
      <c r="W3746" s="113" t="n"/>
      <c r="X3746" s="113" t="n"/>
      <c r="Y3746" s="113" t="n"/>
      <c r="Z3746" s="117">
        <f>IF($B3746="",0,IF($S3746="EVET",IF($D3746="GELİR",$O3746,-$O3746),0))</f>
        <v/>
      </c>
      <c r="AA3746" s="117">
        <f>IF($B3746="",0,IF(OR($W3746="EVET",$X3746="EVET",$Y3746="EVET"),0,IF($D3746="GELİR",IF($E3746="SATIŞ İADESİ/İSKONTO",-$O3746,$O3746),-$O3746)))</f>
        <v/>
      </c>
      <c r="AB3746" s="117">
        <f>IF($B3746="","",IF(OR($D3746="",$E3746="",$O3746=""),"EKSİK",IF($O3746&lt;=0,"SIFIR/NEGATİF",IF(COUNTIFS($C$6:$C$5000,$C3746,$O$6:$O$5000,$O3746,$B$6:$B$5000,$B3746)&gt;1,"MÜKERRER","OK"))))</f>
        <v/>
      </c>
    </row>
    <row r="3747" ht="16.5" customHeight="1" s="80">
      <c r="A3747" s="113" t="n"/>
      <c r="B3747" s="113" t="n"/>
      <c r="C3747" s="113" t="n"/>
      <c r="D3747" s="113" t="n"/>
      <c r="E3747" s="113" t="n"/>
      <c r="F3747" s="113" t="n"/>
      <c r="G3747" s="113" t="n"/>
      <c r="H3747" s="113" t="n"/>
      <c r="I3747" s="113" t="n"/>
      <c r="J3747" s="113" t="n"/>
      <c r="K3747" s="113" t="n"/>
      <c r="L3747" s="113" t="n"/>
      <c r="M3747" s="113" t="n"/>
      <c r="N3747" s="113" t="n"/>
      <c r="O3747" s="113" t="n"/>
      <c r="P3747" s="113" t="n"/>
      <c r="Q3747" s="113" t="n"/>
      <c r="R3747" s="113" t="n"/>
      <c r="S3747" s="113" t="n"/>
      <c r="T3747" s="113" t="n"/>
      <c r="U3747" s="113" t="n"/>
      <c r="V3747" s="113" t="n"/>
      <c r="W3747" s="113" t="n"/>
      <c r="X3747" s="113" t="n"/>
      <c r="Y3747" s="113" t="n"/>
      <c r="Z3747" s="117">
        <f>IF($B3747="",0,IF($S3747="EVET",IF($D3747="GELİR",$O3747,-$O3747),0))</f>
        <v/>
      </c>
      <c r="AA3747" s="117">
        <f>IF($B3747="",0,IF(OR($W3747="EVET",$X3747="EVET",$Y3747="EVET"),0,IF($D3747="GELİR",IF($E3747="SATIŞ İADESİ/İSKONTO",-$O3747,$O3747),-$O3747)))</f>
        <v/>
      </c>
      <c r="AB3747" s="117">
        <f>IF($B3747="","",IF(OR($D3747="",$E3747="",$O3747=""),"EKSİK",IF($O3747&lt;=0,"SIFIR/NEGATİF",IF(COUNTIFS($C$6:$C$5000,$C3747,$O$6:$O$5000,$O3747,$B$6:$B$5000,$B3747)&gt;1,"MÜKERRER","OK"))))</f>
        <v/>
      </c>
    </row>
    <row r="3748" ht="16.5" customHeight="1" s="80">
      <c r="A3748" s="113" t="n"/>
      <c r="B3748" s="113" t="n"/>
      <c r="C3748" s="113" t="n"/>
      <c r="D3748" s="113" t="n"/>
      <c r="E3748" s="113" t="n"/>
      <c r="F3748" s="113" t="n"/>
      <c r="G3748" s="113" t="n"/>
      <c r="H3748" s="113" t="n"/>
      <c r="I3748" s="113" t="n"/>
      <c r="J3748" s="113" t="n"/>
      <c r="K3748" s="113" t="n"/>
      <c r="L3748" s="113" t="n"/>
      <c r="M3748" s="113" t="n"/>
      <c r="N3748" s="113" t="n"/>
      <c r="O3748" s="113" t="n"/>
      <c r="P3748" s="113" t="n"/>
      <c r="Q3748" s="113" t="n"/>
      <c r="R3748" s="113" t="n"/>
      <c r="S3748" s="113" t="n"/>
      <c r="T3748" s="113" t="n"/>
      <c r="U3748" s="113" t="n"/>
      <c r="V3748" s="113" t="n"/>
      <c r="W3748" s="113" t="n"/>
      <c r="X3748" s="113" t="n"/>
      <c r="Y3748" s="113" t="n"/>
      <c r="Z3748" s="117">
        <f>IF($B3748="",0,IF($S3748="EVET",IF($D3748="GELİR",$O3748,-$O3748),0))</f>
        <v/>
      </c>
      <c r="AA3748" s="117">
        <f>IF($B3748="",0,IF(OR($W3748="EVET",$X3748="EVET",$Y3748="EVET"),0,IF($D3748="GELİR",IF($E3748="SATIŞ İADESİ/İSKONTO",-$O3748,$O3748),-$O3748)))</f>
        <v/>
      </c>
      <c r="AB3748" s="117">
        <f>IF($B3748="","",IF(OR($D3748="",$E3748="",$O3748=""),"EKSİK",IF($O3748&lt;=0,"SIFIR/NEGATİF",IF(COUNTIFS($C$6:$C$5000,$C3748,$O$6:$O$5000,$O3748,$B$6:$B$5000,$B3748)&gt;1,"MÜKERRER","OK"))))</f>
        <v/>
      </c>
    </row>
    <row r="3749" ht="16.5" customHeight="1" s="80">
      <c r="A3749" s="113" t="n"/>
      <c r="B3749" s="113" t="n"/>
      <c r="C3749" s="113" t="n"/>
      <c r="D3749" s="113" t="n"/>
      <c r="E3749" s="113" t="n"/>
      <c r="F3749" s="113" t="n"/>
      <c r="G3749" s="113" t="n"/>
      <c r="H3749" s="113" t="n"/>
      <c r="I3749" s="113" t="n"/>
      <c r="J3749" s="113" t="n"/>
      <c r="K3749" s="113" t="n"/>
      <c r="L3749" s="113" t="n"/>
      <c r="M3749" s="113" t="n"/>
      <c r="N3749" s="113" t="n"/>
      <c r="O3749" s="113" t="n"/>
      <c r="P3749" s="113" t="n"/>
      <c r="Q3749" s="113" t="n"/>
      <c r="R3749" s="113" t="n"/>
      <c r="S3749" s="113" t="n"/>
      <c r="T3749" s="113" t="n"/>
      <c r="U3749" s="113" t="n"/>
      <c r="V3749" s="113" t="n"/>
      <c r="W3749" s="113" t="n"/>
      <c r="X3749" s="113" t="n"/>
      <c r="Y3749" s="113" t="n"/>
      <c r="Z3749" s="117">
        <f>IF($B3749="",0,IF($S3749="EVET",IF($D3749="GELİR",$O3749,-$O3749),0))</f>
        <v/>
      </c>
      <c r="AA3749" s="117">
        <f>IF($B3749="",0,IF(OR($W3749="EVET",$X3749="EVET",$Y3749="EVET"),0,IF($D3749="GELİR",IF($E3749="SATIŞ İADESİ/İSKONTO",-$O3749,$O3749),-$O3749)))</f>
        <v/>
      </c>
      <c r="AB3749" s="117">
        <f>IF($B3749="","",IF(OR($D3749="",$E3749="",$O3749=""),"EKSİK",IF($O3749&lt;=0,"SIFIR/NEGATİF",IF(COUNTIFS($C$6:$C$5000,$C3749,$O$6:$O$5000,$O3749,$B$6:$B$5000,$B3749)&gt;1,"MÜKERRER","OK"))))</f>
        <v/>
      </c>
    </row>
    <row r="3750" ht="16.5" customHeight="1" s="80">
      <c r="A3750" s="113" t="n"/>
      <c r="B3750" s="113" t="n"/>
      <c r="C3750" s="113" t="n"/>
      <c r="D3750" s="113" t="n"/>
      <c r="E3750" s="113" t="n"/>
      <c r="F3750" s="113" t="n"/>
      <c r="G3750" s="113" t="n"/>
      <c r="H3750" s="113" t="n"/>
      <c r="I3750" s="113" t="n"/>
      <c r="J3750" s="113" t="n"/>
      <c r="K3750" s="113" t="n"/>
      <c r="L3750" s="113" t="n"/>
      <c r="M3750" s="113" t="n"/>
      <c r="N3750" s="113" t="n"/>
      <c r="O3750" s="113" t="n"/>
      <c r="P3750" s="113" t="n"/>
      <c r="Q3750" s="113" t="n"/>
      <c r="R3750" s="113" t="n"/>
      <c r="S3750" s="113" t="n"/>
      <c r="T3750" s="113" t="n"/>
      <c r="U3750" s="113" t="n"/>
      <c r="V3750" s="113" t="n"/>
      <c r="W3750" s="113" t="n"/>
      <c r="X3750" s="113" t="n"/>
      <c r="Y3750" s="113" t="n"/>
      <c r="Z3750" s="117">
        <f>IF($B3750="",0,IF($S3750="EVET",IF($D3750="GELİR",$O3750,-$O3750),0))</f>
        <v/>
      </c>
      <c r="AA3750" s="117">
        <f>IF($B3750="",0,IF(OR($W3750="EVET",$X3750="EVET",$Y3750="EVET"),0,IF($D3750="GELİR",IF($E3750="SATIŞ İADESİ/İSKONTO",-$O3750,$O3750),-$O3750)))</f>
        <v/>
      </c>
      <c r="AB3750" s="117">
        <f>IF($B3750="","",IF(OR($D3750="",$E3750="",$O3750=""),"EKSİK",IF($O3750&lt;=0,"SIFIR/NEGATİF",IF(COUNTIFS($C$6:$C$5000,$C3750,$O$6:$O$5000,$O3750,$B$6:$B$5000,$B3750)&gt;1,"MÜKERRER","OK"))))</f>
        <v/>
      </c>
    </row>
    <row r="3751" ht="16.5" customHeight="1" s="80">
      <c r="A3751" s="113" t="n"/>
      <c r="B3751" s="113" t="n"/>
      <c r="C3751" s="113" t="n"/>
      <c r="D3751" s="113" t="n"/>
      <c r="E3751" s="113" t="n"/>
      <c r="F3751" s="113" t="n"/>
      <c r="G3751" s="113" t="n"/>
      <c r="H3751" s="113" t="n"/>
      <c r="I3751" s="113" t="n"/>
      <c r="J3751" s="113" t="n"/>
      <c r="K3751" s="113" t="n"/>
      <c r="L3751" s="113" t="n"/>
      <c r="M3751" s="113" t="n"/>
      <c r="N3751" s="113" t="n"/>
      <c r="O3751" s="113" t="n"/>
      <c r="P3751" s="113" t="n"/>
      <c r="Q3751" s="113" t="n"/>
      <c r="R3751" s="113" t="n"/>
      <c r="S3751" s="113" t="n"/>
      <c r="T3751" s="113" t="n"/>
      <c r="U3751" s="113" t="n"/>
      <c r="V3751" s="113" t="n"/>
      <c r="W3751" s="113" t="n"/>
      <c r="X3751" s="113" t="n"/>
      <c r="Y3751" s="113" t="n"/>
      <c r="Z3751" s="117">
        <f>IF($B3751="",0,IF($S3751="EVET",IF($D3751="GELİR",$O3751,-$O3751),0))</f>
        <v/>
      </c>
      <c r="AA3751" s="117">
        <f>IF($B3751="",0,IF(OR($W3751="EVET",$X3751="EVET",$Y3751="EVET"),0,IF($D3751="GELİR",IF($E3751="SATIŞ İADESİ/İSKONTO",-$O3751,$O3751),-$O3751)))</f>
        <v/>
      </c>
      <c r="AB3751" s="117">
        <f>IF($B3751="","",IF(OR($D3751="",$E3751="",$O3751=""),"EKSİK",IF($O3751&lt;=0,"SIFIR/NEGATİF",IF(COUNTIFS($C$6:$C$5000,$C3751,$O$6:$O$5000,$O3751,$B$6:$B$5000,$B3751)&gt;1,"MÜKERRER","OK"))))</f>
        <v/>
      </c>
    </row>
    <row r="3752" ht="16.5" customHeight="1" s="80">
      <c r="A3752" s="113" t="n"/>
      <c r="B3752" s="113" t="n"/>
      <c r="C3752" s="113" t="n"/>
      <c r="D3752" s="113" t="n"/>
      <c r="E3752" s="113" t="n"/>
      <c r="F3752" s="113" t="n"/>
      <c r="G3752" s="113" t="n"/>
      <c r="H3752" s="113" t="n"/>
      <c r="I3752" s="113" t="n"/>
      <c r="J3752" s="113" t="n"/>
      <c r="K3752" s="113" t="n"/>
      <c r="L3752" s="113" t="n"/>
      <c r="M3752" s="113" t="n"/>
      <c r="N3752" s="113" t="n"/>
      <c r="O3752" s="113" t="n"/>
      <c r="P3752" s="113" t="n"/>
      <c r="Q3752" s="113" t="n"/>
      <c r="R3752" s="113" t="n"/>
      <c r="S3752" s="113" t="n"/>
      <c r="T3752" s="113" t="n"/>
      <c r="U3752" s="113" t="n"/>
      <c r="V3752" s="113" t="n"/>
      <c r="W3752" s="113" t="n"/>
      <c r="X3752" s="113" t="n"/>
      <c r="Y3752" s="113" t="n"/>
      <c r="Z3752" s="117">
        <f>IF($B3752="",0,IF($S3752="EVET",IF($D3752="GELİR",$O3752,-$O3752),0))</f>
        <v/>
      </c>
      <c r="AA3752" s="117">
        <f>IF($B3752="",0,IF(OR($W3752="EVET",$X3752="EVET",$Y3752="EVET"),0,IF($D3752="GELİR",IF($E3752="SATIŞ İADESİ/İSKONTO",-$O3752,$O3752),-$O3752)))</f>
        <v/>
      </c>
      <c r="AB3752" s="117">
        <f>IF($B3752="","",IF(OR($D3752="",$E3752="",$O3752=""),"EKSİK",IF($O3752&lt;=0,"SIFIR/NEGATİF",IF(COUNTIFS($C$6:$C$5000,$C3752,$O$6:$O$5000,$O3752,$B$6:$B$5000,$B3752)&gt;1,"MÜKERRER","OK"))))</f>
        <v/>
      </c>
    </row>
    <row r="3753" ht="16.5" customHeight="1" s="80">
      <c r="A3753" s="113" t="n"/>
      <c r="B3753" s="113" t="n"/>
      <c r="C3753" s="113" t="n"/>
      <c r="D3753" s="113" t="n"/>
      <c r="E3753" s="113" t="n"/>
      <c r="F3753" s="113" t="n"/>
      <c r="G3753" s="113" t="n"/>
      <c r="H3753" s="113" t="n"/>
      <c r="I3753" s="113" t="n"/>
      <c r="J3753" s="113" t="n"/>
      <c r="K3753" s="113" t="n"/>
      <c r="L3753" s="113" t="n"/>
      <c r="M3753" s="113" t="n"/>
      <c r="N3753" s="113" t="n"/>
      <c r="O3753" s="113" t="n"/>
      <c r="P3753" s="113" t="n"/>
      <c r="Q3753" s="113" t="n"/>
      <c r="R3753" s="113" t="n"/>
      <c r="S3753" s="113" t="n"/>
      <c r="T3753" s="113" t="n"/>
      <c r="U3753" s="113" t="n"/>
      <c r="V3753" s="113" t="n"/>
      <c r="W3753" s="113" t="n"/>
      <c r="X3753" s="113" t="n"/>
      <c r="Y3753" s="113" t="n"/>
      <c r="Z3753" s="117">
        <f>IF($B3753="",0,IF($S3753="EVET",IF($D3753="GELİR",$O3753,-$O3753),0))</f>
        <v/>
      </c>
      <c r="AA3753" s="117">
        <f>IF($B3753="",0,IF(OR($W3753="EVET",$X3753="EVET",$Y3753="EVET"),0,IF($D3753="GELİR",IF($E3753="SATIŞ İADESİ/İSKONTO",-$O3753,$O3753),-$O3753)))</f>
        <v/>
      </c>
      <c r="AB3753" s="117">
        <f>IF($B3753="","",IF(OR($D3753="",$E3753="",$O3753=""),"EKSİK",IF($O3753&lt;=0,"SIFIR/NEGATİF",IF(COUNTIFS($C$6:$C$5000,$C3753,$O$6:$O$5000,$O3753,$B$6:$B$5000,$B3753)&gt;1,"MÜKERRER","OK"))))</f>
        <v/>
      </c>
    </row>
    <row r="3754" ht="16.5" customHeight="1" s="80">
      <c r="A3754" s="113" t="n"/>
      <c r="B3754" s="113" t="n"/>
      <c r="C3754" s="113" t="n"/>
      <c r="D3754" s="113" t="n"/>
      <c r="E3754" s="113" t="n"/>
      <c r="F3754" s="113" t="n"/>
      <c r="G3754" s="113" t="n"/>
      <c r="H3754" s="113" t="n"/>
      <c r="I3754" s="113" t="n"/>
      <c r="J3754" s="113" t="n"/>
      <c r="K3754" s="113" t="n"/>
      <c r="L3754" s="113" t="n"/>
      <c r="M3754" s="113" t="n"/>
      <c r="N3754" s="113" t="n"/>
      <c r="O3754" s="113" t="n"/>
      <c r="P3754" s="113" t="n"/>
      <c r="Q3754" s="113" t="n"/>
      <c r="R3754" s="113" t="n"/>
      <c r="S3754" s="113" t="n"/>
      <c r="T3754" s="113" t="n"/>
      <c r="U3754" s="113" t="n"/>
      <c r="V3754" s="113" t="n"/>
      <c r="W3754" s="113" t="n"/>
      <c r="X3754" s="113" t="n"/>
      <c r="Y3754" s="113" t="n"/>
      <c r="Z3754" s="117">
        <f>IF($B3754="",0,IF($S3754="EVET",IF($D3754="GELİR",$O3754,-$O3754),0))</f>
        <v/>
      </c>
      <c r="AA3754" s="117">
        <f>IF($B3754="",0,IF(OR($W3754="EVET",$X3754="EVET",$Y3754="EVET"),0,IF($D3754="GELİR",IF($E3754="SATIŞ İADESİ/İSKONTO",-$O3754,$O3754),-$O3754)))</f>
        <v/>
      </c>
      <c r="AB3754" s="117">
        <f>IF($B3754="","",IF(OR($D3754="",$E3754="",$O3754=""),"EKSİK",IF($O3754&lt;=0,"SIFIR/NEGATİF",IF(COUNTIFS($C$6:$C$5000,$C3754,$O$6:$O$5000,$O3754,$B$6:$B$5000,$B3754)&gt;1,"MÜKERRER","OK"))))</f>
        <v/>
      </c>
    </row>
    <row r="3755" ht="16.5" customHeight="1" s="80">
      <c r="A3755" s="113" t="n"/>
      <c r="B3755" s="113" t="n"/>
      <c r="C3755" s="113" t="n"/>
      <c r="D3755" s="113" t="n"/>
      <c r="E3755" s="113" t="n"/>
      <c r="F3755" s="113" t="n"/>
      <c r="G3755" s="113" t="n"/>
      <c r="H3755" s="113" t="n"/>
      <c r="I3755" s="113" t="n"/>
      <c r="J3755" s="113" t="n"/>
      <c r="K3755" s="113" t="n"/>
      <c r="L3755" s="113" t="n"/>
      <c r="M3755" s="113" t="n"/>
      <c r="N3755" s="113" t="n"/>
      <c r="O3755" s="113" t="n"/>
      <c r="P3755" s="113" t="n"/>
      <c r="Q3755" s="113" t="n"/>
      <c r="R3755" s="113" t="n"/>
      <c r="S3755" s="113" t="n"/>
      <c r="T3755" s="113" t="n"/>
      <c r="U3755" s="113" t="n"/>
      <c r="V3755" s="113" t="n"/>
      <c r="W3755" s="113" t="n"/>
      <c r="X3755" s="113" t="n"/>
      <c r="Y3755" s="113" t="n"/>
      <c r="Z3755" s="117">
        <f>IF($B3755="",0,IF($S3755="EVET",IF($D3755="GELİR",$O3755,-$O3755),0))</f>
        <v/>
      </c>
      <c r="AA3755" s="117">
        <f>IF($B3755="",0,IF(OR($W3755="EVET",$X3755="EVET",$Y3755="EVET"),0,IF($D3755="GELİR",IF($E3755="SATIŞ İADESİ/İSKONTO",-$O3755,$O3755),-$O3755)))</f>
        <v/>
      </c>
      <c r="AB3755" s="117">
        <f>IF($B3755="","",IF(OR($D3755="",$E3755="",$O3755=""),"EKSİK",IF($O3755&lt;=0,"SIFIR/NEGATİF",IF(COUNTIFS($C$6:$C$5000,$C3755,$O$6:$O$5000,$O3755,$B$6:$B$5000,$B3755)&gt;1,"MÜKERRER","OK"))))</f>
        <v/>
      </c>
    </row>
    <row r="3756" ht="16.5" customHeight="1" s="80">
      <c r="A3756" s="113" t="n"/>
      <c r="B3756" s="113" t="n"/>
      <c r="C3756" s="113" t="n"/>
      <c r="D3756" s="113" t="n"/>
      <c r="E3756" s="113" t="n"/>
      <c r="F3756" s="113" t="n"/>
      <c r="G3756" s="113" t="n"/>
      <c r="H3756" s="113" t="n"/>
      <c r="I3756" s="113" t="n"/>
      <c r="J3756" s="113" t="n"/>
      <c r="K3756" s="113" t="n"/>
      <c r="L3756" s="113" t="n"/>
      <c r="M3756" s="113" t="n"/>
      <c r="N3756" s="113" t="n"/>
      <c r="O3756" s="113" t="n"/>
      <c r="P3756" s="113" t="n"/>
      <c r="Q3756" s="113" t="n"/>
      <c r="R3756" s="113" t="n"/>
      <c r="S3756" s="113" t="n"/>
      <c r="T3756" s="113" t="n"/>
      <c r="U3756" s="113" t="n"/>
      <c r="V3756" s="113" t="n"/>
      <c r="W3756" s="113" t="n"/>
      <c r="X3756" s="113" t="n"/>
      <c r="Y3756" s="113" t="n"/>
      <c r="Z3756" s="117">
        <f>IF($B3756="",0,IF($S3756="EVET",IF($D3756="GELİR",$O3756,-$O3756),0))</f>
        <v/>
      </c>
      <c r="AA3756" s="117">
        <f>IF($B3756="",0,IF(OR($W3756="EVET",$X3756="EVET",$Y3756="EVET"),0,IF($D3756="GELİR",IF($E3756="SATIŞ İADESİ/İSKONTO",-$O3756,$O3756),-$O3756)))</f>
        <v/>
      </c>
      <c r="AB3756" s="117">
        <f>IF($B3756="","",IF(OR($D3756="",$E3756="",$O3756=""),"EKSİK",IF($O3756&lt;=0,"SIFIR/NEGATİF",IF(COUNTIFS($C$6:$C$5000,$C3756,$O$6:$O$5000,$O3756,$B$6:$B$5000,$B3756)&gt;1,"MÜKERRER","OK"))))</f>
        <v/>
      </c>
    </row>
    <row r="3757" ht="16.5" customHeight="1" s="80">
      <c r="A3757" s="113" t="n"/>
      <c r="B3757" s="113" t="n"/>
      <c r="C3757" s="113" t="n"/>
      <c r="D3757" s="113" t="n"/>
      <c r="E3757" s="113" t="n"/>
      <c r="F3757" s="113" t="n"/>
      <c r="G3757" s="113" t="n"/>
      <c r="H3757" s="113" t="n"/>
      <c r="I3757" s="113" t="n"/>
      <c r="J3757" s="113" t="n"/>
      <c r="K3757" s="113" t="n"/>
      <c r="L3757" s="113" t="n"/>
      <c r="M3757" s="113" t="n"/>
      <c r="N3757" s="113" t="n"/>
      <c r="O3757" s="113" t="n"/>
      <c r="P3757" s="113" t="n"/>
      <c r="Q3757" s="113" t="n"/>
      <c r="R3757" s="113" t="n"/>
      <c r="S3757" s="113" t="n"/>
      <c r="T3757" s="113" t="n"/>
      <c r="U3757" s="113" t="n"/>
      <c r="V3757" s="113" t="n"/>
      <c r="W3757" s="113" t="n"/>
      <c r="X3757" s="113" t="n"/>
      <c r="Y3757" s="113" t="n"/>
      <c r="Z3757" s="117">
        <f>IF($B3757="",0,IF($S3757="EVET",IF($D3757="GELİR",$O3757,-$O3757),0))</f>
        <v/>
      </c>
      <c r="AA3757" s="117">
        <f>IF($B3757="",0,IF(OR($W3757="EVET",$X3757="EVET",$Y3757="EVET"),0,IF($D3757="GELİR",IF($E3757="SATIŞ İADESİ/İSKONTO",-$O3757,$O3757),-$O3757)))</f>
        <v/>
      </c>
      <c r="AB3757" s="117">
        <f>IF($B3757="","",IF(OR($D3757="",$E3757="",$O3757=""),"EKSİK",IF($O3757&lt;=0,"SIFIR/NEGATİF",IF(COUNTIFS($C$6:$C$5000,$C3757,$O$6:$O$5000,$O3757,$B$6:$B$5000,$B3757)&gt;1,"MÜKERRER","OK"))))</f>
        <v/>
      </c>
    </row>
    <row r="3758" ht="16.5" customHeight="1" s="80">
      <c r="A3758" s="113" t="n"/>
      <c r="B3758" s="113" t="n"/>
      <c r="C3758" s="113" t="n"/>
      <c r="D3758" s="113" t="n"/>
      <c r="E3758" s="113" t="n"/>
      <c r="F3758" s="113" t="n"/>
      <c r="G3758" s="113" t="n"/>
      <c r="H3758" s="113" t="n"/>
      <c r="I3758" s="113" t="n"/>
      <c r="J3758" s="113" t="n"/>
      <c r="K3758" s="113" t="n"/>
      <c r="L3758" s="113" t="n"/>
      <c r="M3758" s="113" t="n"/>
      <c r="N3758" s="113" t="n"/>
      <c r="O3758" s="113" t="n"/>
      <c r="P3758" s="113" t="n"/>
      <c r="Q3758" s="113" t="n"/>
      <c r="R3758" s="113" t="n"/>
      <c r="S3758" s="113" t="n"/>
      <c r="T3758" s="113" t="n"/>
      <c r="U3758" s="113" t="n"/>
      <c r="V3758" s="113" t="n"/>
      <c r="W3758" s="113" t="n"/>
      <c r="X3758" s="113" t="n"/>
      <c r="Y3758" s="113" t="n"/>
      <c r="Z3758" s="117">
        <f>IF($B3758="",0,IF($S3758="EVET",IF($D3758="GELİR",$O3758,-$O3758),0))</f>
        <v/>
      </c>
      <c r="AA3758" s="117">
        <f>IF($B3758="",0,IF(OR($W3758="EVET",$X3758="EVET",$Y3758="EVET"),0,IF($D3758="GELİR",IF($E3758="SATIŞ İADESİ/İSKONTO",-$O3758,$O3758),-$O3758)))</f>
        <v/>
      </c>
      <c r="AB3758" s="117">
        <f>IF($B3758="","",IF(OR($D3758="",$E3758="",$O3758=""),"EKSİK",IF($O3758&lt;=0,"SIFIR/NEGATİF",IF(COUNTIFS($C$6:$C$5000,$C3758,$O$6:$O$5000,$O3758,$B$6:$B$5000,$B3758)&gt;1,"MÜKERRER","OK"))))</f>
        <v/>
      </c>
    </row>
    <row r="3759" ht="16.5" customHeight="1" s="80">
      <c r="A3759" s="113" t="n"/>
      <c r="B3759" s="113" t="n"/>
      <c r="C3759" s="113" t="n"/>
      <c r="D3759" s="113" t="n"/>
      <c r="E3759" s="113" t="n"/>
      <c r="F3759" s="113" t="n"/>
      <c r="G3759" s="113" t="n"/>
      <c r="H3759" s="113" t="n"/>
      <c r="I3759" s="113" t="n"/>
      <c r="J3759" s="113" t="n"/>
      <c r="K3759" s="113" t="n"/>
      <c r="L3759" s="113" t="n"/>
      <c r="M3759" s="113" t="n"/>
      <c r="N3759" s="113" t="n"/>
      <c r="O3759" s="113" t="n"/>
      <c r="P3759" s="113" t="n"/>
      <c r="Q3759" s="113" t="n"/>
      <c r="R3759" s="113" t="n"/>
      <c r="S3759" s="113" t="n"/>
      <c r="T3759" s="113" t="n"/>
      <c r="U3759" s="113" t="n"/>
      <c r="V3759" s="113" t="n"/>
      <c r="W3759" s="113" t="n"/>
      <c r="X3759" s="113" t="n"/>
      <c r="Y3759" s="113" t="n"/>
      <c r="Z3759" s="117">
        <f>IF($B3759="",0,IF($S3759="EVET",IF($D3759="GELİR",$O3759,-$O3759),0))</f>
        <v/>
      </c>
      <c r="AA3759" s="117">
        <f>IF($B3759="",0,IF(OR($W3759="EVET",$X3759="EVET",$Y3759="EVET"),0,IF($D3759="GELİR",IF($E3759="SATIŞ İADESİ/İSKONTO",-$O3759,$O3759),-$O3759)))</f>
        <v/>
      </c>
      <c r="AB3759" s="117">
        <f>IF($B3759="","",IF(OR($D3759="",$E3759="",$O3759=""),"EKSİK",IF($O3759&lt;=0,"SIFIR/NEGATİF",IF(COUNTIFS($C$6:$C$5000,$C3759,$O$6:$O$5000,$O3759,$B$6:$B$5000,$B3759)&gt;1,"MÜKERRER","OK"))))</f>
        <v/>
      </c>
    </row>
    <row r="3760" ht="16.5" customHeight="1" s="80">
      <c r="A3760" s="113" t="n"/>
      <c r="B3760" s="113" t="n"/>
      <c r="C3760" s="113" t="n"/>
      <c r="D3760" s="113" t="n"/>
      <c r="E3760" s="113" t="n"/>
      <c r="F3760" s="113" t="n"/>
      <c r="G3760" s="113" t="n"/>
      <c r="H3760" s="113" t="n"/>
      <c r="I3760" s="113" t="n"/>
      <c r="J3760" s="113" t="n"/>
      <c r="K3760" s="113" t="n"/>
      <c r="L3760" s="113" t="n"/>
      <c r="M3760" s="113" t="n"/>
      <c r="N3760" s="113" t="n"/>
      <c r="O3760" s="113" t="n"/>
      <c r="P3760" s="113" t="n"/>
      <c r="Q3760" s="113" t="n"/>
      <c r="R3760" s="113" t="n"/>
      <c r="S3760" s="113" t="n"/>
      <c r="T3760" s="113" t="n"/>
      <c r="U3760" s="113" t="n"/>
      <c r="V3760" s="113" t="n"/>
      <c r="W3760" s="113" t="n"/>
      <c r="X3760" s="113" t="n"/>
      <c r="Y3760" s="113" t="n"/>
      <c r="Z3760" s="117">
        <f>IF($B3760="",0,IF($S3760="EVET",IF($D3760="GELİR",$O3760,-$O3760),0))</f>
        <v/>
      </c>
      <c r="AA3760" s="117">
        <f>IF($B3760="",0,IF(OR($W3760="EVET",$X3760="EVET",$Y3760="EVET"),0,IF($D3760="GELİR",IF($E3760="SATIŞ İADESİ/İSKONTO",-$O3760,$O3760),-$O3760)))</f>
        <v/>
      </c>
      <c r="AB3760" s="117">
        <f>IF($B3760="","",IF(OR($D3760="",$E3760="",$O3760=""),"EKSİK",IF($O3760&lt;=0,"SIFIR/NEGATİF",IF(COUNTIFS($C$6:$C$5000,$C3760,$O$6:$O$5000,$O3760,$B$6:$B$5000,$B3760)&gt;1,"MÜKERRER","OK"))))</f>
        <v/>
      </c>
    </row>
    <row r="3761" ht="16.5" customHeight="1" s="80">
      <c r="A3761" s="113" t="n"/>
      <c r="B3761" s="113" t="n"/>
      <c r="C3761" s="113" t="n"/>
      <c r="D3761" s="113" t="n"/>
      <c r="E3761" s="113" t="n"/>
      <c r="F3761" s="113" t="n"/>
      <c r="G3761" s="113" t="n"/>
      <c r="H3761" s="113" t="n"/>
      <c r="I3761" s="113" t="n"/>
      <c r="J3761" s="113" t="n"/>
      <c r="K3761" s="113" t="n"/>
      <c r="L3761" s="113" t="n"/>
      <c r="M3761" s="113" t="n"/>
      <c r="N3761" s="113" t="n"/>
      <c r="O3761" s="113" t="n"/>
      <c r="P3761" s="113" t="n"/>
      <c r="Q3761" s="113" t="n"/>
      <c r="R3761" s="113" t="n"/>
      <c r="S3761" s="113" t="n"/>
      <c r="T3761" s="113" t="n"/>
      <c r="U3761" s="113" t="n"/>
      <c r="V3761" s="113" t="n"/>
      <c r="W3761" s="113" t="n"/>
      <c r="X3761" s="113" t="n"/>
      <c r="Y3761" s="113" t="n"/>
      <c r="Z3761" s="117">
        <f>IF($B3761="",0,IF($S3761="EVET",IF($D3761="GELİR",$O3761,-$O3761),0))</f>
        <v/>
      </c>
      <c r="AA3761" s="117">
        <f>IF($B3761="",0,IF(OR($W3761="EVET",$X3761="EVET",$Y3761="EVET"),0,IF($D3761="GELİR",IF($E3761="SATIŞ İADESİ/İSKONTO",-$O3761,$O3761),-$O3761)))</f>
        <v/>
      </c>
      <c r="AB3761" s="117">
        <f>IF($B3761="","",IF(OR($D3761="",$E3761="",$O3761=""),"EKSİK",IF($O3761&lt;=0,"SIFIR/NEGATİF",IF(COUNTIFS($C$6:$C$5000,$C3761,$O$6:$O$5000,$O3761,$B$6:$B$5000,$B3761)&gt;1,"MÜKERRER","OK"))))</f>
        <v/>
      </c>
    </row>
    <row r="3762" ht="16.5" customHeight="1" s="80">
      <c r="A3762" s="113" t="n"/>
      <c r="B3762" s="113" t="n"/>
      <c r="C3762" s="113" t="n"/>
      <c r="D3762" s="113" t="n"/>
      <c r="E3762" s="113" t="n"/>
      <c r="F3762" s="113" t="n"/>
      <c r="G3762" s="113" t="n"/>
      <c r="H3762" s="113" t="n"/>
      <c r="I3762" s="113" t="n"/>
      <c r="J3762" s="113" t="n"/>
      <c r="K3762" s="113" t="n"/>
      <c r="L3762" s="113" t="n"/>
      <c r="M3762" s="113" t="n"/>
      <c r="N3762" s="113" t="n"/>
      <c r="O3762" s="113" t="n"/>
      <c r="P3762" s="113" t="n"/>
      <c r="Q3762" s="113" t="n"/>
      <c r="R3762" s="113" t="n"/>
      <c r="S3762" s="113" t="n"/>
      <c r="T3762" s="113" t="n"/>
      <c r="U3762" s="113" t="n"/>
      <c r="V3762" s="113" t="n"/>
      <c r="W3762" s="113" t="n"/>
      <c r="X3762" s="113" t="n"/>
      <c r="Y3762" s="113" t="n"/>
      <c r="Z3762" s="117">
        <f>IF($B3762="",0,IF($S3762="EVET",IF($D3762="GELİR",$O3762,-$O3762),0))</f>
        <v/>
      </c>
      <c r="AA3762" s="117">
        <f>IF($B3762="",0,IF(OR($W3762="EVET",$X3762="EVET",$Y3762="EVET"),0,IF($D3762="GELİR",IF($E3762="SATIŞ İADESİ/İSKONTO",-$O3762,$O3762),-$O3762)))</f>
        <v/>
      </c>
      <c r="AB3762" s="117">
        <f>IF($B3762="","",IF(OR($D3762="",$E3762="",$O3762=""),"EKSİK",IF($O3762&lt;=0,"SIFIR/NEGATİF",IF(COUNTIFS($C$6:$C$5000,$C3762,$O$6:$O$5000,$O3762,$B$6:$B$5000,$B3762)&gt;1,"MÜKERRER","OK"))))</f>
        <v/>
      </c>
    </row>
    <row r="3763" ht="16.5" customHeight="1" s="80">
      <c r="A3763" s="113" t="n"/>
      <c r="B3763" s="113" t="n"/>
      <c r="C3763" s="113" t="n"/>
      <c r="D3763" s="113" t="n"/>
      <c r="E3763" s="113" t="n"/>
      <c r="F3763" s="113" t="n"/>
      <c r="G3763" s="113" t="n"/>
      <c r="H3763" s="113" t="n"/>
      <c r="I3763" s="113" t="n"/>
      <c r="J3763" s="113" t="n"/>
      <c r="K3763" s="113" t="n"/>
      <c r="L3763" s="113" t="n"/>
      <c r="M3763" s="113" t="n"/>
      <c r="N3763" s="113" t="n"/>
      <c r="O3763" s="113" t="n"/>
      <c r="P3763" s="113" t="n"/>
      <c r="Q3763" s="113" t="n"/>
      <c r="R3763" s="113" t="n"/>
      <c r="S3763" s="113" t="n"/>
      <c r="T3763" s="113" t="n"/>
      <c r="U3763" s="113" t="n"/>
      <c r="V3763" s="113" t="n"/>
      <c r="W3763" s="113" t="n"/>
      <c r="X3763" s="113" t="n"/>
      <c r="Y3763" s="113" t="n"/>
      <c r="Z3763" s="117">
        <f>IF($B3763="",0,IF($S3763="EVET",IF($D3763="GELİR",$O3763,-$O3763),0))</f>
        <v/>
      </c>
      <c r="AA3763" s="117">
        <f>IF($B3763="",0,IF(OR($W3763="EVET",$X3763="EVET",$Y3763="EVET"),0,IF($D3763="GELİR",IF($E3763="SATIŞ İADESİ/İSKONTO",-$O3763,$O3763),-$O3763)))</f>
        <v/>
      </c>
      <c r="AB3763" s="117">
        <f>IF($B3763="","",IF(OR($D3763="",$E3763="",$O3763=""),"EKSİK",IF($O3763&lt;=0,"SIFIR/NEGATİF",IF(COUNTIFS($C$6:$C$5000,$C3763,$O$6:$O$5000,$O3763,$B$6:$B$5000,$B3763)&gt;1,"MÜKERRER","OK"))))</f>
        <v/>
      </c>
    </row>
    <row r="3764" ht="16.5" customHeight="1" s="80">
      <c r="A3764" s="113" t="n"/>
      <c r="B3764" s="113" t="n"/>
      <c r="C3764" s="113" t="n"/>
      <c r="D3764" s="113" t="n"/>
      <c r="E3764" s="113" t="n"/>
      <c r="F3764" s="113" t="n"/>
      <c r="G3764" s="113" t="n"/>
      <c r="H3764" s="113" t="n"/>
      <c r="I3764" s="113" t="n"/>
      <c r="J3764" s="113" t="n"/>
      <c r="K3764" s="113" t="n"/>
      <c r="L3764" s="113" t="n"/>
      <c r="M3764" s="113" t="n"/>
      <c r="N3764" s="113" t="n"/>
      <c r="O3764" s="113" t="n"/>
      <c r="P3764" s="113" t="n"/>
      <c r="Q3764" s="113" t="n"/>
      <c r="R3764" s="113" t="n"/>
      <c r="S3764" s="113" t="n"/>
      <c r="T3764" s="113" t="n"/>
      <c r="U3764" s="113" t="n"/>
      <c r="V3764" s="113" t="n"/>
      <c r="W3764" s="113" t="n"/>
      <c r="X3764" s="113" t="n"/>
      <c r="Y3764" s="113" t="n"/>
      <c r="Z3764" s="117">
        <f>IF($B3764="",0,IF($S3764="EVET",IF($D3764="GELİR",$O3764,-$O3764),0))</f>
        <v/>
      </c>
      <c r="AA3764" s="117">
        <f>IF($B3764="",0,IF(OR($W3764="EVET",$X3764="EVET",$Y3764="EVET"),0,IF($D3764="GELİR",IF($E3764="SATIŞ İADESİ/İSKONTO",-$O3764,$O3764),-$O3764)))</f>
        <v/>
      </c>
      <c r="AB3764" s="117">
        <f>IF($B3764="","",IF(OR($D3764="",$E3764="",$O3764=""),"EKSİK",IF($O3764&lt;=0,"SIFIR/NEGATİF",IF(COUNTIFS($C$6:$C$5000,$C3764,$O$6:$O$5000,$O3764,$B$6:$B$5000,$B3764)&gt;1,"MÜKERRER","OK"))))</f>
        <v/>
      </c>
    </row>
    <row r="3765" ht="16.5" customHeight="1" s="80">
      <c r="A3765" s="113" t="n"/>
      <c r="B3765" s="113" t="n"/>
      <c r="C3765" s="113" t="n"/>
      <c r="D3765" s="113" t="n"/>
      <c r="E3765" s="113" t="n"/>
      <c r="F3765" s="113" t="n"/>
      <c r="G3765" s="113" t="n"/>
      <c r="H3765" s="113" t="n"/>
      <c r="I3765" s="113" t="n"/>
      <c r="J3765" s="113" t="n"/>
      <c r="K3765" s="113" t="n"/>
      <c r="L3765" s="113" t="n"/>
      <c r="M3765" s="113" t="n"/>
      <c r="N3765" s="113" t="n"/>
      <c r="O3765" s="113" t="n"/>
      <c r="P3765" s="113" t="n"/>
      <c r="Q3765" s="113" t="n"/>
      <c r="R3765" s="113" t="n"/>
      <c r="S3765" s="113" t="n"/>
      <c r="T3765" s="113" t="n"/>
      <c r="U3765" s="113" t="n"/>
      <c r="V3765" s="113" t="n"/>
      <c r="W3765" s="113" t="n"/>
      <c r="X3765" s="113" t="n"/>
      <c r="Y3765" s="113" t="n"/>
      <c r="Z3765" s="117">
        <f>IF($B3765="",0,IF($S3765="EVET",IF($D3765="GELİR",$O3765,-$O3765),0))</f>
        <v/>
      </c>
      <c r="AA3765" s="117">
        <f>IF($B3765="",0,IF(OR($W3765="EVET",$X3765="EVET",$Y3765="EVET"),0,IF($D3765="GELİR",IF($E3765="SATIŞ İADESİ/İSKONTO",-$O3765,$O3765),-$O3765)))</f>
        <v/>
      </c>
      <c r="AB3765" s="117">
        <f>IF($B3765="","",IF(OR($D3765="",$E3765="",$O3765=""),"EKSİK",IF($O3765&lt;=0,"SIFIR/NEGATİF",IF(COUNTIFS($C$6:$C$5000,$C3765,$O$6:$O$5000,$O3765,$B$6:$B$5000,$B3765)&gt;1,"MÜKERRER","OK"))))</f>
        <v/>
      </c>
    </row>
    <row r="3766" ht="16.5" customHeight="1" s="80">
      <c r="A3766" s="113" t="n"/>
      <c r="B3766" s="113" t="n"/>
      <c r="C3766" s="113" t="n"/>
      <c r="D3766" s="113" t="n"/>
      <c r="E3766" s="113" t="n"/>
      <c r="F3766" s="113" t="n"/>
      <c r="G3766" s="113" t="n"/>
      <c r="H3766" s="113" t="n"/>
      <c r="I3766" s="113" t="n"/>
      <c r="J3766" s="113" t="n"/>
      <c r="K3766" s="113" t="n"/>
      <c r="L3766" s="113" t="n"/>
      <c r="M3766" s="113" t="n"/>
      <c r="N3766" s="113" t="n"/>
      <c r="O3766" s="113" t="n"/>
      <c r="P3766" s="113" t="n"/>
      <c r="Q3766" s="113" t="n"/>
      <c r="R3766" s="113" t="n"/>
      <c r="S3766" s="113" t="n"/>
      <c r="T3766" s="113" t="n"/>
      <c r="U3766" s="113" t="n"/>
      <c r="V3766" s="113" t="n"/>
      <c r="W3766" s="113" t="n"/>
      <c r="X3766" s="113" t="n"/>
      <c r="Y3766" s="113" t="n"/>
      <c r="Z3766" s="117">
        <f>IF($B3766="",0,IF($S3766="EVET",IF($D3766="GELİR",$O3766,-$O3766),0))</f>
        <v/>
      </c>
      <c r="AA3766" s="117">
        <f>IF($B3766="",0,IF(OR($W3766="EVET",$X3766="EVET",$Y3766="EVET"),0,IF($D3766="GELİR",IF($E3766="SATIŞ İADESİ/İSKONTO",-$O3766,$O3766),-$O3766)))</f>
        <v/>
      </c>
      <c r="AB3766" s="117">
        <f>IF($B3766="","",IF(OR($D3766="",$E3766="",$O3766=""),"EKSİK",IF($O3766&lt;=0,"SIFIR/NEGATİF",IF(COUNTIFS($C$6:$C$5000,$C3766,$O$6:$O$5000,$O3766,$B$6:$B$5000,$B3766)&gt;1,"MÜKERRER","OK"))))</f>
        <v/>
      </c>
    </row>
    <row r="3767" ht="16.5" customHeight="1" s="80">
      <c r="A3767" s="113" t="n"/>
      <c r="B3767" s="113" t="n"/>
      <c r="C3767" s="113" t="n"/>
      <c r="D3767" s="113" t="n"/>
      <c r="E3767" s="113" t="n"/>
      <c r="F3767" s="113" t="n"/>
      <c r="G3767" s="113" t="n"/>
      <c r="H3767" s="113" t="n"/>
      <c r="I3767" s="113" t="n"/>
      <c r="J3767" s="113" t="n"/>
      <c r="K3767" s="113" t="n"/>
      <c r="L3767" s="113" t="n"/>
      <c r="M3767" s="113" t="n"/>
      <c r="N3767" s="113" t="n"/>
      <c r="O3767" s="113" t="n"/>
      <c r="P3767" s="113" t="n"/>
      <c r="Q3767" s="113" t="n"/>
      <c r="R3767" s="113" t="n"/>
      <c r="S3767" s="113" t="n"/>
      <c r="T3767" s="113" t="n"/>
      <c r="U3767" s="113" t="n"/>
      <c r="V3767" s="113" t="n"/>
      <c r="W3767" s="113" t="n"/>
      <c r="X3767" s="113" t="n"/>
      <c r="Y3767" s="113" t="n"/>
      <c r="Z3767" s="117">
        <f>IF($B3767="",0,IF($S3767="EVET",IF($D3767="GELİR",$O3767,-$O3767),0))</f>
        <v/>
      </c>
      <c r="AA3767" s="117">
        <f>IF($B3767="",0,IF(OR($W3767="EVET",$X3767="EVET",$Y3767="EVET"),0,IF($D3767="GELİR",IF($E3767="SATIŞ İADESİ/İSKONTO",-$O3767,$O3767),-$O3767)))</f>
        <v/>
      </c>
      <c r="AB3767" s="117">
        <f>IF($B3767="","",IF(OR($D3767="",$E3767="",$O3767=""),"EKSİK",IF($O3767&lt;=0,"SIFIR/NEGATİF",IF(COUNTIFS($C$6:$C$5000,$C3767,$O$6:$O$5000,$O3767,$B$6:$B$5000,$B3767)&gt;1,"MÜKERRER","OK"))))</f>
        <v/>
      </c>
    </row>
    <row r="3768" ht="16.5" customHeight="1" s="80">
      <c r="A3768" s="113" t="n"/>
      <c r="B3768" s="113" t="n"/>
      <c r="C3768" s="113" t="n"/>
      <c r="D3768" s="113" t="n"/>
      <c r="E3768" s="113" t="n"/>
      <c r="F3768" s="113" t="n"/>
      <c r="G3768" s="113" t="n"/>
      <c r="H3768" s="113" t="n"/>
      <c r="I3768" s="113" t="n"/>
      <c r="J3768" s="113" t="n"/>
      <c r="K3768" s="113" t="n"/>
      <c r="L3768" s="113" t="n"/>
      <c r="M3768" s="113" t="n"/>
      <c r="N3768" s="113" t="n"/>
      <c r="O3768" s="113" t="n"/>
      <c r="P3768" s="113" t="n"/>
      <c r="Q3768" s="113" t="n"/>
      <c r="R3768" s="113" t="n"/>
      <c r="S3768" s="113" t="n"/>
      <c r="T3768" s="113" t="n"/>
      <c r="U3768" s="113" t="n"/>
      <c r="V3768" s="113" t="n"/>
      <c r="W3768" s="113" t="n"/>
      <c r="X3768" s="113" t="n"/>
      <c r="Y3768" s="113" t="n"/>
      <c r="Z3768" s="117">
        <f>IF($B3768="",0,IF($S3768="EVET",IF($D3768="GELİR",$O3768,-$O3768),0))</f>
        <v/>
      </c>
      <c r="AA3768" s="117">
        <f>IF($B3768="",0,IF(OR($W3768="EVET",$X3768="EVET",$Y3768="EVET"),0,IF($D3768="GELİR",IF($E3768="SATIŞ İADESİ/İSKONTO",-$O3768,$O3768),-$O3768)))</f>
        <v/>
      </c>
      <c r="AB3768" s="117">
        <f>IF($B3768="","",IF(OR($D3768="",$E3768="",$O3768=""),"EKSİK",IF($O3768&lt;=0,"SIFIR/NEGATİF",IF(COUNTIFS($C$6:$C$5000,$C3768,$O$6:$O$5000,$O3768,$B$6:$B$5000,$B3768)&gt;1,"MÜKERRER","OK"))))</f>
        <v/>
      </c>
    </row>
    <row r="3769" ht="16.5" customHeight="1" s="80">
      <c r="A3769" s="113" t="n"/>
      <c r="B3769" s="113" t="n"/>
      <c r="C3769" s="113" t="n"/>
      <c r="D3769" s="113" t="n"/>
      <c r="E3769" s="113" t="n"/>
      <c r="F3769" s="113" t="n"/>
      <c r="G3769" s="113" t="n"/>
      <c r="H3769" s="113" t="n"/>
      <c r="I3769" s="113" t="n"/>
      <c r="J3769" s="113" t="n"/>
      <c r="K3769" s="113" t="n"/>
      <c r="L3769" s="113" t="n"/>
      <c r="M3769" s="113" t="n"/>
      <c r="N3769" s="113" t="n"/>
      <c r="O3769" s="113" t="n"/>
      <c r="P3769" s="113" t="n"/>
      <c r="Q3769" s="113" t="n"/>
      <c r="R3769" s="113" t="n"/>
      <c r="S3769" s="113" t="n"/>
      <c r="T3769" s="113" t="n"/>
      <c r="U3769" s="113" t="n"/>
      <c r="V3769" s="113" t="n"/>
      <c r="W3769" s="113" t="n"/>
      <c r="X3769" s="113" t="n"/>
      <c r="Y3769" s="113" t="n"/>
      <c r="Z3769" s="117">
        <f>IF($B3769="",0,IF($S3769="EVET",IF($D3769="GELİR",$O3769,-$O3769),0))</f>
        <v/>
      </c>
      <c r="AA3769" s="117">
        <f>IF($B3769="",0,IF(OR($W3769="EVET",$X3769="EVET",$Y3769="EVET"),0,IF($D3769="GELİR",IF($E3769="SATIŞ İADESİ/İSKONTO",-$O3769,$O3769),-$O3769)))</f>
        <v/>
      </c>
      <c r="AB3769" s="117">
        <f>IF($B3769="","",IF(OR($D3769="",$E3769="",$O3769=""),"EKSİK",IF($O3769&lt;=0,"SIFIR/NEGATİF",IF(COUNTIFS($C$6:$C$5000,$C3769,$O$6:$O$5000,$O3769,$B$6:$B$5000,$B3769)&gt;1,"MÜKERRER","OK"))))</f>
        <v/>
      </c>
    </row>
    <row r="3770" ht="16.5" customHeight="1" s="80">
      <c r="A3770" s="113" t="n"/>
      <c r="B3770" s="113" t="n"/>
      <c r="C3770" s="113" t="n"/>
      <c r="D3770" s="113" t="n"/>
      <c r="E3770" s="113" t="n"/>
      <c r="F3770" s="113" t="n"/>
      <c r="G3770" s="113" t="n"/>
      <c r="H3770" s="113" t="n"/>
      <c r="I3770" s="113" t="n"/>
      <c r="J3770" s="113" t="n"/>
      <c r="K3770" s="113" t="n"/>
      <c r="L3770" s="113" t="n"/>
      <c r="M3770" s="113" t="n"/>
      <c r="N3770" s="113" t="n"/>
      <c r="O3770" s="113" t="n"/>
      <c r="P3770" s="113" t="n"/>
      <c r="Q3770" s="113" t="n"/>
      <c r="R3770" s="113" t="n"/>
      <c r="S3770" s="113" t="n"/>
      <c r="T3770" s="113" t="n"/>
      <c r="U3770" s="113" t="n"/>
      <c r="V3770" s="113" t="n"/>
      <c r="W3770" s="113" t="n"/>
      <c r="X3770" s="113" t="n"/>
      <c r="Y3770" s="113" t="n"/>
      <c r="Z3770" s="117">
        <f>IF($B3770="",0,IF($S3770="EVET",IF($D3770="GELİR",$O3770,-$O3770),0))</f>
        <v/>
      </c>
      <c r="AA3770" s="117">
        <f>IF($B3770="",0,IF(OR($W3770="EVET",$X3770="EVET",$Y3770="EVET"),0,IF($D3770="GELİR",IF($E3770="SATIŞ İADESİ/İSKONTO",-$O3770,$O3770),-$O3770)))</f>
        <v/>
      </c>
      <c r="AB3770" s="117">
        <f>IF($B3770="","",IF(OR($D3770="",$E3770="",$O3770=""),"EKSİK",IF($O3770&lt;=0,"SIFIR/NEGATİF",IF(COUNTIFS($C$6:$C$5000,$C3770,$O$6:$O$5000,$O3770,$B$6:$B$5000,$B3770)&gt;1,"MÜKERRER","OK"))))</f>
        <v/>
      </c>
    </row>
    <row r="3771" ht="16.5" customHeight="1" s="80">
      <c r="A3771" s="113" t="n"/>
      <c r="B3771" s="113" t="n"/>
      <c r="C3771" s="113" t="n"/>
      <c r="D3771" s="113" t="n"/>
      <c r="E3771" s="113" t="n"/>
      <c r="F3771" s="113" t="n"/>
      <c r="G3771" s="113" t="n"/>
      <c r="H3771" s="113" t="n"/>
      <c r="I3771" s="113" t="n"/>
      <c r="J3771" s="113" t="n"/>
      <c r="K3771" s="113" t="n"/>
      <c r="L3771" s="113" t="n"/>
      <c r="M3771" s="113" t="n"/>
      <c r="N3771" s="113" t="n"/>
      <c r="O3771" s="113" t="n"/>
      <c r="P3771" s="113" t="n"/>
      <c r="Q3771" s="113" t="n"/>
      <c r="R3771" s="113" t="n"/>
      <c r="S3771" s="113" t="n"/>
      <c r="T3771" s="113" t="n"/>
      <c r="U3771" s="113" t="n"/>
      <c r="V3771" s="113" t="n"/>
      <c r="W3771" s="113" t="n"/>
      <c r="X3771" s="113" t="n"/>
      <c r="Y3771" s="113" t="n"/>
      <c r="Z3771" s="117">
        <f>IF($B3771="",0,IF($S3771="EVET",IF($D3771="GELİR",$O3771,-$O3771),0))</f>
        <v/>
      </c>
      <c r="AA3771" s="117">
        <f>IF($B3771="",0,IF(OR($W3771="EVET",$X3771="EVET",$Y3771="EVET"),0,IF($D3771="GELİR",IF($E3771="SATIŞ İADESİ/İSKONTO",-$O3771,$O3771),-$O3771)))</f>
        <v/>
      </c>
      <c r="AB3771" s="117">
        <f>IF($B3771="","",IF(OR($D3771="",$E3771="",$O3771=""),"EKSİK",IF($O3771&lt;=0,"SIFIR/NEGATİF",IF(COUNTIFS($C$6:$C$5000,$C3771,$O$6:$O$5000,$O3771,$B$6:$B$5000,$B3771)&gt;1,"MÜKERRER","OK"))))</f>
        <v/>
      </c>
    </row>
    <row r="3772" ht="16.5" customHeight="1" s="80">
      <c r="A3772" s="113" t="n"/>
      <c r="B3772" s="113" t="n"/>
      <c r="C3772" s="113" t="n"/>
      <c r="D3772" s="113" t="n"/>
      <c r="E3772" s="113" t="n"/>
      <c r="F3772" s="113" t="n"/>
      <c r="G3772" s="113" t="n"/>
      <c r="H3772" s="113" t="n"/>
      <c r="I3772" s="113" t="n"/>
      <c r="J3772" s="113" t="n"/>
      <c r="K3772" s="113" t="n"/>
      <c r="L3772" s="113" t="n"/>
      <c r="M3772" s="113" t="n"/>
      <c r="N3772" s="113" t="n"/>
      <c r="O3772" s="113" t="n"/>
      <c r="P3772" s="113" t="n"/>
      <c r="Q3772" s="113" t="n"/>
      <c r="R3772" s="113" t="n"/>
      <c r="S3772" s="113" t="n"/>
      <c r="T3772" s="113" t="n"/>
      <c r="U3772" s="113" t="n"/>
      <c r="V3772" s="113" t="n"/>
      <c r="W3772" s="113" t="n"/>
      <c r="X3772" s="113" t="n"/>
      <c r="Y3772" s="113" t="n"/>
      <c r="Z3772" s="117">
        <f>IF($B3772="",0,IF($S3772="EVET",IF($D3772="GELİR",$O3772,-$O3772),0))</f>
        <v/>
      </c>
      <c r="AA3772" s="117">
        <f>IF($B3772="",0,IF(OR($W3772="EVET",$X3772="EVET",$Y3772="EVET"),0,IF($D3772="GELİR",IF($E3772="SATIŞ İADESİ/İSKONTO",-$O3772,$O3772),-$O3772)))</f>
        <v/>
      </c>
      <c r="AB3772" s="117">
        <f>IF($B3772="","",IF(OR($D3772="",$E3772="",$O3772=""),"EKSİK",IF($O3772&lt;=0,"SIFIR/NEGATİF",IF(COUNTIFS($C$6:$C$5000,$C3772,$O$6:$O$5000,$O3772,$B$6:$B$5000,$B3772)&gt;1,"MÜKERRER","OK"))))</f>
        <v/>
      </c>
    </row>
    <row r="3773" ht="16.5" customHeight="1" s="80">
      <c r="A3773" s="113" t="n"/>
      <c r="B3773" s="113" t="n"/>
      <c r="C3773" s="113" t="n"/>
      <c r="D3773" s="113" t="n"/>
      <c r="E3773" s="113" t="n"/>
      <c r="F3773" s="113" t="n"/>
      <c r="G3773" s="113" t="n"/>
      <c r="H3773" s="113" t="n"/>
      <c r="I3773" s="113" t="n"/>
      <c r="J3773" s="113" t="n"/>
      <c r="K3773" s="113" t="n"/>
      <c r="L3773" s="113" t="n"/>
      <c r="M3773" s="113" t="n"/>
      <c r="N3773" s="113" t="n"/>
      <c r="O3773" s="113" t="n"/>
      <c r="P3773" s="113" t="n"/>
      <c r="Q3773" s="113" t="n"/>
      <c r="R3773" s="113" t="n"/>
      <c r="S3773" s="113" t="n"/>
      <c r="T3773" s="113" t="n"/>
      <c r="U3773" s="113" t="n"/>
      <c r="V3773" s="113" t="n"/>
      <c r="W3773" s="113" t="n"/>
      <c r="X3773" s="113" t="n"/>
      <c r="Y3773" s="113" t="n"/>
      <c r="Z3773" s="117">
        <f>IF($B3773="",0,IF($S3773="EVET",IF($D3773="GELİR",$O3773,-$O3773),0))</f>
        <v/>
      </c>
      <c r="AA3773" s="117">
        <f>IF($B3773="",0,IF(OR($W3773="EVET",$X3773="EVET",$Y3773="EVET"),0,IF($D3773="GELİR",IF($E3773="SATIŞ İADESİ/İSKONTO",-$O3773,$O3773),-$O3773)))</f>
        <v/>
      </c>
      <c r="AB3773" s="117">
        <f>IF($B3773="","",IF(OR($D3773="",$E3773="",$O3773=""),"EKSİK",IF($O3773&lt;=0,"SIFIR/NEGATİF",IF(COUNTIFS($C$6:$C$5000,$C3773,$O$6:$O$5000,$O3773,$B$6:$B$5000,$B3773)&gt;1,"MÜKERRER","OK"))))</f>
        <v/>
      </c>
    </row>
    <row r="3774" ht="16.5" customHeight="1" s="80">
      <c r="A3774" s="113" t="n"/>
      <c r="B3774" s="113" t="n"/>
      <c r="C3774" s="113" t="n"/>
      <c r="D3774" s="113" t="n"/>
      <c r="E3774" s="113" t="n"/>
      <c r="F3774" s="113" t="n"/>
      <c r="G3774" s="113" t="n"/>
      <c r="H3774" s="113" t="n"/>
      <c r="I3774" s="113" t="n"/>
      <c r="J3774" s="113" t="n"/>
      <c r="K3774" s="113" t="n"/>
      <c r="L3774" s="113" t="n"/>
      <c r="M3774" s="113" t="n"/>
      <c r="N3774" s="113" t="n"/>
      <c r="O3774" s="113" t="n"/>
      <c r="P3774" s="113" t="n"/>
      <c r="Q3774" s="113" t="n"/>
      <c r="R3774" s="113" t="n"/>
      <c r="S3774" s="113" t="n"/>
      <c r="T3774" s="113" t="n"/>
      <c r="U3774" s="113" t="n"/>
      <c r="V3774" s="113" t="n"/>
      <c r="W3774" s="113" t="n"/>
      <c r="X3774" s="113" t="n"/>
      <c r="Y3774" s="113" t="n"/>
      <c r="Z3774" s="117">
        <f>IF($B3774="",0,IF($S3774="EVET",IF($D3774="GELİR",$O3774,-$O3774),0))</f>
        <v/>
      </c>
      <c r="AA3774" s="117">
        <f>IF($B3774="",0,IF(OR($W3774="EVET",$X3774="EVET",$Y3774="EVET"),0,IF($D3774="GELİR",IF($E3774="SATIŞ İADESİ/İSKONTO",-$O3774,$O3774),-$O3774)))</f>
        <v/>
      </c>
      <c r="AB3774" s="117">
        <f>IF($B3774="","",IF(OR($D3774="",$E3774="",$O3774=""),"EKSİK",IF($O3774&lt;=0,"SIFIR/NEGATİF",IF(COUNTIFS($C$6:$C$5000,$C3774,$O$6:$O$5000,$O3774,$B$6:$B$5000,$B3774)&gt;1,"MÜKERRER","OK"))))</f>
        <v/>
      </c>
    </row>
    <row r="3775" ht="16.5" customHeight="1" s="80">
      <c r="A3775" s="113" t="n"/>
      <c r="B3775" s="113" t="n"/>
      <c r="C3775" s="113" t="n"/>
      <c r="D3775" s="113" t="n"/>
      <c r="E3775" s="113" t="n"/>
      <c r="F3775" s="113" t="n"/>
      <c r="G3775" s="113" t="n"/>
      <c r="H3775" s="113" t="n"/>
      <c r="I3775" s="113" t="n"/>
      <c r="J3775" s="113" t="n"/>
      <c r="K3775" s="113" t="n"/>
      <c r="L3775" s="113" t="n"/>
      <c r="M3775" s="113" t="n"/>
      <c r="N3775" s="113" t="n"/>
      <c r="O3775" s="113" t="n"/>
      <c r="P3775" s="113" t="n"/>
      <c r="Q3775" s="113" t="n"/>
      <c r="R3775" s="113" t="n"/>
      <c r="S3775" s="113" t="n"/>
      <c r="T3775" s="113" t="n"/>
      <c r="U3775" s="113" t="n"/>
      <c r="V3775" s="113" t="n"/>
      <c r="W3775" s="113" t="n"/>
      <c r="X3775" s="113" t="n"/>
      <c r="Y3775" s="113" t="n"/>
      <c r="Z3775" s="117">
        <f>IF($B3775="",0,IF($S3775="EVET",IF($D3775="GELİR",$O3775,-$O3775),0))</f>
        <v/>
      </c>
      <c r="AA3775" s="117">
        <f>IF($B3775="",0,IF(OR($W3775="EVET",$X3775="EVET",$Y3775="EVET"),0,IF($D3775="GELİR",IF($E3775="SATIŞ İADESİ/İSKONTO",-$O3775,$O3775),-$O3775)))</f>
        <v/>
      </c>
      <c r="AB3775" s="117">
        <f>IF($B3775="","",IF(OR($D3775="",$E3775="",$O3775=""),"EKSİK",IF($O3775&lt;=0,"SIFIR/NEGATİF",IF(COUNTIFS($C$6:$C$5000,$C3775,$O$6:$O$5000,$O3775,$B$6:$B$5000,$B3775)&gt;1,"MÜKERRER","OK"))))</f>
        <v/>
      </c>
    </row>
    <row r="3776" ht="16.5" customHeight="1" s="80">
      <c r="A3776" s="113" t="n"/>
      <c r="B3776" s="113" t="n"/>
      <c r="C3776" s="113" t="n"/>
      <c r="D3776" s="113" t="n"/>
      <c r="E3776" s="113" t="n"/>
      <c r="F3776" s="113" t="n"/>
      <c r="G3776" s="113" t="n"/>
      <c r="H3776" s="113" t="n"/>
      <c r="I3776" s="113" t="n"/>
      <c r="J3776" s="113" t="n"/>
      <c r="K3776" s="113" t="n"/>
      <c r="L3776" s="113" t="n"/>
      <c r="M3776" s="113" t="n"/>
      <c r="N3776" s="113" t="n"/>
      <c r="O3776" s="113" t="n"/>
      <c r="P3776" s="113" t="n"/>
      <c r="Q3776" s="113" t="n"/>
      <c r="R3776" s="113" t="n"/>
      <c r="S3776" s="113" t="n"/>
      <c r="T3776" s="113" t="n"/>
      <c r="U3776" s="113" t="n"/>
      <c r="V3776" s="113" t="n"/>
      <c r="W3776" s="113" t="n"/>
      <c r="X3776" s="113" t="n"/>
      <c r="Y3776" s="113" t="n"/>
      <c r="Z3776" s="117">
        <f>IF($B3776="",0,IF($S3776="EVET",IF($D3776="GELİR",$O3776,-$O3776),0))</f>
        <v/>
      </c>
      <c r="AA3776" s="117">
        <f>IF($B3776="",0,IF(OR($W3776="EVET",$X3776="EVET",$Y3776="EVET"),0,IF($D3776="GELİR",IF($E3776="SATIŞ İADESİ/İSKONTO",-$O3776,$O3776),-$O3776)))</f>
        <v/>
      </c>
      <c r="AB3776" s="117">
        <f>IF($B3776="","",IF(OR($D3776="",$E3776="",$O3776=""),"EKSİK",IF($O3776&lt;=0,"SIFIR/NEGATİF",IF(COUNTIFS($C$6:$C$5000,$C3776,$O$6:$O$5000,$O3776,$B$6:$B$5000,$B3776)&gt;1,"MÜKERRER","OK"))))</f>
        <v/>
      </c>
    </row>
    <row r="3777" ht="16.5" customHeight="1" s="80">
      <c r="A3777" s="113" t="n"/>
      <c r="B3777" s="113" t="n"/>
      <c r="C3777" s="113" t="n"/>
      <c r="D3777" s="113" t="n"/>
      <c r="E3777" s="113" t="n"/>
      <c r="F3777" s="113" t="n"/>
      <c r="G3777" s="113" t="n"/>
      <c r="H3777" s="113" t="n"/>
      <c r="I3777" s="113" t="n"/>
      <c r="J3777" s="113" t="n"/>
      <c r="K3777" s="113" t="n"/>
      <c r="L3777" s="113" t="n"/>
      <c r="M3777" s="113" t="n"/>
      <c r="N3777" s="113" t="n"/>
      <c r="O3777" s="113" t="n"/>
      <c r="P3777" s="113" t="n"/>
      <c r="Q3777" s="113" t="n"/>
      <c r="R3777" s="113" t="n"/>
      <c r="S3777" s="113" t="n"/>
      <c r="T3777" s="113" t="n"/>
      <c r="U3777" s="113" t="n"/>
      <c r="V3777" s="113" t="n"/>
      <c r="W3777" s="113" t="n"/>
      <c r="X3777" s="113" t="n"/>
      <c r="Y3777" s="113" t="n"/>
      <c r="Z3777" s="117">
        <f>IF($B3777="",0,IF($S3777="EVET",IF($D3777="GELİR",$O3777,-$O3777),0))</f>
        <v/>
      </c>
      <c r="AA3777" s="117">
        <f>IF($B3777="",0,IF(OR($W3777="EVET",$X3777="EVET",$Y3777="EVET"),0,IF($D3777="GELİR",IF($E3777="SATIŞ İADESİ/İSKONTO",-$O3777,$O3777),-$O3777)))</f>
        <v/>
      </c>
      <c r="AB3777" s="117">
        <f>IF($B3777="","",IF(OR($D3777="",$E3777="",$O3777=""),"EKSİK",IF($O3777&lt;=0,"SIFIR/NEGATİF",IF(COUNTIFS($C$6:$C$5000,$C3777,$O$6:$O$5000,$O3777,$B$6:$B$5000,$B3777)&gt;1,"MÜKERRER","OK"))))</f>
        <v/>
      </c>
    </row>
    <row r="3778" ht="16.5" customHeight="1" s="80">
      <c r="A3778" s="113" t="n"/>
      <c r="B3778" s="113" t="n"/>
      <c r="C3778" s="113" t="n"/>
      <c r="D3778" s="113" t="n"/>
      <c r="E3778" s="113" t="n"/>
      <c r="F3778" s="113" t="n"/>
      <c r="G3778" s="113" t="n"/>
      <c r="H3778" s="113" t="n"/>
      <c r="I3778" s="113" t="n"/>
      <c r="J3778" s="113" t="n"/>
      <c r="K3778" s="113" t="n"/>
      <c r="L3778" s="113" t="n"/>
      <c r="M3778" s="113" t="n"/>
      <c r="N3778" s="113" t="n"/>
      <c r="O3778" s="113" t="n"/>
      <c r="P3778" s="113" t="n"/>
      <c r="Q3778" s="113" t="n"/>
      <c r="R3778" s="113" t="n"/>
      <c r="S3778" s="113" t="n"/>
      <c r="T3778" s="113" t="n"/>
      <c r="U3778" s="113" t="n"/>
      <c r="V3778" s="113" t="n"/>
      <c r="W3778" s="113" t="n"/>
      <c r="X3778" s="113" t="n"/>
      <c r="Y3778" s="113" t="n"/>
      <c r="Z3778" s="117">
        <f>IF($B3778="",0,IF($S3778="EVET",IF($D3778="GELİR",$O3778,-$O3778),0))</f>
        <v/>
      </c>
      <c r="AA3778" s="117">
        <f>IF($B3778="",0,IF(OR($W3778="EVET",$X3778="EVET",$Y3778="EVET"),0,IF($D3778="GELİR",IF($E3778="SATIŞ İADESİ/İSKONTO",-$O3778,$O3778),-$O3778)))</f>
        <v/>
      </c>
      <c r="AB3778" s="117">
        <f>IF($B3778="","",IF(OR($D3778="",$E3778="",$O3778=""),"EKSİK",IF($O3778&lt;=0,"SIFIR/NEGATİF",IF(COUNTIFS($C$6:$C$5000,$C3778,$O$6:$O$5000,$O3778,$B$6:$B$5000,$B3778)&gt;1,"MÜKERRER","OK"))))</f>
        <v/>
      </c>
    </row>
    <row r="3779" ht="16.5" customHeight="1" s="80">
      <c r="A3779" s="113" t="n"/>
      <c r="B3779" s="113" t="n"/>
      <c r="C3779" s="113" t="n"/>
      <c r="D3779" s="113" t="n"/>
      <c r="E3779" s="113" t="n"/>
      <c r="F3779" s="113" t="n"/>
      <c r="G3779" s="113" t="n"/>
      <c r="H3779" s="113" t="n"/>
      <c r="I3779" s="113" t="n"/>
      <c r="J3779" s="113" t="n"/>
      <c r="K3779" s="113" t="n"/>
      <c r="L3779" s="113" t="n"/>
      <c r="M3779" s="113" t="n"/>
      <c r="N3779" s="113" t="n"/>
      <c r="O3779" s="113" t="n"/>
      <c r="P3779" s="113" t="n"/>
      <c r="Q3779" s="113" t="n"/>
      <c r="R3779" s="113" t="n"/>
      <c r="S3779" s="113" t="n"/>
      <c r="T3779" s="113" t="n"/>
      <c r="U3779" s="113" t="n"/>
      <c r="V3779" s="113" t="n"/>
      <c r="W3779" s="113" t="n"/>
      <c r="X3779" s="113" t="n"/>
      <c r="Y3779" s="113" t="n"/>
      <c r="Z3779" s="117">
        <f>IF($B3779="",0,IF($S3779="EVET",IF($D3779="GELİR",$O3779,-$O3779),0))</f>
        <v/>
      </c>
      <c r="AA3779" s="117">
        <f>IF($B3779="",0,IF(OR($W3779="EVET",$X3779="EVET",$Y3779="EVET"),0,IF($D3779="GELİR",IF($E3779="SATIŞ İADESİ/İSKONTO",-$O3779,$O3779),-$O3779)))</f>
        <v/>
      </c>
      <c r="AB3779" s="117">
        <f>IF($B3779="","",IF(OR($D3779="",$E3779="",$O3779=""),"EKSİK",IF($O3779&lt;=0,"SIFIR/NEGATİF",IF(COUNTIFS($C$6:$C$5000,$C3779,$O$6:$O$5000,$O3779,$B$6:$B$5000,$B3779)&gt;1,"MÜKERRER","OK"))))</f>
        <v/>
      </c>
    </row>
    <row r="3780" ht="16.5" customHeight="1" s="80">
      <c r="A3780" s="113" t="n"/>
      <c r="B3780" s="113" t="n"/>
      <c r="C3780" s="113" t="n"/>
      <c r="D3780" s="113" t="n"/>
      <c r="E3780" s="113" t="n"/>
      <c r="F3780" s="113" t="n"/>
      <c r="G3780" s="113" t="n"/>
      <c r="H3780" s="113" t="n"/>
      <c r="I3780" s="113" t="n"/>
      <c r="J3780" s="113" t="n"/>
      <c r="K3780" s="113" t="n"/>
      <c r="L3780" s="113" t="n"/>
      <c r="M3780" s="113" t="n"/>
      <c r="N3780" s="113" t="n"/>
      <c r="O3780" s="113" t="n"/>
      <c r="P3780" s="113" t="n"/>
      <c r="Q3780" s="113" t="n"/>
      <c r="R3780" s="113" t="n"/>
      <c r="S3780" s="113" t="n"/>
      <c r="T3780" s="113" t="n"/>
      <c r="U3780" s="113" t="n"/>
      <c r="V3780" s="113" t="n"/>
      <c r="W3780" s="113" t="n"/>
      <c r="X3780" s="113" t="n"/>
      <c r="Y3780" s="113" t="n"/>
      <c r="Z3780" s="117">
        <f>IF($B3780="",0,IF($S3780="EVET",IF($D3780="GELİR",$O3780,-$O3780),0))</f>
        <v/>
      </c>
      <c r="AA3780" s="117">
        <f>IF($B3780="",0,IF(OR($W3780="EVET",$X3780="EVET",$Y3780="EVET"),0,IF($D3780="GELİR",IF($E3780="SATIŞ İADESİ/İSKONTO",-$O3780,$O3780),-$O3780)))</f>
        <v/>
      </c>
      <c r="AB3780" s="117">
        <f>IF($B3780="","",IF(OR($D3780="",$E3780="",$O3780=""),"EKSİK",IF($O3780&lt;=0,"SIFIR/NEGATİF",IF(COUNTIFS($C$6:$C$5000,$C3780,$O$6:$O$5000,$O3780,$B$6:$B$5000,$B3780)&gt;1,"MÜKERRER","OK"))))</f>
        <v/>
      </c>
    </row>
    <row r="3781" ht="16.5" customHeight="1" s="80">
      <c r="A3781" s="113" t="n"/>
      <c r="B3781" s="113" t="n"/>
      <c r="C3781" s="113" t="n"/>
      <c r="D3781" s="113" t="n"/>
      <c r="E3781" s="113" t="n"/>
      <c r="F3781" s="113" t="n"/>
      <c r="G3781" s="113" t="n"/>
      <c r="H3781" s="113" t="n"/>
      <c r="I3781" s="113" t="n"/>
      <c r="J3781" s="113" t="n"/>
      <c r="K3781" s="113" t="n"/>
      <c r="L3781" s="113" t="n"/>
      <c r="M3781" s="113" t="n"/>
      <c r="N3781" s="113" t="n"/>
      <c r="O3781" s="113" t="n"/>
      <c r="P3781" s="113" t="n"/>
      <c r="Q3781" s="113" t="n"/>
      <c r="R3781" s="113" t="n"/>
      <c r="S3781" s="113" t="n"/>
      <c r="T3781" s="113" t="n"/>
      <c r="U3781" s="113" t="n"/>
      <c r="V3781" s="113" t="n"/>
      <c r="W3781" s="113" t="n"/>
      <c r="X3781" s="113" t="n"/>
      <c r="Y3781" s="113" t="n"/>
      <c r="Z3781" s="117">
        <f>IF($B3781="",0,IF($S3781="EVET",IF($D3781="GELİR",$O3781,-$O3781),0))</f>
        <v/>
      </c>
      <c r="AA3781" s="117">
        <f>IF($B3781="",0,IF(OR($W3781="EVET",$X3781="EVET",$Y3781="EVET"),0,IF($D3781="GELİR",IF($E3781="SATIŞ İADESİ/İSKONTO",-$O3781,$O3781),-$O3781)))</f>
        <v/>
      </c>
      <c r="AB3781" s="117">
        <f>IF($B3781="","",IF(OR($D3781="",$E3781="",$O3781=""),"EKSİK",IF($O3781&lt;=0,"SIFIR/NEGATİF",IF(COUNTIFS($C$6:$C$5000,$C3781,$O$6:$O$5000,$O3781,$B$6:$B$5000,$B3781)&gt;1,"MÜKERRER","OK"))))</f>
        <v/>
      </c>
    </row>
    <row r="3782" ht="16.5" customHeight="1" s="80">
      <c r="A3782" s="113" t="n"/>
      <c r="B3782" s="113" t="n"/>
      <c r="C3782" s="113" t="n"/>
      <c r="D3782" s="113" t="n"/>
      <c r="E3782" s="113" t="n"/>
      <c r="F3782" s="113" t="n"/>
      <c r="G3782" s="113" t="n"/>
      <c r="H3782" s="113" t="n"/>
      <c r="I3782" s="113" t="n"/>
      <c r="J3782" s="113" t="n"/>
      <c r="K3782" s="113" t="n"/>
      <c r="L3782" s="113" t="n"/>
      <c r="M3782" s="113" t="n"/>
      <c r="N3782" s="113" t="n"/>
      <c r="O3782" s="113" t="n"/>
      <c r="P3782" s="113" t="n"/>
      <c r="Q3782" s="113" t="n"/>
      <c r="R3782" s="113" t="n"/>
      <c r="S3782" s="113" t="n"/>
      <c r="T3782" s="113" t="n"/>
      <c r="U3782" s="113" t="n"/>
      <c r="V3782" s="113" t="n"/>
      <c r="W3782" s="113" t="n"/>
      <c r="X3782" s="113" t="n"/>
      <c r="Y3782" s="113" t="n"/>
      <c r="Z3782" s="117">
        <f>IF($B3782="",0,IF($S3782="EVET",IF($D3782="GELİR",$O3782,-$O3782),0))</f>
        <v/>
      </c>
      <c r="AA3782" s="117">
        <f>IF($B3782="",0,IF(OR($W3782="EVET",$X3782="EVET",$Y3782="EVET"),0,IF($D3782="GELİR",IF($E3782="SATIŞ İADESİ/İSKONTO",-$O3782,$O3782),-$O3782)))</f>
        <v/>
      </c>
      <c r="AB3782" s="117">
        <f>IF($B3782="","",IF(OR($D3782="",$E3782="",$O3782=""),"EKSİK",IF($O3782&lt;=0,"SIFIR/NEGATİF",IF(COUNTIFS($C$6:$C$5000,$C3782,$O$6:$O$5000,$O3782,$B$6:$B$5000,$B3782)&gt;1,"MÜKERRER","OK"))))</f>
        <v/>
      </c>
    </row>
    <row r="3783" ht="16.5" customHeight="1" s="80">
      <c r="A3783" s="113" t="n"/>
      <c r="B3783" s="113" t="n"/>
      <c r="C3783" s="113" t="n"/>
      <c r="D3783" s="113" t="n"/>
      <c r="E3783" s="113" t="n"/>
      <c r="F3783" s="113" t="n"/>
      <c r="G3783" s="113" t="n"/>
      <c r="H3783" s="113" t="n"/>
      <c r="I3783" s="113" t="n"/>
      <c r="J3783" s="113" t="n"/>
      <c r="K3783" s="113" t="n"/>
      <c r="L3783" s="113" t="n"/>
      <c r="M3783" s="113" t="n"/>
      <c r="N3783" s="113" t="n"/>
      <c r="O3783" s="113" t="n"/>
      <c r="P3783" s="113" t="n"/>
      <c r="Q3783" s="113" t="n"/>
      <c r="R3783" s="113" t="n"/>
      <c r="S3783" s="113" t="n"/>
      <c r="T3783" s="113" t="n"/>
      <c r="U3783" s="113" t="n"/>
      <c r="V3783" s="113" t="n"/>
      <c r="W3783" s="113" t="n"/>
      <c r="X3783" s="113" t="n"/>
      <c r="Y3783" s="113" t="n"/>
      <c r="Z3783" s="117">
        <f>IF($B3783="",0,IF($S3783="EVET",IF($D3783="GELİR",$O3783,-$O3783),0))</f>
        <v/>
      </c>
      <c r="AA3783" s="117">
        <f>IF($B3783="",0,IF(OR($W3783="EVET",$X3783="EVET",$Y3783="EVET"),0,IF($D3783="GELİR",IF($E3783="SATIŞ İADESİ/İSKONTO",-$O3783,$O3783),-$O3783)))</f>
        <v/>
      </c>
      <c r="AB3783" s="117">
        <f>IF($B3783="","",IF(OR($D3783="",$E3783="",$O3783=""),"EKSİK",IF($O3783&lt;=0,"SIFIR/NEGATİF",IF(COUNTIFS($C$6:$C$5000,$C3783,$O$6:$O$5000,$O3783,$B$6:$B$5000,$B3783)&gt;1,"MÜKERRER","OK"))))</f>
        <v/>
      </c>
    </row>
    <row r="3784" ht="16.5" customHeight="1" s="80">
      <c r="A3784" s="113" t="n"/>
      <c r="B3784" s="113" t="n"/>
      <c r="C3784" s="113" t="n"/>
      <c r="D3784" s="113" t="n"/>
      <c r="E3784" s="113" t="n"/>
      <c r="F3784" s="113" t="n"/>
      <c r="G3784" s="113" t="n"/>
      <c r="H3784" s="113" t="n"/>
      <c r="I3784" s="113" t="n"/>
      <c r="J3784" s="113" t="n"/>
      <c r="K3784" s="113" t="n"/>
      <c r="L3784" s="113" t="n"/>
      <c r="M3784" s="113" t="n"/>
      <c r="N3784" s="113" t="n"/>
      <c r="O3784" s="113" t="n"/>
      <c r="P3784" s="113" t="n"/>
      <c r="Q3784" s="113" t="n"/>
      <c r="R3784" s="113" t="n"/>
      <c r="S3784" s="113" t="n"/>
      <c r="T3784" s="113" t="n"/>
      <c r="U3784" s="113" t="n"/>
      <c r="V3784" s="113" t="n"/>
      <c r="W3784" s="113" t="n"/>
      <c r="X3784" s="113" t="n"/>
      <c r="Y3784" s="113" t="n"/>
      <c r="Z3784" s="117">
        <f>IF($B3784="",0,IF($S3784="EVET",IF($D3784="GELİR",$O3784,-$O3784),0))</f>
        <v/>
      </c>
      <c r="AA3784" s="117">
        <f>IF($B3784="",0,IF(OR($W3784="EVET",$X3784="EVET",$Y3784="EVET"),0,IF($D3784="GELİR",IF($E3784="SATIŞ İADESİ/İSKONTO",-$O3784,$O3784),-$O3784)))</f>
        <v/>
      </c>
      <c r="AB3784" s="117">
        <f>IF($B3784="","",IF(OR($D3784="",$E3784="",$O3784=""),"EKSİK",IF($O3784&lt;=0,"SIFIR/NEGATİF",IF(COUNTIFS($C$6:$C$5000,$C3784,$O$6:$O$5000,$O3784,$B$6:$B$5000,$B3784)&gt;1,"MÜKERRER","OK"))))</f>
        <v/>
      </c>
    </row>
    <row r="3785" ht="16.5" customHeight="1" s="80">
      <c r="A3785" s="113" t="n"/>
      <c r="B3785" s="113" t="n"/>
      <c r="C3785" s="113" t="n"/>
      <c r="D3785" s="113" t="n"/>
      <c r="E3785" s="113" t="n"/>
      <c r="F3785" s="113" t="n"/>
      <c r="G3785" s="113" t="n"/>
      <c r="H3785" s="113" t="n"/>
      <c r="I3785" s="113" t="n"/>
      <c r="J3785" s="113" t="n"/>
      <c r="K3785" s="113" t="n"/>
      <c r="L3785" s="113" t="n"/>
      <c r="M3785" s="113" t="n"/>
      <c r="N3785" s="113" t="n"/>
      <c r="O3785" s="113" t="n"/>
      <c r="P3785" s="113" t="n"/>
      <c r="Q3785" s="113" t="n"/>
      <c r="R3785" s="113" t="n"/>
      <c r="S3785" s="113" t="n"/>
      <c r="T3785" s="113" t="n"/>
      <c r="U3785" s="113" t="n"/>
      <c r="V3785" s="113" t="n"/>
      <c r="W3785" s="113" t="n"/>
      <c r="X3785" s="113" t="n"/>
      <c r="Y3785" s="113" t="n"/>
      <c r="Z3785" s="117">
        <f>IF($B3785="",0,IF($S3785="EVET",IF($D3785="GELİR",$O3785,-$O3785),0))</f>
        <v/>
      </c>
      <c r="AA3785" s="117">
        <f>IF($B3785="",0,IF(OR($W3785="EVET",$X3785="EVET",$Y3785="EVET"),0,IF($D3785="GELİR",IF($E3785="SATIŞ İADESİ/İSKONTO",-$O3785,$O3785),-$O3785)))</f>
        <v/>
      </c>
      <c r="AB3785" s="117">
        <f>IF($B3785="","",IF(OR($D3785="",$E3785="",$O3785=""),"EKSİK",IF($O3785&lt;=0,"SIFIR/NEGATİF",IF(COUNTIFS($C$6:$C$5000,$C3785,$O$6:$O$5000,$O3785,$B$6:$B$5000,$B3785)&gt;1,"MÜKERRER","OK"))))</f>
        <v/>
      </c>
    </row>
    <row r="3786" ht="16.5" customHeight="1" s="80">
      <c r="A3786" s="113" t="n"/>
      <c r="B3786" s="113" t="n"/>
      <c r="C3786" s="113" t="n"/>
      <c r="D3786" s="113" t="n"/>
      <c r="E3786" s="113" t="n"/>
      <c r="F3786" s="113" t="n"/>
      <c r="G3786" s="113" t="n"/>
      <c r="H3786" s="113" t="n"/>
      <c r="I3786" s="113" t="n"/>
      <c r="J3786" s="113" t="n"/>
      <c r="K3786" s="113" t="n"/>
      <c r="L3786" s="113" t="n"/>
      <c r="M3786" s="113" t="n"/>
      <c r="N3786" s="113" t="n"/>
      <c r="O3786" s="113" t="n"/>
      <c r="P3786" s="113" t="n"/>
      <c r="Q3786" s="113" t="n"/>
      <c r="R3786" s="113" t="n"/>
      <c r="S3786" s="113" t="n"/>
      <c r="T3786" s="113" t="n"/>
      <c r="U3786" s="113" t="n"/>
      <c r="V3786" s="113" t="n"/>
      <c r="W3786" s="113" t="n"/>
      <c r="X3786" s="113" t="n"/>
      <c r="Y3786" s="113" t="n"/>
      <c r="Z3786" s="117">
        <f>IF($B3786="",0,IF($S3786="EVET",IF($D3786="GELİR",$O3786,-$O3786),0))</f>
        <v/>
      </c>
      <c r="AA3786" s="117">
        <f>IF($B3786="",0,IF(OR($W3786="EVET",$X3786="EVET",$Y3786="EVET"),0,IF($D3786="GELİR",IF($E3786="SATIŞ İADESİ/İSKONTO",-$O3786,$O3786),-$O3786)))</f>
        <v/>
      </c>
      <c r="AB3786" s="117">
        <f>IF($B3786="","",IF(OR($D3786="",$E3786="",$O3786=""),"EKSİK",IF($O3786&lt;=0,"SIFIR/NEGATİF",IF(COUNTIFS($C$6:$C$5000,$C3786,$O$6:$O$5000,$O3786,$B$6:$B$5000,$B3786)&gt;1,"MÜKERRER","OK"))))</f>
        <v/>
      </c>
    </row>
    <row r="3787" ht="16.5" customHeight="1" s="80">
      <c r="A3787" s="113" t="n"/>
      <c r="B3787" s="113" t="n"/>
      <c r="C3787" s="113" t="n"/>
      <c r="D3787" s="113" t="n"/>
      <c r="E3787" s="113" t="n"/>
      <c r="F3787" s="113" t="n"/>
      <c r="G3787" s="113" t="n"/>
      <c r="H3787" s="113" t="n"/>
      <c r="I3787" s="113" t="n"/>
      <c r="J3787" s="113" t="n"/>
      <c r="K3787" s="113" t="n"/>
      <c r="L3787" s="113" t="n"/>
      <c r="M3787" s="113" t="n"/>
      <c r="N3787" s="113" t="n"/>
      <c r="O3787" s="113" t="n"/>
      <c r="P3787" s="113" t="n"/>
      <c r="Q3787" s="113" t="n"/>
      <c r="R3787" s="113" t="n"/>
      <c r="S3787" s="113" t="n"/>
      <c r="T3787" s="113" t="n"/>
      <c r="U3787" s="113" t="n"/>
      <c r="V3787" s="113" t="n"/>
      <c r="W3787" s="113" t="n"/>
      <c r="X3787" s="113" t="n"/>
      <c r="Y3787" s="113" t="n"/>
      <c r="Z3787" s="117">
        <f>IF($B3787="",0,IF($S3787="EVET",IF($D3787="GELİR",$O3787,-$O3787),0))</f>
        <v/>
      </c>
      <c r="AA3787" s="117">
        <f>IF($B3787="",0,IF(OR($W3787="EVET",$X3787="EVET",$Y3787="EVET"),0,IF($D3787="GELİR",IF($E3787="SATIŞ İADESİ/İSKONTO",-$O3787,$O3787),-$O3787)))</f>
        <v/>
      </c>
      <c r="AB3787" s="117">
        <f>IF($B3787="","",IF(OR($D3787="",$E3787="",$O3787=""),"EKSİK",IF($O3787&lt;=0,"SIFIR/NEGATİF",IF(COUNTIFS($C$6:$C$5000,$C3787,$O$6:$O$5000,$O3787,$B$6:$B$5000,$B3787)&gt;1,"MÜKERRER","OK"))))</f>
        <v/>
      </c>
    </row>
    <row r="3788" ht="16.5" customHeight="1" s="80">
      <c r="A3788" s="113" t="n"/>
      <c r="B3788" s="113" t="n"/>
      <c r="C3788" s="113" t="n"/>
      <c r="D3788" s="113" t="n"/>
      <c r="E3788" s="113" t="n"/>
      <c r="F3788" s="113" t="n"/>
      <c r="G3788" s="113" t="n"/>
      <c r="H3788" s="113" t="n"/>
      <c r="I3788" s="113" t="n"/>
      <c r="J3788" s="113" t="n"/>
      <c r="K3788" s="113" t="n"/>
      <c r="L3788" s="113" t="n"/>
      <c r="M3788" s="113" t="n"/>
      <c r="N3788" s="113" t="n"/>
      <c r="O3788" s="113" t="n"/>
      <c r="P3788" s="113" t="n"/>
      <c r="Q3788" s="113" t="n"/>
      <c r="R3788" s="113" t="n"/>
      <c r="S3788" s="113" t="n"/>
      <c r="T3788" s="113" t="n"/>
      <c r="U3788" s="113" t="n"/>
      <c r="V3788" s="113" t="n"/>
      <c r="W3788" s="113" t="n"/>
      <c r="X3788" s="113" t="n"/>
      <c r="Y3788" s="113" t="n"/>
      <c r="Z3788" s="117">
        <f>IF($B3788="",0,IF($S3788="EVET",IF($D3788="GELİR",$O3788,-$O3788),0))</f>
        <v/>
      </c>
      <c r="AA3788" s="117">
        <f>IF($B3788="",0,IF(OR($W3788="EVET",$X3788="EVET",$Y3788="EVET"),0,IF($D3788="GELİR",IF($E3788="SATIŞ İADESİ/İSKONTO",-$O3788,$O3788),-$O3788)))</f>
        <v/>
      </c>
      <c r="AB3788" s="117">
        <f>IF($B3788="","",IF(OR($D3788="",$E3788="",$O3788=""),"EKSİK",IF($O3788&lt;=0,"SIFIR/NEGATİF",IF(COUNTIFS($C$6:$C$5000,$C3788,$O$6:$O$5000,$O3788,$B$6:$B$5000,$B3788)&gt;1,"MÜKERRER","OK"))))</f>
        <v/>
      </c>
    </row>
    <row r="3789" ht="16.5" customHeight="1" s="80">
      <c r="A3789" s="113" t="n"/>
      <c r="B3789" s="113" t="n"/>
      <c r="C3789" s="113" t="n"/>
      <c r="D3789" s="113" t="n"/>
      <c r="E3789" s="113" t="n"/>
      <c r="F3789" s="113" t="n"/>
      <c r="G3789" s="113" t="n"/>
      <c r="H3789" s="113" t="n"/>
      <c r="I3789" s="113" t="n"/>
      <c r="J3789" s="113" t="n"/>
      <c r="K3789" s="113" t="n"/>
      <c r="L3789" s="113" t="n"/>
      <c r="M3789" s="113" t="n"/>
      <c r="N3789" s="113" t="n"/>
      <c r="O3789" s="113" t="n"/>
      <c r="P3789" s="113" t="n"/>
      <c r="Q3789" s="113" t="n"/>
      <c r="R3789" s="113" t="n"/>
      <c r="S3789" s="113" t="n"/>
      <c r="T3789" s="113" t="n"/>
      <c r="U3789" s="113" t="n"/>
      <c r="V3789" s="113" t="n"/>
      <c r="W3789" s="113" t="n"/>
      <c r="X3789" s="113" t="n"/>
      <c r="Y3789" s="113" t="n"/>
      <c r="Z3789" s="117">
        <f>IF($B3789="",0,IF($S3789="EVET",IF($D3789="GELİR",$O3789,-$O3789),0))</f>
        <v/>
      </c>
      <c r="AA3789" s="117">
        <f>IF($B3789="",0,IF(OR($W3789="EVET",$X3789="EVET",$Y3789="EVET"),0,IF($D3789="GELİR",IF($E3789="SATIŞ İADESİ/İSKONTO",-$O3789,$O3789),-$O3789)))</f>
        <v/>
      </c>
      <c r="AB3789" s="117">
        <f>IF($B3789="","",IF(OR($D3789="",$E3789="",$O3789=""),"EKSİK",IF($O3789&lt;=0,"SIFIR/NEGATİF",IF(COUNTIFS($C$6:$C$5000,$C3789,$O$6:$O$5000,$O3789,$B$6:$B$5000,$B3789)&gt;1,"MÜKERRER","OK"))))</f>
        <v/>
      </c>
    </row>
    <row r="3790" ht="16.5" customHeight="1" s="80">
      <c r="A3790" s="113" t="n"/>
      <c r="B3790" s="113" t="n"/>
      <c r="C3790" s="113" t="n"/>
      <c r="D3790" s="113" t="n"/>
      <c r="E3790" s="113" t="n"/>
      <c r="F3790" s="113" t="n"/>
      <c r="G3790" s="113" t="n"/>
      <c r="H3790" s="113" t="n"/>
      <c r="I3790" s="113" t="n"/>
      <c r="J3790" s="113" t="n"/>
      <c r="K3790" s="113" t="n"/>
      <c r="L3790" s="113" t="n"/>
      <c r="M3790" s="113" t="n"/>
      <c r="N3790" s="113" t="n"/>
      <c r="O3790" s="113" t="n"/>
      <c r="P3790" s="113" t="n"/>
      <c r="Q3790" s="113" t="n"/>
      <c r="R3790" s="113" t="n"/>
      <c r="S3790" s="113" t="n"/>
      <c r="T3790" s="113" t="n"/>
      <c r="U3790" s="113" t="n"/>
      <c r="V3790" s="113" t="n"/>
      <c r="W3790" s="113" t="n"/>
      <c r="X3790" s="113" t="n"/>
      <c r="Y3790" s="113" t="n"/>
      <c r="Z3790" s="117">
        <f>IF($B3790="",0,IF($S3790="EVET",IF($D3790="GELİR",$O3790,-$O3790),0))</f>
        <v/>
      </c>
      <c r="AA3790" s="117">
        <f>IF($B3790="",0,IF(OR($W3790="EVET",$X3790="EVET",$Y3790="EVET"),0,IF($D3790="GELİR",IF($E3790="SATIŞ İADESİ/İSKONTO",-$O3790,$O3790),-$O3790)))</f>
        <v/>
      </c>
      <c r="AB3790" s="117">
        <f>IF($B3790="","",IF(OR($D3790="",$E3790="",$O3790=""),"EKSİK",IF($O3790&lt;=0,"SIFIR/NEGATİF",IF(COUNTIFS($C$6:$C$5000,$C3790,$O$6:$O$5000,$O3790,$B$6:$B$5000,$B3790)&gt;1,"MÜKERRER","OK"))))</f>
        <v/>
      </c>
    </row>
    <row r="3791" ht="16.5" customHeight="1" s="80">
      <c r="A3791" s="113" t="n"/>
      <c r="B3791" s="113" t="n"/>
      <c r="C3791" s="113" t="n"/>
      <c r="D3791" s="113" t="n"/>
      <c r="E3791" s="113" t="n"/>
      <c r="F3791" s="113" t="n"/>
      <c r="G3791" s="113" t="n"/>
      <c r="H3791" s="113" t="n"/>
      <c r="I3791" s="113" t="n"/>
      <c r="J3791" s="113" t="n"/>
      <c r="K3791" s="113" t="n"/>
      <c r="L3791" s="113" t="n"/>
      <c r="M3791" s="113" t="n"/>
      <c r="N3791" s="113" t="n"/>
      <c r="O3791" s="113" t="n"/>
      <c r="P3791" s="113" t="n"/>
      <c r="Q3791" s="113" t="n"/>
      <c r="R3791" s="113" t="n"/>
      <c r="S3791" s="113" t="n"/>
      <c r="T3791" s="113" t="n"/>
      <c r="U3791" s="113" t="n"/>
      <c r="V3791" s="113" t="n"/>
      <c r="W3791" s="113" t="n"/>
      <c r="X3791" s="113" t="n"/>
      <c r="Y3791" s="113" t="n"/>
      <c r="Z3791" s="117">
        <f>IF($B3791="",0,IF($S3791="EVET",IF($D3791="GELİR",$O3791,-$O3791),0))</f>
        <v/>
      </c>
      <c r="AA3791" s="117">
        <f>IF($B3791="",0,IF(OR($W3791="EVET",$X3791="EVET",$Y3791="EVET"),0,IF($D3791="GELİR",IF($E3791="SATIŞ İADESİ/İSKONTO",-$O3791,$O3791),-$O3791)))</f>
        <v/>
      </c>
      <c r="AB3791" s="117">
        <f>IF($B3791="","",IF(OR($D3791="",$E3791="",$O3791=""),"EKSİK",IF($O3791&lt;=0,"SIFIR/NEGATİF",IF(COUNTIFS($C$6:$C$5000,$C3791,$O$6:$O$5000,$O3791,$B$6:$B$5000,$B3791)&gt;1,"MÜKERRER","OK"))))</f>
        <v/>
      </c>
    </row>
    <row r="3792" ht="16.5" customHeight="1" s="80">
      <c r="A3792" s="113" t="n"/>
      <c r="B3792" s="113" t="n"/>
      <c r="C3792" s="113" t="n"/>
      <c r="D3792" s="113" t="n"/>
      <c r="E3792" s="113" t="n"/>
      <c r="F3792" s="113" t="n"/>
      <c r="G3792" s="113" t="n"/>
      <c r="H3792" s="113" t="n"/>
      <c r="I3792" s="113" t="n"/>
      <c r="J3792" s="113" t="n"/>
      <c r="K3792" s="113" t="n"/>
      <c r="L3792" s="113" t="n"/>
      <c r="M3792" s="113" t="n"/>
      <c r="N3792" s="113" t="n"/>
      <c r="O3792" s="113" t="n"/>
      <c r="P3792" s="113" t="n"/>
      <c r="Q3792" s="113" t="n"/>
      <c r="R3792" s="113" t="n"/>
      <c r="S3792" s="113" t="n"/>
      <c r="T3792" s="113" t="n"/>
      <c r="U3792" s="113" t="n"/>
      <c r="V3792" s="113" t="n"/>
      <c r="W3792" s="113" t="n"/>
      <c r="X3792" s="113" t="n"/>
      <c r="Y3792" s="113" t="n"/>
      <c r="Z3792" s="117">
        <f>IF($B3792="",0,IF($S3792="EVET",IF($D3792="GELİR",$O3792,-$O3792),0))</f>
        <v/>
      </c>
      <c r="AA3792" s="117">
        <f>IF($B3792="",0,IF(OR($W3792="EVET",$X3792="EVET",$Y3792="EVET"),0,IF($D3792="GELİR",IF($E3792="SATIŞ İADESİ/İSKONTO",-$O3792,$O3792),-$O3792)))</f>
        <v/>
      </c>
      <c r="AB3792" s="117">
        <f>IF($B3792="","",IF(OR($D3792="",$E3792="",$O3792=""),"EKSİK",IF($O3792&lt;=0,"SIFIR/NEGATİF",IF(COUNTIFS($C$6:$C$5000,$C3792,$O$6:$O$5000,$O3792,$B$6:$B$5000,$B3792)&gt;1,"MÜKERRER","OK"))))</f>
        <v/>
      </c>
    </row>
    <row r="3793" ht="16.5" customHeight="1" s="80">
      <c r="A3793" s="113" t="n"/>
      <c r="B3793" s="113" t="n"/>
      <c r="C3793" s="113" t="n"/>
      <c r="D3793" s="113" t="n"/>
      <c r="E3793" s="113" t="n"/>
      <c r="F3793" s="113" t="n"/>
      <c r="G3793" s="113" t="n"/>
      <c r="H3793" s="113" t="n"/>
      <c r="I3793" s="113" t="n"/>
      <c r="J3793" s="113" t="n"/>
      <c r="K3793" s="113" t="n"/>
      <c r="L3793" s="113" t="n"/>
      <c r="M3793" s="113" t="n"/>
      <c r="N3793" s="113" t="n"/>
      <c r="O3793" s="113" t="n"/>
      <c r="P3793" s="113" t="n"/>
      <c r="Q3793" s="113" t="n"/>
      <c r="R3793" s="113" t="n"/>
      <c r="S3793" s="113" t="n"/>
      <c r="T3793" s="113" t="n"/>
      <c r="U3793" s="113" t="n"/>
      <c r="V3793" s="113" t="n"/>
      <c r="W3793" s="113" t="n"/>
      <c r="X3793" s="113" t="n"/>
      <c r="Y3793" s="113" t="n"/>
      <c r="Z3793" s="117">
        <f>IF($B3793="",0,IF($S3793="EVET",IF($D3793="GELİR",$O3793,-$O3793),0))</f>
        <v/>
      </c>
      <c r="AA3793" s="117">
        <f>IF($B3793="",0,IF(OR($W3793="EVET",$X3793="EVET",$Y3793="EVET"),0,IF($D3793="GELİR",IF($E3793="SATIŞ İADESİ/İSKONTO",-$O3793,$O3793),-$O3793)))</f>
        <v/>
      </c>
      <c r="AB3793" s="117">
        <f>IF($B3793="","",IF(OR($D3793="",$E3793="",$O3793=""),"EKSİK",IF($O3793&lt;=0,"SIFIR/NEGATİF",IF(COUNTIFS($C$6:$C$5000,$C3793,$O$6:$O$5000,$O3793,$B$6:$B$5000,$B3793)&gt;1,"MÜKERRER","OK"))))</f>
        <v/>
      </c>
    </row>
    <row r="3794" ht="16.5" customHeight="1" s="80">
      <c r="A3794" s="113" t="n"/>
      <c r="B3794" s="113" t="n"/>
      <c r="C3794" s="113" t="n"/>
      <c r="D3794" s="113" t="n"/>
      <c r="E3794" s="113" t="n"/>
      <c r="F3794" s="113" t="n"/>
      <c r="G3794" s="113" t="n"/>
      <c r="H3794" s="113" t="n"/>
      <c r="I3794" s="113" t="n"/>
      <c r="J3794" s="113" t="n"/>
      <c r="K3794" s="113" t="n"/>
      <c r="L3794" s="113" t="n"/>
      <c r="M3794" s="113" t="n"/>
      <c r="N3794" s="113" t="n"/>
      <c r="O3794" s="113" t="n"/>
      <c r="P3794" s="113" t="n"/>
      <c r="Q3794" s="113" t="n"/>
      <c r="R3794" s="113" t="n"/>
      <c r="S3794" s="113" t="n"/>
      <c r="T3794" s="113" t="n"/>
      <c r="U3794" s="113" t="n"/>
      <c r="V3794" s="113" t="n"/>
      <c r="W3794" s="113" t="n"/>
      <c r="X3794" s="113" t="n"/>
      <c r="Y3794" s="113" t="n"/>
      <c r="Z3794" s="117">
        <f>IF($B3794="",0,IF($S3794="EVET",IF($D3794="GELİR",$O3794,-$O3794),0))</f>
        <v/>
      </c>
      <c r="AA3794" s="117">
        <f>IF($B3794="",0,IF(OR($W3794="EVET",$X3794="EVET",$Y3794="EVET"),0,IF($D3794="GELİR",IF($E3794="SATIŞ İADESİ/İSKONTO",-$O3794,$O3794),-$O3794)))</f>
        <v/>
      </c>
      <c r="AB3794" s="117">
        <f>IF($B3794="","",IF(OR($D3794="",$E3794="",$O3794=""),"EKSİK",IF($O3794&lt;=0,"SIFIR/NEGATİF",IF(COUNTIFS($C$6:$C$5000,$C3794,$O$6:$O$5000,$O3794,$B$6:$B$5000,$B3794)&gt;1,"MÜKERRER","OK"))))</f>
        <v/>
      </c>
    </row>
    <row r="3795" ht="16.5" customHeight="1" s="80">
      <c r="A3795" s="113" t="n"/>
      <c r="B3795" s="113" t="n"/>
      <c r="C3795" s="113" t="n"/>
      <c r="D3795" s="113" t="n"/>
      <c r="E3795" s="113" t="n"/>
      <c r="F3795" s="113" t="n"/>
      <c r="G3795" s="113" t="n"/>
      <c r="H3795" s="113" t="n"/>
      <c r="I3795" s="113" t="n"/>
      <c r="J3795" s="113" t="n"/>
      <c r="K3795" s="113" t="n"/>
      <c r="L3795" s="113" t="n"/>
      <c r="M3795" s="113" t="n"/>
      <c r="N3795" s="113" t="n"/>
      <c r="O3795" s="113" t="n"/>
      <c r="P3795" s="113" t="n"/>
      <c r="Q3795" s="113" t="n"/>
      <c r="R3795" s="113" t="n"/>
      <c r="S3795" s="113" t="n"/>
      <c r="T3795" s="113" t="n"/>
      <c r="U3795" s="113" t="n"/>
      <c r="V3795" s="113" t="n"/>
      <c r="W3795" s="113" t="n"/>
      <c r="X3795" s="113" t="n"/>
      <c r="Y3795" s="113" t="n"/>
      <c r="Z3795" s="117">
        <f>IF($B3795="",0,IF($S3795="EVET",IF($D3795="GELİR",$O3795,-$O3795),0))</f>
        <v/>
      </c>
      <c r="AA3795" s="117">
        <f>IF($B3795="",0,IF(OR($W3795="EVET",$X3795="EVET",$Y3795="EVET"),0,IF($D3795="GELİR",IF($E3795="SATIŞ İADESİ/İSKONTO",-$O3795,$O3795),-$O3795)))</f>
        <v/>
      </c>
      <c r="AB3795" s="117">
        <f>IF($B3795="","",IF(OR($D3795="",$E3795="",$O3795=""),"EKSİK",IF($O3795&lt;=0,"SIFIR/NEGATİF",IF(COUNTIFS($C$6:$C$5000,$C3795,$O$6:$O$5000,$O3795,$B$6:$B$5000,$B3795)&gt;1,"MÜKERRER","OK"))))</f>
        <v/>
      </c>
    </row>
    <row r="3796" ht="16.5" customHeight="1" s="80">
      <c r="A3796" s="113" t="n"/>
      <c r="B3796" s="113" t="n"/>
      <c r="C3796" s="113" t="n"/>
      <c r="D3796" s="113" t="n"/>
      <c r="E3796" s="113" t="n"/>
      <c r="F3796" s="113" t="n"/>
      <c r="G3796" s="113" t="n"/>
      <c r="H3796" s="113" t="n"/>
      <c r="I3796" s="113" t="n"/>
      <c r="J3796" s="113" t="n"/>
      <c r="K3796" s="113" t="n"/>
      <c r="L3796" s="113" t="n"/>
      <c r="M3796" s="113" t="n"/>
      <c r="N3796" s="113" t="n"/>
      <c r="O3796" s="113" t="n"/>
      <c r="P3796" s="113" t="n"/>
      <c r="Q3796" s="113" t="n"/>
      <c r="R3796" s="113" t="n"/>
      <c r="S3796" s="113" t="n"/>
      <c r="T3796" s="113" t="n"/>
      <c r="U3796" s="113" t="n"/>
      <c r="V3796" s="113" t="n"/>
      <c r="W3796" s="113" t="n"/>
      <c r="X3796" s="113" t="n"/>
      <c r="Y3796" s="113" t="n"/>
      <c r="Z3796" s="117">
        <f>IF($B3796="",0,IF($S3796="EVET",IF($D3796="GELİR",$O3796,-$O3796),0))</f>
        <v/>
      </c>
      <c r="AA3796" s="117">
        <f>IF($B3796="",0,IF(OR($W3796="EVET",$X3796="EVET",$Y3796="EVET"),0,IF($D3796="GELİR",IF($E3796="SATIŞ İADESİ/İSKONTO",-$O3796,$O3796),-$O3796)))</f>
        <v/>
      </c>
      <c r="AB3796" s="117">
        <f>IF($B3796="","",IF(OR($D3796="",$E3796="",$O3796=""),"EKSİK",IF($O3796&lt;=0,"SIFIR/NEGATİF",IF(COUNTIFS($C$6:$C$5000,$C3796,$O$6:$O$5000,$O3796,$B$6:$B$5000,$B3796)&gt;1,"MÜKERRER","OK"))))</f>
        <v/>
      </c>
    </row>
    <row r="3797" ht="16.5" customHeight="1" s="80">
      <c r="A3797" s="113" t="n"/>
      <c r="B3797" s="113" t="n"/>
      <c r="C3797" s="113" t="n"/>
      <c r="D3797" s="113" t="n"/>
      <c r="E3797" s="113" t="n"/>
      <c r="F3797" s="113" t="n"/>
      <c r="G3797" s="113" t="n"/>
      <c r="H3797" s="113" t="n"/>
      <c r="I3797" s="113" t="n"/>
      <c r="J3797" s="113" t="n"/>
      <c r="K3797" s="113" t="n"/>
      <c r="L3797" s="113" t="n"/>
      <c r="M3797" s="113" t="n"/>
      <c r="N3797" s="113" t="n"/>
      <c r="O3797" s="113" t="n"/>
      <c r="P3797" s="113" t="n"/>
      <c r="Q3797" s="113" t="n"/>
      <c r="R3797" s="113" t="n"/>
      <c r="S3797" s="113" t="n"/>
      <c r="T3797" s="113" t="n"/>
      <c r="U3797" s="113" t="n"/>
      <c r="V3797" s="113" t="n"/>
      <c r="W3797" s="113" t="n"/>
      <c r="X3797" s="113" t="n"/>
      <c r="Y3797" s="113" t="n"/>
      <c r="Z3797" s="117">
        <f>IF($B3797="",0,IF($S3797="EVET",IF($D3797="GELİR",$O3797,-$O3797),0))</f>
        <v/>
      </c>
      <c r="AA3797" s="117">
        <f>IF($B3797="",0,IF(OR($W3797="EVET",$X3797="EVET",$Y3797="EVET"),0,IF($D3797="GELİR",IF($E3797="SATIŞ İADESİ/İSKONTO",-$O3797,$O3797),-$O3797)))</f>
        <v/>
      </c>
      <c r="AB3797" s="117">
        <f>IF($B3797="","",IF(OR($D3797="",$E3797="",$O3797=""),"EKSİK",IF($O3797&lt;=0,"SIFIR/NEGATİF",IF(COUNTIFS($C$6:$C$5000,$C3797,$O$6:$O$5000,$O3797,$B$6:$B$5000,$B3797)&gt;1,"MÜKERRER","OK"))))</f>
        <v/>
      </c>
    </row>
    <row r="3798" ht="16.5" customHeight="1" s="80">
      <c r="A3798" s="113" t="n"/>
      <c r="B3798" s="113" t="n"/>
      <c r="C3798" s="113" t="n"/>
      <c r="D3798" s="113" t="n"/>
      <c r="E3798" s="113" t="n"/>
      <c r="F3798" s="113" t="n"/>
      <c r="G3798" s="113" t="n"/>
      <c r="H3798" s="113" t="n"/>
      <c r="I3798" s="113" t="n"/>
      <c r="J3798" s="113" t="n"/>
      <c r="K3798" s="113" t="n"/>
      <c r="L3798" s="113" t="n"/>
      <c r="M3798" s="113" t="n"/>
      <c r="N3798" s="113" t="n"/>
      <c r="O3798" s="113" t="n"/>
      <c r="P3798" s="113" t="n"/>
      <c r="Q3798" s="113" t="n"/>
      <c r="R3798" s="113" t="n"/>
      <c r="S3798" s="113" t="n"/>
      <c r="T3798" s="113" t="n"/>
      <c r="U3798" s="113" t="n"/>
      <c r="V3798" s="113" t="n"/>
      <c r="W3798" s="113" t="n"/>
      <c r="X3798" s="113" t="n"/>
      <c r="Y3798" s="113" t="n"/>
      <c r="Z3798" s="117">
        <f>IF($B3798="",0,IF($S3798="EVET",IF($D3798="GELİR",$O3798,-$O3798),0))</f>
        <v/>
      </c>
      <c r="AA3798" s="117">
        <f>IF($B3798="",0,IF(OR($W3798="EVET",$X3798="EVET",$Y3798="EVET"),0,IF($D3798="GELİR",IF($E3798="SATIŞ İADESİ/İSKONTO",-$O3798,$O3798),-$O3798)))</f>
        <v/>
      </c>
      <c r="AB3798" s="117">
        <f>IF($B3798="","",IF(OR($D3798="",$E3798="",$O3798=""),"EKSİK",IF($O3798&lt;=0,"SIFIR/NEGATİF",IF(COUNTIFS($C$6:$C$5000,$C3798,$O$6:$O$5000,$O3798,$B$6:$B$5000,$B3798)&gt;1,"MÜKERRER","OK"))))</f>
        <v/>
      </c>
    </row>
    <row r="3799" ht="16.5" customHeight="1" s="80">
      <c r="A3799" s="113" t="n"/>
      <c r="B3799" s="113" t="n"/>
      <c r="C3799" s="113" t="n"/>
      <c r="D3799" s="113" t="n"/>
      <c r="E3799" s="113" t="n"/>
      <c r="F3799" s="113" t="n"/>
      <c r="G3799" s="113" t="n"/>
      <c r="H3799" s="113" t="n"/>
      <c r="I3799" s="113" t="n"/>
      <c r="J3799" s="113" t="n"/>
      <c r="K3799" s="113" t="n"/>
      <c r="L3799" s="113" t="n"/>
      <c r="M3799" s="113" t="n"/>
      <c r="N3799" s="113" t="n"/>
      <c r="O3799" s="113" t="n"/>
      <c r="P3799" s="113" t="n"/>
      <c r="Q3799" s="113" t="n"/>
      <c r="R3799" s="113" t="n"/>
      <c r="S3799" s="113" t="n"/>
      <c r="T3799" s="113" t="n"/>
      <c r="U3799" s="113" t="n"/>
      <c r="V3799" s="113" t="n"/>
      <c r="W3799" s="113" t="n"/>
      <c r="X3799" s="113" t="n"/>
      <c r="Y3799" s="113" t="n"/>
      <c r="Z3799" s="117">
        <f>IF($B3799="",0,IF($S3799="EVET",IF($D3799="GELİR",$O3799,-$O3799),0))</f>
        <v/>
      </c>
      <c r="AA3799" s="117">
        <f>IF($B3799="",0,IF(OR($W3799="EVET",$X3799="EVET",$Y3799="EVET"),0,IF($D3799="GELİR",IF($E3799="SATIŞ İADESİ/İSKONTO",-$O3799,$O3799),-$O3799)))</f>
        <v/>
      </c>
      <c r="AB3799" s="117">
        <f>IF($B3799="","",IF(OR($D3799="",$E3799="",$O3799=""),"EKSİK",IF($O3799&lt;=0,"SIFIR/NEGATİF",IF(COUNTIFS($C$6:$C$5000,$C3799,$O$6:$O$5000,$O3799,$B$6:$B$5000,$B3799)&gt;1,"MÜKERRER","OK"))))</f>
        <v/>
      </c>
    </row>
    <row r="3800" ht="16.5" customHeight="1" s="80">
      <c r="A3800" s="113" t="n"/>
      <c r="B3800" s="113" t="n"/>
      <c r="C3800" s="113" t="n"/>
      <c r="D3800" s="113" t="n"/>
      <c r="E3800" s="113" t="n"/>
      <c r="F3800" s="113" t="n"/>
      <c r="G3800" s="113" t="n"/>
      <c r="H3800" s="113" t="n"/>
      <c r="I3800" s="113" t="n"/>
      <c r="J3800" s="113" t="n"/>
      <c r="K3800" s="113" t="n"/>
      <c r="L3800" s="113" t="n"/>
      <c r="M3800" s="113" t="n"/>
      <c r="N3800" s="113" t="n"/>
      <c r="O3800" s="113" t="n"/>
      <c r="P3800" s="113" t="n"/>
      <c r="Q3800" s="113" t="n"/>
      <c r="R3800" s="113" t="n"/>
      <c r="S3800" s="113" t="n"/>
      <c r="T3800" s="113" t="n"/>
      <c r="U3800" s="113" t="n"/>
      <c r="V3800" s="113" t="n"/>
      <c r="W3800" s="113" t="n"/>
      <c r="X3800" s="113" t="n"/>
      <c r="Y3800" s="113" t="n"/>
      <c r="Z3800" s="117">
        <f>IF($B3800="",0,IF($S3800="EVET",IF($D3800="GELİR",$O3800,-$O3800),0))</f>
        <v/>
      </c>
      <c r="AA3800" s="117">
        <f>IF($B3800="",0,IF(OR($W3800="EVET",$X3800="EVET",$Y3800="EVET"),0,IF($D3800="GELİR",IF($E3800="SATIŞ İADESİ/İSKONTO",-$O3800,$O3800),-$O3800)))</f>
        <v/>
      </c>
      <c r="AB3800" s="117">
        <f>IF($B3800="","",IF(OR($D3800="",$E3800="",$O3800=""),"EKSİK",IF($O3800&lt;=0,"SIFIR/NEGATİF",IF(COUNTIFS($C$6:$C$5000,$C3800,$O$6:$O$5000,$O3800,$B$6:$B$5000,$B3800)&gt;1,"MÜKERRER","OK"))))</f>
        <v/>
      </c>
    </row>
    <row r="3801" ht="16.5" customHeight="1" s="80">
      <c r="A3801" s="113" t="n"/>
      <c r="B3801" s="113" t="n"/>
      <c r="C3801" s="113" t="n"/>
      <c r="D3801" s="113" t="n"/>
      <c r="E3801" s="113" t="n"/>
      <c r="F3801" s="113" t="n"/>
      <c r="G3801" s="113" t="n"/>
      <c r="H3801" s="113" t="n"/>
      <c r="I3801" s="113" t="n"/>
      <c r="J3801" s="113" t="n"/>
      <c r="K3801" s="113" t="n"/>
      <c r="L3801" s="113" t="n"/>
      <c r="M3801" s="113" t="n"/>
      <c r="N3801" s="113" t="n"/>
      <c r="O3801" s="113" t="n"/>
      <c r="P3801" s="113" t="n"/>
      <c r="Q3801" s="113" t="n"/>
      <c r="R3801" s="113" t="n"/>
      <c r="S3801" s="113" t="n"/>
      <c r="T3801" s="113" t="n"/>
      <c r="U3801" s="113" t="n"/>
      <c r="V3801" s="113" t="n"/>
      <c r="W3801" s="113" t="n"/>
      <c r="X3801" s="113" t="n"/>
      <c r="Y3801" s="113" t="n"/>
      <c r="Z3801" s="117">
        <f>IF($B3801="",0,IF($S3801="EVET",IF($D3801="GELİR",$O3801,-$O3801),0))</f>
        <v/>
      </c>
      <c r="AA3801" s="117">
        <f>IF($B3801="",0,IF(OR($W3801="EVET",$X3801="EVET",$Y3801="EVET"),0,IF($D3801="GELİR",IF($E3801="SATIŞ İADESİ/İSKONTO",-$O3801,$O3801),-$O3801)))</f>
        <v/>
      </c>
      <c r="AB3801" s="117">
        <f>IF($B3801="","",IF(OR($D3801="",$E3801="",$O3801=""),"EKSİK",IF($O3801&lt;=0,"SIFIR/NEGATİF",IF(COUNTIFS($C$6:$C$5000,$C3801,$O$6:$O$5000,$O3801,$B$6:$B$5000,$B3801)&gt;1,"MÜKERRER","OK"))))</f>
        <v/>
      </c>
    </row>
    <row r="3802" ht="16.5" customHeight="1" s="80">
      <c r="A3802" s="113" t="n"/>
      <c r="B3802" s="113" t="n"/>
      <c r="C3802" s="113" t="n"/>
      <c r="D3802" s="113" t="n"/>
      <c r="E3802" s="113" t="n"/>
      <c r="F3802" s="113" t="n"/>
      <c r="G3802" s="113" t="n"/>
      <c r="H3802" s="113" t="n"/>
      <c r="I3802" s="113" t="n"/>
      <c r="J3802" s="113" t="n"/>
      <c r="K3802" s="113" t="n"/>
      <c r="L3802" s="113" t="n"/>
      <c r="M3802" s="113" t="n"/>
      <c r="N3802" s="113" t="n"/>
      <c r="O3802" s="113" t="n"/>
      <c r="P3802" s="113" t="n"/>
      <c r="Q3802" s="113" t="n"/>
      <c r="R3802" s="113" t="n"/>
      <c r="S3802" s="113" t="n"/>
      <c r="T3802" s="113" t="n"/>
      <c r="U3802" s="113" t="n"/>
      <c r="V3802" s="113" t="n"/>
      <c r="W3802" s="113" t="n"/>
      <c r="X3802" s="113" t="n"/>
      <c r="Y3802" s="113" t="n"/>
      <c r="Z3802" s="117">
        <f>IF($B3802="",0,IF($S3802="EVET",IF($D3802="GELİR",$O3802,-$O3802),0))</f>
        <v/>
      </c>
      <c r="AA3802" s="117">
        <f>IF($B3802="",0,IF(OR($W3802="EVET",$X3802="EVET",$Y3802="EVET"),0,IF($D3802="GELİR",IF($E3802="SATIŞ İADESİ/İSKONTO",-$O3802,$O3802),-$O3802)))</f>
        <v/>
      </c>
      <c r="AB3802" s="117">
        <f>IF($B3802="","",IF(OR($D3802="",$E3802="",$O3802=""),"EKSİK",IF($O3802&lt;=0,"SIFIR/NEGATİF",IF(COUNTIFS($C$6:$C$5000,$C3802,$O$6:$O$5000,$O3802,$B$6:$B$5000,$B3802)&gt;1,"MÜKERRER","OK"))))</f>
        <v/>
      </c>
    </row>
    <row r="3803" ht="16.5" customHeight="1" s="80">
      <c r="A3803" s="113" t="n"/>
      <c r="B3803" s="113" t="n"/>
      <c r="C3803" s="113" t="n"/>
      <c r="D3803" s="113" t="n"/>
      <c r="E3803" s="113" t="n"/>
      <c r="F3803" s="113" t="n"/>
      <c r="G3803" s="113" t="n"/>
      <c r="H3803" s="113" t="n"/>
      <c r="I3803" s="113" t="n"/>
      <c r="J3803" s="113" t="n"/>
      <c r="K3803" s="113" t="n"/>
      <c r="L3803" s="113" t="n"/>
      <c r="M3803" s="113" t="n"/>
      <c r="N3803" s="113" t="n"/>
      <c r="O3803" s="113" t="n"/>
      <c r="P3803" s="113" t="n"/>
      <c r="Q3803" s="113" t="n"/>
      <c r="R3803" s="113" t="n"/>
      <c r="S3803" s="113" t="n"/>
      <c r="T3803" s="113" t="n"/>
      <c r="U3803" s="113" t="n"/>
      <c r="V3803" s="113" t="n"/>
      <c r="W3803" s="113" t="n"/>
      <c r="X3803" s="113" t="n"/>
      <c r="Y3803" s="113" t="n"/>
      <c r="Z3803" s="117">
        <f>IF($B3803="",0,IF($S3803="EVET",IF($D3803="GELİR",$O3803,-$O3803),0))</f>
        <v/>
      </c>
      <c r="AA3803" s="117">
        <f>IF($B3803="",0,IF(OR($W3803="EVET",$X3803="EVET",$Y3803="EVET"),0,IF($D3803="GELİR",IF($E3803="SATIŞ İADESİ/İSKONTO",-$O3803,$O3803),-$O3803)))</f>
        <v/>
      </c>
      <c r="AB3803" s="117">
        <f>IF($B3803="","",IF(OR($D3803="",$E3803="",$O3803=""),"EKSİK",IF($O3803&lt;=0,"SIFIR/NEGATİF",IF(COUNTIFS($C$6:$C$5000,$C3803,$O$6:$O$5000,$O3803,$B$6:$B$5000,$B3803)&gt;1,"MÜKERRER","OK"))))</f>
        <v/>
      </c>
    </row>
    <row r="3804" ht="16.5" customHeight="1" s="80">
      <c r="A3804" s="113" t="n"/>
      <c r="B3804" s="113" t="n"/>
      <c r="C3804" s="113" t="n"/>
      <c r="D3804" s="113" t="n"/>
      <c r="E3804" s="113" t="n"/>
      <c r="F3804" s="113" t="n"/>
      <c r="G3804" s="113" t="n"/>
      <c r="H3804" s="113" t="n"/>
      <c r="I3804" s="113" t="n"/>
      <c r="J3804" s="113" t="n"/>
      <c r="K3804" s="113" t="n"/>
      <c r="L3804" s="113" t="n"/>
      <c r="M3804" s="113" t="n"/>
      <c r="N3804" s="113" t="n"/>
      <c r="O3804" s="113" t="n"/>
      <c r="P3804" s="113" t="n"/>
      <c r="Q3804" s="113" t="n"/>
      <c r="R3804" s="113" t="n"/>
      <c r="S3804" s="113" t="n"/>
      <c r="T3804" s="113" t="n"/>
      <c r="U3804" s="113" t="n"/>
      <c r="V3804" s="113" t="n"/>
      <c r="W3804" s="113" t="n"/>
      <c r="X3804" s="113" t="n"/>
      <c r="Y3804" s="113" t="n"/>
      <c r="Z3804" s="117">
        <f>IF($B3804="",0,IF($S3804="EVET",IF($D3804="GELİR",$O3804,-$O3804),0))</f>
        <v/>
      </c>
      <c r="AA3804" s="117">
        <f>IF($B3804="",0,IF(OR($W3804="EVET",$X3804="EVET",$Y3804="EVET"),0,IF($D3804="GELİR",IF($E3804="SATIŞ İADESİ/İSKONTO",-$O3804,$O3804),-$O3804)))</f>
        <v/>
      </c>
      <c r="AB3804" s="117">
        <f>IF($B3804="","",IF(OR($D3804="",$E3804="",$O3804=""),"EKSİK",IF($O3804&lt;=0,"SIFIR/NEGATİF",IF(COUNTIFS($C$6:$C$5000,$C3804,$O$6:$O$5000,$O3804,$B$6:$B$5000,$B3804)&gt;1,"MÜKERRER","OK"))))</f>
        <v/>
      </c>
    </row>
    <row r="3805" ht="16.5" customHeight="1" s="80">
      <c r="A3805" s="113" t="n"/>
      <c r="B3805" s="113" t="n"/>
      <c r="C3805" s="113" t="n"/>
      <c r="D3805" s="113" t="n"/>
      <c r="E3805" s="113" t="n"/>
      <c r="F3805" s="113" t="n"/>
      <c r="G3805" s="113" t="n"/>
      <c r="H3805" s="113" t="n"/>
      <c r="I3805" s="113" t="n"/>
      <c r="J3805" s="113" t="n"/>
      <c r="K3805" s="113" t="n"/>
      <c r="L3805" s="113" t="n"/>
      <c r="M3805" s="113" t="n"/>
      <c r="N3805" s="113" t="n"/>
      <c r="O3805" s="113" t="n"/>
      <c r="P3805" s="113" t="n"/>
      <c r="Q3805" s="113" t="n"/>
      <c r="R3805" s="113" t="n"/>
      <c r="S3805" s="113" t="n"/>
      <c r="T3805" s="113" t="n"/>
      <c r="U3805" s="113" t="n"/>
      <c r="V3805" s="113" t="n"/>
      <c r="W3805" s="113" t="n"/>
      <c r="X3805" s="113" t="n"/>
      <c r="Y3805" s="113" t="n"/>
      <c r="Z3805" s="117">
        <f>IF($B3805="",0,IF($S3805="EVET",IF($D3805="GELİR",$O3805,-$O3805),0))</f>
        <v/>
      </c>
      <c r="AA3805" s="117">
        <f>IF($B3805="",0,IF(OR($W3805="EVET",$X3805="EVET",$Y3805="EVET"),0,IF($D3805="GELİR",IF($E3805="SATIŞ İADESİ/İSKONTO",-$O3805,$O3805),-$O3805)))</f>
        <v/>
      </c>
      <c r="AB3805" s="117">
        <f>IF($B3805="","",IF(OR($D3805="",$E3805="",$O3805=""),"EKSİK",IF($O3805&lt;=0,"SIFIR/NEGATİF",IF(COUNTIFS($C$6:$C$5000,$C3805,$O$6:$O$5000,$O3805,$B$6:$B$5000,$B3805)&gt;1,"MÜKERRER","OK"))))</f>
        <v/>
      </c>
    </row>
    <row r="3806" ht="16.5" customHeight="1" s="80">
      <c r="A3806" s="113" t="n"/>
      <c r="B3806" s="113" t="n"/>
      <c r="C3806" s="113" t="n"/>
      <c r="D3806" s="113" t="n"/>
      <c r="E3806" s="113" t="n"/>
      <c r="F3806" s="113" t="n"/>
      <c r="G3806" s="113" t="n"/>
      <c r="H3806" s="113" t="n"/>
      <c r="I3806" s="113" t="n"/>
      <c r="J3806" s="113" t="n"/>
      <c r="K3806" s="113" t="n"/>
      <c r="L3806" s="113" t="n"/>
      <c r="M3806" s="113" t="n"/>
      <c r="N3806" s="113" t="n"/>
      <c r="O3806" s="113" t="n"/>
      <c r="P3806" s="113" t="n"/>
      <c r="Q3806" s="113" t="n"/>
      <c r="R3806" s="113" t="n"/>
      <c r="S3806" s="113" t="n"/>
      <c r="T3806" s="113" t="n"/>
      <c r="U3806" s="113" t="n"/>
      <c r="V3806" s="113" t="n"/>
      <c r="W3806" s="113" t="n"/>
      <c r="X3806" s="113" t="n"/>
      <c r="Y3806" s="113" t="n"/>
      <c r="Z3806" s="117">
        <f>IF($B3806="",0,IF($S3806="EVET",IF($D3806="GELİR",$O3806,-$O3806),0))</f>
        <v/>
      </c>
      <c r="AA3806" s="117">
        <f>IF($B3806="",0,IF(OR($W3806="EVET",$X3806="EVET",$Y3806="EVET"),0,IF($D3806="GELİR",IF($E3806="SATIŞ İADESİ/İSKONTO",-$O3806,$O3806),-$O3806)))</f>
        <v/>
      </c>
      <c r="AB3806" s="117">
        <f>IF($B3806="","",IF(OR($D3806="",$E3806="",$O3806=""),"EKSİK",IF($O3806&lt;=0,"SIFIR/NEGATİF",IF(COUNTIFS($C$6:$C$5000,$C3806,$O$6:$O$5000,$O3806,$B$6:$B$5000,$B3806)&gt;1,"MÜKERRER","OK"))))</f>
        <v/>
      </c>
    </row>
    <row r="3807" ht="16.5" customHeight="1" s="80">
      <c r="A3807" s="113" t="n"/>
      <c r="B3807" s="113" t="n"/>
      <c r="C3807" s="113" t="n"/>
      <c r="D3807" s="113" t="n"/>
      <c r="E3807" s="113" t="n"/>
      <c r="F3807" s="113" t="n"/>
      <c r="G3807" s="113" t="n"/>
      <c r="H3807" s="113" t="n"/>
      <c r="I3807" s="113" t="n"/>
      <c r="J3807" s="113" t="n"/>
      <c r="K3807" s="113" t="n"/>
      <c r="L3807" s="113" t="n"/>
      <c r="M3807" s="113" t="n"/>
      <c r="N3807" s="113" t="n"/>
      <c r="O3807" s="113" t="n"/>
      <c r="P3807" s="113" t="n"/>
      <c r="Q3807" s="113" t="n"/>
      <c r="R3807" s="113" t="n"/>
      <c r="S3807" s="113" t="n"/>
      <c r="T3807" s="113" t="n"/>
      <c r="U3807" s="113" t="n"/>
      <c r="V3807" s="113" t="n"/>
      <c r="W3807" s="113" t="n"/>
      <c r="X3807" s="113" t="n"/>
      <c r="Y3807" s="113" t="n"/>
      <c r="Z3807" s="117">
        <f>IF($B3807="",0,IF($S3807="EVET",IF($D3807="GELİR",$O3807,-$O3807),0))</f>
        <v/>
      </c>
      <c r="AA3807" s="117">
        <f>IF($B3807="",0,IF(OR($W3807="EVET",$X3807="EVET",$Y3807="EVET"),0,IF($D3807="GELİR",IF($E3807="SATIŞ İADESİ/İSKONTO",-$O3807,$O3807),-$O3807)))</f>
        <v/>
      </c>
      <c r="AB3807" s="117">
        <f>IF($B3807="","",IF(OR($D3807="",$E3807="",$O3807=""),"EKSİK",IF($O3807&lt;=0,"SIFIR/NEGATİF",IF(COUNTIFS($C$6:$C$5000,$C3807,$O$6:$O$5000,$O3807,$B$6:$B$5000,$B3807)&gt;1,"MÜKERRER","OK"))))</f>
        <v/>
      </c>
    </row>
    <row r="3808" ht="16.5" customHeight="1" s="80">
      <c r="A3808" s="113" t="n"/>
      <c r="B3808" s="113" t="n"/>
      <c r="C3808" s="113" t="n"/>
      <c r="D3808" s="113" t="n"/>
      <c r="E3808" s="113" t="n"/>
      <c r="F3808" s="113" t="n"/>
      <c r="G3808" s="113" t="n"/>
      <c r="H3808" s="113" t="n"/>
      <c r="I3808" s="113" t="n"/>
      <c r="J3808" s="113" t="n"/>
      <c r="K3808" s="113" t="n"/>
      <c r="L3808" s="113" t="n"/>
      <c r="M3808" s="113" t="n"/>
      <c r="N3808" s="113" t="n"/>
      <c r="O3808" s="113" t="n"/>
      <c r="P3808" s="113" t="n"/>
      <c r="Q3808" s="113" t="n"/>
      <c r="R3808" s="113" t="n"/>
      <c r="S3808" s="113" t="n"/>
      <c r="T3808" s="113" t="n"/>
      <c r="U3808" s="113" t="n"/>
      <c r="V3808" s="113" t="n"/>
      <c r="W3808" s="113" t="n"/>
      <c r="X3808" s="113" t="n"/>
      <c r="Y3808" s="113" t="n"/>
      <c r="Z3808" s="117">
        <f>IF($B3808="",0,IF($S3808="EVET",IF($D3808="GELİR",$O3808,-$O3808),0))</f>
        <v/>
      </c>
      <c r="AA3808" s="117">
        <f>IF($B3808="",0,IF(OR($W3808="EVET",$X3808="EVET",$Y3808="EVET"),0,IF($D3808="GELİR",IF($E3808="SATIŞ İADESİ/İSKONTO",-$O3808,$O3808),-$O3808)))</f>
        <v/>
      </c>
      <c r="AB3808" s="117">
        <f>IF($B3808="","",IF(OR($D3808="",$E3808="",$O3808=""),"EKSİK",IF($O3808&lt;=0,"SIFIR/NEGATİF",IF(COUNTIFS($C$6:$C$5000,$C3808,$O$6:$O$5000,$O3808,$B$6:$B$5000,$B3808)&gt;1,"MÜKERRER","OK"))))</f>
        <v/>
      </c>
    </row>
    <row r="3809" ht="16.5" customHeight="1" s="80">
      <c r="A3809" s="113" t="n"/>
      <c r="B3809" s="113" t="n"/>
      <c r="C3809" s="113" t="n"/>
      <c r="D3809" s="113" t="n"/>
      <c r="E3809" s="113" t="n"/>
      <c r="F3809" s="113" t="n"/>
      <c r="G3809" s="113" t="n"/>
      <c r="H3809" s="113" t="n"/>
      <c r="I3809" s="113" t="n"/>
      <c r="J3809" s="113" t="n"/>
      <c r="K3809" s="113" t="n"/>
      <c r="L3809" s="113" t="n"/>
      <c r="M3809" s="113" t="n"/>
      <c r="N3809" s="113" t="n"/>
      <c r="O3809" s="113" t="n"/>
      <c r="P3809" s="113" t="n"/>
      <c r="Q3809" s="113" t="n"/>
      <c r="R3809" s="113" t="n"/>
      <c r="S3809" s="113" t="n"/>
      <c r="T3809" s="113" t="n"/>
      <c r="U3809" s="113" t="n"/>
      <c r="V3809" s="113" t="n"/>
      <c r="W3809" s="113" t="n"/>
      <c r="X3809" s="113" t="n"/>
      <c r="Y3809" s="113" t="n"/>
      <c r="Z3809" s="117">
        <f>IF($B3809="",0,IF($S3809="EVET",IF($D3809="GELİR",$O3809,-$O3809),0))</f>
        <v/>
      </c>
      <c r="AA3809" s="117">
        <f>IF($B3809="",0,IF(OR($W3809="EVET",$X3809="EVET",$Y3809="EVET"),0,IF($D3809="GELİR",IF($E3809="SATIŞ İADESİ/İSKONTO",-$O3809,$O3809),-$O3809)))</f>
        <v/>
      </c>
      <c r="AB3809" s="117">
        <f>IF($B3809="","",IF(OR($D3809="",$E3809="",$O3809=""),"EKSİK",IF($O3809&lt;=0,"SIFIR/NEGATİF",IF(COUNTIFS($C$6:$C$5000,$C3809,$O$6:$O$5000,$O3809,$B$6:$B$5000,$B3809)&gt;1,"MÜKERRER","OK"))))</f>
        <v/>
      </c>
    </row>
    <row r="3810" ht="16.5" customHeight="1" s="80">
      <c r="A3810" s="113" t="n"/>
      <c r="B3810" s="113" t="n"/>
      <c r="C3810" s="113" t="n"/>
      <c r="D3810" s="113" t="n"/>
      <c r="E3810" s="113" t="n"/>
      <c r="F3810" s="113" t="n"/>
      <c r="G3810" s="113" t="n"/>
      <c r="H3810" s="113" t="n"/>
      <c r="I3810" s="113" t="n"/>
      <c r="J3810" s="113" t="n"/>
      <c r="K3810" s="113" t="n"/>
      <c r="L3810" s="113" t="n"/>
      <c r="M3810" s="113" t="n"/>
      <c r="N3810" s="113" t="n"/>
      <c r="O3810" s="113" t="n"/>
      <c r="P3810" s="113" t="n"/>
      <c r="Q3810" s="113" t="n"/>
      <c r="R3810" s="113" t="n"/>
      <c r="S3810" s="113" t="n"/>
      <c r="T3810" s="113" t="n"/>
      <c r="U3810" s="113" t="n"/>
      <c r="V3810" s="113" t="n"/>
      <c r="W3810" s="113" t="n"/>
      <c r="X3810" s="113" t="n"/>
      <c r="Y3810" s="113" t="n"/>
      <c r="Z3810" s="117">
        <f>IF($B3810="",0,IF($S3810="EVET",IF($D3810="GELİR",$O3810,-$O3810),0))</f>
        <v/>
      </c>
      <c r="AA3810" s="117">
        <f>IF($B3810="",0,IF(OR($W3810="EVET",$X3810="EVET",$Y3810="EVET"),0,IF($D3810="GELİR",IF($E3810="SATIŞ İADESİ/İSKONTO",-$O3810,$O3810),-$O3810)))</f>
        <v/>
      </c>
      <c r="AB3810" s="117">
        <f>IF($B3810="","",IF(OR($D3810="",$E3810="",$O3810=""),"EKSİK",IF($O3810&lt;=0,"SIFIR/NEGATİF",IF(COUNTIFS($C$6:$C$5000,$C3810,$O$6:$O$5000,$O3810,$B$6:$B$5000,$B3810)&gt;1,"MÜKERRER","OK"))))</f>
        <v/>
      </c>
    </row>
    <row r="3811" ht="16.5" customHeight="1" s="80">
      <c r="A3811" s="113" t="n"/>
      <c r="B3811" s="113" t="n"/>
      <c r="C3811" s="113" t="n"/>
      <c r="D3811" s="113" t="n"/>
      <c r="E3811" s="113" t="n"/>
      <c r="F3811" s="113" t="n"/>
      <c r="G3811" s="113" t="n"/>
      <c r="H3811" s="113" t="n"/>
      <c r="I3811" s="113" t="n"/>
      <c r="J3811" s="113" t="n"/>
      <c r="K3811" s="113" t="n"/>
      <c r="L3811" s="113" t="n"/>
      <c r="M3811" s="113" t="n"/>
      <c r="N3811" s="113" t="n"/>
      <c r="O3811" s="113" t="n"/>
      <c r="P3811" s="113" t="n"/>
      <c r="Q3811" s="113" t="n"/>
      <c r="R3811" s="113" t="n"/>
      <c r="S3811" s="113" t="n"/>
      <c r="T3811" s="113" t="n"/>
      <c r="U3811" s="113" t="n"/>
      <c r="V3811" s="113" t="n"/>
      <c r="W3811" s="113" t="n"/>
      <c r="X3811" s="113" t="n"/>
      <c r="Y3811" s="113" t="n"/>
      <c r="Z3811" s="117">
        <f>IF($B3811="",0,IF($S3811="EVET",IF($D3811="GELİR",$O3811,-$O3811),0))</f>
        <v/>
      </c>
      <c r="AA3811" s="117">
        <f>IF($B3811="",0,IF(OR($W3811="EVET",$X3811="EVET",$Y3811="EVET"),0,IF($D3811="GELİR",IF($E3811="SATIŞ İADESİ/İSKONTO",-$O3811,$O3811),-$O3811)))</f>
        <v/>
      </c>
      <c r="AB3811" s="117">
        <f>IF($B3811="","",IF(OR($D3811="",$E3811="",$O3811=""),"EKSİK",IF($O3811&lt;=0,"SIFIR/NEGATİF",IF(COUNTIFS($C$6:$C$5000,$C3811,$O$6:$O$5000,$O3811,$B$6:$B$5000,$B3811)&gt;1,"MÜKERRER","OK"))))</f>
        <v/>
      </c>
    </row>
    <row r="3812" ht="16.5" customHeight="1" s="80">
      <c r="A3812" s="113" t="n"/>
      <c r="B3812" s="113" t="n"/>
      <c r="C3812" s="113" t="n"/>
      <c r="D3812" s="113" t="n"/>
      <c r="E3812" s="113" t="n"/>
      <c r="F3812" s="113" t="n"/>
      <c r="G3812" s="113" t="n"/>
      <c r="H3812" s="113" t="n"/>
      <c r="I3812" s="113" t="n"/>
      <c r="J3812" s="113" t="n"/>
      <c r="K3812" s="113" t="n"/>
      <c r="L3812" s="113" t="n"/>
      <c r="M3812" s="113" t="n"/>
      <c r="N3812" s="113" t="n"/>
      <c r="O3812" s="113" t="n"/>
      <c r="P3812" s="113" t="n"/>
      <c r="Q3812" s="113" t="n"/>
      <c r="R3812" s="113" t="n"/>
      <c r="S3812" s="113" t="n"/>
      <c r="T3812" s="113" t="n"/>
      <c r="U3812" s="113" t="n"/>
      <c r="V3812" s="113" t="n"/>
      <c r="W3812" s="113" t="n"/>
      <c r="X3812" s="113" t="n"/>
      <c r="Y3812" s="113" t="n"/>
      <c r="Z3812" s="117">
        <f>IF($B3812="",0,IF($S3812="EVET",IF($D3812="GELİR",$O3812,-$O3812),0))</f>
        <v/>
      </c>
      <c r="AA3812" s="117">
        <f>IF($B3812="",0,IF(OR($W3812="EVET",$X3812="EVET",$Y3812="EVET"),0,IF($D3812="GELİR",IF($E3812="SATIŞ İADESİ/İSKONTO",-$O3812,$O3812),-$O3812)))</f>
        <v/>
      </c>
      <c r="AB3812" s="117">
        <f>IF($B3812="","",IF(OR($D3812="",$E3812="",$O3812=""),"EKSİK",IF($O3812&lt;=0,"SIFIR/NEGATİF",IF(COUNTIFS($C$6:$C$5000,$C3812,$O$6:$O$5000,$O3812,$B$6:$B$5000,$B3812)&gt;1,"MÜKERRER","OK"))))</f>
        <v/>
      </c>
    </row>
    <row r="3813" ht="16.5" customHeight="1" s="80">
      <c r="A3813" s="113" t="n"/>
      <c r="B3813" s="113" t="n"/>
      <c r="C3813" s="113" t="n"/>
      <c r="D3813" s="113" t="n"/>
      <c r="E3813" s="113" t="n"/>
      <c r="F3813" s="113" t="n"/>
      <c r="G3813" s="113" t="n"/>
      <c r="H3813" s="113" t="n"/>
      <c r="I3813" s="113" t="n"/>
      <c r="J3813" s="113" t="n"/>
      <c r="K3813" s="113" t="n"/>
      <c r="L3813" s="113" t="n"/>
      <c r="M3813" s="113" t="n"/>
      <c r="N3813" s="113" t="n"/>
      <c r="O3813" s="113" t="n"/>
      <c r="P3813" s="113" t="n"/>
      <c r="Q3813" s="113" t="n"/>
      <c r="R3813" s="113" t="n"/>
      <c r="S3813" s="113" t="n"/>
      <c r="T3813" s="113" t="n"/>
      <c r="U3813" s="113" t="n"/>
      <c r="V3813" s="113" t="n"/>
      <c r="W3813" s="113" t="n"/>
      <c r="X3813" s="113" t="n"/>
      <c r="Y3813" s="113" t="n"/>
      <c r="Z3813" s="117">
        <f>IF($B3813="",0,IF($S3813="EVET",IF($D3813="GELİR",$O3813,-$O3813),0))</f>
        <v/>
      </c>
      <c r="AA3813" s="117">
        <f>IF($B3813="",0,IF(OR($W3813="EVET",$X3813="EVET",$Y3813="EVET"),0,IF($D3813="GELİR",IF($E3813="SATIŞ İADESİ/İSKONTO",-$O3813,$O3813),-$O3813)))</f>
        <v/>
      </c>
      <c r="AB3813" s="117">
        <f>IF($B3813="","",IF(OR($D3813="",$E3813="",$O3813=""),"EKSİK",IF($O3813&lt;=0,"SIFIR/NEGATİF",IF(COUNTIFS($C$6:$C$5000,$C3813,$O$6:$O$5000,$O3813,$B$6:$B$5000,$B3813)&gt;1,"MÜKERRER","OK"))))</f>
        <v/>
      </c>
    </row>
    <row r="3814" ht="16.5" customHeight="1" s="80">
      <c r="A3814" s="113" t="n"/>
      <c r="B3814" s="113" t="n"/>
      <c r="C3814" s="113" t="n"/>
      <c r="D3814" s="113" t="n"/>
      <c r="E3814" s="113" t="n"/>
      <c r="F3814" s="113" t="n"/>
      <c r="G3814" s="113" t="n"/>
      <c r="H3814" s="113" t="n"/>
      <c r="I3814" s="113" t="n"/>
      <c r="J3814" s="113" t="n"/>
      <c r="K3814" s="113" t="n"/>
      <c r="L3814" s="113" t="n"/>
      <c r="M3814" s="113" t="n"/>
      <c r="N3814" s="113" t="n"/>
      <c r="O3814" s="113" t="n"/>
      <c r="P3814" s="113" t="n"/>
      <c r="Q3814" s="113" t="n"/>
      <c r="R3814" s="113" t="n"/>
      <c r="S3814" s="113" t="n"/>
      <c r="T3814" s="113" t="n"/>
      <c r="U3814" s="113" t="n"/>
      <c r="V3814" s="113" t="n"/>
      <c r="W3814" s="113" t="n"/>
      <c r="X3814" s="113" t="n"/>
      <c r="Y3814" s="113" t="n"/>
      <c r="Z3814" s="117">
        <f>IF($B3814="",0,IF($S3814="EVET",IF($D3814="GELİR",$O3814,-$O3814),0))</f>
        <v/>
      </c>
      <c r="AA3814" s="117">
        <f>IF($B3814="",0,IF(OR($W3814="EVET",$X3814="EVET",$Y3814="EVET"),0,IF($D3814="GELİR",IF($E3814="SATIŞ İADESİ/İSKONTO",-$O3814,$O3814),-$O3814)))</f>
        <v/>
      </c>
      <c r="AB3814" s="117">
        <f>IF($B3814="","",IF(OR($D3814="",$E3814="",$O3814=""),"EKSİK",IF($O3814&lt;=0,"SIFIR/NEGATİF",IF(COUNTIFS($C$6:$C$5000,$C3814,$O$6:$O$5000,$O3814,$B$6:$B$5000,$B3814)&gt;1,"MÜKERRER","OK"))))</f>
        <v/>
      </c>
    </row>
    <row r="3815" ht="16.5" customHeight="1" s="80">
      <c r="A3815" s="113" t="n"/>
      <c r="B3815" s="113" t="n"/>
      <c r="C3815" s="113" t="n"/>
      <c r="D3815" s="113" t="n"/>
      <c r="E3815" s="113" t="n"/>
      <c r="F3815" s="113" t="n"/>
      <c r="G3815" s="113" t="n"/>
      <c r="H3815" s="113" t="n"/>
      <c r="I3815" s="113" t="n"/>
      <c r="J3815" s="113" t="n"/>
      <c r="K3815" s="113" t="n"/>
      <c r="L3815" s="113" t="n"/>
      <c r="M3815" s="113" t="n"/>
      <c r="N3815" s="113" t="n"/>
      <c r="O3815" s="113" t="n"/>
      <c r="P3815" s="113" t="n"/>
      <c r="Q3815" s="113" t="n"/>
      <c r="R3815" s="113" t="n"/>
      <c r="S3815" s="113" t="n"/>
      <c r="T3815" s="113" t="n"/>
      <c r="U3815" s="113" t="n"/>
      <c r="V3815" s="113" t="n"/>
      <c r="W3815" s="113" t="n"/>
      <c r="X3815" s="113" t="n"/>
      <c r="Y3815" s="113" t="n"/>
      <c r="Z3815" s="117">
        <f>IF($B3815="",0,IF($S3815="EVET",IF($D3815="GELİR",$O3815,-$O3815),0))</f>
        <v/>
      </c>
      <c r="AA3815" s="117">
        <f>IF($B3815="",0,IF(OR($W3815="EVET",$X3815="EVET",$Y3815="EVET"),0,IF($D3815="GELİR",IF($E3815="SATIŞ İADESİ/İSKONTO",-$O3815,$O3815),-$O3815)))</f>
        <v/>
      </c>
      <c r="AB3815" s="117">
        <f>IF($B3815="","",IF(OR($D3815="",$E3815="",$O3815=""),"EKSİK",IF($O3815&lt;=0,"SIFIR/NEGATİF",IF(COUNTIFS($C$6:$C$5000,$C3815,$O$6:$O$5000,$O3815,$B$6:$B$5000,$B3815)&gt;1,"MÜKERRER","OK"))))</f>
        <v/>
      </c>
    </row>
    <row r="3816" ht="16.5" customHeight="1" s="80">
      <c r="A3816" s="113" t="n"/>
      <c r="B3816" s="113" t="n"/>
      <c r="C3816" s="113" t="n"/>
      <c r="D3816" s="113" t="n"/>
      <c r="E3816" s="113" t="n"/>
      <c r="F3816" s="113" t="n"/>
      <c r="G3816" s="113" t="n"/>
      <c r="H3816" s="113" t="n"/>
      <c r="I3816" s="113" t="n"/>
      <c r="J3816" s="113" t="n"/>
      <c r="K3816" s="113" t="n"/>
      <c r="L3816" s="113" t="n"/>
      <c r="M3816" s="113" t="n"/>
      <c r="N3816" s="113" t="n"/>
      <c r="O3816" s="113" t="n"/>
      <c r="P3816" s="113" t="n"/>
      <c r="Q3816" s="113" t="n"/>
      <c r="R3816" s="113" t="n"/>
      <c r="S3816" s="113" t="n"/>
      <c r="T3816" s="113" t="n"/>
      <c r="U3816" s="113" t="n"/>
      <c r="V3816" s="113" t="n"/>
      <c r="W3816" s="113" t="n"/>
      <c r="X3816" s="113" t="n"/>
      <c r="Y3816" s="113" t="n"/>
      <c r="Z3816" s="117">
        <f>IF($B3816="",0,IF($S3816="EVET",IF($D3816="GELİR",$O3816,-$O3816),0))</f>
        <v/>
      </c>
      <c r="AA3816" s="117">
        <f>IF($B3816="",0,IF(OR($W3816="EVET",$X3816="EVET",$Y3816="EVET"),0,IF($D3816="GELİR",IF($E3816="SATIŞ İADESİ/İSKONTO",-$O3816,$O3816),-$O3816)))</f>
        <v/>
      </c>
      <c r="AB3816" s="117">
        <f>IF($B3816="","",IF(OR($D3816="",$E3816="",$O3816=""),"EKSİK",IF($O3816&lt;=0,"SIFIR/NEGATİF",IF(COUNTIFS($C$6:$C$5000,$C3816,$O$6:$O$5000,$O3816,$B$6:$B$5000,$B3816)&gt;1,"MÜKERRER","OK"))))</f>
        <v/>
      </c>
    </row>
    <row r="3817" ht="16.5" customHeight="1" s="80">
      <c r="A3817" s="113" t="n"/>
      <c r="B3817" s="113" t="n"/>
      <c r="C3817" s="113" t="n"/>
      <c r="D3817" s="113" t="n"/>
      <c r="E3817" s="113" t="n"/>
      <c r="F3817" s="113" t="n"/>
      <c r="G3817" s="113" t="n"/>
      <c r="H3817" s="113" t="n"/>
      <c r="I3817" s="113" t="n"/>
      <c r="J3817" s="113" t="n"/>
      <c r="K3817" s="113" t="n"/>
      <c r="L3817" s="113" t="n"/>
      <c r="M3817" s="113" t="n"/>
      <c r="N3817" s="113" t="n"/>
      <c r="O3817" s="113" t="n"/>
      <c r="P3817" s="113" t="n"/>
      <c r="Q3817" s="113" t="n"/>
      <c r="R3817" s="113" t="n"/>
      <c r="S3817" s="113" t="n"/>
      <c r="T3817" s="113" t="n"/>
      <c r="U3817" s="113" t="n"/>
      <c r="V3817" s="113" t="n"/>
      <c r="W3817" s="113" t="n"/>
      <c r="X3817" s="113" t="n"/>
      <c r="Y3817" s="113" t="n"/>
      <c r="Z3817" s="117">
        <f>IF($B3817="",0,IF($S3817="EVET",IF($D3817="GELİR",$O3817,-$O3817),0))</f>
        <v/>
      </c>
      <c r="AA3817" s="117">
        <f>IF($B3817="",0,IF(OR($W3817="EVET",$X3817="EVET",$Y3817="EVET"),0,IF($D3817="GELİR",IF($E3817="SATIŞ İADESİ/İSKONTO",-$O3817,$O3817),-$O3817)))</f>
        <v/>
      </c>
      <c r="AB3817" s="117">
        <f>IF($B3817="","",IF(OR($D3817="",$E3817="",$O3817=""),"EKSİK",IF($O3817&lt;=0,"SIFIR/NEGATİF",IF(COUNTIFS($C$6:$C$5000,$C3817,$O$6:$O$5000,$O3817,$B$6:$B$5000,$B3817)&gt;1,"MÜKERRER","OK"))))</f>
        <v/>
      </c>
    </row>
    <row r="3818" ht="16.5" customHeight="1" s="80">
      <c r="A3818" s="113" t="n"/>
      <c r="B3818" s="113" t="n"/>
      <c r="C3818" s="113" t="n"/>
      <c r="D3818" s="113" t="n"/>
      <c r="E3818" s="113" t="n"/>
      <c r="F3818" s="113" t="n"/>
      <c r="G3818" s="113" t="n"/>
      <c r="H3818" s="113" t="n"/>
      <c r="I3818" s="113" t="n"/>
      <c r="J3818" s="113" t="n"/>
      <c r="K3818" s="113" t="n"/>
      <c r="L3818" s="113" t="n"/>
      <c r="M3818" s="113" t="n"/>
      <c r="N3818" s="113" t="n"/>
      <c r="O3818" s="113" t="n"/>
      <c r="P3818" s="113" t="n"/>
      <c r="Q3818" s="113" t="n"/>
      <c r="R3818" s="113" t="n"/>
      <c r="S3818" s="113" t="n"/>
      <c r="T3818" s="113" t="n"/>
      <c r="U3818" s="113" t="n"/>
      <c r="V3818" s="113" t="n"/>
      <c r="W3818" s="113" t="n"/>
      <c r="X3818" s="113" t="n"/>
      <c r="Y3818" s="113" t="n"/>
      <c r="Z3818" s="117">
        <f>IF($B3818="",0,IF($S3818="EVET",IF($D3818="GELİR",$O3818,-$O3818),0))</f>
        <v/>
      </c>
      <c r="AA3818" s="117">
        <f>IF($B3818="",0,IF(OR($W3818="EVET",$X3818="EVET",$Y3818="EVET"),0,IF($D3818="GELİR",IF($E3818="SATIŞ İADESİ/İSKONTO",-$O3818,$O3818),-$O3818)))</f>
        <v/>
      </c>
      <c r="AB3818" s="117">
        <f>IF($B3818="","",IF(OR($D3818="",$E3818="",$O3818=""),"EKSİK",IF($O3818&lt;=0,"SIFIR/NEGATİF",IF(COUNTIFS($C$6:$C$5000,$C3818,$O$6:$O$5000,$O3818,$B$6:$B$5000,$B3818)&gt;1,"MÜKERRER","OK"))))</f>
        <v/>
      </c>
    </row>
    <row r="3819" ht="16.5" customHeight="1" s="80">
      <c r="A3819" s="113" t="n"/>
      <c r="B3819" s="113" t="n"/>
      <c r="C3819" s="113" t="n"/>
      <c r="D3819" s="113" t="n"/>
      <c r="E3819" s="113" t="n"/>
      <c r="F3819" s="113" t="n"/>
      <c r="G3819" s="113" t="n"/>
      <c r="H3819" s="113" t="n"/>
      <c r="I3819" s="113" t="n"/>
      <c r="J3819" s="113" t="n"/>
      <c r="K3819" s="113" t="n"/>
      <c r="L3819" s="113" t="n"/>
      <c r="M3819" s="113" t="n"/>
      <c r="N3819" s="113" t="n"/>
      <c r="O3819" s="113" t="n"/>
      <c r="P3819" s="113" t="n"/>
      <c r="Q3819" s="113" t="n"/>
      <c r="R3819" s="113" t="n"/>
      <c r="S3819" s="113" t="n"/>
      <c r="T3819" s="113" t="n"/>
      <c r="U3819" s="113" t="n"/>
      <c r="V3819" s="113" t="n"/>
      <c r="W3819" s="113" t="n"/>
      <c r="X3819" s="113" t="n"/>
      <c r="Y3819" s="113" t="n"/>
      <c r="Z3819" s="117">
        <f>IF($B3819="",0,IF($S3819="EVET",IF($D3819="GELİR",$O3819,-$O3819),0))</f>
        <v/>
      </c>
      <c r="AA3819" s="117">
        <f>IF($B3819="",0,IF(OR($W3819="EVET",$X3819="EVET",$Y3819="EVET"),0,IF($D3819="GELİR",IF($E3819="SATIŞ İADESİ/İSKONTO",-$O3819,$O3819),-$O3819)))</f>
        <v/>
      </c>
      <c r="AB3819" s="117">
        <f>IF($B3819="","",IF(OR($D3819="",$E3819="",$O3819=""),"EKSİK",IF($O3819&lt;=0,"SIFIR/NEGATİF",IF(COUNTIFS($C$6:$C$5000,$C3819,$O$6:$O$5000,$O3819,$B$6:$B$5000,$B3819)&gt;1,"MÜKERRER","OK"))))</f>
        <v/>
      </c>
    </row>
    <row r="3820" ht="16.5" customHeight="1" s="80">
      <c r="A3820" s="113" t="n"/>
      <c r="B3820" s="113" t="n"/>
      <c r="C3820" s="113" t="n"/>
      <c r="D3820" s="113" t="n"/>
      <c r="E3820" s="113" t="n"/>
      <c r="F3820" s="113" t="n"/>
      <c r="G3820" s="113" t="n"/>
      <c r="H3820" s="113" t="n"/>
      <c r="I3820" s="113" t="n"/>
      <c r="J3820" s="113" t="n"/>
      <c r="K3820" s="113" t="n"/>
      <c r="L3820" s="113" t="n"/>
      <c r="M3820" s="113" t="n"/>
      <c r="N3820" s="113" t="n"/>
      <c r="O3820" s="113" t="n"/>
      <c r="P3820" s="113" t="n"/>
      <c r="Q3820" s="113" t="n"/>
      <c r="R3820" s="113" t="n"/>
      <c r="S3820" s="113" t="n"/>
      <c r="T3820" s="113" t="n"/>
      <c r="U3820" s="113" t="n"/>
      <c r="V3820" s="113" t="n"/>
      <c r="W3820" s="113" t="n"/>
      <c r="X3820" s="113" t="n"/>
      <c r="Y3820" s="113" t="n"/>
      <c r="Z3820" s="117">
        <f>IF($B3820="",0,IF($S3820="EVET",IF($D3820="GELİR",$O3820,-$O3820),0))</f>
        <v/>
      </c>
      <c r="AA3820" s="117">
        <f>IF($B3820="",0,IF(OR($W3820="EVET",$X3820="EVET",$Y3820="EVET"),0,IF($D3820="GELİR",IF($E3820="SATIŞ İADESİ/İSKONTO",-$O3820,$O3820),-$O3820)))</f>
        <v/>
      </c>
      <c r="AB3820" s="117">
        <f>IF($B3820="","",IF(OR($D3820="",$E3820="",$O3820=""),"EKSİK",IF($O3820&lt;=0,"SIFIR/NEGATİF",IF(COUNTIFS($C$6:$C$5000,$C3820,$O$6:$O$5000,$O3820,$B$6:$B$5000,$B3820)&gt;1,"MÜKERRER","OK"))))</f>
        <v/>
      </c>
    </row>
    <row r="3821" ht="16.5" customHeight="1" s="80">
      <c r="A3821" s="113" t="n"/>
      <c r="B3821" s="113" t="n"/>
      <c r="C3821" s="113" t="n"/>
      <c r="D3821" s="113" t="n"/>
      <c r="E3821" s="113" t="n"/>
      <c r="F3821" s="113" t="n"/>
      <c r="G3821" s="113" t="n"/>
      <c r="H3821" s="113" t="n"/>
      <c r="I3821" s="113" t="n"/>
      <c r="J3821" s="113" t="n"/>
      <c r="K3821" s="113" t="n"/>
      <c r="L3821" s="113" t="n"/>
      <c r="M3821" s="113" t="n"/>
      <c r="N3821" s="113" t="n"/>
      <c r="O3821" s="113" t="n"/>
      <c r="P3821" s="113" t="n"/>
      <c r="Q3821" s="113" t="n"/>
      <c r="R3821" s="113" t="n"/>
      <c r="S3821" s="113" t="n"/>
      <c r="T3821" s="113" t="n"/>
      <c r="U3821" s="113" t="n"/>
      <c r="V3821" s="113" t="n"/>
      <c r="W3821" s="113" t="n"/>
      <c r="X3821" s="113" t="n"/>
      <c r="Y3821" s="113" t="n"/>
      <c r="Z3821" s="117">
        <f>IF($B3821="",0,IF($S3821="EVET",IF($D3821="GELİR",$O3821,-$O3821),0))</f>
        <v/>
      </c>
      <c r="AA3821" s="117">
        <f>IF($B3821="",0,IF(OR($W3821="EVET",$X3821="EVET",$Y3821="EVET"),0,IF($D3821="GELİR",IF($E3821="SATIŞ İADESİ/İSKONTO",-$O3821,$O3821),-$O3821)))</f>
        <v/>
      </c>
      <c r="AB3821" s="117">
        <f>IF($B3821="","",IF(OR($D3821="",$E3821="",$O3821=""),"EKSİK",IF($O3821&lt;=0,"SIFIR/NEGATİF",IF(COUNTIFS($C$6:$C$5000,$C3821,$O$6:$O$5000,$O3821,$B$6:$B$5000,$B3821)&gt;1,"MÜKERRER","OK"))))</f>
        <v/>
      </c>
    </row>
    <row r="3822" ht="16.5" customHeight="1" s="80">
      <c r="A3822" s="113" t="n"/>
      <c r="B3822" s="113" t="n"/>
      <c r="C3822" s="113" t="n"/>
      <c r="D3822" s="113" t="n"/>
      <c r="E3822" s="113" t="n"/>
      <c r="F3822" s="113" t="n"/>
      <c r="G3822" s="113" t="n"/>
      <c r="H3822" s="113" t="n"/>
      <c r="I3822" s="113" t="n"/>
      <c r="J3822" s="113" t="n"/>
      <c r="K3822" s="113" t="n"/>
      <c r="L3822" s="113" t="n"/>
      <c r="M3822" s="113" t="n"/>
      <c r="N3822" s="113" t="n"/>
      <c r="O3822" s="113" t="n"/>
      <c r="P3822" s="113" t="n"/>
      <c r="Q3822" s="113" t="n"/>
      <c r="R3822" s="113" t="n"/>
      <c r="S3822" s="113" t="n"/>
      <c r="T3822" s="113" t="n"/>
      <c r="U3822" s="113" t="n"/>
      <c r="V3822" s="113" t="n"/>
      <c r="W3822" s="113" t="n"/>
      <c r="X3822" s="113" t="n"/>
      <c r="Y3822" s="113" t="n"/>
      <c r="Z3822" s="117">
        <f>IF($B3822="",0,IF($S3822="EVET",IF($D3822="GELİR",$O3822,-$O3822),0))</f>
        <v/>
      </c>
      <c r="AA3822" s="117">
        <f>IF($B3822="",0,IF(OR($W3822="EVET",$X3822="EVET",$Y3822="EVET"),0,IF($D3822="GELİR",IF($E3822="SATIŞ İADESİ/İSKONTO",-$O3822,$O3822),-$O3822)))</f>
        <v/>
      </c>
      <c r="AB3822" s="117">
        <f>IF($B3822="","",IF(OR($D3822="",$E3822="",$O3822=""),"EKSİK",IF($O3822&lt;=0,"SIFIR/NEGATİF",IF(COUNTIFS($C$6:$C$5000,$C3822,$O$6:$O$5000,$O3822,$B$6:$B$5000,$B3822)&gt;1,"MÜKERRER","OK"))))</f>
        <v/>
      </c>
    </row>
    <row r="3823" ht="16.5" customHeight="1" s="80">
      <c r="A3823" s="113" t="n"/>
      <c r="B3823" s="113" t="n"/>
      <c r="C3823" s="113" t="n"/>
      <c r="D3823" s="113" t="n"/>
      <c r="E3823" s="113" t="n"/>
      <c r="F3823" s="113" t="n"/>
      <c r="G3823" s="113" t="n"/>
      <c r="H3823" s="113" t="n"/>
      <c r="I3823" s="113" t="n"/>
      <c r="J3823" s="113" t="n"/>
      <c r="K3823" s="113" t="n"/>
      <c r="L3823" s="113" t="n"/>
      <c r="M3823" s="113" t="n"/>
      <c r="N3823" s="113" t="n"/>
      <c r="O3823" s="113" t="n"/>
      <c r="P3823" s="113" t="n"/>
      <c r="Q3823" s="113" t="n"/>
      <c r="R3823" s="113" t="n"/>
      <c r="S3823" s="113" t="n"/>
      <c r="T3823" s="113" t="n"/>
      <c r="U3823" s="113" t="n"/>
      <c r="V3823" s="113" t="n"/>
      <c r="W3823" s="113" t="n"/>
      <c r="X3823" s="113" t="n"/>
      <c r="Y3823" s="113" t="n"/>
      <c r="Z3823" s="117">
        <f>IF($B3823="",0,IF($S3823="EVET",IF($D3823="GELİR",$O3823,-$O3823),0))</f>
        <v/>
      </c>
      <c r="AA3823" s="117">
        <f>IF($B3823="",0,IF(OR($W3823="EVET",$X3823="EVET",$Y3823="EVET"),0,IF($D3823="GELİR",IF($E3823="SATIŞ İADESİ/İSKONTO",-$O3823,$O3823),-$O3823)))</f>
        <v/>
      </c>
      <c r="AB3823" s="117">
        <f>IF($B3823="","",IF(OR($D3823="",$E3823="",$O3823=""),"EKSİK",IF($O3823&lt;=0,"SIFIR/NEGATİF",IF(COUNTIFS($C$6:$C$5000,$C3823,$O$6:$O$5000,$O3823,$B$6:$B$5000,$B3823)&gt;1,"MÜKERRER","OK"))))</f>
        <v/>
      </c>
    </row>
    <row r="3824" ht="16.5" customHeight="1" s="80">
      <c r="A3824" s="113" t="n"/>
      <c r="B3824" s="113" t="n"/>
      <c r="C3824" s="113" t="n"/>
      <c r="D3824" s="113" t="n"/>
      <c r="E3824" s="113" t="n"/>
      <c r="F3824" s="113" t="n"/>
      <c r="G3824" s="113" t="n"/>
      <c r="H3824" s="113" t="n"/>
      <c r="I3824" s="113" t="n"/>
      <c r="J3824" s="113" t="n"/>
      <c r="K3824" s="113" t="n"/>
      <c r="L3824" s="113" t="n"/>
      <c r="M3824" s="113" t="n"/>
      <c r="N3824" s="113" t="n"/>
      <c r="O3824" s="113" t="n"/>
      <c r="P3824" s="113" t="n"/>
      <c r="Q3824" s="113" t="n"/>
      <c r="R3824" s="113" t="n"/>
      <c r="S3824" s="113" t="n"/>
      <c r="T3824" s="113" t="n"/>
      <c r="U3824" s="113" t="n"/>
      <c r="V3824" s="113" t="n"/>
      <c r="W3824" s="113" t="n"/>
      <c r="X3824" s="113" t="n"/>
      <c r="Y3824" s="113" t="n"/>
      <c r="Z3824" s="117">
        <f>IF($B3824="",0,IF($S3824="EVET",IF($D3824="GELİR",$O3824,-$O3824),0))</f>
        <v/>
      </c>
      <c r="AA3824" s="117">
        <f>IF($B3824="",0,IF(OR($W3824="EVET",$X3824="EVET",$Y3824="EVET"),0,IF($D3824="GELİR",IF($E3824="SATIŞ İADESİ/İSKONTO",-$O3824,$O3824),-$O3824)))</f>
        <v/>
      </c>
      <c r="AB3824" s="117">
        <f>IF($B3824="","",IF(OR($D3824="",$E3824="",$O3824=""),"EKSİK",IF($O3824&lt;=0,"SIFIR/NEGATİF",IF(COUNTIFS($C$6:$C$5000,$C3824,$O$6:$O$5000,$O3824,$B$6:$B$5000,$B3824)&gt;1,"MÜKERRER","OK"))))</f>
        <v/>
      </c>
    </row>
    <row r="3825" ht="16.5" customHeight="1" s="80">
      <c r="A3825" s="113" t="n"/>
      <c r="B3825" s="113" t="n"/>
      <c r="C3825" s="113" t="n"/>
      <c r="D3825" s="113" t="n"/>
      <c r="E3825" s="113" t="n"/>
      <c r="F3825" s="113" t="n"/>
      <c r="G3825" s="113" t="n"/>
      <c r="H3825" s="113" t="n"/>
      <c r="I3825" s="113" t="n"/>
      <c r="J3825" s="113" t="n"/>
      <c r="K3825" s="113" t="n"/>
      <c r="L3825" s="113" t="n"/>
      <c r="M3825" s="113" t="n"/>
      <c r="N3825" s="113" t="n"/>
      <c r="O3825" s="113" t="n"/>
      <c r="P3825" s="113" t="n"/>
      <c r="Q3825" s="113" t="n"/>
      <c r="R3825" s="113" t="n"/>
      <c r="S3825" s="113" t="n"/>
      <c r="T3825" s="113" t="n"/>
      <c r="U3825" s="113" t="n"/>
      <c r="V3825" s="113" t="n"/>
      <c r="W3825" s="113" t="n"/>
      <c r="X3825" s="113" t="n"/>
      <c r="Y3825" s="113" t="n"/>
      <c r="Z3825" s="117">
        <f>IF($B3825="",0,IF($S3825="EVET",IF($D3825="GELİR",$O3825,-$O3825),0))</f>
        <v/>
      </c>
      <c r="AA3825" s="117">
        <f>IF($B3825="",0,IF(OR($W3825="EVET",$X3825="EVET",$Y3825="EVET"),0,IF($D3825="GELİR",IF($E3825="SATIŞ İADESİ/İSKONTO",-$O3825,$O3825),-$O3825)))</f>
        <v/>
      </c>
      <c r="AB3825" s="117">
        <f>IF($B3825="","",IF(OR($D3825="",$E3825="",$O3825=""),"EKSİK",IF($O3825&lt;=0,"SIFIR/NEGATİF",IF(COUNTIFS($C$6:$C$5000,$C3825,$O$6:$O$5000,$O3825,$B$6:$B$5000,$B3825)&gt;1,"MÜKERRER","OK"))))</f>
        <v/>
      </c>
    </row>
    <row r="3826" ht="16.5" customHeight="1" s="80">
      <c r="A3826" s="113" t="n"/>
      <c r="B3826" s="113" t="n"/>
      <c r="C3826" s="113" t="n"/>
      <c r="D3826" s="113" t="n"/>
      <c r="E3826" s="113" t="n"/>
      <c r="F3826" s="113" t="n"/>
      <c r="G3826" s="113" t="n"/>
      <c r="H3826" s="113" t="n"/>
      <c r="I3826" s="113" t="n"/>
      <c r="J3826" s="113" t="n"/>
      <c r="K3826" s="113" t="n"/>
      <c r="L3826" s="113" t="n"/>
      <c r="M3826" s="113" t="n"/>
      <c r="N3826" s="113" t="n"/>
      <c r="O3826" s="113" t="n"/>
      <c r="P3826" s="113" t="n"/>
      <c r="Q3826" s="113" t="n"/>
      <c r="R3826" s="113" t="n"/>
      <c r="S3826" s="113" t="n"/>
      <c r="T3826" s="113" t="n"/>
      <c r="U3826" s="113" t="n"/>
      <c r="V3826" s="113" t="n"/>
      <c r="W3826" s="113" t="n"/>
      <c r="X3826" s="113" t="n"/>
      <c r="Y3826" s="113" t="n"/>
      <c r="Z3826" s="117">
        <f>IF($B3826="",0,IF($S3826="EVET",IF($D3826="GELİR",$O3826,-$O3826),0))</f>
        <v/>
      </c>
      <c r="AA3826" s="117">
        <f>IF($B3826="",0,IF(OR($W3826="EVET",$X3826="EVET",$Y3826="EVET"),0,IF($D3826="GELİR",IF($E3826="SATIŞ İADESİ/İSKONTO",-$O3826,$O3826),-$O3826)))</f>
        <v/>
      </c>
      <c r="AB3826" s="117">
        <f>IF($B3826="","",IF(OR($D3826="",$E3826="",$O3826=""),"EKSİK",IF($O3826&lt;=0,"SIFIR/NEGATİF",IF(COUNTIFS($C$6:$C$5000,$C3826,$O$6:$O$5000,$O3826,$B$6:$B$5000,$B3826)&gt;1,"MÜKERRER","OK"))))</f>
        <v/>
      </c>
    </row>
    <row r="3827" ht="16.5" customHeight="1" s="80">
      <c r="A3827" s="113" t="n"/>
      <c r="B3827" s="113" t="n"/>
      <c r="C3827" s="113" t="n"/>
      <c r="D3827" s="113" t="n"/>
      <c r="E3827" s="113" t="n"/>
      <c r="F3827" s="113" t="n"/>
      <c r="G3827" s="113" t="n"/>
      <c r="H3827" s="113" t="n"/>
      <c r="I3827" s="113" t="n"/>
      <c r="J3827" s="113" t="n"/>
      <c r="K3827" s="113" t="n"/>
      <c r="L3827" s="113" t="n"/>
      <c r="M3827" s="113" t="n"/>
      <c r="N3827" s="113" t="n"/>
      <c r="O3827" s="113" t="n"/>
      <c r="P3827" s="113" t="n"/>
      <c r="Q3827" s="113" t="n"/>
      <c r="R3827" s="113" t="n"/>
      <c r="S3827" s="113" t="n"/>
      <c r="T3827" s="113" t="n"/>
      <c r="U3827" s="113" t="n"/>
      <c r="V3827" s="113" t="n"/>
      <c r="W3827" s="113" t="n"/>
      <c r="X3827" s="113" t="n"/>
      <c r="Y3827" s="113" t="n"/>
      <c r="Z3827" s="117">
        <f>IF($B3827="",0,IF($S3827="EVET",IF($D3827="GELİR",$O3827,-$O3827),0))</f>
        <v/>
      </c>
      <c r="AA3827" s="117">
        <f>IF($B3827="",0,IF(OR($W3827="EVET",$X3827="EVET",$Y3827="EVET"),0,IF($D3827="GELİR",IF($E3827="SATIŞ İADESİ/İSKONTO",-$O3827,$O3827),-$O3827)))</f>
        <v/>
      </c>
      <c r="AB3827" s="117">
        <f>IF($B3827="","",IF(OR($D3827="",$E3827="",$O3827=""),"EKSİK",IF($O3827&lt;=0,"SIFIR/NEGATİF",IF(COUNTIFS($C$6:$C$5000,$C3827,$O$6:$O$5000,$O3827,$B$6:$B$5000,$B3827)&gt;1,"MÜKERRER","OK"))))</f>
        <v/>
      </c>
    </row>
    <row r="3828" ht="16.5" customHeight="1" s="80">
      <c r="A3828" s="113" t="n"/>
      <c r="B3828" s="113" t="n"/>
      <c r="C3828" s="113" t="n"/>
      <c r="D3828" s="113" t="n"/>
      <c r="E3828" s="113" t="n"/>
      <c r="F3828" s="113" t="n"/>
      <c r="G3828" s="113" t="n"/>
      <c r="H3828" s="113" t="n"/>
      <c r="I3828" s="113" t="n"/>
      <c r="J3828" s="113" t="n"/>
      <c r="K3828" s="113" t="n"/>
      <c r="L3828" s="113" t="n"/>
      <c r="M3828" s="113" t="n"/>
      <c r="N3828" s="113" t="n"/>
      <c r="O3828" s="113" t="n"/>
      <c r="P3828" s="113" t="n"/>
      <c r="Q3828" s="113" t="n"/>
      <c r="R3828" s="113" t="n"/>
      <c r="S3828" s="113" t="n"/>
      <c r="T3828" s="113" t="n"/>
      <c r="U3828" s="113" t="n"/>
      <c r="V3828" s="113" t="n"/>
      <c r="W3828" s="113" t="n"/>
      <c r="X3828" s="113" t="n"/>
      <c r="Y3828" s="113" t="n"/>
      <c r="Z3828" s="117">
        <f>IF($B3828="",0,IF($S3828="EVET",IF($D3828="GELİR",$O3828,-$O3828),0))</f>
        <v/>
      </c>
      <c r="AA3828" s="117">
        <f>IF($B3828="",0,IF(OR($W3828="EVET",$X3828="EVET",$Y3828="EVET"),0,IF($D3828="GELİR",IF($E3828="SATIŞ İADESİ/İSKONTO",-$O3828,$O3828),-$O3828)))</f>
        <v/>
      </c>
      <c r="AB3828" s="117">
        <f>IF($B3828="","",IF(OR($D3828="",$E3828="",$O3828=""),"EKSİK",IF($O3828&lt;=0,"SIFIR/NEGATİF",IF(COUNTIFS($C$6:$C$5000,$C3828,$O$6:$O$5000,$O3828,$B$6:$B$5000,$B3828)&gt;1,"MÜKERRER","OK"))))</f>
        <v/>
      </c>
    </row>
    <row r="3829" ht="16.5" customHeight="1" s="80">
      <c r="A3829" s="113" t="n"/>
      <c r="B3829" s="113" t="n"/>
      <c r="C3829" s="113" t="n"/>
      <c r="D3829" s="113" t="n"/>
      <c r="E3829" s="113" t="n"/>
      <c r="F3829" s="113" t="n"/>
      <c r="G3829" s="113" t="n"/>
      <c r="H3829" s="113" t="n"/>
      <c r="I3829" s="113" t="n"/>
      <c r="J3829" s="113" t="n"/>
      <c r="K3829" s="113" t="n"/>
      <c r="L3829" s="113" t="n"/>
      <c r="M3829" s="113" t="n"/>
      <c r="N3829" s="113" t="n"/>
      <c r="O3829" s="113" t="n"/>
      <c r="P3829" s="113" t="n"/>
      <c r="Q3829" s="113" t="n"/>
      <c r="R3829" s="113" t="n"/>
      <c r="S3829" s="113" t="n"/>
      <c r="T3829" s="113" t="n"/>
      <c r="U3829" s="113" t="n"/>
      <c r="V3829" s="113" t="n"/>
      <c r="W3829" s="113" t="n"/>
      <c r="X3829" s="113" t="n"/>
      <c r="Y3829" s="113" t="n"/>
      <c r="Z3829" s="117">
        <f>IF($B3829="",0,IF($S3829="EVET",IF($D3829="GELİR",$O3829,-$O3829),0))</f>
        <v/>
      </c>
      <c r="AA3829" s="117">
        <f>IF($B3829="",0,IF(OR($W3829="EVET",$X3829="EVET",$Y3829="EVET"),0,IF($D3829="GELİR",IF($E3829="SATIŞ İADESİ/İSKONTO",-$O3829,$O3829),-$O3829)))</f>
        <v/>
      </c>
      <c r="AB3829" s="117">
        <f>IF($B3829="","",IF(OR($D3829="",$E3829="",$O3829=""),"EKSİK",IF($O3829&lt;=0,"SIFIR/NEGATİF",IF(COUNTIFS($C$6:$C$5000,$C3829,$O$6:$O$5000,$O3829,$B$6:$B$5000,$B3829)&gt;1,"MÜKERRER","OK"))))</f>
        <v/>
      </c>
    </row>
    <row r="3830" ht="16.5" customHeight="1" s="80">
      <c r="A3830" s="113" t="n"/>
      <c r="B3830" s="113" t="n"/>
      <c r="C3830" s="113" t="n"/>
      <c r="D3830" s="113" t="n"/>
      <c r="E3830" s="113" t="n"/>
      <c r="F3830" s="113" t="n"/>
      <c r="G3830" s="113" t="n"/>
      <c r="H3830" s="113" t="n"/>
      <c r="I3830" s="113" t="n"/>
      <c r="J3830" s="113" t="n"/>
      <c r="K3830" s="113" t="n"/>
      <c r="L3830" s="113" t="n"/>
      <c r="M3830" s="113" t="n"/>
      <c r="N3830" s="113" t="n"/>
      <c r="O3830" s="113" t="n"/>
      <c r="P3830" s="113" t="n"/>
      <c r="Q3830" s="113" t="n"/>
      <c r="R3830" s="113" t="n"/>
      <c r="S3830" s="113" t="n"/>
      <c r="T3830" s="113" t="n"/>
      <c r="U3830" s="113" t="n"/>
      <c r="V3830" s="113" t="n"/>
      <c r="W3830" s="113" t="n"/>
      <c r="X3830" s="113" t="n"/>
      <c r="Y3830" s="113" t="n"/>
      <c r="Z3830" s="117">
        <f>IF($B3830="",0,IF($S3830="EVET",IF($D3830="GELİR",$O3830,-$O3830),0))</f>
        <v/>
      </c>
      <c r="AA3830" s="117">
        <f>IF($B3830="",0,IF(OR($W3830="EVET",$X3830="EVET",$Y3830="EVET"),0,IF($D3830="GELİR",IF($E3830="SATIŞ İADESİ/İSKONTO",-$O3830,$O3830),-$O3830)))</f>
        <v/>
      </c>
      <c r="AB3830" s="117">
        <f>IF($B3830="","",IF(OR($D3830="",$E3830="",$O3830=""),"EKSİK",IF($O3830&lt;=0,"SIFIR/NEGATİF",IF(COUNTIFS($C$6:$C$5000,$C3830,$O$6:$O$5000,$O3830,$B$6:$B$5000,$B3830)&gt;1,"MÜKERRER","OK"))))</f>
        <v/>
      </c>
    </row>
    <row r="3831" ht="16.5" customHeight="1" s="80">
      <c r="A3831" s="113" t="n"/>
      <c r="B3831" s="113" t="n"/>
      <c r="C3831" s="113" t="n"/>
      <c r="D3831" s="113" t="n"/>
      <c r="E3831" s="113" t="n"/>
      <c r="F3831" s="113" t="n"/>
      <c r="G3831" s="113" t="n"/>
      <c r="H3831" s="113" t="n"/>
      <c r="I3831" s="113" t="n"/>
      <c r="J3831" s="113" t="n"/>
      <c r="K3831" s="113" t="n"/>
      <c r="L3831" s="113" t="n"/>
      <c r="M3831" s="113" t="n"/>
      <c r="N3831" s="113" t="n"/>
      <c r="O3831" s="113" t="n"/>
      <c r="P3831" s="113" t="n"/>
      <c r="Q3831" s="113" t="n"/>
      <c r="R3831" s="113" t="n"/>
      <c r="S3831" s="113" t="n"/>
      <c r="T3831" s="113" t="n"/>
      <c r="U3831" s="113" t="n"/>
      <c r="V3831" s="113" t="n"/>
      <c r="W3831" s="113" t="n"/>
      <c r="X3831" s="113" t="n"/>
      <c r="Y3831" s="113" t="n"/>
      <c r="Z3831" s="117">
        <f>IF($B3831="",0,IF($S3831="EVET",IF($D3831="GELİR",$O3831,-$O3831),0))</f>
        <v/>
      </c>
      <c r="AA3831" s="117">
        <f>IF($B3831="",0,IF(OR($W3831="EVET",$X3831="EVET",$Y3831="EVET"),0,IF($D3831="GELİR",IF($E3831="SATIŞ İADESİ/İSKONTO",-$O3831,$O3831),-$O3831)))</f>
        <v/>
      </c>
      <c r="AB3831" s="117">
        <f>IF($B3831="","",IF(OR($D3831="",$E3831="",$O3831=""),"EKSİK",IF($O3831&lt;=0,"SIFIR/NEGATİF",IF(COUNTIFS($C$6:$C$5000,$C3831,$O$6:$O$5000,$O3831,$B$6:$B$5000,$B3831)&gt;1,"MÜKERRER","OK"))))</f>
        <v/>
      </c>
    </row>
    <row r="3832" ht="16.5" customHeight="1" s="80">
      <c r="A3832" s="113" t="n"/>
      <c r="B3832" s="113" t="n"/>
      <c r="C3832" s="113" t="n"/>
      <c r="D3832" s="113" t="n"/>
      <c r="E3832" s="113" t="n"/>
      <c r="F3832" s="113" t="n"/>
      <c r="G3832" s="113" t="n"/>
      <c r="H3832" s="113" t="n"/>
      <c r="I3832" s="113" t="n"/>
      <c r="J3832" s="113" t="n"/>
      <c r="K3832" s="113" t="n"/>
      <c r="L3832" s="113" t="n"/>
      <c r="M3832" s="113" t="n"/>
      <c r="N3832" s="113" t="n"/>
      <c r="O3832" s="113" t="n"/>
      <c r="P3832" s="113" t="n"/>
      <c r="Q3832" s="113" t="n"/>
      <c r="R3832" s="113" t="n"/>
      <c r="S3832" s="113" t="n"/>
      <c r="T3832" s="113" t="n"/>
      <c r="U3832" s="113" t="n"/>
      <c r="V3832" s="113" t="n"/>
      <c r="W3832" s="113" t="n"/>
      <c r="X3832" s="113" t="n"/>
      <c r="Y3832" s="113" t="n"/>
      <c r="Z3832" s="117">
        <f>IF($B3832="",0,IF($S3832="EVET",IF($D3832="GELİR",$O3832,-$O3832),0))</f>
        <v/>
      </c>
      <c r="AA3832" s="117">
        <f>IF($B3832="",0,IF(OR($W3832="EVET",$X3832="EVET",$Y3832="EVET"),0,IF($D3832="GELİR",IF($E3832="SATIŞ İADESİ/İSKONTO",-$O3832,$O3832),-$O3832)))</f>
        <v/>
      </c>
      <c r="AB3832" s="117">
        <f>IF($B3832="","",IF(OR($D3832="",$E3832="",$O3832=""),"EKSİK",IF($O3832&lt;=0,"SIFIR/NEGATİF",IF(COUNTIFS($C$6:$C$5000,$C3832,$O$6:$O$5000,$O3832,$B$6:$B$5000,$B3832)&gt;1,"MÜKERRER","OK"))))</f>
        <v/>
      </c>
    </row>
    <row r="3833" ht="16.5" customHeight="1" s="80">
      <c r="A3833" s="113" t="n"/>
      <c r="B3833" s="113" t="n"/>
      <c r="C3833" s="113" t="n"/>
      <c r="D3833" s="113" t="n"/>
      <c r="E3833" s="113" t="n"/>
      <c r="F3833" s="113" t="n"/>
      <c r="G3833" s="113" t="n"/>
      <c r="H3833" s="113" t="n"/>
      <c r="I3833" s="113" t="n"/>
      <c r="J3833" s="113" t="n"/>
      <c r="K3833" s="113" t="n"/>
      <c r="L3833" s="113" t="n"/>
      <c r="M3833" s="113" t="n"/>
      <c r="N3833" s="113" t="n"/>
      <c r="O3833" s="113" t="n"/>
      <c r="P3833" s="113" t="n"/>
      <c r="Q3833" s="113" t="n"/>
      <c r="R3833" s="113" t="n"/>
      <c r="S3833" s="113" t="n"/>
      <c r="T3833" s="113" t="n"/>
      <c r="U3833" s="113" t="n"/>
      <c r="V3833" s="113" t="n"/>
      <c r="W3833" s="113" t="n"/>
      <c r="X3833" s="113" t="n"/>
      <c r="Y3833" s="113" t="n"/>
      <c r="Z3833" s="117">
        <f>IF($B3833="",0,IF($S3833="EVET",IF($D3833="GELİR",$O3833,-$O3833),0))</f>
        <v/>
      </c>
      <c r="AA3833" s="117">
        <f>IF($B3833="",0,IF(OR($W3833="EVET",$X3833="EVET",$Y3833="EVET"),0,IF($D3833="GELİR",IF($E3833="SATIŞ İADESİ/İSKONTO",-$O3833,$O3833),-$O3833)))</f>
        <v/>
      </c>
      <c r="AB3833" s="117">
        <f>IF($B3833="","",IF(OR($D3833="",$E3833="",$O3833=""),"EKSİK",IF($O3833&lt;=0,"SIFIR/NEGATİF",IF(COUNTIFS($C$6:$C$5000,$C3833,$O$6:$O$5000,$O3833,$B$6:$B$5000,$B3833)&gt;1,"MÜKERRER","OK"))))</f>
        <v/>
      </c>
    </row>
    <row r="3834" ht="16.5" customHeight="1" s="80">
      <c r="A3834" s="113" t="n"/>
      <c r="B3834" s="113" t="n"/>
      <c r="C3834" s="113" t="n"/>
      <c r="D3834" s="113" t="n"/>
      <c r="E3834" s="113" t="n"/>
      <c r="F3834" s="113" t="n"/>
      <c r="G3834" s="113" t="n"/>
      <c r="H3834" s="113" t="n"/>
      <c r="I3834" s="113" t="n"/>
      <c r="J3834" s="113" t="n"/>
      <c r="K3834" s="113" t="n"/>
      <c r="L3834" s="113" t="n"/>
      <c r="M3834" s="113" t="n"/>
      <c r="N3834" s="113" t="n"/>
      <c r="O3834" s="113" t="n"/>
      <c r="P3834" s="113" t="n"/>
      <c r="Q3834" s="113" t="n"/>
      <c r="R3834" s="113" t="n"/>
      <c r="S3834" s="113" t="n"/>
      <c r="T3834" s="113" t="n"/>
      <c r="U3834" s="113" t="n"/>
      <c r="V3834" s="113" t="n"/>
      <c r="W3834" s="113" t="n"/>
      <c r="X3834" s="113" t="n"/>
      <c r="Y3834" s="113" t="n"/>
      <c r="Z3834" s="117">
        <f>IF($B3834="",0,IF($S3834="EVET",IF($D3834="GELİR",$O3834,-$O3834),0))</f>
        <v/>
      </c>
      <c r="AA3834" s="117">
        <f>IF($B3834="",0,IF(OR($W3834="EVET",$X3834="EVET",$Y3834="EVET"),0,IF($D3834="GELİR",IF($E3834="SATIŞ İADESİ/İSKONTO",-$O3834,$O3834),-$O3834)))</f>
        <v/>
      </c>
      <c r="AB3834" s="117">
        <f>IF($B3834="","",IF(OR($D3834="",$E3834="",$O3834=""),"EKSİK",IF($O3834&lt;=0,"SIFIR/NEGATİF",IF(COUNTIFS($C$6:$C$5000,$C3834,$O$6:$O$5000,$O3834,$B$6:$B$5000,$B3834)&gt;1,"MÜKERRER","OK"))))</f>
        <v/>
      </c>
    </row>
    <row r="3835" ht="16.5" customHeight="1" s="80">
      <c r="A3835" s="113" t="n"/>
      <c r="B3835" s="113" t="n"/>
      <c r="C3835" s="113" t="n"/>
      <c r="D3835" s="113" t="n"/>
      <c r="E3835" s="113" t="n"/>
      <c r="F3835" s="113" t="n"/>
      <c r="G3835" s="113" t="n"/>
      <c r="H3835" s="113" t="n"/>
      <c r="I3835" s="113" t="n"/>
      <c r="J3835" s="113" t="n"/>
      <c r="K3835" s="113" t="n"/>
      <c r="L3835" s="113" t="n"/>
      <c r="M3835" s="113" t="n"/>
      <c r="N3835" s="113" t="n"/>
      <c r="O3835" s="113" t="n"/>
      <c r="P3835" s="113" t="n"/>
      <c r="Q3835" s="113" t="n"/>
      <c r="R3835" s="113" t="n"/>
      <c r="S3835" s="113" t="n"/>
      <c r="T3835" s="113" t="n"/>
      <c r="U3835" s="113" t="n"/>
      <c r="V3835" s="113" t="n"/>
      <c r="W3835" s="113" t="n"/>
      <c r="X3835" s="113" t="n"/>
      <c r="Y3835" s="113" t="n"/>
      <c r="Z3835" s="117">
        <f>IF($B3835="",0,IF($S3835="EVET",IF($D3835="GELİR",$O3835,-$O3835),0))</f>
        <v/>
      </c>
      <c r="AA3835" s="117">
        <f>IF($B3835="",0,IF(OR($W3835="EVET",$X3835="EVET",$Y3835="EVET"),0,IF($D3835="GELİR",IF($E3835="SATIŞ İADESİ/İSKONTO",-$O3835,$O3835),-$O3835)))</f>
        <v/>
      </c>
      <c r="AB3835" s="117">
        <f>IF($B3835="","",IF(OR($D3835="",$E3835="",$O3835=""),"EKSİK",IF($O3835&lt;=0,"SIFIR/NEGATİF",IF(COUNTIFS($C$6:$C$5000,$C3835,$O$6:$O$5000,$O3835,$B$6:$B$5000,$B3835)&gt;1,"MÜKERRER","OK"))))</f>
        <v/>
      </c>
    </row>
    <row r="3836" ht="16.5" customHeight="1" s="80">
      <c r="A3836" s="113" t="n"/>
      <c r="B3836" s="113" t="n"/>
      <c r="C3836" s="113" t="n"/>
      <c r="D3836" s="113" t="n"/>
      <c r="E3836" s="113" t="n"/>
      <c r="F3836" s="113" t="n"/>
      <c r="G3836" s="113" t="n"/>
      <c r="H3836" s="113" t="n"/>
      <c r="I3836" s="113" t="n"/>
      <c r="J3836" s="113" t="n"/>
      <c r="K3836" s="113" t="n"/>
      <c r="L3836" s="113" t="n"/>
      <c r="M3836" s="113" t="n"/>
      <c r="N3836" s="113" t="n"/>
      <c r="O3836" s="113" t="n"/>
      <c r="P3836" s="113" t="n"/>
      <c r="Q3836" s="113" t="n"/>
      <c r="R3836" s="113" t="n"/>
      <c r="S3836" s="113" t="n"/>
      <c r="T3836" s="113" t="n"/>
      <c r="U3836" s="113" t="n"/>
      <c r="V3836" s="113" t="n"/>
      <c r="W3836" s="113" t="n"/>
      <c r="X3836" s="113" t="n"/>
      <c r="Y3836" s="113" t="n"/>
      <c r="Z3836" s="117">
        <f>IF($B3836="",0,IF($S3836="EVET",IF($D3836="GELİR",$O3836,-$O3836),0))</f>
        <v/>
      </c>
      <c r="AA3836" s="117">
        <f>IF($B3836="",0,IF(OR($W3836="EVET",$X3836="EVET",$Y3836="EVET"),0,IF($D3836="GELİR",IF($E3836="SATIŞ İADESİ/İSKONTO",-$O3836,$O3836),-$O3836)))</f>
        <v/>
      </c>
      <c r="AB3836" s="117">
        <f>IF($B3836="","",IF(OR($D3836="",$E3836="",$O3836=""),"EKSİK",IF($O3836&lt;=0,"SIFIR/NEGATİF",IF(COUNTIFS($C$6:$C$5000,$C3836,$O$6:$O$5000,$O3836,$B$6:$B$5000,$B3836)&gt;1,"MÜKERRER","OK"))))</f>
        <v/>
      </c>
    </row>
    <row r="3837" ht="16.5" customHeight="1" s="80">
      <c r="A3837" s="113" t="n"/>
      <c r="B3837" s="113" t="n"/>
      <c r="C3837" s="113" t="n"/>
      <c r="D3837" s="113" t="n"/>
      <c r="E3837" s="113" t="n"/>
      <c r="F3837" s="113" t="n"/>
      <c r="G3837" s="113" t="n"/>
      <c r="H3837" s="113" t="n"/>
      <c r="I3837" s="113" t="n"/>
      <c r="J3837" s="113" t="n"/>
      <c r="K3837" s="113" t="n"/>
      <c r="L3837" s="113" t="n"/>
      <c r="M3837" s="113" t="n"/>
      <c r="N3837" s="113" t="n"/>
      <c r="O3837" s="113" t="n"/>
      <c r="P3837" s="113" t="n"/>
      <c r="Q3837" s="113" t="n"/>
      <c r="R3837" s="113" t="n"/>
      <c r="S3837" s="113" t="n"/>
      <c r="T3837" s="113" t="n"/>
      <c r="U3837" s="113" t="n"/>
      <c r="V3837" s="113" t="n"/>
      <c r="W3837" s="113" t="n"/>
      <c r="X3837" s="113" t="n"/>
      <c r="Y3837" s="113" t="n"/>
      <c r="Z3837" s="117">
        <f>IF($B3837="",0,IF($S3837="EVET",IF($D3837="GELİR",$O3837,-$O3837),0))</f>
        <v/>
      </c>
      <c r="AA3837" s="117">
        <f>IF($B3837="",0,IF(OR($W3837="EVET",$X3837="EVET",$Y3837="EVET"),0,IF($D3837="GELİR",IF($E3837="SATIŞ İADESİ/İSKONTO",-$O3837,$O3837),-$O3837)))</f>
        <v/>
      </c>
      <c r="AB3837" s="117">
        <f>IF($B3837="","",IF(OR($D3837="",$E3837="",$O3837=""),"EKSİK",IF($O3837&lt;=0,"SIFIR/NEGATİF",IF(COUNTIFS($C$6:$C$5000,$C3837,$O$6:$O$5000,$O3837,$B$6:$B$5000,$B3837)&gt;1,"MÜKERRER","OK"))))</f>
        <v/>
      </c>
    </row>
    <row r="3838" ht="16.5" customHeight="1" s="80">
      <c r="A3838" s="113" t="n"/>
      <c r="B3838" s="113" t="n"/>
      <c r="C3838" s="113" t="n"/>
      <c r="D3838" s="113" t="n"/>
      <c r="E3838" s="113" t="n"/>
      <c r="F3838" s="113" t="n"/>
      <c r="G3838" s="113" t="n"/>
      <c r="H3838" s="113" t="n"/>
      <c r="I3838" s="113" t="n"/>
      <c r="J3838" s="113" t="n"/>
      <c r="K3838" s="113" t="n"/>
      <c r="L3838" s="113" t="n"/>
      <c r="M3838" s="113" t="n"/>
      <c r="N3838" s="113" t="n"/>
      <c r="O3838" s="113" t="n"/>
      <c r="P3838" s="113" t="n"/>
      <c r="Q3838" s="113" t="n"/>
      <c r="R3838" s="113" t="n"/>
      <c r="S3838" s="113" t="n"/>
      <c r="T3838" s="113" t="n"/>
      <c r="U3838" s="113" t="n"/>
      <c r="V3838" s="113" t="n"/>
      <c r="W3838" s="113" t="n"/>
      <c r="X3838" s="113" t="n"/>
      <c r="Y3838" s="113" t="n"/>
      <c r="Z3838" s="117">
        <f>IF($B3838="",0,IF($S3838="EVET",IF($D3838="GELİR",$O3838,-$O3838),0))</f>
        <v/>
      </c>
      <c r="AA3838" s="117">
        <f>IF($B3838="",0,IF(OR($W3838="EVET",$X3838="EVET",$Y3838="EVET"),0,IF($D3838="GELİR",IF($E3838="SATIŞ İADESİ/İSKONTO",-$O3838,$O3838),-$O3838)))</f>
        <v/>
      </c>
      <c r="AB3838" s="117">
        <f>IF($B3838="","",IF(OR($D3838="",$E3838="",$O3838=""),"EKSİK",IF($O3838&lt;=0,"SIFIR/NEGATİF",IF(COUNTIFS($C$6:$C$5000,$C3838,$O$6:$O$5000,$O3838,$B$6:$B$5000,$B3838)&gt;1,"MÜKERRER","OK"))))</f>
        <v/>
      </c>
    </row>
    <row r="3839" ht="16.5" customHeight="1" s="80">
      <c r="A3839" s="113" t="n"/>
      <c r="B3839" s="113" t="n"/>
      <c r="C3839" s="113" t="n"/>
      <c r="D3839" s="113" t="n"/>
      <c r="E3839" s="113" t="n"/>
      <c r="F3839" s="113" t="n"/>
      <c r="G3839" s="113" t="n"/>
      <c r="H3839" s="113" t="n"/>
      <c r="I3839" s="113" t="n"/>
      <c r="J3839" s="113" t="n"/>
      <c r="K3839" s="113" t="n"/>
      <c r="L3839" s="113" t="n"/>
      <c r="M3839" s="113" t="n"/>
      <c r="N3839" s="113" t="n"/>
      <c r="O3839" s="113" t="n"/>
      <c r="P3839" s="113" t="n"/>
      <c r="Q3839" s="113" t="n"/>
      <c r="R3839" s="113" t="n"/>
      <c r="S3839" s="113" t="n"/>
      <c r="T3839" s="113" t="n"/>
      <c r="U3839" s="113" t="n"/>
      <c r="V3839" s="113" t="n"/>
      <c r="W3839" s="113" t="n"/>
      <c r="X3839" s="113" t="n"/>
      <c r="Y3839" s="113" t="n"/>
      <c r="Z3839" s="117">
        <f>IF($B3839="",0,IF($S3839="EVET",IF($D3839="GELİR",$O3839,-$O3839),0))</f>
        <v/>
      </c>
      <c r="AA3839" s="117">
        <f>IF($B3839="",0,IF(OR($W3839="EVET",$X3839="EVET",$Y3839="EVET"),0,IF($D3839="GELİR",IF($E3839="SATIŞ İADESİ/İSKONTO",-$O3839,$O3839),-$O3839)))</f>
        <v/>
      </c>
      <c r="AB3839" s="117">
        <f>IF($B3839="","",IF(OR($D3839="",$E3839="",$O3839=""),"EKSİK",IF($O3839&lt;=0,"SIFIR/NEGATİF",IF(COUNTIFS($C$6:$C$5000,$C3839,$O$6:$O$5000,$O3839,$B$6:$B$5000,$B3839)&gt;1,"MÜKERRER","OK"))))</f>
        <v/>
      </c>
    </row>
    <row r="3840" ht="16.5" customHeight="1" s="80">
      <c r="A3840" s="113" t="n"/>
      <c r="B3840" s="113" t="n"/>
      <c r="C3840" s="113" t="n"/>
      <c r="D3840" s="113" t="n"/>
      <c r="E3840" s="113" t="n"/>
      <c r="F3840" s="113" t="n"/>
      <c r="G3840" s="113" t="n"/>
      <c r="H3840" s="113" t="n"/>
      <c r="I3840" s="113" t="n"/>
      <c r="J3840" s="113" t="n"/>
      <c r="K3840" s="113" t="n"/>
      <c r="L3840" s="113" t="n"/>
      <c r="M3840" s="113" t="n"/>
      <c r="N3840" s="113" t="n"/>
      <c r="O3840" s="113" t="n"/>
      <c r="P3840" s="113" t="n"/>
      <c r="Q3840" s="113" t="n"/>
      <c r="R3840" s="113" t="n"/>
      <c r="S3840" s="113" t="n"/>
      <c r="T3840" s="113" t="n"/>
      <c r="U3840" s="113" t="n"/>
      <c r="V3840" s="113" t="n"/>
      <c r="W3840" s="113" t="n"/>
      <c r="X3840" s="113" t="n"/>
      <c r="Y3840" s="113" t="n"/>
      <c r="Z3840" s="117">
        <f>IF($B3840="",0,IF($S3840="EVET",IF($D3840="GELİR",$O3840,-$O3840),0))</f>
        <v/>
      </c>
      <c r="AA3840" s="117">
        <f>IF($B3840="",0,IF(OR($W3840="EVET",$X3840="EVET",$Y3840="EVET"),0,IF($D3840="GELİR",IF($E3840="SATIŞ İADESİ/İSKONTO",-$O3840,$O3840),-$O3840)))</f>
        <v/>
      </c>
      <c r="AB3840" s="117">
        <f>IF($B3840="","",IF(OR($D3840="",$E3840="",$O3840=""),"EKSİK",IF($O3840&lt;=0,"SIFIR/NEGATİF",IF(COUNTIFS($C$6:$C$5000,$C3840,$O$6:$O$5000,$O3840,$B$6:$B$5000,$B3840)&gt;1,"MÜKERRER","OK"))))</f>
        <v/>
      </c>
    </row>
    <row r="3841" ht="16.5" customHeight="1" s="80">
      <c r="A3841" s="113" t="n"/>
      <c r="B3841" s="113" t="n"/>
      <c r="C3841" s="113" t="n"/>
      <c r="D3841" s="113" t="n"/>
      <c r="E3841" s="113" t="n"/>
      <c r="F3841" s="113" t="n"/>
      <c r="G3841" s="113" t="n"/>
      <c r="H3841" s="113" t="n"/>
      <c r="I3841" s="113" t="n"/>
      <c r="J3841" s="113" t="n"/>
      <c r="K3841" s="113" t="n"/>
      <c r="L3841" s="113" t="n"/>
      <c r="M3841" s="113" t="n"/>
      <c r="N3841" s="113" t="n"/>
      <c r="O3841" s="113" t="n"/>
      <c r="P3841" s="113" t="n"/>
      <c r="Q3841" s="113" t="n"/>
      <c r="R3841" s="113" t="n"/>
      <c r="S3841" s="113" t="n"/>
      <c r="T3841" s="113" t="n"/>
      <c r="U3841" s="113" t="n"/>
      <c r="V3841" s="113" t="n"/>
      <c r="W3841" s="113" t="n"/>
      <c r="X3841" s="113" t="n"/>
      <c r="Y3841" s="113" t="n"/>
      <c r="Z3841" s="117">
        <f>IF($B3841="",0,IF($S3841="EVET",IF($D3841="GELİR",$O3841,-$O3841),0))</f>
        <v/>
      </c>
      <c r="AA3841" s="117">
        <f>IF($B3841="",0,IF(OR($W3841="EVET",$X3841="EVET",$Y3841="EVET"),0,IF($D3841="GELİR",IF($E3841="SATIŞ İADESİ/İSKONTO",-$O3841,$O3841),-$O3841)))</f>
        <v/>
      </c>
      <c r="AB3841" s="117">
        <f>IF($B3841="","",IF(OR($D3841="",$E3841="",$O3841=""),"EKSİK",IF($O3841&lt;=0,"SIFIR/NEGATİF",IF(COUNTIFS($C$6:$C$5000,$C3841,$O$6:$O$5000,$O3841,$B$6:$B$5000,$B3841)&gt;1,"MÜKERRER","OK"))))</f>
        <v/>
      </c>
    </row>
    <row r="3842" ht="16.5" customHeight="1" s="80">
      <c r="A3842" s="113" t="n"/>
      <c r="B3842" s="113" t="n"/>
      <c r="C3842" s="113" t="n"/>
      <c r="D3842" s="113" t="n"/>
      <c r="E3842" s="113" t="n"/>
      <c r="F3842" s="113" t="n"/>
      <c r="G3842" s="113" t="n"/>
      <c r="H3842" s="113" t="n"/>
      <c r="I3842" s="113" t="n"/>
      <c r="J3842" s="113" t="n"/>
      <c r="K3842" s="113" t="n"/>
      <c r="L3842" s="113" t="n"/>
      <c r="M3842" s="113" t="n"/>
      <c r="N3842" s="113" t="n"/>
      <c r="O3842" s="113" t="n"/>
      <c r="P3842" s="113" t="n"/>
      <c r="Q3842" s="113" t="n"/>
      <c r="R3842" s="113" t="n"/>
      <c r="S3842" s="113" t="n"/>
      <c r="T3842" s="113" t="n"/>
      <c r="U3842" s="113" t="n"/>
      <c r="V3842" s="113" t="n"/>
      <c r="W3842" s="113" t="n"/>
      <c r="X3842" s="113" t="n"/>
      <c r="Y3842" s="113" t="n"/>
      <c r="Z3842" s="117">
        <f>IF($B3842="",0,IF($S3842="EVET",IF($D3842="GELİR",$O3842,-$O3842),0))</f>
        <v/>
      </c>
      <c r="AA3842" s="117">
        <f>IF($B3842="",0,IF(OR($W3842="EVET",$X3842="EVET",$Y3842="EVET"),0,IF($D3842="GELİR",IF($E3842="SATIŞ İADESİ/İSKONTO",-$O3842,$O3842),-$O3842)))</f>
        <v/>
      </c>
      <c r="AB3842" s="117">
        <f>IF($B3842="","",IF(OR($D3842="",$E3842="",$O3842=""),"EKSİK",IF($O3842&lt;=0,"SIFIR/NEGATİF",IF(COUNTIFS($C$6:$C$5000,$C3842,$O$6:$O$5000,$O3842,$B$6:$B$5000,$B3842)&gt;1,"MÜKERRER","OK"))))</f>
        <v/>
      </c>
    </row>
    <row r="3843" ht="16.5" customHeight="1" s="80">
      <c r="A3843" s="113" t="n"/>
      <c r="B3843" s="113" t="n"/>
      <c r="C3843" s="113" t="n"/>
      <c r="D3843" s="113" t="n"/>
      <c r="E3843" s="113" t="n"/>
      <c r="F3843" s="113" t="n"/>
      <c r="G3843" s="113" t="n"/>
      <c r="H3843" s="113" t="n"/>
      <c r="I3843" s="113" t="n"/>
      <c r="J3843" s="113" t="n"/>
      <c r="K3843" s="113" t="n"/>
      <c r="L3843" s="113" t="n"/>
      <c r="M3843" s="113" t="n"/>
      <c r="N3843" s="113" t="n"/>
      <c r="O3843" s="113" t="n"/>
      <c r="P3843" s="113" t="n"/>
      <c r="Q3843" s="113" t="n"/>
      <c r="R3843" s="113" t="n"/>
      <c r="S3843" s="113" t="n"/>
      <c r="T3843" s="113" t="n"/>
      <c r="U3843" s="113" t="n"/>
      <c r="V3843" s="113" t="n"/>
      <c r="W3843" s="113" t="n"/>
      <c r="X3843" s="113" t="n"/>
      <c r="Y3843" s="113" t="n"/>
      <c r="Z3843" s="117">
        <f>IF($B3843="",0,IF($S3843="EVET",IF($D3843="GELİR",$O3843,-$O3843),0))</f>
        <v/>
      </c>
      <c r="AA3843" s="117">
        <f>IF($B3843="",0,IF(OR($W3843="EVET",$X3843="EVET",$Y3843="EVET"),0,IF($D3843="GELİR",IF($E3843="SATIŞ İADESİ/İSKONTO",-$O3843,$O3843),-$O3843)))</f>
        <v/>
      </c>
      <c r="AB3843" s="117">
        <f>IF($B3843="","",IF(OR($D3843="",$E3843="",$O3843=""),"EKSİK",IF($O3843&lt;=0,"SIFIR/NEGATİF",IF(COUNTIFS($C$6:$C$5000,$C3843,$O$6:$O$5000,$O3843,$B$6:$B$5000,$B3843)&gt;1,"MÜKERRER","OK"))))</f>
        <v/>
      </c>
    </row>
    <row r="3844" ht="16.5" customHeight="1" s="80">
      <c r="A3844" s="113" t="n"/>
      <c r="B3844" s="113" t="n"/>
      <c r="C3844" s="113" t="n"/>
      <c r="D3844" s="113" t="n"/>
      <c r="E3844" s="113" t="n"/>
      <c r="F3844" s="113" t="n"/>
      <c r="G3844" s="113" t="n"/>
      <c r="H3844" s="113" t="n"/>
      <c r="I3844" s="113" t="n"/>
      <c r="J3844" s="113" t="n"/>
      <c r="K3844" s="113" t="n"/>
      <c r="L3844" s="113" t="n"/>
      <c r="M3844" s="113" t="n"/>
      <c r="N3844" s="113" t="n"/>
      <c r="O3844" s="113" t="n"/>
      <c r="P3844" s="113" t="n"/>
      <c r="Q3844" s="113" t="n"/>
      <c r="R3844" s="113" t="n"/>
      <c r="S3844" s="113" t="n"/>
      <c r="T3844" s="113" t="n"/>
      <c r="U3844" s="113" t="n"/>
      <c r="V3844" s="113" t="n"/>
      <c r="W3844" s="113" t="n"/>
      <c r="X3844" s="113" t="n"/>
      <c r="Y3844" s="113" t="n"/>
      <c r="Z3844" s="117">
        <f>IF($B3844="",0,IF($S3844="EVET",IF($D3844="GELİR",$O3844,-$O3844),0))</f>
        <v/>
      </c>
      <c r="AA3844" s="117">
        <f>IF($B3844="",0,IF(OR($W3844="EVET",$X3844="EVET",$Y3844="EVET"),0,IF($D3844="GELİR",IF($E3844="SATIŞ İADESİ/İSKONTO",-$O3844,$O3844),-$O3844)))</f>
        <v/>
      </c>
      <c r="AB3844" s="117">
        <f>IF($B3844="","",IF(OR($D3844="",$E3844="",$O3844=""),"EKSİK",IF($O3844&lt;=0,"SIFIR/NEGATİF",IF(COUNTIFS($C$6:$C$5000,$C3844,$O$6:$O$5000,$O3844,$B$6:$B$5000,$B3844)&gt;1,"MÜKERRER","OK"))))</f>
        <v/>
      </c>
    </row>
    <row r="3845" ht="16.5" customHeight="1" s="80">
      <c r="A3845" s="113" t="n"/>
      <c r="B3845" s="113" t="n"/>
      <c r="C3845" s="113" t="n"/>
      <c r="D3845" s="113" t="n"/>
      <c r="E3845" s="113" t="n"/>
      <c r="F3845" s="113" t="n"/>
      <c r="G3845" s="113" t="n"/>
      <c r="H3845" s="113" t="n"/>
      <c r="I3845" s="113" t="n"/>
      <c r="J3845" s="113" t="n"/>
      <c r="K3845" s="113" t="n"/>
      <c r="L3845" s="113" t="n"/>
      <c r="M3845" s="113" t="n"/>
      <c r="N3845" s="113" t="n"/>
      <c r="O3845" s="113" t="n"/>
      <c r="P3845" s="113" t="n"/>
      <c r="Q3845" s="113" t="n"/>
      <c r="R3845" s="113" t="n"/>
      <c r="S3845" s="113" t="n"/>
      <c r="T3845" s="113" t="n"/>
      <c r="U3845" s="113" t="n"/>
      <c r="V3845" s="113" t="n"/>
      <c r="W3845" s="113" t="n"/>
      <c r="X3845" s="113" t="n"/>
      <c r="Y3845" s="113" t="n"/>
      <c r="Z3845" s="117">
        <f>IF($B3845="",0,IF($S3845="EVET",IF($D3845="GELİR",$O3845,-$O3845),0))</f>
        <v/>
      </c>
      <c r="AA3845" s="117">
        <f>IF($B3845="",0,IF(OR($W3845="EVET",$X3845="EVET",$Y3845="EVET"),0,IF($D3845="GELİR",IF($E3845="SATIŞ İADESİ/İSKONTO",-$O3845,$O3845),-$O3845)))</f>
        <v/>
      </c>
      <c r="AB3845" s="117">
        <f>IF($B3845="","",IF(OR($D3845="",$E3845="",$O3845=""),"EKSİK",IF($O3845&lt;=0,"SIFIR/NEGATİF",IF(COUNTIFS($C$6:$C$5000,$C3845,$O$6:$O$5000,$O3845,$B$6:$B$5000,$B3845)&gt;1,"MÜKERRER","OK"))))</f>
        <v/>
      </c>
    </row>
    <row r="3846" ht="16.5" customHeight="1" s="80">
      <c r="A3846" s="113" t="n"/>
      <c r="B3846" s="113" t="n"/>
      <c r="C3846" s="113" t="n"/>
      <c r="D3846" s="113" t="n"/>
      <c r="E3846" s="113" t="n"/>
      <c r="F3846" s="113" t="n"/>
      <c r="G3846" s="113" t="n"/>
      <c r="H3846" s="113" t="n"/>
      <c r="I3846" s="113" t="n"/>
      <c r="J3846" s="113" t="n"/>
      <c r="K3846" s="113" t="n"/>
      <c r="L3846" s="113" t="n"/>
      <c r="M3846" s="113" t="n"/>
      <c r="N3846" s="113" t="n"/>
      <c r="O3846" s="113" t="n"/>
      <c r="P3846" s="113" t="n"/>
      <c r="Q3846" s="113" t="n"/>
      <c r="R3846" s="113" t="n"/>
      <c r="S3846" s="113" t="n"/>
      <c r="T3846" s="113" t="n"/>
      <c r="U3846" s="113" t="n"/>
      <c r="V3846" s="113" t="n"/>
      <c r="W3846" s="113" t="n"/>
      <c r="X3846" s="113" t="n"/>
      <c r="Y3846" s="113" t="n"/>
      <c r="Z3846" s="117">
        <f>IF($B3846="",0,IF($S3846="EVET",IF($D3846="GELİR",$O3846,-$O3846),0))</f>
        <v/>
      </c>
      <c r="AA3846" s="117">
        <f>IF($B3846="",0,IF(OR($W3846="EVET",$X3846="EVET",$Y3846="EVET"),0,IF($D3846="GELİR",IF($E3846="SATIŞ İADESİ/İSKONTO",-$O3846,$O3846),-$O3846)))</f>
        <v/>
      </c>
      <c r="AB3846" s="117">
        <f>IF($B3846="","",IF(OR($D3846="",$E3846="",$O3846=""),"EKSİK",IF($O3846&lt;=0,"SIFIR/NEGATİF",IF(COUNTIFS($C$6:$C$5000,$C3846,$O$6:$O$5000,$O3846,$B$6:$B$5000,$B3846)&gt;1,"MÜKERRER","OK"))))</f>
        <v/>
      </c>
    </row>
    <row r="3847" ht="16.5" customHeight="1" s="80">
      <c r="A3847" s="113" t="n"/>
      <c r="B3847" s="113" t="n"/>
      <c r="C3847" s="113" t="n"/>
      <c r="D3847" s="113" t="n"/>
      <c r="E3847" s="113" t="n"/>
      <c r="F3847" s="113" t="n"/>
      <c r="G3847" s="113" t="n"/>
      <c r="H3847" s="113" t="n"/>
      <c r="I3847" s="113" t="n"/>
      <c r="J3847" s="113" t="n"/>
      <c r="K3847" s="113" t="n"/>
      <c r="L3847" s="113" t="n"/>
      <c r="M3847" s="113" t="n"/>
      <c r="N3847" s="113" t="n"/>
      <c r="O3847" s="113" t="n"/>
      <c r="P3847" s="113" t="n"/>
      <c r="Q3847" s="113" t="n"/>
      <c r="R3847" s="113" t="n"/>
      <c r="S3847" s="113" t="n"/>
      <c r="T3847" s="113" t="n"/>
      <c r="U3847" s="113" t="n"/>
      <c r="V3847" s="113" t="n"/>
      <c r="W3847" s="113" t="n"/>
      <c r="X3847" s="113" t="n"/>
      <c r="Y3847" s="113" t="n"/>
      <c r="Z3847" s="117">
        <f>IF($B3847="",0,IF($S3847="EVET",IF($D3847="GELİR",$O3847,-$O3847),0))</f>
        <v/>
      </c>
      <c r="AA3847" s="117">
        <f>IF($B3847="",0,IF(OR($W3847="EVET",$X3847="EVET",$Y3847="EVET"),0,IF($D3847="GELİR",IF($E3847="SATIŞ İADESİ/İSKONTO",-$O3847,$O3847),-$O3847)))</f>
        <v/>
      </c>
      <c r="AB3847" s="117">
        <f>IF($B3847="","",IF(OR($D3847="",$E3847="",$O3847=""),"EKSİK",IF($O3847&lt;=0,"SIFIR/NEGATİF",IF(COUNTIFS($C$6:$C$5000,$C3847,$O$6:$O$5000,$O3847,$B$6:$B$5000,$B3847)&gt;1,"MÜKERRER","OK"))))</f>
        <v/>
      </c>
    </row>
    <row r="3848" ht="16.5" customHeight="1" s="80">
      <c r="A3848" s="113" t="n"/>
      <c r="B3848" s="113" t="n"/>
      <c r="C3848" s="113" t="n"/>
      <c r="D3848" s="113" t="n"/>
      <c r="E3848" s="113" t="n"/>
      <c r="F3848" s="113" t="n"/>
      <c r="G3848" s="113" t="n"/>
      <c r="H3848" s="113" t="n"/>
      <c r="I3848" s="113" t="n"/>
      <c r="J3848" s="113" t="n"/>
      <c r="K3848" s="113" t="n"/>
      <c r="L3848" s="113" t="n"/>
      <c r="M3848" s="113" t="n"/>
      <c r="N3848" s="113" t="n"/>
      <c r="O3848" s="113" t="n"/>
      <c r="P3848" s="113" t="n"/>
      <c r="Q3848" s="113" t="n"/>
      <c r="R3848" s="113" t="n"/>
      <c r="S3848" s="113" t="n"/>
      <c r="T3848" s="113" t="n"/>
      <c r="U3848" s="113" t="n"/>
      <c r="V3848" s="113" t="n"/>
      <c r="W3848" s="113" t="n"/>
      <c r="X3848" s="113" t="n"/>
      <c r="Y3848" s="113" t="n"/>
      <c r="Z3848" s="117">
        <f>IF($B3848="",0,IF($S3848="EVET",IF($D3848="GELİR",$O3848,-$O3848),0))</f>
        <v/>
      </c>
      <c r="AA3848" s="117">
        <f>IF($B3848="",0,IF(OR($W3848="EVET",$X3848="EVET",$Y3848="EVET"),0,IF($D3848="GELİR",IF($E3848="SATIŞ İADESİ/İSKONTO",-$O3848,$O3848),-$O3848)))</f>
        <v/>
      </c>
      <c r="AB3848" s="117">
        <f>IF($B3848="","",IF(OR($D3848="",$E3848="",$O3848=""),"EKSİK",IF($O3848&lt;=0,"SIFIR/NEGATİF",IF(COUNTIFS($C$6:$C$5000,$C3848,$O$6:$O$5000,$O3848,$B$6:$B$5000,$B3848)&gt;1,"MÜKERRER","OK"))))</f>
        <v/>
      </c>
    </row>
    <row r="3849" ht="16.5" customHeight="1" s="80">
      <c r="A3849" s="113" t="n"/>
      <c r="B3849" s="113" t="n"/>
      <c r="C3849" s="113" t="n"/>
      <c r="D3849" s="113" t="n"/>
      <c r="E3849" s="113" t="n"/>
      <c r="F3849" s="113" t="n"/>
      <c r="G3849" s="113" t="n"/>
      <c r="H3849" s="113" t="n"/>
      <c r="I3849" s="113" t="n"/>
      <c r="J3849" s="113" t="n"/>
      <c r="K3849" s="113" t="n"/>
      <c r="L3849" s="113" t="n"/>
      <c r="M3849" s="113" t="n"/>
      <c r="N3849" s="113" t="n"/>
      <c r="O3849" s="113" t="n"/>
      <c r="P3849" s="113" t="n"/>
      <c r="Q3849" s="113" t="n"/>
      <c r="R3849" s="113" t="n"/>
      <c r="S3849" s="113" t="n"/>
      <c r="T3849" s="113" t="n"/>
      <c r="U3849" s="113" t="n"/>
      <c r="V3849" s="113" t="n"/>
      <c r="W3849" s="113" t="n"/>
      <c r="X3849" s="113" t="n"/>
      <c r="Y3849" s="113" t="n"/>
      <c r="Z3849" s="117">
        <f>IF($B3849="",0,IF($S3849="EVET",IF($D3849="GELİR",$O3849,-$O3849),0))</f>
        <v/>
      </c>
      <c r="AA3849" s="117">
        <f>IF($B3849="",0,IF(OR($W3849="EVET",$X3849="EVET",$Y3849="EVET"),0,IF($D3849="GELİR",IF($E3849="SATIŞ İADESİ/İSKONTO",-$O3849,$O3849),-$O3849)))</f>
        <v/>
      </c>
      <c r="AB3849" s="117">
        <f>IF($B3849="","",IF(OR($D3849="",$E3849="",$O3849=""),"EKSİK",IF($O3849&lt;=0,"SIFIR/NEGATİF",IF(COUNTIFS($C$6:$C$5000,$C3849,$O$6:$O$5000,$O3849,$B$6:$B$5000,$B3849)&gt;1,"MÜKERRER","OK"))))</f>
        <v/>
      </c>
    </row>
    <row r="3850" ht="16.5" customHeight="1" s="80">
      <c r="A3850" s="113" t="n"/>
      <c r="B3850" s="113" t="n"/>
      <c r="C3850" s="113" t="n"/>
      <c r="D3850" s="113" t="n"/>
      <c r="E3850" s="113" t="n"/>
      <c r="F3850" s="113" t="n"/>
      <c r="G3850" s="113" t="n"/>
      <c r="H3850" s="113" t="n"/>
      <c r="I3850" s="113" t="n"/>
      <c r="J3850" s="113" t="n"/>
      <c r="K3850" s="113" t="n"/>
      <c r="L3850" s="113" t="n"/>
      <c r="M3850" s="113" t="n"/>
      <c r="N3850" s="113" t="n"/>
      <c r="O3850" s="113" t="n"/>
      <c r="P3850" s="113" t="n"/>
      <c r="Q3850" s="113" t="n"/>
      <c r="R3850" s="113" t="n"/>
      <c r="S3850" s="113" t="n"/>
      <c r="T3850" s="113" t="n"/>
      <c r="U3850" s="113" t="n"/>
      <c r="V3850" s="113" t="n"/>
      <c r="W3850" s="113" t="n"/>
      <c r="X3850" s="113" t="n"/>
      <c r="Y3850" s="113" t="n"/>
      <c r="Z3850" s="117">
        <f>IF($B3850="",0,IF($S3850="EVET",IF($D3850="GELİR",$O3850,-$O3850),0))</f>
        <v/>
      </c>
      <c r="AA3850" s="117">
        <f>IF($B3850="",0,IF(OR($W3850="EVET",$X3850="EVET",$Y3850="EVET"),0,IF($D3850="GELİR",IF($E3850="SATIŞ İADESİ/İSKONTO",-$O3850,$O3850),-$O3850)))</f>
        <v/>
      </c>
      <c r="AB3850" s="117">
        <f>IF($B3850="","",IF(OR($D3850="",$E3850="",$O3850=""),"EKSİK",IF($O3850&lt;=0,"SIFIR/NEGATİF",IF(COUNTIFS($C$6:$C$5000,$C3850,$O$6:$O$5000,$O3850,$B$6:$B$5000,$B3850)&gt;1,"MÜKERRER","OK"))))</f>
        <v/>
      </c>
    </row>
    <row r="3851" ht="16.5" customHeight="1" s="80">
      <c r="A3851" s="113" t="n"/>
      <c r="B3851" s="113" t="n"/>
      <c r="C3851" s="113" t="n"/>
      <c r="D3851" s="113" t="n"/>
      <c r="E3851" s="113" t="n"/>
      <c r="F3851" s="113" t="n"/>
      <c r="G3851" s="113" t="n"/>
      <c r="H3851" s="113" t="n"/>
      <c r="I3851" s="113" t="n"/>
      <c r="J3851" s="113" t="n"/>
      <c r="K3851" s="113" t="n"/>
      <c r="L3851" s="113" t="n"/>
      <c r="M3851" s="113" t="n"/>
      <c r="N3851" s="113" t="n"/>
      <c r="O3851" s="113" t="n"/>
      <c r="P3851" s="113" t="n"/>
      <c r="Q3851" s="113" t="n"/>
      <c r="R3851" s="113" t="n"/>
      <c r="S3851" s="113" t="n"/>
      <c r="T3851" s="113" t="n"/>
      <c r="U3851" s="113" t="n"/>
      <c r="V3851" s="113" t="n"/>
      <c r="W3851" s="113" t="n"/>
      <c r="X3851" s="113" t="n"/>
      <c r="Y3851" s="113" t="n"/>
      <c r="Z3851" s="117">
        <f>IF($B3851="",0,IF($S3851="EVET",IF($D3851="GELİR",$O3851,-$O3851),0))</f>
        <v/>
      </c>
      <c r="AA3851" s="117">
        <f>IF($B3851="",0,IF(OR($W3851="EVET",$X3851="EVET",$Y3851="EVET"),0,IF($D3851="GELİR",IF($E3851="SATIŞ İADESİ/İSKONTO",-$O3851,$O3851),-$O3851)))</f>
        <v/>
      </c>
      <c r="AB3851" s="117">
        <f>IF($B3851="","",IF(OR($D3851="",$E3851="",$O3851=""),"EKSİK",IF($O3851&lt;=0,"SIFIR/NEGATİF",IF(COUNTIFS($C$6:$C$5000,$C3851,$O$6:$O$5000,$O3851,$B$6:$B$5000,$B3851)&gt;1,"MÜKERRER","OK"))))</f>
        <v/>
      </c>
    </row>
    <row r="3852" ht="16.5" customHeight="1" s="80">
      <c r="A3852" s="113" t="n"/>
      <c r="B3852" s="113" t="n"/>
      <c r="C3852" s="113" t="n"/>
      <c r="D3852" s="113" t="n"/>
      <c r="E3852" s="113" t="n"/>
      <c r="F3852" s="113" t="n"/>
      <c r="G3852" s="113" t="n"/>
      <c r="H3852" s="113" t="n"/>
      <c r="I3852" s="113" t="n"/>
      <c r="J3852" s="113" t="n"/>
      <c r="K3852" s="113" t="n"/>
      <c r="L3852" s="113" t="n"/>
      <c r="M3852" s="113" t="n"/>
      <c r="N3852" s="113" t="n"/>
      <c r="O3852" s="113" t="n"/>
      <c r="P3852" s="113" t="n"/>
      <c r="Q3852" s="113" t="n"/>
      <c r="R3852" s="113" t="n"/>
      <c r="S3852" s="113" t="n"/>
      <c r="T3852" s="113" t="n"/>
      <c r="U3852" s="113" t="n"/>
      <c r="V3852" s="113" t="n"/>
      <c r="W3852" s="113" t="n"/>
      <c r="X3852" s="113" t="n"/>
      <c r="Y3852" s="113" t="n"/>
      <c r="Z3852" s="117">
        <f>IF($B3852="",0,IF($S3852="EVET",IF($D3852="GELİR",$O3852,-$O3852),0))</f>
        <v/>
      </c>
      <c r="AA3852" s="117">
        <f>IF($B3852="",0,IF(OR($W3852="EVET",$X3852="EVET",$Y3852="EVET"),0,IF($D3852="GELİR",IF($E3852="SATIŞ İADESİ/İSKONTO",-$O3852,$O3852),-$O3852)))</f>
        <v/>
      </c>
      <c r="AB3852" s="117">
        <f>IF($B3852="","",IF(OR($D3852="",$E3852="",$O3852=""),"EKSİK",IF($O3852&lt;=0,"SIFIR/NEGATİF",IF(COUNTIFS($C$6:$C$5000,$C3852,$O$6:$O$5000,$O3852,$B$6:$B$5000,$B3852)&gt;1,"MÜKERRER","OK"))))</f>
        <v/>
      </c>
    </row>
    <row r="3853" ht="16.5" customHeight="1" s="80">
      <c r="A3853" s="113" t="n"/>
      <c r="B3853" s="113" t="n"/>
      <c r="C3853" s="113" t="n"/>
      <c r="D3853" s="113" t="n"/>
      <c r="E3853" s="113" t="n"/>
      <c r="F3853" s="113" t="n"/>
      <c r="G3853" s="113" t="n"/>
      <c r="H3853" s="113" t="n"/>
      <c r="I3853" s="113" t="n"/>
      <c r="J3853" s="113" t="n"/>
      <c r="K3853" s="113" t="n"/>
      <c r="L3853" s="113" t="n"/>
      <c r="M3853" s="113" t="n"/>
      <c r="N3853" s="113" t="n"/>
      <c r="O3853" s="113" t="n"/>
      <c r="P3853" s="113" t="n"/>
      <c r="Q3853" s="113" t="n"/>
      <c r="R3853" s="113" t="n"/>
      <c r="S3853" s="113" t="n"/>
      <c r="T3853" s="113" t="n"/>
      <c r="U3853" s="113" t="n"/>
      <c r="V3853" s="113" t="n"/>
      <c r="W3853" s="113" t="n"/>
      <c r="X3853" s="113" t="n"/>
      <c r="Y3853" s="113" t="n"/>
      <c r="Z3853" s="117">
        <f>IF($B3853="",0,IF($S3853="EVET",IF($D3853="GELİR",$O3853,-$O3853),0))</f>
        <v/>
      </c>
      <c r="AA3853" s="117">
        <f>IF($B3853="",0,IF(OR($W3853="EVET",$X3853="EVET",$Y3853="EVET"),0,IF($D3853="GELİR",IF($E3853="SATIŞ İADESİ/İSKONTO",-$O3853,$O3853),-$O3853)))</f>
        <v/>
      </c>
      <c r="AB3853" s="117">
        <f>IF($B3853="","",IF(OR($D3853="",$E3853="",$O3853=""),"EKSİK",IF($O3853&lt;=0,"SIFIR/NEGATİF",IF(COUNTIFS($C$6:$C$5000,$C3853,$O$6:$O$5000,$O3853,$B$6:$B$5000,$B3853)&gt;1,"MÜKERRER","OK"))))</f>
        <v/>
      </c>
    </row>
    <row r="3854" ht="16.5" customHeight="1" s="80">
      <c r="A3854" s="113" t="n"/>
      <c r="B3854" s="113" t="n"/>
      <c r="C3854" s="113" t="n"/>
      <c r="D3854" s="113" t="n"/>
      <c r="E3854" s="113" t="n"/>
      <c r="F3854" s="113" t="n"/>
      <c r="G3854" s="113" t="n"/>
      <c r="H3854" s="113" t="n"/>
      <c r="I3854" s="113" t="n"/>
      <c r="J3854" s="113" t="n"/>
      <c r="K3854" s="113" t="n"/>
      <c r="L3854" s="113" t="n"/>
      <c r="M3854" s="113" t="n"/>
      <c r="N3854" s="113" t="n"/>
      <c r="O3854" s="113" t="n"/>
      <c r="P3854" s="113" t="n"/>
      <c r="Q3854" s="113" t="n"/>
      <c r="R3854" s="113" t="n"/>
      <c r="S3854" s="113" t="n"/>
      <c r="T3854" s="113" t="n"/>
      <c r="U3854" s="113" t="n"/>
      <c r="V3854" s="113" t="n"/>
      <c r="W3854" s="113" t="n"/>
      <c r="X3854" s="113" t="n"/>
      <c r="Y3854" s="113" t="n"/>
      <c r="Z3854" s="117">
        <f>IF($B3854="",0,IF($S3854="EVET",IF($D3854="GELİR",$O3854,-$O3854),0))</f>
        <v/>
      </c>
      <c r="AA3854" s="117">
        <f>IF($B3854="",0,IF(OR($W3854="EVET",$X3854="EVET",$Y3854="EVET"),0,IF($D3854="GELİR",IF($E3854="SATIŞ İADESİ/İSKONTO",-$O3854,$O3854),-$O3854)))</f>
        <v/>
      </c>
      <c r="AB3854" s="117">
        <f>IF($B3854="","",IF(OR($D3854="",$E3854="",$O3854=""),"EKSİK",IF($O3854&lt;=0,"SIFIR/NEGATİF",IF(COUNTIFS($C$6:$C$5000,$C3854,$O$6:$O$5000,$O3854,$B$6:$B$5000,$B3854)&gt;1,"MÜKERRER","OK"))))</f>
        <v/>
      </c>
    </row>
    <row r="3855" ht="16.5" customHeight="1" s="80">
      <c r="A3855" s="113" t="n"/>
      <c r="B3855" s="113" t="n"/>
      <c r="C3855" s="113" t="n"/>
      <c r="D3855" s="113" t="n"/>
      <c r="E3855" s="113" t="n"/>
      <c r="F3855" s="113" t="n"/>
      <c r="G3855" s="113" t="n"/>
      <c r="H3855" s="113" t="n"/>
      <c r="I3855" s="113" t="n"/>
      <c r="J3855" s="113" t="n"/>
      <c r="K3855" s="113" t="n"/>
      <c r="L3855" s="113" t="n"/>
      <c r="M3855" s="113" t="n"/>
      <c r="N3855" s="113" t="n"/>
      <c r="O3855" s="113" t="n"/>
      <c r="P3855" s="113" t="n"/>
      <c r="Q3855" s="113" t="n"/>
      <c r="R3855" s="113" t="n"/>
      <c r="S3855" s="113" t="n"/>
      <c r="T3855" s="113" t="n"/>
      <c r="U3855" s="113" t="n"/>
      <c r="V3855" s="113" t="n"/>
      <c r="W3855" s="113" t="n"/>
      <c r="X3855" s="113" t="n"/>
      <c r="Y3855" s="113" t="n"/>
      <c r="Z3855" s="117">
        <f>IF($B3855="",0,IF($S3855="EVET",IF($D3855="GELİR",$O3855,-$O3855),0))</f>
        <v/>
      </c>
      <c r="AA3855" s="117">
        <f>IF($B3855="",0,IF(OR($W3855="EVET",$X3855="EVET",$Y3855="EVET"),0,IF($D3855="GELİR",IF($E3855="SATIŞ İADESİ/İSKONTO",-$O3855,$O3855),-$O3855)))</f>
        <v/>
      </c>
      <c r="AB3855" s="117">
        <f>IF($B3855="","",IF(OR($D3855="",$E3855="",$O3855=""),"EKSİK",IF($O3855&lt;=0,"SIFIR/NEGATİF",IF(COUNTIFS($C$6:$C$5000,$C3855,$O$6:$O$5000,$O3855,$B$6:$B$5000,$B3855)&gt;1,"MÜKERRER","OK"))))</f>
        <v/>
      </c>
    </row>
    <row r="3856" ht="16.5" customHeight="1" s="80">
      <c r="A3856" s="113" t="n"/>
      <c r="B3856" s="113" t="n"/>
      <c r="C3856" s="113" t="n"/>
      <c r="D3856" s="113" t="n"/>
      <c r="E3856" s="113" t="n"/>
      <c r="F3856" s="113" t="n"/>
      <c r="G3856" s="113" t="n"/>
      <c r="H3856" s="113" t="n"/>
      <c r="I3856" s="113" t="n"/>
      <c r="J3856" s="113" t="n"/>
      <c r="K3856" s="113" t="n"/>
      <c r="L3856" s="113" t="n"/>
      <c r="M3856" s="113" t="n"/>
      <c r="N3856" s="113" t="n"/>
      <c r="O3856" s="113" t="n"/>
      <c r="P3856" s="113" t="n"/>
      <c r="Q3856" s="113" t="n"/>
      <c r="R3856" s="113" t="n"/>
      <c r="S3856" s="113" t="n"/>
      <c r="T3856" s="113" t="n"/>
      <c r="U3856" s="113" t="n"/>
      <c r="V3856" s="113" t="n"/>
      <c r="W3856" s="113" t="n"/>
      <c r="X3856" s="113" t="n"/>
      <c r="Y3856" s="113" t="n"/>
      <c r="Z3856" s="117">
        <f>IF($B3856="",0,IF($S3856="EVET",IF($D3856="GELİR",$O3856,-$O3856),0))</f>
        <v/>
      </c>
      <c r="AA3856" s="117">
        <f>IF($B3856="",0,IF(OR($W3856="EVET",$X3856="EVET",$Y3856="EVET"),0,IF($D3856="GELİR",IF($E3856="SATIŞ İADESİ/İSKONTO",-$O3856,$O3856),-$O3856)))</f>
        <v/>
      </c>
      <c r="AB3856" s="117">
        <f>IF($B3856="","",IF(OR($D3856="",$E3856="",$O3856=""),"EKSİK",IF($O3856&lt;=0,"SIFIR/NEGATİF",IF(COUNTIFS($C$6:$C$5000,$C3856,$O$6:$O$5000,$O3856,$B$6:$B$5000,$B3856)&gt;1,"MÜKERRER","OK"))))</f>
        <v/>
      </c>
    </row>
    <row r="3857" ht="16.5" customHeight="1" s="80">
      <c r="A3857" s="113" t="n"/>
      <c r="B3857" s="113" t="n"/>
      <c r="C3857" s="113" t="n"/>
      <c r="D3857" s="113" t="n"/>
      <c r="E3857" s="113" t="n"/>
      <c r="F3857" s="113" t="n"/>
      <c r="G3857" s="113" t="n"/>
      <c r="H3857" s="113" t="n"/>
      <c r="I3857" s="113" t="n"/>
      <c r="J3857" s="113" t="n"/>
      <c r="K3857" s="113" t="n"/>
      <c r="L3857" s="113" t="n"/>
      <c r="M3857" s="113" t="n"/>
      <c r="N3857" s="113" t="n"/>
      <c r="O3857" s="113" t="n"/>
      <c r="P3857" s="113" t="n"/>
      <c r="Q3857" s="113" t="n"/>
      <c r="R3857" s="113" t="n"/>
      <c r="S3857" s="113" t="n"/>
      <c r="T3857" s="113" t="n"/>
      <c r="U3857" s="113" t="n"/>
      <c r="V3857" s="113" t="n"/>
      <c r="W3857" s="113" t="n"/>
      <c r="X3857" s="113" t="n"/>
      <c r="Y3857" s="113" t="n"/>
      <c r="Z3857" s="117">
        <f>IF($B3857="",0,IF($S3857="EVET",IF($D3857="GELİR",$O3857,-$O3857),0))</f>
        <v/>
      </c>
      <c r="AA3857" s="117">
        <f>IF($B3857="",0,IF(OR($W3857="EVET",$X3857="EVET",$Y3857="EVET"),0,IF($D3857="GELİR",IF($E3857="SATIŞ İADESİ/İSKONTO",-$O3857,$O3857),-$O3857)))</f>
        <v/>
      </c>
      <c r="AB3857" s="117">
        <f>IF($B3857="","",IF(OR($D3857="",$E3857="",$O3857=""),"EKSİK",IF($O3857&lt;=0,"SIFIR/NEGATİF",IF(COUNTIFS($C$6:$C$5000,$C3857,$O$6:$O$5000,$O3857,$B$6:$B$5000,$B3857)&gt;1,"MÜKERRER","OK"))))</f>
        <v/>
      </c>
    </row>
    <row r="3858" ht="16.5" customHeight="1" s="80">
      <c r="A3858" s="113" t="n"/>
      <c r="B3858" s="113" t="n"/>
      <c r="C3858" s="113" t="n"/>
      <c r="D3858" s="113" t="n"/>
      <c r="E3858" s="113" t="n"/>
      <c r="F3858" s="113" t="n"/>
      <c r="G3858" s="113" t="n"/>
      <c r="H3858" s="113" t="n"/>
      <c r="I3858" s="113" t="n"/>
      <c r="J3858" s="113" t="n"/>
      <c r="K3858" s="113" t="n"/>
      <c r="L3858" s="113" t="n"/>
      <c r="M3858" s="113" t="n"/>
      <c r="N3858" s="113" t="n"/>
      <c r="O3858" s="113" t="n"/>
      <c r="P3858" s="113" t="n"/>
      <c r="Q3858" s="113" t="n"/>
      <c r="R3858" s="113" t="n"/>
      <c r="S3858" s="113" t="n"/>
      <c r="T3858" s="113" t="n"/>
      <c r="U3858" s="113" t="n"/>
      <c r="V3858" s="113" t="n"/>
      <c r="W3858" s="113" t="n"/>
      <c r="X3858" s="113" t="n"/>
      <c r="Y3858" s="113" t="n"/>
      <c r="Z3858" s="117">
        <f>IF($B3858="",0,IF($S3858="EVET",IF($D3858="GELİR",$O3858,-$O3858),0))</f>
        <v/>
      </c>
      <c r="AA3858" s="117">
        <f>IF($B3858="",0,IF(OR($W3858="EVET",$X3858="EVET",$Y3858="EVET"),0,IF($D3858="GELİR",IF($E3858="SATIŞ İADESİ/İSKONTO",-$O3858,$O3858),-$O3858)))</f>
        <v/>
      </c>
      <c r="AB3858" s="117">
        <f>IF($B3858="","",IF(OR($D3858="",$E3858="",$O3858=""),"EKSİK",IF($O3858&lt;=0,"SIFIR/NEGATİF",IF(COUNTIFS($C$6:$C$5000,$C3858,$O$6:$O$5000,$O3858,$B$6:$B$5000,$B3858)&gt;1,"MÜKERRER","OK"))))</f>
        <v/>
      </c>
    </row>
    <row r="3859" ht="16.5" customHeight="1" s="80">
      <c r="A3859" s="113" t="n"/>
      <c r="B3859" s="113" t="n"/>
      <c r="C3859" s="113" t="n"/>
      <c r="D3859" s="113" t="n"/>
      <c r="E3859" s="113" t="n"/>
      <c r="F3859" s="113" t="n"/>
      <c r="G3859" s="113" t="n"/>
      <c r="H3859" s="113" t="n"/>
      <c r="I3859" s="113" t="n"/>
      <c r="J3859" s="113" t="n"/>
      <c r="K3859" s="113" t="n"/>
      <c r="L3859" s="113" t="n"/>
      <c r="M3859" s="113" t="n"/>
      <c r="N3859" s="113" t="n"/>
      <c r="O3859" s="113" t="n"/>
      <c r="P3859" s="113" t="n"/>
      <c r="Q3859" s="113" t="n"/>
      <c r="R3859" s="113" t="n"/>
      <c r="S3859" s="113" t="n"/>
      <c r="T3859" s="113" t="n"/>
      <c r="U3859" s="113" t="n"/>
      <c r="V3859" s="113" t="n"/>
      <c r="W3859" s="113" t="n"/>
      <c r="X3859" s="113" t="n"/>
      <c r="Y3859" s="113" t="n"/>
      <c r="Z3859" s="117">
        <f>IF($B3859="",0,IF($S3859="EVET",IF($D3859="GELİR",$O3859,-$O3859),0))</f>
        <v/>
      </c>
      <c r="AA3859" s="117">
        <f>IF($B3859="",0,IF(OR($W3859="EVET",$X3859="EVET",$Y3859="EVET"),0,IF($D3859="GELİR",IF($E3859="SATIŞ İADESİ/İSKONTO",-$O3859,$O3859),-$O3859)))</f>
        <v/>
      </c>
      <c r="AB3859" s="117">
        <f>IF($B3859="","",IF(OR($D3859="",$E3859="",$O3859=""),"EKSİK",IF($O3859&lt;=0,"SIFIR/NEGATİF",IF(COUNTIFS($C$6:$C$5000,$C3859,$O$6:$O$5000,$O3859,$B$6:$B$5000,$B3859)&gt;1,"MÜKERRER","OK"))))</f>
        <v/>
      </c>
    </row>
    <row r="3860" ht="16.5" customHeight="1" s="80">
      <c r="A3860" s="113" t="n"/>
      <c r="B3860" s="113" t="n"/>
      <c r="C3860" s="113" t="n"/>
      <c r="D3860" s="113" t="n"/>
      <c r="E3860" s="113" t="n"/>
      <c r="F3860" s="113" t="n"/>
      <c r="G3860" s="113" t="n"/>
      <c r="H3860" s="113" t="n"/>
      <c r="I3860" s="113" t="n"/>
      <c r="J3860" s="113" t="n"/>
      <c r="K3860" s="113" t="n"/>
      <c r="L3860" s="113" t="n"/>
      <c r="M3860" s="113" t="n"/>
      <c r="N3860" s="113" t="n"/>
      <c r="O3860" s="113" t="n"/>
      <c r="P3860" s="113" t="n"/>
      <c r="Q3860" s="113" t="n"/>
      <c r="R3860" s="113" t="n"/>
      <c r="S3860" s="113" t="n"/>
      <c r="T3860" s="113" t="n"/>
      <c r="U3860" s="113" t="n"/>
      <c r="V3860" s="113" t="n"/>
      <c r="W3860" s="113" t="n"/>
      <c r="X3860" s="113" t="n"/>
      <c r="Y3860" s="113" t="n"/>
      <c r="Z3860" s="117">
        <f>IF($B3860="",0,IF($S3860="EVET",IF($D3860="GELİR",$O3860,-$O3860),0))</f>
        <v/>
      </c>
      <c r="AA3860" s="117">
        <f>IF($B3860="",0,IF(OR($W3860="EVET",$X3860="EVET",$Y3860="EVET"),0,IF($D3860="GELİR",IF($E3860="SATIŞ İADESİ/İSKONTO",-$O3860,$O3860),-$O3860)))</f>
        <v/>
      </c>
      <c r="AB3860" s="117">
        <f>IF($B3860="","",IF(OR($D3860="",$E3860="",$O3860=""),"EKSİK",IF($O3860&lt;=0,"SIFIR/NEGATİF",IF(COUNTIFS($C$6:$C$5000,$C3860,$O$6:$O$5000,$O3860,$B$6:$B$5000,$B3860)&gt;1,"MÜKERRER","OK"))))</f>
        <v/>
      </c>
    </row>
    <row r="3861" ht="16.5" customHeight="1" s="80">
      <c r="A3861" s="113" t="n"/>
      <c r="B3861" s="113" t="n"/>
      <c r="C3861" s="113" t="n"/>
      <c r="D3861" s="113" t="n"/>
      <c r="E3861" s="113" t="n"/>
      <c r="F3861" s="113" t="n"/>
      <c r="G3861" s="113" t="n"/>
      <c r="H3861" s="113" t="n"/>
      <c r="I3861" s="113" t="n"/>
      <c r="J3861" s="113" t="n"/>
      <c r="K3861" s="113" t="n"/>
      <c r="L3861" s="113" t="n"/>
      <c r="M3861" s="113" t="n"/>
      <c r="N3861" s="113" t="n"/>
      <c r="O3861" s="113" t="n"/>
      <c r="P3861" s="113" t="n"/>
      <c r="Q3861" s="113" t="n"/>
      <c r="R3861" s="113" t="n"/>
      <c r="S3861" s="113" t="n"/>
      <c r="T3861" s="113" t="n"/>
      <c r="U3861" s="113" t="n"/>
      <c r="V3861" s="113" t="n"/>
      <c r="W3861" s="113" t="n"/>
      <c r="X3861" s="113" t="n"/>
      <c r="Y3861" s="113" t="n"/>
      <c r="Z3861" s="117">
        <f>IF($B3861="",0,IF($S3861="EVET",IF($D3861="GELİR",$O3861,-$O3861),0))</f>
        <v/>
      </c>
      <c r="AA3861" s="117">
        <f>IF($B3861="",0,IF(OR($W3861="EVET",$X3861="EVET",$Y3861="EVET"),0,IF($D3861="GELİR",IF($E3861="SATIŞ İADESİ/İSKONTO",-$O3861,$O3861),-$O3861)))</f>
        <v/>
      </c>
      <c r="AB3861" s="117">
        <f>IF($B3861="","",IF(OR($D3861="",$E3861="",$O3861=""),"EKSİK",IF($O3861&lt;=0,"SIFIR/NEGATİF",IF(COUNTIFS($C$6:$C$5000,$C3861,$O$6:$O$5000,$O3861,$B$6:$B$5000,$B3861)&gt;1,"MÜKERRER","OK"))))</f>
        <v/>
      </c>
    </row>
    <row r="3862" ht="16.5" customHeight="1" s="80">
      <c r="A3862" s="113" t="n"/>
      <c r="B3862" s="113" t="n"/>
      <c r="C3862" s="113" t="n"/>
      <c r="D3862" s="113" t="n"/>
      <c r="E3862" s="113" t="n"/>
      <c r="F3862" s="113" t="n"/>
      <c r="G3862" s="113" t="n"/>
      <c r="H3862" s="113" t="n"/>
      <c r="I3862" s="113" t="n"/>
      <c r="J3862" s="113" t="n"/>
      <c r="K3862" s="113" t="n"/>
      <c r="L3862" s="113" t="n"/>
      <c r="M3862" s="113" t="n"/>
      <c r="N3862" s="113" t="n"/>
      <c r="O3862" s="113" t="n"/>
      <c r="P3862" s="113" t="n"/>
      <c r="Q3862" s="113" t="n"/>
      <c r="R3862" s="113" t="n"/>
      <c r="S3862" s="113" t="n"/>
      <c r="T3862" s="113" t="n"/>
      <c r="U3862" s="113" t="n"/>
      <c r="V3862" s="113" t="n"/>
      <c r="W3862" s="113" t="n"/>
      <c r="X3862" s="113" t="n"/>
      <c r="Y3862" s="113" t="n"/>
      <c r="Z3862" s="117">
        <f>IF($B3862="",0,IF($S3862="EVET",IF($D3862="GELİR",$O3862,-$O3862),0))</f>
        <v/>
      </c>
      <c r="AA3862" s="117">
        <f>IF($B3862="",0,IF(OR($W3862="EVET",$X3862="EVET",$Y3862="EVET"),0,IF($D3862="GELİR",IF($E3862="SATIŞ İADESİ/İSKONTO",-$O3862,$O3862),-$O3862)))</f>
        <v/>
      </c>
      <c r="AB3862" s="117">
        <f>IF($B3862="","",IF(OR($D3862="",$E3862="",$O3862=""),"EKSİK",IF($O3862&lt;=0,"SIFIR/NEGATİF",IF(COUNTIFS($C$6:$C$5000,$C3862,$O$6:$O$5000,$O3862,$B$6:$B$5000,$B3862)&gt;1,"MÜKERRER","OK"))))</f>
        <v/>
      </c>
    </row>
    <row r="3863" ht="16.5" customHeight="1" s="80">
      <c r="A3863" s="113" t="n"/>
      <c r="B3863" s="113" t="n"/>
      <c r="C3863" s="113" t="n"/>
      <c r="D3863" s="113" t="n"/>
      <c r="E3863" s="113" t="n"/>
      <c r="F3863" s="113" t="n"/>
      <c r="G3863" s="113" t="n"/>
      <c r="H3863" s="113" t="n"/>
      <c r="I3863" s="113" t="n"/>
      <c r="J3863" s="113" t="n"/>
      <c r="K3863" s="113" t="n"/>
      <c r="L3863" s="113" t="n"/>
      <c r="M3863" s="113" t="n"/>
      <c r="N3863" s="113" t="n"/>
      <c r="O3863" s="113" t="n"/>
      <c r="P3863" s="113" t="n"/>
      <c r="Q3863" s="113" t="n"/>
      <c r="R3863" s="113" t="n"/>
      <c r="S3863" s="113" t="n"/>
      <c r="T3863" s="113" t="n"/>
      <c r="U3863" s="113" t="n"/>
      <c r="V3863" s="113" t="n"/>
      <c r="W3863" s="113" t="n"/>
      <c r="X3863" s="113" t="n"/>
      <c r="Y3863" s="113" t="n"/>
      <c r="Z3863" s="117">
        <f>IF($B3863="",0,IF($S3863="EVET",IF($D3863="GELİR",$O3863,-$O3863),0))</f>
        <v/>
      </c>
      <c r="AA3863" s="117">
        <f>IF($B3863="",0,IF(OR($W3863="EVET",$X3863="EVET",$Y3863="EVET"),0,IF($D3863="GELİR",IF($E3863="SATIŞ İADESİ/İSKONTO",-$O3863,$O3863),-$O3863)))</f>
        <v/>
      </c>
      <c r="AB3863" s="117">
        <f>IF($B3863="","",IF(OR($D3863="",$E3863="",$O3863=""),"EKSİK",IF($O3863&lt;=0,"SIFIR/NEGATİF",IF(COUNTIFS($C$6:$C$5000,$C3863,$O$6:$O$5000,$O3863,$B$6:$B$5000,$B3863)&gt;1,"MÜKERRER","OK"))))</f>
        <v/>
      </c>
    </row>
    <row r="3864" ht="16.5" customHeight="1" s="80">
      <c r="A3864" s="113" t="n"/>
      <c r="B3864" s="113" t="n"/>
      <c r="C3864" s="113" t="n"/>
      <c r="D3864" s="113" t="n"/>
      <c r="E3864" s="113" t="n"/>
      <c r="F3864" s="113" t="n"/>
      <c r="G3864" s="113" t="n"/>
      <c r="H3864" s="113" t="n"/>
      <c r="I3864" s="113" t="n"/>
      <c r="J3864" s="113" t="n"/>
      <c r="K3864" s="113" t="n"/>
      <c r="L3864" s="113" t="n"/>
      <c r="M3864" s="113" t="n"/>
      <c r="N3864" s="113" t="n"/>
      <c r="O3864" s="113" t="n"/>
      <c r="P3864" s="113" t="n"/>
      <c r="Q3864" s="113" t="n"/>
      <c r="R3864" s="113" t="n"/>
      <c r="S3864" s="113" t="n"/>
      <c r="T3864" s="113" t="n"/>
      <c r="U3864" s="113" t="n"/>
      <c r="V3864" s="113" t="n"/>
      <c r="W3864" s="113" t="n"/>
      <c r="X3864" s="113" t="n"/>
      <c r="Y3864" s="113" t="n"/>
      <c r="Z3864" s="117">
        <f>IF($B3864="",0,IF($S3864="EVET",IF($D3864="GELİR",$O3864,-$O3864),0))</f>
        <v/>
      </c>
      <c r="AA3864" s="117">
        <f>IF($B3864="",0,IF(OR($W3864="EVET",$X3864="EVET",$Y3864="EVET"),0,IF($D3864="GELİR",IF($E3864="SATIŞ İADESİ/İSKONTO",-$O3864,$O3864),-$O3864)))</f>
        <v/>
      </c>
      <c r="AB3864" s="117">
        <f>IF($B3864="","",IF(OR($D3864="",$E3864="",$O3864=""),"EKSİK",IF($O3864&lt;=0,"SIFIR/NEGATİF",IF(COUNTIFS($C$6:$C$5000,$C3864,$O$6:$O$5000,$O3864,$B$6:$B$5000,$B3864)&gt;1,"MÜKERRER","OK"))))</f>
        <v/>
      </c>
    </row>
    <row r="3865" ht="16.5" customHeight="1" s="80">
      <c r="A3865" s="113" t="n"/>
      <c r="B3865" s="113" t="n"/>
      <c r="C3865" s="113" t="n"/>
      <c r="D3865" s="113" t="n"/>
      <c r="E3865" s="113" t="n"/>
      <c r="F3865" s="113" t="n"/>
      <c r="G3865" s="113" t="n"/>
      <c r="H3865" s="113" t="n"/>
      <c r="I3865" s="113" t="n"/>
      <c r="J3865" s="113" t="n"/>
      <c r="K3865" s="113" t="n"/>
      <c r="L3865" s="113" t="n"/>
      <c r="M3865" s="113" t="n"/>
      <c r="N3865" s="113" t="n"/>
      <c r="O3865" s="113" t="n"/>
      <c r="P3865" s="113" t="n"/>
      <c r="Q3865" s="113" t="n"/>
      <c r="R3865" s="113" t="n"/>
      <c r="S3865" s="113" t="n"/>
      <c r="T3865" s="113" t="n"/>
      <c r="U3865" s="113" t="n"/>
      <c r="V3865" s="113" t="n"/>
      <c r="W3865" s="113" t="n"/>
      <c r="X3865" s="113" t="n"/>
      <c r="Y3865" s="113" t="n"/>
      <c r="Z3865" s="117">
        <f>IF($B3865="",0,IF($S3865="EVET",IF($D3865="GELİR",$O3865,-$O3865),0))</f>
        <v/>
      </c>
      <c r="AA3865" s="117">
        <f>IF($B3865="",0,IF(OR($W3865="EVET",$X3865="EVET",$Y3865="EVET"),0,IF($D3865="GELİR",IF($E3865="SATIŞ İADESİ/İSKONTO",-$O3865,$O3865),-$O3865)))</f>
        <v/>
      </c>
      <c r="AB3865" s="117">
        <f>IF($B3865="","",IF(OR($D3865="",$E3865="",$O3865=""),"EKSİK",IF($O3865&lt;=0,"SIFIR/NEGATİF",IF(COUNTIFS($C$6:$C$5000,$C3865,$O$6:$O$5000,$O3865,$B$6:$B$5000,$B3865)&gt;1,"MÜKERRER","OK"))))</f>
        <v/>
      </c>
    </row>
    <row r="3866" ht="16.5" customHeight="1" s="80">
      <c r="A3866" s="113" t="n"/>
      <c r="B3866" s="113" t="n"/>
      <c r="C3866" s="113" t="n"/>
      <c r="D3866" s="113" t="n"/>
      <c r="E3866" s="113" t="n"/>
      <c r="F3866" s="113" t="n"/>
      <c r="G3866" s="113" t="n"/>
      <c r="H3866" s="113" t="n"/>
      <c r="I3866" s="113" t="n"/>
      <c r="J3866" s="113" t="n"/>
      <c r="K3866" s="113" t="n"/>
      <c r="L3866" s="113" t="n"/>
      <c r="M3866" s="113" t="n"/>
      <c r="N3866" s="113" t="n"/>
      <c r="O3866" s="113" t="n"/>
      <c r="P3866" s="113" t="n"/>
      <c r="Q3866" s="113" t="n"/>
      <c r="R3866" s="113" t="n"/>
      <c r="S3866" s="113" t="n"/>
      <c r="T3866" s="113" t="n"/>
      <c r="U3866" s="113" t="n"/>
      <c r="V3866" s="113" t="n"/>
      <c r="W3866" s="113" t="n"/>
      <c r="X3866" s="113" t="n"/>
      <c r="Y3866" s="113" t="n"/>
      <c r="Z3866" s="117">
        <f>IF($B3866="",0,IF($S3866="EVET",IF($D3866="GELİR",$O3866,-$O3866),0))</f>
        <v/>
      </c>
      <c r="AA3866" s="117">
        <f>IF($B3866="",0,IF(OR($W3866="EVET",$X3866="EVET",$Y3866="EVET"),0,IF($D3866="GELİR",IF($E3866="SATIŞ İADESİ/İSKONTO",-$O3866,$O3866),-$O3866)))</f>
        <v/>
      </c>
      <c r="AB3866" s="117">
        <f>IF($B3866="","",IF(OR($D3866="",$E3866="",$O3866=""),"EKSİK",IF($O3866&lt;=0,"SIFIR/NEGATİF",IF(COUNTIFS($C$6:$C$5000,$C3866,$O$6:$O$5000,$O3866,$B$6:$B$5000,$B3866)&gt;1,"MÜKERRER","OK"))))</f>
        <v/>
      </c>
    </row>
    <row r="3867" ht="16.5" customHeight="1" s="80">
      <c r="A3867" s="113" t="n"/>
      <c r="B3867" s="113" t="n"/>
      <c r="C3867" s="113" t="n"/>
      <c r="D3867" s="113" t="n"/>
      <c r="E3867" s="113" t="n"/>
      <c r="F3867" s="113" t="n"/>
      <c r="G3867" s="113" t="n"/>
      <c r="H3867" s="113" t="n"/>
      <c r="I3867" s="113" t="n"/>
      <c r="J3867" s="113" t="n"/>
      <c r="K3867" s="113" t="n"/>
      <c r="L3867" s="113" t="n"/>
      <c r="M3867" s="113" t="n"/>
      <c r="N3867" s="113" t="n"/>
      <c r="O3867" s="113" t="n"/>
      <c r="P3867" s="113" t="n"/>
      <c r="Q3867" s="113" t="n"/>
      <c r="R3867" s="113" t="n"/>
      <c r="S3867" s="113" t="n"/>
      <c r="T3867" s="113" t="n"/>
      <c r="U3867" s="113" t="n"/>
      <c r="V3867" s="113" t="n"/>
      <c r="W3867" s="113" t="n"/>
      <c r="X3867" s="113" t="n"/>
      <c r="Y3867" s="113" t="n"/>
      <c r="Z3867" s="117">
        <f>IF($B3867="",0,IF($S3867="EVET",IF($D3867="GELİR",$O3867,-$O3867),0))</f>
        <v/>
      </c>
      <c r="AA3867" s="117">
        <f>IF($B3867="",0,IF(OR($W3867="EVET",$X3867="EVET",$Y3867="EVET"),0,IF($D3867="GELİR",IF($E3867="SATIŞ İADESİ/İSKONTO",-$O3867,$O3867),-$O3867)))</f>
        <v/>
      </c>
      <c r="AB3867" s="117">
        <f>IF($B3867="","",IF(OR($D3867="",$E3867="",$O3867=""),"EKSİK",IF($O3867&lt;=0,"SIFIR/NEGATİF",IF(COUNTIFS($C$6:$C$5000,$C3867,$O$6:$O$5000,$O3867,$B$6:$B$5000,$B3867)&gt;1,"MÜKERRER","OK"))))</f>
        <v/>
      </c>
    </row>
    <row r="3868" ht="16.5" customHeight="1" s="80">
      <c r="A3868" s="113" t="n"/>
      <c r="B3868" s="113" t="n"/>
      <c r="C3868" s="113" t="n"/>
      <c r="D3868" s="113" t="n"/>
      <c r="E3868" s="113" t="n"/>
      <c r="F3868" s="113" t="n"/>
      <c r="G3868" s="113" t="n"/>
      <c r="H3868" s="113" t="n"/>
      <c r="I3868" s="113" t="n"/>
      <c r="J3868" s="113" t="n"/>
      <c r="K3868" s="113" t="n"/>
      <c r="L3868" s="113" t="n"/>
      <c r="M3868" s="113" t="n"/>
      <c r="N3868" s="113" t="n"/>
      <c r="O3868" s="113" t="n"/>
      <c r="P3868" s="113" t="n"/>
      <c r="Q3868" s="113" t="n"/>
      <c r="R3868" s="113" t="n"/>
      <c r="S3868" s="113" t="n"/>
      <c r="T3868" s="113" t="n"/>
      <c r="U3868" s="113" t="n"/>
      <c r="V3868" s="113" t="n"/>
      <c r="W3868" s="113" t="n"/>
      <c r="X3868" s="113" t="n"/>
      <c r="Y3868" s="113" t="n"/>
      <c r="Z3868" s="117">
        <f>IF($B3868="",0,IF($S3868="EVET",IF($D3868="GELİR",$O3868,-$O3868),0))</f>
        <v/>
      </c>
      <c r="AA3868" s="117">
        <f>IF($B3868="",0,IF(OR($W3868="EVET",$X3868="EVET",$Y3868="EVET"),0,IF($D3868="GELİR",IF($E3868="SATIŞ İADESİ/İSKONTO",-$O3868,$O3868),-$O3868)))</f>
        <v/>
      </c>
      <c r="AB3868" s="117">
        <f>IF($B3868="","",IF(OR($D3868="",$E3868="",$O3868=""),"EKSİK",IF($O3868&lt;=0,"SIFIR/NEGATİF",IF(COUNTIFS($C$6:$C$5000,$C3868,$O$6:$O$5000,$O3868,$B$6:$B$5000,$B3868)&gt;1,"MÜKERRER","OK"))))</f>
        <v/>
      </c>
    </row>
    <row r="3869" ht="16.5" customHeight="1" s="80">
      <c r="A3869" s="113" t="n"/>
      <c r="B3869" s="113" t="n"/>
      <c r="C3869" s="113" t="n"/>
      <c r="D3869" s="113" t="n"/>
      <c r="E3869" s="113" t="n"/>
      <c r="F3869" s="113" t="n"/>
      <c r="G3869" s="113" t="n"/>
      <c r="H3869" s="113" t="n"/>
      <c r="I3869" s="113" t="n"/>
      <c r="J3869" s="113" t="n"/>
      <c r="K3869" s="113" t="n"/>
      <c r="L3869" s="113" t="n"/>
      <c r="M3869" s="113" t="n"/>
      <c r="N3869" s="113" t="n"/>
      <c r="O3869" s="113" t="n"/>
      <c r="P3869" s="113" t="n"/>
      <c r="Q3869" s="113" t="n"/>
      <c r="R3869" s="113" t="n"/>
      <c r="S3869" s="113" t="n"/>
      <c r="T3869" s="113" t="n"/>
      <c r="U3869" s="113" t="n"/>
      <c r="V3869" s="113" t="n"/>
      <c r="W3869" s="113" t="n"/>
      <c r="X3869" s="113" t="n"/>
      <c r="Y3869" s="113" t="n"/>
      <c r="Z3869" s="117">
        <f>IF($B3869="",0,IF($S3869="EVET",IF($D3869="GELİR",$O3869,-$O3869),0))</f>
        <v/>
      </c>
      <c r="AA3869" s="117">
        <f>IF($B3869="",0,IF(OR($W3869="EVET",$X3869="EVET",$Y3869="EVET"),0,IF($D3869="GELİR",IF($E3869="SATIŞ İADESİ/İSKONTO",-$O3869,$O3869),-$O3869)))</f>
        <v/>
      </c>
      <c r="AB3869" s="117">
        <f>IF($B3869="","",IF(OR($D3869="",$E3869="",$O3869=""),"EKSİK",IF($O3869&lt;=0,"SIFIR/NEGATİF",IF(COUNTIFS($C$6:$C$5000,$C3869,$O$6:$O$5000,$O3869,$B$6:$B$5000,$B3869)&gt;1,"MÜKERRER","OK"))))</f>
        <v/>
      </c>
    </row>
    <row r="3870" ht="16.5" customHeight="1" s="80">
      <c r="A3870" s="113" t="n"/>
      <c r="B3870" s="113" t="n"/>
      <c r="C3870" s="113" t="n"/>
      <c r="D3870" s="113" t="n"/>
      <c r="E3870" s="113" t="n"/>
      <c r="F3870" s="113" t="n"/>
      <c r="G3870" s="113" t="n"/>
      <c r="H3870" s="113" t="n"/>
      <c r="I3870" s="113" t="n"/>
      <c r="J3870" s="113" t="n"/>
      <c r="K3870" s="113" t="n"/>
      <c r="L3870" s="113" t="n"/>
      <c r="M3870" s="113" t="n"/>
      <c r="N3870" s="113" t="n"/>
      <c r="O3870" s="113" t="n"/>
      <c r="P3870" s="113" t="n"/>
      <c r="Q3870" s="113" t="n"/>
      <c r="R3870" s="113" t="n"/>
      <c r="S3870" s="113" t="n"/>
      <c r="T3870" s="113" t="n"/>
      <c r="U3870" s="113" t="n"/>
      <c r="V3870" s="113" t="n"/>
      <c r="W3870" s="113" t="n"/>
      <c r="X3870" s="113" t="n"/>
      <c r="Y3870" s="113" t="n"/>
      <c r="Z3870" s="117">
        <f>IF($B3870="",0,IF($S3870="EVET",IF($D3870="GELİR",$O3870,-$O3870),0))</f>
        <v/>
      </c>
      <c r="AA3870" s="117">
        <f>IF($B3870="",0,IF(OR($W3870="EVET",$X3870="EVET",$Y3870="EVET"),0,IF($D3870="GELİR",IF($E3870="SATIŞ İADESİ/İSKONTO",-$O3870,$O3870),-$O3870)))</f>
        <v/>
      </c>
      <c r="AB3870" s="117">
        <f>IF($B3870="","",IF(OR($D3870="",$E3870="",$O3870=""),"EKSİK",IF($O3870&lt;=0,"SIFIR/NEGATİF",IF(COUNTIFS($C$6:$C$5000,$C3870,$O$6:$O$5000,$O3870,$B$6:$B$5000,$B3870)&gt;1,"MÜKERRER","OK"))))</f>
        <v/>
      </c>
    </row>
    <row r="3871" ht="16.5" customHeight="1" s="80">
      <c r="A3871" s="113" t="n"/>
      <c r="B3871" s="113" t="n"/>
      <c r="C3871" s="113" t="n"/>
      <c r="D3871" s="113" t="n"/>
      <c r="E3871" s="113" t="n"/>
      <c r="F3871" s="113" t="n"/>
      <c r="G3871" s="113" t="n"/>
      <c r="H3871" s="113" t="n"/>
      <c r="I3871" s="113" t="n"/>
      <c r="J3871" s="113" t="n"/>
      <c r="K3871" s="113" t="n"/>
      <c r="L3871" s="113" t="n"/>
      <c r="M3871" s="113" t="n"/>
      <c r="N3871" s="113" t="n"/>
      <c r="O3871" s="113" t="n"/>
      <c r="P3871" s="113" t="n"/>
      <c r="Q3871" s="113" t="n"/>
      <c r="R3871" s="113" t="n"/>
      <c r="S3871" s="113" t="n"/>
      <c r="T3871" s="113" t="n"/>
      <c r="U3871" s="113" t="n"/>
      <c r="V3871" s="113" t="n"/>
      <c r="W3871" s="113" t="n"/>
      <c r="X3871" s="113" t="n"/>
      <c r="Y3871" s="113" t="n"/>
      <c r="Z3871" s="117">
        <f>IF($B3871="",0,IF($S3871="EVET",IF($D3871="GELİR",$O3871,-$O3871),0))</f>
        <v/>
      </c>
      <c r="AA3871" s="117">
        <f>IF($B3871="",0,IF(OR($W3871="EVET",$X3871="EVET",$Y3871="EVET"),0,IF($D3871="GELİR",IF($E3871="SATIŞ İADESİ/İSKONTO",-$O3871,$O3871),-$O3871)))</f>
        <v/>
      </c>
      <c r="AB3871" s="117">
        <f>IF($B3871="","",IF(OR($D3871="",$E3871="",$O3871=""),"EKSİK",IF($O3871&lt;=0,"SIFIR/NEGATİF",IF(COUNTIFS($C$6:$C$5000,$C3871,$O$6:$O$5000,$O3871,$B$6:$B$5000,$B3871)&gt;1,"MÜKERRER","OK"))))</f>
        <v/>
      </c>
    </row>
    <row r="3872" ht="16.5" customHeight="1" s="80">
      <c r="A3872" s="113" t="n"/>
      <c r="B3872" s="113" t="n"/>
      <c r="C3872" s="113" t="n"/>
      <c r="D3872" s="113" t="n"/>
      <c r="E3872" s="113" t="n"/>
      <c r="F3872" s="113" t="n"/>
      <c r="G3872" s="113" t="n"/>
      <c r="H3872" s="113" t="n"/>
      <c r="I3872" s="113" t="n"/>
      <c r="J3872" s="113" t="n"/>
      <c r="K3872" s="113" t="n"/>
      <c r="L3872" s="113" t="n"/>
      <c r="M3872" s="113" t="n"/>
      <c r="N3872" s="113" t="n"/>
      <c r="O3872" s="113" t="n"/>
      <c r="P3872" s="113" t="n"/>
      <c r="Q3872" s="113" t="n"/>
      <c r="R3872" s="113" t="n"/>
      <c r="S3872" s="113" t="n"/>
      <c r="T3872" s="113" t="n"/>
      <c r="U3872" s="113" t="n"/>
      <c r="V3872" s="113" t="n"/>
      <c r="W3872" s="113" t="n"/>
      <c r="X3872" s="113" t="n"/>
      <c r="Y3872" s="113" t="n"/>
      <c r="Z3872" s="117">
        <f>IF($B3872="",0,IF($S3872="EVET",IF($D3872="GELİR",$O3872,-$O3872),0))</f>
        <v/>
      </c>
      <c r="AA3872" s="117">
        <f>IF($B3872="",0,IF(OR($W3872="EVET",$X3872="EVET",$Y3872="EVET"),0,IF($D3872="GELİR",IF($E3872="SATIŞ İADESİ/İSKONTO",-$O3872,$O3872),-$O3872)))</f>
        <v/>
      </c>
      <c r="AB3872" s="117">
        <f>IF($B3872="","",IF(OR($D3872="",$E3872="",$O3872=""),"EKSİK",IF($O3872&lt;=0,"SIFIR/NEGATİF",IF(COUNTIFS($C$6:$C$5000,$C3872,$O$6:$O$5000,$O3872,$B$6:$B$5000,$B3872)&gt;1,"MÜKERRER","OK"))))</f>
        <v/>
      </c>
    </row>
    <row r="3873" ht="16.5" customHeight="1" s="80">
      <c r="A3873" s="113" t="n"/>
      <c r="B3873" s="113" t="n"/>
      <c r="C3873" s="113" t="n"/>
      <c r="D3873" s="113" t="n"/>
      <c r="E3873" s="113" t="n"/>
      <c r="F3873" s="113" t="n"/>
      <c r="G3873" s="113" t="n"/>
      <c r="H3873" s="113" t="n"/>
      <c r="I3873" s="113" t="n"/>
      <c r="J3873" s="113" t="n"/>
      <c r="K3873" s="113" t="n"/>
      <c r="L3873" s="113" t="n"/>
      <c r="M3873" s="113" t="n"/>
      <c r="N3873" s="113" t="n"/>
      <c r="O3873" s="113" t="n"/>
      <c r="P3873" s="113" t="n"/>
      <c r="Q3873" s="113" t="n"/>
      <c r="R3873" s="113" t="n"/>
      <c r="S3873" s="113" t="n"/>
      <c r="T3873" s="113" t="n"/>
      <c r="U3873" s="113" t="n"/>
      <c r="V3873" s="113" t="n"/>
      <c r="W3873" s="113" t="n"/>
      <c r="X3873" s="113" t="n"/>
      <c r="Y3873" s="113" t="n"/>
      <c r="Z3873" s="117">
        <f>IF($B3873="",0,IF($S3873="EVET",IF($D3873="GELİR",$O3873,-$O3873),0))</f>
        <v/>
      </c>
      <c r="AA3873" s="117">
        <f>IF($B3873="",0,IF(OR($W3873="EVET",$X3873="EVET",$Y3873="EVET"),0,IF($D3873="GELİR",IF($E3873="SATIŞ İADESİ/İSKONTO",-$O3873,$O3873),-$O3873)))</f>
        <v/>
      </c>
      <c r="AB3873" s="117">
        <f>IF($B3873="","",IF(OR($D3873="",$E3873="",$O3873=""),"EKSİK",IF($O3873&lt;=0,"SIFIR/NEGATİF",IF(COUNTIFS($C$6:$C$5000,$C3873,$O$6:$O$5000,$O3873,$B$6:$B$5000,$B3873)&gt;1,"MÜKERRER","OK"))))</f>
        <v/>
      </c>
    </row>
    <row r="3874" ht="16.5" customHeight="1" s="80">
      <c r="A3874" s="113" t="n"/>
      <c r="B3874" s="113" t="n"/>
      <c r="C3874" s="113" t="n"/>
      <c r="D3874" s="113" t="n"/>
      <c r="E3874" s="113" t="n"/>
      <c r="F3874" s="113" t="n"/>
      <c r="G3874" s="113" t="n"/>
      <c r="H3874" s="113" t="n"/>
      <c r="I3874" s="113" t="n"/>
      <c r="J3874" s="113" t="n"/>
      <c r="K3874" s="113" t="n"/>
      <c r="L3874" s="113" t="n"/>
      <c r="M3874" s="113" t="n"/>
      <c r="N3874" s="113" t="n"/>
      <c r="O3874" s="113" t="n"/>
      <c r="P3874" s="113" t="n"/>
      <c r="Q3874" s="113" t="n"/>
      <c r="R3874" s="113" t="n"/>
      <c r="S3874" s="113" t="n"/>
      <c r="T3874" s="113" t="n"/>
      <c r="U3874" s="113" t="n"/>
      <c r="V3874" s="113" t="n"/>
      <c r="W3874" s="113" t="n"/>
      <c r="X3874" s="113" t="n"/>
      <c r="Y3874" s="113" t="n"/>
      <c r="Z3874" s="117">
        <f>IF($B3874="",0,IF($S3874="EVET",IF($D3874="GELİR",$O3874,-$O3874),0))</f>
        <v/>
      </c>
      <c r="AA3874" s="117">
        <f>IF($B3874="",0,IF(OR($W3874="EVET",$X3874="EVET",$Y3874="EVET"),0,IF($D3874="GELİR",IF($E3874="SATIŞ İADESİ/İSKONTO",-$O3874,$O3874),-$O3874)))</f>
        <v/>
      </c>
      <c r="AB3874" s="117">
        <f>IF($B3874="","",IF(OR($D3874="",$E3874="",$O3874=""),"EKSİK",IF($O3874&lt;=0,"SIFIR/NEGATİF",IF(COUNTIFS($C$6:$C$5000,$C3874,$O$6:$O$5000,$O3874,$B$6:$B$5000,$B3874)&gt;1,"MÜKERRER","OK"))))</f>
        <v/>
      </c>
    </row>
    <row r="3875" ht="16.5" customHeight="1" s="80">
      <c r="A3875" s="113" t="n"/>
      <c r="B3875" s="113" t="n"/>
      <c r="C3875" s="113" t="n"/>
      <c r="D3875" s="113" t="n"/>
      <c r="E3875" s="113" t="n"/>
      <c r="F3875" s="113" t="n"/>
      <c r="G3875" s="113" t="n"/>
      <c r="H3875" s="113" t="n"/>
      <c r="I3875" s="113" t="n"/>
      <c r="J3875" s="113" t="n"/>
      <c r="K3875" s="113" t="n"/>
      <c r="L3875" s="113" t="n"/>
      <c r="M3875" s="113" t="n"/>
      <c r="N3875" s="113" t="n"/>
      <c r="O3875" s="113" t="n"/>
      <c r="P3875" s="113" t="n"/>
      <c r="Q3875" s="113" t="n"/>
      <c r="R3875" s="113" t="n"/>
      <c r="S3875" s="113" t="n"/>
      <c r="T3875" s="113" t="n"/>
      <c r="U3875" s="113" t="n"/>
      <c r="V3875" s="113" t="n"/>
      <c r="W3875" s="113" t="n"/>
      <c r="X3875" s="113" t="n"/>
      <c r="Y3875" s="113" t="n"/>
      <c r="Z3875" s="117">
        <f>IF($B3875="",0,IF($S3875="EVET",IF($D3875="GELİR",$O3875,-$O3875),0))</f>
        <v/>
      </c>
      <c r="AA3875" s="117">
        <f>IF($B3875="",0,IF(OR($W3875="EVET",$X3875="EVET",$Y3875="EVET"),0,IF($D3875="GELİR",IF($E3875="SATIŞ İADESİ/İSKONTO",-$O3875,$O3875),-$O3875)))</f>
        <v/>
      </c>
      <c r="AB3875" s="117">
        <f>IF($B3875="","",IF(OR($D3875="",$E3875="",$O3875=""),"EKSİK",IF($O3875&lt;=0,"SIFIR/NEGATİF",IF(COUNTIFS($C$6:$C$5000,$C3875,$O$6:$O$5000,$O3875,$B$6:$B$5000,$B3875)&gt;1,"MÜKERRER","OK"))))</f>
        <v/>
      </c>
    </row>
    <row r="3876" ht="16.5" customHeight="1" s="80">
      <c r="A3876" s="113" t="n"/>
      <c r="B3876" s="113" t="n"/>
      <c r="C3876" s="113" t="n"/>
      <c r="D3876" s="113" t="n"/>
      <c r="E3876" s="113" t="n"/>
      <c r="F3876" s="113" t="n"/>
      <c r="G3876" s="113" t="n"/>
      <c r="H3876" s="113" t="n"/>
      <c r="I3876" s="113" t="n"/>
      <c r="J3876" s="113" t="n"/>
      <c r="K3876" s="113" t="n"/>
      <c r="L3876" s="113" t="n"/>
      <c r="M3876" s="113" t="n"/>
      <c r="N3876" s="113" t="n"/>
      <c r="O3876" s="113" t="n"/>
      <c r="P3876" s="113" t="n"/>
      <c r="Q3876" s="113" t="n"/>
      <c r="R3876" s="113" t="n"/>
      <c r="S3876" s="113" t="n"/>
      <c r="T3876" s="113" t="n"/>
      <c r="U3876" s="113" t="n"/>
      <c r="V3876" s="113" t="n"/>
      <c r="W3876" s="113" t="n"/>
      <c r="X3876" s="113" t="n"/>
      <c r="Y3876" s="113" t="n"/>
      <c r="Z3876" s="117">
        <f>IF($B3876="",0,IF($S3876="EVET",IF($D3876="GELİR",$O3876,-$O3876),0))</f>
        <v/>
      </c>
      <c r="AA3876" s="117">
        <f>IF($B3876="",0,IF(OR($W3876="EVET",$X3876="EVET",$Y3876="EVET"),0,IF($D3876="GELİR",IF($E3876="SATIŞ İADESİ/İSKONTO",-$O3876,$O3876),-$O3876)))</f>
        <v/>
      </c>
      <c r="AB3876" s="117">
        <f>IF($B3876="","",IF(OR($D3876="",$E3876="",$O3876=""),"EKSİK",IF($O3876&lt;=0,"SIFIR/NEGATİF",IF(COUNTIFS($C$6:$C$5000,$C3876,$O$6:$O$5000,$O3876,$B$6:$B$5000,$B3876)&gt;1,"MÜKERRER","OK"))))</f>
        <v/>
      </c>
    </row>
    <row r="3877" ht="16.5" customHeight="1" s="80">
      <c r="A3877" s="113" t="n"/>
      <c r="B3877" s="113" t="n"/>
      <c r="C3877" s="113" t="n"/>
      <c r="D3877" s="113" t="n"/>
      <c r="E3877" s="113" t="n"/>
      <c r="F3877" s="113" t="n"/>
      <c r="G3877" s="113" t="n"/>
      <c r="H3877" s="113" t="n"/>
      <c r="I3877" s="113" t="n"/>
      <c r="J3877" s="113" t="n"/>
      <c r="K3877" s="113" t="n"/>
      <c r="L3877" s="113" t="n"/>
      <c r="M3877" s="113" t="n"/>
      <c r="N3877" s="113" t="n"/>
      <c r="O3877" s="113" t="n"/>
      <c r="P3877" s="113" t="n"/>
      <c r="Q3877" s="113" t="n"/>
      <c r="R3877" s="113" t="n"/>
      <c r="S3877" s="113" t="n"/>
      <c r="T3877" s="113" t="n"/>
      <c r="U3877" s="113" t="n"/>
      <c r="V3877" s="113" t="n"/>
      <c r="W3877" s="113" t="n"/>
      <c r="X3877" s="113" t="n"/>
      <c r="Y3877" s="113" t="n"/>
      <c r="Z3877" s="117">
        <f>IF($B3877="",0,IF($S3877="EVET",IF($D3877="GELİR",$O3877,-$O3877),0))</f>
        <v/>
      </c>
      <c r="AA3877" s="117">
        <f>IF($B3877="",0,IF(OR($W3877="EVET",$X3877="EVET",$Y3877="EVET"),0,IF($D3877="GELİR",IF($E3877="SATIŞ İADESİ/İSKONTO",-$O3877,$O3877),-$O3877)))</f>
        <v/>
      </c>
      <c r="AB3877" s="117">
        <f>IF($B3877="","",IF(OR($D3877="",$E3877="",$O3877=""),"EKSİK",IF($O3877&lt;=0,"SIFIR/NEGATİF",IF(COUNTIFS($C$6:$C$5000,$C3877,$O$6:$O$5000,$O3877,$B$6:$B$5000,$B3877)&gt;1,"MÜKERRER","OK"))))</f>
        <v/>
      </c>
    </row>
    <row r="3878" ht="16.5" customHeight="1" s="80">
      <c r="A3878" s="113" t="n"/>
      <c r="B3878" s="113" t="n"/>
      <c r="C3878" s="113" t="n"/>
      <c r="D3878" s="113" t="n"/>
      <c r="E3878" s="113" t="n"/>
      <c r="F3878" s="113" t="n"/>
      <c r="G3878" s="113" t="n"/>
      <c r="H3878" s="113" t="n"/>
      <c r="I3878" s="113" t="n"/>
      <c r="J3878" s="113" t="n"/>
      <c r="K3878" s="113" t="n"/>
      <c r="L3878" s="113" t="n"/>
      <c r="M3878" s="113" t="n"/>
      <c r="N3878" s="113" t="n"/>
      <c r="O3878" s="113" t="n"/>
      <c r="P3878" s="113" t="n"/>
      <c r="Q3878" s="113" t="n"/>
      <c r="R3878" s="113" t="n"/>
      <c r="S3878" s="113" t="n"/>
      <c r="T3878" s="113" t="n"/>
      <c r="U3878" s="113" t="n"/>
      <c r="V3878" s="113" t="n"/>
      <c r="W3878" s="113" t="n"/>
      <c r="X3878" s="113" t="n"/>
      <c r="Y3878" s="113" t="n"/>
      <c r="Z3878" s="117">
        <f>IF($B3878="",0,IF($S3878="EVET",IF($D3878="GELİR",$O3878,-$O3878),0))</f>
        <v/>
      </c>
      <c r="AA3878" s="117">
        <f>IF($B3878="",0,IF(OR($W3878="EVET",$X3878="EVET",$Y3878="EVET"),0,IF($D3878="GELİR",IF($E3878="SATIŞ İADESİ/İSKONTO",-$O3878,$O3878),-$O3878)))</f>
        <v/>
      </c>
      <c r="AB3878" s="117">
        <f>IF($B3878="","",IF(OR($D3878="",$E3878="",$O3878=""),"EKSİK",IF($O3878&lt;=0,"SIFIR/NEGATİF",IF(COUNTIFS($C$6:$C$5000,$C3878,$O$6:$O$5000,$O3878,$B$6:$B$5000,$B3878)&gt;1,"MÜKERRER","OK"))))</f>
        <v/>
      </c>
    </row>
    <row r="3879" ht="16.5" customHeight="1" s="80">
      <c r="A3879" s="113" t="n"/>
      <c r="B3879" s="113" t="n"/>
      <c r="C3879" s="113" t="n"/>
      <c r="D3879" s="113" t="n"/>
      <c r="E3879" s="113" t="n"/>
      <c r="F3879" s="113" t="n"/>
      <c r="G3879" s="113" t="n"/>
      <c r="H3879" s="113" t="n"/>
      <c r="I3879" s="113" t="n"/>
      <c r="J3879" s="113" t="n"/>
      <c r="K3879" s="113" t="n"/>
      <c r="L3879" s="113" t="n"/>
      <c r="M3879" s="113" t="n"/>
      <c r="N3879" s="113" t="n"/>
      <c r="O3879" s="113" t="n"/>
      <c r="P3879" s="113" t="n"/>
      <c r="Q3879" s="113" t="n"/>
      <c r="R3879" s="113" t="n"/>
      <c r="S3879" s="113" t="n"/>
      <c r="T3879" s="113" t="n"/>
      <c r="U3879" s="113" t="n"/>
      <c r="V3879" s="113" t="n"/>
      <c r="W3879" s="113" t="n"/>
      <c r="X3879" s="113" t="n"/>
      <c r="Y3879" s="113" t="n"/>
      <c r="Z3879" s="117">
        <f>IF($B3879="",0,IF($S3879="EVET",IF($D3879="GELİR",$O3879,-$O3879),0))</f>
        <v/>
      </c>
      <c r="AA3879" s="117">
        <f>IF($B3879="",0,IF(OR($W3879="EVET",$X3879="EVET",$Y3879="EVET"),0,IF($D3879="GELİR",IF($E3879="SATIŞ İADESİ/İSKONTO",-$O3879,$O3879),-$O3879)))</f>
        <v/>
      </c>
      <c r="AB3879" s="117">
        <f>IF($B3879="","",IF(OR($D3879="",$E3879="",$O3879=""),"EKSİK",IF($O3879&lt;=0,"SIFIR/NEGATİF",IF(COUNTIFS($C$6:$C$5000,$C3879,$O$6:$O$5000,$O3879,$B$6:$B$5000,$B3879)&gt;1,"MÜKERRER","OK"))))</f>
        <v/>
      </c>
    </row>
    <row r="3880" ht="16.5" customHeight="1" s="80">
      <c r="A3880" s="113" t="n"/>
      <c r="B3880" s="113" t="n"/>
      <c r="C3880" s="113" t="n"/>
      <c r="D3880" s="113" t="n"/>
      <c r="E3880" s="113" t="n"/>
      <c r="F3880" s="113" t="n"/>
      <c r="G3880" s="113" t="n"/>
      <c r="H3880" s="113" t="n"/>
      <c r="I3880" s="113" t="n"/>
      <c r="J3880" s="113" t="n"/>
      <c r="K3880" s="113" t="n"/>
      <c r="L3880" s="113" t="n"/>
      <c r="M3880" s="113" t="n"/>
      <c r="N3880" s="113" t="n"/>
      <c r="O3880" s="113" t="n"/>
      <c r="P3880" s="113" t="n"/>
      <c r="Q3880" s="113" t="n"/>
      <c r="R3880" s="113" t="n"/>
      <c r="S3880" s="113" t="n"/>
      <c r="T3880" s="113" t="n"/>
      <c r="U3880" s="113" t="n"/>
      <c r="V3880" s="113" t="n"/>
      <c r="W3880" s="113" t="n"/>
      <c r="X3880" s="113" t="n"/>
      <c r="Y3880" s="113" t="n"/>
      <c r="Z3880" s="117">
        <f>IF($B3880="",0,IF($S3880="EVET",IF($D3880="GELİR",$O3880,-$O3880),0))</f>
        <v/>
      </c>
      <c r="AA3880" s="117">
        <f>IF($B3880="",0,IF(OR($W3880="EVET",$X3880="EVET",$Y3880="EVET"),0,IF($D3880="GELİR",IF($E3880="SATIŞ İADESİ/İSKONTO",-$O3880,$O3880),-$O3880)))</f>
        <v/>
      </c>
      <c r="AB3880" s="117">
        <f>IF($B3880="","",IF(OR($D3880="",$E3880="",$O3880=""),"EKSİK",IF($O3880&lt;=0,"SIFIR/NEGATİF",IF(COUNTIFS($C$6:$C$5000,$C3880,$O$6:$O$5000,$O3880,$B$6:$B$5000,$B3880)&gt;1,"MÜKERRER","OK"))))</f>
        <v/>
      </c>
    </row>
    <row r="3881" ht="16.5" customHeight="1" s="80">
      <c r="A3881" s="113" t="n"/>
      <c r="B3881" s="113" t="n"/>
      <c r="C3881" s="113" t="n"/>
      <c r="D3881" s="113" t="n"/>
      <c r="E3881" s="113" t="n"/>
      <c r="F3881" s="113" t="n"/>
      <c r="G3881" s="113" t="n"/>
      <c r="H3881" s="113" t="n"/>
      <c r="I3881" s="113" t="n"/>
      <c r="J3881" s="113" t="n"/>
      <c r="K3881" s="113" t="n"/>
      <c r="L3881" s="113" t="n"/>
      <c r="M3881" s="113" t="n"/>
      <c r="N3881" s="113" t="n"/>
      <c r="O3881" s="113" t="n"/>
      <c r="P3881" s="113" t="n"/>
      <c r="Q3881" s="113" t="n"/>
      <c r="R3881" s="113" t="n"/>
      <c r="S3881" s="113" t="n"/>
      <c r="T3881" s="113" t="n"/>
      <c r="U3881" s="113" t="n"/>
      <c r="V3881" s="113" t="n"/>
      <c r="W3881" s="113" t="n"/>
      <c r="X3881" s="113" t="n"/>
      <c r="Y3881" s="113" t="n"/>
      <c r="Z3881" s="117">
        <f>IF($B3881="",0,IF($S3881="EVET",IF($D3881="GELİR",$O3881,-$O3881),0))</f>
        <v/>
      </c>
      <c r="AA3881" s="117">
        <f>IF($B3881="",0,IF(OR($W3881="EVET",$X3881="EVET",$Y3881="EVET"),0,IF($D3881="GELİR",IF($E3881="SATIŞ İADESİ/İSKONTO",-$O3881,$O3881),-$O3881)))</f>
        <v/>
      </c>
      <c r="AB3881" s="117">
        <f>IF($B3881="","",IF(OR($D3881="",$E3881="",$O3881=""),"EKSİK",IF($O3881&lt;=0,"SIFIR/NEGATİF",IF(COUNTIFS($C$6:$C$5000,$C3881,$O$6:$O$5000,$O3881,$B$6:$B$5000,$B3881)&gt;1,"MÜKERRER","OK"))))</f>
        <v/>
      </c>
    </row>
    <row r="3882" ht="16.5" customHeight="1" s="80">
      <c r="A3882" s="113" t="n"/>
      <c r="B3882" s="113" t="n"/>
      <c r="C3882" s="113" t="n"/>
      <c r="D3882" s="113" t="n"/>
      <c r="E3882" s="113" t="n"/>
      <c r="F3882" s="113" t="n"/>
      <c r="G3882" s="113" t="n"/>
      <c r="H3882" s="113" t="n"/>
      <c r="I3882" s="113" t="n"/>
      <c r="J3882" s="113" t="n"/>
      <c r="K3882" s="113" t="n"/>
      <c r="L3882" s="113" t="n"/>
      <c r="M3882" s="113" t="n"/>
      <c r="N3882" s="113" t="n"/>
      <c r="O3882" s="113" t="n"/>
      <c r="P3882" s="113" t="n"/>
      <c r="Q3882" s="113" t="n"/>
      <c r="R3882" s="113" t="n"/>
      <c r="S3882" s="113" t="n"/>
      <c r="T3882" s="113" t="n"/>
      <c r="U3882" s="113" t="n"/>
      <c r="V3882" s="113" t="n"/>
      <c r="W3882" s="113" t="n"/>
      <c r="X3882" s="113" t="n"/>
      <c r="Y3882" s="113" t="n"/>
      <c r="Z3882" s="117">
        <f>IF($B3882="",0,IF($S3882="EVET",IF($D3882="GELİR",$O3882,-$O3882),0))</f>
        <v/>
      </c>
      <c r="AA3882" s="117">
        <f>IF($B3882="",0,IF(OR($W3882="EVET",$X3882="EVET",$Y3882="EVET"),0,IF($D3882="GELİR",IF($E3882="SATIŞ İADESİ/İSKONTO",-$O3882,$O3882),-$O3882)))</f>
        <v/>
      </c>
      <c r="AB3882" s="117">
        <f>IF($B3882="","",IF(OR($D3882="",$E3882="",$O3882=""),"EKSİK",IF($O3882&lt;=0,"SIFIR/NEGATİF",IF(COUNTIFS($C$6:$C$5000,$C3882,$O$6:$O$5000,$O3882,$B$6:$B$5000,$B3882)&gt;1,"MÜKERRER","OK"))))</f>
        <v/>
      </c>
    </row>
    <row r="3883" ht="16.5" customHeight="1" s="80">
      <c r="A3883" s="113" t="n"/>
      <c r="B3883" s="113" t="n"/>
      <c r="C3883" s="113" t="n"/>
      <c r="D3883" s="113" t="n"/>
      <c r="E3883" s="113" t="n"/>
      <c r="F3883" s="113" t="n"/>
      <c r="G3883" s="113" t="n"/>
      <c r="H3883" s="113" t="n"/>
      <c r="I3883" s="113" t="n"/>
      <c r="J3883" s="113" t="n"/>
      <c r="K3883" s="113" t="n"/>
      <c r="L3883" s="113" t="n"/>
      <c r="M3883" s="113" t="n"/>
      <c r="N3883" s="113" t="n"/>
      <c r="O3883" s="113" t="n"/>
      <c r="P3883" s="113" t="n"/>
      <c r="Q3883" s="113" t="n"/>
      <c r="R3883" s="113" t="n"/>
      <c r="S3883" s="113" t="n"/>
      <c r="T3883" s="113" t="n"/>
      <c r="U3883" s="113" t="n"/>
      <c r="V3883" s="113" t="n"/>
      <c r="W3883" s="113" t="n"/>
      <c r="X3883" s="113" t="n"/>
      <c r="Y3883" s="113" t="n"/>
      <c r="Z3883" s="117">
        <f>IF($B3883="",0,IF($S3883="EVET",IF($D3883="GELİR",$O3883,-$O3883),0))</f>
        <v/>
      </c>
      <c r="AA3883" s="117">
        <f>IF($B3883="",0,IF(OR($W3883="EVET",$X3883="EVET",$Y3883="EVET"),0,IF($D3883="GELİR",IF($E3883="SATIŞ İADESİ/İSKONTO",-$O3883,$O3883),-$O3883)))</f>
        <v/>
      </c>
      <c r="AB3883" s="117">
        <f>IF($B3883="","",IF(OR($D3883="",$E3883="",$O3883=""),"EKSİK",IF($O3883&lt;=0,"SIFIR/NEGATİF",IF(COUNTIFS($C$6:$C$5000,$C3883,$O$6:$O$5000,$O3883,$B$6:$B$5000,$B3883)&gt;1,"MÜKERRER","OK"))))</f>
        <v/>
      </c>
    </row>
    <row r="3884" ht="16.5" customHeight="1" s="80">
      <c r="A3884" s="113" t="n"/>
      <c r="B3884" s="113" t="n"/>
      <c r="C3884" s="113" t="n"/>
      <c r="D3884" s="113" t="n"/>
      <c r="E3884" s="113" t="n"/>
      <c r="F3884" s="113" t="n"/>
      <c r="G3884" s="113" t="n"/>
      <c r="H3884" s="113" t="n"/>
      <c r="I3884" s="113" t="n"/>
      <c r="J3884" s="113" t="n"/>
      <c r="K3884" s="113" t="n"/>
      <c r="L3884" s="113" t="n"/>
      <c r="M3884" s="113" t="n"/>
      <c r="N3884" s="113" t="n"/>
      <c r="O3884" s="113" t="n"/>
      <c r="P3884" s="113" t="n"/>
      <c r="Q3884" s="113" t="n"/>
      <c r="R3884" s="113" t="n"/>
      <c r="S3884" s="113" t="n"/>
      <c r="T3884" s="113" t="n"/>
      <c r="U3884" s="113" t="n"/>
      <c r="V3884" s="113" t="n"/>
      <c r="W3884" s="113" t="n"/>
      <c r="X3884" s="113" t="n"/>
      <c r="Y3884" s="113" t="n"/>
      <c r="Z3884" s="117">
        <f>IF($B3884="",0,IF($S3884="EVET",IF($D3884="GELİR",$O3884,-$O3884),0))</f>
        <v/>
      </c>
      <c r="AA3884" s="117">
        <f>IF($B3884="",0,IF(OR($W3884="EVET",$X3884="EVET",$Y3884="EVET"),0,IF($D3884="GELİR",IF($E3884="SATIŞ İADESİ/İSKONTO",-$O3884,$O3884),-$O3884)))</f>
        <v/>
      </c>
      <c r="AB3884" s="117">
        <f>IF($B3884="","",IF(OR($D3884="",$E3884="",$O3884=""),"EKSİK",IF($O3884&lt;=0,"SIFIR/NEGATİF",IF(COUNTIFS($C$6:$C$5000,$C3884,$O$6:$O$5000,$O3884,$B$6:$B$5000,$B3884)&gt;1,"MÜKERRER","OK"))))</f>
        <v/>
      </c>
    </row>
    <row r="3885" ht="16.5" customHeight="1" s="80">
      <c r="A3885" s="113" t="n"/>
      <c r="B3885" s="113" t="n"/>
      <c r="C3885" s="113" t="n"/>
      <c r="D3885" s="113" t="n"/>
      <c r="E3885" s="113" t="n"/>
      <c r="F3885" s="113" t="n"/>
      <c r="G3885" s="113" t="n"/>
      <c r="H3885" s="113" t="n"/>
      <c r="I3885" s="113" t="n"/>
      <c r="J3885" s="113" t="n"/>
      <c r="K3885" s="113" t="n"/>
      <c r="L3885" s="113" t="n"/>
      <c r="M3885" s="113" t="n"/>
      <c r="N3885" s="113" t="n"/>
      <c r="O3885" s="113" t="n"/>
      <c r="P3885" s="113" t="n"/>
      <c r="Q3885" s="113" t="n"/>
      <c r="R3885" s="113" t="n"/>
      <c r="S3885" s="113" t="n"/>
      <c r="T3885" s="113" t="n"/>
      <c r="U3885" s="113" t="n"/>
      <c r="V3885" s="113" t="n"/>
      <c r="W3885" s="113" t="n"/>
      <c r="X3885" s="113" t="n"/>
      <c r="Y3885" s="113" t="n"/>
      <c r="Z3885" s="117">
        <f>IF($B3885="",0,IF($S3885="EVET",IF($D3885="GELİR",$O3885,-$O3885),0))</f>
        <v/>
      </c>
      <c r="AA3885" s="117">
        <f>IF($B3885="",0,IF(OR($W3885="EVET",$X3885="EVET",$Y3885="EVET"),0,IF($D3885="GELİR",IF($E3885="SATIŞ İADESİ/İSKONTO",-$O3885,$O3885),-$O3885)))</f>
        <v/>
      </c>
      <c r="AB3885" s="117">
        <f>IF($B3885="","",IF(OR($D3885="",$E3885="",$O3885=""),"EKSİK",IF($O3885&lt;=0,"SIFIR/NEGATİF",IF(COUNTIFS($C$6:$C$5000,$C3885,$O$6:$O$5000,$O3885,$B$6:$B$5000,$B3885)&gt;1,"MÜKERRER","OK"))))</f>
        <v/>
      </c>
    </row>
    <row r="3886" ht="16.5" customHeight="1" s="80">
      <c r="A3886" s="113" t="n"/>
      <c r="B3886" s="113" t="n"/>
      <c r="C3886" s="113" t="n"/>
      <c r="D3886" s="113" t="n"/>
      <c r="E3886" s="113" t="n"/>
      <c r="F3886" s="113" t="n"/>
      <c r="G3886" s="113" t="n"/>
      <c r="H3886" s="113" t="n"/>
      <c r="I3886" s="113" t="n"/>
      <c r="J3886" s="113" t="n"/>
      <c r="K3886" s="113" t="n"/>
      <c r="L3886" s="113" t="n"/>
      <c r="M3886" s="113" t="n"/>
      <c r="N3886" s="113" t="n"/>
      <c r="O3886" s="113" t="n"/>
      <c r="P3886" s="113" t="n"/>
      <c r="Q3886" s="113" t="n"/>
      <c r="R3886" s="113" t="n"/>
      <c r="S3886" s="113" t="n"/>
      <c r="T3886" s="113" t="n"/>
      <c r="U3886" s="113" t="n"/>
      <c r="V3886" s="113" t="n"/>
      <c r="W3886" s="113" t="n"/>
      <c r="X3886" s="113" t="n"/>
      <c r="Y3886" s="113" t="n"/>
      <c r="Z3886" s="117">
        <f>IF($B3886="",0,IF($S3886="EVET",IF($D3886="GELİR",$O3886,-$O3886),0))</f>
        <v/>
      </c>
      <c r="AA3886" s="117">
        <f>IF($B3886="",0,IF(OR($W3886="EVET",$X3886="EVET",$Y3886="EVET"),0,IF($D3886="GELİR",IF($E3886="SATIŞ İADESİ/İSKONTO",-$O3886,$O3886),-$O3886)))</f>
        <v/>
      </c>
      <c r="AB3886" s="117">
        <f>IF($B3886="","",IF(OR($D3886="",$E3886="",$O3886=""),"EKSİK",IF($O3886&lt;=0,"SIFIR/NEGATİF",IF(COUNTIFS($C$6:$C$5000,$C3886,$O$6:$O$5000,$O3886,$B$6:$B$5000,$B3886)&gt;1,"MÜKERRER","OK"))))</f>
        <v/>
      </c>
    </row>
    <row r="3887" ht="16.5" customHeight="1" s="80">
      <c r="A3887" s="113" t="n"/>
      <c r="B3887" s="113" t="n"/>
      <c r="C3887" s="113" t="n"/>
      <c r="D3887" s="113" t="n"/>
      <c r="E3887" s="113" t="n"/>
      <c r="F3887" s="113" t="n"/>
      <c r="G3887" s="113" t="n"/>
      <c r="H3887" s="113" t="n"/>
      <c r="I3887" s="113" t="n"/>
      <c r="J3887" s="113" t="n"/>
      <c r="K3887" s="113" t="n"/>
      <c r="L3887" s="113" t="n"/>
      <c r="M3887" s="113" t="n"/>
      <c r="N3887" s="113" t="n"/>
      <c r="O3887" s="113" t="n"/>
      <c r="P3887" s="113" t="n"/>
      <c r="Q3887" s="113" t="n"/>
      <c r="R3887" s="113" t="n"/>
      <c r="S3887" s="113" t="n"/>
      <c r="T3887" s="113" t="n"/>
      <c r="U3887" s="113" t="n"/>
      <c r="V3887" s="113" t="n"/>
      <c r="W3887" s="113" t="n"/>
      <c r="X3887" s="113" t="n"/>
      <c r="Y3887" s="113" t="n"/>
      <c r="Z3887" s="117">
        <f>IF($B3887="",0,IF($S3887="EVET",IF($D3887="GELİR",$O3887,-$O3887),0))</f>
        <v/>
      </c>
      <c r="AA3887" s="117">
        <f>IF($B3887="",0,IF(OR($W3887="EVET",$X3887="EVET",$Y3887="EVET"),0,IF($D3887="GELİR",IF($E3887="SATIŞ İADESİ/İSKONTO",-$O3887,$O3887),-$O3887)))</f>
        <v/>
      </c>
      <c r="AB3887" s="117">
        <f>IF($B3887="","",IF(OR($D3887="",$E3887="",$O3887=""),"EKSİK",IF($O3887&lt;=0,"SIFIR/NEGATİF",IF(COUNTIFS($C$6:$C$5000,$C3887,$O$6:$O$5000,$O3887,$B$6:$B$5000,$B3887)&gt;1,"MÜKERRER","OK"))))</f>
        <v/>
      </c>
    </row>
    <row r="3888" ht="16.5" customHeight="1" s="80">
      <c r="A3888" s="113" t="n"/>
      <c r="B3888" s="113" t="n"/>
      <c r="C3888" s="113" t="n"/>
      <c r="D3888" s="113" t="n"/>
      <c r="E3888" s="113" t="n"/>
      <c r="F3888" s="113" t="n"/>
      <c r="G3888" s="113" t="n"/>
      <c r="H3888" s="113" t="n"/>
      <c r="I3888" s="113" t="n"/>
      <c r="J3888" s="113" t="n"/>
      <c r="K3888" s="113" t="n"/>
      <c r="L3888" s="113" t="n"/>
      <c r="M3888" s="113" t="n"/>
      <c r="N3888" s="113" t="n"/>
      <c r="O3888" s="113" t="n"/>
      <c r="P3888" s="113" t="n"/>
      <c r="Q3888" s="113" t="n"/>
      <c r="R3888" s="113" t="n"/>
      <c r="S3888" s="113" t="n"/>
      <c r="T3888" s="113" t="n"/>
      <c r="U3888" s="113" t="n"/>
      <c r="V3888" s="113" t="n"/>
      <c r="W3888" s="113" t="n"/>
      <c r="X3888" s="113" t="n"/>
      <c r="Y3888" s="113" t="n"/>
      <c r="Z3888" s="117">
        <f>IF($B3888="",0,IF($S3888="EVET",IF($D3888="GELİR",$O3888,-$O3888),0))</f>
        <v/>
      </c>
      <c r="AA3888" s="117">
        <f>IF($B3888="",0,IF(OR($W3888="EVET",$X3888="EVET",$Y3888="EVET"),0,IF($D3888="GELİR",IF($E3888="SATIŞ İADESİ/İSKONTO",-$O3888,$O3888),-$O3888)))</f>
        <v/>
      </c>
      <c r="AB3888" s="117">
        <f>IF($B3888="","",IF(OR($D3888="",$E3888="",$O3888=""),"EKSİK",IF($O3888&lt;=0,"SIFIR/NEGATİF",IF(COUNTIFS($C$6:$C$5000,$C3888,$O$6:$O$5000,$O3888,$B$6:$B$5000,$B3888)&gt;1,"MÜKERRER","OK"))))</f>
        <v/>
      </c>
    </row>
    <row r="3889" ht="16.5" customHeight="1" s="80">
      <c r="A3889" s="113" t="n"/>
      <c r="B3889" s="113" t="n"/>
      <c r="C3889" s="113" t="n"/>
      <c r="D3889" s="113" t="n"/>
      <c r="E3889" s="113" t="n"/>
      <c r="F3889" s="113" t="n"/>
      <c r="G3889" s="113" t="n"/>
      <c r="H3889" s="113" t="n"/>
      <c r="I3889" s="113" t="n"/>
      <c r="J3889" s="113" t="n"/>
      <c r="K3889" s="113" t="n"/>
      <c r="L3889" s="113" t="n"/>
      <c r="M3889" s="113" t="n"/>
      <c r="N3889" s="113" t="n"/>
      <c r="O3889" s="113" t="n"/>
      <c r="P3889" s="113" t="n"/>
      <c r="Q3889" s="113" t="n"/>
      <c r="R3889" s="113" t="n"/>
      <c r="S3889" s="113" t="n"/>
      <c r="T3889" s="113" t="n"/>
      <c r="U3889" s="113" t="n"/>
      <c r="V3889" s="113" t="n"/>
      <c r="W3889" s="113" t="n"/>
      <c r="X3889" s="113" t="n"/>
      <c r="Y3889" s="113" t="n"/>
      <c r="Z3889" s="117">
        <f>IF($B3889="",0,IF($S3889="EVET",IF($D3889="GELİR",$O3889,-$O3889),0))</f>
        <v/>
      </c>
      <c r="AA3889" s="117">
        <f>IF($B3889="",0,IF(OR($W3889="EVET",$X3889="EVET",$Y3889="EVET"),0,IF($D3889="GELİR",IF($E3889="SATIŞ İADESİ/İSKONTO",-$O3889,$O3889),-$O3889)))</f>
        <v/>
      </c>
      <c r="AB3889" s="117">
        <f>IF($B3889="","",IF(OR($D3889="",$E3889="",$O3889=""),"EKSİK",IF($O3889&lt;=0,"SIFIR/NEGATİF",IF(COUNTIFS($C$6:$C$5000,$C3889,$O$6:$O$5000,$O3889,$B$6:$B$5000,$B3889)&gt;1,"MÜKERRER","OK"))))</f>
        <v/>
      </c>
    </row>
    <row r="3890" ht="16.5" customHeight="1" s="80">
      <c r="A3890" s="113" t="n"/>
      <c r="B3890" s="113" t="n"/>
      <c r="C3890" s="113" t="n"/>
      <c r="D3890" s="113" t="n"/>
      <c r="E3890" s="113" t="n"/>
      <c r="F3890" s="113" t="n"/>
      <c r="G3890" s="113" t="n"/>
      <c r="H3890" s="113" t="n"/>
      <c r="I3890" s="113" t="n"/>
      <c r="J3890" s="113" t="n"/>
      <c r="K3890" s="113" t="n"/>
      <c r="L3890" s="113" t="n"/>
      <c r="M3890" s="113" t="n"/>
      <c r="N3890" s="113" t="n"/>
      <c r="O3890" s="113" t="n"/>
      <c r="P3890" s="113" t="n"/>
      <c r="Q3890" s="113" t="n"/>
      <c r="R3890" s="113" t="n"/>
      <c r="S3890" s="113" t="n"/>
      <c r="T3890" s="113" t="n"/>
      <c r="U3890" s="113" t="n"/>
      <c r="V3890" s="113" t="n"/>
      <c r="W3890" s="113" t="n"/>
      <c r="X3890" s="113" t="n"/>
      <c r="Y3890" s="113" t="n"/>
      <c r="Z3890" s="117">
        <f>IF($B3890="",0,IF($S3890="EVET",IF($D3890="GELİR",$O3890,-$O3890),0))</f>
        <v/>
      </c>
      <c r="AA3890" s="117">
        <f>IF($B3890="",0,IF(OR($W3890="EVET",$X3890="EVET",$Y3890="EVET"),0,IF($D3890="GELİR",IF($E3890="SATIŞ İADESİ/İSKONTO",-$O3890,$O3890),-$O3890)))</f>
        <v/>
      </c>
      <c r="AB3890" s="117">
        <f>IF($B3890="","",IF(OR($D3890="",$E3890="",$O3890=""),"EKSİK",IF($O3890&lt;=0,"SIFIR/NEGATİF",IF(COUNTIFS($C$6:$C$5000,$C3890,$O$6:$O$5000,$O3890,$B$6:$B$5000,$B3890)&gt;1,"MÜKERRER","OK"))))</f>
        <v/>
      </c>
    </row>
    <row r="3891" ht="16.5" customHeight="1" s="80">
      <c r="A3891" s="113" t="n"/>
      <c r="B3891" s="113" t="n"/>
      <c r="C3891" s="113" t="n"/>
      <c r="D3891" s="113" t="n"/>
      <c r="E3891" s="113" t="n"/>
      <c r="F3891" s="113" t="n"/>
      <c r="G3891" s="113" t="n"/>
      <c r="H3891" s="113" t="n"/>
      <c r="I3891" s="113" t="n"/>
      <c r="J3891" s="113" t="n"/>
      <c r="K3891" s="113" t="n"/>
      <c r="L3891" s="113" t="n"/>
      <c r="M3891" s="113" t="n"/>
      <c r="N3891" s="113" t="n"/>
      <c r="O3891" s="113" t="n"/>
      <c r="P3891" s="113" t="n"/>
      <c r="Q3891" s="113" t="n"/>
      <c r="R3891" s="113" t="n"/>
      <c r="S3891" s="113" t="n"/>
      <c r="T3891" s="113" t="n"/>
      <c r="U3891" s="113" t="n"/>
      <c r="V3891" s="113" t="n"/>
      <c r="W3891" s="113" t="n"/>
      <c r="X3891" s="113" t="n"/>
      <c r="Y3891" s="113" t="n"/>
      <c r="Z3891" s="117">
        <f>IF($B3891="",0,IF($S3891="EVET",IF($D3891="GELİR",$O3891,-$O3891),0))</f>
        <v/>
      </c>
      <c r="AA3891" s="117">
        <f>IF($B3891="",0,IF(OR($W3891="EVET",$X3891="EVET",$Y3891="EVET"),0,IF($D3891="GELİR",IF($E3891="SATIŞ İADESİ/İSKONTO",-$O3891,$O3891),-$O3891)))</f>
        <v/>
      </c>
      <c r="AB3891" s="117">
        <f>IF($B3891="","",IF(OR($D3891="",$E3891="",$O3891=""),"EKSİK",IF($O3891&lt;=0,"SIFIR/NEGATİF",IF(COUNTIFS($C$6:$C$5000,$C3891,$O$6:$O$5000,$O3891,$B$6:$B$5000,$B3891)&gt;1,"MÜKERRER","OK"))))</f>
        <v/>
      </c>
    </row>
    <row r="3892" ht="16.5" customHeight="1" s="80">
      <c r="A3892" s="113" t="n"/>
      <c r="B3892" s="113" t="n"/>
      <c r="C3892" s="113" t="n"/>
      <c r="D3892" s="113" t="n"/>
      <c r="E3892" s="113" t="n"/>
      <c r="F3892" s="113" t="n"/>
      <c r="G3892" s="113" t="n"/>
      <c r="H3892" s="113" t="n"/>
      <c r="I3892" s="113" t="n"/>
      <c r="J3892" s="113" t="n"/>
      <c r="K3892" s="113" t="n"/>
      <c r="L3892" s="113" t="n"/>
      <c r="M3892" s="113" t="n"/>
      <c r="N3892" s="113" t="n"/>
      <c r="O3892" s="113" t="n"/>
      <c r="P3892" s="113" t="n"/>
      <c r="Q3892" s="113" t="n"/>
      <c r="R3892" s="113" t="n"/>
      <c r="S3892" s="113" t="n"/>
      <c r="T3892" s="113" t="n"/>
      <c r="U3892" s="113" t="n"/>
      <c r="V3892" s="113" t="n"/>
      <c r="W3892" s="113" t="n"/>
      <c r="X3892" s="113" t="n"/>
      <c r="Y3892" s="113" t="n"/>
      <c r="Z3892" s="117">
        <f>IF($B3892="",0,IF($S3892="EVET",IF($D3892="GELİR",$O3892,-$O3892),0))</f>
        <v/>
      </c>
      <c r="AA3892" s="117">
        <f>IF($B3892="",0,IF(OR($W3892="EVET",$X3892="EVET",$Y3892="EVET"),0,IF($D3892="GELİR",IF($E3892="SATIŞ İADESİ/İSKONTO",-$O3892,$O3892),-$O3892)))</f>
        <v/>
      </c>
      <c r="AB3892" s="117">
        <f>IF($B3892="","",IF(OR($D3892="",$E3892="",$O3892=""),"EKSİK",IF($O3892&lt;=0,"SIFIR/NEGATİF",IF(COUNTIFS($C$6:$C$5000,$C3892,$O$6:$O$5000,$O3892,$B$6:$B$5000,$B3892)&gt;1,"MÜKERRER","OK"))))</f>
        <v/>
      </c>
    </row>
    <row r="3893" ht="16.5" customHeight="1" s="80">
      <c r="A3893" s="113" t="n"/>
      <c r="B3893" s="113" t="n"/>
      <c r="C3893" s="113" t="n"/>
      <c r="D3893" s="113" t="n"/>
      <c r="E3893" s="113" t="n"/>
      <c r="F3893" s="113" t="n"/>
      <c r="G3893" s="113" t="n"/>
      <c r="H3893" s="113" t="n"/>
      <c r="I3893" s="113" t="n"/>
      <c r="J3893" s="113" t="n"/>
      <c r="K3893" s="113" t="n"/>
      <c r="L3893" s="113" t="n"/>
      <c r="M3893" s="113" t="n"/>
      <c r="N3893" s="113" t="n"/>
      <c r="O3893" s="113" t="n"/>
      <c r="P3893" s="113" t="n"/>
      <c r="Q3893" s="113" t="n"/>
      <c r="R3893" s="113" t="n"/>
      <c r="S3893" s="113" t="n"/>
      <c r="T3893" s="113" t="n"/>
      <c r="U3893" s="113" t="n"/>
      <c r="V3893" s="113" t="n"/>
      <c r="W3893" s="113" t="n"/>
      <c r="X3893" s="113" t="n"/>
      <c r="Y3893" s="113" t="n"/>
      <c r="Z3893" s="117">
        <f>IF($B3893="",0,IF($S3893="EVET",IF($D3893="GELİR",$O3893,-$O3893),0))</f>
        <v/>
      </c>
      <c r="AA3893" s="117">
        <f>IF($B3893="",0,IF(OR($W3893="EVET",$X3893="EVET",$Y3893="EVET"),0,IF($D3893="GELİR",IF($E3893="SATIŞ İADESİ/İSKONTO",-$O3893,$O3893),-$O3893)))</f>
        <v/>
      </c>
      <c r="AB3893" s="117">
        <f>IF($B3893="","",IF(OR($D3893="",$E3893="",$O3893=""),"EKSİK",IF($O3893&lt;=0,"SIFIR/NEGATİF",IF(COUNTIFS($C$6:$C$5000,$C3893,$O$6:$O$5000,$O3893,$B$6:$B$5000,$B3893)&gt;1,"MÜKERRER","OK"))))</f>
        <v/>
      </c>
    </row>
    <row r="3894" ht="16.5" customHeight="1" s="80">
      <c r="A3894" s="113" t="n"/>
      <c r="B3894" s="113" t="n"/>
      <c r="C3894" s="113" t="n"/>
      <c r="D3894" s="113" t="n"/>
      <c r="E3894" s="113" t="n"/>
      <c r="F3894" s="113" t="n"/>
      <c r="G3894" s="113" t="n"/>
      <c r="H3894" s="113" t="n"/>
      <c r="I3894" s="113" t="n"/>
      <c r="J3894" s="113" t="n"/>
      <c r="K3894" s="113" t="n"/>
      <c r="L3894" s="113" t="n"/>
      <c r="M3894" s="113" t="n"/>
      <c r="N3894" s="113" t="n"/>
      <c r="O3894" s="113" t="n"/>
      <c r="P3894" s="113" t="n"/>
      <c r="Q3894" s="113" t="n"/>
      <c r="R3894" s="113" t="n"/>
      <c r="S3894" s="113" t="n"/>
      <c r="T3894" s="113" t="n"/>
      <c r="U3894" s="113" t="n"/>
      <c r="V3894" s="113" t="n"/>
      <c r="W3894" s="113" t="n"/>
      <c r="X3894" s="113" t="n"/>
      <c r="Y3894" s="113" t="n"/>
      <c r="Z3894" s="117">
        <f>IF($B3894="",0,IF($S3894="EVET",IF($D3894="GELİR",$O3894,-$O3894),0))</f>
        <v/>
      </c>
      <c r="AA3894" s="117">
        <f>IF($B3894="",0,IF(OR($W3894="EVET",$X3894="EVET",$Y3894="EVET"),0,IF($D3894="GELİR",IF($E3894="SATIŞ İADESİ/İSKONTO",-$O3894,$O3894),-$O3894)))</f>
        <v/>
      </c>
      <c r="AB3894" s="117">
        <f>IF($B3894="","",IF(OR($D3894="",$E3894="",$O3894=""),"EKSİK",IF($O3894&lt;=0,"SIFIR/NEGATİF",IF(COUNTIFS($C$6:$C$5000,$C3894,$O$6:$O$5000,$O3894,$B$6:$B$5000,$B3894)&gt;1,"MÜKERRER","OK"))))</f>
        <v/>
      </c>
    </row>
    <row r="3895" ht="16.5" customHeight="1" s="80">
      <c r="A3895" s="113" t="n"/>
      <c r="B3895" s="113" t="n"/>
      <c r="C3895" s="113" t="n"/>
      <c r="D3895" s="113" t="n"/>
      <c r="E3895" s="113" t="n"/>
      <c r="F3895" s="113" t="n"/>
      <c r="G3895" s="113" t="n"/>
      <c r="H3895" s="113" t="n"/>
      <c r="I3895" s="113" t="n"/>
      <c r="J3895" s="113" t="n"/>
      <c r="K3895" s="113" t="n"/>
      <c r="L3895" s="113" t="n"/>
      <c r="M3895" s="113" t="n"/>
      <c r="N3895" s="113" t="n"/>
      <c r="O3895" s="113" t="n"/>
      <c r="P3895" s="113" t="n"/>
      <c r="Q3895" s="113" t="n"/>
      <c r="R3895" s="113" t="n"/>
      <c r="S3895" s="113" t="n"/>
      <c r="T3895" s="113" t="n"/>
      <c r="U3895" s="113" t="n"/>
      <c r="V3895" s="113" t="n"/>
      <c r="W3895" s="113" t="n"/>
      <c r="X3895" s="113" t="n"/>
      <c r="Y3895" s="113" t="n"/>
      <c r="Z3895" s="117">
        <f>IF($B3895="",0,IF($S3895="EVET",IF($D3895="GELİR",$O3895,-$O3895),0))</f>
        <v/>
      </c>
      <c r="AA3895" s="117">
        <f>IF($B3895="",0,IF(OR($W3895="EVET",$X3895="EVET",$Y3895="EVET"),0,IF($D3895="GELİR",IF($E3895="SATIŞ İADESİ/İSKONTO",-$O3895,$O3895),-$O3895)))</f>
        <v/>
      </c>
      <c r="AB3895" s="117">
        <f>IF($B3895="","",IF(OR($D3895="",$E3895="",$O3895=""),"EKSİK",IF($O3895&lt;=0,"SIFIR/NEGATİF",IF(COUNTIFS($C$6:$C$5000,$C3895,$O$6:$O$5000,$O3895,$B$6:$B$5000,$B3895)&gt;1,"MÜKERRER","OK"))))</f>
        <v/>
      </c>
    </row>
    <row r="3896" ht="16.5" customHeight="1" s="80">
      <c r="A3896" s="113" t="n"/>
      <c r="B3896" s="113" t="n"/>
      <c r="C3896" s="113" t="n"/>
      <c r="D3896" s="113" t="n"/>
      <c r="E3896" s="113" t="n"/>
      <c r="F3896" s="113" t="n"/>
      <c r="G3896" s="113" t="n"/>
      <c r="H3896" s="113" t="n"/>
      <c r="I3896" s="113" t="n"/>
      <c r="J3896" s="113" t="n"/>
      <c r="K3896" s="113" t="n"/>
      <c r="L3896" s="113" t="n"/>
      <c r="M3896" s="113" t="n"/>
      <c r="N3896" s="113" t="n"/>
      <c r="O3896" s="113" t="n"/>
      <c r="P3896" s="113" t="n"/>
      <c r="Q3896" s="113" t="n"/>
      <c r="R3896" s="113" t="n"/>
      <c r="S3896" s="113" t="n"/>
      <c r="T3896" s="113" t="n"/>
      <c r="U3896" s="113" t="n"/>
      <c r="V3896" s="113" t="n"/>
      <c r="W3896" s="113" t="n"/>
      <c r="X3896" s="113" t="n"/>
      <c r="Y3896" s="113" t="n"/>
      <c r="Z3896" s="117">
        <f>IF($B3896="",0,IF($S3896="EVET",IF($D3896="GELİR",$O3896,-$O3896),0))</f>
        <v/>
      </c>
      <c r="AA3896" s="117">
        <f>IF($B3896="",0,IF(OR($W3896="EVET",$X3896="EVET",$Y3896="EVET"),0,IF($D3896="GELİR",IF($E3896="SATIŞ İADESİ/İSKONTO",-$O3896,$O3896),-$O3896)))</f>
        <v/>
      </c>
      <c r="AB3896" s="117">
        <f>IF($B3896="","",IF(OR($D3896="",$E3896="",$O3896=""),"EKSİK",IF($O3896&lt;=0,"SIFIR/NEGATİF",IF(COUNTIFS($C$6:$C$5000,$C3896,$O$6:$O$5000,$O3896,$B$6:$B$5000,$B3896)&gt;1,"MÜKERRER","OK"))))</f>
        <v/>
      </c>
    </row>
    <row r="3897" ht="16.5" customHeight="1" s="80">
      <c r="A3897" s="113" t="n"/>
      <c r="B3897" s="113" t="n"/>
      <c r="C3897" s="113" t="n"/>
      <c r="D3897" s="113" t="n"/>
      <c r="E3897" s="113" t="n"/>
      <c r="F3897" s="113" t="n"/>
      <c r="G3897" s="113" t="n"/>
      <c r="H3897" s="113" t="n"/>
      <c r="I3897" s="113" t="n"/>
      <c r="J3897" s="113" t="n"/>
      <c r="K3897" s="113" t="n"/>
      <c r="L3897" s="113" t="n"/>
      <c r="M3897" s="113" t="n"/>
      <c r="N3897" s="113" t="n"/>
      <c r="O3897" s="113" t="n"/>
      <c r="P3897" s="113" t="n"/>
      <c r="Q3897" s="113" t="n"/>
      <c r="R3897" s="113" t="n"/>
      <c r="S3897" s="113" t="n"/>
      <c r="T3897" s="113" t="n"/>
      <c r="U3897" s="113" t="n"/>
      <c r="V3897" s="113" t="n"/>
      <c r="W3897" s="113" t="n"/>
      <c r="X3897" s="113" t="n"/>
      <c r="Y3897" s="113" t="n"/>
      <c r="Z3897" s="117">
        <f>IF($B3897="",0,IF($S3897="EVET",IF($D3897="GELİR",$O3897,-$O3897),0))</f>
        <v/>
      </c>
      <c r="AA3897" s="117">
        <f>IF($B3897="",0,IF(OR($W3897="EVET",$X3897="EVET",$Y3897="EVET"),0,IF($D3897="GELİR",IF($E3897="SATIŞ İADESİ/İSKONTO",-$O3897,$O3897),-$O3897)))</f>
        <v/>
      </c>
      <c r="AB3897" s="117">
        <f>IF($B3897="","",IF(OR($D3897="",$E3897="",$O3897=""),"EKSİK",IF($O3897&lt;=0,"SIFIR/NEGATİF",IF(COUNTIFS($C$6:$C$5000,$C3897,$O$6:$O$5000,$O3897,$B$6:$B$5000,$B3897)&gt;1,"MÜKERRER","OK"))))</f>
        <v/>
      </c>
    </row>
    <row r="3898" ht="16.5" customHeight="1" s="80">
      <c r="A3898" s="113" t="n"/>
      <c r="B3898" s="113" t="n"/>
      <c r="C3898" s="113" t="n"/>
      <c r="D3898" s="113" t="n"/>
      <c r="E3898" s="113" t="n"/>
      <c r="F3898" s="113" t="n"/>
      <c r="G3898" s="113" t="n"/>
      <c r="H3898" s="113" t="n"/>
      <c r="I3898" s="113" t="n"/>
      <c r="J3898" s="113" t="n"/>
      <c r="K3898" s="113" t="n"/>
      <c r="L3898" s="113" t="n"/>
      <c r="M3898" s="113" t="n"/>
      <c r="N3898" s="113" t="n"/>
      <c r="O3898" s="113" t="n"/>
      <c r="P3898" s="113" t="n"/>
      <c r="Q3898" s="113" t="n"/>
      <c r="R3898" s="113" t="n"/>
      <c r="S3898" s="113" t="n"/>
      <c r="T3898" s="113" t="n"/>
      <c r="U3898" s="113" t="n"/>
      <c r="V3898" s="113" t="n"/>
      <c r="W3898" s="113" t="n"/>
      <c r="X3898" s="113" t="n"/>
      <c r="Y3898" s="113" t="n"/>
      <c r="Z3898" s="117">
        <f>IF($B3898="",0,IF($S3898="EVET",IF($D3898="GELİR",$O3898,-$O3898),0))</f>
        <v/>
      </c>
      <c r="AA3898" s="117">
        <f>IF($B3898="",0,IF(OR($W3898="EVET",$X3898="EVET",$Y3898="EVET"),0,IF($D3898="GELİR",IF($E3898="SATIŞ İADESİ/İSKONTO",-$O3898,$O3898),-$O3898)))</f>
        <v/>
      </c>
      <c r="AB3898" s="117">
        <f>IF($B3898="","",IF(OR($D3898="",$E3898="",$O3898=""),"EKSİK",IF($O3898&lt;=0,"SIFIR/NEGATİF",IF(COUNTIFS($C$6:$C$5000,$C3898,$O$6:$O$5000,$O3898,$B$6:$B$5000,$B3898)&gt;1,"MÜKERRER","OK"))))</f>
        <v/>
      </c>
    </row>
    <row r="3899" ht="16.5" customHeight="1" s="80">
      <c r="A3899" s="113" t="n"/>
      <c r="B3899" s="113" t="n"/>
      <c r="C3899" s="113" t="n"/>
      <c r="D3899" s="113" t="n"/>
      <c r="E3899" s="113" t="n"/>
      <c r="F3899" s="113" t="n"/>
      <c r="G3899" s="113" t="n"/>
      <c r="H3899" s="113" t="n"/>
      <c r="I3899" s="113" t="n"/>
      <c r="J3899" s="113" t="n"/>
      <c r="K3899" s="113" t="n"/>
      <c r="L3899" s="113" t="n"/>
      <c r="M3899" s="113" t="n"/>
      <c r="N3899" s="113" t="n"/>
      <c r="O3899" s="113" t="n"/>
      <c r="P3899" s="113" t="n"/>
      <c r="Q3899" s="113" t="n"/>
      <c r="R3899" s="113" t="n"/>
      <c r="S3899" s="113" t="n"/>
      <c r="T3899" s="113" t="n"/>
      <c r="U3899" s="113" t="n"/>
      <c r="V3899" s="113" t="n"/>
      <c r="W3899" s="113" t="n"/>
      <c r="X3899" s="113" t="n"/>
      <c r="Y3899" s="113" t="n"/>
      <c r="Z3899" s="117">
        <f>IF($B3899="",0,IF($S3899="EVET",IF($D3899="GELİR",$O3899,-$O3899),0))</f>
        <v/>
      </c>
      <c r="AA3899" s="117">
        <f>IF($B3899="",0,IF(OR($W3899="EVET",$X3899="EVET",$Y3899="EVET"),0,IF($D3899="GELİR",IF($E3899="SATIŞ İADESİ/İSKONTO",-$O3899,$O3899),-$O3899)))</f>
        <v/>
      </c>
      <c r="AB3899" s="117">
        <f>IF($B3899="","",IF(OR($D3899="",$E3899="",$O3899=""),"EKSİK",IF($O3899&lt;=0,"SIFIR/NEGATİF",IF(COUNTIFS($C$6:$C$5000,$C3899,$O$6:$O$5000,$O3899,$B$6:$B$5000,$B3899)&gt;1,"MÜKERRER","OK"))))</f>
        <v/>
      </c>
    </row>
    <row r="3900" ht="16.5" customHeight="1" s="80">
      <c r="A3900" s="113" t="n"/>
      <c r="B3900" s="113" t="n"/>
      <c r="C3900" s="113" t="n"/>
      <c r="D3900" s="113" t="n"/>
      <c r="E3900" s="113" t="n"/>
      <c r="F3900" s="113" t="n"/>
      <c r="G3900" s="113" t="n"/>
      <c r="H3900" s="113" t="n"/>
      <c r="I3900" s="113" t="n"/>
      <c r="J3900" s="113" t="n"/>
      <c r="K3900" s="113" t="n"/>
      <c r="L3900" s="113" t="n"/>
      <c r="M3900" s="113" t="n"/>
      <c r="N3900" s="113" t="n"/>
      <c r="O3900" s="113" t="n"/>
      <c r="P3900" s="113" t="n"/>
      <c r="Q3900" s="113" t="n"/>
      <c r="R3900" s="113" t="n"/>
      <c r="S3900" s="113" t="n"/>
      <c r="T3900" s="113" t="n"/>
      <c r="U3900" s="113" t="n"/>
      <c r="V3900" s="113" t="n"/>
      <c r="W3900" s="113" t="n"/>
      <c r="X3900" s="113" t="n"/>
      <c r="Y3900" s="113" t="n"/>
      <c r="Z3900" s="117">
        <f>IF($B3900="",0,IF($S3900="EVET",IF($D3900="GELİR",$O3900,-$O3900),0))</f>
        <v/>
      </c>
      <c r="AA3900" s="117">
        <f>IF($B3900="",0,IF(OR($W3900="EVET",$X3900="EVET",$Y3900="EVET"),0,IF($D3900="GELİR",IF($E3900="SATIŞ İADESİ/İSKONTO",-$O3900,$O3900),-$O3900)))</f>
        <v/>
      </c>
      <c r="AB3900" s="117">
        <f>IF($B3900="","",IF(OR($D3900="",$E3900="",$O3900=""),"EKSİK",IF($O3900&lt;=0,"SIFIR/NEGATİF",IF(COUNTIFS($C$6:$C$5000,$C3900,$O$6:$O$5000,$O3900,$B$6:$B$5000,$B3900)&gt;1,"MÜKERRER","OK"))))</f>
        <v/>
      </c>
    </row>
    <row r="3901" ht="16.5" customHeight="1" s="80">
      <c r="A3901" s="113" t="n"/>
      <c r="B3901" s="113" t="n"/>
      <c r="C3901" s="113" t="n"/>
      <c r="D3901" s="113" t="n"/>
      <c r="E3901" s="113" t="n"/>
      <c r="F3901" s="113" t="n"/>
      <c r="G3901" s="113" t="n"/>
      <c r="H3901" s="113" t="n"/>
      <c r="I3901" s="113" t="n"/>
      <c r="J3901" s="113" t="n"/>
      <c r="K3901" s="113" t="n"/>
      <c r="L3901" s="113" t="n"/>
      <c r="M3901" s="113" t="n"/>
      <c r="N3901" s="113" t="n"/>
      <c r="O3901" s="113" t="n"/>
      <c r="P3901" s="113" t="n"/>
      <c r="Q3901" s="113" t="n"/>
      <c r="R3901" s="113" t="n"/>
      <c r="S3901" s="113" t="n"/>
      <c r="T3901" s="113" t="n"/>
      <c r="U3901" s="113" t="n"/>
      <c r="V3901" s="113" t="n"/>
      <c r="W3901" s="113" t="n"/>
      <c r="X3901" s="113" t="n"/>
      <c r="Y3901" s="113" t="n"/>
      <c r="Z3901" s="117">
        <f>IF($B3901="",0,IF($S3901="EVET",IF($D3901="GELİR",$O3901,-$O3901),0))</f>
        <v/>
      </c>
      <c r="AA3901" s="117">
        <f>IF($B3901="",0,IF(OR($W3901="EVET",$X3901="EVET",$Y3901="EVET"),0,IF($D3901="GELİR",IF($E3901="SATIŞ İADESİ/İSKONTO",-$O3901,$O3901),-$O3901)))</f>
        <v/>
      </c>
      <c r="AB3901" s="117">
        <f>IF($B3901="","",IF(OR($D3901="",$E3901="",$O3901=""),"EKSİK",IF($O3901&lt;=0,"SIFIR/NEGATİF",IF(COUNTIFS($C$6:$C$5000,$C3901,$O$6:$O$5000,$O3901,$B$6:$B$5000,$B3901)&gt;1,"MÜKERRER","OK"))))</f>
        <v/>
      </c>
    </row>
    <row r="3902" ht="16.5" customHeight="1" s="80">
      <c r="A3902" s="113" t="n"/>
      <c r="B3902" s="113" t="n"/>
      <c r="C3902" s="113" t="n"/>
      <c r="D3902" s="113" t="n"/>
      <c r="E3902" s="113" t="n"/>
      <c r="F3902" s="113" t="n"/>
      <c r="G3902" s="113" t="n"/>
      <c r="H3902" s="113" t="n"/>
      <c r="I3902" s="113" t="n"/>
      <c r="J3902" s="113" t="n"/>
      <c r="K3902" s="113" t="n"/>
      <c r="L3902" s="113" t="n"/>
      <c r="M3902" s="113" t="n"/>
      <c r="N3902" s="113" t="n"/>
      <c r="O3902" s="113" t="n"/>
      <c r="P3902" s="113" t="n"/>
      <c r="Q3902" s="113" t="n"/>
      <c r="R3902" s="113" t="n"/>
      <c r="S3902" s="113" t="n"/>
      <c r="T3902" s="113" t="n"/>
      <c r="U3902" s="113" t="n"/>
      <c r="V3902" s="113" t="n"/>
      <c r="W3902" s="113" t="n"/>
      <c r="X3902" s="113" t="n"/>
      <c r="Y3902" s="113" t="n"/>
      <c r="Z3902" s="117">
        <f>IF($B3902="",0,IF($S3902="EVET",IF($D3902="GELİR",$O3902,-$O3902),0))</f>
        <v/>
      </c>
      <c r="AA3902" s="117">
        <f>IF($B3902="",0,IF(OR($W3902="EVET",$X3902="EVET",$Y3902="EVET"),0,IF($D3902="GELİR",IF($E3902="SATIŞ İADESİ/İSKONTO",-$O3902,$O3902),-$O3902)))</f>
        <v/>
      </c>
      <c r="AB3902" s="117">
        <f>IF($B3902="","",IF(OR($D3902="",$E3902="",$O3902=""),"EKSİK",IF($O3902&lt;=0,"SIFIR/NEGATİF",IF(COUNTIFS($C$6:$C$5000,$C3902,$O$6:$O$5000,$O3902,$B$6:$B$5000,$B3902)&gt;1,"MÜKERRER","OK"))))</f>
        <v/>
      </c>
    </row>
    <row r="3903" ht="16.5" customHeight="1" s="80">
      <c r="A3903" s="113" t="n"/>
      <c r="B3903" s="113" t="n"/>
      <c r="C3903" s="113" t="n"/>
      <c r="D3903" s="113" t="n"/>
      <c r="E3903" s="113" t="n"/>
      <c r="F3903" s="113" t="n"/>
      <c r="G3903" s="113" t="n"/>
      <c r="H3903" s="113" t="n"/>
      <c r="I3903" s="113" t="n"/>
      <c r="J3903" s="113" t="n"/>
      <c r="K3903" s="113" t="n"/>
      <c r="L3903" s="113" t="n"/>
      <c r="M3903" s="113" t="n"/>
      <c r="N3903" s="113" t="n"/>
      <c r="O3903" s="113" t="n"/>
      <c r="P3903" s="113" t="n"/>
      <c r="Q3903" s="113" t="n"/>
      <c r="R3903" s="113" t="n"/>
      <c r="S3903" s="113" t="n"/>
      <c r="T3903" s="113" t="n"/>
      <c r="U3903" s="113" t="n"/>
      <c r="V3903" s="113" t="n"/>
      <c r="W3903" s="113" t="n"/>
      <c r="X3903" s="113" t="n"/>
      <c r="Y3903" s="113" t="n"/>
      <c r="Z3903" s="117">
        <f>IF($B3903="",0,IF($S3903="EVET",IF($D3903="GELİR",$O3903,-$O3903),0))</f>
        <v/>
      </c>
      <c r="AA3903" s="117">
        <f>IF($B3903="",0,IF(OR($W3903="EVET",$X3903="EVET",$Y3903="EVET"),0,IF($D3903="GELİR",IF($E3903="SATIŞ İADESİ/İSKONTO",-$O3903,$O3903),-$O3903)))</f>
        <v/>
      </c>
      <c r="AB3903" s="117">
        <f>IF($B3903="","",IF(OR($D3903="",$E3903="",$O3903=""),"EKSİK",IF($O3903&lt;=0,"SIFIR/NEGATİF",IF(COUNTIFS($C$6:$C$5000,$C3903,$O$6:$O$5000,$O3903,$B$6:$B$5000,$B3903)&gt;1,"MÜKERRER","OK"))))</f>
        <v/>
      </c>
    </row>
    <row r="3904" ht="16.5" customHeight="1" s="80">
      <c r="A3904" s="113" t="n"/>
      <c r="B3904" s="113" t="n"/>
      <c r="C3904" s="113" t="n"/>
      <c r="D3904" s="113" t="n"/>
      <c r="E3904" s="113" t="n"/>
      <c r="F3904" s="113" t="n"/>
      <c r="G3904" s="113" t="n"/>
      <c r="H3904" s="113" t="n"/>
      <c r="I3904" s="113" t="n"/>
      <c r="J3904" s="113" t="n"/>
      <c r="K3904" s="113" t="n"/>
      <c r="L3904" s="113" t="n"/>
      <c r="M3904" s="113" t="n"/>
      <c r="N3904" s="113" t="n"/>
      <c r="O3904" s="113" t="n"/>
      <c r="P3904" s="113" t="n"/>
      <c r="Q3904" s="113" t="n"/>
      <c r="R3904" s="113" t="n"/>
      <c r="S3904" s="113" t="n"/>
      <c r="T3904" s="113" t="n"/>
      <c r="U3904" s="113" t="n"/>
      <c r="V3904" s="113" t="n"/>
      <c r="W3904" s="113" t="n"/>
      <c r="X3904" s="113" t="n"/>
      <c r="Y3904" s="113" t="n"/>
      <c r="Z3904" s="117">
        <f>IF($B3904="",0,IF($S3904="EVET",IF($D3904="GELİR",$O3904,-$O3904),0))</f>
        <v/>
      </c>
      <c r="AA3904" s="117">
        <f>IF($B3904="",0,IF(OR($W3904="EVET",$X3904="EVET",$Y3904="EVET"),0,IF($D3904="GELİR",IF($E3904="SATIŞ İADESİ/İSKONTO",-$O3904,$O3904),-$O3904)))</f>
        <v/>
      </c>
      <c r="AB3904" s="117">
        <f>IF($B3904="","",IF(OR($D3904="",$E3904="",$O3904=""),"EKSİK",IF($O3904&lt;=0,"SIFIR/NEGATİF",IF(COUNTIFS($C$6:$C$5000,$C3904,$O$6:$O$5000,$O3904,$B$6:$B$5000,$B3904)&gt;1,"MÜKERRER","OK"))))</f>
        <v/>
      </c>
    </row>
    <row r="3905" ht="16.5" customHeight="1" s="80">
      <c r="A3905" s="113" t="n"/>
      <c r="B3905" s="113" t="n"/>
      <c r="C3905" s="113" t="n"/>
      <c r="D3905" s="113" t="n"/>
      <c r="E3905" s="113" t="n"/>
      <c r="F3905" s="113" t="n"/>
      <c r="G3905" s="113" t="n"/>
      <c r="H3905" s="113" t="n"/>
      <c r="I3905" s="113" t="n"/>
      <c r="J3905" s="113" t="n"/>
      <c r="K3905" s="113" t="n"/>
      <c r="L3905" s="113" t="n"/>
      <c r="M3905" s="113" t="n"/>
      <c r="N3905" s="113" t="n"/>
      <c r="O3905" s="113" t="n"/>
      <c r="P3905" s="113" t="n"/>
      <c r="Q3905" s="113" t="n"/>
      <c r="R3905" s="113" t="n"/>
      <c r="S3905" s="113" t="n"/>
      <c r="T3905" s="113" t="n"/>
      <c r="U3905" s="113" t="n"/>
      <c r="V3905" s="113" t="n"/>
      <c r="W3905" s="113" t="n"/>
      <c r="X3905" s="113" t="n"/>
      <c r="Y3905" s="113" t="n"/>
      <c r="Z3905" s="117">
        <f>IF($B3905="",0,IF($S3905="EVET",IF($D3905="GELİR",$O3905,-$O3905),0))</f>
        <v/>
      </c>
      <c r="AA3905" s="117">
        <f>IF($B3905="",0,IF(OR($W3905="EVET",$X3905="EVET",$Y3905="EVET"),0,IF($D3905="GELİR",IF($E3905="SATIŞ İADESİ/İSKONTO",-$O3905,$O3905),-$O3905)))</f>
        <v/>
      </c>
      <c r="AB3905" s="117">
        <f>IF($B3905="","",IF(OR($D3905="",$E3905="",$O3905=""),"EKSİK",IF($O3905&lt;=0,"SIFIR/NEGATİF",IF(COUNTIFS($C$6:$C$5000,$C3905,$O$6:$O$5000,$O3905,$B$6:$B$5000,$B3905)&gt;1,"MÜKERRER","OK"))))</f>
        <v/>
      </c>
    </row>
    <row r="3906" ht="16.5" customHeight="1" s="80">
      <c r="A3906" s="113" t="n"/>
      <c r="B3906" s="113" t="n"/>
      <c r="C3906" s="113" t="n"/>
      <c r="D3906" s="113" t="n"/>
      <c r="E3906" s="113" t="n"/>
      <c r="F3906" s="113" t="n"/>
      <c r="G3906" s="113" t="n"/>
      <c r="H3906" s="113" t="n"/>
      <c r="I3906" s="113" t="n"/>
      <c r="J3906" s="113" t="n"/>
      <c r="K3906" s="113" t="n"/>
      <c r="L3906" s="113" t="n"/>
      <c r="M3906" s="113" t="n"/>
      <c r="N3906" s="113" t="n"/>
      <c r="O3906" s="113" t="n"/>
      <c r="P3906" s="113" t="n"/>
      <c r="Q3906" s="113" t="n"/>
      <c r="R3906" s="113" t="n"/>
      <c r="S3906" s="113" t="n"/>
      <c r="T3906" s="113" t="n"/>
      <c r="U3906" s="113" t="n"/>
      <c r="V3906" s="113" t="n"/>
      <c r="W3906" s="113" t="n"/>
      <c r="X3906" s="113" t="n"/>
      <c r="Y3906" s="113" t="n"/>
      <c r="Z3906" s="117">
        <f>IF($B3906="",0,IF($S3906="EVET",IF($D3906="GELİR",$O3906,-$O3906),0))</f>
        <v/>
      </c>
      <c r="AA3906" s="117">
        <f>IF($B3906="",0,IF(OR($W3906="EVET",$X3906="EVET",$Y3906="EVET"),0,IF($D3906="GELİR",IF($E3906="SATIŞ İADESİ/İSKONTO",-$O3906,$O3906),-$O3906)))</f>
        <v/>
      </c>
      <c r="AB3906" s="117">
        <f>IF($B3906="","",IF(OR($D3906="",$E3906="",$O3906=""),"EKSİK",IF($O3906&lt;=0,"SIFIR/NEGATİF",IF(COUNTIFS($C$6:$C$5000,$C3906,$O$6:$O$5000,$O3906,$B$6:$B$5000,$B3906)&gt;1,"MÜKERRER","OK"))))</f>
        <v/>
      </c>
    </row>
    <row r="3907" ht="16.5" customHeight="1" s="80">
      <c r="A3907" s="113" t="n"/>
      <c r="B3907" s="113" t="n"/>
      <c r="C3907" s="113" t="n"/>
      <c r="D3907" s="113" t="n"/>
      <c r="E3907" s="113" t="n"/>
      <c r="F3907" s="113" t="n"/>
      <c r="G3907" s="113" t="n"/>
      <c r="H3907" s="113" t="n"/>
      <c r="I3907" s="113" t="n"/>
      <c r="J3907" s="113" t="n"/>
      <c r="K3907" s="113" t="n"/>
      <c r="L3907" s="113" t="n"/>
      <c r="M3907" s="113" t="n"/>
      <c r="N3907" s="113" t="n"/>
      <c r="O3907" s="113" t="n"/>
      <c r="P3907" s="113" t="n"/>
      <c r="Q3907" s="113" t="n"/>
      <c r="R3907" s="113" t="n"/>
      <c r="S3907" s="113" t="n"/>
      <c r="T3907" s="113" t="n"/>
      <c r="U3907" s="113" t="n"/>
      <c r="V3907" s="113" t="n"/>
      <c r="W3907" s="113" t="n"/>
      <c r="X3907" s="113" t="n"/>
      <c r="Y3907" s="113" t="n"/>
      <c r="Z3907" s="117">
        <f>IF($B3907="",0,IF($S3907="EVET",IF($D3907="GELİR",$O3907,-$O3907),0))</f>
        <v/>
      </c>
      <c r="AA3907" s="117">
        <f>IF($B3907="",0,IF(OR($W3907="EVET",$X3907="EVET",$Y3907="EVET"),0,IF($D3907="GELİR",IF($E3907="SATIŞ İADESİ/İSKONTO",-$O3907,$O3907),-$O3907)))</f>
        <v/>
      </c>
      <c r="AB3907" s="117">
        <f>IF($B3907="","",IF(OR($D3907="",$E3907="",$O3907=""),"EKSİK",IF($O3907&lt;=0,"SIFIR/NEGATİF",IF(COUNTIFS($C$6:$C$5000,$C3907,$O$6:$O$5000,$O3907,$B$6:$B$5000,$B3907)&gt;1,"MÜKERRER","OK"))))</f>
        <v/>
      </c>
    </row>
    <row r="3908" ht="16.5" customHeight="1" s="80">
      <c r="A3908" s="113" t="n"/>
      <c r="B3908" s="113" t="n"/>
      <c r="C3908" s="113" t="n"/>
      <c r="D3908" s="113" t="n"/>
      <c r="E3908" s="113" t="n"/>
      <c r="F3908" s="113" t="n"/>
      <c r="G3908" s="113" t="n"/>
      <c r="H3908" s="113" t="n"/>
      <c r="I3908" s="113" t="n"/>
      <c r="J3908" s="113" t="n"/>
      <c r="K3908" s="113" t="n"/>
      <c r="L3908" s="113" t="n"/>
      <c r="M3908" s="113" t="n"/>
      <c r="N3908" s="113" t="n"/>
      <c r="O3908" s="113" t="n"/>
      <c r="P3908" s="113" t="n"/>
      <c r="Q3908" s="113" t="n"/>
      <c r="R3908" s="113" t="n"/>
      <c r="S3908" s="113" t="n"/>
      <c r="T3908" s="113" t="n"/>
      <c r="U3908" s="113" t="n"/>
      <c r="V3908" s="113" t="n"/>
      <c r="W3908" s="113" t="n"/>
      <c r="X3908" s="113" t="n"/>
      <c r="Y3908" s="113" t="n"/>
      <c r="Z3908" s="117">
        <f>IF($B3908="",0,IF($S3908="EVET",IF($D3908="GELİR",$O3908,-$O3908),0))</f>
        <v/>
      </c>
      <c r="AA3908" s="117">
        <f>IF($B3908="",0,IF(OR($W3908="EVET",$X3908="EVET",$Y3908="EVET"),0,IF($D3908="GELİR",IF($E3908="SATIŞ İADESİ/İSKONTO",-$O3908,$O3908),-$O3908)))</f>
        <v/>
      </c>
      <c r="AB3908" s="117">
        <f>IF($B3908="","",IF(OR($D3908="",$E3908="",$O3908=""),"EKSİK",IF($O3908&lt;=0,"SIFIR/NEGATİF",IF(COUNTIFS($C$6:$C$5000,$C3908,$O$6:$O$5000,$O3908,$B$6:$B$5000,$B3908)&gt;1,"MÜKERRER","OK"))))</f>
        <v/>
      </c>
    </row>
    <row r="3909" ht="16.5" customHeight="1" s="80">
      <c r="A3909" s="113" t="n"/>
      <c r="B3909" s="113" t="n"/>
      <c r="C3909" s="113" t="n"/>
      <c r="D3909" s="113" t="n"/>
      <c r="E3909" s="113" t="n"/>
      <c r="F3909" s="113" t="n"/>
      <c r="G3909" s="113" t="n"/>
      <c r="H3909" s="113" t="n"/>
      <c r="I3909" s="113" t="n"/>
      <c r="J3909" s="113" t="n"/>
      <c r="K3909" s="113" t="n"/>
      <c r="L3909" s="113" t="n"/>
      <c r="M3909" s="113" t="n"/>
      <c r="N3909" s="113" t="n"/>
      <c r="O3909" s="113" t="n"/>
      <c r="P3909" s="113" t="n"/>
      <c r="Q3909" s="113" t="n"/>
      <c r="R3909" s="113" t="n"/>
      <c r="S3909" s="113" t="n"/>
      <c r="T3909" s="113" t="n"/>
      <c r="U3909" s="113" t="n"/>
      <c r="V3909" s="113" t="n"/>
      <c r="W3909" s="113" t="n"/>
      <c r="X3909" s="113" t="n"/>
      <c r="Y3909" s="113" t="n"/>
      <c r="Z3909" s="117">
        <f>IF($B3909="",0,IF($S3909="EVET",IF($D3909="GELİR",$O3909,-$O3909),0))</f>
        <v/>
      </c>
      <c r="AA3909" s="117">
        <f>IF($B3909="",0,IF(OR($W3909="EVET",$X3909="EVET",$Y3909="EVET"),0,IF($D3909="GELİR",IF($E3909="SATIŞ İADESİ/İSKONTO",-$O3909,$O3909),-$O3909)))</f>
        <v/>
      </c>
      <c r="AB3909" s="117">
        <f>IF($B3909="","",IF(OR($D3909="",$E3909="",$O3909=""),"EKSİK",IF($O3909&lt;=0,"SIFIR/NEGATİF",IF(COUNTIFS($C$6:$C$5000,$C3909,$O$6:$O$5000,$O3909,$B$6:$B$5000,$B3909)&gt;1,"MÜKERRER","OK"))))</f>
        <v/>
      </c>
    </row>
    <row r="3910" ht="16.5" customHeight="1" s="80">
      <c r="A3910" s="113" t="n"/>
      <c r="B3910" s="113" t="n"/>
      <c r="C3910" s="113" t="n"/>
      <c r="D3910" s="113" t="n"/>
      <c r="E3910" s="113" t="n"/>
      <c r="F3910" s="113" t="n"/>
      <c r="G3910" s="113" t="n"/>
      <c r="H3910" s="113" t="n"/>
      <c r="I3910" s="113" t="n"/>
      <c r="J3910" s="113" t="n"/>
      <c r="K3910" s="113" t="n"/>
      <c r="L3910" s="113" t="n"/>
      <c r="M3910" s="113" t="n"/>
      <c r="N3910" s="113" t="n"/>
      <c r="O3910" s="113" t="n"/>
      <c r="P3910" s="113" t="n"/>
      <c r="Q3910" s="113" t="n"/>
      <c r="R3910" s="113" t="n"/>
      <c r="S3910" s="113" t="n"/>
      <c r="T3910" s="113" t="n"/>
      <c r="U3910" s="113" t="n"/>
      <c r="V3910" s="113" t="n"/>
      <c r="W3910" s="113" t="n"/>
      <c r="X3910" s="113" t="n"/>
      <c r="Y3910" s="113" t="n"/>
      <c r="Z3910" s="117">
        <f>IF($B3910="",0,IF($S3910="EVET",IF($D3910="GELİR",$O3910,-$O3910),0))</f>
        <v/>
      </c>
      <c r="AA3910" s="117">
        <f>IF($B3910="",0,IF(OR($W3910="EVET",$X3910="EVET",$Y3910="EVET"),0,IF($D3910="GELİR",IF($E3910="SATIŞ İADESİ/İSKONTO",-$O3910,$O3910),-$O3910)))</f>
        <v/>
      </c>
      <c r="AB3910" s="117">
        <f>IF($B3910="","",IF(OR($D3910="",$E3910="",$O3910=""),"EKSİK",IF($O3910&lt;=0,"SIFIR/NEGATİF",IF(COUNTIFS($C$6:$C$5000,$C3910,$O$6:$O$5000,$O3910,$B$6:$B$5000,$B3910)&gt;1,"MÜKERRER","OK"))))</f>
        <v/>
      </c>
    </row>
    <row r="3911" ht="16.5" customHeight="1" s="80">
      <c r="A3911" s="113" t="n"/>
      <c r="B3911" s="113" t="n"/>
      <c r="C3911" s="113" t="n"/>
      <c r="D3911" s="113" t="n"/>
      <c r="E3911" s="113" t="n"/>
      <c r="F3911" s="113" t="n"/>
      <c r="G3911" s="113" t="n"/>
      <c r="H3911" s="113" t="n"/>
      <c r="I3911" s="113" t="n"/>
      <c r="J3911" s="113" t="n"/>
      <c r="K3911" s="113" t="n"/>
      <c r="L3911" s="113" t="n"/>
      <c r="M3911" s="113" t="n"/>
      <c r="N3911" s="113" t="n"/>
      <c r="O3911" s="113" t="n"/>
      <c r="P3911" s="113" t="n"/>
      <c r="Q3911" s="113" t="n"/>
      <c r="R3911" s="113" t="n"/>
      <c r="S3911" s="113" t="n"/>
      <c r="T3911" s="113" t="n"/>
      <c r="U3911" s="113" t="n"/>
      <c r="V3911" s="113" t="n"/>
      <c r="W3911" s="113" t="n"/>
      <c r="X3911" s="113" t="n"/>
      <c r="Y3911" s="113" t="n"/>
      <c r="Z3911" s="117">
        <f>IF($B3911="",0,IF($S3911="EVET",IF($D3911="GELİR",$O3911,-$O3911),0))</f>
        <v/>
      </c>
      <c r="AA3911" s="117">
        <f>IF($B3911="",0,IF(OR($W3911="EVET",$X3911="EVET",$Y3911="EVET"),0,IF($D3911="GELİR",IF($E3911="SATIŞ İADESİ/İSKONTO",-$O3911,$O3911),-$O3911)))</f>
        <v/>
      </c>
      <c r="AB3911" s="117">
        <f>IF($B3911="","",IF(OR($D3911="",$E3911="",$O3911=""),"EKSİK",IF($O3911&lt;=0,"SIFIR/NEGATİF",IF(COUNTIFS($C$6:$C$5000,$C3911,$O$6:$O$5000,$O3911,$B$6:$B$5000,$B3911)&gt;1,"MÜKERRER","OK"))))</f>
        <v/>
      </c>
    </row>
    <row r="3912" ht="16.5" customHeight="1" s="80">
      <c r="A3912" s="113" t="n"/>
      <c r="B3912" s="113" t="n"/>
      <c r="C3912" s="113" t="n"/>
      <c r="D3912" s="113" t="n"/>
      <c r="E3912" s="113" t="n"/>
      <c r="F3912" s="113" t="n"/>
      <c r="G3912" s="113" t="n"/>
      <c r="H3912" s="113" t="n"/>
      <c r="I3912" s="113" t="n"/>
      <c r="J3912" s="113" t="n"/>
      <c r="K3912" s="113" t="n"/>
      <c r="L3912" s="113" t="n"/>
      <c r="M3912" s="113" t="n"/>
      <c r="N3912" s="113" t="n"/>
      <c r="O3912" s="113" t="n"/>
      <c r="P3912" s="113" t="n"/>
      <c r="Q3912" s="113" t="n"/>
      <c r="R3912" s="113" t="n"/>
      <c r="S3912" s="113" t="n"/>
      <c r="T3912" s="113" t="n"/>
      <c r="U3912" s="113" t="n"/>
      <c r="V3912" s="113" t="n"/>
      <c r="W3912" s="113" t="n"/>
      <c r="X3912" s="113" t="n"/>
      <c r="Y3912" s="113" t="n"/>
      <c r="Z3912" s="117">
        <f>IF($B3912="",0,IF($S3912="EVET",IF($D3912="GELİR",$O3912,-$O3912),0))</f>
        <v/>
      </c>
      <c r="AA3912" s="117">
        <f>IF($B3912="",0,IF(OR($W3912="EVET",$X3912="EVET",$Y3912="EVET"),0,IF($D3912="GELİR",IF($E3912="SATIŞ İADESİ/İSKONTO",-$O3912,$O3912),-$O3912)))</f>
        <v/>
      </c>
      <c r="AB3912" s="117">
        <f>IF($B3912="","",IF(OR($D3912="",$E3912="",$O3912=""),"EKSİK",IF($O3912&lt;=0,"SIFIR/NEGATİF",IF(COUNTIFS($C$6:$C$5000,$C3912,$O$6:$O$5000,$O3912,$B$6:$B$5000,$B3912)&gt;1,"MÜKERRER","OK"))))</f>
        <v/>
      </c>
    </row>
    <row r="3913" ht="16.5" customHeight="1" s="80">
      <c r="A3913" s="113" t="n"/>
      <c r="B3913" s="113" t="n"/>
      <c r="C3913" s="113" t="n"/>
      <c r="D3913" s="113" t="n"/>
      <c r="E3913" s="113" t="n"/>
      <c r="F3913" s="113" t="n"/>
      <c r="G3913" s="113" t="n"/>
      <c r="H3913" s="113" t="n"/>
      <c r="I3913" s="113" t="n"/>
      <c r="J3913" s="113" t="n"/>
      <c r="K3913" s="113" t="n"/>
      <c r="L3913" s="113" t="n"/>
      <c r="M3913" s="113" t="n"/>
      <c r="N3913" s="113" t="n"/>
      <c r="O3913" s="113" t="n"/>
      <c r="P3913" s="113" t="n"/>
      <c r="Q3913" s="113" t="n"/>
      <c r="R3913" s="113" t="n"/>
      <c r="S3913" s="113" t="n"/>
      <c r="T3913" s="113" t="n"/>
      <c r="U3913" s="113" t="n"/>
      <c r="V3913" s="113" t="n"/>
      <c r="W3913" s="113" t="n"/>
      <c r="X3913" s="113" t="n"/>
      <c r="Y3913" s="113" t="n"/>
      <c r="Z3913" s="117">
        <f>IF($B3913="",0,IF($S3913="EVET",IF($D3913="GELİR",$O3913,-$O3913),0))</f>
        <v/>
      </c>
      <c r="AA3913" s="117">
        <f>IF($B3913="",0,IF(OR($W3913="EVET",$X3913="EVET",$Y3913="EVET"),0,IF($D3913="GELİR",IF($E3913="SATIŞ İADESİ/İSKONTO",-$O3913,$O3913),-$O3913)))</f>
        <v/>
      </c>
      <c r="AB3913" s="117">
        <f>IF($B3913="","",IF(OR($D3913="",$E3913="",$O3913=""),"EKSİK",IF($O3913&lt;=0,"SIFIR/NEGATİF",IF(COUNTIFS($C$6:$C$5000,$C3913,$O$6:$O$5000,$O3913,$B$6:$B$5000,$B3913)&gt;1,"MÜKERRER","OK"))))</f>
        <v/>
      </c>
    </row>
    <row r="3914" ht="16.5" customHeight="1" s="80">
      <c r="A3914" s="113" t="n"/>
      <c r="B3914" s="113" t="n"/>
      <c r="C3914" s="113" t="n"/>
      <c r="D3914" s="113" t="n"/>
      <c r="E3914" s="113" t="n"/>
      <c r="F3914" s="113" t="n"/>
      <c r="G3914" s="113" t="n"/>
      <c r="H3914" s="113" t="n"/>
      <c r="I3914" s="113" t="n"/>
      <c r="J3914" s="113" t="n"/>
      <c r="K3914" s="113" t="n"/>
      <c r="L3914" s="113" t="n"/>
      <c r="M3914" s="113" t="n"/>
      <c r="N3914" s="113" t="n"/>
      <c r="O3914" s="113" t="n"/>
      <c r="P3914" s="113" t="n"/>
      <c r="Q3914" s="113" t="n"/>
      <c r="R3914" s="113" t="n"/>
      <c r="S3914" s="113" t="n"/>
      <c r="T3914" s="113" t="n"/>
      <c r="U3914" s="113" t="n"/>
      <c r="V3914" s="113" t="n"/>
      <c r="W3914" s="113" t="n"/>
      <c r="X3914" s="113" t="n"/>
      <c r="Y3914" s="113" t="n"/>
      <c r="Z3914" s="117">
        <f>IF($B3914="",0,IF($S3914="EVET",IF($D3914="GELİR",$O3914,-$O3914),0))</f>
        <v/>
      </c>
      <c r="AA3914" s="117">
        <f>IF($B3914="",0,IF(OR($W3914="EVET",$X3914="EVET",$Y3914="EVET"),0,IF($D3914="GELİR",IF($E3914="SATIŞ İADESİ/İSKONTO",-$O3914,$O3914),-$O3914)))</f>
        <v/>
      </c>
      <c r="AB3914" s="117">
        <f>IF($B3914="","",IF(OR($D3914="",$E3914="",$O3914=""),"EKSİK",IF($O3914&lt;=0,"SIFIR/NEGATİF",IF(COUNTIFS($C$6:$C$5000,$C3914,$O$6:$O$5000,$O3914,$B$6:$B$5000,$B3914)&gt;1,"MÜKERRER","OK"))))</f>
        <v/>
      </c>
    </row>
    <row r="3915" ht="16.5" customHeight="1" s="80">
      <c r="A3915" s="113" t="n"/>
      <c r="B3915" s="113" t="n"/>
      <c r="C3915" s="113" t="n"/>
      <c r="D3915" s="113" t="n"/>
      <c r="E3915" s="113" t="n"/>
      <c r="F3915" s="113" t="n"/>
      <c r="G3915" s="113" t="n"/>
      <c r="H3915" s="113" t="n"/>
      <c r="I3915" s="113" t="n"/>
      <c r="J3915" s="113" t="n"/>
      <c r="K3915" s="113" t="n"/>
      <c r="L3915" s="113" t="n"/>
      <c r="M3915" s="113" t="n"/>
      <c r="N3915" s="113" t="n"/>
      <c r="O3915" s="113" t="n"/>
      <c r="P3915" s="113" t="n"/>
      <c r="Q3915" s="113" t="n"/>
      <c r="R3915" s="113" t="n"/>
      <c r="S3915" s="113" t="n"/>
      <c r="T3915" s="113" t="n"/>
      <c r="U3915" s="113" t="n"/>
      <c r="V3915" s="113" t="n"/>
      <c r="W3915" s="113" t="n"/>
      <c r="X3915" s="113" t="n"/>
      <c r="Y3915" s="113" t="n"/>
      <c r="Z3915" s="117">
        <f>IF($B3915="",0,IF($S3915="EVET",IF($D3915="GELİR",$O3915,-$O3915),0))</f>
        <v/>
      </c>
      <c r="AA3915" s="117">
        <f>IF($B3915="",0,IF(OR($W3915="EVET",$X3915="EVET",$Y3915="EVET"),0,IF($D3915="GELİR",IF($E3915="SATIŞ İADESİ/İSKONTO",-$O3915,$O3915),-$O3915)))</f>
        <v/>
      </c>
      <c r="AB3915" s="117">
        <f>IF($B3915="","",IF(OR($D3915="",$E3915="",$O3915=""),"EKSİK",IF($O3915&lt;=0,"SIFIR/NEGATİF",IF(COUNTIFS($C$6:$C$5000,$C3915,$O$6:$O$5000,$O3915,$B$6:$B$5000,$B3915)&gt;1,"MÜKERRER","OK"))))</f>
        <v/>
      </c>
    </row>
    <row r="3916" ht="16.5" customHeight="1" s="80">
      <c r="A3916" s="113" t="n"/>
      <c r="B3916" s="113" t="n"/>
      <c r="C3916" s="113" t="n"/>
      <c r="D3916" s="113" t="n"/>
      <c r="E3916" s="113" t="n"/>
      <c r="F3916" s="113" t="n"/>
      <c r="G3916" s="113" t="n"/>
      <c r="H3916" s="113" t="n"/>
      <c r="I3916" s="113" t="n"/>
      <c r="J3916" s="113" t="n"/>
      <c r="K3916" s="113" t="n"/>
      <c r="L3916" s="113" t="n"/>
      <c r="M3916" s="113" t="n"/>
      <c r="N3916" s="113" t="n"/>
      <c r="O3916" s="113" t="n"/>
      <c r="P3916" s="113" t="n"/>
      <c r="Q3916" s="113" t="n"/>
      <c r="R3916" s="113" t="n"/>
      <c r="S3916" s="113" t="n"/>
      <c r="T3916" s="113" t="n"/>
      <c r="U3916" s="113" t="n"/>
      <c r="V3916" s="113" t="n"/>
      <c r="W3916" s="113" t="n"/>
      <c r="X3916" s="113" t="n"/>
      <c r="Y3916" s="113" t="n"/>
      <c r="Z3916" s="117">
        <f>IF($B3916="",0,IF($S3916="EVET",IF($D3916="GELİR",$O3916,-$O3916),0))</f>
        <v/>
      </c>
      <c r="AA3916" s="117">
        <f>IF($B3916="",0,IF(OR($W3916="EVET",$X3916="EVET",$Y3916="EVET"),0,IF($D3916="GELİR",IF($E3916="SATIŞ İADESİ/İSKONTO",-$O3916,$O3916),-$O3916)))</f>
        <v/>
      </c>
      <c r="AB3916" s="117">
        <f>IF($B3916="","",IF(OR($D3916="",$E3916="",$O3916=""),"EKSİK",IF($O3916&lt;=0,"SIFIR/NEGATİF",IF(COUNTIFS($C$6:$C$5000,$C3916,$O$6:$O$5000,$O3916,$B$6:$B$5000,$B3916)&gt;1,"MÜKERRER","OK"))))</f>
        <v/>
      </c>
    </row>
    <row r="3917" ht="16.5" customHeight="1" s="80">
      <c r="A3917" s="113" t="n"/>
      <c r="B3917" s="113" t="n"/>
      <c r="C3917" s="113" t="n"/>
      <c r="D3917" s="113" t="n"/>
      <c r="E3917" s="113" t="n"/>
      <c r="F3917" s="113" t="n"/>
      <c r="G3917" s="113" t="n"/>
      <c r="H3917" s="113" t="n"/>
      <c r="I3917" s="113" t="n"/>
      <c r="J3917" s="113" t="n"/>
      <c r="K3917" s="113" t="n"/>
      <c r="L3917" s="113" t="n"/>
      <c r="M3917" s="113" t="n"/>
      <c r="N3917" s="113" t="n"/>
      <c r="O3917" s="113" t="n"/>
      <c r="P3917" s="113" t="n"/>
      <c r="Q3917" s="113" t="n"/>
      <c r="R3917" s="113" t="n"/>
      <c r="S3917" s="113" t="n"/>
      <c r="T3917" s="113" t="n"/>
      <c r="U3917" s="113" t="n"/>
      <c r="V3917" s="113" t="n"/>
      <c r="W3917" s="113" t="n"/>
      <c r="X3917" s="113" t="n"/>
      <c r="Y3917" s="113" t="n"/>
      <c r="Z3917" s="117">
        <f>IF($B3917="",0,IF($S3917="EVET",IF($D3917="GELİR",$O3917,-$O3917),0))</f>
        <v/>
      </c>
      <c r="AA3917" s="117">
        <f>IF($B3917="",0,IF(OR($W3917="EVET",$X3917="EVET",$Y3917="EVET"),0,IF($D3917="GELİR",IF($E3917="SATIŞ İADESİ/İSKONTO",-$O3917,$O3917),-$O3917)))</f>
        <v/>
      </c>
      <c r="AB3917" s="117">
        <f>IF($B3917="","",IF(OR($D3917="",$E3917="",$O3917=""),"EKSİK",IF($O3917&lt;=0,"SIFIR/NEGATİF",IF(COUNTIFS($C$6:$C$5000,$C3917,$O$6:$O$5000,$O3917,$B$6:$B$5000,$B3917)&gt;1,"MÜKERRER","OK"))))</f>
        <v/>
      </c>
    </row>
    <row r="3918" ht="16.5" customHeight="1" s="80">
      <c r="A3918" s="113" t="n"/>
      <c r="B3918" s="113" t="n"/>
      <c r="C3918" s="113" t="n"/>
      <c r="D3918" s="113" t="n"/>
      <c r="E3918" s="113" t="n"/>
      <c r="F3918" s="113" t="n"/>
      <c r="G3918" s="113" t="n"/>
      <c r="H3918" s="113" t="n"/>
      <c r="I3918" s="113" t="n"/>
      <c r="J3918" s="113" t="n"/>
      <c r="K3918" s="113" t="n"/>
      <c r="L3918" s="113" t="n"/>
      <c r="M3918" s="113" t="n"/>
      <c r="N3918" s="113" t="n"/>
      <c r="O3918" s="113" t="n"/>
      <c r="P3918" s="113" t="n"/>
      <c r="Q3918" s="113" t="n"/>
      <c r="R3918" s="113" t="n"/>
      <c r="S3918" s="113" t="n"/>
      <c r="T3918" s="113" t="n"/>
      <c r="U3918" s="113" t="n"/>
      <c r="V3918" s="113" t="n"/>
      <c r="W3918" s="113" t="n"/>
      <c r="X3918" s="113" t="n"/>
      <c r="Y3918" s="113" t="n"/>
      <c r="Z3918" s="117">
        <f>IF($B3918="",0,IF($S3918="EVET",IF($D3918="GELİR",$O3918,-$O3918),0))</f>
        <v/>
      </c>
      <c r="AA3918" s="117">
        <f>IF($B3918="",0,IF(OR($W3918="EVET",$X3918="EVET",$Y3918="EVET"),0,IF($D3918="GELİR",IF($E3918="SATIŞ İADESİ/İSKONTO",-$O3918,$O3918),-$O3918)))</f>
        <v/>
      </c>
      <c r="AB3918" s="117">
        <f>IF($B3918="","",IF(OR($D3918="",$E3918="",$O3918=""),"EKSİK",IF($O3918&lt;=0,"SIFIR/NEGATİF",IF(COUNTIFS($C$6:$C$5000,$C3918,$O$6:$O$5000,$O3918,$B$6:$B$5000,$B3918)&gt;1,"MÜKERRER","OK"))))</f>
        <v/>
      </c>
    </row>
    <row r="3919" ht="16.5" customHeight="1" s="80">
      <c r="A3919" s="113" t="n"/>
      <c r="B3919" s="113" t="n"/>
      <c r="C3919" s="113" t="n"/>
      <c r="D3919" s="113" t="n"/>
      <c r="E3919" s="113" t="n"/>
      <c r="F3919" s="113" t="n"/>
      <c r="G3919" s="113" t="n"/>
      <c r="H3919" s="113" t="n"/>
      <c r="I3919" s="113" t="n"/>
      <c r="J3919" s="113" t="n"/>
      <c r="K3919" s="113" t="n"/>
      <c r="L3919" s="113" t="n"/>
      <c r="M3919" s="113" t="n"/>
      <c r="N3919" s="113" t="n"/>
      <c r="O3919" s="113" t="n"/>
      <c r="P3919" s="113" t="n"/>
      <c r="Q3919" s="113" t="n"/>
      <c r="R3919" s="113" t="n"/>
      <c r="S3919" s="113" t="n"/>
      <c r="T3919" s="113" t="n"/>
      <c r="U3919" s="113" t="n"/>
      <c r="V3919" s="113" t="n"/>
      <c r="W3919" s="113" t="n"/>
      <c r="X3919" s="113" t="n"/>
      <c r="Y3919" s="113" t="n"/>
      <c r="Z3919" s="117">
        <f>IF($B3919="",0,IF($S3919="EVET",IF($D3919="GELİR",$O3919,-$O3919),0))</f>
        <v/>
      </c>
      <c r="AA3919" s="117">
        <f>IF($B3919="",0,IF(OR($W3919="EVET",$X3919="EVET",$Y3919="EVET"),0,IF($D3919="GELİR",IF($E3919="SATIŞ İADESİ/İSKONTO",-$O3919,$O3919),-$O3919)))</f>
        <v/>
      </c>
      <c r="AB3919" s="117">
        <f>IF($B3919="","",IF(OR($D3919="",$E3919="",$O3919=""),"EKSİK",IF($O3919&lt;=0,"SIFIR/NEGATİF",IF(COUNTIFS($C$6:$C$5000,$C3919,$O$6:$O$5000,$O3919,$B$6:$B$5000,$B3919)&gt;1,"MÜKERRER","OK"))))</f>
        <v/>
      </c>
    </row>
    <row r="3920" ht="16.5" customHeight="1" s="80">
      <c r="A3920" s="113" t="n"/>
      <c r="B3920" s="113" t="n"/>
      <c r="C3920" s="113" t="n"/>
      <c r="D3920" s="113" t="n"/>
      <c r="E3920" s="113" t="n"/>
      <c r="F3920" s="113" t="n"/>
      <c r="G3920" s="113" t="n"/>
      <c r="H3920" s="113" t="n"/>
      <c r="I3920" s="113" t="n"/>
      <c r="J3920" s="113" t="n"/>
      <c r="K3920" s="113" t="n"/>
      <c r="L3920" s="113" t="n"/>
      <c r="M3920" s="113" t="n"/>
      <c r="N3920" s="113" t="n"/>
      <c r="O3920" s="113" t="n"/>
      <c r="P3920" s="113" t="n"/>
      <c r="Q3920" s="113" t="n"/>
      <c r="R3920" s="113" t="n"/>
      <c r="S3920" s="113" t="n"/>
      <c r="T3920" s="113" t="n"/>
      <c r="U3920" s="113" t="n"/>
      <c r="V3920" s="113" t="n"/>
      <c r="W3920" s="113" t="n"/>
      <c r="X3920" s="113" t="n"/>
      <c r="Y3920" s="113" t="n"/>
      <c r="Z3920" s="117">
        <f>IF($B3920="",0,IF($S3920="EVET",IF($D3920="GELİR",$O3920,-$O3920),0))</f>
        <v/>
      </c>
      <c r="AA3920" s="117">
        <f>IF($B3920="",0,IF(OR($W3920="EVET",$X3920="EVET",$Y3920="EVET"),0,IF($D3920="GELİR",IF($E3920="SATIŞ İADESİ/İSKONTO",-$O3920,$O3920),-$O3920)))</f>
        <v/>
      </c>
      <c r="AB3920" s="117">
        <f>IF($B3920="","",IF(OR($D3920="",$E3920="",$O3920=""),"EKSİK",IF($O3920&lt;=0,"SIFIR/NEGATİF",IF(COUNTIFS($C$6:$C$5000,$C3920,$O$6:$O$5000,$O3920,$B$6:$B$5000,$B3920)&gt;1,"MÜKERRER","OK"))))</f>
        <v/>
      </c>
    </row>
    <row r="3921" ht="16.5" customHeight="1" s="80">
      <c r="A3921" s="113" t="n"/>
      <c r="B3921" s="113" t="n"/>
      <c r="C3921" s="113" t="n"/>
      <c r="D3921" s="113" t="n"/>
      <c r="E3921" s="113" t="n"/>
      <c r="F3921" s="113" t="n"/>
      <c r="G3921" s="113" t="n"/>
      <c r="H3921" s="113" t="n"/>
      <c r="I3921" s="113" t="n"/>
      <c r="J3921" s="113" t="n"/>
      <c r="K3921" s="113" t="n"/>
      <c r="L3921" s="113" t="n"/>
      <c r="M3921" s="113" t="n"/>
      <c r="N3921" s="113" t="n"/>
      <c r="O3921" s="113" t="n"/>
      <c r="P3921" s="113" t="n"/>
      <c r="Q3921" s="113" t="n"/>
      <c r="R3921" s="113" t="n"/>
      <c r="S3921" s="113" t="n"/>
      <c r="T3921" s="113" t="n"/>
      <c r="U3921" s="113" t="n"/>
      <c r="V3921" s="113" t="n"/>
      <c r="W3921" s="113" t="n"/>
      <c r="X3921" s="113" t="n"/>
      <c r="Y3921" s="113" t="n"/>
      <c r="Z3921" s="117">
        <f>IF($B3921="",0,IF($S3921="EVET",IF($D3921="GELİR",$O3921,-$O3921),0))</f>
        <v/>
      </c>
      <c r="AA3921" s="117">
        <f>IF($B3921="",0,IF(OR($W3921="EVET",$X3921="EVET",$Y3921="EVET"),0,IF($D3921="GELİR",IF($E3921="SATIŞ İADESİ/İSKONTO",-$O3921,$O3921),-$O3921)))</f>
        <v/>
      </c>
      <c r="AB3921" s="117">
        <f>IF($B3921="","",IF(OR($D3921="",$E3921="",$O3921=""),"EKSİK",IF($O3921&lt;=0,"SIFIR/NEGATİF",IF(COUNTIFS($C$6:$C$5000,$C3921,$O$6:$O$5000,$O3921,$B$6:$B$5000,$B3921)&gt;1,"MÜKERRER","OK"))))</f>
        <v/>
      </c>
    </row>
    <row r="3922" ht="16.5" customHeight="1" s="80">
      <c r="A3922" s="113" t="n"/>
      <c r="B3922" s="113" t="n"/>
      <c r="C3922" s="113" t="n"/>
      <c r="D3922" s="113" t="n"/>
      <c r="E3922" s="113" t="n"/>
      <c r="F3922" s="113" t="n"/>
      <c r="G3922" s="113" t="n"/>
      <c r="H3922" s="113" t="n"/>
      <c r="I3922" s="113" t="n"/>
      <c r="J3922" s="113" t="n"/>
      <c r="K3922" s="113" t="n"/>
      <c r="L3922" s="113" t="n"/>
      <c r="M3922" s="113" t="n"/>
      <c r="N3922" s="113" t="n"/>
      <c r="O3922" s="113" t="n"/>
      <c r="P3922" s="113" t="n"/>
      <c r="Q3922" s="113" t="n"/>
      <c r="R3922" s="113" t="n"/>
      <c r="S3922" s="113" t="n"/>
      <c r="T3922" s="113" t="n"/>
      <c r="U3922" s="113" t="n"/>
      <c r="V3922" s="113" t="n"/>
      <c r="W3922" s="113" t="n"/>
      <c r="X3922" s="113" t="n"/>
      <c r="Y3922" s="113" t="n"/>
      <c r="Z3922" s="117">
        <f>IF($B3922="",0,IF($S3922="EVET",IF($D3922="GELİR",$O3922,-$O3922),0))</f>
        <v/>
      </c>
      <c r="AA3922" s="117">
        <f>IF($B3922="",0,IF(OR($W3922="EVET",$X3922="EVET",$Y3922="EVET"),0,IF($D3922="GELİR",IF($E3922="SATIŞ İADESİ/İSKONTO",-$O3922,$O3922),-$O3922)))</f>
        <v/>
      </c>
      <c r="AB3922" s="117">
        <f>IF($B3922="","",IF(OR($D3922="",$E3922="",$O3922=""),"EKSİK",IF($O3922&lt;=0,"SIFIR/NEGATİF",IF(COUNTIFS($C$6:$C$5000,$C3922,$O$6:$O$5000,$O3922,$B$6:$B$5000,$B3922)&gt;1,"MÜKERRER","OK"))))</f>
        <v/>
      </c>
    </row>
    <row r="3923" ht="16.5" customHeight="1" s="80">
      <c r="A3923" s="113" t="n"/>
      <c r="B3923" s="113" t="n"/>
      <c r="C3923" s="113" t="n"/>
      <c r="D3923" s="113" t="n"/>
      <c r="E3923" s="113" t="n"/>
      <c r="F3923" s="113" t="n"/>
      <c r="G3923" s="113" t="n"/>
      <c r="H3923" s="113" t="n"/>
      <c r="I3923" s="113" t="n"/>
      <c r="J3923" s="113" t="n"/>
      <c r="K3923" s="113" t="n"/>
      <c r="L3923" s="113" t="n"/>
      <c r="M3923" s="113" t="n"/>
      <c r="N3923" s="113" t="n"/>
      <c r="O3923" s="113" t="n"/>
      <c r="P3923" s="113" t="n"/>
      <c r="Q3923" s="113" t="n"/>
      <c r="R3923" s="113" t="n"/>
      <c r="S3923" s="113" t="n"/>
      <c r="T3923" s="113" t="n"/>
      <c r="U3923" s="113" t="n"/>
      <c r="V3923" s="113" t="n"/>
      <c r="W3923" s="113" t="n"/>
      <c r="X3923" s="113" t="n"/>
      <c r="Y3923" s="113" t="n"/>
      <c r="Z3923" s="117">
        <f>IF($B3923="",0,IF($S3923="EVET",IF($D3923="GELİR",$O3923,-$O3923),0))</f>
        <v/>
      </c>
      <c r="AA3923" s="117">
        <f>IF($B3923="",0,IF(OR($W3923="EVET",$X3923="EVET",$Y3923="EVET"),0,IF($D3923="GELİR",IF($E3923="SATIŞ İADESİ/İSKONTO",-$O3923,$O3923),-$O3923)))</f>
        <v/>
      </c>
      <c r="AB3923" s="117">
        <f>IF($B3923="","",IF(OR($D3923="",$E3923="",$O3923=""),"EKSİK",IF($O3923&lt;=0,"SIFIR/NEGATİF",IF(COUNTIFS($C$6:$C$5000,$C3923,$O$6:$O$5000,$O3923,$B$6:$B$5000,$B3923)&gt;1,"MÜKERRER","OK"))))</f>
        <v/>
      </c>
    </row>
    <row r="3924" ht="16.5" customHeight="1" s="80">
      <c r="A3924" s="113" t="n"/>
      <c r="B3924" s="113" t="n"/>
      <c r="C3924" s="113" t="n"/>
      <c r="D3924" s="113" t="n"/>
      <c r="E3924" s="113" t="n"/>
      <c r="F3924" s="113" t="n"/>
      <c r="G3924" s="113" t="n"/>
      <c r="H3924" s="113" t="n"/>
      <c r="I3924" s="113" t="n"/>
      <c r="J3924" s="113" t="n"/>
      <c r="K3924" s="113" t="n"/>
      <c r="L3924" s="113" t="n"/>
      <c r="M3924" s="113" t="n"/>
      <c r="N3924" s="113" t="n"/>
      <c r="O3924" s="113" t="n"/>
      <c r="P3924" s="113" t="n"/>
      <c r="Q3924" s="113" t="n"/>
      <c r="R3924" s="113" t="n"/>
      <c r="S3924" s="113" t="n"/>
      <c r="T3924" s="113" t="n"/>
      <c r="U3924" s="113" t="n"/>
      <c r="V3924" s="113" t="n"/>
      <c r="W3924" s="113" t="n"/>
      <c r="X3924" s="113" t="n"/>
      <c r="Y3924" s="113" t="n"/>
      <c r="Z3924" s="117">
        <f>IF($B3924="",0,IF($S3924="EVET",IF($D3924="GELİR",$O3924,-$O3924),0))</f>
        <v/>
      </c>
      <c r="AA3924" s="117">
        <f>IF($B3924="",0,IF(OR($W3924="EVET",$X3924="EVET",$Y3924="EVET"),0,IF($D3924="GELİR",IF($E3924="SATIŞ İADESİ/İSKONTO",-$O3924,$O3924),-$O3924)))</f>
        <v/>
      </c>
      <c r="AB3924" s="117">
        <f>IF($B3924="","",IF(OR($D3924="",$E3924="",$O3924=""),"EKSİK",IF($O3924&lt;=0,"SIFIR/NEGATİF",IF(COUNTIFS($C$6:$C$5000,$C3924,$O$6:$O$5000,$O3924,$B$6:$B$5000,$B3924)&gt;1,"MÜKERRER","OK"))))</f>
        <v/>
      </c>
    </row>
    <row r="3925" ht="16.5" customHeight="1" s="80">
      <c r="A3925" s="113" t="n"/>
      <c r="B3925" s="113" t="n"/>
      <c r="C3925" s="113" t="n"/>
      <c r="D3925" s="113" t="n"/>
      <c r="E3925" s="113" t="n"/>
      <c r="F3925" s="113" t="n"/>
      <c r="G3925" s="113" t="n"/>
      <c r="H3925" s="113" t="n"/>
      <c r="I3925" s="113" t="n"/>
      <c r="J3925" s="113" t="n"/>
      <c r="K3925" s="113" t="n"/>
      <c r="L3925" s="113" t="n"/>
      <c r="M3925" s="113" t="n"/>
      <c r="N3925" s="113" t="n"/>
      <c r="O3925" s="113" t="n"/>
      <c r="P3925" s="113" t="n"/>
      <c r="Q3925" s="113" t="n"/>
      <c r="R3925" s="113" t="n"/>
      <c r="S3925" s="113" t="n"/>
      <c r="T3925" s="113" t="n"/>
      <c r="U3925" s="113" t="n"/>
      <c r="V3925" s="113" t="n"/>
      <c r="W3925" s="113" t="n"/>
      <c r="X3925" s="113" t="n"/>
      <c r="Y3925" s="113" t="n"/>
      <c r="Z3925" s="117">
        <f>IF($B3925="",0,IF($S3925="EVET",IF($D3925="GELİR",$O3925,-$O3925),0))</f>
        <v/>
      </c>
      <c r="AA3925" s="117">
        <f>IF($B3925="",0,IF(OR($W3925="EVET",$X3925="EVET",$Y3925="EVET"),0,IF($D3925="GELİR",IF($E3925="SATIŞ İADESİ/İSKONTO",-$O3925,$O3925),-$O3925)))</f>
        <v/>
      </c>
      <c r="AB3925" s="117">
        <f>IF($B3925="","",IF(OR($D3925="",$E3925="",$O3925=""),"EKSİK",IF($O3925&lt;=0,"SIFIR/NEGATİF",IF(COUNTIFS($C$6:$C$5000,$C3925,$O$6:$O$5000,$O3925,$B$6:$B$5000,$B3925)&gt;1,"MÜKERRER","OK"))))</f>
        <v/>
      </c>
    </row>
    <row r="3926" ht="16.5" customHeight="1" s="80">
      <c r="A3926" s="113" t="n"/>
      <c r="B3926" s="113" t="n"/>
      <c r="C3926" s="113" t="n"/>
      <c r="D3926" s="113" t="n"/>
      <c r="E3926" s="113" t="n"/>
      <c r="F3926" s="113" t="n"/>
      <c r="G3926" s="113" t="n"/>
      <c r="H3926" s="113" t="n"/>
      <c r="I3926" s="113" t="n"/>
      <c r="J3926" s="113" t="n"/>
      <c r="K3926" s="113" t="n"/>
      <c r="L3926" s="113" t="n"/>
      <c r="M3926" s="113" t="n"/>
      <c r="N3926" s="113" t="n"/>
      <c r="O3926" s="113" t="n"/>
      <c r="P3926" s="113" t="n"/>
      <c r="Q3926" s="113" t="n"/>
      <c r="R3926" s="113" t="n"/>
      <c r="S3926" s="113" t="n"/>
      <c r="T3926" s="113" t="n"/>
      <c r="U3926" s="113" t="n"/>
      <c r="V3926" s="113" t="n"/>
      <c r="W3926" s="113" t="n"/>
      <c r="X3926" s="113" t="n"/>
      <c r="Y3926" s="113" t="n"/>
      <c r="Z3926" s="117">
        <f>IF($B3926="",0,IF($S3926="EVET",IF($D3926="GELİR",$O3926,-$O3926),0))</f>
        <v/>
      </c>
      <c r="AA3926" s="117">
        <f>IF($B3926="",0,IF(OR($W3926="EVET",$X3926="EVET",$Y3926="EVET"),0,IF($D3926="GELİR",IF($E3926="SATIŞ İADESİ/İSKONTO",-$O3926,$O3926),-$O3926)))</f>
        <v/>
      </c>
      <c r="AB3926" s="117">
        <f>IF($B3926="","",IF(OR($D3926="",$E3926="",$O3926=""),"EKSİK",IF($O3926&lt;=0,"SIFIR/NEGATİF",IF(COUNTIFS($C$6:$C$5000,$C3926,$O$6:$O$5000,$O3926,$B$6:$B$5000,$B3926)&gt;1,"MÜKERRER","OK"))))</f>
        <v/>
      </c>
    </row>
    <row r="3927" ht="16.5" customHeight="1" s="80">
      <c r="A3927" s="113" t="n"/>
      <c r="B3927" s="113" t="n"/>
      <c r="C3927" s="113" t="n"/>
      <c r="D3927" s="113" t="n"/>
      <c r="E3927" s="113" t="n"/>
      <c r="F3927" s="113" t="n"/>
      <c r="G3927" s="113" t="n"/>
      <c r="H3927" s="113" t="n"/>
      <c r="I3927" s="113" t="n"/>
      <c r="J3927" s="113" t="n"/>
      <c r="K3927" s="113" t="n"/>
      <c r="L3927" s="113" t="n"/>
      <c r="M3927" s="113" t="n"/>
      <c r="N3927" s="113" t="n"/>
      <c r="O3927" s="113" t="n"/>
      <c r="P3927" s="113" t="n"/>
      <c r="Q3927" s="113" t="n"/>
      <c r="R3927" s="113" t="n"/>
      <c r="S3927" s="113" t="n"/>
      <c r="T3927" s="113" t="n"/>
      <c r="U3927" s="113" t="n"/>
      <c r="V3927" s="113" t="n"/>
      <c r="W3927" s="113" t="n"/>
      <c r="X3927" s="113" t="n"/>
      <c r="Y3927" s="113" t="n"/>
      <c r="Z3927" s="117">
        <f>IF($B3927="",0,IF($S3927="EVET",IF($D3927="GELİR",$O3927,-$O3927),0))</f>
        <v/>
      </c>
      <c r="AA3927" s="117">
        <f>IF($B3927="",0,IF(OR($W3927="EVET",$X3927="EVET",$Y3927="EVET"),0,IF($D3927="GELİR",IF($E3927="SATIŞ İADESİ/İSKONTO",-$O3927,$O3927),-$O3927)))</f>
        <v/>
      </c>
      <c r="AB3927" s="117">
        <f>IF($B3927="","",IF(OR($D3927="",$E3927="",$O3927=""),"EKSİK",IF($O3927&lt;=0,"SIFIR/NEGATİF",IF(COUNTIFS($C$6:$C$5000,$C3927,$O$6:$O$5000,$O3927,$B$6:$B$5000,$B3927)&gt;1,"MÜKERRER","OK"))))</f>
        <v/>
      </c>
    </row>
    <row r="3928" ht="16.5" customHeight="1" s="80">
      <c r="A3928" s="113" t="n"/>
      <c r="B3928" s="113" t="n"/>
      <c r="C3928" s="113" t="n"/>
      <c r="D3928" s="113" t="n"/>
      <c r="E3928" s="113" t="n"/>
      <c r="F3928" s="113" t="n"/>
      <c r="G3928" s="113" t="n"/>
      <c r="H3928" s="113" t="n"/>
      <c r="I3928" s="113" t="n"/>
      <c r="J3928" s="113" t="n"/>
      <c r="K3928" s="113" t="n"/>
      <c r="L3928" s="113" t="n"/>
      <c r="M3928" s="113" t="n"/>
      <c r="N3928" s="113" t="n"/>
      <c r="O3928" s="113" t="n"/>
      <c r="P3928" s="113" t="n"/>
      <c r="Q3928" s="113" t="n"/>
      <c r="R3928" s="113" t="n"/>
      <c r="S3928" s="113" t="n"/>
      <c r="T3928" s="113" t="n"/>
      <c r="U3928" s="113" t="n"/>
      <c r="V3928" s="113" t="n"/>
      <c r="W3928" s="113" t="n"/>
      <c r="X3928" s="113" t="n"/>
      <c r="Y3928" s="113" t="n"/>
      <c r="Z3928" s="117">
        <f>IF($B3928="",0,IF($S3928="EVET",IF($D3928="GELİR",$O3928,-$O3928),0))</f>
        <v/>
      </c>
      <c r="AA3928" s="117">
        <f>IF($B3928="",0,IF(OR($W3928="EVET",$X3928="EVET",$Y3928="EVET"),0,IF($D3928="GELİR",IF($E3928="SATIŞ İADESİ/İSKONTO",-$O3928,$O3928),-$O3928)))</f>
        <v/>
      </c>
      <c r="AB3928" s="117">
        <f>IF($B3928="","",IF(OR($D3928="",$E3928="",$O3928=""),"EKSİK",IF($O3928&lt;=0,"SIFIR/NEGATİF",IF(COUNTIFS($C$6:$C$5000,$C3928,$O$6:$O$5000,$O3928,$B$6:$B$5000,$B3928)&gt;1,"MÜKERRER","OK"))))</f>
        <v/>
      </c>
    </row>
    <row r="3929" ht="16.5" customHeight="1" s="80">
      <c r="A3929" s="113" t="n"/>
      <c r="B3929" s="113" t="n"/>
      <c r="C3929" s="113" t="n"/>
      <c r="D3929" s="113" t="n"/>
      <c r="E3929" s="113" t="n"/>
      <c r="F3929" s="113" t="n"/>
      <c r="G3929" s="113" t="n"/>
      <c r="H3929" s="113" t="n"/>
      <c r="I3929" s="113" t="n"/>
      <c r="J3929" s="113" t="n"/>
      <c r="K3929" s="113" t="n"/>
      <c r="L3929" s="113" t="n"/>
      <c r="M3929" s="113" t="n"/>
      <c r="N3929" s="113" t="n"/>
      <c r="O3929" s="113" t="n"/>
      <c r="P3929" s="113" t="n"/>
      <c r="Q3929" s="113" t="n"/>
      <c r="R3929" s="113" t="n"/>
      <c r="S3929" s="113" t="n"/>
      <c r="T3929" s="113" t="n"/>
      <c r="U3929" s="113" t="n"/>
      <c r="V3929" s="113" t="n"/>
      <c r="W3929" s="113" t="n"/>
      <c r="X3929" s="113" t="n"/>
      <c r="Y3929" s="113" t="n"/>
      <c r="Z3929" s="117">
        <f>IF($B3929="",0,IF($S3929="EVET",IF($D3929="GELİR",$O3929,-$O3929),0))</f>
        <v/>
      </c>
      <c r="AA3929" s="117">
        <f>IF($B3929="",0,IF(OR($W3929="EVET",$X3929="EVET",$Y3929="EVET"),0,IF($D3929="GELİR",IF($E3929="SATIŞ İADESİ/İSKONTO",-$O3929,$O3929),-$O3929)))</f>
        <v/>
      </c>
      <c r="AB3929" s="117">
        <f>IF($B3929="","",IF(OR($D3929="",$E3929="",$O3929=""),"EKSİK",IF($O3929&lt;=0,"SIFIR/NEGATİF",IF(COUNTIFS($C$6:$C$5000,$C3929,$O$6:$O$5000,$O3929,$B$6:$B$5000,$B3929)&gt;1,"MÜKERRER","OK"))))</f>
        <v/>
      </c>
    </row>
    <row r="3930" ht="16.5" customHeight="1" s="80">
      <c r="A3930" s="113" t="n"/>
      <c r="B3930" s="113" t="n"/>
      <c r="C3930" s="113" t="n"/>
      <c r="D3930" s="113" t="n"/>
      <c r="E3930" s="113" t="n"/>
      <c r="F3930" s="113" t="n"/>
      <c r="G3930" s="113" t="n"/>
      <c r="H3930" s="113" t="n"/>
      <c r="I3930" s="113" t="n"/>
      <c r="J3930" s="113" t="n"/>
      <c r="K3930" s="113" t="n"/>
      <c r="L3930" s="113" t="n"/>
      <c r="M3930" s="113" t="n"/>
      <c r="N3930" s="113" t="n"/>
      <c r="O3930" s="113" t="n"/>
      <c r="P3930" s="113" t="n"/>
      <c r="Q3930" s="113" t="n"/>
      <c r="R3930" s="113" t="n"/>
      <c r="S3930" s="113" t="n"/>
      <c r="T3930" s="113" t="n"/>
      <c r="U3930" s="113" t="n"/>
      <c r="V3930" s="113" t="n"/>
      <c r="W3930" s="113" t="n"/>
      <c r="X3930" s="113" t="n"/>
      <c r="Y3930" s="113" t="n"/>
      <c r="Z3930" s="117">
        <f>IF($B3930="",0,IF($S3930="EVET",IF($D3930="GELİR",$O3930,-$O3930),0))</f>
        <v/>
      </c>
      <c r="AA3930" s="117">
        <f>IF($B3930="",0,IF(OR($W3930="EVET",$X3930="EVET",$Y3930="EVET"),0,IF($D3930="GELİR",IF($E3930="SATIŞ İADESİ/İSKONTO",-$O3930,$O3930),-$O3930)))</f>
        <v/>
      </c>
      <c r="AB3930" s="117">
        <f>IF($B3930="","",IF(OR($D3930="",$E3930="",$O3930=""),"EKSİK",IF($O3930&lt;=0,"SIFIR/NEGATİF",IF(COUNTIFS($C$6:$C$5000,$C3930,$O$6:$O$5000,$O3930,$B$6:$B$5000,$B3930)&gt;1,"MÜKERRER","OK"))))</f>
        <v/>
      </c>
    </row>
    <row r="3931" ht="16.5" customHeight="1" s="80">
      <c r="A3931" s="113" t="n"/>
      <c r="B3931" s="113" t="n"/>
      <c r="C3931" s="113" t="n"/>
      <c r="D3931" s="113" t="n"/>
      <c r="E3931" s="113" t="n"/>
      <c r="F3931" s="113" t="n"/>
      <c r="G3931" s="113" t="n"/>
      <c r="H3931" s="113" t="n"/>
      <c r="I3931" s="113" t="n"/>
      <c r="J3931" s="113" t="n"/>
      <c r="K3931" s="113" t="n"/>
      <c r="L3931" s="113" t="n"/>
      <c r="M3931" s="113" t="n"/>
      <c r="N3931" s="113" t="n"/>
      <c r="O3931" s="113" t="n"/>
      <c r="P3931" s="113" t="n"/>
      <c r="Q3931" s="113" t="n"/>
      <c r="R3931" s="113" t="n"/>
      <c r="S3931" s="113" t="n"/>
      <c r="T3931" s="113" t="n"/>
      <c r="U3931" s="113" t="n"/>
      <c r="V3931" s="113" t="n"/>
      <c r="W3931" s="113" t="n"/>
      <c r="X3931" s="113" t="n"/>
      <c r="Y3931" s="113" t="n"/>
      <c r="Z3931" s="117">
        <f>IF($B3931="",0,IF($S3931="EVET",IF($D3931="GELİR",$O3931,-$O3931),0))</f>
        <v/>
      </c>
      <c r="AA3931" s="117">
        <f>IF($B3931="",0,IF(OR($W3931="EVET",$X3931="EVET",$Y3931="EVET"),0,IF($D3931="GELİR",IF($E3931="SATIŞ İADESİ/İSKONTO",-$O3931,$O3931),-$O3931)))</f>
        <v/>
      </c>
      <c r="AB3931" s="117">
        <f>IF($B3931="","",IF(OR($D3931="",$E3931="",$O3931=""),"EKSİK",IF($O3931&lt;=0,"SIFIR/NEGATİF",IF(COUNTIFS($C$6:$C$5000,$C3931,$O$6:$O$5000,$O3931,$B$6:$B$5000,$B3931)&gt;1,"MÜKERRER","OK"))))</f>
        <v/>
      </c>
    </row>
    <row r="3932" ht="16.5" customHeight="1" s="80">
      <c r="A3932" s="113" t="n"/>
      <c r="B3932" s="113" t="n"/>
      <c r="C3932" s="113" t="n"/>
      <c r="D3932" s="113" t="n"/>
      <c r="E3932" s="113" t="n"/>
      <c r="F3932" s="113" t="n"/>
      <c r="G3932" s="113" t="n"/>
      <c r="H3932" s="113" t="n"/>
      <c r="I3932" s="113" t="n"/>
      <c r="J3932" s="113" t="n"/>
      <c r="K3932" s="113" t="n"/>
      <c r="L3932" s="113" t="n"/>
      <c r="M3932" s="113" t="n"/>
      <c r="N3932" s="113" t="n"/>
      <c r="O3932" s="113" t="n"/>
      <c r="P3932" s="113" t="n"/>
      <c r="Q3932" s="113" t="n"/>
      <c r="R3932" s="113" t="n"/>
      <c r="S3932" s="113" t="n"/>
      <c r="T3932" s="113" t="n"/>
      <c r="U3932" s="113" t="n"/>
      <c r="V3932" s="113" t="n"/>
      <c r="W3932" s="113" t="n"/>
      <c r="X3932" s="113" t="n"/>
      <c r="Y3932" s="113" t="n"/>
      <c r="Z3932" s="117">
        <f>IF($B3932="",0,IF($S3932="EVET",IF($D3932="GELİR",$O3932,-$O3932),0))</f>
        <v/>
      </c>
      <c r="AA3932" s="117">
        <f>IF($B3932="",0,IF(OR($W3932="EVET",$X3932="EVET",$Y3932="EVET"),0,IF($D3932="GELİR",IF($E3932="SATIŞ İADESİ/İSKONTO",-$O3932,$O3932),-$O3932)))</f>
        <v/>
      </c>
      <c r="AB3932" s="117">
        <f>IF($B3932="","",IF(OR($D3932="",$E3932="",$O3932=""),"EKSİK",IF($O3932&lt;=0,"SIFIR/NEGATİF",IF(COUNTIFS($C$6:$C$5000,$C3932,$O$6:$O$5000,$O3932,$B$6:$B$5000,$B3932)&gt;1,"MÜKERRER","OK"))))</f>
        <v/>
      </c>
    </row>
    <row r="3933" ht="16.5" customHeight="1" s="80">
      <c r="A3933" s="113" t="n"/>
      <c r="B3933" s="113" t="n"/>
      <c r="C3933" s="113" t="n"/>
      <c r="D3933" s="113" t="n"/>
      <c r="E3933" s="113" t="n"/>
      <c r="F3933" s="113" t="n"/>
      <c r="G3933" s="113" t="n"/>
      <c r="H3933" s="113" t="n"/>
      <c r="I3933" s="113" t="n"/>
      <c r="J3933" s="113" t="n"/>
      <c r="K3933" s="113" t="n"/>
      <c r="L3933" s="113" t="n"/>
      <c r="M3933" s="113" t="n"/>
      <c r="N3933" s="113" t="n"/>
      <c r="O3933" s="113" t="n"/>
      <c r="P3933" s="113" t="n"/>
      <c r="Q3933" s="113" t="n"/>
      <c r="R3933" s="113" t="n"/>
      <c r="S3933" s="113" t="n"/>
      <c r="T3933" s="113" t="n"/>
      <c r="U3933" s="113" t="n"/>
      <c r="V3933" s="113" t="n"/>
      <c r="W3933" s="113" t="n"/>
      <c r="X3933" s="113" t="n"/>
      <c r="Y3933" s="113" t="n"/>
      <c r="Z3933" s="117">
        <f>IF($B3933="",0,IF($S3933="EVET",IF($D3933="GELİR",$O3933,-$O3933),0))</f>
        <v/>
      </c>
      <c r="AA3933" s="117">
        <f>IF($B3933="",0,IF(OR($W3933="EVET",$X3933="EVET",$Y3933="EVET"),0,IF($D3933="GELİR",IF($E3933="SATIŞ İADESİ/İSKONTO",-$O3933,$O3933),-$O3933)))</f>
        <v/>
      </c>
      <c r="AB3933" s="117">
        <f>IF($B3933="","",IF(OR($D3933="",$E3933="",$O3933=""),"EKSİK",IF($O3933&lt;=0,"SIFIR/NEGATİF",IF(COUNTIFS($C$6:$C$5000,$C3933,$O$6:$O$5000,$O3933,$B$6:$B$5000,$B3933)&gt;1,"MÜKERRER","OK"))))</f>
        <v/>
      </c>
    </row>
    <row r="3934" ht="16.5" customHeight="1" s="80">
      <c r="A3934" s="113" t="n"/>
      <c r="B3934" s="113" t="n"/>
      <c r="C3934" s="113" t="n"/>
      <c r="D3934" s="113" t="n"/>
      <c r="E3934" s="113" t="n"/>
      <c r="F3934" s="113" t="n"/>
      <c r="G3934" s="113" t="n"/>
      <c r="H3934" s="113" t="n"/>
      <c r="I3934" s="113" t="n"/>
      <c r="J3934" s="113" t="n"/>
      <c r="K3934" s="113" t="n"/>
      <c r="L3934" s="113" t="n"/>
      <c r="M3934" s="113" t="n"/>
      <c r="N3934" s="113" t="n"/>
      <c r="O3934" s="113" t="n"/>
      <c r="P3934" s="113" t="n"/>
      <c r="Q3934" s="113" t="n"/>
      <c r="R3934" s="113" t="n"/>
      <c r="S3934" s="113" t="n"/>
      <c r="T3934" s="113" t="n"/>
      <c r="U3934" s="113" t="n"/>
      <c r="V3934" s="113" t="n"/>
      <c r="W3934" s="113" t="n"/>
      <c r="X3934" s="113" t="n"/>
      <c r="Y3934" s="113" t="n"/>
      <c r="Z3934" s="117">
        <f>IF($B3934="",0,IF($S3934="EVET",IF($D3934="GELİR",$O3934,-$O3934),0))</f>
        <v/>
      </c>
      <c r="AA3934" s="117">
        <f>IF($B3934="",0,IF(OR($W3934="EVET",$X3934="EVET",$Y3934="EVET"),0,IF($D3934="GELİR",IF($E3934="SATIŞ İADESİ/İSKONTO",-$O3934,$O3934),-$O3934)))</f>
        <v/>
      </c>
      <c r="AB3934" s="117">
        <f>IF($B3934="","",IF(OR($D3934="",$E3934="",$O3934=""),"EKSİK",IF($O3934&lt;=0,"SIFIR/NEGATİF",IF(COUNTIFS($C$6:$C$5000,$C3934,$O$6:$O$5000,$O3934,$B$6:$B$5000,$B3934)&gt;1,"MÜKERRER","OK"))))</f>
        <v/>
      </c>
    </row>
    <row r="3935" ht="16.5" customHeight="1" s="80">
      <c r="A3935" s="113" t="n"/>
      <c r="B3935" s="113" t="n"/>
      <c r="C3935" s="113" t="n"/>
      <c r="D3935" s="113" t="n"/>
      <c r="E3935" s="113" t="n"/>
      <c r="F3935" s="113" t="n"/>
      <c r="G3935" s="113" t="n"/>
      <c r="H3935" s="113" t="n"/>
      <c r="I3935" s="113" t="n"/>
      <c r="J3935" s="113" t="n"/>
      <c r="K3935" s="113" t="n"/>
      <c r="L3935" s="113" t="n"/>
      <c r="M3935" s="113" t="n"/>
      <c r="N3935" s="113" t="n"/>
      <c r="O3935" s="113" t="n"/>
      <c r="P3935" s="113" t="n"/>
      <c r="Q3935" s="113" t="n"/>
      <c r="R3935" s="113" t="n"/>
      <c r="S3935" s="113" t="n"/>
      <c r="T3935" s="113" t="n"/>
      <c r="U3935" s="113" t="n"/>
      <c r="V3935" s="113" t="n"/>
      <c r="W3935" s="113" t="n"/>
      <c r="X3935" s="113" t="n"/>
      <c r="Y3935" s="113" t="n"/>
      <c r="Z3935" s="117">
        <f>IF($B3935="",0,IF($S3935="EVET",IF($D3935="GELİR",$O3935,-$O3935),0))</f>
        <v/>
      </c>
      <c r="AA3935" s="117">
        <f>IF($B3935="",0,IF(OR($W3935="EVET",$X3935="EVET",$Y3935="EVET"),0,IF($D3935="GELİR",IF($E3935="SATIŞ İADESİ/İSKONTO",-$O3935,$O3935),-$O3935)))</f>
        <v/>
      </c>
      <c r="AB3935" s="117">
        <f>IF($B3935="","",IF(OR($D3935="",$E3935="",$O3935=""),"EKSİK",IF($O3935&lt;=0,"SIFIR/NEGATİF",IF(COUNTIFS($C$6:$C$5000,$C3935,$O$6:$O$5000,$O3935,$B$6:$B$5000,$B3935)&gt;1,"MÜKERRER","OK"))))</f>
        <v/>
      </c>
    </row>
    <row r="3936" ht="16.5" customHeight="1" s="80">
      <c r="A3936" s="113" t="n"/>
      <c r="B3936" s="113" t="n"/>
      <c r="C3936" s="113" t="n"/>
      <c r="D3936" s="113" t="n"/>
      <c r="E3936" s="113" t="n"/>
      <c r="F3936" s="113" t="n"/>
      <c r="G3936" s="113" t="n"/>
      <c r="H3936" s="113" t="n"/>
      <c r="I3936" s="113" t="n"/>
      <c r="J3936" s="113" t="n"/>
      <c r="K3936" s="113" t="n"/>
      <c r="L3936" s="113" t="n"/>
      <c r="M3936" s="113" t="n"/>
      <c r="N3936" s="113" t="n"/>
      <c r="O3936" s="113" t="n"/>
      <c r="P3936" s="113" t="n"/>
      <c r="Q3936" s="113" t="n"/>
      <c r="R3936" s="113" t="n"/>
      <c r="S3936" s="113" t="n"/>
      <c r="T3936" s="113" t="n"/>
      <c r="U3936" s="113" t="n"/>
      <c r="V3936" s="113" t="n"/>
      <c r="W3936" s="113" t="n"/>
      <c r="X3936" s="113" t="n"/>
      <c r="Y3936" s="113" t="n"/>
      <c r="Z3936" s="117">
        <f>IF($B3936="",0,IF($S3936="EVET",IF($D3936="GELİR",$O3936,-$O3936),0))</f>
        <v/>
      </c>
      <c r="AA3936" s="117">
        <f>IF($B3936="",0,IF(OR($W3936="EVET",$X3936="EVET",$Y3936="EVET"),0,IF($D3936="GELİR",IF($E3936="SATIŞ İADESİ/İSKONTO",-$O3936,$O3936),-$O3936)))</f>
        <v/>
      </c>
      <c r="AB3936" s="117">
        <f>IF($B3936="","",IF(OR($D3936="",$E3936="",$O3936=""),"EKSİK",IF($O3936&lt;=0,"SIFIR/NEGATİF",IF(COUNTIFS($C$6:$C$5000,$C3936,$O$6:$O$5000,$O3936,$B$6:$B$5000,$B3936)&gt;1,"MÜKERRER","OK"))))</f>
        <v/>
      </c>
    </row>
    <row r="3937" ht="16.5" customHeight="1" s="80">
      <c r="A3937" s="113" t="n"/>
      <c r="B3937" s="113" t="n"/>
      <c r="C3937" s="113" t="n"/>
      <c r="D3937" s="113" t="n"/>
      <c r="E3937" s="113" t="n"/>
      <c r="F3937" s="113" t="n"/>
      <c r="G3937" s="113" t="n"/>
      <c r="H3937" s="113" t="n"/>
      <c r="I3937" s="113" t="n"/>
      <c r="J3937" s="113" t="n"/>
      <c r="K3937" s="113" t="n"/>
      <c r="L3937" s="113" t="n"/>
      <c r="M3937" s="113" t="n"/>
      <c r="N3937" s="113" t="n"/>
      <c r="O3937" s="113" t="n"/>
      <c r="P3937" s="113" t="n"/>
      <c r="Q3937" s="113" t="n"/>
      <c r="R3937" s="113" t="n"/>
      <c r="S3937" s="113" t="n"/>
      <c r="T3937" s="113" t="n"/>
      <c r="U3937" s="113" t="n"/>
      <c r="V3937" s="113" t="n"/>
      <c r="W3937" s="113" t="n"/>
      <c r="X3937" s="113" t="n"/>
      <c r="Y3937" s="113" t="n"/>
      <c r="Z3937" s="117">
        <f>IF($B3937="",0,IF($S3937="EVET",IF($D3937="GELİR",$O3937,-$O3937),0))</f>
        <v/>
      </c>
      <c r="AA3937" s="117">
        <f>IF($B3937="",0,IF(OR($W3937="EVET",$X3937="EVET",$Y3937="EVET"),0,IF($D3937="GELİR",IF($E3937="SATIŞ İADESİ/İSKONTO",-$O3937,$O3937),-$O3937)))</f>
        <v/>
      </c>
      <c r="AB3937" s="117">
        <f>IF($B3937="","",IF(OR($D3937="",$E3937="",$O3937=""),"EKSİK",IF($O3937&lt;=0,"SIFIR/NEGATİF",IF(COUNTIFS($C$6:$C$5000,$C3937,$O$6:$O$5000,$O3937,$B$6:$B$5000,$B3937)&gt;1,"MÜKERRER","OK"))))</f>
        <v/>
      </c>
    </row>
    <row r="3938" ht="16.5" customHeight="1" s="80">
      <c r="A3938" s="113" t="n"/>
      <c r="B3938" s="113" t="n"/>
      <c r="C3938" s="113" t="n"/>
      <c r="D3938" s="113" t="n"/>
      <c r="E3938" s="113" t="n"/>
      <c r="F3938" s="113" t="n"/>
      <c r="G3938" s="113" t="n"/>
      <c r="H3938" s="113" t="n"/>
      <c r="I3938" s="113" t="n"/>
      <c r="J3938" s="113" t="n"/>
      <c r="K3938" s="113" t="n"/>
      <c r="L3938" s="113" t="n"/>
      <c r="M3938" s="113" t="n"/>
      <c r="N3938" s="113" t="n"/>
      <c r="O3938" s="113" t="n"/>
      <c r="P3938" s="113" t="n"/>
      <c r="Q3938" s="113" t="n"/>
      <c r="R3938" s="113" t="n"/>
      <c r="S3938" s="113" t="n"/>
      <c r="T3938" s="113" t="n"/>
      <c r="U3938" s="113" t="n"/>
      <c r="V3938" s="113" t="n"/>
      <c r="W3938" s="113" t="n"/>
      <c r="X3938" s="113" t="n"/>
      <c r="Y3938" s="113" t="n"/>
      <c r="Z3938" s="117">
        <f>IF($B3938="",0,IF($S3938="EVET",IF($D3938="GELİR",$O3938,-$O3938),0))</f>
        <v/>
      </c>
      <c r="AA3938" s="117">
        <f>IF($B3938="",0,IF(OR($W3938="EVET",$X3938="EVET",$Y3938="EVET"),0,IF($D3938="GELİR",IF($E3938="SATIŞ İADESİ/İSKONTO",-$O3938,$O3938),-$O3938)))</f>
        <v/>
      </c>
      <c r="AB3938" s="117">
        <f>IF($B3938="","",IF(OR($D3938="",$E3938="",$O3938=""),"EKSİK",IF($O3938&lt;=0,"SIFIR/NEGATİF",IF(COUNTIFS($C$6:$C$5000,$C3938,$O$6:$O$5000,$O3938,$B$6:$B$5000,$B3938)&gt;1,"MÜKERRER","OK"))))</f>
        <v/>
      </c>
    </row>
    <row r="3939" ht="16.5" customHeight="1" s="80">
      <c r="A3939" s="113" t="n"/>
      <c r="B3939" s="113" t="n"/>
      <c r="C3939" s="113" t="n"/>
      <c r="D3939" s="113" t="n"/>
      <c r="E3939" s="113" t="n"/>
      <c r="F3939" s="113" t="n"/>
      <c r="G3939" s="113" t="n"/>
      <c r="H3939" s="113" t="n"/>
      <c r="I3939" s="113" t="n"/>
      <c r="J3939" s="113" t="n"/>
      <c r="K3939" s="113" t="n"/>
      <c r="L3939" s="113" t="n"/>
      <c r="M3939" s="113" t="n"/>
      <c r="N3939" s="113" t="n"/>
      <c r="O3939" s="113" t="n"/>
      <c r="P3939" s="113" t="n"/>
      <c r="Q3939" s="113" t="n"/>
      <c r="R3939" s="113" t="n"/>
      <c r="S3939" s="113" t="n"/>
      <c r="T3939" s="113" t="n"/>
      <c r="U3939" s="113" t="n"/>
      <c r="V3939" s="113" t="n"/>
      <c r="W3939" s="113" t="n"/>
      <c r="X3939" s="113" t="n"/>
      <c r="Y3939" s="113" t="n"/>
      <c r="Z3939" s="117">
        <f>IF($B3939="",0,IF($S3939="EVET",IF($D3939="GELİR",$O3939,-$O3939),0))</f>
        <v/>
      </c>
      <c r="AA3939" s="117">
        <f>IF($B3939="",0,IF(OR($W3939="EVET",$X3939="EVET",$Y3939="EVET"),0,IF($D3939="GELİR",IF($E3939="SATIŞ İADESİ/İSKONTO",-$O3939,$O3939),-$O3939)))</f>
        <v/>
      </c>
      <c r="AB3939" s="117">
        <f>IF($B3939="","",IF(OR($D3939="",$E3939="",$O3939=""),"EKSİK",IF($O3939&lt;=0,"SIFIR/NEGATİF",IF(COUNTIFS($C$6:$C$5000,$C3939,$O$6:$O$5000,$O3939,$B$6:$B$5000,$B3939)&gt;1,"MÜKERRER","OK"))))</f>
        <v/>
      </c>
    </row>
    <row r="3940" ht="16.5" customHeight="1" s="80">
      <c r="A3940" s="113" t="n"/>
      <c r="B3940" s="113" t="n"/>
      <c r="C3940" s="113" t="n"/>
      <c r="D3940" s="113" t="n"/>
      <c r="E3940" s="113" t="n"/>
      <c r="F3940" s="113" t="n"/>
      <c r="G3940" s="113" t="n"/>
      <c r="H3940" s="113" t="n"/>
      <c r="I3940" s="113" t="n"/>
      <c r="J3940" s="113" t="n"/>
      <c r="K3940" s="113" t="n"/>
      <c r="L3940" s="113" t="n"/>
      <c r="M3940" s="113" t="n"/>
      <c r="N3940" s="113" t="n"/>
      <c r="O3940" s="113" t="n"/>
      <c r="P3940" s="113" t="n"/>
      <c r="Q3940" s="113" t="n"/>
      <c r="R3940" s="113" t="n"/>
      <c r="S3940" s="113" t="n"/>
      <c r="T3940" s="113" t="n"/>
      <c r="U3940" s="113" t="n"/>
      <c r="V3940" s="113" t="n"/>
      <c r="W3940" s="113" t="n"/>
      <c r="X3940" s="113" t="n"/>
      <c r="Y3940" s="113" t="n"/>
      <c r="Z3940" s="117">
        <f>IF($B3940="",0,IF($S3940="EVET",IF($D3940="GELİR",$O3940,-$O3940),0))</f>
        <v/>
      </c>
      <c r="AA3940" s="117">
        <f>IF($B3940="",0,IF(OR($W3940="EVET",$X3940="EVET",$Y3940="EVET"),0,IF($D3940="GELİR",IF($E3940="SATIŞ İADESİ/İSKONTO",-$O3940,$O3940),-$O3940)))</f>
        <v/>
      </c>
      <c r="AB3940" s="117">
        <f>IF($B3940="","",IF(OR($D3940="",$E3940="",$O3940=""),"EKSİK",IF($O3940&lt;=0,"SIFIR/NEGATİF",IF(COUNTIFS($C$6:$C$5000,$C3940,$O$6:$O$5000,$O3940,$B$6:$B$5000,$B3940)&gt;1,"MÜKERRER","OK"))))</f>
        <v/>
      </c>
    </row>
    <row r="3941" ht="16.5" customHeight="1" s="80">
      <c r="A3941" s="113" t="n"/>
      <c r="B3941" s="113" t="n"/>
      <c r="C3941" s="113" t="n"/>
      <c r="D3941" s="113" t="n"/>
      <c r="E3941" s="113" t="n"/>
      <c r="F3941" s="113" t="n"/>
      <c r="G3941" s="113" t="n"/>
      <c r="H3941" s="113" t="n"/>
      <c r="I3941" s="113" t="n"/>
      <c r="J3941" s="113" t="n"/>
      <c r="K3941" s="113" t="n"/>
      <c r="L3941" s="113" t="n"/>
      <c r="M3941" s="113" t="n"/>
      <c r="N3941" s="113" t="n"/>
      <c r="O3941" s="113" t="n"/>
      <c r="P3941" s="113" t="n"/>
      <c r="Q3941" s="113" t="n"/>
      <c r="R3941" s="113" t="n"/>
      <c r="S3941" s="113" t="n"/>
      <c r="T3941" s="113" t="n"/>
      <c r="U3941" s="113" t="n"/>
      <c r="V3941" s="113" t="n"/>
      <c r="W3941" s="113" t="n"/>
      <c r="X3941" s="113" t="n"/>
      <c r="Y3941" s="113" t="n"/>
      <c r="Z3941" s="117">
        <f>IF($B3941="",0,IF($S3941="EVET",IF($D3941="GELİR",$O3941,-$O3941),0))</f>
        <v/>
      </c>
      <c r="AA3941" s="117">
        <f>IF($B3941="",0,IF(OR($W3941="EVET",$X3941="EVET",$Y3941="EVET"),0,IF($D3941="GELİR",IF($E3941="SATIŞ İADESİ/İSKONTO",-$O3941,$O3941),-$O3941)))</f>
        <v/>
      </c>
      <c r="AB3941" s="117">
        <f>IF($B3941="","",IF(OR($D3941="",$E3941="",$O3941=""),"EKSİK",IF($O3941&lt;=0,"SIFIR/NEGATİF",IF(COUNTIFS($C$6:$C$5000,$C3941,$O$6:$O$5000,$O3941,$B$6:$B$5000,$B3941)&gt;1,"MÜKERRER","OK"))))</f>
        <v/>
      </c>
    </row>
    <row r="3942" ht="16.5" customHeight="1" s="80">
      <c r="A3942" s="113" t="n"/>
      <c r="B3942" s="113" t="n"/>
      <c r="C3942" s="113" t="n"/>
      <c r="D3942" s="113" t="n"/>
      <c r="E3942" s="113" t="n"/>
      <c r="F3942" s="113" t="n"/>
      <c r="G3942" s="113" t="n"/>
      <c r="H3942" s="113" t="n"/>
      <c r="I3942" s="113" t="n"/>
      <c r="J3942" s="113" t="n"/>
      <c r="K3942" s="113" t="n"/>
      <c r="L3942" s="113" t="n"/>
      <c r="M3942" s="113" t="n"/>
      <c r="N3942" s="113" t="n"/>
      <c r="O3942" s="113" t="n"/>
      <c r="P3942" s="113" t="n"/>
      <c r="Q3942" s="113" t="n"/>
      <c r="R3942" s="113" t="n"/>
      <c r="S3942" s="113" t="n"/>
      <c r="T3942" s="113" t="n"/>
      <c r="U3942" s="113" t="n"/>
      <c r="V3942" s="113" t="n"/>
      <c r="W3942" s="113" t="n"/>
      <c r="X3942" s="113" t="n"/>
      <c r="Y3942" s="113" t="n"/>
      <c r="Z3942" s="117">
        <f>IF($B3942="",0,IF($S3942="EVET",IF($D3942="GELİR",$O3942,-$O3942),0))</f>
        <v/>
      </c>
      <c r="AA3942" s="117">
        <f>IF($B3942="",0,IF(OR($W3942="EVET",$X3942="EVET",$Y3942="EVET"),0,IF($D3942="GELİR",IF($E3942="SATIŞ İADESİ/İSKONTO",-$O3942,$O3942),-$O3942)))</f>
        <v/>
      </c>
      <c r="AB3942" s="117">
        <f>IF($B3942="","",IF(OR($D3942="",$E3942="",$O3942=""),"EKSİK",IF($O3942&lt;=0,"SIFIR/NEGATİF",IF(COUNTIFS($C$6:$C$5000,$C3942,$O$6:$O$5000,$O3942,$B$6:$B$5000,$B3942)&gt;1,"MÜKERRER","OK"))))</f>
        <v/>
      </c>
    </row>
    <row r="3943" ht="16.5" customHeight="1" s="80">
      <c r="A3943" s="113" t="n"/>
      <c r="B3943" s="113" t="n"/>
      <c r="C3943" s="113" t="n"/>
      <c r="D3943" s="113" t="n"/>
      <c r="E3943" s="113" t="n"/>
      <c r="F3943" s="113" t="n"/>
      <c r="G3943" s="113" t="n"/>
      <c r="H3943" s="113" t="n"/>
      <c r="I3943" s="113" t="n"/>
      <c r="J3943" s="113" t="n"/>
      <c r="K3943" s="113" t="n"/>
      <c r="L3943" s="113" t="n"/>
      <c r="M3943" s="113" t="n"/>
      <c r="N3943" s="113" t="n"/>
      <c r="O3943" s="113" t="n"/>
      <c r="P3943" s="113" t="n"/>
      <c r="Q3943" s="113" t="n"/>
      <c r="R3943" s="113" t="n"/>
      <c r="S3943" s="113" t="n"/>
      <c r="T3943" s="113" t="n"/>
      <c r="U3943" s="113" t="n"/>
      <c r="V3943" s="113" t="n"/>
      <c r="W3943" s="113" t="n"/>
      <c r="X3943" s="113" t="n"/>
      <c r="Y3943" s="113" t="n"/>
      <c r="Z3943" s="117">
        <f>IF($B3943="",0,IF($S3943="EVET",IF($D3943="GELİR",$O3943,-$O3943),0))</f>
        <v/>
      </c>
      <c r="AA3943" s="117">
        <f>IF($B3943="",0,IF(OR($W3943="EVET",$X3943="EVET",$Y3943="EVET"),0,IF($D3943="GELİR",IF($E3943="SATIŞ İADESİ/İSKONTO",-$O3943,$O3943),-$O3943)))</f>
        <v/>
      </c>
      <c r="AB3943" s="117">
        <f>IF($B3943="","",IF(OR($D3943="",$E3943="",$O3943=""),"EKSİK",IF($O3943&lt;=0,"SIFIR/NEGATİF",IF(COUNTIFS($C$6:$C$5000,$C3943,$O$6:$O$5000,$O3943,$B$6:$B$5000,$B3943)&gt;1,"MÜKERRER","OK"))))</f>
        <v/>
      </c>
    </row>
    <row r="3944" ht="16.5" customHeight="1" s="80">
      <c r="A3944" s="113" t="n"/>
      <c r="B3944" s="113" t="n"/>
      <c r="C3944" s="113" t="n"/>
      <c r="D3944" s="113" t="n"/>
      <c r="E3944" s="113" t="n"/>
      <c r="F3944" s="113" t="n"/>
      <c r="G3944" s="113" t="n"/>
      <c r="H3944" s="113" t="n"/>
      <c r="I3944" s="113" t="n"/>
      <c r="J3944" s="113" t="n"/>
      <c r="K3944" s="113" t="n"/>
      <c r="L3944" s="113" t="n"/>
      <c r="M3944" s="113" t="n"/>
      <c r="N3944" s="113" t="n"/>
      <c r="O3944" s="113" t="n"/>
      <c r="P3944" s="113" t="n"/>
      <c r="Q3944" s="113" t="n"/>
      <c r="R3944" s="113" t="n"/>
      <c r="S3944" s="113" t="n"/>
      <c r="T3944" s="113" t="n"/>
      <c r="U3944" s="113" t="n"/>
      <c r="V3944" s="113" t="n"/>
      <c r="W3944" s="113" t="n"/>
      <c r="X3944" s="113" t="n"/>
      <c r="Y3944" s="113" t="n"/>
      <c r="Z3944" s="117">
        <f>IF($B3944="",0,IF($S3944="EVET",IF($D3944="GELİR",$O3944,-$O3944),0))</f>
        <v/>
      </c>
      <c r="AA3944" s="117">
        <f>IF($B3944="",0,IF(OR($W3944="EVET",$X3944="EVET",$Y3944="EVET"),0,IF($D3944="GELİR",IF($E3944="SATIŞ İADESİ/İSKONTO",-$O3944,$O3944),-$O3944)))</f>
        <v/>
      </c>
      <c r="AB3944" s="117">
        <f>IF($B3944="","",IF(OR($D3944="",$E3944="",$O3944=""),"EKSİK",IF($O3944&lt;=0,"SIFIR/NEGATİF",IF(COUNTIFS($C$6:$C$5000,$C3944,$O$6:$O$5000,$O3944,$B$6:$B$5000,$B3944)&gt;1,"MÜKERRER","OK"))))</f>
        <v/>
      </c>
    </row>
    <row r="3945" ht="16.5" customHeight="1" s="80">
      <c r="A3945" s="113" t="n"/>
      <c r="B3945" s="113" t="n"/>
      <c r="C3945" s="113" t="n"/>
      <c r="D3945" s="113" t="n"/>
      <c r="E3945" s="113" t="n"/>
      <c r="F3945" s="113" t="n"/>
      <c r="G3945" s="113" t="n"/>
      <c r="H3945" s="113" t="n"/>
      <c r="I3945" s="113" t="n"/>
      <c r="J3945" s="113" t="n"/>
      <c r="K3945" s="113" t="n"/>
      <c r="L3945" s="113" t="n"/>
      <c r="M3945" s="113" t="n"/>
      <c r="N3945" s="113" t="n"/>
      <c r="O3945" s="113" t="n"/>
      <c r="P3945" s="113" t="n"/>
      <c r="Q3945" s="113" t="n"/>
      <c r="R3945" s="113" t="n"/>
      <c r="S3945" s="113" t="n"/>
      <c r="T3945" s="113" t="n"/>
      <c r="U3945" s="113" t="n"/>
      <c r="V3945" s="113" t="n"/>
      <c r="W3945" s="113" t="n"/>
      <c r="X3945" s="113" t="n"/>
      <c r="Y3945" s="113" t="n"/>
      <c r="Z3945" s="117">
        <f>IF($B3945="",0,IF($S3945="EVET",IF($D3945="GELİR",$O3945,-$O3945),0))</f>
        <v/>
      </c>
      <c r="AA3945" s="117">
        <f>IF($B3945="",0,IF(OR($W3945="EVET",$X3945="EVET",$Y3945="EVET"),0,IF($D3945="GELİR",IF($E3945="SATIŞ İADESİ/İSKONTO",-$O3945,$O3945),-$O3945)))</f>
        <v/>
      </c>
      <c r="AB3945" s="117">
        <f>IF($B3945="","",IF(OR($D3945="",$E3945="",$O3945=""),"EKSİK",IF($O3945&lt;=0,"SIFIR/NEGATİF",IF(COUNTIFS($C$6:$C$5000,$C3945,$O$6:$O$5000,$O3945,$B$6:$B$5000,$B3945)&gt;1,"MÜKERRER","OK"))))</f>
        <v/>
      </c>
    </row>
    <row r="3946" ht="16.5" customHeight="1" s="80">
      <c r="A3946" s="113" t="n"/>
      <c r="B3946" s="113" t="n"/>
      <c r="C3946" s="113" t="n"/>
      <c r="D3946" s="113" t="n"/>
      <c r="E3946" s="113" t="n"/>
      <c r="F3946" s="113" t="n"/>
      <c r="G3946" s="113" t="n"/>
      <c r="H3946" s="113" t="n"/>
      <c r="I3946" s="113" t="n"/>
      <c r="J3946" s="113" t="n"/>
      <c r="K3946" s="113" t="n"/>
      <c r="L3946" s="113" t="n"/>
      <c r="M3946" s="113" t="n"/>
      <c r="N3946" s="113" t="n"/>
      <c r="O3946" s="113" t="n"/>
      <c r="P3946" s="113" t="n"/>
      <c r="Q3946" s="113" t="n"/>
      <c r="R3946" s="113" t="n"/>
      <c r="S3946" s="113" t="n"/>
      <c r="T3946" s="113" t="n"/>
      <c r="U3946" s="113" t="n"/>
      <c r="V3946" s="113" t="n"/>
      <c r="W3946" s="113" t="n"/>
      <c r="X3946" s="113" t="n"/>
      <c r="Y3946" s="113" t="n"/>
      <c r="Z3946" s="117">
        <f>IF($B3946="",0,IF($S3946="EVET",IF($D3946="GELİR",$O3946,-$O3946),0))</f>
        <v/>
      </c>
      <c r="AA3946" s="117">
        <f>IF($B3946="",0,IF(OR($W3946="EVET",$X3946="EVET",$Y3946="EVET"),0,IF($D3946="GELİR",IF($E3946="SATIŞ İADESİ/İSKONTO",-$O3946,$O3946),-$O3946)))</f>
        <v/>
      </c>
      <c r="AB3946" s="117">
        <f>IF($B3946="","",IF(OR($D3946="",$E3946="",$O3946=""),"EKSİK",IF($O3946&lt;=0,"SIFIR/NEGATİF",IF(COUNTIFS($C$6:$C$5000,$C3946,$O$6:$O$5000,$O3946,$B$6:$B$5000,$B3946)&gt;1,"MÜKERRER","OK"))))</f>
        <v/>
      </c>
    </row>
    <row r="3947" ht="16.5" customHeight="1" s="80">
      <c r="A3947" s="113" t="n"/>
      <c r="B3947" s="113" t="n"/>
      <c r="C3947" s="113" t="n"/>
      <c r="D3947" s="113" t="n"/>
      <c r="E3947" s="113" t="n"/>
      <c r="F3947" s="113" t="n"/>
      <c r="G3947" s="113" t="n"/>
      <c r="H3947" s="113" t="n"/>
      <c r="I3947" s="113" t="n"/>
      <c r="J3947" s="113" t="n"/>
      <c r="K3947" s="113" t="n"/>
      <c r="L3947" s="113" t="n"/>
      <c r="M3947" s="113" t="n"/>
      <c r="N3947" s="113" t="n"/>
      <c r="O3947" s="113" t="n"/>
      <c r="P3947" s="113" t="n"/>
      <c r="Q3947" s="113" t="n"/>
      <c r="R3947" s="113" t="n"/>
      <c r="S3947" s="113" t="n"/>
      <c r="T3947" s="113" t="n"/>
      <c r="U3947" s="113" t="n"/>
      <c r="V3947" s="113" t="n"/>
      <c r="W3947" s="113" t="n"/>
      <c r="X3947" s="113" t="n"/>
      <c r="Y3947" s="113" t="n"/>
      <c r="Z3947" s="117">
        <f>IF($B3947="",0,IF($S3947="EVET",IF($D3947="GELİR",$O3947,-$O3947),0))</f>
        <v/>
      </c>
      <c r="AA3947" s="117">
        <f>IF($B3947="",0,IF(OR($W3947="EVET",$X3947="EVET",$Y3947="EVET"),0,IF($D3947="GELİR",IF($E3947="SATIŞ İADESİ/İSKONTO",-$O3947,$O3947),-$O3947)))</f>
        <v/>
      </c>
      <c r="AB3947" s="117">
        <f>IF($B3947="","",IF(OR($D3947="",$E3947="",$O3947=""),"EKSİK",IF($O3947&lt;=0,"SIFIR/NEGATİF",IF(COUNTIFS($C$6:$C$5000,$C3947,$O$6:$O$5000,$O3947,$B$6:$B$5000,$B3947)&gt;1,"MÜKERRER","OK"))))</f>
        <v/>
      </c>
    </row>
    <row r="3948" ht="16.5" customHeight="1" s="80">
      <c r="A3948" s="113" t="n"/>
      <c r="B3948" s="113" t="n"/>
      <c r="C3948" s="113" t="n"/>
      <c r="D3948" s="113" t="n"/>
      <c r="E3948" s="113" t="n"/>
      <c r="F3948" s="113" t="n"/>
      <c r="G3948" s="113" t="n"/>
      <c r="H3948" s="113" t="n"/>
      <c r="I3948" s="113" t="n"/>
      <c r="J3948" s="113" t="n"/>
      <c r="K3948" s="113" t="n"/>
      <c r="L3948" s="113" t="n"/>
      <c r="M3948" s="113" t="n"/>
      <c r="N3948" s="113" t="n"/>
      <c r="O3948" s="113" t="n"/>
      <c r="P3948" s="113" t="n"/>
      <c r="Q3948" s="113" t="n"/>
      <c r="R3948" s="113" t="n"/>
      <c r="S3948" s="113" t="n"/>
      <c r="T3948" s="113" t="n"/>
      <c r="U3948" s="113" t="n"/>
      <c r="V3948" s="113" t="n"/>
      <c r="W3948" s="113" t="n"/>
      <c r="X3948" s="113" t="n"/>
      <c r="Y3948" s="113" t="n"/>
      <c r="Z3948" s="117">
        <f>IF($B3948="",0,IF($S3948="EVET",IF($D3948="GELİR",$O3948,-$O3948),0))</f>
        <v/>
      </c>
      <c r="AA3948" s="117">
        <f>IF($B3948="",0,IF(OR($W3948="EVET",$X3948="EVET",$Y3948="EVET"),0,IF($D3948="GELİR",IF($E3948="SATIŞ İADESİ/İSKONTO",-$O3948,$O3948),-$O3948)))</f>
        <v/>
      </c>
      <c r="AB3948" s="117">
        <f>IF($B3948="","",IF(OR($D3948="",$E3948="",$O3948=""),"EKSİK",IF($O3948&lt;=0,"SIFIR/NEGATİF",IF(COUNTIFS($C$6:$C$5000,$C3948,$O$6:$O$5000,$O3948,$B$6:$B$5000,$B3948)&gt;1,"MÜKERRER","OK"))))</f>
        <v/>
      </c>
    </row>
    <row r="3949" ht="16.5" customHeight="1" s="80">
      <c r="A3949" s="113" t="n"/>
      <c r="B3949" s="113" t="n"/>
      <c r="C3949" s="113" t="n"/>
      <c r="D3949" s="113" t="n"/>
      <c r="E3949" s="113" t="n"/>
      <c r="F3949" s="113" t="n"/>
      <c r="G3949" s="113" t="n"/>
      <c r="H3949" s="113" t="n"/>
      <c r="I3949" s="113" t="n"/>
      <c r="J3949" s="113" t="n"/>
      <c r="K3949" s="113" t="n"/>
      <c r="L3949" s="113" t="n"/>
      <c r="M3949" s="113" t="n"/>
      <c r="N3949" s="113" t="n"/>
      <c r="O3949" s="113" t="n"/>
      <c r="P3949" s="113" t="n"/>
      <c r="Q3949" s="113" t="n"/>
      <c r="R3949" s="113" t="n"/>
      <c r="S3949" s="113" t="n"/>
      <c r="T3949" s="113" t="n"/>
      <c r="U3949" s="113" t="n"/>
      <c r="V3949" s="113" t="n"/>
      <c r="W3949" s="113" t="n"/>
      <c r="X3949" s="113" t="n"/>
      <c r="Y3949" s="113" t="n"/>
      <c r="Z3949" s="117">
        <f>IF($B3949="",0,IF($S3949="EVET",IF($D3949="GELİR",$O3949,-$O3949),0))</f>
        <v/>
      </c>
      <c r="AA3949" s="117">
        <f>IF($B3949="",0,IF(OR($W3949="EVET",$X3949="EVET",$Y3949="EVET"),0,IF($D3949="GELİR",IF($E3949="SATIŞ İADESİ/İSKONTO",-$O3949,$O3949),-$O3949)))</f>
        <v/>
      </c>
      <c r="AB3949" s="117">
        <f>IF($B3949="","",IF(OR($D3949="",$E3949="",$O3949=""),"EKSİK",IF($O3949&lt;=0,"SIFIR/NEGATİF",IF(COUNTIFS($C$6:$C$5000,$C3949,$O$6:$O$5000,$O3949,$B$6:$B$5000,$B3949)&gt;1,"MÜKERRER","OK"))))</f>
        <v/>
      </c>
    </row>
    <row r="3950" ht="16.5" customHeight="1" s="80">
      <c r="A3950" s="113" t="n"/>
      <c r="B3950" s="113" t="n"/>
      <c r="C3950" s="113" t="n"/>
      <c r="D3950" s="113" t="n"/>
      <c r="E3950" s="113" t="n"/>
      <c r="F3950" s="113" t="n"/>
      <c r="G3950" s="113" t="n"/>
      <c r="H3950" s="113" t="n"/>
      <c r="I3950" s="113" t="n"/>
      <c r="J3950" s="113" t="n"/>
      <c r="K3950" s="113" t="n"/>
      <c r="L3950" s="113" t="n"/>
      <c r="M3950" s="113" t="n"/>
      <c r="N3950" s="113" t="n"/>
      <c r="O3950" s="113" t="n"/>
      <c r="P3950" s="113" t="n"/>
      <c r="Q3950" s="113" t="n"/>
      <c r="R3950" s="113" t="n"/>
      <c r="S3950" s="113" t="n"/>
      <c r="T3950" s="113" t="n"/>
      <c r="U3950" s="113" t="n"/>
      <c r="V3950" s="113" t="n"/>
      <c r="W3950" s="113" t="n"/>
      <c r="X3950" s="113" t="n"/>
      <c r="Y3950" s="113" t="n"/>
      <c r="Z3950" s="117">
        <f>IF($B3950="",0,IF($S3950="EVET",IF($D3950="GELİR",$O3950,-$O3950),0))</f>
        <v/>
      </c>
      <c r="AA3950" s="117">
        <f>IF($B3950="",0,IF(OR($W3950="EVET",$X3950="EVET",$Y3950="EVET"),0,IF($D3950="GELİR",IF($E3950="SATIŞ İADESİ/İSKONTO",-$O3950,$O3950),-$O3950)))</f>
        <v/>
      </c>
      <c r="AB3950" s="117">
        <f>IF($B3950="","",IF(OR($D3950="",$E3950="",$O3950=""),"EKSİK",IF($O3950&lt;=0,"SIFIR/NEGATİF",IF(COUNTIFS($C$6:$C$5000,$C3950,$O$6:$O$5000,$O3950,$B$6:$B$5000,$B3950)&gt;1,"MÜKERRER","OK"))))</f>
        <v/>
      </c>
    </row>
    <row r="3951" ht="16.5" customHeight="1" s="80">
      <c r="A3951" s="113" t="n"/>
      <c r="B3951" s="113" t="n"/>
      <c r="C3951" s="113" t="n"/>
      <c r="D3951" s="113" t="n"/>
      <c r="E3951" s="113" t="n"/>
      <c r="F3951" s="113" t="n"/>
      <c r="G3951" s="113" t="n"/>
      <c r="H3951" s="113" t="n"/>
      <c r="I3951" s="113" t="n"/>
      <c r="J3951" s="113" t="n"/>
      <c r="K3951" s="113" t="n"/>
      <c r="L3951" s="113" t="n"/>
      <c r="M3951" s="113" t="n"/>
      <c r="N3951" s="113" t="n"/>
      <c r="O3951" s="113" t="n"/>
      <c r="P3951" s="113" t="n"/>
      <c r="Q3951" s="113" t="n"/>
      <c r="R3951" s="113" t="n"/>
      <c r="S3951" s="113" t="n"/>
      <c r="T3951" s="113" t="n"/>
      <c r="U3951" s="113" t="n"/>
      <c r="V3951" s="113" t="n"/>
      <c r="W3951" s="113" t="n"/>
      <c r="X3951" s="113" t="n"/>
      <c r="Y3951" s="113" t="n"/>
      <c r="Z3951" s="117">
        <f>IF($B3951="",0,IF($S3951="EVET",IF($D3951="GELİR",$O3951,-$O3951),0))</f>
        <v/>
      </c>
      <c r="AA3951" s="117">
        <f>IF($B3951="",0,IF(OR($W3951="EVET",$X3951="EVET",$Y3951="EVET"),0,IF($D3951="GELİR",IF($E3951="SATIŞ İADESİ/İSKONTO",-$O3951,$O3951),-$O3951)))</f>
        <v/>
      </c>
      <c r="AB3951" s="117">
        <f>IF($B3951="","",IF(OR($D3951="",$E3951="",$O3951=""),"EKSİK",IF($O3951&lt;=0,"SIFIR/NEGATİF",IF(COUNTIFS($C$6:$C$5000,$C3951,$O$6:$O$5000,$O3951,$B$6:$B$5000,$B3951)&gt;1,"MÜKERRER","OK"))))</f>
        <v/>
      </c>
    </row>
    <row r="3952" ht="16.5" customHeight="1" s="80">
      <c r="A3952" s="113" t="n"/>
      <c r="B3952" s="113" t="n"/>
      <c r="C3952" s="113" t="n"/>
      <c r="D3952" s="113" t="n"/>
      <c r="E3952" s="113" t="n"/>
      <c r="F3952" s="113" t="n"/>
      <c r="G3952" s="113" t="n"/>
      <c r="H3952" s="113" t="n"/>
      <c r="I3952" s="113" t="n"/>
      <c r="J3952" s="113" t="n"/>
      <c r="K3952" s="113" t="n"/>
      <c r="L3952" s="113" t="n"/>
      <c r="M3952" s="113" t="n"/>
      <c r="N3952" s="113" t="n"/>
      <c r="O3952" s="113" t="n"/>
      <c r="P3952" s="113" t="n"/>
      <c r="Q3952" s="113" t="n"/>
      <c r="R3952" s="113" t="n"/>
      <c r="S3952" s="113" t="n"/>
      <c r="T3952" s="113" t="n"/>
      <c r="U3952" s="113" t="n"/>
      <c r="V3952" s="113" t="n"/>
      <c r="W3952" s="113" t="n"/>
      <c r="X3952" s="113" t="n"/>
      <c r="Y3952" s="113" t="n"/>
      <c r="Z3952" s="117">
        <f>IF($B3952="",0,IF($S3952="EVET",IF($D3952="GELİR",$O3952,-$O3952),0))</f>
        <v/>
      </c>
      <c r="AA3952" s="117">
        <f>IF($B3952="",0,IF(OR($W3952="EVET",$X3952="EVET",$Y3952="EVET"),0,IF($D3952="GELİR",IF($E3952="SATIŞ İADESİ/İSKONTO",-$O3952,$O3952),-$O3952)))</f>
        <v/>
      </c>
      <c r="AB3952" s="117">
        <f>IF($B3952="","",IF(OR($D3952="",$E3952="",$O3952=""),"EKSİK",IF($O3952&lt;=0,"SIFIR/NEGATİF",IF(COUNTIFS($C$6:$C$5000,$C3952,$O$6:$O$5000,$O3952,$B$6:$B$5000,$B3952)&gt;1,"MÜKERRER","OK"))))</f>
        <v/>
      </c>
    </row>
    <row r="3953" ht="16.5" customHeight="1" s="80">
      <c r="A3953" s="113" t="n"/>
      <c r="B3953" s="113" t="n"/>
      <c r="C3953" s="113" t="n"/>
      <c r="D3953" s="113" t="n"/>
      <c r="E3953" s="113" t="n"/>
      <c r="F3953" s="113" t="n"/>
      <c r="G3953" s="113" t="n"/>
      <c r="H3953" s="113" t="n"/>
      <c r="I3953" s="113" t="n"/>
      <c r="J3953" s="113" t="n"/>
      <c r="K3953" s="113" t="n"/>
      <c r="L3953" s="113" t="n"/>
      <c r="M3953" s="113" t="n"/>
      <c r="N3953" s="113" t="n"/>
      <c r="O3953" s="113" t="n"/>
      <c r="P3953" s="113" t="n"/>
      <c r="Q3953" s="113" t="n"/>
      <c r="R3953" s="113" t="n"/>
      <c r="S3953" s="113" t="n"/>
      <c r="T3953" s="113" t="n"/>
      <c r="U3953" s="113" t="n"/>
      <c r="V3953" s="113" t="n"/>
      <c r="W3953" s="113" t="n"/>
      <c r="X3953" s="113" t="n"/>
      <c r="Y3953" s="113" t="n"/>
      <c r="Z3953" s="117">
        <f>IF($B3953="",0,IF($S3953="EVET",IF($D3953="GELİR",$O3953,-$O3953),0))</f>
        <v/>
      </c>
      <c r="AA3953" s="117">
        <f>IF($B3953="",0,IF(OR($W3953="EVET",$X3953="EVET",$Y3953="EVET"),0,IF($D3953="GELİR",IF($E3953="SATIŞ İADESİ/İSKONTO",-$O3953,$O3953),-$O3953)))</f>
        <v/>
      </c>
      <c r="AB3953" s="117">
        <f>IF($B3953="","",IF(OR($D3953="",$E3953="",$O3953=""),"EKSİK",IF($O3953&lt;=0,"SIFIR/NEGATİF",IF(COUNTIFS($C$6:$C$5000,$C3953,$O$6:$O$5000,$O3953,$B$6:$B$5000,$B3953)&gt;1,"MÜKERRER","OK"))))</f>
        <v/>
      </c>
    </row>
    <row r="3954" ht="16.5" customHeight="1" s="80">
      <c r="A3954" s="113" t="n"/>
      <c r="B3954" s="113" t="n"/>
      <c r="C3954" s="113" t="n"/>
      <c r="D3954" s="113" t="n"/>
      <c r="E3954" s="113" t="n"/>
      <c r="F3954" s="113" t="n"/>
      <c r="G3954" s="113" t="n"/>
      <c r="H3954" s="113" t="n"/>
      <c r="I3954" s="113" t="n"/>
      <c r="J3954" s="113" t="n"/>
      <c r="K3954" s="113" t="n"/>
      <c r="L3954" s="113" t="n"/>
      <c r="M3954" s="113" t="n"/>
      <c r="N3954" s="113" t="n"/>
      <c r="O3954" s="113" t="n"/>
      <c r="P3954" s="113" t="n"/>
      <c r="Q3954" s="113" t="n"/>
      <c r="R3954" s="113" t="n"/>
      <c r="S3954" s="113" t="n"/>
      <c r="T3954" s="113" t="n"/>
      <c r="U3954" s="113" t="n"/>
      <c r="V3954" s="113" t="n"/>
      <c r="W3954" s="113" t="n"/>
      <c r="X3954" s="113" t="n"/>
      <c r="Y3954" s="113" t="n"/>
      <c r="Z3954" s="117">
        <f>IF($B3954="",0,IF($S3954="EVET",IF($D3954="GELİR",$O3954,-$O3954),0))</f>
        <v/>
      </c>
      <c r="AA3954" s="117">
        <f>IF($B3954="",0,IF(OR($W3954="EVET",$X3954="EVET",$Y3954="EVET"),0,IF($D3954="GELİR",IF($E3954="SATIŞ İADESİ/İSKONTO",-$O3954,$O3954),-$O3954)))</f>
        <v/>
      </c>
      <c r="AB3954" s="117">
        <f>IF($B3954="","",IF(OR($D3954="",$E3954="",$O3954=""),"EKSİK",IF($O3954&lt;=0,"SIFIR/NEGATİF",IF(COUNTIFS($C$6:$C$5000,$C3954,$O$6:$O$5000,$O3954,$B$6:$B$5000,$B3954)&gt;1,"MÜKERRER","OK"))))</f>
        <v/>
      </c>
    </row>
    <row r="3955" ht="16.5" customHeight="1" s="80">
      <c r="A3955" s="113" t="n"/>
      <c r="B3955" s="113" t="n"/>
      <c r="C3955" s="113" t="n"/>
      <c r="D3955" s="113" t="n"/>
      <c r="E3955" s="113" t="n"/>
      <c r="F3955" s="113" t="n"/>
      <c r="G3955" s="113" t="n"/>
      <c r="H3955" s="113" t="n"/>
      <c r="I3955" s="113" t="n"/>
      <c r="J3955" s="113" t="n"/>
      <c r="K3955" s="113" t="n"/>
      <c r="L3955" s="113" t="n"/>
      <c r="M3955" s="113" t="n"/>
      <c r="N3955" s="113" t="n"/>
      <c r="O3955" s="113" t="n"/>
      <c r="P3955" s="113" t="n"/>
      <c r="Q3955" s="113" t="n"/>
      <c r="R3955" s="113" t="n"/>
      <c r="S3955" s="113" t="n"/>
      <c r="T3955" s="113" t="n"/>
      <c r="U3955" s="113" t="n"/>
      <c r="V3955" s="113" t="n"/>
      <c r="W3955" s="113" t="n"/>
      <c r="X3955" s="113" t="n"/>
      <c r="Y3955" s="113" t="n"/>
      <c r="Z3955" s="117">
        <f>IF($B3955="",0,IF($S3955="EVET",IF($D3955="GELİR",$O3955,-$O3955),0))</f>
        <v/>
      </c>
      <c r="AA3955" s="117">
        <f>IF($B3955="",0,IF(OR($W3955="EVET",$X3955="EVET",$Y3955="EVET"),0,IF($D3955="GELİR",IF($E3955="SATIŞ İADESİ/İSKONTO",-$O3955,$O3955),-$O3955)))</f>
        <v/>
      </c>
      <c r="AB3955" s="117">
        <f>IF($B3955="","",IF(OR($D3955="",$E3955="",$O3955=""),"EKSİK",IF($O3955&lt;=0,"SIFIR/NEGATİF",IF(COUNTIFS($C$6:$C$5000,$C3955,$O$6:$O$5000,$O3955,$B$6:$B$5000,$B3955)&gt;1,"MÜKERRER","OK"))))</f>
        <v/>
      </c>
    </row>
    <row r="3956" ht="16.5" customHeight="1" s="80">
      <c r="A3956" s="113" t="n"/>
      <c r="B3956" s="113" t="n"/>
      <c r="C3956" s="113" t="n"/>
      <c r="D3956" s="113" t="n"/>
      <c r="E3956" s="113" t="n"/>
      <c r="F3956" s="113" t="n"/>
      <c r="G3956" s="113" t="n"/>
      <c r="H3956" s="113" t="n"/>
      <c r="I3956" s="113" t="n"/>
      <c r="J3956" s="113" t="n"/>
      <c r="K3956" s="113" t="n"/>
      <c r="L3956" s="113" t="n"/>
      <c r="M3956" s="113" t="n"/>
      <c r="N3956" s="113" t="n"/>
      <c r="O3956" s="113" t="n"/>
      <c r="P3956" s="113" t="n"/>
      <c r="Q3956" s="113" t="n"/>
      <c r="R3956" s="113" t="n"/>
      <c r="S3956" s="113" t="n"/>
      <c r="T3956" s="113" t="n"/>
      <c r="U3956" s="113" t="n"/>
      <c r="V3956" s="113" t="n"/>
      <c r="W3956" s="113" t="n"/>
      <c r="X3956" s="113" t="n"/>
      <c r="Y3956" s="113" t="n"/>
      <c r="Z3956" s="117">
        <f>IF($B3956="",0,IF($S3956="EVET",IF($D3956="GELİR",$O3956,-$O3956),0))</f>
        <v/>
      </c>
      <c r="AA3956" s="117">
        <f>IF($B3956="",0,IF(OR($W3956="EVET",$X3956="EVET",$Y3956="EVET"),0,IF($D3956="GELİR",IF($E3956="SATIŞ İADESİ/İSKONTO",-$O3956,$O3956),-$O3956)))</f>
        <v/>
      </c>
      <c r="AB3956" s="117">
        <f>IF($B3956="","",IF(OR($D3956="",$E3956="",$O3956=""),"EKSİK",IF($O3956&lt;=0,"SIFIR/NEGATİF",IF(COUNTIFS($C$6:$C$5000,$C3956,$O$6:$O$5000,$O3956,$B$6:$B$5000,$B3956)&gt;1,"MÜKERRER","OK"))))</f>
        <v/>
      </c>
    </row>
    <row r="3957" ht="16.5" customHeight="1" s="80">
      <c r="A3957" s="113" t="n"/>
      <c r="B3957" s="113" t="n"/>
      <c r="C3957" s="113" t="n"/>
      <c r="D3957" s="113" t="n"/>
      <c r="E3957" s="113" t="n"/>
      <c r="F3957" s="113" t="n"/>
      <c r="G3957" s="113" t="n"/>
      <c r="H3957" s="113" t="n"/>
      <c r="I3957" s="113" t="n"/>
      <c r="J3957" s="113" t="n"/>
      <c r="K3957" s="113" t="n"/>
      <c r="L3957" s="113" t="n"/>
      <c r="M3957" s="113" t="n"/>
      <c r="N3957" s="113" t="n"/>
      <c r="O3957" s="113" t="n"/>
      <c r="P3957" s="113" t="n"/>
      <c r="Q3957" s="113" t="n"/>
      <c r="R3957" s="113" t="n"/>
      <c r="S3957" s="113" t="n"/>
      <c r="T3957" s="113" t="n"/>
      <c r="U3957" s="113" t="n"/>
      <c r="V3957" s="113" t="n"/>
      <c r="W3957" s="113" t="n"/>
      <c r="X3957" s="113" t="n"/>
      <c r="Y3957" s="113" t="n"/>
      <c r="Z3957" s="117">
        <f>IF($B3957="",0,IF($S3957="EVET",IF($D3957="GELİR",$O3957,-$O3957),0))</f>
        <v/>
      </c>
      <c r="AA3957" s="117">
        <f>IF($B3957="",0,IF(OR($W3957="EVET",$X3957="EVET",$Y3957="EVET"),0,IF($D3957="GELİR",IF($E3957="SATIŞ İADESİ/İSKONTO",-$O3957,$O3957),-$O3957)))</f>
        <v/>
      </c>
      <c r="AB3957" s="117">
        <f>IF($B3957="","",IF(OR($D3957="",$E3957="",$O3957=""),"EKSİK",IF($O3957&lt;=0,"SIFIR/NEGATİF",IF(COUNTIFS($C$6:$C$5000,$C3957,$O$6:$O$5000,$O3957,$B$6:$B$5000,$B3957)&gt;1,"MÜKERRER","OK"))))</f>
        <v/>
      </c>
    </row>
    <row r="3958" ht="16.5" customHeight="1" s="80">
      <c r="A3958" s="113" t="n"/>
      <c r="B3958" s="113" t="n"/>
      <c r="C3958" s="113" t="n"/>
      <c r="D3958" s="113" t="n"/>
      <c r="E3958" s="113" t="n"/>
      <c r="F3958" s="113" t="n"/>
      <c r="G3958" s="113" t="n"/>
      <c r="H3958" s="113" t="n"/>
      <c r="I3958" s="113" t="n"/>
      <c r="J3958" s="113" t="n"/>
      <c r="K3958" s="113" t="n"/>
      <c r="L3958" s="113" t="n"/>
      <c r="M3958" s="113" t="n"/>
      <c r="N3958" s="113" t="n"/>
      <c r="O3958" s="113" t="n"/>
      <c r="P3958" s="113" t="n"/>
      <c r="Q3958" s="113" t="n"/>
      <c r="R3958" s="113" t="n"/>
      <c r="S3958" s="113" t="n"/>
      <c r="T3958" s="113" t="n"/>
      <c r="U3958" s="113" t="n"/>
      <c r="V3958" s="113" t="n"/>
      <c r="W3958" s="113" t="n"/>
      <c r="X3958" s="113" t="n"/>
      <c r="Y3958" s="113" t="n"/>
      <c r="Z3958" s="117">
        <f>IF($B3958="",0,IF($S3958="EVET",IF($D3958="GELİR",$O3958,-$O3958),0))</f>
        <v/>
      </c>
      <c r="AA3958" s="117">
        <f>IF($B3958="",0,IF(OR($W3958="EVET",$X3958="EVET",$Y3958="EVET"),0,IF($D3958="GELİR",IF($E3958="SATIŞ İADESİ/İSKONTO",-$O3958,$O3958),-$O3958)))</f>
        <v/>
      </c>
      <c r="AB3958" s="117">
        <f>IF($B3958="","",IF(OR($D3958="",$E3958="",$O3958=""),"EKSİK",IF($O3958&lt;=0,"SIFIR/NEGATİF",IF(COUNTIFS($C$6:$C$5000,$C3958,$O$6:$O$5000,$O3958,$B$6:$B$5000,$B3958)&gt;1,"MÜKERRER","OK"))))</f>
        <v/>
      </c>
    </row>
    <row r="3959" ht="16.5" customHeight="1" s="80">
      <c r="A3959" s="113" t="n"/>
      <c r="B3959" s="113" t="n"/>
      <c r="C3959" s="113" t="n"/>
      <c r="D3959" s="113" t="n"/>
      <c r="E3959" s="113" t="n"/>
      <c r="F3959" s="113" t="n"/>
      <c r="G3959" s="113" t="n"/>
      <c r="H3959" s="113" t="n"/>
      <c r="I3959" s="113" t="n"/>
      <c r="J3959" s="113" t="n"/>
      <c r="K3959" s="113" t="n"/>
      <c r="L3959" s="113" t="n"/>
      <c r="M3959" s="113" t="n"/>
      <c r="N3959" s="113" t="n"/>
      <c r="O3959" s="113" t="n"/>
      <c r="P3959" s="113" t="n"/>
      <c r="Q3959" s="113" t="n"/>
      <c r="R3959" s="113" t="n"/>
      <c r="S3959" s="113" t="n"/>
      <c r="T3959" s="113" t="n"/>
      <c r="U3959" s="113" t="n"/>
      <c r="V3959" s="113" t="n"/>
      <c r="W3959" s="113" t="n"/>
      <c r="X3959" s="113" t="n"/>
      <c r="Y3959" s="113" t="n"/>
      <c r="Z3959" s="117">
        <f>IF($B3959="",0,IF($S3959="EVET",IF($D3959="GELİR",$O3959,-$O3959),0))</f>
        <v/>
      </c>
      <c r="AA3959" s="117">
        <f>IF($B3959="",0,IF(OR($W3959="EVET",$X3959="EVET",$Y3959="EVET"),0,IF($D3959="GELİR",IF($E3959="SATIŞ İADESİ/İSKONTO",-$O3959,$O3959),-$O3959)))</f>
        <v/>
      </c>
      <c r="AB3959" s="117">
        <f>IF($B3959="","",IF(OR($D3959="",$E3959="",$O3959=""),"EKSİK",IF($O3959&lt;=0,"SIFIR/NEGATİF",IF(COUNTIFS($C$6:$C$5000,$C3959,$O$6:$O$5000,$O3959,$B$6:$B$5000,$B3959)&gt;1,"MÜKERRER","OK"))))</f>
        <v/>
      </c>
    </row>
    <row r="3960" ht="16.5" customHeight="1" s="80">
      <c r="A3960" s="113" t="n"/>
      <c r="B3960" s="113" t="n"/>
      <c r="C3960" s="113" t="n"/>
      <c r="D3960" s="113" t="n"/>
      <c r="E3960" s="113" t="n"/>
      <c r="F3960" s="113" t="n"/>
      <c r="G3960" s="113" t="n"/>
      <c r="H3960" s="113" t="n"/>
      <c r="I3960" s="113" t="n"/>
      <c r="J3960" s="113" t="n"/>
      <c r="K3960" s="113" t="n"/>
      <c r="L3960" s="113" t="n"/>
      <c r="M3960" s="113" t="n"/>
      <c r="N3960" s="113" t="n"/>
      <c r="O3960" s="113" t="n"/>
      <c r="P3960" s="113" t="n"/>
      <c r="Q3960" s="113" t="n"/>
      <c r="R3960" s="113" t="n"/>
      <c r="S3960" s="113" t="n"/>
      <c r="T3960" s="113" t="n"/>
      <c r="U3960" s="113" t="n"/>
      <c r="V3960" s="113" t="n"/>
      <c r="W3960" s="113" t="n"/>
      <c r="X3960" s="113" t="n"/>
      <c r="Y3960" s="113" t="n"/>
      <c r="Z3960" s="117">
        <f>IF($B3960="",0,IF($S3960="EVET",IF($D3960="GELİR",$O3960,-$O3960),0))</f>
        <v/>
      </c>
      <c r="AA3960" s="117">
        <f>IF($B3960="",0,IF(OR($W3960="EVET",$X3960="EVET",$Y3960="EVET"),0,IF($D3960="GELİR",IF($E3960="SATIŞ İADESİ/İSKONTO",-$O3960,$O3960),-$O3960)))</f>
        <v/>
      </c>
      <c r="AB3960" s="117">
        <f>IF($B3960="","",IF(OR($D3960="",$E3960="",$O3960=""),"EKSİK",IF($O3960&lt;=0,"SIFIR/NEGATİF",IF(COUNTIFS($C$6:$C$5000,$C3960,$O$6:$O$5000,$O3960,$B$6:$B$5000,$B3960)&gt;1,"MÜKERRER","OK"))))</f>
        <v/>
      </c>
    </row>
    <row r="3961" ht="16.5" customHeight="1" s="80">
      <c r="A3961" s="113" t="n"/>
      <c r="B3961" s="113" t="n"/>
      <c r="C3961" s="113" t="n"/>
      <c r="D3961" s="113" t="n"/>
      <c r="E3961" s="113" t="n"/>
      <c r="F3961" s="113" t="n"/>
      <c r="G3961" s="113" t="n"/>
      <c r="H3961" s="113" t="n"/>
      <c r="I3961" s="113" t="n"/>
      <c r="J3961" s="113" t="n"/>
      <c r="K3961" s="113" t="n"/>
      <c r="L3961" s="113" t="n"/>
      <c r="M3961" s="113" t="n"/>
      <c r="N3961" s="113" t="n"/>
      <c r="O3961" s="113" t="n"/>
      <c r="P3961" s="113" t="n"/>
      <c r="Q3961" s="113" t="n"/>
      <c r="R3961" s="113" t="n"/>
      <c r="S3961" s="113" t="n"/>
      <c r="T3961" s="113" t="n"/>
      <c r="U3961" s="113" t="n"/>
      <c r="V3961" s="113" t="n"/>
      <c r="W3961" s="113" t="n"/>
      <c r="X3961" s="113" t="n"/>
      <c r="Y3961" s="113" t="n"/>
      <c r="Z3961" s="117">
        <f>IF($B3961="",0,IF($S3961="EVET",IF($D3961="GELİR",$O3961,-$O3961),0))</f>
        <v/>
      </c>
      <c r="AA3961" s="117">
        <f>IF($B3961="",0,IF(OR($W3961="EVET",$X3961="EVET",$Y3961="EVET"),0,IF($D3961="GELİR",IF($E3961="SATIŞ İADESİ/İSKONTO",-$O3961,$O3961),-$O3961)))</f>
        <v/>
      </c>
      <c r="AB3961" s="117">
        <f>IF($B3961="","",IF(OR($D3961="",$E3961="",$O3961=""),"EKSİK",IF($O3961&lt;=0,"SIFIR/NEGATİF",IF(COUNTIFS($C$6:$C$5000,$C3961,$O$6:$O$5000,$O3961,$B$6:$B$5000,$B3961)&gt;1,"MÜKERRER","OK"))))</f>
        <v/>
      </c>
    </row>
    <row r="3962" ht="16.5" customHeight="1" s="80">
      <c r="A3962" s="113" t="n"/>
      <c r="B3962" s="113" t="n"/>
      <c r="C3962" s="113" t="n"/>
      <c r="D3962" s="113" t="n"/>
      <c r="E3962" s="113" t="n"/>
      <c r="F3962" s="113" t="n"/>
      <c r="G3962" s="113" t="n"/>
      <c r="H3962" s="113" t="n"/>
      <c r="I3962" s="113" t="n"/>
      <c r="J3962" s="113" t="n"/>
      <c r="K3962" s="113" t="n"/>
      <c r="L3962" s="113" t="n"/>
      <c r="M3962" s="113" t="n"/>
      <c r="N3962" s="113" t="n"/>
      <c r="O3962" s="113" t="n"/>
      <c r="P3962" s="113" t="n"/>
      <c r="Q3962" s="113" t="n"/>
      <c r="R3962" s="113" t="n"/>
      <c r="S3962" s="113" t="n"/>
      <c r="T3962" s="113" t="n"/>
      <c r="U3962" s="113" t="n"/>
      <c r="V3962" s="113" t="n"/>
      <c r="W3962" s="113" t="n"/>
      <c r="X3962" s="113" t="n"/>
      <c r="Y3962" s="113" t="n"/>
      <c r="Z3962" s="117">
        <f>IF($B3962="",0,IF($S3962="EVET",IF($D3962="GELİR",$O3962,-$O3962),0))</f>
        <v/>
      </c>
      <c r="AA3962" s="117">
        <f>IF($B3962="",0,IF(OR($W3962="EVET",$X3962="EVET",$Y3962="EVET"),0,IF($D3962="GELİR",IF($E3962="SATIŞ İADESİ/İSKONTO",-$O3962,$O3962),-$O3962)))</f>
        <v/>
      </c>
      <c r="AB3962" s="117">
        <f>IF($B3962="","",IF(OR($D3962="",$E3962="",$O3962=""),"EKSİK",IF($O3962&lt;=0,"SIFIR/NEGATİF",IF(COUNTIFS($C$6:$C$5000,$C3962,$O$6:$O$5000,$O3962,$B$6:$B$5000,$B3962)&gt;1,"MÜKERRER","OK"))))</f>
        <v/>
      </c>
    </row>
    <row r="3963" ht="16.5" customHeight="1" s="80">
      <c r="A3963" s="113" t="n"/>
      <c r="B3963" s="113" t="n"/>
      <c r="C3963" s="113" t="n"/>
      <c r="D3963" s="113" t="n"/>
      <c r="E3963" s="113" t="n"/>
      <c r="F3963" s="113" t="n"/>
      <c r="G3963" s="113" t="n"/>
      <c r="H3963" s="113" t="n"/>
      <c r="I3963" s="113" t="n"/>
      <c r="J3963" s="113" t="n"/>
      <c r="K3963" s="113" t="n"/>
      <c r="L3963" s="113" t="n"/>
      <c r="M3963" s="113" t="n"/>
      <c r="N3963" s="113" t="n"/>
      <c r="O3963" s="113" t="n"/>
      <c r="P3963" s="113" t="n"/>
      <c r="Q3963" s="113" t="n"/>
      <c r="R3963" s="113" t="n"/>
      <c r="S3963" s="113" t="n"/>
      <c r="T3963" s="113" t="n"/>
      <c r="U3963" s="113" t="n"/>
      <c r="V3963" s="113" t="n"/>
      <c r="W3963" s="113" t="n"/>
      <c r="X3963" s="113" t="n"/>
      <c r="Y3963" s="113" t="n"/>
      <c r="Z3963" s="117">
        <f>IF($B3963="",0,IF($S3963="EVET",IF($D3963="GELİR",$O3963,-$O3963),0))</f>
        <v/>
      </c>
      <c r="AA3963" s="117">
        <f>IF($B3963="",0,IF(OR($W3963="EVET",$X3963="EVET",$Y3963="EVET"),0,IF($D3963="GELİR",IF($E3963="SATIŞ İADESİ/İSKONTO",-$O3963,$O3963),-$O3963)))</f>
        <v/>
      </c>
      <c r="AB3963" s="117">
        <f>IF($B3963="","",IF(OR($D3963="",$E3963="",$O3963=""),"EKSİK",IF($O3963&lt;=0,"SIFIR/NEGATİF",IF(COUNTIFS($C$6:$C$5000,$C3963,$O$6:$O$5000,$O3963,$B$6:$B$5000,$B3963)&gt;1,"MÜKERRER","OK"))))</f>
        <v/>
      </c>
    </row>
    <row r="3964" ht="16.5" customHeight="1" s="80">
      <c r="A3964" s="113" t="n"/>
      <c r="B3964" s="113" t="n"/>
      <c r="C3964" s="113" t="n"/>
      <c r="D3964" s="113" t="n"/>
      <c r="E3964" s="113" t="n"/>
      <c r="F3964" s="113" t="n"/>
      <c r="G3964" s="113" t="n"/>
      <c r="H3964" s="113" t="n"/>
      <c r="I3964" s="113" t="n"/>
      <c r="J3964" s="113" t="n"/>
      <c r="K3964" s="113" t="n"/>
      <c r="L3964" s="113" t="n"/>
      <c r="M3964" s="113" t="n"/>
      <c r="N3964" s="113" t="n"/>
      <c r="O3964" s="113" t="n"/>
      <c r="P3964" s="113" t="n"/>
      <c r="Q3964" s="113" t="n"/>
      <c r="R3964" s="113" t="n"/>
      <c r="S3964" s="113" t="n"/>
      <c r="T3964" s="113" t="n"/>
      <c r="U3964" s="113" t="n"/>
      <c r="V3964" s="113" t="n"/>
      <c r="W3964" s="113" t="n"/>
      <c r="X3964" s="113" t="n"/>
      <c r="Y3964" s="113" t="n"/>
      <c r="Z3964" s="117">
        <f>IF($B3964="",0,IF($S3964="EVET",IF($D3964="GELİR",$O3964,-$O3964),0))</f>
        <v/>
      </c>
      <c r="AA3964" s="117">
        <f>IF($B3964="",0,IF(OR($W3964="EVET",$X3964="EVET",$Y3964="EVET"),0,IF($D3964="GELİR",IF($E3964="SATIŞ İADESİ/İSKONTO",-$O3964,$O3964),-$O3964)))</f>
        <v/>
      </c>
      <c r="AB3964" s="117">
        <f>IF($B3964="","",IF(OR($D3964="",$E3964="",$O3964=""),"EKSİK",IF($O3964&lt;=0,"SIFIR/NEGATİF",IF(COUNTIFS($C$6:$C$5000,$C3964,$O$6:$O$5000,$O3964,$B$6:$B$5000,$B3964)&gt;1,"MÜKERRER","OK"))))</f>
        <v/>
      </c>
    </row>
    <row r="3965" ht="16.5" customHeight="1" s="80">
      <c r="A3965" s="113" t="n"/>
      <c r="B3965" s="113" t="n"/>
      <c r="C3965" s="113" t="n"/>
      <c r="D3965" s="113" t="n"/>
      <c r="E3965" s="113" t="n"/>
      <c r="F3965" s="113" t="n"/>
      <c r="G3965" s="113" t="n"/>
      <c r="H3965" s="113" t="n"/>
      <c r="I3965" s="113" t="n"/>
      <c r="J3965" s="113" t="n"/>
      <c r="K3965" s="113" t="n"/>
      <c r="L3965" s="113" t="n"/>
      <c r="M3965" s="113" t="n"/>
      <c r="N3965" s="113" t="n"/>
      <c r="O3965" s="113" t="n"/>
      <c r="P3965" s="113" t="n"/>
      <c r="Q3965" s="113" t="n"/>
      <c r="R3965" s="113" t="n"/>
      <c r="S3965" s="113" t="n"/>
      <c r="T3965" s="113" t="n"/>
      <c r="U3965" s="113" t="n"/>
      <c r="V3965" s="113" t="n"/>
      <c r="W3965" s="113" t="n"/>
      <c r="X3965" s="113" t="n"/>
      <c r="Y3965" s="113" t="n"/>
      <c r="Z3965" s="117">
        <f>IF($B3965="",0,IF($S3965="EVET",IF($D3965="GELİR",$O3965,-$O3965),0))</f>
        <v/>
      </c>
      <c r="AA3965" s="117">
        <f>IF($B3965="",0,IF(OR($W3965="EVET",$X3965="EVET",$Y3965="EVET"),0,IF($D3965="GELİR",IF($E3965="SATIŞ İADESİ/İSKONTO",-$O3965,$O3965),-$O3965)))</f>
        <v/>
      </c>
      <c r="AB3965" s="117">
        <f>IF($B3965="","",IF(OR($D3965="",$E3965="",$O3965=""),"EKSİK",IF($O3965&lt;=0,"SIFIR/NEGATİF",IF(COUNTIFS($C$6:$C$5000,$C3965,$O$6:$O$5000,$O3965,$B$6:$B$5000,$B3965)&gt;1,"MÜKERRER","OK"))))</f>
        <v/>
      </c>
    </row>
    <row r="3966" ht="16.5" customHeight="1" s="80">
      <c r="A3966" s="113" t="n"/>
      <c r="B3966" s="113" t="n"/>
      <c r="C3966" s="113" t="n"/>
      <c r="D3966" s="113" t="n"/>
      <c r="E3966" s="113" t="n"/>
      <c r="F3966" s="113" t="n"/>
      <c r="G3966" s="113" t="n"/>
      <c r="H3966" s="113" t="n"/>
      <c r="I3966" s="113" t="n"/>
      <c r="J3966" s="113" t="n"/>
      <c r="K3966" s="113" t="n"/>
      <c r="L3966" s="113" t="n"/>
      <c r="M3966" s="113" t="n"/>
      <c r="N3966" s="113" t="n"/>
      <c r="O3966" s="113" t="n"/>
      <c r="P3966" s="113" t="n"/>
      <c r="Q3966" s="113" t="n"/>
      <c r="R3966" s="113" t="n"/>
      <c r="S3966" s="113" t="n"/>
      <c r="T3966" s="113" t="n"/>
      <c r="U3966" s="113" t="n"/>
      <c r="V3966" s="113" t="n"/>
      <c r="W3966" s="113" t="n"/>
      <c r="X3966" s="113" t="n"/>
      <c r="Y3966" s="113" t="n"/>
      <c r="Z3966" s="117">
        <f>IF($B3966="",0,IF($S3966="EVET",IF($D3966="GELİR",$O3966,-$O3966),0))</f>
        <v/>
      </c>
      <c r="AA3966" s="117">
        <f>IF($B3966="",0,IF(OR($W3966="EVET",$X3966="EVET",$Y3966="EVET"),0,IF($D3966="GELİR",IF($E3966="SATIŞ İADESİ/İSKONTO",-$O3966,$O3966),-$O3966)))</f>
        <v/>
      </c>
      <c r="AB3966" s="117">
        <f>IF($B3966="","",IF(OR($D3966="",$E3966="",$O3966=""),"EKSİK",IF($O3966&lt;=0,"SIFIR/NEGATİF",IF(COUNTIFS($C$6:$C$5000,$C3966,$O$6:$O$5000,$O3966,$B$6:$B$5000,$B3966)&gt;1,"MÜKERRER","OK"))))</f>
        <v/>
      </c>
    </row>
    <row r="3967" ht="16.5" customHeight="1" s="80">
      <c r="A3967" s="113" t="n"/>
      <c r="B3967" s="113" t="n"/>
      <c r="C3967" s="113" t="n"/>
      <c r="D3967" s="113" t="n"/>
      <c r="E3967" s="113" t="n"/>
      <c r="F3967" s="113" t="n"/>
      <c r="G3967" s="113" t="n"/>
      <c r="H3967" s="113" t="n"/>
      <c r="I3967" s="113" t="n"/>
      <c r="J3967" s="113" t="n"/>
      <c r="K3967" s="113" t="n"/>
      <c r="L3967" s="113" t="n"/>
      <c r="M3967" s="113" t="n"/>
      <c r="N3967" s="113" t="n"/>
      <c r="O3967" s="113" t="n"/>
      <c r="P3967" s="113" t="n"/>
      <c r="Q3967" s="113" t="n"/>
      <c r="R3967" s="113" t="n"/>
      <c r="S3967" s="113" t="n"/>
      <c r="T3967" s="113" t="n"/>
      <c r="U3967" s="113" t="n"/>
      <c r="V3967" s="113" t="n"/>
      <c r="W3967" s="113" t="n"/>
      <c r="X3967" s="113" t="n"/>
      <c r="Y3967" s="113" t="n"/>
      <c r="Z3967" s="117">
        <f>IF($B3967="",0,IF($S3967="EVET",IF($D3967="GELİR",$O3967,-$O3967),0))</f>
        <v/>
      </c>
      <c r="AA3967" s="117">
        <f>IF($B3967="",0,IF(OR($W3967="EVET",$X3967="EVET",$Y3967="EVET"),0,IF($D3967="GELİR",IF($E3967="SATIŞ İADESİ/İSKONTO",-$O3967,$O3967),-$O3967)))</f>
        <v/>
      </c>
      <c r="AB3967" s="117">
        <f>IF($B3967="","",IF(OR($D3967="",$E3967="",$O3967=""),"EKSİK",IF($O3967&lt;=0,"SIFIR/NEGATİF",IF(COUNTIFS($C$6:$C$5000,$C3967,$O$6:$O$5000,$O3967,$B$6:$B$5000,$B3967)&gt;1,"MÜKERRER","OK"))))</f>
        <v/>
      </c>
    </row>
    <row r="3968" ht="16.5" customHeight="1" s="80">
      <c r="A3968" s="113" t="n"/>
      <c r="B3968" s="113" t="n"/>
      <c r="C3968" s="113" t="n"/>
      <c r="D3968" s="113" t="n"/>
      <c r="E3968" s="113" t="n"/>
      <c r="F3968" s="113" t="n"/>
      <c r="G3968" s="113" t="n"/>
      <c r="H3968" s="113" t="n"/>
      <c r="I3968" s="113" t="n"/>
      <c r="J3968" s="113" t="n"/>
      <c r="K3968" s="113" t="n"/>
      <c r="L3968" s="113" t="n"/>
      <c r="M3968" s="113" t="n"/>
      <c r="N3968" s="113" t="n"/>
      <c r="O3968" s="113" t="n"/>
      <c r="P3968" s="113" t="n"/>
      <c r="Q3968" s="113" t="n"/>
      <c r="R3968" s="113" t="n"/>
      <c r="S3968" s="113" t="n"/>
      <c r="T3968" s="113" t="n"/>
      <c r="U3968" s="113" t="n"/>
      <c r="V3968" s="113" t="n"/>
      <c r="W3968" s="113" t="n"/>
      <c r="X3968" s="113" t="n"/>
      <c r="Y3968" s="113" t="n"/>
      <c r="Z3968" s="117">
        <f>IF($B3968="",0,IF($S3968="EVET",IF($D3968="GELİR",$O3968,-$O3968),0))</f>
        <v/>
      </c>
      <c r="AA3968" s="117">
        <f>IF($B3968="",0,IF(OR($W3968="EVET",$X3968="EVET",$Y3968="EVET"),0,IF($D3968="GELİR",IF($E3968="SATIŞ İADESİ/İSKONTO",-$O3968,$O3968),-$O3968)))</f>
        <v/>
      </c>
      <c r="AB3968" s="117">
        <f>IF($B3968="","",IF(OR($D3968="",$E3968="",$O3968=""),"EKSİK",IF($O3968&lt;=0,"SIFIR/NEGATİF",IF(COUNTIFS($C$6:$C$5000,$C3968,$O$6:$O$5000,$O3968,$B$6:$B$5000,$B3968)&gt;1,"MÜKERRER","OK"))))</f>
        <v/>
      </c>
    </row>
    <row r="3969" ht="16.5" customHeight="1" s="80">
      <c r="A3969" s="113" t="n"/>
      <c r="B3969" s="113" t="n"/>
      <c r="C3969" s="113" t="n"/>
      <c r="D3969" s="113" t="n"/>
      <c r="E3969" s="113" t="n"/>
      <c r="F3969" s="113" t="n"/>
      <c r="G3969" s="113" t="n"/>
      <c r="H3969" s="113" t="n"/>
      <c r="I3969" s="113" t="n"/>
      <c r="J3969" s="113" t="n"/>
      <c r="K3969" s="113" t="n"/>
      <c r="L3969" s="113" t="n"/>
      <c r="M3969" s="113" t="n"/>
      <c r="N3969" s="113" t="n"/>
      <c r="O3969" s="113" t="n"/>
      <c r="P3969" s="113" t="n"/>
      <c r="Q3969" s="113" t="n"/>
      <c r="R3969" s="113" t="n"/>
      <c r="S3969" s="113" t="n"/>
      <c r="T3969" s="113" t="n"/>
      <c r="U3969" s="113" t="n"/>
      <c r="V3969" s="113" t="n"/>
      <c r="W3969" s="113" t="n"/>
      <c r="X3969" s="113" t="n"/>
      <c r="Y3969" s="113" t="n"/>
      <c r="Z3969" s="117">
        <f>IF($B3969="",0,IF($S3969="EVET",IF($D3969="GELİR",$O3969,-$O3969),0))</f>
        <v/>
      </c>
      <c r="AA3969" s="117">
        <f>IF($B3969="",0,IF(OR($W3969="EVET",$X3969="EVET",$Y3969="EVET"),0,IF($D3969="GELİR",IF($E3969="SATIŞ İADESİ/İSKONTO",-$O3969,$O3969),-$O3969)))</f>
        <v/>
      </c>
      <c r="AB3969" s="117">
        <f>IF($B3969="","",IF(OR($D3969="",$E3969="",$O3969=""),"EKSİK",IF($O3969&lt;=0,"SIFIR/NEGATİF",IF(COUNTIFS($C$6:$C$5000,$C3969,$O$6:$O$5000,$O3969,$B$6:$B$5000,$B3969)&gt;1,"MÜKERRER","OK"))))</f>
        <v/>
      </c>
    </row>
    <row r="3970" ht="16.5" customHeight="1" s="80">
      <c r="A3970" s="113" t="n"/>
      <c r="B3970" s="113" t="n"/>
      <c r="C3970" s="113" t="n"/>
      <c r="D3970" s="113" t="n"/>
      <c r="E3970" s="113" t="n"/>
      <c r="F3970" s="113" t="n"/>
      <c r="G3970" s="113" t="n"/>
      <c r="H3970" s="113" t="n"/>
      <c r="I3970" s="113" t="n"/>
      <c r="J3970" s="113" t="n"/>
      <c r="K3970" s="113" t="n"/>
      <c r="L3970" s="113" t="n"/>
      <c r="M3970" s="113" t="n"/>
      <c r="N3970" s="113" t="n"/>
      <c r="O3970" s="113" t="n"/>
      <c r="P3970" s="113" t="n"/>
      <c r="Q3970" s="113" t="n"/>
      <c r="R3970" s="113" t="n"/>
      <c r="S3970" s="113" t="n"/>
      <c r="T3970" s="113" t="n"/>
      <c r="U3970" s="113" t="n"/>
      <c r="V3970" s="113" t="n"/>
      <c r="W3970" s="113" t="n"/>
      <c r="X3970" s="113" t="n"/>
      <c r="Y3970" s="113" t="n"/>
      <c r="Z3970" s="117">
        <f>IF($B3970="",0,IF($S3970="EVET",IF($D3970="GELİR",$O3970,-$O3970),0))</f>
        <v/>
      </c>
      <c r="AA3970" s="117">
        <f>IF($B3970="",0,IF(OR($W3970="EVET",$X3970="EVET",$Y3970="EVET"),0,IF($D3970="GELİR",IF($E3970="SATIŞ İADESİ/İSKONTO",-$O3970,$O3970),-$O3970)))</f>
        <v/>
      </c>
      <c r="AB3970" s="117">
        <f>IF($B3970="","",IF(OR($D3970="",$E3970="",$O3970=""),"EKSİK",IF($O3970&lt;=0,"SIFIR/NEGATİF",IF(COUNTIFS($C$6:$C$5000,$C3970,$O$6:$O$5000,$O3970,$B$6:$B$5000,$B3970)&gt;1,"MÜKERRER","OK"))))</f>
        <v/>
      </c>
    </row>
    <row r="3971" ht="16.5" customHeight="1" s="80">
      <c r="A3971" s="113" t="n"/>
      <c r="B3971" s="113" t="n"/>
      <c r="C3971" s="113" t="n"/>
      <c r="D3971" s="113" t="n"/>
      <c r="E3971" s="113" t="n"/>
      <c r="F3971" s="113" t="n"/>
      <c r="G3971" s="113" t="n"/>
      <c r="H3971" s="113" t="n"/>
      <c r="I3971" s="113" t="n"/>
      <c r="J3971" s="113" t="n"/>
      <c r="K3971" s="113" t="n"/>
      <c r="L3971" s="113" t="n"/>
      <c r="M3971" s="113" t="n"/>
      <c r="N3971" s="113" t="n"/>
      <c r="O3971" s="113" t="n"/>
      <c r="P3971" s="113" t="n"/>
      <c r="Q3971" s="113" t="n"/>
      <c r="R3971" s="113" t="n"/>
      <c r="S3971" s="113" t="n"/>
      <c r="T3971" s="113" t="n"/>
      <c r="U3971" s="113" t="n"/>
      <c r="V3971" s="113" t="n"/>
      <c r="W3971" s="113" t="n"/>
      <c r="X3971" s="113" t="n"/>
      <c r="Y3971" s="113" t="n"/>
      <c r="Z3971" s="117">
        <f>IF($B3971="",0,IF($S3971="EVET",IF($D3971="GELİR",$O3971,-$O3971),0))</f>
        <v/>
      </c>
      <c r="AA3971" s="117">
        <f>IF($B3971="",0,IF(OR($W3971="EVET",$X3971="EVET",$Y3971="EVET"),0,IF($D3971="GELİR",IF($E3971="SATIŞ İADESİ/İSKONTO",-$O3971,$O3971),-$O3971)))</f>
        <v/>
      </c>
      <c r="AB3971" s="117">
        <f>IF($B3971="","",IF(OR($D3971="",$E3971="",$O3971=""),"EKSİK",IF($O3971&lt;=0,"SIFIR/NEGATİF",IF(COUNTIFS($C$6:$C$5000,$C3971,$O$6:$O$5000,$O3971,$B$6:$B$5000,$B3971)&gt;1,"MÜKERRER","OK"))))</f>
        <v/>
      </c>
    </row>
    <row r="3972" ht="16.5" customHeight="1" s="80">
      <c r="A3972" s="113" t="n"/>
      <c r="B3972" s="113" t="n"/>
      <c r="C3972" s="113" t="n"/>
      <c r="D3972" s="113" t="n"/>
      <c r="E3972" s="113" t="n"/>
      <c r="F3972" s="113" t="n"/>
      <c r="G3972" s="113" t="n"/>
      <c r="H3972" s="113" t="n"/>
      <c r="I3972" s="113" t="n"/>
      <c r="J3972" s="113" t="n"/>
      <c r="K3972" s="113" t="n"/>
      <c r="L3972" s="113" t="n"/>
      <c r="M3972" s="113" t="n"/>
      <c r="N3972" s="113" t="n"/>
      <c r="O3972" s="113" t="n"/>
      <c r="P3972" s="113" t="n"/>
      <c r="Q3972" s="113" t="n"/>
      <c r="R3972" s="113" t="n"/>
      <c r="S3972" s="113" t="n"/>
      <c r="T3972" s="113" t="n"/>
      <c r="U3972" s="113" t="n"/>
      <c r="V3972" s="113" t="n"/>
      <c r="W3972" s="113" t="n"/>
      <c r="X3972" s="113" t="n"/>
      <c r="Y3972" s="113" t="n"/>
      <c r="Z3972" s="117">
        <f>IF($B3972="",0,IF($S3972="EVET",IF($D3972="GELİR",$O3972,-$O3972),0))</f>
        <v/>
      </c>
      <c r="AA3972" s="117">
        <f>IF($B3972="",0,IF(OR($W3972="EVET",$X3972="EVET",$Y3972="EVET"),0,IF($D3972="GELİR",IF($E3972="SATIŞ İADESİ/İSKONTO",-$O3972,$O3972),-$O3972)))</f>
        <v/>
      </c>
      <c r="AB3972" s="117">
        <f>IF($B3972="","",IF(OR($D3972="",$E3972="",$O3972=""),"EKSİK",IF($O3972&lt;=0,"SIFIR/NEGATİF",IF(COUNTIFS($C$6:$C$5000,$C3972,$O$6:$O$5000,$O3972,$B$6:$B$5000,$B3972)&gt;1,"MÜKERRER","OK"))))</f>
        <v/>
      </c>
    </row>
    <row r="3973" ht="16.5" customHeight="1" s="80">
      <c r="A3973" s="113" t="n"/>
      <c r="B3973" s="113" t="n"/>
      <c r="C3973" s="113" t="n"/>
      <c r="D3973" s="113" t="n"/>
      <c r="E3973" s="113" t="n"/>
      <c r="F3973" s="113" t="n"/>
      <c r="G3973" s="113" t="n"/>
      <c r="H3973" s="113" t="n"/>
      <c r="I3973" s="113" t="n"/>
      <c r="J3973" s="113" t="n"/>
      <c r="K3973" s="113" t="n"/>
      <c r="L3973" s="113" t="n"/>
      <c r="M3973" s="113" t="n"/>
      <c r="N3973" s="113" t="n"/>
      <c r="O3973" s="113" t="n"/>
      <c r="P3973" s="113" t="n"/>
      <c r="Q3973" s="113" t="n"/>
      <c r="R3973" s="113" t="n"/>
      <c r="S3973" s="113" t="n"/>
      <c r="T3973" s="113" t="n"/>
      <c r="U3973" s="113" t="n"/>
      <c r="V3973" s="113" t="n"/>
      <c r="W3973" s="113" t="n"/>
      <c r="X3973" s="113" t="n"/>
      <c r="Y3973" s="113" t="n"/>
      <c r="Z3973" s="117">
        <f>IF($B3973="",0,IF($S3973="EVET",IF($D3973="GELİR",$O3973,-$O3973),0))</f>
        <v/>
      </c>
      <c r="AA3973" s="117">
        <f>IF($B3973="",0,IF(OR($W3973="EVET",$X3973="EVET",$Y3973="EVET"),0,IF($D3973="GELİR",IF($E3973="SATIŞ İADESİ/İSKONTO",-$O3973,$O3973),-$O3973)))</f>
        <v/>
      </c>
      <c r="AB3973" s="117">
        <f>IF($B3973="","",IF(OR($D3973="",$E3973="",$O3973=""),"EKSİK",IF($O3973&lt;=0,"SIFIR/NEGATİF",IF(COUNTIFS($C$6:$C$5000,$C3973,$O$6:$O$5000,$O3973,$B$6:$B$5000,$B3973)&gt;1,"MÜKERRER","OK"))))</f>
        <v/>
      </c>
    </row>
    <row r="3974" ht="16.5" customHeight="1" s="80">
      <c r="A3974" s="113" t="n"/>
      <c r="B3974" s="113" t="n"/>
      <c r="C3974" s="113" t="n"/>
      <c r="D3974" s="113" t="n"/>
      <c r="E3974" s="113" t="n"/>
      <c r="F3974" s="113" t="n"/>
      <c r="G3974" s="113" t="n"/>
      <c r="H3974" s="113" t="n"/>
      <c r="I3974" s="113" t="n"/>
      <c r="J3974" s="113" t="n"/>
      <c r="K3974" s="113" t="n"/>
      <c r="L3974" s="113" t="n"/>
      <c r="M3974" s="113" t="n"/>
      <c r="N3974" s="113" t="n"/>
      <c r="O3974" s="113" t="n"/>
      <c r="P3974" s="113" t="n"/>
      <c r="Q3974" s="113" t="n"/>
      <c r="R3974" s="113" t="n"/>
      <c r="S3974" s="113" t="n"/>
      <c r="T3974" s="113" t="n"/>
      <c r="U3974" s="113" t="n"/>
      <c r="V3974" s="113" t="n"/>
      <c r="W3974" s="113" t="n"/>
      <c r="X3974" s="113" t="n"/>
      <c r="Y3974" s="113" t="n"/>
      <c r="Z3974" s="117">
        <f>IF($B3974="",0,IF($S3974="EVET",IF($D3974="GELİR",$O3974,-$O3974),0))</f>
        <v/>
      </c>
      <c r="AA3974" s="117">
        <f>IF($B3974="",0,IF(OR($W3974="EVET",$X3974="EVET",$Y3974="EVET"),0,IF($D3974="GELİR",IF($E3974="SATIŞ İADESİ/İSKONTO",-$O3974,$O3974),-$O3974)))</f>
        <v/>
      </c>
      <c r="AB3974" s="117">
        <f>IF($B3974="","",IF(OR($D3974="",$E3974="",$O3974=""),"EKSİK",IF($O3974&lt;=0,"SIFIR/NEGATİF",IF(COUNTIFS($C$6:$C$5000,$C3974,$O$6:$O$5000,$O3974,$B$6:$B$5000,$B3974)&gt;1,"MÜKERRER","OK"))))</f>
        <v/>
      </c>
    </row>
    <row r="3975" ht="16.5" customHeight="1" s="80">
      <c r="A3975" s="113" t="n"/>
      <c r="B3975" s="113" t="n"/>
      <c r="C3975" s="113" t="n"/>
      <c r="D3975" s="113" t="n"/>
      <c r="E3975" s="113" t="n"/>
      <c r="F3975" s="113" t="n"/>
      <c r="G3975" s="113" t="n"/>
      <c r="H3975" s="113" t="n"/>
      <c r="I3975" s="113" t="n"/>
      <c r="J3975" s="113" t="n"/>
      <c r="K3975" s="113" t="n"/>
      <c r="L3975" s="113" t="n"/>
      <c r="M3975" s="113" t="n"/>
      <c r="N3975" s="113" t="n"/>
      <c r="O3975" s="113" t="n"/>
      <c r="P3975" s="113" t="n"/>
      <c r="Q3975" s="113" t="n"/>
      <c r="R3975" s="113" t="n"/>
      <c r="S3975" s="113" t="n"/>
      <c r="T3975" s="113" t="n"/>
      <c r="U3975" s="113" t="n"/>
      <c r="V3975" s="113" t="n"/>
      <c r="W3975" s="113" t="n"/>
      <c r="X3975" s="113" t="n"/>
      <c r="Y3975" s="113" t="n"/>
      <c r="Z3975" s="117">
        <f>IF($B3975="",0,IF($S3975="EVET",IF($D3975="GELİR",$O3975,-$O3975),0))</f>
        <v/>
      </c>
      <c r="AA3975" s="117">
        <f>IF($B3975="",0,IF(OR($W3975="EVET",$X3975="EVET",$Y3975="EVET"),0,IF($D3975="GELİR",IF($E3975="SATIŞ İADESİ/İSKONTO",-$O3975,$O3975),-$O3975)))</f>
        <v/>
      </c>
      <c r="AB3975" s="117">
        <f>IF($B3975="","",IF(OR($D3975="",$E3975="",$O3975=""),"EKSİK",IF($O3975&lt;=0,"SIFIR/NEGATİF",IF(COUNTIFS($C$6:$C$5000,$C3975,$O$6:$O$5000,$O3975,$B$6:$B$5000,$B3975)&gt;1,"MÜKERRER","OK"))))</f>
        <v/>
      </c>
    </row>
    <row r="3976" ht="16.5" customHeight="1" s="80">
      <c r="A3976" s="113" t="n"/>
      <c r="B3976" s="113" t="n"/>
      <c r="C3976" s="113" t="n"/>
      <c r="D3976" s="113" t="n"/>
      <c r="E3976" s="113" t="n"/>
      <c r="F3976" s="113" t="n"/>
      <c r="G3976" s="113" t="n"/>
      <c r="H3976" s="113" t="n"/>
      <c r="I3976" s="113" t="n"/>
      <c r="J3976" s="113" t="n"/>
      <c r="K3976" s="113" t="n"/>
      <c r="L3976" s="113" t="n"/>
      <c r="M3976" s="113" t="n"/>
      <c r="N3976" s="113" t="n"/>
      <c r="O3976" s="113" t="n"/>
      <c r="P3976" s="113" t="n"/>
      <c r="Q3976" s="113" t="n"/>
      <c r="R3976" s="113" t="n"/>
      <c r="S3976" s="113" t="n"/>
      <c r="T3976" s="113" t="n"/>
      <c r="U3976" s="113" t="n"/>
      <c r="V3976" s="113" t="n"/>
      <c r="W3976" s="113" t="n"/>
      <c r="X3976" s="113" t="n"/>
      <c r="Y3976" s="113" t="n"/>
      <c r="Z3976" s="117">
        <f>IF($B3976="",0,IF($S3976="EVET",IF($D3976="GELİR",$O3976,-$O3976),0))</f>
        <v/>
      </c>
      <c r="AA3976" s="117">
        <f>IF($B3976="",0,IF(OR($W3976="EVET",$X3976="EVET",$Y3976="EVET"),0,IF($D3976="GELİR",IF($E3976="SATIŞ İADESİ/İSKONTO",-$O3976,$O3976),-$O3976)))</f>
        <v/>
      </c>
      <c r="AB3976" s="117">
        <f>IF($B3976="","",IF(OR($D3976="",$E3976="",$O3976=""),"EKSİK",IF($O3976&lt;=0,"SIFIR/NEGATİF",IF(COUNTIFS($C$6:$C$5000,$C3976,$O$6:$O$5000,$O3976,$B$6:$B$5000,$B3976)&gt;1,"MÜKERRER","OK"))))</f>
        <v/>
      </c>
    </row>
    <row r="3977" ht="16.5" customHeight="1" s="80">
      <c r="A3977" s="113" t="n"/>
      <c r="B3977" s="113" t="n"/>
      <c r="C3977" s="113" t="n"/>
      <c r="D3977" s="113" t="n"/>
      <c r="E3977" s="113" t="n"/>
      <c r="F3977" s="113" t="n"/>
      <c r="G3977" s="113" t="n"/>
      <c r="H3977" s="113" t="n"/>
      <c r="I3977" s="113" t="n"/>
      <c r="J3977" s="113" t="n"/>
      <c r="K3977" s="113" t="n"/>
      <c r="L3977" s="113" t="n"/>
      <c r="M3977" s="113" t="n"/>
      <c r="N3977" s="113" t="n"/>
      <c r="O3977" s="113" t="n"/>
      <c r="P3977" s="113" t="n"/>
      <c r="Q3977" s="113" t="n"/>
      <c r="R3977" s="113" t="n"/>
      <c r="S3977" s="113" t="n"/>
      <c r="T3977" s="113" t="n"/>
      <c r="U3977" s="113" t="n"/>
      <c r="V3977" s="113" t="n"/>
      <c r="W3977" s="113" t="n"/>
      <c r="X3977" s="113" t="n"/>
      <c r="Y3977" s="113" t="n"/>
      <c r="Z3977" s="117">
        <f>IF($B3977="",0,IF($S3977="EVET",IF($D3977="GELİR",$O3977,-$O3977),0))</f>
        <v/>
      </c>
      <c r="AA3977" s="117">
        <f>IF($B3977="",0,IF(OR($W3977="EVET",$X3977="EVET",$Y3977="EVET"),0,IF($D3977="GELİR",IF($E3977="SATIŞ İADESİ/İSKONTO",-$O3977,$O3977),-$O3977)))</f>
        <v/>
      </c>
      <c r="AB3977" s="117">
        <f>IF($B3977="","",IF(OR($D3977="",$E3977="",$O3977=""),"EKSİK",IF($O3977&lt;=0,"SIFIR/NEGATİF",IF(COUNTIFS($C$6:$C$5000,$C3977,$O$6:$O$5000,$O3977,$B$6:$B$5000,$B3977)&gt;1,"MÜKERRER","OK"))))</f>
        <v/>
      </c>
    </row>
    <row r="3978" ht="16.5" customHeight="1" s="80">
      <c r="A3978" s="113" t="n"/>
      <c r="B3978" s="113" t="n"/>
      <c r="C3978" s="113" t="n"/>
      <c r="D3978" s="113" t="n"/>
      <c r="E3978" s="113" t="n"/>
      <c r="F3978" s="113" t="n"/>
      <c r="G3978" s="113" t="n"/>
      <c r="H3978" s="113" t="n"/>
      <c r="I3978" s="113" t="n"/>
      <c r="J3978" s="113" t="n"/>
      <c r="K3978" s="113" t="n"/>
      <c r="L3978" s="113" t="n"/>
      <c r="M3978" s="113" t="n"/>
      <c r="N3978" s="113" t="n"/>
      <c r="O3978" s="113" t="n"/>
      <c r="P3978" s="113" t="n"/>
      <c r="Q3978" s="113" t="n"/>
      <c r="R3978" s="113" t="n"/>
      <c r="S3978" s="113" t="n"/>
      <c r="T3978" s="113" t="n"/>
      <c r="U3978" s="113" t="n"/>
      <c r="V3978" s="113" t="n"/>
      <c r="W3978" s="113" t="n"/>
      <c r="X3978" s="113" t="n"/>
      <c r="Y3978" s="113" t="n"/>
      <c r="Z3978" s="117">
        <f>IF($B3978="",0,IF($S3978="EVET",IF($D3978="GELİR",$O3978,-$O3978),0))</f>
        <v/>
      </c>
      <c r="AA3978" s="117">
        <f>IF($B3978="",0,IF(OR($W3978="EVET",$X3978="EVET",$Y3978="EVET"),0,IF($D3978="GELİR",IF($E3978="SATIŞ İADESİ/İSKONTO",-$O3978,$O3978),-$O3978)))</f>
        <v/>
      </c>
      <c r="AB3978" s="117">
        <f>IF($B3978="","",IF(OR($D3978="",$E3978="",$O3978=""),"EKSİK",IF($O3978&lt;=0,"SIFIR/NEGATİF",IF(COUNTIFS($C$6:$C$5000,$C3978,$O$6:$O$5000,$O3978,$B$6:$B$5000,$B3978)&gt;1,"MÜKERRER","OK"))))</f>
        <v/>
      </c>
    </row>
    <row r="3979" ht="16.5" customHeight="1" s="80">
      <c r="A3979" s="113" t="n"/>
      <c r="B3979" s="113" t="n"/>
      <c r="C3979" s="113" t="n"/>
      <c r="D3979" s="113" t="n"/>
      <c r="E3979" s="113" t="n"/>
      <c r="F3979" s="113" t="n"/>
      <c r="G3979" s="113" t="n"/>
      <c r="H3979" s="113" t="n"/>
      <c r="I3979" s="113" t="n"/>
      <c r="J3979" s="113" t="n"/>
      <c r="K3979" s="113" t="n"/>
      <c r="L3979" s="113" t="n"/>
      <c r="M3979" s="113" t="n"/>
      <c r="N3979" s="113" t="n"/>
      <c r="O3979" s="113" t="n"/>
      <c r="P3979" s="113" t="n"/>
      <c r="Q3979" s="113" t="n"/>
      <c r="R3979" s="113" t="n"/>
      <c r="S3979" s="113" t="n"/>
      <c r="T3979" s="113" t="n"/>
      <c r="U3979" s="113" t="n"/>
      <c r="V3979" s="113" t="n"/>
      <c r="W3979" s="113" t="n"/>
      <c r="X3979" s="113" t="n"/>
      <c r="Y3979" s="113" t="n"/>
      <c r="Z3979" s="117">
        <f>IF($B3979="",0,IF($S3979="EVET",IF($D3979="GELİR",$O3979,-$O3979),0))</f>
        <v/>
      </c>
      <c r="AA3979" s="117">
        <f>IF($B3979="",0,IF(OR($W3979="EVET",$X3979="EVET",$Y3979="EVET"),0,IF($D3979="GELİR",IF($E3979="SATIŞ İADESİ/İSKONTO",-$O3979,$O3979),-$O3979)))</f>
        <v/>
      </c>
      <c r="AB3979" s="117">
        <f>IF($B3979="","",IF(OR($D3979="",$E3979="",$O3979=""),"EKSİK",IF($O3979&lt;=0,"SIFIR/NEGATİF",IF(COUNTIFS($C$6:$C$5000,$C3979,$O$6:$O$5000,$O3979,$B$6:$B$5000,$B3979)&gt;1,"MÜKERRER","OK"))))</f>
        <v/>
      </c>
    </row>
    <row r="3980" ht="16.5" customHeight="1" s="80">
      <c r="A3980" s="113" t="n"/>
      <c r="B3980" s="113" t="n"/>
      <c r="C3980" s="113" t="n"/>
      <c r="D3980" s="113" t="n"/>
      <c r="E3980" s="113" t="n"/>
      <c r="F3980" s="113" t="n"/>
      <c r="G3980" s="113" t="n"/>
      <c r="H3980" s="113" t="n"/>
      <c r="I3980" s="113" t="n"/>
      <c r="J3980" s="113" t="n"/>
      <c r="K3980" s="113" t="n"/>
      <c r="L3980" s="113" t="n"/>
      <c r="M3980" s="113" t="n"/>
      <c r="N3980" s="113" t="n"/>
      <c r="O3980" s="113" t="n"/>
      <c r="P3980" s="113" t="n"/>
      <c r="Q3980" s="113" t="n"/>
      <c r="R3980" s="113" t="n"/>
      <c r="S3980" s="113" t="n"/>
      <c r="T3980" s="113" t="n"/>
      <c r="U3980" s="113" t="n"/>
      <c r="V3980" s="113" t="n"/>
      <c r="W3980" s="113" t="n"/>
      <c r="X3980" s="113" t="n"/>
      <c r="Y3980" s="113" t="n"/>
      <c r="Z3980" s="117">
        <f>IF($B3980="",0,IF($S3980="EVET",IF($D3980="GELİR",$O3980,-$O3980),0))</f>
        <v/>
      </c>
      <c r="AA3980" s="117">
        <f>IF($B3980="",0,IF(OR($W3980="EVET",$X3980="EVET",$Y3980="EVET"),0,IF($D3980="GELİR",IF($E3980="SATIŞ İADESİ/İSKONTO",-$O3980,$O3980),-$O3980)))</f>
        <v/>
      </c>
      <c r="AB3980" s="117">
        <f>IF($B3980="","",IF(OR($D3980="",$E3980="",$O3980=""),"EKSİK",IF($O3980&lt;=0,"SIFIR/NEGATİF",IF(COUNTIFS($C$6:$C$5000,$C3980,$O$6:$O$5000,$O3980,$B$6:$B$5000,$B3980)&gt;1,"MÜKERRER","OK"))))</f>
        <v/>
      </c>
    </row>
    <row r="3981" ht="16.5" customHeight="1" s="80">
      <c r="A3981" s="113" t="n"/>
      <c r="B3981" s="113" t="n"/>
      <c r="C3981" s="113" t="n"/>
      <c r="D3981" s="113" t="n"/>
      <c r="E3981" s="113" t="n"/>
      <c r="F3981" s="113" t="n"/>
      <c r="G3981" s="113" t="n"/>
      <c r="H3981" s="113" t="n"/>
      <c r="I3981" s="113" t="n"/>
      <c r="J3981" s="113" t="n"/>
      <c r="K3981" s="113" t="n"/>
      <c r="L3981" s="113" t="n"/>
      <c r="M3981" s="113" t="n"/>
      <c r="N3981" s="113" t="n"/>
      <c r="O3981" s="113" t="n"/>
      <c r="P3981" s="113" t="n"/>
      <c r="Q3981" s="113" t="n"/>
      <c r="R3981" s="113" t="n"/>
      <c r="S3981" s="113" t="n"/>
      <c r="T3981" s="113" t="n"/>
      <c r="U3981" s="113" t="n"/>
      <c r="V3981" s="113" t="n"/>
      <c r="W3981" s="113" t="n"/>
      <c r="X3981" s="113" t="n"/>
      <c r="Y3981" s="113" t="n"/>
      <c r="Z3981" s="117">
        <f>IF($B3981="",0,IF($S3981="EVET",IF($D3981="GELİR",$O3981,-$O3981),0))</f>
        <v/>
      </c>
      <c r="AA3981" s="117">
        <f>IF($B3981="",0,IF(OR($W3981="EVET",$X3981="EVET",$Y3981="EVET"),0,IF($D3981="GELİR",IF($E3981="SATIŞ İADESİ/İSKONTO",-$O3981,$O3981),-$O3981)))</f>
        <v/>
      </c>
      <c r="AB3981" s="117">
        <f>IF($B3981="","",IF(OR($D3981="",$E3981="",$O3981=""),"EKSİK",IF($O3981&lt;=0,"SIFIR/NEGATİF",IF(COUNTIFS($C$6:$C$5000,$C3981,$O$6:$O$5000,$O3981,$B$6:$B$5000,$B3981)&gt;1,"MÜKERRER","OK"))))</f>
        <v/>
      </c>
    </row>
    <row r="3982" ht="16.5" customHeight="1" s="80">
      <c r="A3982" s="113" t="n"/>
      <c r="B3982" s="113" t="n"/>
      <c r="C3982" s="113" t="n"/>
      <c r="D3982" s="113" t="n"/>
      <c r="E3982" s="113" t="n"/>
      <c r="F3982" s="113" t="n"/>
      <c r="G3982" s="113" t="n"/>
      <c r="H3982" s="113" t="n"/>
      <c r="I3982" s="113" t="n"/>
      <c r="J3982" s="113" t="n"/>
      <c r="K3982" s="113" t="n"/>
      <c r="L3982" s="113" t="n"/>
      <c r="M3982" s="113" t="n"/>
      <c r="N3982" s="113" t="n"/>
      <c r="O3982" s="113" t="n"/>
      <c r="P3982" s="113" t="n"/>
      <c r="Q3982" s="113" t="n"/>
      <c r="R3982" s="113" t="n"/>
      <c r="S3982" s="113" t="n"/>
      <c r="T3982" s="113" t="n"/>
      <c r="U3982" s="113" t="n"/>
      <c r="V3982" s="113" t="n"/>
      <c r="W3982" s="113" t="n"/>
      <c r="X3982" s="113" t="n"/>
      <c r="Y3982" s="113" t="n"/>
      <c r="Z3982" s="117">
        <f>IF($B3982="",0,IF($S3982="EVET",IF($D3982="GELİR",$O3982,-$O3982),0))</f>
        <v/>
      </c>
      <c r="AA3982" s="117">
        <f>IF($B3982="",0,IF(OR($W3982="EVET",$X3982="EVET",$Y3982="EVET"),0,IF($D3982="GELİR",IF($E3982="SATIŞ İADESİ/İSKONTO",-$O3982,$O3982),-$O3982)))</f>
        <v/>
      </c>
      <c r="AB3982" s="117">
        <f>IF($B3982="","",IF(OR($D3982="",$E3982="",$O3982=""),"EKSİK",IF($O3982&lt;=0,"SIFIR/NEGATİF",IF(COUNTIFS($C$6:$C$5000,$C3982,$O$6:$O$5000,$O3982,$B$6:$B$5000,$B3982)&gt;1,"MÜKERRER","OK"))))</f>
        <v/>
      </c>
    </row>
    <row r="3983" ht="16.5" customHeight="1" s="80">
      <c r="A3983" s="113" t="n"/>
      <c r="B3983" s="113" t="n"/>
      <c r="C3983" s="113" t="n"/>
      <c r="D3983" s="113" t="n"/>
      <c r="E3983" s="113" t="n"/>
      <c r="F3983" s="113" t="n"/>
      <c r="G3983" s="113" t="n"/>
      <c r="H3983" s="113" t="n"/>
      <c r="I3983" s="113" t="n"/>
      <c r="J3983" s="113" t="n"/>
      <c r="K3983" s="113" t="n"/>
      <c r="L3983" s="113" t="n"/>
      <c r="M3983" s="113" t="n"/>
      <c r="N3983" s="113" t="n"/>
      <c r="O3983" s="113" t="n"/>
      <c r="P3983" s="113" t="n"/>
      <c r="Q3983" s="113" t="n"/>
      <c r="R3983" s="113" t="n"/>
      <c r="S3983" s="113" t="n"/>
      <c r="T3983" s="113" t="n"/>
      <c r="U3983" s="113" t="n"/>
      <c r="V3983" s="113" t="n"/>
      <c r="W3983" s="113" t="n"/>
      <c r="X3983" s="113" t="n"/>
      <c r="Y3983" s="113" t="n"/>
      <c r="Z3983" s="117">
        <f>IF($B3983="",0,IF($S3983="EVET",IF($D3983="GELİR",$O3983,-$O3983),0))</f>
        <v/>
      </c>
      <c r="AA3983" s="117">
        <f>IF($B3983="",0,IF(OR($W3983="EVET",$X3983="EVET",$Y3983="EVET"),0,IF($D3983="GELİR",IF($E3983="SATIŞ İADESİ/İSKONTO",-$O3983,$O3983),-$O3983)))</f>
        <v/>
      </c>
      <c r="AB3983" s="117">
        <f>IF($B3983="","",IF(OR($D3983="",$E3983="",$O3983=""),"EKSİK",IF($O3983&lt;=0,"SIFIR/NEGATİF",IF(COUNTIFS($C$6:$C$5000,$C3983,$O$6:$O$5000,$O3983,$B$6:$B$5000,$B3983)&gt;1,"MÜKERRER","OK"))))</f>
        <v/>
      </c>
    </row>
    <row r="3984" ht="16.5" customHeight="1" s="80">
      <c r="A3984" s="113" t="n"/>
      <c r="B3984" s="113" t="n"/>
      <c r="C3984" s="113" t="n"/>
      <c r="D3984" s="113" t="n"/>
      <c r="E3984" s="113" t="n"/>
      <c r="F3984" s="113" t="n"/>
      <c r="G3984" s="113" t="n"/>
      <c r="H3984" s="113" t="n"/>
      <c r="I3984" s="113" t="n"/>
      <c r="J3984" s="113" t="n"/>
      <c r="K3984" s="113" t="n"/>
      <c r="L3984" s="113" t="n"/>
      <c r="M3984" s="113" t="n"/>
      <c r="N3984" s="113" t="n"/>
      <c r="O3984" s="113" t="n"/>
      <c r="P3984" s="113" t="n"/>
      <c r="Q3984" s="113" t="n"/>
      <c r="R3984" s="113" t="n"/>
      <c r="S3984" s="113" t="n"/>
      <c r="T3984" s="113" t="n"/>
      <c r="U3984" s="113" t="n"/>
      <c r="V3984" s="113" t="n"/>
      <c r="W3984" s="113" t="n"/>
      <c r="X3984" s="113" t="n"/>
      <c r="Y3984" s="113" t="n"/>
      <c r="Z3984" s="117">
        <f>IF($B3984="",0,IF($S3984="EVET",IF($D3984="GELİR",$O3984,-$O3984),0))</f>
        <v/>
      </c>
      <c r="AA3984" s="117">
        <f>IF($B3984="",0,IF(OR($W3984="EVET",$X3984="EVET",$Y3984="EVET"),0,IF($D3984="GELİR",IF($E3984="SATIŞ İADESİ/İSKONTO",-$O3984,$O3984),-$O3984)))</f>
        <v/>
      </c>
      <c r="AB3984" s="117">
        <f>IF($B3984="","",IF(OR($D3984="",$E3984="",$O3984=""),"EKSİK",IF($O3984&lt;=0,"SIFIR/NEGATİF",IF(COUNTIFS($C$6:$C$5000,$C3984,$O$6:$O$5000,$O3984,$B$6:$B$5000,$B3984)&gt;1,"MÜKERRER","OK"))))</f>
        <v/>
      </c>
    </row>
    <row r="3985" ht="16.5" customHeight="1" s="80">
      <c r="A3985" s="113" t="n"/>
      <c r="B3985" s="113" t="n"/>
      <c r="C3985" s="113" t="n"/>
      <c r="D3985" s="113" t="n"/>
      <c r="E3985" s="113" t="n"/>
      <c r="F3985" s="113" t="n"/>
      <c r="G3985" s="113" t="n"/>
      <c r="H3985" s="113" t="n"/>
      <c r="I3985" s="113" t="n"/>
      <c r="J3985" s="113" t="n"/>
      <c r="K3985" s="113" t="n"/>
      <c r="L3985" s="113" t="n"/>
      <c r="M3985" s="113" t="n"/>
      <c r="N3985" s="113" t="n"/>
      <c r="O3985" s="113" t="n"/>
      <c r="P3985" s="113" t="n"/>
      <c r="Q3985" s="113" t="n"/>
      <c r="R3985" s="113" t="n"/>
      <c r="S3985" s="113" t="n"/>
      <c r="T3985" s="113" t="n"/>
      <c r="U3985" s="113" t="n"/>
      <c r="V3985" s="113" t="n"/>
      <c r="W3985" s="113" t="n"/>
      <c r="X3985" s="113" t="n"/>
      <c r="Y3985" s="113" t="n"/>
      <c r="Z3985" s="117">
        <f>IF($B3985="",0,IF($S3985="EVET",IF($D3985="GELİR",$O3985,-$O3985),0))</f>
        <v/>
      </c>
      <c r="AA3985" s="117">
        <f>IF($B3985="",0,IF(OR($W3985="EVET",$X3985="EVET",$Y3985="EVET"),0,IF($D3985="GELİR",IF($E3985="SATIŞ İADESİ/İSKONTO",-$O3985,$O3985),-$O3985)))</f>
        <v/>
      </c>
      <c r="AB3985" s="117">
        <f>IF($B3985="","",IF(OR($D3985="",$E3985="",$O3985=""),"EKSİK",IF($O3985&lt;=0,"SIFIR/NEGATİF",IF(COUNTIFS($C$6:$C$5000,$C3985,$O$6:$O$5000,$O3985,$B$6:$B$5000,$B3985)&gt;1,"MÜKERRER","OK"))))</f>
        <v/>
      </c>
    </row>
    <row r="3986" ht="16.5" customHeight="1" s="80">
      <c r="A3986" s="113" t="n"/>
      <c r="B3986" s="113" t="n"/>
      <c r="C3986" s="113" t="n"/>
      <c r="D3986" s="113" t="n"/>
      <c r="E3986" s="113" t="n"/>
      <c r="F3986" s="113" t="n"/>
      <c r="G3986" s="113" t="n"/>
      <c r="H3986" s="113" t="n"/>
      <c r="I3986" s="113" t="n"/>
      <c r="J3986" s="113" t="n"/>
      <c r="K3986" s="113" t="n"/>
      <c r="L3986" s="113" t="n"/>
      <c r="M3986" s="113" t="n"/>
      <c r="N3986" s="113" t="n"/>
      <c r="O3986" s="113" t="n"/>
      <c r="P3986" s="113" t="n"/>
      <c r="Q3986" s="113" t="n"/>
      <c r="R3986" s="113" t="n"/>
      <c r="S3986" s="113" t="n"/>
      <c r="T3986" s="113" t="n"/>
      <c r="U3986" s="113" t="n"/>
      <c r="V3986" s="113" t="n"/>
      <c r="W3986" s="113" t="n"/>
      <c r="X3986" s="113" t="n"/>
      <c r="Y3986" s="113" t="n"/>
      <c r="Z3986" s="117">
        <f>IF($B3986="",0,IF($S3986="EVET",IF($D3986="GELİR",$O3986,-$O3986),0))</f>
        <v/>
      </c>
      <c r="AA3986" s="117">
        <f>IF($B3986="",0,IF(OR($W3986="EVET",$X3986="EVET",$Y3986="EVET"),0,IF($D3986="GELİR",IF($E3986="SATIŞ İADESİ/İSKONTO",-$O3986,$O3986),-$O3986)))</f>
        <v/>
      </c>
      <c r="AB3986" s="117">
        <f>IF($B3986="","",IF(OR($D3986="",$E3986="",$O3986=""),"EKSİK",IF($O3986&lt;=0,"SIFIR/NEGATİF",IF(COUNTIFS($C$6:$C$5000,$C3986,$O$6:$O$5000,$O3986,$B$6:$B$5000,$B3986)&gt;1,"MÜKERRER","OK"))))</f>
        <v/>
      </c>
    </row>
    <row r="3987" ht="16.5" customHeight="1" s="80">
      <c r="A3987" s="113" t="n"/>
      <c r="B3987" s="113" t="n"/>
      <c r="C3987" s="113" t="n"/>
      <c r="D3987" s="113" t="n"/>
      <c r="E3987" s="113" t="n"/>
      <c r="F3987" s="113" t="n"/>
      <c r="G3987" s="113" t="n"/>
      <c r="H3987" s="113" t="n"/>
      <c r="I3987" s="113" t="n"/>
      <c r="J3987" s="113" t="n"/>
      <c r="K3987" s="113" t="n"/>
      <c r="L3987" s="113" t="n"/>
      <c r="M3987" s="113" t="n"/>
      <c r="N3987" s="113" t="n"/>
      <c r="O3987" s="113" t="n"/>
      <c r="P3987" s="113" t="n"/>
      <c r="Q3987" s="113" t="n"/>
      <c r="R3987" s="113" t="n"/>
      <c r="S3987" s="113" t="n"/>
      <c r="T3987" s="113" t="n"/>
      <c r="U3987" s="113" t="n"/>
      <c r="V3987" s="113" t="n"/>
      <c r="W3987" s="113" t="n"/>
      <c r="X3987" s="113" t="n"/>
      <c r="Y3987" s="113" t="n"/>
      <c r="Z3987" s="117">
        <f>IF($B3987="",0,IF($S3987="EVET",IF($D3987="GELİR",$O3987,-$O3987),0))</f>
        <v/>
      </c>
      <c r="AA3987" s="117">
        <f>IF($B3987="",0,IF(OR($W3987="EVET",$X3987="EVET",$Y3987="EVET"),0,IF($D3987="GELİR",IF($E3987="SATIŞ İADESİ/İSKONTO",-$O3987,$O3987),-$O3987)))</f>
        <v/>
      </c>
      <c r="AB3987" s="117">
        <f>IF($B3987="","",IF(OR($D3987="",$E3987="",$O3987=""),"EKSİK",IF($O3987&lt;=0,"SIFIR/NEGATİF",IF(COUNTIFS($C$6:$C$5000,$C3987,$O$6:$O$5000,$O3987,$B$6:$B$5000,$B3987)&gt;1,"MÜKERRER","OK"))))</f>
        <v/>
      </c>
    </row>
    <row r="3988" ht="16.5" customHeight="1" s="80">
      <c r="A3988" s="113" t="n"/>
      <c r="B3988" s="113" t="n"/>
      <c r="C3988" s="113" t="n"/>
      <c r="D3988" s="113" t="n"/>
      <c r="E3988" s="113" t="n"/>
      <c r="F3988" s="113" t="n"/>
      <c r="G3988" s="113" t="n"/>
      <c r="H3988" s="113" t="n"/>
      <c r="I3988" s="113" t="n"/>
      <c r="J3988" s="113" t="n"/>
      <c r="K3988" s="113" t="n"/>
      <c r="L3988" s="113" t="n"/>
      <c r="M3988" s="113" t="n"/>
      <c r="N3988" s="113" t="n"/>
      <c r="O3988" s="113" t="n"/>
      <c r="P3988" s="113" t="n"/>
      <c r="Q3988" s="113" t="n"/>
      <c r="R3988" s="113" t="n"/>
      <c r="S3988" s="113" t="n"/>
      <c r="T3988" s="113" t="n"/>
      <c r="U3988" s="113" t="n"/>
      <c r="V3988" s="113" t="n"/>
      <c r="W3988" s="113" t="n"/>
      <c r="X3988" s="113" t="n"/>
      <c r="Y3988" s="113" t="n"/>
      <c r="Z3988" s="117">
        <f>IF($B3988="",0,IF($S3988="EVET",IF($D3988="GELİR",$O3988,-$O3988),0))</f>
        <v/>
      </c>
      <c r="AA3988" s="117">
        <f>IF($B3988="",0,IF(OR($W3988="EVET",$X3988="EVET",$Y3988="EVET"),0,IF($D3988="GELİR",IF($E3988="SATIŞ İADESİ/İSKONTO",-$O3988,$O3988),-$O3988)))</f>
        <v/>
      </c>
      <c r="AB3988" s="117">
        <f>IF($B3988="","",IF(OR($D3988="",$E3988="",$O3988=""),"EKSİK",IF($O3988&lt;=0,"SIFIR/NEGATİF",IF(COUNTIFS($C$6:$C$5000,$C3988,$O$6:$O$5000,$O3988,$B$6:$B$5000,$B3988)&gt;1,"MÜKERRER","OK"))))</f>
        <v/>
      </c>
    </row>
    <row r="3989" ht="16.5" customHeight="1" s="80">
      <c r="A3989" s="113" t="n"/>
      <c r="B3989" s="113" t="n"/>
      <c r="C3989" s="113" t="n"/>
      <c r="D3989" s="113" t="n"/>
      <c r="E3989" s="113" t="n"/>
      <c r="F3989" s="113" t="n"/>
      <c r="G3989" s="113" t="n"/>
      <c r="H3989" s="113" t="n"/>
      <c r="I3989" s="113" t="n"/>
      <c r="J3989" s="113" t="n"/>
      <c r="K3989" s="113" t="n"/>
      <c r="L3989" s="113" t="n"/>
      <c r="M3989" s="113" t="n"/>
      <c r="N3989" s="113" t="n"/>
      <c r="O3989" s="113" t="n"/>
      <c r="P3989" s="113" t="n"/>
      <c r="Q3989" s="113" t="n"/>
      <c r="R3989" s="113" t="n"/>
      <c r="S3989" s="113" t="n"/>
      <c r="T3989" s="113" t="n"/>
      <c r="U3989" s="113" t="n"/>
      <c r="V3989" s="113" t="n"/>
      <c r="W3989" s="113" t="n"/>
      <c r="X3989" s="113" t="n"/>
      <c r="Y3989" s="113" t="n"/>
      <c r="Z3989" s="117">
        <f>IF($B3989="",0,IF($S3989="EVET",IF($D3989="GELİR",$O3989,-$O3989),0))</f>
        <v/>
      </c>
      <c r="AA3989" s="117">
        <f>IF($B3989="",0,IF(OR($W3989="EVET",$X3989="EVET",$Y3989="EVET"),0,IF($D3989="GELİR",IF($E3989="SATIŞ İADESİ/İSKONTO",-$O3989,$O3989),-$O3989)))</f>
        <v/>
      </c>
      <c r="AB3989" s="117">
        <f>IF($B3989="","",IF(OR($D3989="",$E3989="",$O3989=""),"EKSİK",IF($O3989&lt;=0,"SIFIR/NEGATİF",IF(COUNTIFS($C$6:$C$5000,$C3989,$O$6:$O$5000,$O3989,$B$6:$B$5000,$B3989)&gt;1,"MÜKERRER","OK"))))</f>
        <v/>
      </c>
    </row>
    <row r="3990" ht="16.5" customHeight="1" s="80">
      <c r="A3990" s="113" t="n"/>
      <c r="B3990" s="113" t="n"/>
      <c r="C3990" s="113" t="n"/>
      <c r="D3990" s="113" t="n"/>
      <c r="E3990" s="113" t="n"/>
      <c r="F3990" s="113" t="n"/>
      <c r="G3990" s="113" t="n"/>
      <c r="H3990" s="113" t="n"/>
      <c r="I3990" s="113" t="n"/>
      <c r="J3990" s="113" t="n"/>
      <c r="K3990" s="113" t="n"/>
      <c r="L3990" s="113" t="n"/>
      <c r="M3990" s="113" t="n"/>
      <c r="N3990" s="113" t="n"/>
      <c r="O3990" s="113" t="n"/>
      <c r="P3990" s="113" t="n"/>
      <c r="Q3990" s="113" t="n"/>
      <c r="R3990" s="113" t="n"/>
      <c r="S3990" s="113" t="n"/>
      <c r="T3990" s="113" t="n"/>
      <c r="U3990" s="113" t="n"/>
      <c r="V3990" s="113" t="n"/>
      <c r="W3990" s="113" t="n"/>
      <c r="X3990" s="113" t="n"/>
      <c r="Y3990" s="113" t="n"/>
      <c r="Z3990" s="117">
        <f>IF($B3990="",0,IF($S3990="EVET",IF($D3990="GELİR",$O3990,-$O3990),0))</f>
        <v/>
      </c>
      <c r="AA3990" s="117">
        <f>IF($B3990="",0,IF(OR($W3990="EVET",$X3990="EVET",$Y3990="EVET"),0,IF($D3990="GELİR",IF($E3990="SATIŞ İADESİ/İSKONTO",-$O3990,$O3990),-$O3990)))</f>
        <v/>
      </c>
      <c r="AB3990" s="117">
        <f>IF($B3990="","",IF(OR($D3990="",$E3990="",$O3990=""),"EKSİK",IF($O3990&lt;=0,"SIFIR/NEGATİF",IF(COUNTIFS($C$6:$C$5000,$C3990,$O$6:$O$5000,$O3990,$B$6:$B$5000,$B3990)&gt;1,"MÜKERRER","OK"))))</f>
        <v/>
      </c>
    </row>
    <row r="3991" ht="16.5" customHeight="1" s="80">
      <c r="A3991" s="113" t="n"/>
      <c r="B3991" s="113" t="n"/>
      <c r="C3991" s="113" t="n"/>
      <c r="D3991" s="113" t="n"/>
      <c r="E3991" s="113" t="n"/>
      <c r="F3991" s="113" t="n"/>
      <c r="G3991" s="113" t="n"/>
      <c r="H3991" s="113" t="n"/>
      <c r="I3991" s="113" t="n"/>
      <c r="J3991" s="113" t="n"/>
      <c r="K3991" s="113" t="n"/>
      <c r="L3991" s="113" t="n"/>
      <c r="M3991" s="113" t="n"/>
      <c r="N3991" s="113" t="n"/>
      <c r="O3991" s="113" t="n"/>
      <c r="P3991" s="113" t="n"/>
      <c r="Q3991" s="113" t="n"/>
      <c r="R3991" s="113" t="n"/>
      <c r="S3991" s="113" t="n"/>
      <c r="T3991" s="113" t="n"/>
      <c r="U3991" s="113" t="n"/>
      <c r="V3991" s="113" t="n"/>
      <c r="W3991" s="113" t="n"/>
      <c r="X3991" s="113" t="n"/>
      <c r="Y3991" s="113" t="n"/>
      <c r="Z3991" s="117">
        <f>IF($B3991="",0,IF($S3991="EVET",IF($D3991="GELİR",$O3991,-$O3991),0))</f>
        <v/>
      </c>
      <c r="AA3991" s="117">
        <f>IF($B3991="",0,IF(OR($W3991="EVET",$X3991="EVET",$Y3991="EVET"),0,IF($D3991="GELİR",IF($E3991="SATIŞ İADESİ/İSKONTO",-$O3991,$O3991),-$O3991)))</f>
        <v/>
      </c>
      <c r="AB3991" s="117">
        <f>IF($B3991="","",IF(OR($D3991="",$E3991="",$O3991=""),"EKSİK",IF($O3991&lt;=0,"SIFIR/NEGATİF",IF(COUNTIFS($C$6:$C$5000,$C3991,$O$6:$O$5000,$O3991,$B$6:$B$5000,$B3991)&gt;1,"MÜKERRER","OK"))))</f>
        <v/>
      </c>
    </row>
    <row r="3992" ht="16.5" customHeight="1" s="80">
      <c r="A3992" s="113" t="n"/>
      <c r="B3992" s="113" t="n"/>
      <c r="C3992" s="113" t="n"/>
      <c r="D3992" s="113" t="n"/>
      <c r="E3992" s="113" t="n"/>
      <c r="F3992" s="113" t="n"/>
      <c r="G3992" s="113" t="n"/>
      <c r="H3992" s="113" t="n"/>
      <c r="I3992" s="113" t="n"/>
      <c r="J3992" s="113" t="n"/>
      <c r="K3992" s="113" t="n"/>
      <c r="L3992" s="113" t="n"/>
      <c r="M3992" s="113" t="n"/>
      <c r="N3992" s="113" t="n"/>
      <c r="O3992" s="113" t="n"/>
      <c r="P3992" s="113" t="n"/>
      <c r="Q3992" s="113" t="n"/>
      <c r="R3992" s="113" t="n"/>
      <c r="S3992" s="113" t="n"/>
      <c r="T3992" s="113" t="n"/>
      <c r="U3992" s="113" t="n"/>
      <c r="V3992" s="113" t="n"/>
      <c r="W3992" s="113" t="n"/>
      <c r="X3992" s="113" t="n"/>
      <c r="Y3992" s="113" t="n"/>
      <c r="Z3992" s="117">
        <f>IF($B3992="",0,IF($S3992="EVET",IF($D3992="GELİR",$O3992,-$O3992),0))</f>
        <v/>
      </c>
      <c r="AA3992" s="117">
        <f>IF($B3992="",0,IF(OR($W3992="EVET",$X3992="EVET",$Y3992="EVET"),0,IF($D3992="GELİR",IF($E3992="SATIŞ İADESİ/İSKONTO",-$O3992,$O3992),-$O3992)))</f>
        <v/>
      </c>
      <c r="AB3992" s="117">
        <f>IF($B3992="","",IF(OR($D3992="",$E3992="",$O3992=""),"EKSİK",IF($O3992&lt;=0,"SIFIR/NEGATİF",IF(COUNTIFS($C$6:$C$5000,$C3992,$O$6:$O$5000,$O3992,$B$6:$B$5000,$B3992)&gt;1,"MÜKERRER","OK"))))</f>
        <v/>
      </c>
    </row>
    <row r="3993" ht="16.5" customHeight="1" s="80">
      <c r="A3993" s="113" t="n"/>
      <c r="B3993" s="113" t="n"/>
      <c r="C3993" s="113" t="n"/>
      <c r="D3993" s="113" t="n"/>
      <c r="E3993" s="113" t="n"/>
      <c r="F3993" s="113" t="n"/>
      <c r="G3993" s="113" t="n"/>
      <c r="H3993" s="113" t="n"/>
      <c r="I3993" s="113" t="n"/>
      <c r="J3993" s="113" t="n"/>
      <c r="K3993" s="113" t="n"/>
      <c r="L3993" s="113" t="n"/>
      <c r="M3993" s="113" t="n"/>
      <c r="N3993" s="113" t="n"/>
      <c r="O3993" s="113" t="n"/>
      <c r="P3993" s="113" t="n"/>
      <c r="Q3993" s="113" t="n"/>
      <c r="R3993" s="113" t="n"/>
      <c r="S3993" s="113" t="n"/>
      <c r="T3993" s="113" t="n"/>
      <c r="U3993" s="113" t="n"/>
      <c r="V3993" s="113" t="n"/>
      <c r="W3993" s="113" t="n"/>
      <c r="X3993" s="113" t="n"/>
      <c r="Y3993" s="113" t="n"/>
      <c r="Z3993" s="117">
        <f>IF($B3993="",0,IF($S3993="EVET",IF($D3993="GELİR",$O3993,-$O3993),0))</f>
        <v/>
      </c>
      <c r="AA3993" s="117">
        <f>IF($B3993="",0,IF(OR($W3993="EVET",$X3993="EVET",$Y3993="EVET"),0,IF($D3993="GELİR",IF($E3993="SATIŞ İADESİ/İSKONTO",-$O3993,$O3993),-$O3993)))</f>
        <v/>
      </c>
      <c r="AB3993" s="117">
        <f>IF($B3993="","",IF(OR($D3993="",$E3993="",$O3993=""),"EKSİK",IF($O3993&lt;=0,"SIFIR/NEGATİF",IF(COUNTIFS($C$6:$C$5000,$C3993,$O$6:$O$5000,$O3993,$B$6:$B$5000,$B3993)&gt;1,"MÜKERRER","OK"))))</f>
        <v/>
      </c>
    </row>
    <row r="3994" ht="16.5" customHeight="1" s="80">
      <c r="A3994" s="113" t="n"/>
      <c r="B3994" s="113" t="n"/>
      <c r="C3994" s="113" t="n"/>
      <c r="D3994" s="113" t="n"/>
      <c r="E3994" s="113" t="n"/>
      <c r="F3994" s="113" t="n"/>
      <c r="G3994" s="113" t="n"/>
      <c r="H3994" s="113" t="n"/>
      <c r="I3994" s="113" t="n"/>
      <c r="J3994" s="113" t="n"/>
      <c r="K3994" s="113" t="n"/>
      <c r="L3994" s="113" t="n"/>
      <c r="M3994" s="113" t="n"/>
      <c r="N3994" s="113" t="n"/>
      <c r="O3994" s="113" t="n"/>
      <c r="P3994" s="113" t="n"/>
      <c r="Q3994" s="113" t="n"/>
      <c r="R3994" s="113" t="n"/>
      <c r="S3994" s="113" t="n"/>
      <c r="T3994" s="113" t="n"/>
      <c r="U3994" s="113" t="n"/>
      <c r="V3994" s="113" t="n"/>
      <c r="W3994" s="113" t="n"/>
      <c r="X3994" s="113" t="n"/>
      <c r="Y3994" s="113" t="n"/>
      <c r="Z3994" s="117">
        <f>IF($B3994="",0,IF($S3994="EVET",IF($D3994="GELİR",$O3994,-$O3994),0))</f>
        <v/>
      </c>
      <c r="AA3994" s="117">
        <f>IF($B3994="",0,IF(OR($W3994="EVET",$X3994="EVET",$Y3994="EVET"),0,IF($D3994="GELİR",IF($E3994="SATIŞ İADESİ/İSKONTO",-$O3994,$O3994),-$O3994)))</f>
        <v/>
      </c>
      <c r="AB3994" s="117">
        <f>IF($B3994="","",IF(OR($D3994="",$E3994="",$O3994=""),"EKSİK",IF($O3994&lt;=0,"SIFIR/NEGATİF",IF(COUNTIFS($C$6:$C$5000,$C3994,$O$6:$O$5000,$O3994,$B$6:$B$5000,$B3994)&gt;1,"MÜKERRER","OK"))))</f>
        <v/>
      </c>
    </row>
    <row r="3995" ht="16.5" customHeight="1" s="80">
      <c r="A3995" s="113" t="n"/>
      <c r="B3995" s="113" t="n"/>
      <c r="C3995" s="113" t="n"/>
      <c r="D3995" s="113" t="n"/>
      <c r="E3995" s="113" t="n"/>
      <c r="F3995" s="113" t="n"/>
      <c r="G3995" s="113" t="n"/>
      <c r="H3995" s="113" t="n"/>
      <c r="I3995" s="113" t="n"/>
      <c r="J3995" s="113" t="n"/>
      <c r="K3995" s="113" t="n"/>
      <c r="L3995" s="113" t="n"/>
      <c r="M3995" s="113" t="n"/>
      <c r="N3995" s="113" t="n"/>
      <c r="O3995" s="113" t="n"/>
      <c r="P3995" s="113" t="n"/>
      <c r="Q3995" s="113" t="n"/>
      <c r="R3995" s="113" t="n"/>
      <c r="S3995" s="113" t="n"/>
      <c r="T3995" s="113" t="n"/>
      <c r="U3995" s="113" t="n"/>
      <c r="V3995" s="113" t="n"/>
      <c r="W3995" s="113" t="n"/>
      <c r="X3995" s="113" t="n"/>
      <c r="Y3995" s="113" t="n"/>
      <c r="Z3995" s="117">
        <f>IF($B3995="",0,IF($S3995="EVET",IF($D3995="GELİR",$O3995,-$O3995),0))</f>
        <v/>
      </c>
      <c r="AA3995" s="117">
        <f>IF($B3995="",0,IF(OR($W3995="EVET",$X3995="EVET",$Y3995="EVET"),0,IF($D3995="GELİR",IF($E3995="SATIŞ İADESİ/İSKONTO",-$O3995,$O3995),-$O3995)))</f>
        <v/>
      </c>
      <c r="AB3995" s="117">
        <f>IF($B3995="","",IF(OR($D3995="",$E3995="",$O3995=""),"EKSİK",IF($O3995&lt;=0,"SIFIR/NEGATİF",IF(COUNTIFS($C$6:$C$5000,$C3995,$O$6:$O$5000,$O3995,$B$6:$B$5000,$B3995)&gt;1,"MÜKERRER","OK"))))</f>
        <v/>
      </c>
    </row>
    <row r="3996" ht="16.5" customHeight="1" s="80">
      <c r="A3996" s="113" t="n"/>
      <c r="B3996" s="113" t="n"/>
      <c r="C3996" s="113" t="n"/>
      <c r="D3996" s="113" t="n"/>
      <c r="E3996" s="113" t="n"/>
      <c r="F3996" s="113" t="n"/>
      <c r="G3996" s="113" t="n"/>
      <c r="H3996" s="113" t="n"/>
      <c r="I3996" s="113" t="n"/>
      <c r="J3996" s="113" t="n"/>
      <c r="K3996" s="113" t="n"/>
      <c r="L3996" s="113" t="n"/>
      <c r="M3996" s="113" t="n"/>
      <c r="N3996" s="113" t="n"/>
      <c r="O3996" s="113" t="n"/>
      <c r="P3996" s="113" t="n"/>
      <c r="Q3996" s="113" t="n"/>
      <c r="R3996" s="113" t="n"/>
      <c r="S3996" s="113" t="n"/>
      <c r="T3996" s="113" t="n"/>
      <c r="U3996" s="113" t="n"/>
      <c r="V3996" s="113" t="n"/>
      <c r="W3996" s="113" t="n"/>
      <c r="X3996" s="113" t="n"/>
      <c r="Y3996" s="113" t="n"/>
      <c r="Z3996" s="117">
        <f>IF($B3996="",0,IF($S3996="EVET",IF($D3996="GELİR",$O3996,-$O3996),0))</f>
        <v/>
      </c>
      <c r="AA3996" s="117">
        <f>IF($B3996="",0,IF(OR($W3996="EVET",$X3996="EVET",$Y3996="EVET"),0,IF($D3996="GELİR",IF($E3996="SATIŞ İADESİ/İSKONTO",-$O3996,$O3996),-$O3996)))</f>
        <v/>
      </c>
      <c r="AB3996" s="117">
        <f>IF($B3996="","",IF(OR($D3996="",$E3996="",$O3996=""),"EKSİK",IF($O3996&lt;=0,"SIFIR/NEGATİF",IF(COUNTIFS($C$6:$C$5000,$C3996,$O$6:$O$5000,$O3996,$B$6:$B$5000,$B3996)&gt;1,"MÜKERRER","OK"))))</f>
        <v/>
      </c>
    </row>
    <row r="3997" ht="16.5" customHeight="1" s="80">
      <c r="A3997" s="113" t="n"/>
      <c r="B3997" s="113" t="n"/>
      <c r="C3997" s="113" t="n"/>
      <c r="D3997" s="113" t="n"/>
      <c r="E3997" s="113" t="n"/>
      <c r="F3997" s="113" t="n"/>
      <c r="G3997" s="113" t="n"/>
      <c r="H3997" s="113" t="n"/>
      <c r="I3997" s="113" t="n"/>
      <c r="J3997" s="113" t="n"/>
      <c r="K3997" s="113" t="n"/>
      <c r="L3997" s="113" t="n"/>
      <c r="M3997" s="113" t="n"/>
      <c r="N3997" s="113" t="n"/>
      <c r="O3997" s="113" t="n"/>
      <c r="P3997" s="113" t="n"/>
      <c r="Q3997" s="113" t="n"/>
      <c r="R3997" s="113" t="n"/>
      <c r="S3997" s="113" t="n"/>
      <c r="T3997" s="113" t="n"/>
      <c r="U3997" s="113" t="n"/>
      <c r="V3997" s="113" t="n"/>
      <c r="W3997" s="113" t="n"/>
      <c r="X3997" s="113" t="n"/>
      <c r="Y3997" s="113" t="n"/>
      <c r="Z3997" s="117">
        <f>IF($B3997="",0,IF($S3997="EVET",IF($D3997="GELİR",$O3997,-$O3997),0))</f>
        <v/>
      </c>
      <c r="AA3997" s="117">
        <f>IF($B3997="",0,IF(OR($W3997="EVET",$X3997="EVET",$Y3997="EVET"),0,IF($D3997="GELİR",IF($E3997="SATIŞ İADESİ/İSKONTO",-$O3997,$O3997),-$O3997)))</f>
        <v/>
      </c>
      <c r="AB3997" s="117">
        <f>IF($B3997="","",IF(OR($D3997="",$E3997="",$O3997=""),"EKSİK",IF($O3997&lt;=0,"SIFIR/NEGATİF",IF(COUNTIFS($C$6:$C$5000,$C3997,$O$6:$O$5000,$O3997,$B$6:$B$5000,$B3997)&gt;1,"MÜKERRER","OK"))))</f>
        <v/>
      </c>
    </row>
    <row r="3998" ht="16.5" customHeight="1" s="80">
      <c r="A3998" s="113" t="n"/>
      <c r="B3998" s="113" t="n"/>
      <c r="C3998" s="113" t="n"/>
      <c r="D3998" s="113" t="n"/>
      <c r="E3998" s="113" t="n"/>
      <c r="F3998" s="113" t="n"/>
      <c r="G3998" s="113" t="n"/>
      <c r="H3998" s="113" t="n"/>
      <c r="I3998" s="113" t="n"/>
      <c r="J3998" s="113" t="n"/>
      <c r="K3998" s="113" t="n"/>
      <c r="L3998" s="113" t="n"/>
      <c r="M3998" s="113" t="n"/>
      <c r="N3998" s="113" t="n"/>
      <c r="O3998" s="113" t="n"/>
      <c r="P3998" s="113" t="n"/>
      <c r="Q3998" s="113" t="n"/>
      <c r="R3998" s="113" t="n"/>
      <c r="S3998" s="113" t="n"/>
      <c r="T3998" s="113" t="n"/>
      <c r="U3998" s="113" t="n"/>
      <c r="V3998" s="113" t="n"/>
      <c r="W3998" s="113" t="n"/>
      <c r="X3998" s="113" t="n"/>
      <c r="Y3998" s="113" t="n"/>
      <c r="Z3998" s="117">
        <f>IF($B3998="",0,IF($S3998="EVET",IF($D3998="GELİR",$O3998,-$O3998),0))</f>
        <v/>
      </c>
      <c r="AA3998" s="117">
        <f>IF($B3998="",0,IF(OR($W3998="EVET",$X3998="EVET",$Y3998="EVET"),0,IF($D3998="GELİR",IF($E3998="SATIŞ İADESİ/İSKONTO",-$O3998,$O3998),-$O3998)))</f>
        <v/>
      </c>
      <c r="AB3998" s="117">
        <f>IF($B3998="","",IF(OR($D3998="",$E3998="",$O3998=""),"EKSİK",IF($O3998&lt;=0,"SIFIR/NEGATİF",IF(COUNTIFS($C$6:$C$5000,$C3998,$O$6:$O$5000,$O3998,$B$6:$B$5000,$B3998)&gt;1,"MÜKERRER","OK"))))</f>
        <v/>
      </c>
    </row>
    <row r="3999" ht="16.5" customHeight="1" s="80">
      <c r="A3999" s="113" t="n"/>
      <c r="B3999" s="113" t="n"/>
      <c r="C3999" s="113" t="n"/>
      <c r="D3999" s="113" t="n"/>
      <c r="E3999" s="113" t="n"/>
      <c r="F3999" s="113" t="n"/>
      <c r="G3999" s="113" t="n"/>
      <c r="H3999" s="113" t="n"/>
      <c r="I3999" s="113" t="n"/>
      <c r="J3999" s="113" t="n"/>
      <c r="K3999" s="113" t="n"/>
      <c r="L3999" s="113" t="n"/>
      <c r="M3999" s="113" t="n"/>
      <c r="N3999" s="113" t="n"/>
      <c r="O3999" s="113" t="n"/>
      <c r="P3999" s="113" t="n"/>
      <c r="Q3999" s="113" t="n"/>
      <c r="R3999" s="113" t="n"/>
      <c r="S3999" s="113" t="n"/>
      <c r="T3999" s="113" t="n"/>
      <c r="U3999" s="113" t="n"/>
      <c r="V3999" s="113" t="n"/>
      <c r="W3999" s="113" t="n"/>
      <c r="X3999" s="113" t="n"/>
      <c r="Y3999" s="113" t="n"/>
      <c r="Z3999" s="117">
        <f>IF($B3999="",0,IF($S3999="EVET",IF($D3999="GELİR",$O3999,-$O3999),0))</f>
        <v/>
      </c>
      <c r="AA3999" s="117">
        <f>IF($B3999="",0,IF(OR($W3999="EVET",$X3999="EVET",$Y3999="EVET"),0,IF($D3999="GELİR",IF($E3999="SATIŞ İADESİ/İSKONTO",-$O3999,$O3999),-$O3999)))</f>
        <v/>
      </c>
      <c r="AB3999" s="117">
        <f>IF($B3999="","",IF(OR($D3999="",$E3999="",$O3999=""),"EKSİK",IF($O3999&lt;=0,"SIFIR/NEGATİF",IF(COUNTIFS($C$6:$C$5000,$C3999,$O$6:$O$5000,$O3999,$B$6:$B$5000,$B3999)&gt;1,"MÜKERRER","OK"))))</f>
        <v/>
      </c>
    </row>
    <row r="4000" ht="16.5" customHeight="1" s="80">
      <c r="A4000" s="113" t="n"/>
      <c r="B4000" s="113" t="n"/>
      <c r="C4000" s="113" t="n"/>
      <c r="D4000" s="113" t="n"/>
      <c r="E4000" s="113" t="n"/>
      <c r="F4000" s="113" t="n"/>
      <c r="G4000" s="113" t="n"/>
      <c r="H4000" s="113" t="n"/>
      <c r="I4000" s="113" t="n"/>
      <c r="J4000" s="113" t="n"/>
      <c r="K4000" s="113" t="n"/>
      <c r="L4000" s="113" t="n"/>
      <c r="M4000" s="113" t="n"/>
      <c r="N4000" s="113" t="n"/>
      <c r="O4000" s="113" t="n"/>
      <c r="P4000" s="113" t="n"/>
      <c r="Q4000" s="113" t="n"/>
      <c r="R4000" s="113" t="n"/>
      <c r="S4000" s="113" t="n"/>
      <c r="T4000" s="113" t="n"/>
      <c r="U4000" s="113" t="n"/>
      <c r="V4000" s="113" t="n"/>
      <c r="W4000" s="113" t="n"/>
      <c r="X4000" s="113" t="n"/>
      <c r="Y4000" s="113" t="n"/>
      <c r="Z4000" s="117">
        <f>IF($B4000="",0,IF($S4000="EVET",IF($D4000="GELİR",$O4000,-$O4000),0))</f>
        <v/>
      </c>
      <c r="AA4000" s="117">
        <f>IF($B4000="",0,IF(OR($W4000="EVET",$X4000="EVET",$Y4000="EVET"),0,IF($D4000="GELİR",IF($E4000="SATIŞ İADESİ/İSKONTO",-$O4000,$O4000),-$O4000)))</f>
        <v/>
      </c>
      <c r="AB4000" s="117">
        <f>IF($B4000="","",IF(OR($D4000="",$E4000="",$O4000=""),"EKSİK",IF($O4000&lt;=0,"SIFIR/NEGATİF",IF(COUNTIFS($C$6:$C$5000,$C4000,$O$6:$O$5000,$O4000,$B$6:$B$5000,$B4000)&gt;1,"MÜKERRER","OK"))))</f>
        <v/>
      </c>
    </row>
    <row r="4001" ht="16.5" customHeight="1" s="80">
      <c r="A4001" s="113" t="n"/>
      <c r="B4001" s="113" t="n"/>
      <c r="C4001" s="113" t="n"/>
      <c r="D4001" s="113" t="n"/>
      <c r="E4001" s="113" t="n"/>
      <c r="F4001" s="113" t="n"/>
      <c r="G4001" s="113" t="n"/>
      <c r="H4001" s="113" t="n"/>
      <c r="I4001" s="113" t="n"/>
      <c r="J4001" s="113" t="n"/>
      <c r="K4001" s="113" t="n"/>
      <c r="L4001" s="113" t="n"/>
      <c r="M4001" s="113" t="n"/>
      <c r="N4001" s="113" t="n"/>
      <c r="O4001" s="113" t="n"/>
      <c r="P4001" s="113" t="n"/>
      <c r="Q4001" s="113" t="n"/>
      <c r="R4001" s="113" t="n"/>
      <c r="S4001" s="113" t="n"/>
      <c r="T4001" s="113" t="n"/>
      <c r="U4001" s="113" t="n"/>
      <c r="V4001" s="113" t="n"/>
      <c r="W4001" s="113" t="n"/>
      <c r="X4001" s="113" t="n"/>
      <c r="Y4001" s="113" t="n"/>
      <c r="Z4001" s="117">
        <f>IF($B4001="",0,IF($S4001="EVET",IF($D4001="GELİR",$O4001,-$O4001),0))</f>
        <v/>
      </c>
      <c r="AA4001" s="117">
        <f>IF($B4001="",0,IF(OR($W4001="EVET",$X4001="EVET",$Y4001="EVET"),0,IF($D4001="GELİR",IF($E4001="SATIŞ İADESİ/İSKONTO",-$O4001,$O4001),-$O4001)))</f>
        <v/>
      </c>
      <c r="AB4001" s="117">
        <f>IF($B4001="","",IF(OR($D4001="",$E4001="",$O4001=""),"EKSİK",IF($O4001&lt;=0,"SIFIR/NEGATİF",IF(COUNTIFS($C$6:$C$5000,$C4001,$O$6:$O$5000,$O4001,$B$6:$B$5000,$B4001)&gt;1,"MÜKERRER","OK"))))</f>
        <v/>
      </c>
    </row>
    <row r="4002" ht="16.5" customHeight="1" s="80">
      <c r="A4002" s="113" t="n"/>
      <c r="B4002" s="113" t="n"/>
      <c r="C4002" s="113" t="n"/>
      <c r="D4002" s="113" t="n"/>
      <c r="E4002" s="113" t="n"/>
      <c r="F4002" s="113" t="n"/>
      <c r="G4002" s="113" t="n"/>
      <c r="H4002" s="113" t="n"/>
      <c r="I4002" s="113" t="n"/>
      <c r="J4002" s="113" t="n"/>
      <c r="K4002" s="113" t="n"/>
      <c r="L4002" s="113" t="n"/>
      <c r="M4002" s="113" t="n"/>
      <c r="N4002" s="113" t="n"/>
      <c r="O4002" s="113" t="n"/>
      <c r="P4002" s="113" t="n"/>
      <c r="Q4002" s="113" t="n"/>
      <c r="R4002" s="113" t="n"/>
      <c r="S4002" s="113" t="n"/>
      <c r="T4002" s="113" t="n"/>
      <c r="U4002" s="113" t="n"/>
      <c r="V4002" s="113" t="n"/>
      <c r="W4002" s="113" t="n"/>
      <c r="X4002" s="113" t="n"/>
      <c r="Y4002" s="113" t="n"/>
      <c r="Z4002" s="117">
        <f>IF($B4002="",0,IF($S4002="EVET",IF($D4002="GELİR",$O4002,-$O4002),0))</f>
        <v/>
      </c>
      <c r="AA4002" s="117">
        <f>IF($B4002="",0,IF(OR($W4002="EVET",$X4002="EVET",$Y4002="EVET"),0,IF($D4002="GELİR",IF($E4002="SATIŞ İADESİ/İSKONTO",-$O4002,$O4002),-$O4002)))</f>
        <v/>
      </c>
      <c r="AB4002" s="117">
        <f>IF($B4002="","",IF(OR($D4002="",$E4002="",$O4002=""),"EKSİK",IF($O4002&lt;=0,"SIFIR/NEGATİF",IF(COUNTIFS($C$6:$C$5000,$C4002,$O$6:$O$5000,$O4002,$B$6:$B$5000,$B4002)&gt;1,"MÜKERRER","OK"))))</f>
        <v/>
      </c>
    </row>
    <row r="4003" ht="16.5" customHeight="1" s="80">
      <c r="A4003" s="113" t="n"/>
      <c r="B4003" s="113" t="n"/>
      <c r="C4003" s="113" t="n"/>
      <c r="D4003" s="113" t="n"/>
      <c r="E4003" s="113" t="n"/>
      <c r="F4003" s="113" t="n"/>
      <c r="G4003" s="113" t="n"/>
      <c r="H4003" s="113" t="n"/>
      <c r="I4003" s="113" t="n"/>
      <c r="J4003" s="113" t="n"/>
      <c r="K4003" s="113" t="n"/>
      <c r="L4003" s="113" t="n"/>
      <c r="M4003" s="113" t="n"/>
      <c r="N4003" s="113" t="n"/>
      <c r="O4003" s="113" t="n"/>
      <c r="P4003" s="113" t="n"/>
      <c r="Q4003" s="113" t="n"/>
      <c r="R4003" s="113" t="n"/>
      <c r="S4003" s="113" t="n"/>
      <c r="T4003" s="113" t="n"/>
      <c r="U4003" s="113" t="n"/>
      <c r="V4003" s="113" t="n"/>
      <c r="W4003" s="113" t="n"/>
      <c r="X4003" s="113" t="n"/>
      <c r="Y4003" s="113" t="n"/>
      <c r="Z4003" s="117">
        <f>IF($B4003="",0,IF($S4003="EVET",IF($D4003="GELİR",$O4003,-$O4003),0))</f>
        <v/>
      </c>
      <c r="AA4003" s="117">
        <f>IF($B4003="",0,IF(OR($W4003="EVET",$X4003="EVET",$Y4003="EVET"),0,IF($D4003="GELİR",IF($E4003="SATIŞ İADESİ/İSKONTO",-$O4003,$O4003),-$O4003)))</f>
        <v/>
      </c>
      <c r="AB4003" s="117">
        <f>IF($B4003="","",IF(OR($D4003="",$E4003="",$O4003=""),"EKSİK",IF($O4003&lt;=0,"SIFIR/NEGATİF",IF(COUNTIFS($C$6:$C$5000,$C4003,$O$6:$O$5000,$O4003,$B$6:$B$5000,$B4003)&gt;1,"MÜKERRER","OK"))))</f>
        <v/>
      </c>
    </row>
    <row r="4004" ht="16.5" customHeight="1" s="80">
      <c r="A4004" s="113" t="n"/>
      <c r="B4004" s="113" t="n"/>
      <c r="C4004" s="113" t="n"/>
      <c r="D4004" s="113" t="n"/>
      <c r="E4004" s="113" t="n"/>
      <c r="F4004" s="113" t="n"/>
      <c r="G4004" s="113" t="n"/>
      <c r="H4004" s="113" t="n"/>
      <c r="I4004" s="113" t="n"/>
      <c r="J4004" s="113" t="n"/>
      <c r="K4004" s="113" t="n"/>
      <c r="L4004" s="113" t="n"/>
      <c r="M4004" s="113" t="n"/>
      <c r="N4004" s="113" t="n"/>
      <c r="O4004" s="113" t="n"/>
      <c r="P4004" s="113" t="n"/>
      <c r="Q4004" s="113" t="n"/>
      <c r="R4004" s="113" t="n"/>
      <c r="S4004" s="113" t="n"/>
      <c r="T4004" s="113" t="n"/>
      <c r="U4004" s="113" t="n"/>
      <c r="V4004" s="113" t="n"/>
      <c r="W4004" s="113" t="n"/>
      <c r="X4004" s="113" t="n"/>
      <c r="Y4004" s="113" t="n"/>
      <c r="Z4004" s="117">
        <f>IF($B4004="",0,IF($S4004="EVET",IF($D4004="GELİR",$O4004,-$O4004),0))</f>
        <v/>
      </c>
      <c r="AA4004" s="117">
        <f>IF($B4004="",0,IF(OR($W4004="EVET",$X4004="EVET",$Y4004="EVET"),0,IF($D4004="GELİR",IF($E4004="SATIŞ İADESİ/İSKONTO",-$O4004,$O4004),-$O4004)))</f>
        <v/>
      </c>
      <c r="AB4004" s="117">
        <f>IF($B4004="","",IF(OR($D4004="",$E4004="",$O4004=""),"EKSİK",IF($O4004&lt;=0,"SIFIR/NEGATİF",IF(COUNTIFS($C$6:$C$5000,$C4004,$O$6:$O$5000,$O4004,$B$6:$B$5000,$B4004)&gt;1,"MÜKERRER","OK"))))</f>
        <v/>
      </c>
    </row>
    <row r="4005" ht="16.5" customHeight="1" s="80">
      <c r="A4005" s="113" t="n"/>
      <c r="B4005" s="113" t="n"/>
      <c r="C4005" s="113" t="n"/>
      <c r="D4005" s="113" t="n"/>
      <c r="E4005" s="113" t="n"/>
      <c r="F4005" s="113" t="n"/>
      <c r="G4005" s="113" t="n"/>
      <c r="H4005" s="113" t="n"/>
      <c r="I4005" s="113" t="n"/>
      <c r="J4005" s="113" t="n"/>
      <c r="K4005" s="113" t="n"/>
      <c r="L4005" s="113" t="n"/>
      <c r="M4005" s="113" t="n"/>
      <c r="N4005" s="113" t="n"/>
      <c r="O4005" s="113" t="n"/>
      <c r="P4005" s="113" t="n"/>
      <c r="Q4005" s="113" t="n"/>
      <c r="R4005" s="113" t="n"/>
      <c r="S4005" s="113" t="n"/>
      <c r="T4005" s="113" t="n"/>
      <c r="U4005" s="113" t="n"/>
      <c r="V4005" s="113" t="n"/>
      <c r="W4005" s="113" t="n"/>
      <c r="X4005" s="113" t="n"/>
      <c r="Y4005" s="113" t="n"/>
      <c r="Z4005" s="117">
        <f>IF($B4005="",0,IF($S4005="EVET",IF($D4005="GELİR",$O4005,-$O4005),0))</f>
        <v/>
      </c>
      <c r="AA4005" s="117">
        <f>IF($B4005="",0,IF(OR($W4005="EVET",$X4005="EVET",$Y4005="EVET"),0,IF($D4005="GELİR",IF($E4005="SATIŞ İADESİ/İSKONTO",-$O4005,$O4005),-$O4005)))</f>
        <v/>
      </c>
      <c r="AB4005" s="117">
        <f>IF($B4005="","",IF(OR($D4005="",$E4005="",$O4005=""),"EKSİK",IF($O4005&lt;=0,"SIFIR/NEGATİF",IF(COUNTIFS($C$6:$C$5000,$C4005,$O$6:$O$5000,$O4005,$B$6:$B$5000,$B4005)&gt;1,"MÜKERRER","OK"))))</f>
        <v/>
      </c>
    </row>
    <row r="4006" ht="16.5" customHeight="1" s="80">
      <c r="A4006" s="113" t="n"/>
      <c r="B4006" s="113" t="n"/>
      <c r="C4006" s="113" t="n"/>
      <c r="D4006" s="113" t="n"/>
      <c r="E4006" s="113" t="n"/>
      <c r="F4006" s="113" t="n"/>
      <c r="G4006" s="113" t="n"/>
      <c r="H4006" s="113" t="n"/>
      <c r="I4006" s="113" t="n"/>
      <c r="J4006" s="113" t="n"/>
      <c r="K4006" s="113" t="n"/>
      <c r="L4006" s="113" t="n"/>
      <c r="M4006" s="113" t="n"/>
      <c r="N4006" s="113" t="n"/>
      <c r="O4006" s="113" t="n"/>
      <c r="P4006" s="113" t="n"/>
      <c r="Q4006" s="113" t="n"/>
      <c r="R4006" s="113" t="n"/>
      <c r="S4006" s="113" t="n"/>
      <c r="T4006" s="113" t="n"/>
      <c r="U4006" s="113" t="n"/>
      <c r="V4006" s="113" t="n"/>
      <c r="W4006" s="113" t="n"/>
      <c r="X4006" s="113" t="n"/>
      <c r="Y4006" s="113" t="n"/>
      <c r="Z4006" s="117">
        <f>IF($B4006="",0,IF($S4006="EVET",IF($D4006="GELİR",$O4006,-$O4006),0))</f>
        <v/>
      </c>
      <c r="AA4006" s="117">
        <f>IF($B4006="",0,IF(OR($W4006="EVET",$X4006="EVET",$Y4006="EVET"),0,IF($D4006="GELİR",IF($E4006="SATIŞ İADESİ/İSKONTO",-$O4006,$O4006),-$O4006)))</f>
        <v/>
      </c>
      <c r="AB4006" s="117">
        <f>IF($B4006="","",IF(OR($D4006="",$E4006="",$O4006=""),"EKSİK",IF($O4006&lt;=0,"SIFIR/NEGATİF",IF(COUNTIFS($C$6:$C$5000,$C4006,$O$6:$O$5000,$O4006,$B$6:$B$5000,$B4006)&gt;1,"MÜKERRER","OK"))))</f>
        <v/>
      </c>
    </row>
    <row r="4007" ht="16.5" customHeight="1" s="80">
      <c r="A4007" s="113" t="n"/>
      <c r="B4007" s="113" t="n"/>
      <c r="C4007" s="113" t="n"/>
      <c r="D4007" s="113" t="n"/>
      <c r="E4007" s="113" t="n"/>
      <c r="F4007" s="113" t="n"/>
      <c r="G4007" s="113" t="n"/>
      <c r="H4007" s="113" t="n"/>
      <c r="I4007" s="113" t="n"/>
      <c r="J4007" s="113" t="n"/>
      <c r="K4007" s="113" t="n"/>
      <c r="L4007" s="113" t="n"/>
      <c r="M4007" s="113" t="n"/>
      <c r="N4007" s="113" t="n"/>
      <c r="O4007" s="113" t="n"/>
      <c r="P4007" s="113" t="n"/>
      <c r="Q4007" s="113" t="n"/>
      <c r="R4007" s="113" t="n"/>
      <c r="S4007" s="113" t="n"/>
      <c r="T4007" s="113" t="n"/>
      <c r="U4007" s="113" t="n"/>
      <c r="V4007" s="113" t="n"/>
      <c r="W4007" s="113" t="n"/>
      <c r="X4007" s="113" t="n"/>
      <c r="Y4007" s="113" t="n"/>
      <c r="Z4007" s="117">
        <f>IF($B4007="",0,IF($S4007="EVET",IF($D4007="GELİR",$O4007,-$O4007),0))</f>
        <v/>
      </c>
      <c r="AA4007" s="117">
        <f>IF($B4007="",0,IF(OR($W4007="EVET",$X4007="EVET",$Y4007="EVET"),0,IF($D4007="GELİR",IF($E4007="SATIŞ İADESİ/İSKONTO",-$O4007,$O4007),-$O4007)))</f>
        <v/>
      </c>
      <c r="AB4007" s="117">
        <f>IF($B4007="","",IF(OR($D4007="",$E4007="",$O4007=""),"EKSİK",IF($O4007&lt;=0,"SIFIR/NEGATİF",IF(COUNTIFS($C$6:$C$5000,$C4007,$O$6:$O$5000,$O4007,$B$6:$B$5000,$B4007)&gt;1,"MÜKERRER","OK"))))</f>
        <v/>
      </c>
    </row>
    <row r="4008" ht="16.5" customHeight="1" s="80">
      <c r="A4008" s="113" t="n"/>
      <c r="B4008" s="113" t="n"/>
      <c r="C4008" s="113" t="n"/>
      <c r="D4008" s="113" t="n"/>
      <c r="E4008" s="113" t="n"/>
      <c r="F4008" s="113" t="n"/>
      <c r="G4008" s="113" t="n"/>
      <c r="H4008" s="113" t="n"/>
      <c r="I4008" s="113" t="n"/>
      <c r="J4008" s="113" t="n"/>
      <c r="K4008" s="113" t="n"/>
      <c r="L4008" s="113" t="n"/>
      <c r="M4008" s="113" t="n"/>
      <c r="N4008" s="113" t="n"/>
      <c r="O4008" s="113" t="n"/>
      <c r="P4008" s="113" t="n"/>
      <c r="Q4008" s="113" t="n"/>
      <c r="R4008" s="113" t="n"/>
      <c r="S4008" s="113" t="n"/>
      <c r="T4008" s="113" t="n"/>
      <c r="U4008" s="113" t="n"/>
      <c r="V4008" s="113" t="n"/>
      <c r="W4008" s="113" t="n"/>
      <c r="X4008" s="113" t="n"/>
      <c r="Y4008" s="113" t="n"/>
      <c r="Z4008" s="117">
        <f>IF($B4008="",0,IF($S4008="EVET",IF($D4008="GELİR",$O4008,-$O4008),0))</f>
        <v/>
      </c>
      <c r="AA4008" s="117">
        <f>IF($B4008="",0,IF(OR($W4008="EVET",$X4008="EVET",$Y4008="EVET"),0,IF($D4008="GELİR",IF($E4008="SATIŞ İADESİ/İSKONTO",-$O4008,$O4008),-$O4008)))</f>
        <v/>
      </c>
      <c r="AB4008" s="117">
        <f>IF($B4008="","",IF(OR($D4008="",$E4008="",$O4008=""),"EKSİK",IF($O4008&lt;=0,"SIFIR/NEGATİF",IF(COUNTIFS($C$6:$C$5000,$C4008,$O$6:$O$5000,$O4008,$B$6:$B$5000,$B4008)&gt;1,"MÜKERRER","OK"))))</f>
        <v/>
      </c>
    </row>
    <row r="4009" ht="16.5" customHeight="1" s="80">
      <c r="A4009" s="113" t="n"/>
      <c r="B4009" s="113" t="n"/>
      <c r="C4009" s="113" t="n"/>
      <c r="D4009" s="113" t="n"/>
      <c r="E4009" s="113" t="n"/>
      <c r="F4009" s="113" t="n"/>
      <c r="G4009" s="113" t="n"/>
      <c r="H4009" s="113" t="n"/>
      <c r="I4009" s="113" t="n"/>
      <c r="J4009" s="113" t="n"/>
      <c r="K4009" s="113" t="n"/>
      <c r="L4009" s="113" t="n"/>
      <c r="M4009" s="113" t="n"/>
      <c r="N4009" s="113" t="n"/>
      <c r="O4009" s="113" t="n"/>
      <c r="P4009" s="113" t="n"/>
      <c r="Q4009" s="113" t="n"/>
      <c r="R4009" s="113" t="n"/>
      <c r="S4009" s="113" t="n"/>
      <c r="T4009" s="113" t="n"/>
      <c r="U4009" s="113" t="n"/>
      <c r="V4009" s="113" t="n"/>
      <c r="W4009" s="113" t="n"/>
      <c r="X4009" s="113" t="n"/>
      <c r="Y4009" s="113" t="n"/>
      <c r="Z4009" s="117">
        <f>IF($B4009="",0,IF($S4009="EVET",IF($D4009="GELİR",$O4009,-$O4009),0))</f>
        <v/>
      </c>
      <c r="AA4009" s="117">
        <f>IF($B4009="",0,IF(OR($W4009="EVET",$X4009="EVET",$Y4009="EVET"),0,IF($D4009="GELİR",IF($E4009="SATIŞ İADESİ/İSKONTO",-$O4009,$O4009),-$O4009)))</f>
        <v/>
      </c>
      <c r="AB4009" s="117">
        <f>IF($B4009="","",IF(OR($D4009="",$E4009="",$O4009=""),"EKSİK",IF($O4009&lt;=0,"SIFIR/NEGATİF",IF(COUNTIFS($C$6:$C$5000,$C4009,$O$6:$O$5000,$O4009,$B$6:$B$5000,$B4009)&gt;1,"MÜKERRER","OK"))))</f>
        <v/>
      </c>
    </row>
    <row r="4010" ht="16.5" customHeight="1" s="80">
      <c r="A4010" s="113" t="n"/>
      <c r="B4010" s="113" t="n"/>
      <c r="C4010" s="113" t="n"/>
      <c r="D4010" s="113" t="n"/>
      <c r="E4010" s="113" t="n"/>
      <c r="F4010" s="113" t="n"/>
      <c r="G4010" s="113" t="n"/>
      <c r="H4010" s="113" t="n"/>
      <c r="I4010" s="113" t="n"/>
      <c r="J4010" s="113" t="n"/>
      <c r="K4010" s="113" t="n"/>
      <c r="L4010" s="113" t="n"/>
      <c r="M4010" s="113" t="n"/>
      <c r="N4010" s="113" t="n"/>
      <c r="O4010" s="113" t="n"/>
      <c r="P4010" s="113" t="n"/>
      <c r="Q4010" s="113" t="n"/>
      <c r="R4010" s="113" t="n"/>
      <c r="S4010" s="113" t="n"/>
      <c r="T4010" s="113" t="n"/>
      <c r="U4010" s="113" t="n"/>
      <c r="V4010" s="113" t="n"/>
      <c r="W4010" s="113" t="n"/>
      <c r="X4010" s="113" t="n"/>
      <c r="Y4010" s="113" t="n"/>
      <c r="Z4010" s="117">
        <f>IF($B4010="",0,IF($S4010="EVET",IF($D4010="GELİR",$O4010,-$O4010),0))</f>
        <v/>
      </c>
      <c r="AA4010" s="117">
        <f>IF($B4010="",0,IF(OR($W4010="EVET",$X4010="EVET",$Y4010="EVET"),0,IF($D4010="GELİR",IF($E4010="SATIŞ İADESİ/İSKONTO",-$O4010,$O4010),-$O4010)))</f>
        <v/>
      </c>
      <c r="AB4010" s="117">
        <f>IF($B4010="","",IF(OR($D4010="",$E4010="",$O4010=""),"EKSİK",IF($O4010&lt;=0,"SIFIR/NEGATİF",IF(COUNTIFS($C$6:$C$5000,$C4010,$O$6:$O$5000,$O4010,$B$6:$B$5000,$B4010)&gt;1,"MÜKERRER","OK"))))</f>
        <v/>
      </c>
    </row>
    <row r="4011" ht="16.5" customHeight="1" s="80">
      <c r="A4011" s="113" t="n"/>
      <c r="B4011" s="113" t="n"/>
      <c r="C4011" s="113" t="n"/>
      <c r="D4011" s="113" t="n"/>
      <c r="E4011" s="113" t="n"/>
      <c r="F4011" s="113" t="n"/>
      <c r="G4011" s="113" t="n"/>
      <c r="H4011" s="113" t="n"/>
      <c r="I4011" s="113" t="n"/>
      <c r="J4011" s="113" t="n"/>
      <c r="K4011" s="113" t="n"/>
      <c r="L4011" s="113" t="n"/>
      <c r="M4011" s="113" t="n"/>
      <c r="N4011" s="113" t="n"/>
      <c r="O4011" s="113" t="n"/>
      <c r="P4011" s="113" t="n"/>
      <c r="Q4011" s="113" t="n"/>
      <c r="R4011" s="113" t="n"/>
      <c r="S4011" s="113" t="n"/>
      <c r="T4011" s="113" t="n"/>
      <c r="U4011" s="113" t="n"/>
      <c r="V4011" s="113" t="n"/>
      <c r="W4011" s="113" t="n"/>
      <c r="X4011" s="113" t="n"/>
      <c r="Y4011" s="113" t="n"/>
      <c r="Z4011" s="117">
        <f>IF($B4011="",0,IF($S4011="EVET",IF($D4011="GELİR",$O4011,-$O4011),0))</f>
        <v/>
      </c>
      <c r="AA4011" s="117">
        <f>IF($B4011="",0,IF(OR($W4011="EVET",$X4011="EVET",$Y4011="EVET"),0,IF($D4011="GELİR",IF($E4011="SATIŞ İADESİ/İSKONTO",-$O4011,$O4011),-$O4011)))</f>
        <v/>
      </c>
      <c r="AB4011" s="117">
        <f>IF($B4011="","",IF(OR($D4011="",$E4011="",$O4011=""),"EKSİK",IF($O4011&lt;=0,"SIFIR/NEGATİF",IF(COUNTIFS($C$6:$C$5000,$C4011,$O$6:$O$5000,$O4011,$B$6:$B$5000,$B4011)&gt;1,"MÜKERRER","OK"))))</f>
        <v/>
      </c>
    </row>
    <row r="4012" ht="16.5" customHeight="1" s="80">
      <c r="A4012" s="113" t="n"/>
      <c r="B4012" s="113" t="n"/>
      <c r="C4012" s="113" t="n"/>
      <c r="D4012" s="113" t="n"/>
      <c r="E4012" s="113" t="n"/>
      <c r="F4012" s="113" t="n"/>
      <c r="G4012" s="113" t="n"/>
      <c r="H4012" s="113" t="n"/>
      <c r="I4012" s="113" t="n"/>
      <c r="J4012" s="113" t="n"/>
      <c r="K4012" s="113" t="n"/>
      <c r="L4012" s="113" t="n"/>
      <c r="M4012" s="113" t="n"/>
      <c r="N4012" s="113" t="n"/>
      <c r="O4012" s="113" t="n"/>
      <c r="P4012" s="113" t="n"/>
      <c r="Q4012" s="113" t="n"/>
      <c r="R4012" s="113" t="n"/>
      <c r="S4012" s="113" t="n"/>
      <c r="T4012" s="113" t="n"/>
      <c r="U4012" s="113" t="n"/>
      <c r="V4012" s="113" t="n"/>
      <c r="W4012" s="113" t="n"/>
      <c r="X4012" s="113" t="n"/>
      <c r="Y4012" s="113" t="n"/>
      <c r="Z4012" s="117">
        <f>IF($B4012="",0,IF($S4012="EVET",IF($D4012="GELİR",$O4012,-$O4012),0))</f>
        <v/>
      </c>
      <c r="AA4012" s="117">
        <f>IF($B4012="",0,IF(OR($W4012="EVET",$X4012="EVET",$Y4012="EVET"),0,IF($D4012="GELİR",IF($E4012="SATIŞ İADESİ/İSKONTO",-$O4012,$O4012),-$O4012)))</f>
        <v/>
      </c>
      <c r="AB4012" s="117">
        <f>IF($B4012="","",IF(OR($D4012="",$E4012="",$O4012=""),"EKSİK",IF($O4012&lt;=0,"SIFIR/NEGATİF",IF(COUNTIFS($C$6:$C$5000,$C4012,$O$6:$O$5000,$O4012,$B$6:$B$5000,$B4012)&gt;1,"MÜKERRER","OK"))))</f>
        <v/>
      </c>
    </row>
    <row r="4013" ht="16.5" customHeight="1" s="80">
      <c r="A4013" s="113" t="n"/>
      <c r="B4013" s="113" t="n"/>
      <c r="C4013" s="113" t="n"/>
      <c r="D4013" s="113" t="n"/>
      <c r="E4013" s="113" t="n"/>
      <c r="F4013" s="113" t="n"/>
      <c r="G4013" s="113" t="n"/>
      <c r="H4013" s="113" t="n"/>
      <c r="I4013" s="113" t="n"/>
      <c r="J4013" s="113" t="n"/>
      <c r="K4013" s="113" t="n"/>
      <c r="L4013" s="113" t="n"/>
      <c r="M4013" s="113" t="n"/>
      <c r="N4013" s="113" t="n"/>
      <c r="O4013" s="113" t="n"/>
      <c r="P4013" s="113" t="n"/>
      <c r="Q4013" s="113" t="n"/>
      <c r="R4013" s="113" t="n"/>
      <c r="S4013" s="113" t="n"/>
      <c r="T4013" s="113" t="n"/>
      <c r="U4013" s="113" t="n"/>
      <c r="V4013" s="113" t="n"/>
      <c r="W4013" s="113" t="n"/>
      <c r="X4013" s="113" t="n"/>
      <c r="Y4013" s="113" t="n"/>
      <c r="Z4013" s="117">
        <f>IF($B4013="",0,IF($S4013="EVET",IF($D4013="GELİR",$O4013,-$O4013),0))</f>
        <v/>
      </c>
      <c r="AA4013" s="117">
        <f>IF($B4013="",0,IF(OR($W4013="EVET",$X4013="EVET",$Y4013="EVET"),0,IF($D4013="GELİR",IF($E4013="SATIŞ İADESİ/İSKONTO",-$O4013,$O4013),-$O4013)))</f>
        <v/>
      </c>
      <c r="AB4013" s="117">
        <f>IF($B4013="","",IF(OR($D4013="",$E4013="",$O4013=""),"EKSİK",IF($O4013&lt;=0,"SIFIR/NEGATİF",IF(COUNTIFS($C$6:$C$5000,$C4013,$O$6:$O$5000,$O4013,$B$6:$B$5000,$B4013)&gt;1,"MÜKERRER","OK"))))</f>
        <v/>
      </c>
    </row>
    <row r="4014" ht="16.5" customHeight="1" s="80">
      <c r="A4014" s="113" t="n"/>
      <c r="B4014" s="113" t="n"/>
      <c r="C4014" s="113" t="n"/>
      <c r="D4014" s="113" t="n"/>
      <c r="E4014" s="113" t="n"/>
      <c r="F4014" s="113" t="n"/>
      <c r="G4014" s="113" t="n"/>
      <c r="H4014" s="113" t="n"/>
      <c r="I4014" s="113" t="n"/>
      <c r="J4014" s="113" t="n"/>
      <c r="K4014" s="113" t="n"/>
      <c r="L4014" s="113" t="n"/>
      <c r="M4014" s="113" t="n"/>
      <c r="N4014" s="113" t="n"/>
      <c r="O4014" s="113" t="n"/>
      <c r="P4014" s="113" t="n"/>
      <c r="Q4014" s="113" t="n"/>
      <c r="R4014" s="113" t="n"/>
      <c r="S4014" s="113" t="n"/>
      <c r="T4014" s="113" t="n"/>
      <c r="U4014" s="113" t="n"/>
      <c r="V4014" s="113" t="n"/>
      <c r="W4014" s="113" t="n"/>
      <c r="X4014" s="113" t="n"/>
      <c r="Y4014" s="113" t="n"/>
      <c r="Z4014" s="117">
        <f>IF($B4014="",0,IF($S4014="EVET",IF($D4014="GELİR",$O4014,-$O4014),0))</f>
        <v/>
      </c>
      <c r="AA4014" s="117">
        <f>IF($B4014="",0,IF(OR($W4014="EVET",$X4014="EVET",$Y4014="EVET"),0,IF($D4014="GELİR",IF($E4014="SATIŞ İADESİ/İSKONTO",-$O4014,$O4014),-$O4014)))</f>
        <v/>
      </c>
      <c r="AB4014" s="117">
        <f>IF($B4014="","",IF(OR($D4014="",$E4014="",$O4014=""),"EKSİK",IF($O4014&lt;=0,"SIFIR/NEGATİF",IF(COUNTIFS($C$6:$C$5000,$C4014,$O$6:$O$5000,$O4014,$B$6:$B$5000,$B4014)&gt;1,"MÜKERRER","OK"))))</f>
        <v/>
      </c>
    </row>
    <row r="4015" ht="16.5" customHeight="1" s="80">
      <c r="A4015" s="113" t="n"/>
      <c r="B4015" s="113" t="n"/>
      <c r="C4015" s="113" t="n"/>
      <c r="D4015" s="113" t="n"/>
      <c r="E4015" s="113" t="n"/>
      <c r="F4015" s="113" t="n"/>
      <c r="G4015" s="113" t="n"/>
      <c r="H4015" s="113" t="n"/>
      <c r="I4015" s="113" t="n"/>
      <c r="J4015" s="113" t="n"/>
      <c r="K4015" s="113" t="n"/>
      <c r="L4015" s="113" t="n"/>
      <c r="M4015" s="113" t="n"/>
      <c r="N4015" s="113" t="n"/>
      <c r="O4015" s="113" t="n"/>
      <c r="P4015" s="113" t="n"/>
      <c r="Q4015" s="113" t="n"/>
      <c r="R4015" s="113" t="n"/>
      <c r="S4015" s="113" t="n"/>
      <c r="T4015" s="113" t="n"/>
      <c r="U4015" s="113" t="n"/>
      <c r="V4015" s="113" t="n"/>
      <c r="W4015" s="113" t="n"/>
      <c r="X4015" s="113" t="n"/>
      <c r="Y4015" s="113" t="n"/>
      <c r="Z4015" s="117">
        <f>IF($B4015="",0,IF($S4015="EVET",IF($D4015="GELİR",$O4015,-$O4015),0))</f>
        <v/>
      </c>
      <c r="AA4015" s="117">
        <f>IF($B4015="",0,IF(OR($W4015="EVET",$X4015="EVET",$Y4015="EVET"),0,IF($D4015="GELİR",IF($E4015="SATIŞ İADESİ/İSKONTO",-$O4015,$O4015),-$O4015)))</f>
        <v/>
      </c>
      <c r="AB4015" s="117">
        <f>IF($B4015="","",IF(OR($D4015="",$E4015="",$O4015=""),"EKSİK",IF($O4015&lt;=0,"SIFIR/NEGATİF",IF(COUNTIFS($C$6:$C$5000,$C4015,$O$6:$O$5000,$O4015,$B$6:$B$5000,$B4015)&gt;1,"MÜKERRER","OK"))))</f>
        <v/>
      </c>
    </row>
    <row r="4016" ht="16.5" customHeight="1" s="80">
      <c r="A4016" s="113" t="n"/>
      <c r="B4016" s="113" t="n"/>
      <c r="C4016" s="113" t="n"/>
      <c r="D4016" s="113" t="n"/>
      <c r="E4016" s="113" t="n"/>
      <c r="F4016" s="113" t="n"/>
      <c r="G4016" s="113" t="n"/>
      <c r="H4016" s="113" t="n"/>
      <c r="I4016" s="113" t="n"/>
      <c r="J4016" s="113" t="n"/>
      <c r="K4016" s="113" t="n"/>
      <c r="L4016" s="113" t="n"/>
      <c r="M4016" s="113" t="n"/>
      <c r="N4016" s="113" t="n"/>
      <c r="O4016" s="113" t="n"/>
      <c r="P4016" s="113" t="n"/>
      <c r="Q4016" s="113" t="n"/>
      <c r="R4016" s="113" t="n"/>
      <c r="S4016" s="113" t="n"/>
      <c r="T4016" s="113" t="n"/>
      <c r="U4016" s="113" t="n"/>
      <c r="V4016" s="113" t="n"/>
      <c r="W4016" s="113" t="n"/>
      <c r="X4016" s="113" t="n"/>
      <c r="Y4016" s="113" t="n"/>
      <c r="Z4016" s="117">
        <f>IF($B4016="",0,IF($S4016="EVET",IF($D4016="GELİR",$O4016,-$O4016),0))</f>
        <v/>
      </c>
      <c r="AA4016" s="117">
        <f>IF($B4016="",0,IF(OR($W4016="EVET",$X4016="EVET",$Y4016="EVET"),0,IF($D4016="GELİR",IF($E4016="SATIŞ İADESİ/İSKONTO",-$O4016,$O4016),-$O4016)))</f>
        <v/>
      </c>
      <c r="AB4016" s="117">
        <f>IF($B4016="","",IF(OR($D4016="",$E4016="",$O4016=""),"EKSİK",IF($O4016&lt;=0,"SIFIR/NEGATİF",IF(COUNTIFS($C$6:$C$5000,$C4016,$O$6:$O$5000,$O4016,$B$6:$B$5000,$B4016)&gt;1,"MÜKERRER","OK"))))</f>
        <v/>
      </c>
    </row>
    <row r="4017" ht="16.5" customHeight="1" s="80">
      <c r="A4017" s="113" t="n"/>
      <c r="B4017" s="113" t="n"/>
      <c r="C4017" s="113" t="n"/>
      <c r="D4017" s="113" t="n"/>
      <c r="E4017" s="113" t="n"/>
      <c r="F4017" s="113" t="n"/>
      <c r="G4017" s="113" t="n"/>
      <c r="H4017" s="113" t="n"/>
      <c r="I4017" s="113" t="n"/>
      <c r="J4017" s="113" t="n"/>
      <c r="K4017" s="113" t="n"/>
      <c r="L4017" s="113" t="n"/>
      <c r="M4017" s="113" t="n"/>
      <c r="N4017" s="113" t="n"/>
      <c r="O4017" s="113" t="n"/>
      <c r="P4017" s="113" t="n"/>
      <c r="Q4017" s="113" t="n"/>
      <c r="R4017" s="113" t="n"/>
      <c r="S4017" s="113" t="n"/>
      <c r="T4017" s="113" t="n"/>
      <c r="U4017" s="113" t="n"/>
      <c r="V4017" s="113" t="n"/>
      <c r="W4017" s="113" t="n"/>
      <c r="X4017" s="113" t="n"/>
      <c r="Y4017" s="113" t="n"/>
      <c r="Z4017" s="117">
        <f>IF($B4017="",0,IF($S4017="EVET",IF($D4017="GELİR",$O4017,-$O4017),0))</f>
        <v/>
      </c>
      <c r="AA4017" s="117">
        <f>IF($B4017="",0,IF(OR($W4017="EVET",$X4017="EVET",$Y4017="EVET"),0,IF($D4017="GELİR",IF($E4017="SATIŞ İADESİ/İSKONTO",-$O4017,$O4017),-$O4017)))</f>
        <v/>
      </c>
      <c r="AB4017" s="117">
        <f>IF($B4017="","",IF(OR($D4017="",$E4017="",$O4017=""),"EKSİK",IF($O4017&lt;=0,"SIFIR/NEGATİF",IF(COUNTIFS($C$6:$C$5000,$C4017,$O$6:$O$5000,$O4017,$B$6:$B$5000,$B4017)&gt;1,"MÜKERRER","OK"))))</f>
        <v/>
      </c>
    </row>
    <row r="4018" ht="16.5" customHeight="1" s="80">
      <c r="A4018" s="113" t="n"/>
      <c r="B4018" s="113" t="n"/>
      <c r="C4018" s="113" t="n"/>
      <c r="D4018" s="113" t="n"/>
      <c r="E4018" s="113" t="n"/>
      <c r="F4018" s="113" t="n"/>
      <c r="G4018" s="113" t="n"/>
      <c r="H4018" s="113" t="n"/>
      <c r="I4018" s="113" t="n"/>
      <c r="J4018" s="113" t="n"/>
      <c r="K4018" s="113" t="n"/>
      <c r="L4018" s="113" t="n"/>
      <c r="M4018" s="113" t="n"/>
      <c r="N4018" s="113" t="n"/>
      <c r="O4018" s="113" t="n"/>
      <c r="P4018" s="113" t="n"/>
      <c r="Q4018" s="113" t="n"/>
      <c r="R4018" s="113" t="n"/>
      <c r="S4018" s="113" t="n"/>
      <c r="T4018" s="113" t="n"/>
      <c r="U4018" s="113" t="n"/>
      <c r="V4018" s="113" t="n"/>
      <c r="W4018" s="113" t="n"/>
      <c r="X4018" s="113" t="n"/>
      <c r="Y4018" s="113" t="n"/>
      <c r="Z4018" s="117">
        <f>IF($B4018="",0,IF($S4018="EVET",IF($D4018="GELİR",$O4018,-$O4018),0))</f>
        <v/>
      </c>
      <c r="AA4018" s="117">
        <f>IF($B4018="",0,IF(OR($W4018="EVET",$X4018="EVET",$Y4018="EVET"),0,IF($D4018="GELİR",IF($E4018="SATIŞ İADESİ/İSKONTO",-$O4018,$O4018),-$O4018)))</f>
        <v/>
      </c>
      <c r="AB4018" s="117">
        <f>IF($B4018="","",IF(OR($D4018="",$E4018="",$O4018=""),"EKSİK",IF($O4018&lt;=0,"SIFIR/NEGATİF",IF(COUNTIFS($C$6:$C$5000,$C4018,$O$6:$O$5000,$O4018,$B$6:$B$5000,$B4018)&gt;1,"MÜKERRER","OK"))))</f>
        <v/>
      </c>
    </row>
    <row r="4019" ht="16.5" customHeight="1" s="80">
      <c r="A4019" s="113" t="n"/>
      <c r="B4019" s="113" t="n"/>
      <c r="C4019" s="113" t="n"/>
      <c r="D4019" s="113" t="n"/>
      <c r="E4019" s="113" t="n"/>
      <c r="F4019" s="113" t="n"/>
      <c r="G4019" s="113" t="n"/>
      <c r="H4019" s="113" t="n"/>
      <c r="I4019" s="113" t="n"/>
      <c r="J4019" s="113" t="n"/>
      <c r="K4019" s="113" t="n"/>
      <c r="L4019" s="113" t="n"/>
      <c r="M4019" s="113" t="n"/>
      <c r="N4019" s="113" t="n"/>
      <c r="O4019" s="113" t="n"/>
      <c r="P4019" s="113" t="n"/>
      <c r="Q4019" s="113" t="n"/>
      <c r="R4019" s="113" t="n"/>
      <c r="S4019" s="113" t="n"/>
      <c r="T4019" s="113" t="n"/>
      <c r="U4019" s="113" t="n"/>
      <c r="V4019" s="113" t="n"/>
      <c r="W4019" s="113" t="n"/>
      <c r="X4019" s="113" t="n"/>
      <c r="Y4019" s="113" t="n"/>
      <c r="Z4019" s="117">
        <f>IF($B4019="",0,IF($S4019="EVET",IF($D4019="GELİR",$O4019,-$O4019),0))</f>
        <v/>
      </c>
      <c r="AA4019" s="117">
        <f>IF($B4019="",0,IF(OR($W4019="EVET",$X4019="EVET",$Y4019="EVET"),0,IF($D4019="GELİR",IF($E4019="SATIŞ İADESİ/İSKONTO",-$O4019,$O4019),-$O4019)))</f>
        <v/>
      </c>
      <c r="AB4019" s="117">
        <f>IF($B4019="","",IF(OR($D4019="",$E4019="",$O4019=""),"EKSİK",IF($O4019&lt;=0,"SIFIR/NEGATİF",IF(COUNTIFS($C$6:$C$5000,$C4019,$O$6:$O$5000,$O4019,$B$6:$B$5000,$B4019)&gt;1,"MÜKERRER","OK"))))</f>
        <v/>
      </c>
    </row>
    <row r="4020" ht="16.5" customHeight="1" s="80">
      <c r="A4020" s="113" t="n"/>
      <c r="B4020" s="113" t="n"/>
      <c r="C4020" s="113" t="n"/>
      <c r="D4020" s="113" t="n"/>
      <c r="E4020" s="113" t="n"/>
      <c r="F4020" s="113" t="n"/>
      <c r="G4020" s="113" t="n"/>
      <c r="H4020" s="113" t="n"/>
      <c r="I4020" s="113" t="n"/>
      <c r="J4020" s="113" t="n"/>
      <c r="K4020" s="113" t="n"/>
      <c r="L4020" s="113" t="n"/>
      <c r="M4020" s="113" t="n"/>
      <c r="N4020" s="113" t="n"/>
      <c r="O4020" s="113" t="n"/>
      <c r="P4020" s="113" t="n"/>
      <c r="Q4020" s="113" t="n"/>
      <c r="R4020" s="113" t="n"/>
      <c r="S4020" s="113" t="n"/>
      <c r="T4020" s="113" t="n"/>
      <c r="U4020" s="113" t="n"/>
      <c r="V4020" s="113" t="n"/>
      <c r="W4020" s="113" t="n"/>
      <c r="X4020" s="113" t="n"/>
      <c r="Y4020" s="113" t="n"/>
      <c r="Z4020" s="117">
        <f>IF($B4020="",0,IF($S4020="EVET",IF($D4020="GELİR",$O4020,-$O4020),0))</f>
        <v/>
      </c>
      <c r="AA4020" s="117">
        <f>IF($B4020="",0,IF(OR($W4020="EVET",$X4020="EVET",$Y4020="EVET"),0,IF($D4020="GELİR",IF($E4020="SATIŞ İADESİ/İSKONTO",-$O4020,$O4020),-$O4020)))</f>
        <v/>
      </c>
      <c r="AB4020" s="117">
        <f>IF($B4020="","",IF(OR($D4020="",$E4020="",$O4020=""),"EKSİK",IF($O4020&lt;=0,"SIFIR/NEGATİF",IF(COUNTIFS($C$6:$C$5000,$C4020,$O$6:$O$5000,$O4020,$B$6:$B$5000,$B4020)&gt;1,"MÜKERRER","OK"))))</f>
        <v/>
      </c>
    </row>
    <row r="4021" ht="16.5" customHeight="1" s="80">
      <c r="A4021" s="113" t="n"/>
      <c r="B4021" s="113" t="n"/>
      <c r="C4021" s="113" t="n"/>
      <c r="D4021" s="113" t="n"/>
      <c r="E4021" s="113" t="n"/>
      <c r="F4021" s="113" t="n"/>
      <c r="G4021" s="113" t="n"/>
      <c r="H4021" s="113" t="n"/>
      <c r="I4021" s="113" t="n"/>
      <c r="J4021" s="113" t="n"/>
      <c r="K4021" s="113" t="n"/>
      <c r="L4021" s="113" t="n"/>
      <c r="M4021" s="113" t="n"/>
      <c r="N4021" s="113" t="n"/>
      <c r="O4021" s="113" t="n"/>
      <c r="P4021" s="113" t="n"/>
      <c r="Q4021" s="113" t="n"/>
      <c r="R4021" s="113" t="n"/>
      <c r="S4021" s="113" t="n"/>
      <c r="T4021" s="113" t="n"/>
      <c r="U4021" s="113" t="n"/>
      <c r="V4021" s="113" t="n"/>
      <c r="W4021" s="113" t="n"/>
      <c r="X4021" s="113" t="n"/>
      <c r="Y4021" s="113" t="n"/>
      <c r="Z4021" s="117">
        <f>IF($B4021="",0,IF($S4021="EVET",IF($D4021="GELİR",$O4021,-$O4021),0))</f>
        <v/>
      </c>
      <c r="AA4021" s="117">
        <f>IF($B4021="",0,IF(OR($W4021="EVET",$X4021="EVET",$Y4021="EVET"),0,IF($D4021="GELİR",IF($E4021="SATIŞ İADESİ/İSKONTO",-$O4021,$O4021),-$O4021)))</f>
        <v/>
      </c>
      <c r="AB4021" s="117">
        <f>IF($B4021="","",IF(OR($D4021="",$E4021="",$O4021=""),"EKSİK",IF($O4021&lt;=0,"SIFIR/NEGATİF",IF(COUNTIFS($C$6:$C$5000,$C4021,$O$6:$O$5000,$O4021,$B$6:$B$5000,$B4021)&gt;1,"MÜKERRER","OK"))))</f>
        <v/>
      </c>
    </row>
    <row r="4022" ht="16.5" customHeight="1" s="80">
      <c r="A4022" s="113" t="n"/>
      <c r="B4022" s="113" t="n"/>
      <c r="C4022" s="113" t="n"/>
      <c r="D4022" s="113" t="n"/>
      <c r="E4022" s="113" t="n"/>
      <c r="F4022" s="113" t="n"/>
      <c r="G4022" s="113" t="n"/>
      <c r="H4022" s="113" t="n"/>
      <c r="I4022" s="113" t="n"/>
      <c r="J4022" s="113" t="n"/>
      <c r="K4022" s="113" t="n"/>
      <c r="L4022" s="113" t="n"/>
      <c r="M4022" s="113" t="n"/>
      <c r="N4022" s="113" t="n"/>
      <c r="O4022" s="113" t="n"/>
      <c r="P4022" s="113" t="n"/>
      <c r="Q4022" s="113" t="n"/>
      <c r="R4022" s="113" t="n"/>
      <c r="S4022" s="113" t="n"/>
      <c r="T4022" s="113" t="n"/>
      <c r="U4022" s="113" t="n"/>
      <c r="V4022" s="113" t="n"/>
      <c r="W4022" s="113" t="n"/>
      <c r="X4022" s="113" t="n"/>
      <c r="Y4022" s="113" t="n"/>
      <c r="Z4022" s="117">
        <f>IF($B4022="",0,IF($S4022="EVET",IF($D4022="GELİR",$O4022,-$O4022),0))</f>
        <v/>
      </c>
      <c r="AA4022" s="117">
        <f>IF($B4022="",0,IF(OR($W4022="EVET",$X4022="EVET",$Y4022="EVET"),0,IF($D4022="GELİR",IF($E4022="SATIŞ İADESİ/İSKONTO",-$O4022,$O4022),-$O4022)))</f>
        <v/>
      </c>
      <c r="AB4022" s="117">
        <f>IF($B4022="","",IF(OR($D4022="",$E4022="",$O4022=""),"EKSİK",IF($O4022&lt;=0,"SIFIR/NEGATİF",IF(COUNTIFS($C$6:$C$5000,$C4022,$O$6:$O$5000,$O4022,$B$6:$B$5000,$B4022)&gt;1,"MÜKERRER","OK"))))</f>
        <v/>
      </c>
    </row>
    <row r="4023" ht="16.5" customHeight="1" s="80">
      <c r="A4023" s="113" t="n"/>
      <c r="B4023" s="113" t="n"/>
      <c r="C4023" s="113" t="n"/>
      <c r="D4023" s="113" t="n"/>
      <c r="E4023" s="113" t="n"/>
      <c r="F4023" s="113" t="n"/>
      <c r="G4023" s="113" t="n"/>
      <c r="H4023" s="113" t="n"/>
      <c r="I4023" s="113" t="n"/>
      <c r="J4023" s="113" t="n"/>
      <c r="K4023" s="113" t="n"/>
      <c r="L4023" s="113" t="n"/>
      <c r="M4023" s="113" t="n"/>
      <c r="N4023" s="113" t="n"/>
      <c r="O4023" s="113" t="n"/>
      <c r="P4023" s="113" t="n"/>
      <c r="Q4023" s="113" t="n"/>
      <c r="R4023" s="113" t="n"/>
      <c r="S4023" s="113" t="n"/>
      <c r="T4023" s="113" t="n"/>
      <c r="U4023" s="113" t="n"/>
      <c r="V4023" s="113" t="n"/>
      <c r="W4023" s="113" t="n"/>
      <c r="X4023" s="113" t="n"/>
      <c r="Y4023" s="113" t="n"/>
      <c r="Z4023" s="117">
        <f>IF($B4023="",0,IF($S4023="EVET",IF($D4023="GELİR",$O4023,-$O4023),0))</f>
        <v/>
      </c>
      <c r="AA4023" s="117">
        <f>IF($B4023="",0,IF(OR($W4023="EVET",$X4023="EVET",$Y4023="EVET"),0,IF($D4023="GELİR",IF($E4023="SATIŞ İADESİ/İSKONTO",-$O4023,$O4023),-$O4023)))</f>
        <v/>
      </c>
      <c r="AB4023" s="117">
        <f>IF($B4023="","",IF(OR($D4023="",$E4023="",$O4023=""),"EKSİK",IF($O4023&lt;=0,"SIFIR/NEGATİF",IF(COUNTIFS($C$6:$C$5000,$C4023,$O$6:$O$5000,$O4023,$B$6:$B$5000,$B4023)&gt;1,"MÜKERRER","OK"))))</f>
        <v/>
      </c>
    </row>
    <row r="4024" ht="16.5" customHeight="1" s="80">
      <c r="A4024" s="113" t="n"/>
      <c r="B4024" s="113" t="n"/>
      <c r="C4024" s="113" t="n"/>
      <c r="D4024" s="113" t="n"/>
      <c r="E4024" s="113" t="n"/>
      <c r="F4024" s="113" t="n"/>
      <c r="G4024" s="113" t="n"/>
      <c r="H4024" s="113" t="n"/>
      <c r="I4024" s="113" t="n"/>
      <c r="J4024" s="113" t="n"/>
      <c r="K4024" s="113" t="n"/>
      <c r="L4024" s="113" t="n"/>
      <c r="M4024" s="113" t="n"/>
      <c r="N4024" s="113" t="n"/>
      <c r="O4024" s="113" t="n"/>
      <c r="P4024" s="113" t="n"/>
      <c r="Q4024" s="113" t="n"/>
      <c r="R4024" s="113" t="n"/>
      <c r="S4024" s="113" t="n"/>
      <c r="T4024" s="113" t="n"/>
      <c r="U4024" s="113" t="n"/>
      <c r="V4024" s="113" t="n"/>
      <c r="W4024" s="113" t="n"/>
      <c r="X4024" s="113" t="n"/>
      <c r="Y4024" s="113" t="n"/>
      <c r="Z4024" s="117">
        <f>IF($B4024="",0,IF($S4024="EVET",IF($D4024="GELİR",$O4024,-$O4024),0))</f>
        <v/>
      </c>
      <c r="AA4024" s="117">
        <f>IF($B4024="",0,IF(OR($W4024="EVET",$X4024="EVET",$Y4024="EVET"),0,IF($D4024="GELİR",IF($E4024="SATIŞ İADESİ/İSKONTO",-$O4024,$O4024),-$O4024)))</f>
        <v/>
      </c>
      <c r="AB4024" s="117">
        <f>IF($B4024="","",IF(OR($D4024="",$E4024="",$O4024=""),"EKSİK",IF($O4024&lt;=0,"SIFIR/NEGATİF",IF(COUNTIFS($C$6:$C$5000,$C4024,$O$6:$O$5000,$O4024,$B$6:$B$5000,$B4024)&gt;1,"MÜKERRER","OK"))))</f>
        <v/>
      </c>
    </row>
    <row r="4025" ht="16.5" customHeight="1" s="80">
      <c r="A4025" s="113" t="n"/>
      <c r="B4025" s="113" t="n"/>
      <c r="C4025" s="113" t="n"/>
      <c r="D4025" s="113" t="n"/>
      <c r="E4025" s="113" t="n"/>
      <c r="F4025" s="113" t="n"/>
      <c r="G4025" s="113" t="n"/>
      <c r="H4025" s="113" t="n"/>
      <c r="I4025" s="113" t="n"/>
      <c r="J4025" s="113" t="n"/>
      <c r="K4025" s="113" t="n"/>
      <c r="L4025" s="113" t="n"/>
      <c r="M4025" s="113" t="n"/>
      <c r="N4025" s="113" t="n"/>
      <c r="O4025" s="113" t="n"/>
      <c r="P4025" s="113" t="n"/>
      <c r="Q4025" s="113" t="n"/>
      <c r="R4025" s="113" t="n"/>
      <c r="S4025" s="113" t="n"/>
      <c r="T4025" s="113" t="n"/>
      <c r="U4025" s="113" t="n"/>
      <c r="V4025" s="113" t="n"/>
      <c r="W4025" s="113" t="n"/>
      <c r="X4025" s="113" t="n"/>
      <c r="Y4025" s="113" t="n"/>
      <c r="Z4025" s="117">
        <f>IF($B4025="",0,IF($S4025="EVET",IF($D4025="GELİR",$O4025,-$O4025),0))</f>
        <v/>
      </c>
      <c r="AA4025" s="117">
        <f>IF($B4025="",0,IF(OR($W4025="EVET",$X4025="EVET",$Y4025="EVET"),0,IF($D4025="GELİR",IF($E4025="SATIŞ İADESİ/İSKONTO",-$O4025,$O4025),-$O4025)))</f>
        <v/>
      </c>
      <c r="AB4025" s="117">
        <f>IF($B4025="","",IF(OR($D4025="",$E4025="",$O4025=""),"EKSİK",IF($O4025&lt;=0,"SIFIR/NEGATİF",IF(COUNTIFS($C$6:$C$5000,$C4025,$O$6:$O$5000,$O4025,$B$6:$B$5000,$B4025)&gt;1,"MÜKERRER","OK"))))</f>
        <v/>
      </c>
    </row>
    <row r="4026" ht="16.5" customHeight="1" s="80">
      <c r="A4026" s="113" t="n"/>
      <c r="B4026" s="113" t="n"/>
      <c r="C4026" s="113" t="n"/>
      <c r="D4026" s="113" t="n"/>
      <c r="E4026" s="113" t="n"/>
      <c r="F4026" s="113" t="n"/>
      <c r="G4026" s="113" t="n"/>
      <c r="H4026" s="113" t="n"/>
      <c r="I4026" s="113" t="n"/>
      <c r="J4026" s="113" t="n"/>
      <c r="K4026" s="113" t="n"/>
      <c r="L4026" s="113" t="n"/>
      <c r="M4026" s="113" t="n"/>
      <c r="N4026" s="113" t="n"/>
      <c r="O4026" s="113" t="n"/>
      <c r="P4026" s="113" t="n"/>
      <c r="Q4026" s="113" t="n"/>
      <c r="R4026" s="113" t="n"/>
      <c r="S4026" s="113" t="n"/>
      <c r="T4026" s="113" t="n"/>
      <c r="U4026" s="113" t="n"/>
      <c r="V4026" s="113" t="n"/>
      <c r="W4026" s="113" t="n"/>
      <c r="X4026" s="113" t="n"/>
      <c r="Y4026" s="113" t="n"/>
      <c r="Z4026" s="117">
        <f>IF($B4026="",0,IF($S4026="EVET",IF($D4026="GELİR",$O4026,-$O4026),0))</f>
        <v/>
      </c>
      <c r="AA4026" s="117">
        <f>IF($B4026="",0,IF(OR($W4026="EVET",$X4026="EVET",$Y4026="EVET"),0,IF($D4026="GELİR",IF($E4026="SATIŞ İADESİ/İSKONTO",-$O4026,$O4026),-$O4026)))</f>
        <v/>
      </c>
      <c r="AB4026" s="117">
        <f>IF($B4026="","",IF(OR($D4026="",$E4026="",$O4026=""),"EKSİK",IF($O4026&lt;=0,"SIFIR/NEGATİF",IF(COUNTIFS($C$6:$C$5000,$C4026,$O$6:$O$5000,$O4026,$B$6:$B$5000,$B4026)&gt;1,"MÜKERRER","OK"))))</f>
        <v/>
      </c>
    </row>
    <row r="4027" ht="16.5" customHeight="1" s="80">
      <c r="A4027" s="113" t="n"/>
      <c r="B4027" s="113" t="n"/>
      <c r="C4027" s="113" t="n"/>
      <c r="D4027" s="113" t="n"/>
      <c r="E4027" s="113" t="n"/>
      <c r="F4027" s="113" t="n"/>
      <c r="G4027" s="113" t="n"/>
      <c r="H4027" s="113" t="n"/>
      <c r="I4027" s="113" t="n"/>
      <c r="J4027" s="113" t="n"/>
      <c r="K4027" s="113" t="n"/>
      <c r="L4027" s="113" t="n"/>
      <c r="M4027" s="113" t="n"/>
      <c r="N4027" s="113" t="n"/>
      <c r="O4027" s="113" t="n"/>
      <c r="P4027" s="113" t="n"/>
      <c r="Q4027" s="113" t="n"/>
      <c r="R4027" s="113" t="n"/>
      <c r="S4027" s="113" t="n"/>
      <c r="T4027" s="113" t="n"/>
      <c r="U4027" s="113" t="n"/>
      <c r="V4027" s="113" t="n"/>
      <c r="W4027" s="113" t="n"/>
      <c r="X4027" s="113" t="n"/>
      <c r="Y4027" s="113" t="n"/>
      <c r="Z4027" s="117">
        <f>IF($B4027="",0,IF($S4027="EVET",IF($D4027="GELİR",$O4027,-$O4027),0))</f>
        <v/>
      </c>
      <c r="AA4027" s="117">
        <f>IF($B4027="",0,IF(OR($W4027="EVET",$X4027="EVET",$Y4027="EVET"),0,IF($D4027="GELİR",IF($E4027="SATIŞ İADESİ/İSKONTO",-$O4027,$O4027),-$O4027)))</f>
        <v/>
      </c>
      <c r="AB4027" s="117">
        <f>IF($B4027="","",IF(OR($D4027="",$E4027="",$O4027=""),"EKSİK",IF($O4027&lt;=0,"SIFIR/NEGATİF",IF(COUNTIFS($C$6:$C$5000,$C4027,$O$6:$O$5000,$O4027,$B$6:$B$5000,$B4027)&gt;1,"MÜKERRER","OK"))))</f>
        <v/>
      </c>
    </row>
    <row r="4028" ht="16.5" customHeight="1" s="80">
      <c r="A4028" s="113" t="n"/>
      <c r="B4028" s="113" t="n"/>
      <c r="C4028" s="113" t="n"/>
      <c r="D4028" s="113" t="n"/>
      <c r="E4028" s="113" t="n"/>
      <c r="F4028" s="113" t="n"/>
      <c r="G4028" s="113" t="n"/>
      <c r="H4028" s="113" t="n"/>
      <c r="I4028" s="113" t="n"/>
      <c r="J4028" s="113" t="n"/>
      <c r="K4028" s="113" t="n"/>
      <c r="L4028" s="113" t="n"/>
      <c r="M4028" s="113" t="n"/>
      <c r="N4028" s="113" t="n"/>
      <c r="O4028" s="113" t="n"/>
      <c r="P4028" s="113" t="n"/>
      <c r="Q4028" s="113" t="n"/>
      <c r="R4028" s="113" t="n"/>
      <c r="S4028" s="113" t="n"/>
      <c r="T4028" s="113" t="n"/>
      <c r="U4028" s="113" t="n"/>
      <c r="V4028" s="113" t="n"/>
      <c r="W4028" s="113" t="n"/>
      <c r="X4028" s="113" t="n"/>
      <c r="Y4028" s="113" t="n"/>
      <c r="Z4028" s="117">
        <f>IF($B4028="",0,IF($S4028="EVET",IF($D4028="GELİR",$O4028,-$O4028),0))</f>
        <v/>
      </c>
      <c r="AA4028" s="117">
        <f>IF($B4028="",0,IF(OR($W4028="EVET",$X4028="EVET",$Y4028="EVET"),0,IF($D4028="GELİR",IF($E4028="SATIŞ İADESİ/İSKONTO",-$O4028,$O4028),-$O4028)))</f>
        <v/>
      </c>
      <c r="AB4028" s="117">
        <f>IF($B4028="","",IF(OR($D4028="",$E4028="",$O4028=""),"EKSİK",IF($O4028&lt;=0,"SIFIR/NEGATİF",IF(COUNTIFS($C$6:$C$5000,$C4028,$O$6:$O$5000,$O4028,$B$6:$B$5000,$B4028)&gt;1,"MÜKERRER","OK"))))</f>
        <v/>
      </c>
    </row>
    <row r="4029" ht="16.5" customHeight="1" s="80">
      <c r="A4029" s="113" t="n"/>
      <c r="B4029" s="113" t="n"/>
      <c r="C4029" s="113" t="n"/>
      <c r="D4029" s="113" t="n"/>
      <c r="E4029" s="113" t="n"/>
      <c r="F4029" s="113" t="n"/>
      <c r="G4029" s="113" t="n"/>
      <c r="H4029" s="113" t="n"/>
      <c r="I4029" s="113" t="n"/>
      <c r="J4029" s="113" t="n"/>
      <c r="K4029" s="113" t="n"/>
      <c r="L4029" s="113" t="n"/>
      <c r="M4029" s="113" t="n"/>
      <c r="N4029" s="113" t="n"/>
      <c r="O4029" s="113" t="n"/>
      <c r="P4029" s="113" t="n"/>
      <c r="Q4029" s="113" t="n"/>
      <c r="R4029" s="113" t="n"/>
      <c r="S4029" s="113" t="n"/>
      <c r="T4029" s="113" t="n"/>
      <c r="U4029" s="113" t="n"/>
      <c r="V4029" s="113" t="n"/>
      <c r="W4029" s="113" t="n"/>
      <c r="X4029" s="113" t="n"/>
      <c r="Y4029" s="113" t="n"/>
      <c r="Z4029" s="117">
        <f>IF($B4029="",0,IF($S4029="EVET",IF($D4029="GELİR",$O4029,-$O4029),0))</f>
        <v/>
      </c>
      <c r="AA4029" s="117">
        <f>IF($B4029="",0,IF(OR($W4029="EVET",$X4029="EVET",$Y4029="EVET"),0,IF($D4029="GELİR",IF($E4029="SATIŞ İADESİ/İSKONTO",-$O4029,$O4029),-$O4029)))</f>
        <v/>
      </c>
      <c r="AB4029" s="117">
        <f>IF($B4029="","",IF(OR($D4029="",$E4029="",$O4029=""),"EKSİK",IF($O4029&lt;=0,"SIFIR/NEGATİF",IF(COUNTIFS($C$6:$C$5000,$C4029,$O$6:$O$5000,$O4029,$B$6:$B$5000,$B4029)&gt;1,"MÜKERRER","OK"))))</f>
        <v/>
      </c>
    </row>
    <row r="4030" ht="16.5" customHeight="1" s="80">
      <c r="A4030" s="113" t="n"/>
      <c r="B4030" s="113" t="n"/>
      <c r="C4030" s="113" t="n"/>
      <c r="D4030" s="113" t="n"/>
      <c r="E4030" s="113" t="n"/>
      <c r="F4030" s="113" t="n"/>
      <c r="G4030" s="113" t="n"/>
      <c r="H4030" s="113" t="n"/>
      <c r="I4030" s="113" t="n"/>
      <c r="J4030" s="113" t="n"/>
      <c r="K4030" s="113" t="n"/>
      <c r="L4030" s="113" t="n"/>
      <c r="M4030" s="113" t="n"/>
      <c r="N4030" s="113" t="n"/>
      <c r="O4030" s="113" t="n"/>
      <c r="P4030" s="113" t="n"/>
      <c r="Q4030" s="113" t="n"/>
      <c r="R4030" s="113" t="n"/>
      <c r="S4030" s="113" t="n"/>
      <c r="T4030" s="113" t="n"/>
      <c r="U4030" s="113" t="n"/>
      <c r="V4030" s="113" t="n"/>
      <c r="W4030" s="113" t="n"/>
      <c r="X4030" s="113" t="n"/>
      <c r="Y4030" s="113" t="n"/>
      <c r="Z4030" s="117">
        <f>IF($B4030="",0,IF($S4030="EVET",IF($D4030="GELİR",$O4030,-$O4030),0))</f>
        <v/>
      </c>
      <c r="AA4030" s="117">
        <f>IF($B4030="",0,IF(OR($W4030="EVET",$X4030="EVET",$Y4030="EVET"),0,IF($D4030="GELİR",IF($E4030="SATIŞ İADESİ/İSKONTO",-$O4030,$O4030),-$O4030)))</f>
        <v/>
      </c>
      <c r="AB4030" s="117">
        <f>IF($B4030="","",IF(OR($D4030="",$E4030="",$O4030=""),"EKSİK",IF($O4030&lt;=0,"SIFIR/NEGATİF",IF(COUNTIFS($C$6:$C$5000,$C4030,$O$6:$O$5000,$O4030,$B$6:$B$5000,$B4030)&gt;1,"MÜKERRER","OK"))))</f>
        <v/>
      </c>
    </row>
    <row r="4031" ht="16.5" customHeight="1" s="80">
      <c r="A4031" s="113" t="n"/>
      <c r="B4031" s="113" t="n"/>
      <c r="C4031" s="113" t="n"/>
      <c r="D4031" s="113" t="n"/>
      <c r="E4031" s="113" t="n"/>
      <c r="F4031" s="113" t="n"/>
      <c r="G4031" s="113" t="n"/>
      <c r="H4031" s="113" t="n"/>
      <c r="I4031" s="113" t="n"/>
      <c r="J4031" s="113" t="n"/>
      <c r="K4031" s="113" t="n"/>
      <c r="L4031" s="113" t="n"/>
      <c r="M4031" s="113" t="n"/>
      <c r="N4031" s="113" t="n"/>
      <c r="O4031" s="113" t="n"/>
      <c r="P4031" s="113" t="n"/>
      <c r="Q4031" s="113" t="n"/>
      <c r="R4031" s="113" t="n"/>
      <c r="S4031" s="113" t="n"/>
      <c r="T4031" s="113" t="n"/>
      <c r="U4031" s="113" t="n"/>
      <c r="V4031" s="113" t="n"/>
      <c r="W4031" s="113" t="n"/>
      <c r="X4031" s="113" t="n"/>
      <c r="Y4031" s="113" t="n"/>
      <c r="Z4031" s="117">
        <f>IF($B4031="",0,IF($S4031="EVET",IF($D4031="GELİR",$O4031,-$O4031),0))</f>
        <v/>
      </c>
      <c r="AA4031" s="117">
        <f>IF($B4031="",0,IF(OR($W4031="EVET",$X4031="EVET",$Y4031="EVET"),0,IF($D4031="GELİR",IF($E4031="SATIŞ İADESİ/İSKONTO",-$O4031,$O4031),-$O4031)))</f>
        <v/>
      </c>
      <c r="AB4031" s="117">
        <f>IF($B4031="","",IF(OR($D4031="",$E4031="",$O4031=""),"EKSİK",IF($O4031&lt;=0,"SIFIR/NEGATİF",IF(COUNTIFS($C$6:$C$5000,$C4031,$O$6:$O$5000,$O4031,$B$6:$B$5000,$B4031)&gt;1,"MÜKERRER","OK"))))</f>
        <v/>
      </c>
    </row>
    <row r="4032" ht="16.5" customHeight="1" s="80">
      <c r="A4032" s="113" t="n"/>
      <c r="B4032" s="113" t="n"/>
      <c r="C4032" s="113" t="n"/>
      <c r="D4032" s="113" t="n"/>
      <c r="E4032" s="113" t="n"/>
      <c r="F4032" s="113" t="n"/>
      <c r="G4032" s="113" t="n"/>
      <c r="H4032" s="113" t="n"/>
      <c r="I4032" s="113" t="n"/>
      <c r="J4032" s="113" t="n"/>
      <c r="K4032" s="113" t="n"/>
      <c r="L4032" s="113" t="n"/>
      <c r="M4032" s="113" t="n"/>
      <c r="N4032" s="113" t="n"/>
      <c r="O4032" s="113" t="n"/>
      <c r="P4032" s="113" t="n"/>
      <c r="Q4032" s="113" t="n"/>
      <c r="R4032" s="113" t="n"/>
      <c r="S4032" s="113" t="n"/>
      <c r="T4032" s="113" t="n"/>
      <c r="U4032" s="113" t="n"/>
      <c r="V4032" s="113" t="n"/>
      <c r="W4032" s="113" t="n"/>
      <c r="X4032" s="113" t="n"/>
      <c r="Y4032" s="113" t="n"/>
      <c r="Z4032" s="117">
        <f>IF($B4032="",0,IF($S4032="EVET",IF($D4032="GELİR",$O4032,-$O4032),0))</f>
        <v/>
      </c>
      <c r="AA4032" s="117">
        <f>IF($B4032="",0,IF(OR($W4032="EVET",$X4032="EVET",$Y4032="EVET"),0,IF($D4032="GELİR",IF($E4032="SATIŞ İADESİ/İSKONTO",-$O4032,$O4032),-$O4032)))</f>
        <v/>
      </c>
      <c r="AB4032" s="117">
        <f>IF($B4032="","",IF(OR($D4032="",$E4032="",$O4032=""),"EKSİK",IF($O4032&lt;=0,"SIFIR/NEGATİF",IF(COUNTIFS($C$6:$C$5000,$C4032,$O$6:$O$5000,$O4032,$B$6:$B$5000,$B4032)&gt;1,"MÜKERRER","OK"))))</f>
        <v/>
      </c>
    </row>
    <row r="4033" ht="16.5" customHeight="1" s="80">
      <c r="A4033" s="113" t="n"/>
      <c r="B4033" s="113" t="n"/>
      <c r="C4033" s="113" t="n"/>
      <c r="D4033" s="113" t="n"/>
      <c r="E4033" s="113" t="n"/>
      <c r="F4033" s="113" t="n"/>
      <c r="G4033" s="113" t="n"/>
      <c r="H4033" s="113" t="n"/>
      <c r="I4033" s="113" t="n"/>
      <c r="J4033" s="113" t="n"/>
      <c r="K4033" s="113" t="n"/>
      <c r="L4033" s="113" t="n"/>
      <c r="M4033" s="113" t="n"/>
      <c r="N4033" s="113" t="n"/>
      <c r="O4033" s="113" t="n"/>
      <c r="P4033" s="113" t="n"/>
      <c r="Q4033" s="113" t="n"/>
      <c r="R4033" s="113" t="n"/>
      <c r="S4033" s="113" t="n"/>
      <c r="T4033" s="113" t="n"/>
      <c r="U4033" s="113" t="n"/>
      <c r="V4033" s="113" t="n"/>
      <c r="W4033" s="113" t="n"/>
      <c r="X4033" s="113" t="n"/>
      <c r="Y4033" s="113" t="n"/>
      <c r="Z4033" s="117">
        <f>IF($B4033="",0,IF($S4033="EVET",IF($D4033="GELİR",$O4033,-$O4033),0))</f>
        <v/>
      </c>
      <c r="AA4033" s="117">
        <f>IF($B4033="",0,IF(OR($W4033="EVET",$X4033="EVET",$Y4033="EVET"),0,IF($D4033="GELİR",IF($E4033="SATIŞ İADESİ/İSKONTO",-$O4033,$O4033),-$O4033)))</f>
        <v/>
      </c>
      <c r="AB4033" s="117">
        <f>IF($B4033="","",IF(OR($D4033="",$E4033="",$O4033=""),"EKSİK",IF($O4033&lt;=0,"SIFIR/NEGATİF",IF(COUNTIFS($C$6:$C$5000,$C4033,$O$6:$O$5000,$O4033,$B$6:$B$5000,$B4033)&gt;1,"MÜKERRER","OK"))))</f>
        <v/>
      </c>
    </row>
    <row r="4034" ht="16.5" customHeight="1" s="80">
      <c r="A4034" s="113" t="n"/>
      <c r="B4034" s="113" t="n"/>
      <c r="C4034" s="113" t="n"/>
      <c r="D4034" s="113" t="n"/>
      <c r="E4034" s="113" t="n"/>
      <c r="F4034" s="113" t="n"/>
      <c r="G4034" s="113" t="n"/>
      <c r="H4034" s="113" t="n"/>
      <c r="I4034" s="113" t="n"/>
      <c r="J4034" s="113" t="n"/>
      <c r="K4034" s="113" t="n"/>
      <c r="L4034" s="113" t="n"/>
      <c r="M4034" s="113" t="n"/>
      <c r="N4034" s="113" t="n"/>
      <c r="O4034" s="113" t="n"/>
      <c r="P4034" s="113" t="n"/>
      <c r="Q4034" s="113" t="n"/>
      <c r="R4034" s="113" t="n"/>
      <c r="S4034" s="113" t="n"/>
      <c r="T4034" s="113" t="n"/>
      <c r="U4034" s="113" t="n"/>
      <c r="V4034" s="113" t="n"/>
      <c r="W4034" s="113" t="n"/>
      <c r="X4034" s="113" t="n"/>
      <c r="Y4034" s="113" t="n"/>
      <c r="Z4034" s="117">
        <f>IF($B4034="",0,IF($S4034="EVET",IF($D4034="GELİR",$O4034,-$O4034),0))</f>
        <v/>
      </c>
      <c r="AA4034" s="117">
        <f>IF($B4034="",0,IF(OR($W4034="EVET",$X4034="EVET",$Y4034="EVET"),0,IF($D4034="GELİR",IF($E4034="SATIŞ İADESİ/İSKONTO",-$O4034,$O4034),-$O4034)))</f>
        <v/>
      </c>
      <c r="AB4034" s="117">
        <f>IF($B4034="","",IF(OR($D4034="",$E4034="",$O4034=""),"EKSİK",IF($O4034&lt;=0,"SIFIR/NEGATİF",IF(COUNTIFS($C$6:$C$5000,$C4034,$O$6:$O$5000,$O4034,$B$6:$B$5000,$B4034)&gt;1,"MÜKERRER","OK"))))</f>
        <v/>
      </c>
    </row>
    <row r="4035" ht="16.5" customHeight="1" s="80">
      <c r="A4035" s="113" t="n"/>
      <c r="B4035" s="113" t="n"/>
      <c r="C4035" s="113" t="n"/>
      <c r="D4035" s="113" t="n"/>
      <c r="E4035" s="113" t="n"/>
      <c r="F4035" s="113" t="n"/>
      <c r="G4035" s="113" t="n"/>
      <c r="H4035" s="113" t="n"/>
      <c r="I4035" s="113" t="n"/>
      <c r="J4035" s="113" t="n"/>
      <c r="K4035" s="113" t="n"/>
      <c r="L4035" s="113" t="n"/>
      <c r="M4035" s="113" t="n"/>
      <c r="N4035" s="113" t="n"/>
      <c r="O4035" s="113" t="n"/>
      <c r="P4035" s="113" t="n"/>
      <c r="Q4035" s="113" t="n"/>
      <c r="R4035" s="113" t="n"/>
      <c r="S4035" s="113" t="n"/>
      <c r="T4035" s="113" t="n"/>
      <c r="U4035" s="113" t="n"/>
      <c r="V4035" s="113" t="n"/>
      <c r="W4035" s="113" t="n"/>
      <c r="X4035" s="113" t="n"/>
      <c r="Y4035" s="113" t="n"/>
      <c r="Z4035" s="117">
        <f>IF($B4035="",0,IF($S4035="EVET",IF($D4035="GELİR",$O4035,-$O4035),0))</f>
        <v/>
      </c>
      <c r="AA4035" s="117">
        <f>IF($B4035="",0,IF(OR($W4035="EVET",$X4035="EVET",$Y4035="EVET"),0,IF($D4035="GELİR",IF($E4035="SATIŞ İADESİ/İSKONTO",-$O4035,$O4035),-$O4035)))</f>
        <v/>
      </c>
      <c r="AB4035" s="117">
        <f>IF($B4035="","",IF(OR($D4035="",$E4035="",$O4035=""),"EKSİK",IF($O4035&lt;=0,"SIFIR/NEGATİF",IF(COUNTIFS($C$6:$C$5000,$C4035,$O$6:$O$5000,$O4035,$B$6:$B$5000,$B4035)&gt;1,"MÜKERRER","OK"))))</f>
        <v/>
      </c>
    </row>
    <row r="4036" ht="16.5" customHeight="1" s="80">
      <c r="A4036" s="113" t="n"/>
      <c r="B4036" s="113" t="n"/>
      <c r="C4036" s="113" t="n"/>
      <c r="D4036" s="113" t="n"/>
      <c r="E4036" s="113" t="n"/>
      <c r="F4036" s="113" t="n"/>
      <c r="G4036" s="113" t="n"/>
      <c r="H4036" s="113" t="n"/>
      <c r="I4036" s="113" t="n"/>
      <c r="J4036" s="113" t="n"/>
      <c r="K4036" s="113" t="n"/>
      <c r="L4036" s="113" t="n"/>
      <c r="M4036" s="113" t="n"/>
      <c r="N4036" s="113" t="n"/>
      <c r="O4036" s="113" t="n"/>
      <c r="P4036" s="113" t="n"/>
      <c r="Q4036" s="113" t="n"/>
      <c r="R4036" s="113" t="n"/>
      <c r="S4036" s="113" t="n"/>
      <c r="T4036" s="113" t="n"/>
      <c r="U4036" s="113" t="n"/>
      <c r="V4036" s="113" t="n"/>
      <c r="W4036" s="113" t="n"/>
      <c r="X4036" s="113" t="n"/>
      <c r="Y4036" s="113" t="n"/>
      <c r="Z4036" s="117">
        <f>IF($B4036="",0,IF($S4036="EVET",IF($D4036="GELİR",$O4036,-$O4036),0))</f>
        <v/>
      </c>
      <c r="AA4036" s="117">
        <f>IF($B4036="",0,IF(OR($W4036="EVET",$X4036="EVET",$Y4036="EVET"),0,IF($D4036="GELİR",IF($E4036="SATIŞ İADESİ/İSKONTO",-$O4036,$O4036),-$O4036)))</f>
        <v/>
      </c>
      <c r="AB4036" s="117">
        <f>IF($B4036="","",IF(OR($D4036="",$E4036="",$O4036=""),"EKSİK",IF($O4036&lt;=0,"SIFIR/NEGATİF",IF(COUNTIFS($C$6:$C$5000,$C4036,$O$6:$O$5000,$O4036,$B$6:$B$5000,$B4036)&gt;1,"MÜKERRER","OK"))))</f>
        <v/>
      </c>
    </row>
    <row r="4037" ht="16.5" customHeight="1" s="80">
      <c r="A4037" s="113" t="n"/>
      <c r="B4037" s="113" t="n"/>
      <c r="C4037" s="113" t="n"/>
      <c r="D4037" s="113" t="n"/>
      <c r="E4037" s="113" t="n"/>
      <c r="F4037" s="113" t="n"/>
      <c r="G4037" s="113" t="n"/>
      <c r="H4037" s="113" t="n"/>
      <c r="I4037" s="113" t="n"/>
      <c r="J4037" s="113" t="n"/>
      <c r="K4037" s="113" t="n"/>
      <c r="L4037" s="113" t="n"/>
      <c r="M4037" s="113" t="n"/>
      <c r="N4037" s="113" t="n"/>
      <c r="O4037" s="113" t="n"/>
      <c r="P4037" s="113" t="n"/>
      <c r="Q4037" s="113" t="n"/>
      <c r="R4037" s="113" t="n"/>
      <c r="S4037" s="113" t="n"/>
      <c r="T4037" s="113" t="n"/>
      <c r="U4037" s="113" t="n"/>
      <c r="V4037" s="113" t="n"/>
      <c r="W4037" s="113" t="n"/>
      <c r="X4037" s="113" t="n"/>
      <c r="Y4037" s="113" t="n"/>
      <c r="Z4037" s="117">
        <f>IF($B4037="",0,IF($S4037="EVET",IF($D4037="GELİR",$O4037,-$O4037),0))</f>
        <v/>
      </c>
      <c r="AA4037" s="117">
        <f>IF($B4037="",0,IF(OR($W4037="EVET",$X4037="EVET",$Y4037="EVET"),0,IF($D4037="GELİR",IF($E4037="SATIŞ İADESİ/İSKONTO",-$O4037,$O4037),-$O4037)))</f>
        <v/>
      </c>
      <c r="AB4037" s="117">
        <f>IF($B4037="","",IF(OR($D4037="",$E4037="",$O4037=""),"EKSİK",IF($O4037&lt;=0,"SIFIR/NEGATİF",IF(COUNTIFS($C$6:$C$5000,$C4037,$O$6:$O$5000,$O4037,$B$6:$B$5000,$B4037)&gt;1,"MÜKERRER","OK"))))</f>
        <v/>
      </c>
    </row>
    <row r="4038" ht="16.5" customHeight="1" s="80">
      <c r="A4038" s="113" t="n"/>
      <c r="B4038" s="113" t="n"/>
      <c r="C4038" s="113" t="n"/>
      <c r="D4038" s="113" t="n"/>
      <c r="E4038" s="113" t="n"/>
      <c r="F4038" s="113" t="n"/>
      <c r="G4038" s="113" t="n"/>
      <c r="H4038" s="113" t="n"/>
      <c r="I4038" s="113" t="n"/>
      <c r="J4038" s="113" t="n"/>
      <c r="K4038" s="113" t="n"/>
      <c r="L4038" s="113" t="n"/>
      <c r="M4038" s="113" t="n"/>
      <c r="N4038" s="113" t="n"/>
      <c r="O4038" s="113" t="n"/>
      <c r="P4038" s="113" t="n"/>
      <c r="Q4038" s="113" t="n"/>
      <c r="R4038" s="113" t="n"/>
      <c r="S4038" s="113" t="n"/>
      <c r="T4038" s="113" t="n"/>
      <c r="U4038" s="113" t="n"/>
      <c r="V4038" s="113" t="n"/>
      <c r="W4038" s="113" t="n"/>
      <c r="X4038" s="113" t="n"/>
      <c r="Y4038" s="113" t="n"/>
      <c r="Z4038" s="117">
        <f>IF($B4038="",0,IF($S4038="EVET",IF($D4038="GELİR",$O4038,-$O4038),0))</f>
        <v/>
      </c>
      <c r="AA4038" s="117">
        <f>IF($B4038="",0,IF(OR($W4038="EVET",$X4038="EVET",$Y4038="EVET"),0,IF($D4038="GELİR",IF($E4038="SATIŞ İADESİ/İSKONTO",-$O4038,$O4038),-$O4038)))</f>
        <v/>
      </c>
      <c r="AB4038" s="117">
        <f>IF($B4038="","",IF(OR($D4038="",$E4038="",$O4038=""),"EKSİK",IF($O4038&lt;=0,"SIFIR/NEGATİF",IF(COUNTIFS($C$6:$C$5000,$C4038,$O$6:$O$5000,$O4038,$B$6:$B$5000,$B4038)&gt;1,"MÜKERRER","OK"))))</f>
        <v/>
      </c>
    </row>
    <row r="4039" ht="16.5" customHeight="1" s="80">
      <c r="A4039" s="113" t="n"/>
      <c r="B4039" s="113" t="n"/>
      <c r="C4039" s="113" t="n"/>
      <c r="D4039" s="113" t="n"/>
      <c r="E4039" s="113" t="n"/>
      <c r="F4039" s="113" t="n"/>
      <c r="G4039" s="113" t="n"/>
      <c r="H4039" s="113" t="n"/>
      <c r="I4039" s="113" t="n"/>
      <c r="J4039" s="113" t="n"/>
      <c r="K4039" s="113" t="n"/>
      <c r="L4039" s="113" t="n"/>
      <c r="M4039" s="113" t="n"/>
      <c r="N4039" s="113" t="n"/>
      <c r="O4039" s="113" t="n"/>
      <c r="P4039" s="113" t="n"/>
      <c r="Q4039" s="113" t="n"/>
      <c r="R4039" s="113" t="n"/>
      <c r="S4039" s="113" t="n"/>
      <c r="T4039" s="113" t="n"/>
      <c r="U4039" s="113" t="n"/>
      <c r="V4039" s="113" t="n"/>
      <c r="W4039" s="113" t="n"/>
      <c r="X4039" s="113" t="n"/>
      <c r="Y4039" s="113" t="n"/>
      <c r="Z4039" s="117">
        <f>IF($B4039="",0,IF($S4039="EVET",IF($D4039="GELİR",$O4039,-$O4039),0))</f>
        <v/>
      </c>
      <c r="AA4039" s="117">
        <f>IF($B4039="",0,IF(OR($W4039="EVET",$X4039="EVET",$Y4039="EVET"),0,IF($D4039="GELİR",IF($E4039="SATIŞ İADESİ/İSKONTO",-$O4039,$O4039),-$O4039)))</f>
        <v/>
      </c>
      <c r="AB4039" s="117">
        <f>IF($B4039="","",IF(OR($D4039="",$E4039="",$O4039=""),"EKSİK",IF($O4039&lt;=0,"SIFIR/NEGATİF",IF(COUNTIFS($C$6:$C$5000,$C4039,$O$6:$O$5000,$O4039,$B$6:$B$5000,$B4039)&gt;1,"MÜKERRER","OK"))))</f>
        <v/>
      </c>
    </row>
    <row r="4040" ht="16.5" customHeight="1" s="80">
      <c r="A4040" s="113" t="n"/>
      <c r="B4040" s="113" t="n"/>
      <c r="C4040" s="113" t="n"/>
      <c r="D4040" s="113" t="n"/>
      <c r="E4040" s="113" t="n"/>
      <c r="F4040" s="113" t="n"/>
      <c r="G4040" s="113" t="n"/>
      <c r="H4040" s="113" t="n"/>
      <c r="I4040" s="113" t="n"/>
      <c r="J4040" s="113" t="n"/>
      <c r="K4040" s="113" t="n"/>
      <c r="L4040" s="113" t="n"/>
      <c r="M4040" s="113" t="n"/>
      <c r="N4040" s="113" t="n"/>
      <c r="O4040" s="113" t="n"/>
      <c r="P4040" s="113" t="n"/>
      <c r="Q4040" s="113" t="n"/>
      <c r="R4040" s="113" t="n"/>
      <c r="S4040" s="113" t="n"/>
      <c r="T4040" s="113" t="n"/>
      <c r="U4040" s="113" t="n"/>
      <c r="V4040" s="113" t="n"/>
      <c r="W4040" s="113" t="n"/>
      <c r="X4040" s="113" t="n"/>
      <c r="Y4040" s="113" t="n"/>
      <c r="Z4040" s="117">
        <f>IF($B4040="",0,IF($S4040="EVET",IF($D4040="GELİR",$O4040,-$O4040),0))</f>
        <v/>
      </c>
      <c r="AA4040" s="117">
        <f>IF($B4040="",0,IF(OR($W4040="EVET",$X4040="EVET",$Y4040="EVET"),0,IF($D4040="GELİR",IF($E4040="SATIŞ İADESİ/İSKONTO",-$O4040,$O4040),-$O4040)))</f>
        <v/>
      </c>
      <c r="AB4040" s="117">
        <f>IF($B4040="","",IF(OR($D4040="",$E4040="",$O4040=""),"EKSİK",IF($O4040&lt;=0,"SIFIR/NEGATİF",IF(COUNTIFS($C$6:$C$5000,$C4040,$O$6:$O$5000,$O4040,$B$6:$B$5000,$B4040)&gt;1,"MÜKERRER","OK"))))</f>
        <v/>
      </c>
    </row>
    <row r="4041" ht="16.5" customHeight="1" s="80">
      <c r="A4041" s="113" t="n"/>
      <c r="B4041" s="113" t="n"/>
      <c r="C4041" s="113" t="n"/>
      <c r="D4041" s="113" t="n"/>
      <c r="E4041" s="113" t="n"/>
      <c r="F4041" s="113" t="n"/>
      <c r="G4041" s="113" t="n"/>
      <c r="H4041" s="113" t="n"/>
      <c r="I4041" s="113" t="n"/>
      <c r="J4041" s="113" t="n"/>
      <c r="K4041" s="113" t="n"/>
      <c r="L4041" s="113" t="n"/>
      <c r="M4041" s="113" t="n"/>
      <c r="N4041" s="113" t="n"/>
      <c r="O4041" s="113" t="n"/>
      <c r="P4041" s="113" t="n"/>
      <c r="Q4041" s="113" t="n"/>
      <c r="R4041" s="113" t="n"/>
      <c r="S4041" s="113" t="n"/>
      <c r="T4041" s="113" t="n"/>
      <c r="U4041" s="113" t="n"/>
      <c r="V4041" s="113" t="n"/>
      <c r="W4041" s="113" t="n"/>
      <c r="X4041" s="113" t="n"/>
      <c r="Y4041" s="113" t="n"/>
      <c r="Z4041" s="117">
        <f>IF($B4041="",0,IF($S4041="EVET",IF($D4041="GELİR",$O4041,-$O4041),0))</f>
        <v/>
      </c>
      <c r="AA4041" s="117">
        <f>IF($B4041="",0,IF(OR($W4041="EVET",$X4041="EVET",$Y4041="EVET"),0,IF($D4041="GELİR",IF($E4041="SATIŞ İADESİ/İSKONTO",-$O4041,$O4041),-$O4041)))</f>
        <v/>
      </c>
      <c r="AB4041" s="117">
        <f>IF($B4041="","",IF(OR($D4041="",$E4041="",$O4041=""),"EKSİK",IF($O4041&lt;=0,"SIFIR/NEGATİF",IF(COUNTIFS($C$6:$C$5000,$C4041,$O$6:$O$5000,$O4041,$B$6:$B$5000,$B4041)&gt;1,"MÜKERRER","OK"))))</f>
        <v/>
      </c>
    </row>
    <row r="4042" ht="16.5" customHeight="1" s="80">
      <c r="A4042" s="113" t="n"/>
      <c r="B4042" s="113" t="n"/>
      <c r="C4042" s="113" t="n"/>
      <c r="D4042" s="113" t="n"/>
      <c r="E4042" s="113" t="n"/>
      <c r="F4042" s="113" t="n"/>
      <c r="G4042" s="113" t="n"/>
      <c r="H4042" s="113" t="n"/>
      <c r="I4042" s="113" t="n"/>
      <c r="J4042" s="113" t="n"/>
      <c r="K4042" s="113" t="n"/>
      <c r="L4042" s="113" t="n"/>
      <c r="M4042" s="113" t="n"/>
      <c r="N4042" s="113" t="n"/>
      <c r="O4042" s="113" t="n"/>
      <c r="P4042" s="113" t="n"/>
      <c r="Q4042" s="113" t="n"/>
      <c r="R4042" s="113" t="n"/>
      <c r="S4042" s="113" t="n"/>
      <c r="T4042" s="113" t="n"/>
      <c r="U4042" s="113" t="n"/>
      <c r="V4042" s="113" t="n"/>
      <c r="W4042" s="113" t="n"/>
      <c r="X4042" s="113" t="n"/>
      <c r="Y4042" s="113" t="n"/>
      <c r="Z4042" s="117">
        <f>IF($B4042="",0,IF($S4042="EVET",IF($D4042="GELİR",$O4042,-$O4042),0))</f>
        <v/>
      </c>
      <c r="AA4042" s="117">
        <f>IF($B4042="",0,IF(OR($W4042="EVET",$X4042="EVET",$Y4042="EVET"),0,IF($D4042="GELİR",IF($E4042="SATIŞ İADESİ/İSKONTO",-$O4042,$O4042),-$O4042)))</f>
        <v/>
      </c>
      <c r="AB4042" s="117">
        <f>IF($B4042="","",IF(OR($D4042="",$E4042="",$O4042=""),"EKSİK",IF($O4042&lt;=0,"SIFIR/NEGATİF",IF(COUNTIFS($C$6:$C$5000,$C4042,$O$6:$O$5000,$O4042,$B$6:$B$5000,$B4042)&gt;1,"MÜKERRER","OK"))))</f>
        <v/>
      </c>
    </row>
    <row r="4043" ht="16.5" customHeight="1" s="80">
      <c r="A4043" s="113" t="n"/>
      <c r="B4043" s="113" t="n"/>
      <c r="C4043" s="113" t="n"/>
      <c r="D4043" s="113" t="n"/>
      <c r="E4043" s="113" t="n"/>
      <c r="F4043" s="113" t="n"/>
      <c r="G4043" s="113" t="n"/>
      <c r="H4043" s="113" t="n"/>
      <c r="I4043" s="113" t="n"/>
      <c r="J4043" s="113" t="n"/>
      <c r="K4043" s="113" t="n"/>
      <c r="L4043" s="113" t="n"/>
      <c r="M4043" s="113" t="n"/>
      <c r="N4043" s="113" t="n"/>
      <c r="O4043" s="113" t="n"/>
      <c r="P4043" s="113" t="n"/>
      <c r="Q4043" s="113" t="n"/>
      <c r="R4043" s="113" t="n"/>
      <c r="S4043" s="113" t="n"/>
      <c r="T4043" s="113" t="n"/>
      <c r="U4043" s="113" t="n"/>
      <c r="V4043" s="113" t="n"/>
      <c r="W4043" s="113" t="n"/>
      <c r="X4043" s="113" t="n"/>
      <c r="Y4043" s="113" t="n"/>
      <c r="Z4043" s="117">
        <f>IF($B4043="",0,IF($S4043="EVET",IF($D4043="GELİR",$O4043,-$O4043),0))</f>
        <v/>
      </c>
      <c r="AA4043" s="117">
        <f>IF($B4043="",0,IF(OR($W4043="EVET",$X4043="EVET",$Y4043="EVET"),0,IF($D4043="GELİR",IF($E4043="SATIŞ İADESİ/İSKONTO",-$O4043,$O4043),-$O4043)))</f>
        <v/>
      </c>
      <c r="AB4043" s="117">
        <f>IF($B4043="","",IF(OR($D4043="",$E4043="",$O4043=""),"EKSİK",IF($O4043&lt;=0,"SIFIR/NEGATİF",IF(COUNTIFS($C$6:$C$5000,$C4043,$O$6:$O$5000,$O4043,$B$6:$B$5000,$B4043)&gt;1,"MÜKERRER","OK"))))</f>
        <v/>
      </c>
    </row>
    <row r="4044" ht="16.5" customHeight="1" s="80">
      <c r="A4044" s="113" t="n"/>
      <c r="B4044" s="113" t="n"/>
      <c r="C4044" s="113" t="n"/>
      <c r="D4044" s="113" t="n"/>
      <c r="E4044" s="113" t="n"/>
      <c r="F4044" s="113" t="n"/>
      <c r="G4044" s="113" t="n"/>
      <c r="H4044" s="113" t="n"/>
      <c r="I4044" s="113" t="n"/>
      <c r="J4044" s="113" t="n"/>
      <c r="K4044" s="113" t="n"/>
      <c r="L4044" s="113" t="n"/>
      <c r="M4044" s="113" t="n"/>
      <c r="N4044" s="113" t="n"/>
      <c r="O4044" s="113" t="n"/>
      <c r="P4044" s="113" t="n"/>
      <c r="Q4044" s="113" t="n"/>
      <c r="R4044" s="113" t="n"/>
      <c r="S4044" s="113" t="n"/>
      <c r="T4044" s="113" t="n"/>
      <c r="U4044" s="113" t="n"/>
      <c r="V4044" s="113" t="n"/>
      <c r="W4044" s="113" t="n"/>
      <c r="X4044" s="113" t="n"/>
      <c r="Y4044" s="113" t="n"/>
      <c r="Z4044" s="117">
        <f>IF($B4044="",0,IF($S4044="EVET",IF($D4044="GELİR",$O4044,-$O4044),0))</f>
        <v/>
      </c>
      <c r="AA4044" s="117">
        <f>IF($B4044="",0,IF(OR($W4044="EVET",$X4044="EVET",$Y4044="EVET"),0,IF($D4044="GELİR",IF($E4044="SATIŞ İADESİ/İSKONTO",-$O4044,$O4044),-$O4044)))</f>
        <v/>
      </c>
      <c r="AB4044" s="117">
        <f>IF($B4044="","",IF(OR($D4044="",$E4044="",$O4044=""),"EKSİK",IF($O4044&lt;=0,"SIFIR/NEGATİF",IF(COUNTIFS($C$6:$C$5000,$C4044,$O$6:$O$5000,$O4044,$B$6:$B$5000,$B4044)&gt;1,"MÜKERRER","OK"))))</f>
        <v/>
      </c>
    </row>
    <row r="4045" ht="16.5" customHeight="1" s="80">
      <c r="A4045" s="113" t="n"/>
      <c r="B4045" s="113" t="n"/>
      <c r="C4045" s="113" t="n"/>
      <c r="D4045" s="113" t="n"/>
      <c r="E4045" s="113" t="n"/>
      <c r="F4045" s="113" t="n"/>
      <c r="G4045" s="113" t="n"/>
      <c r="H4045" s="113" t="n"/>
      <c r="I4045" s="113" t="n"/>
      <c r="J4045" s="113" t="n"/>
      <c r="K4045" s="113" t="n"/>
      <c r="L4045" s="113" t="n"/>
      <c r="M4045" s="113" t="n"/>
      <c r="N4045" s="113" t="n"/>
      <c r="O4045" s="113" t="n"/>
      <c r="P4045" s="113" t="n"/>
      <c r="Q4045" s="113" t="n"/>
      <c r="R4045" s="113" t="n"/>
      <c r="S4045" s="113" t="n"/>
      <c r="T4045" s="113" t="n"/>
      <c r="U4045" s="113" t="n"/>
      <c r="V4045" s="113" t="n"/>
      <c r="W4045" s="113" t="n"/>
      <c r="X4045" s="113" t="n"/>
      <c r="Y4045" s="113" t="n"/>
      <c r="Z4045" s="117">
        <f>IF($B4045="",0,IF($S4045="EVET",IF($D4045="GELİR",$O4045,-$O4045),0))</f>
        <v/>
      </c>
      <c r="AA4045" s="117">
        <f>IF($B4045="",0,IF(OR($W4045="EVET",$X4045="EVET",$Y4045="EVET"),0,IF($D4045="GELİR",IF($E4045="SATIŞ İADESİ/İSKONTO",-$O4045,$O4045),-$O4045)))</f>
        <v/>
      </c>
      <c r="AB4045" s="117">
        <f>IF($B4045="","",IF(OR($D4045="",$E4045="",$O4045=""),"EKSİK",IF($O4045&lt;=0,"SIFIR/NEGATİF",IF(COUNTIFS($C$6:$C$5000,$C4045,$O$6:$O$5000,$O4045,$B$6:$B$5000,$B4045)&gt;1,"MÜKERRER","OK"))))</f>
        <v/>
      </c>
    </row>
    <row r="4046" ht="16.5" customHeight="1" s="80">
      <c r="A4046" s="113" t="n"/>
      <c r="B4046" s="113" t="n"/>
      <c r="C4046" s="113" t="n"/>
      <c r="D4046" s="113" t="n"/>
      <c r="E4046" s="113" t="n"/>
      <c r="F4046" s="113" t="n"/>
      <c r="G4046" s="113" t="n"/>
      <c r="H4046" s="113" t="n"/>
      <c r="I4046" s="113" t="n"/>
      <c r="J4046" s="113" t="n"/>
      <c r="K4046" s="113" t="n"/>
      <c r="L4046" s="113" t="n"/>
      <c r="M4046" s="113" t="n"/>
      <c r="N4046" s="113" t="n"/>
      <c r="O4046" s="113" t="n"/>
      <c r="P4046" s="113" t="n"/>
      <c r="Q4046" s="113" t="n"/>
      <c r="R4046" s="113" t="n"/>
      <c r="S4046" s="113" t="n"/>
      <c r="T4046" s="113" t="n"/>
      <c r="U4046" s="113" t="n"/>
      <c r="V4046" s="113" t="n"/>
      <c r="W4046" s="113" t="n"/>
      <c r="X4046" s="113" t="n"/>
      <c r="Y4046" s="113" t="n"/>
      <c r="Z4046" s="117">
        <f>IF($B4046="",0,IF($S4046="EVET",IF($D4046="GELİR",$O4046,-$O4046),0))</f>
        <v/>
      </c>
      <c r="AA4046" s="117">
        <f>IF($B4046="",0,IF(OR($W4046="EVET",$X4046="EVET",$Y4046="EVET"),0,IF($D4046="GELİR",IF($E4046="SATIŞ İADESİ/İSKONTO",-$O4046,$O4046),-$O4046)))</f>
        <v/>
      </c>
      <c r="AB4046" s="117">
        <f>IF($B4046="","",IF(OR($D4046="",$E4046="",$O4046=""),"EKSİK",IF($O4046&lt;=0,"SIFIR/NEGATİF",IF(COUNTIFS($C$6:$C$5000,$C4046,$O$6:$O$5000,$O4046,$B$6:$B$5000,$B4046)&gt;1,"MÜKERRER","OK"))))</f>
        <v/>
      </c>
    </row>
    <row r="4047" ht="16.5" customHeight="1" s="80">
      <c r="A4047" s="113" t="n"/>
      <c r="B4047" s="113" t="n"/>
      <c r="C4047" s="113" t="n"/>
      <c r="D4047" s="113" t="n"/>
      <c r="E4047" s="113" t="n"/>
      <c r="F4047" s="113" t="n"/>
      <c r="G4047" s="113" t="n"/>
      <c r="H4047" s="113" t="n"/>
      <c r="I4047" s="113" t="n"/>
      <c r="J4047" s="113" t="n"/>
      <c r="K4047" s="113" t="n"/>
      <c r="L4047" s="113" t="n"/>
      <c r="M4047" s="113" t="n"/>
      <c r="N4047" s="113" t="n"/>
      <c r="O4047" s="113" t="n"/>
      <c r="P4047" s="113" t="n"/>
      <c r="Q4047" s="113" t="n"/>
      <c r="R4047" s="113" t="n"/>
      <c r="S4047" s="113" t="n"/>
      <c r="T4047" s="113" t="n"/>
      <c r="U4047" s="113" t="n"/>
      <c r="V4047" s="113" t="n"/>
      <c r="W4047" s="113" t="n"/>
      <c r="X4047" s="113" t="n"/>
      <c r="Y4047" s="113" t="n"/>
      <c r="Z4047" s="117">
        <f>IF($B4047="",0,IF($S4047="EVET",IF($D4047="GELİR",$O4047,-$O4047),0))</f>
        <v/>
      </c>
      <c r="AA4047" s="117">
        <f>IF($B4047="",0,IF(OR($W4047="EVET",$X4047="EVET",$Y4047="EVET"),0,IF($D4047="GELİR",IF($E4047="SATIŞ İADESİ/İSKONTO",-$O4047,$O4047),-$O4047)))</f>
        <v/>
      </c>
      <c r="AB4047" s="117">
        <f>IF($B4047="","",IF(OR($D4047="",$E4047="",$O4047=""),"EKSİK",IF($O4047&lt;=0,"SIFIR/NEGATİF",IF(COUNTIFS($C$6:$C$5000,$C4047,$O$6:$O$5000,$O4047,$B$6:$B$5000,$B4047)&gt;1,"MÜKERRER","OK"))))</f>
        <v/>
      </c>
    </row>
    <row r="4048" ht="16.5" customHeight="1" s="80">
      <c r="A4048" s="113" t="n"/>
      <c r="B4048" s="113" t="n"/>
      <c r="C4048" s="113" t="n"/>
      <c r="D4048" s="113" t="n"/>
      <c r="E4048" s="113" t="n"/>
      <c r="F4048" s="113" t="n"/>
      <c r="G4048" s="113" t="n"/>
      <c r="H4048" s="113" t="n"/>
      <c r="I4048" s="113" t="n"/>
      <c r="J4048" s="113" t="n"/>
      <c r="K4048" s="113" t="n"/>
      <c r="L4048" s="113" t="n"/>
      <c r="M4048" s="113" t="n"/>
      <c r="N4048" s="113" t="n"/>
      <c r="O4048" s="113" t="n"/>
      <c r="P4048" s="113" t="n"/>
      <c r="Q4048" s="113" t="n"/>
      <c r="R4048" s="113" t="n"/>
      <c r="S4048" s="113" t="n"/>
      <c r="T4048" s="113" t="n"/>
      <c r="U4048" s="113" t="n"/>
      <c r="V4048" s="113" t="n"/>
      <c r="W4048" s="113" t="n"/>
      <c r="X4048" s="113" t="n"/>
      <c r="Y4048" s="113" t="n"/>
      <c r="Z4048" s="117">
        <f>IF($B4048="",0,IF($S4048="EVET",IF($D4048="GELİR",$O4048,-$O4048),0))</f>
        <v/>
      </c>
      <c r="AA4048" s="117">
        <f>IF($B4048="",0,IF(OR($W4048="EVET",$X4048="EVET",$Y4048="EVET"),0,IF($D4048="GELİR",IF($E4048="SATIŞ İADESİ/İSKONTO",-$O4048,$O4048),-$O4048)))</f>
        <v/>
      </c>
      <c r="AB4048" s="117">
        <f>IF($B4048="","",IF(OR($D4048="",$E4048="",$O4048=""),"EKSİK",IF($O4048&lt;=0,"SIFIR/NEGATİF",IF(COUNTIFS($C$6:$C$5000,$C4048,$O$6:$O$5000,$O4048,$B$6:$B$5000,$B4048)&gt;1,"MÜKERRER","OK"))))</f>
        <v/>
      </c>
    </row>
    <row r="4049" ht="16.5" customHeight="1" s="80">
      <c r="A4049" s="113" t="n"/>
      <c r="B4049" s="113" t="n"/>
      <c r="C4049" s="113" t="n"/>
      <c r="D4049" s="113" t="n"/>
      <c r="E4049" s="113" t="n"/>
      <c r="F4049" s="113" t="n"/>
      <c r="G4049" s="113" t="n"/>
      <c r="H4049" s="113" t="n"/>
      <c r="I4049" s="113" t="n"/>
      <c r="J4049" s="113" t="n"/>
      <c r="K4049" s="113" t="n"/>
      <c r="L4049" s="113" t="n"/>
      <c r="M4049" s="113" t="n"/>
      <c r="N4049" s="113" t="n"/>
      <c r="O4049" s="113" t="n"/>
      <c r="P4049" s="113" t="n"/>
      <c r="Q4049" s="113" t="n"/>
      <c r="R4049" s="113" t="n"/>
      <c r="S4049" s="113" t="n"/>
      <c r="T4049" s="113" t="n"/>
      <c r="U4049" s="113" t="n"/>
      <c r="V4049" s="113" t="n"/>
      <c r="W4049" s="113" t="n"/>
      <c r="X4049" s="113" t="n"/>
      <c r="Y4049" s="113" t="n"/>
      <c r="Z4049" s="117">
        <f>IF($B4049="",0,IF($S4049="EVET",IF($D4049="GELİR",$O4049,-$O4049),0))</f>
        <v/>
      </c>
      <c r="AA4049" s="117">
        <f>IF($B4049="",0,IF(OR($W4049="EVET",$X4049="EVET",$Y4049="EVET"),0,IF($D4049="GELİR",IF($E4049="SATIŞ İADESİ/İSKONTO",-$O4049,$O4049),-$O4049)))</f>
        <v/>
      </c>
      <c r="AB4049" s="117">
        <f>IF($B4049="","",IF(OR($D4049="",$E4049="",$O4049=""),"EKSİK",IF($O4049&lt;=0,"SIFIR/NEGATİF",IF(COUNTIFS($C$6:$C$5000,$C4049,$O$6:$O$5000,$O4049,$B$6:$B$5000,$B4049)&gt;1,"MÜKERRER","OK"))))</f>
        <v/>
      </c>
    </row>
    <row r="4050" ht="16.5" customHeight="1" s="80">
      <c r="A4050" s="113" t="n"/>
      <c r="B4050" s="113" t="n"/>
      <c r="C4050" s="113" t="n"/>
      <c r="D4050" s="113" t="n"/>
      <c r="E4050" s="113" t="n"/>
      <c r="F4050" s="113" t="n"/>
      <c r="G4050" s="113" t="n"/>
      <c r="H4050" s="113" t="n"/>
      <c r="I4050" s="113" t="n"/>
      <c r="J4050" s="113" t="n"/>
      <c r="K4050" s="113" t="n"/>
      <c r="L4050" s="113" t="n"/>
      <c r="M4050" s="113" t="n"/>
      <c r="N4050" s="113" t="n"/>
      <c r="O4050" s="113" t="n"/>
      <c r="P4050" s="113" t="n"/>
      <c r="Q4050" s="113" t="n"/>
      <c r="R4050" s="113" t="n"/>
      <c r="S4050" s="113" t="n"/>
      <c r="T4050" s="113" t="n"/>
      <c r="U4050" s="113" t="n"/>
      <c r="V4050" s="113" t="n"/>
      <c r="W4050" s="113" t="n"/>
      <c r="X4050" s="113" t="n"/>
      <c r="Y4050" s="113" t="n"/>
      <c r="Z4050" s="117">
        <f>IF($B4050="",0,IF($S4050="EVET",IF($D4050="GELİR",$O4050,-$O4050),0))</f>
        <v/>
      </c>
      <c r="AA4050" s="117">
        <f>IF($B4050="",0,IF(OR($W4050="EVET",$X4050="EVET",$Y4050="EVET"),0,IF($D4050="GELİR",IF($E4050="SATIŞ İADESİ/İSKONTO",-$O4050,$O4050),-$O4050)))</f>
        <v/>
      </c>
      <c r="AB4050" s="117">
        <f>IF($B4050="","",IF(OR($D4050="",$E4050="",$O4050=""),"EKSİK",IF($O4050&lt;=0,"SIFIR/NEGATİF",IF(COUNTIFS($C$6:$C$5000,$C4050,$O$6:$O$5000,$O4050,$B$6:$B$5000,$B4050)&gt;1,"MÜKERRER","OK"))))</f>
        <v/>
      </c>
    </row>
    <row r="4051" ht="16.5" customHeight="1" s="80">
      <c r="A4051" s="113" t="n"/>
      <c r="B4051" s="113" t="n"/>
      <c r="C4051" s="113" t="n"/>
      <c r="D4051" s="113" t="n"/>
      <c r="E4051" s="113" t="n"/>
      <c r="F4051" s="113" t="n"/>
      <c r="G4051" s="113" t="n"/>
      <c r="H4051" s="113" t="n"/>
      <c r="I4051" s="113" t="n"/>
      <c r="J4051" s="113" t="n"/>
      <c r="K4051" s="113" t="n"/>
      <c r="L4051" s="113" t="n"/>
      <c r="M4051" s="113" t="n"/>
      <c r="N4051" s="113" t="n"/>
      <c r="O4051" s="113" t="n"/>
      <c r="P4051" s="113" t="n"/>
      <c r="Q4051" s="113" t="n"/>
      <c r="R4051" s="113" t="n"/>
      <c r="S4051" s="113" t="n"/>
      <c r="T4051" s="113" t="n"/>
      <c r="U4051" s="113" t="n"/>
      <c r="V4051" s="113" t="n"/>
      <c r="W4051" s="113" t="n"/>
      <c r="X4051" s="113" t="n"/>
      <c r="Y4051" s="113" t="n"/>
      <c r="Z4051" s="117">
        <f>IF($B4051="",0,IF($S4051="EVET",IF($D4051="GELİR",$O4051,-$O4051),0))</f>
        <v/>
      </c>
      <c r="AA4051" s="117">
        <f>IF($B4051="",0,IF(OR($W4051="EVET",$X4051="EVET",$Y4051="EVET"),0,IF($D4051="GELİR",IF($E4051="SATIŞ İADESİ/İSKONTO",-$O4051,$O4051),-$O4051)))</f>
        <v/>
      </c>
      <c r="AB4051" s="117">
        <f>IF($B4051="","",IF(OR($D4051="",$E4051="",$O4051=""),"EKSİK",IF($O4051&lt;=0,"SIFIR/NEGATİF",IF(COUNTIFS($C$6:$C$5000,$C4051,$O$6:$O$5000,$O4051,$B$6:$B$5000,$B4051)&gt;1,"MÜKERRER","OK"))))</f>
        <v/>
      </c>
    </row>
    <row r="4052" ht="16.5" customHeight="1" s="80">
      <c r="A4052" s="113" t="n"/>
      <c r="B4052" s="113" t="n"/>
      <c r="C4052" s="113" t="n"/>
      <c r="D4052" s="113" t="n"/>
      <c r="E4052" s="113" t="n"/>
      <c r="F4052" s="113" t="n"/>
      <c r="G4052" s="113" t="n"/>
      <c r="H4052" s="113" t="n"/>
      <c r="I4052" s="113" t="n"/>
      <c r="J4052" s="113" t="n"/>
      <c r="K4052" s="113" t="n"/>
      <c r="L4052" s="113" t="n"/>
      <c r="M4052" s="113" t="n"/>
      <c r="N4052" s="113" t="n"/>
      <c r="O4052" s="113" t="n"/>
      <c r="P4052" s="113" t="n"/>
      <c r="Q4052" s="113" t="n"/>
      <c r="R4052" s="113" t="n"/>
      <c r="S4052" s="113" t="n"/>
      <c r="T4052" s="113" t="n"/>
      <c r="U4052" s="113" t="n"/>
      <c r="V4052" s="113" t="n"/>
      <c r="W4052" s="113" t="n"/>
      <c r="X4052" s="113" t="n"/>
      <c r="Y4052" s="113" t="n"/>
      <c r="Z4052" s="117">
        <f>IF($B4052="",0,IF($S4052="EVET",IF($D4052="GELİR",$O4052,-$O4052),0))</f>
        <v/>
      </c>
      <c r="AA4052" s="117">
        <f>IF($B4052="",0,IF(OR($W4052="EVET",$X4052="EVET",$Y4052="EVET"),0,IF($D4052="GELİR",IF($E4052="SATIŞ İADESİ/İSKONTO",-$O4052,$O4052),-$O4052)))</f>
        <v/>
      </c>
      <c r="AB4052" s="117">
        <f>IF($B4052="","",IF(OR($D4052="",$E4052="",$O4052=""),"EKSİK",IF($O4052&lt;=0,"SIFIR/NEGATİF",IF(COUNTIFS($C$6:$C$5000,$C4052,$O$6:$O$5000,$O4052,$B$6:$B$5000,$B4052)&gt;1,"MÜKERRER","OK"))))</f>
        <v/>
      </c>
    </row>
    <row r="4053" ht="16.5" customHeight="1" s="80">
      <c r="A4053" s="113" t="n"/>
      <c r="B4053" s="113" t="n"/>
      <c r="C4053" s="113" t="n"/>
      <c r="D4053" s="113" t="n"/>
      <c r="E4053" s="113" t="n"/>
      <c r="F4053" s="113" t="n"/>
      <c r="G4053" s="113" t="n"/>
      <c r="H4053" s="113" t="n"/>
      <c r="I4053" s="113" t="n"/>
      <c r="J4053" s="113" t="n"/>
      <c r="K4053" s="113" t="n"/>
      <c r="L4053" s="113" t="n"/>
      <c r="M4053" s="113" t="n"/>
      <c r="N4053" s="113" t="n"/>
      <c r="O4053" s="113" t="n"/>
      <c r="P4053" s="113" t="n"/>
      <c r="Q4053" s="113" t="n"/>
      <c r="R4053" s="113" t="n"/>
      <c r="S4053" s="113" t="n"/>
      <c r="T4053" s="113" t="n"/>
      <c r="U4053" s="113" t="n"/>
      <c r="V4053" s="113" t="n"/>
      <c r="W4053" s="113" t="n"/>
      <c r="X4053" s="113" t="n"/>
      <c r="Y4053" s="113" t="n"/>
      <c r="Z4053" s="117">
        <f>IF($B4053="",0,IF($S4053="EVET",IF($D4053="GELİR",$O4053,-$O4053),0))</f>
        <v/>
      </c>
      <c r="AA4053" s="117">
        <f>IF($B4053="",0,IF(OR($W4053="EVET",$X4053="EVET",$Y4053="EVET"),0,IF($D4053="GELİR",IF($E4053="SATIŞ İADESİ/İSKONTO",-$O4053,$O4053),-$O4053)))</f>
        <v/>
      </c>
      <c r="AB4053" s="117">
        <f>IF($B4053="","",IF(OR($D4053="",$E4053="",$O4053=""),"EKSİK",IF($O4053&lt;=0,"SIFIR/NEGATİF",IF(COUNTIFS($C$6:$C$5000,$C4053,$O$6:$O$5000,$O4053,$B$6:$B$5000,$B4053)&gt;1,"MÜKERRER","OK"))))</f>
        <v/>
      </c>
    </row>
    <row r="4054" ht="16.5" customHeight="1" s="80">
      <c r="A4054" s="113" t="n"/>
      <c r="B4054" s="113" t="n"/>
      <c r="C4054" s="113" t="n"/>
      <c r="D4054" s="113" t="n"/>
      <c r="E4054" s="113" t="n"/>
      <c r="F4054" s="113" t="n"/>
      <c r="G4054" s="113" t="n"/>
      <c r="H4054" s="113" t="n"/>
      <c r="I4054" s="113" t="n"/>
      <c r="J4054" s="113" t="n"/>
      <c r="K4054" s="113" t="n"/>
      <c r="L4054" s="113" t="n"/>
      <c r="M4054" s="113" t="n"/>
      <c r="N4054" s="113" t="n"/>
      <c r="O4054" s="113" t="n"/>
      <c r="P4054" s="113" t="n"/>
      <c r="Q4054" s="113" t="n"/>
      <c r="R4054" s="113" t="n"/>
      <c r="S4054" s="113" t="n"/>
      <c r="T4054" s="113" t="n"/>
      <c r="U4054" s="113" t="n"/>
      <c r="V4054" s="113" t="n"/>
      <c r="W4054" s="113" t="n"/>
      <c r="X4054" s="113" t="n"/>
      <c r="Y4054" s="113" t="n"/>
      <c r="Z4054" s="117">
        <f>IF($B4054="",0,IF($S4054="EVET",IF($D4054="GELİR",$O4054,-$O4054),0))</f>
        <v/>
      </c>
      <c r="AA4054" s="117">
        <f>IF($B4054="",0,IF(OR($W4054="EVET",$X4054="EVET",$Y4054="EVET"),0,IF($D4054="GELİR",IF($E4054="SATIŞ İADESİ/İSKONTO",-$O4054,$O4054),-$O4054)))</f>
        <v/>
      </c>
      <c r="AB4054" s="117">
        <f>IF($B4054="","",IF(OR($D4054="",$E4054="",$O4054=""),"EKSİK",IF($O4054&lt;=0,"SIFIR/NEGATİF",IF(COUNTIFS($C$6:$C$5000,$C4054,$O$6:$O$5000,$O4054,$B$6:$B$5000,$B4054)&gt;1,"MÜKERRER","OK"))))</f>
        <v/>
      </c>
    </row>
    <row r="4055" ht="16.5" customHeight="1" s="80">
      <c r="A4055" s="113" t="n"/>
      <c r="B4055" s="113" t="n"/>
      <c r="C4055" s="113" t="n"/>
      <c r="D4055" s="113" t="n"/>
      <c r="E4055" s="113" t="n"/>
      <c r="F4055" s="113" t="n"/>
      <c r="G4055" s="113" t="n"/>
      <c r="H4055" s="113" t="n"/>
      <c r="I4055" s="113" t="n"/>
      <c r="J4055" s="113" t="n"/>
      <c r="K4055" s="113" t="n"/>
      <c r="L4055" s="113" t="n"/>
      <c r="M4055" s="113" t="n"/>
      <c r="N4055" s="113" t="n"/>
      <c r="O4055" s="113" t="n"/>
      <c r="P4055" s="113" t="n"/>
      <c r="Q4055" s="113" t="n"/>
      <c r="R4055" s="113" t="n"/>
      <c r="S4055" s="113" t="n"/>
      <c r="T4055" s="113" t="n"/>
      <c r="U4055" s="113" t="n"/>
      <c r="V4055" s="113" t="n"/>
      <c r="W4055" s="113" t="n"/>
      <c r="X4055" s="113" t="n"/>
      <c r="Y4055" s="113" t="n"/>
      <c r="Z4055" s="117">
        <f>IF($B4055="",0,IF($S4055="EVET",IF($D4055="GELİR",$O4055,-$O4055),0))</f>
        <v/>
      </c>
      <c r="AA4055" s="117">
        <f>IF($B4055="",0,IF(OR($W4055="EVET",$X4055="EVET",$Y4055="EVET"),0,IF($D4055="GELİR",IF($E4055="SATIŞ İADESİ/İSKONTO",-$O4055,$O4055),-$O4055)))</f>
        <v/>
      </c>
      <c r="AB4055" s="117">
        <f>IF($B4055="","",IF(OR($D4055="",$E4055="",$O4055=""),"EKSİK",IF($O4055&lt;=0,"SIFIR/NEGATİF",IF(COUNTIFS($C$6:$C$5000,$C4055,$O$6:$O$5000,$O4055,$B$6:$B$5000,$B4055)&gt;1,"MÜKERRER","OK"))))</f>
        <v/>
      </c>
    </row>
    <row r="4056" ht="16.5" customHeight="1" s="80">
      <c r="A4056" s="113" t="n"/>
      <c r="B4056" s="113" t="n"/>
      <c r="C4056" s="113" t="n"/>
      <c r="D4056" s="113" t="n"/>
      <c r="E4056" s="113" t="n"/>
      <c r="F4056" s="113" t="n"/>
      <c r="G4056" s="113" t="n"/>
      <c r="H4056" s="113" t="n"/>
      <c r="I4056" s="113" t="n"/>
      <c r="J4056" s="113" t="n"/>
      <c r="K4056" s="113" t="n"/>
      <c r="L4056" s="113" t="n"/>
      <c r="M4056" s="113" t="n"/>
      <c r="N4056" s="113" t="n"/>
      <c r="O4056" s="113" t="n"/>
      <c r="P4056" s="113" t="n"/>
      <c r="Q4056" s="113" t="n"/>
      <c r="R4056" s="113" t="n"/>
      <c r="S4056" s="113" t="n"/>
      <c r="T4056" s="113" t="n"/>
      <c r="U4056" s="113" t="n"/>
      <c r="V4056" s="113" t="n"/>
      <c r="W4056" s="113" t="n"/>
      <c r="X4056" s="113" t="n"/>
      <c r="Y4056" s="113" t="n"/>
      <c r="Z4056" s="117">
        <f>IF($B4056="",0,IF($S4056="EVET",IF($D4056="GELİR",$O4056,-$O4056),0))</f>
        <v/>
      </c>
      <c r="AA4056" s="117">
        <f>IF($B4056="",0,IF(OR($W4056="EVET",$X4056="EVET",$Y4056="EVET"),0,IF($D4056="GELİR",IF($E4056="SATIŞ İADESİ/İSKONTO",-$O4056,$O4056),-$O4056)))</f>
        <v/>
      </c>
      <c r="AB4056" s="117">
        <f>IF($B4056="","",IF(OR($D4056="",$E4056="",$O4056=""),"EKSİK",IF($O4056&lt;=0,"SIFIR/NEGATİF",IF(COUNTIFS($C$6:$C$5000,$C4056,$O$6:$O$5000,$O4056,$B$6:$B$5000,$B4056)&gt;1,"MÜKERRER","OK"))))</f>
        <v/>
      </c>
    </row>
    <row r="4057" ht="16.5" customHeight="1" s="80">
      <c r="A4057" s="113" t="n"/>
      <c r="B4057" s="113" t="n"/>
      <c r="C4057" s="113" t="n"/>
      <c r="D4057" s="113" t="n"/>
      <c r="E4057" s="113" t="n"/>
      <c r="F4057" s="113" t="n"/>
      <c r="G4057" s="113" t="n"/>
      <c r="H4057" s="113" t="n"/>
      <c r="I4057" s="113" t="n"/>
      <c r="J4057" s="113" t="n"/>
      <c r="K4057" s="113" t="n"/>
      <c r="L4057" s="113" t="n"/>
      <c r="M4057" s="113" t="n"/>
      <c r="N4057" s="113" t="n"/>
      <c r="O4057" s="113" t="n"/>
      <c r="P4057" s="113" t="n"/>
      <c r="Q4057" s="113" t="n"/>
      <c r="R4057" s="113" t="n"/>
      <c r="S4057" s="113" t="n"/>
      <c r="T4057" s="113" t="n"/>
      <c r="U4057" s="113" t="n"/>
      <c r="V4057" s="113" t="n"/>
      <c r="W4057" s="113" t="n"/>
      <c r="X4057" s="113" t="n"/>
      <c r="Y4057" s="113" t="n"/>
      <c r="Z4057" s="117">
        <f>IF($B4057="",0,IF($S4057="EVET",IF($D4057="GELİR",$O4057,-$O4057),0))</f>
        <v/>
      </c>
      <c r="AA4057" s="117">
        <f>IF($B4057="",0,IF(OR($W4057="EVET",$X4057="EVET",$Y4057="EVET"),0,IF($D4057="GELİR",IF($E4057="SATIŞ İADESİ/İSKONTO",-$O4057,$O4057),-$O4057)))</f>
        <v/>
      </c>
      <c r="AB4057" s="117">
        <f>IF($B4057="","",IF(OR($D4057="",$E4057="",$O4057=""),"EKSİK",IF($O4057&lt;=0,"SIFIR/NEGATİF",IF(COUNTIFS($C$6:$C$5000,$C4057,$O$6:$O$5000,$O4057,$B$6:$B$5000,$B4057)&gt;1,"MÜKERRER","OK"))))</f>
        <v/>
      </c>
    </row>
    <row r="4058" ht="16.5" customHeight="1" s="80">
      <c r="A4058" s="113" t="n"/>
      <c r="B4058" s="113" t="n"/>
      <c r="C4058" s="113" t="n"/>
      <c r="D4058" s="113" t="n"/>
      <c r="E4058" s="113" t="n"/>
      <c r="F4058" s="113" t="n"/>
      <c r="G4058" s="113" t="n"/>
      <c r="H4058" s="113" t="n"/>
      <c r="I4058" s="113" t="n"/>
      <c r="J4058" s="113" t="n"/>
      <c r="K4058" s="113" t="n"/>
      <c r="L4058" s="113" t="n"/>
      <c r="M4058" s="113" t="n"/>
      <c r="N4058" s="113" t="n"/>
      <c r="O4058" s="113" t="n"/>
      <c r="P4058" s="113" t="n"/>
      <c r="Q4058" s="113" t="n"/>
      <c r="R4058" s="113" t="n"/>
      <c r="S4058" s="113" t="n"/>
      <c r="T4058" s="113" t="n"/>
      <c r="U4058" s="113" t="n"/>
      <c r="V4058" s="113" t="n"/>
      <c r="W4058" s="113" t="n"/>
      <c r="X4058" s="113" t="n"/>
      <c r="Y4058" s="113" t="n"/>
      <c r="Z4058" s="117">
        <f>IF($B4058="",0,IF($S4058="EVET",IF($D4058="GELİR",$O4058,-$O4058),0))</f>
        <v/>
      </c>
      <c r="AA4058" s="117">
        <f>IF($B4058="",0,IF(OR($W4058="EVET",$X4058="EVET",$Y4058="EVET"),0,IF($D4058="GELİR",IF($E4058="SATIŞ İADESİ/İSKONTO",-$O4058,$O4058),-$O4058)))</f>
        <v/>
      </c>
      <c r="AB4058" s="117">
        <f>IF($B4058="","",IF(OR($D4058="",$E4058="",$O4058=""),"EKSİK",IF($O4058&lt;=0,"SIFIR/NEGATİF",IF(COUNTIFS($C$6:$C$5000,$C4058,$O$6:$O$5000,$O4058,$B$6:$B$5000,$B4058)&gt;1,"MÜKERRER","OK"))))</f>
        <v/>
      </c>
    </row>
    <row r="4059" ht="16.5" customHeight="1" s="80">
      <c r="A4059" s="113" t="n"/>
      <c r="B4059" s="113" t="n"/>
      <c r="C4059" s="113" t="n"/>
      <c r="D4059" s="113" t="n"/>
      <c r="E4059" s="113" t="n"/>
      <c r="F4059" s="113" t="n"/>
      <c r="G4059" s="113" t="n"/>
      <c r="H4059" s="113" t="n"/>
      <c r="I4059" s="113" t="n"/>
      <c r="J4059" s="113" t="n"/>
      <c r="K4059" s="113" t="n"/>
      <c r="L4059" s="113" t="n"/>
      <c r="M4059" s="113" t="n"/>
      <c r="N4059" s="113" t="n"/>
      <c r="O4059" s="113" t="n"/>
      <c r="P4059" s="113" t="n"/>
      <c r="Q4059" s="113" t="n"/>
      <c r="R4059" s="113" t="n"/>
      <c r="S4059" s="113" t="n"/>
      <c r="T4059" s="113" t="n"/>
      <c r="U4059" s="113" t="n"/>
      <c r="V4059" s="113" t="n"/>
      <c r="W4059" s="113" t="n"/>
      <c r="X4059" s="113" t="n"/>
      <c r="Y4059" s="113" t="n"/>
      <c r="Z4059" s="117">
        <f>IF($B4059="",0,IF($S4059="EVET",IF($D4059="GELİR",$O4059,-$O4059),0))</f>
        <v/>
      </c>
      <c r="AA4059" s="117">
        <f>IF($B4059="",0,IF(OR($W4059="EVET",$X4059="EVET",$Y4059="EVET"),0,IF($D4059="GELİR",IF($E4059="SATIŞ İADESİ/İSKONTO",-$O4059,$O4059),-$O4059)))</f>
        <v/>
      </c>
      <c r="AB4059" s="117">
        <f>IF($B4059="","",IF(OR($D4059="",$E4059="",$O4059=""),"EKSİK",IF($O4059&lt;=0,"SIFIR/NEGATİF",IF(COUNTIFS($C$6:$C$5000,$C4059,$O$6:$O$5000,$O4059,$B$6:$B$5000,$B4059)&gt;1,"MÜKERRER","OK"))))</f>
        <v/>
      </c>
    </row>
    <row r="4060" ht="16.5" customHeight="1" s="80">
      <c r="A4060" s="113" t="n"/>
      <c r="B4060" s="113" t="n"/>
      <c r="C4060" s="113" t="n"/>
      <c r="D4060" s="113" t="n"/>
      <c r="E4060" s="113" t="n"/>
      <c r="F4060" s="113" t="n"/>
      <c r="G4060" s="113" t="n"/>
      <c r="H4060" s="113" t="n"/>
      <c r="I4060" s="113" t="n"/>
      <c r="J4060" s="113" t="n"/>
      <c r="K4060" s="113" t="n"/>
      <c r="L4060" s="113" t="n"/>
      <c r="M4060" s="113" t="n"/>
      <c r="N4060" s="113" t="n"/>
      <c r="O4060" s="113" t="n"/>
      <c r="P4060" s="113" t="n"/>
      <c r="Q4060" s="113" t="n"/>
      <c r="R4060" s="113" t="n"/>
      <c r="S4060" s="113" t="n"/>
      <c r="T4060" s="113" t="n"/>
      <c r="U4060" s="113" t="n"/>
      <c r="V4060" s="113" t="n"/>
      <c r="W4060" s="113" t="n"/>
      <c r="X4060" s="113" t="n"/>
      <c r="Y4060" s="113" t="n"/>
      <c r="Z4060" s="117">
        <f>IF($B4060="",0,IF($S4060="EVET",IF($D4060="GELİR",$O4060,-$O4060),0))</f>
        <v/>
      </c>
      <c r="AA4060" s="117">
        <f>IF($B4060="",0,IF(OR($W4060="EVET",$X4060="EVET",$Y4060="EVET"),0,IF($D4060="GELİR",IF($E4060="SATIŞ İADESİ/İSKONTO",-$O4060,$O4060),-$O4060)))</f>
        <v/>
      </c>
      <c r="AB4060" s="117">
        <f>IF($B4060="","",IF(OR($D4060="",$E4060="",$O4060=""),"EKSİK",IF($O4060&lt;=0,"SIFIR/NEGATİF",IF(COUNTIFS($C$6:$C$5000,$C4060,$O$6:$O$5000,$O4060,$B$6:$B$5000,$B4060)&gt;1,"MÜKERRER","OK"))))</f>
        <v/>
      </c>
    </row>
    <row r="4061" ht="16.5" customHeight="1" s="80">
      <c r="A4061" s="113" t="n"/>
      <c r="B4061" s="113" t="n"/>
      <c r="C4061" s="113" t="n"/>
      <c r="D4061" s="113" t="n"/>
      <c r="E4061" s="113" t="n"/>
      <c r="F4061" s="113" t="n"/>
      <c r="G4061" s="113" t="n"/>
      <c r="H4061" s="113" t="n"/>
      <c r="I4061" s="113" t="n"/>
      <c r="J4061" s="113" t="n"/>
      <c r="K4061" s="113" t="n"/>
      <c r="L4061" s="113" t="n"/>
      <c r="M4061" s="113" t="n"/>
      <c r="N4061" s="113" t="n"/>
      <c r="O4061" s="113" t="n"/>
      <c r="P4061" s="113" t="n"/>
      <c r="Q4061" s="113" t="n"/>
      <c r="R4061" s="113" t="n"/>
      <c r="S4061" s="113" t="n"/>
      <c r="T4061" s="113" t="n"/>
      <c r="U4061" s="113" t="n"/>
      <c r="V4061" s="113" t="n"/>
      <c r="W4061" s="113" t="n"/>
      <c r="X4061" s="113" t="n"/>
      <c r="Y4061" s="113" t="n"/>
      <c r="Z4061" s="117">
        <f>IF($B4061="",0,IF($S4061="EVET",IF($D4061="GELİR",$O4061,-$O4061),0))</f>
        <v/>
      </c>
      <c r="AA4061" s="117">
        <f>IF($B4061="",0,IF(OR($W4061="EVET",$X4061="EVET",$Y4061="EVET"),0,IF($D4061="GELİR",IF($E4061="SATIŞ İADESİ/İSKONTO",-$O4061,$O4061),-$O4061)))</f>
        <v/>
      </c>
      <c r="AB4061" s="117">
        <f>IF($B4061="","",IF(OR($D4061="",$E4061="",$O4061=""),"EKSİK",IF($O4061&lt;=0,"SIFIR/NEGATİF",IF(COUNTIFS($C$6:$C$5000,$C4061,$O$6:$O$5000,$O4061,$B$6:$B$5000,$B4061)&gt;1,"MÜKERRER","OK"))))</f>
        <v/>
      </c>
    </row>
    <row r="4062" ht="16.5" customHeight="1" s="80">
      <c r="A4062" s="113" t="n"/>
      <c r="B4062" s="113" t="n"/>
      <c r="C4062" s="113" t="n"/>
      <c r="D4062" s="113" t="n"/>
      <c r="E4062" s="113" t="n"/>
      <c r="F4062" s="113" t="n"/>
      <c r="G4062" s="113" t="n"/>
      <c r="H4062" s="113" t="n"/>
      <c r="I4062" s="113" t="n"/>
      <c r="J4062" s="113" t="n"/>
      <c r="K4062" s="113" t="n"/>
      <c r="L4062" s="113" t="n"/>
      <c r="M4062" s="113" t="n"/>
      <c r="N4062" s="113" t="n"/>
      <c r="O4062" s="113" t="n"/>
      <c r="P4062" s="113" t="n"/>
      <c r="Q4062" s="113" t="n"/>
      <c r="R4062" s="113" t="n"/>
      <c r="S4062" s="113" t="n"/>
      <c r="T4062" s="113" t="n"/>
      <c r="U4062" s="113" t="n"/>
      <c r="V4062" s="113" t="n"/>
      <c r="W4062" s="113" t="n"/>
      <c r="X4062" s="113" t="n"/>
      <c r="Y4062" s="113" t="n"/>
      <c r="Z4062" s="117">
        <f>IF($B4062="",0,IF($S4062="EVET",IF($D4062="GELİR",$O4062,-$O4062),0))</f>
        <v/>
      </c>
      <c r="AA4062" s="117">
        <f>IF($B4062="",0,IF(OR($W4062="EVET",$X4062="EVET",$Y4062="EVET"),0,IF($D4062="GELİR",IF($E4062="SATIŞ İADESİ/İSKONTO",-$O4062,$O4062),-$O4062)))</f>
        <v/>
      </c>
      <c r="AB4062" s="117">
        <f>IF($B4062="","",IF(OR($D4062="",$E4062="",$O4062=""),"EKSİK",IF($O4062&lt;=0,"SIFIR/NEGATİF",IF(COUNTIFS($C$6:$C$5000,$C4062,$O$6:$O$5000,$O4062,$B$6:$B$5000,$B4062)&gt;1,"MÜKERRER","OK"))))</f>
        <v/>
      </c>
    </row>
    <row r="4063" ht="16.5" customHeight="1" s="80">
      <c r="A4063" s="113" t="n"/>
      <c r="B4063" s="113" t="n"/>
      <c r="C4063" s="113" t="n"/>
      <c r="D4063" s="113" t="n"/>
      <c r="E4063" s="113" t="n"/>
      <c r="F4063" s="113" t="n"/>
      <c r="G4063" s="113" t="n"/>
      <c r="H4063" s="113" t="n"/>
      <c r="I4063" s="113" t="n"/>
      <c r="J4063" s="113" t="n"/>
      <c r="K4063" s="113" t="n"/>
      <c r="L4063" s="113" t="n"/>
      <c r="M4063" s="113" t="n"/>
      <c r="N4063" s="113" t="n"/>
      <c r="O4063" s="113" t="n"/>
      <c r="P4063" s="113" t="n"/>
      <c r="Q4063" s="113" t="n"/>
      <c r="R4063" s="113" t="n"/>
      <c r="S4063" s="113" t="n"/>
      <c r="T4063" s="113" t="n"/>
      <c r="U4063" s="113" t="n"/>
      <c r="V4063" s="113" t="n"/>
      <c r="W4063" s="113" t="n"/>
      <c r="X4063" s="113" t="n"/>
      <c r="Y4063" s="113" t="n"/>
      <c r="Z4063" s="117">
        <f>IF($B4063="",0,IF($S4063="EVET",IF($D4063="GELİR",$O4063,-$O4063),0))</f>
        <v/>
      </c>
      <c r="AA4063" s="117">
        <f>IF($B4063="",0,IF(OR($W4063="EVET",$X4063="EVET",$Y4063="EVET"),0,IF($D4063="GELİR",IF($E4063="SATIŞ İADESİ/İSKONTO",-$O4063,$O4063),-$O4063)))</f>
        <v/>
      </c>
      <c r="AB4063" s="117">
        <f>IF($B4063="","",IF(OR($D4063="",$E4063="",$O4063=""),"EKSİK",IF($O4063&lt;=0,"SIFIR/NEGATİF",IF(COUNTIFS($C$6:$C$5000,$C4063,$O$6:$O$5000,$O4063,$B$6:$B$5000,$B4063)&gt;1,"MÜKERRER","OK"))))</f>
        <v/>
      </c>
    </row>
    <row r="4064" ht="16.5" customHeight="1" s="80">
      <c r="A4064" s="113" t="n"/>
      <c r="B4064" s="113" t="n"/>
      <c r="C4064" s="113" t="n"/>
      <c r="D4064" s="113" t="n"/>
      <c r="E4064" s="113" t="n"/>
      <c r="F4064" s="113" t="n"/>
      <c r="G4064" s="113" t="n"/>
      <c r="H4064" s="113" t="n"/>
      <c r="I4064" s="113" t="n"/>
      <c r="J4064" s="113" t="n"/>
      <c r="K4064" s="113" t="n"/>
      <c r="L4064" s="113" t="n"/>
      <c r="M4064" s="113" t="n"/>
      <c r="N4064" s="113" t="n"/>
      <c r="O4064" s="113" t="n"/>
      <c r="P4064" s="113" t="n"/>
      <c r="Q4064" s="113" t="n"/>
      <c r="R4064" s="113" t="n"/>
      <c r="S4064" s="113" t="n"/>
      <c r="T4064" s="113" t="n"/>
      <c r="U4064" s="113" t="n"/>
      <c r="V4064" s="113" t="n"/>
      <c r="W4064" s="113" t="n"/>
      <c r="X4064" s="113" t="n"/>
      <c r="Y4064" s="113" t="n"/>
      <c r="Z4064" s="117">
        <f>IF($B4064="",0,IF($S4064="EVET",IF($D4064="GELİR",$O4064,-$O4064),0))</f>
        <v/>
      </c>
      <c r="AA4064" s="117">
        <f>IF($B4064="",0,IF(OR($W4064="EVET",$X4064="EVET",$Y4064="EVET"),0,IF($D4064="GELİR",IF($E4064="SATIŞ İADESİ/İSKONTO",-$O4064,$O4064),-$O4064)))</f>
        <v/>
      </c>
      <c r="AB4064" s="117">
        <f>IF($B4064="","",IF(OR($D4064="",$E4064="",$O4064=""),"EKSİK",IF($O4064&lt;=0,"SIFIR/NEGATİF",IF(COUNTIFS($C$6:$C$5000,$C4064,$O$6:$O$5000,$O4064,$B$6:$B$5000,$B4064)&gt;1,"MÜKERRER","OK"))))</f>
        <v/>
      </c>
    </row>
    <row r="4065" ht="16.5" customHeight="1" s="80">
      <c r="A4065" s="113" t="n"/>
      <c r="B4065" s="113" t="n"/>
      <c r="C4065" s="113" t="n"/>
      <c r="D4065" s="113" t="n"/>
      <c r="E4065" s="113" t="n"/>
      <c r="F4065" s="113" t="n"/>
      <c r="G4065" s="113" t="n"/>
      <c r="H4065" s="113" t="n"/>
      <c r="I4065" s="113" t="n"/>
      <c r="J4065" s="113" t="n"/>
      <c r="K4065" s="113" t="n"/>
      <c r="L4065" s="113" t="n"/>
      <c r="M4065" s="113" t="n"/>
      <c r="N4065" s="113" t="n"/>
      <c r="O4065" s="113" t="n"/>
      <c r="P4065" s="113" t="n"/>
      <c r="Q4065" s="113" t="n"/>
      <c r="R4065" s="113" t="n"/>
      <c r="S4065" s="113" t="n"/>
      <c r="T4065" s="113" t="n"/>
      <c r="U4065" s="113" t="n"/>
      <c r="V4065" s="113" t="n"/>
      <c r="W4065" s="113" t="n"/>
      <c r="X4065" s="113" t="n"/>
      <c r="Y4065" s="113" t="n"/>
      <c r="Z4065" s="117">
        <f>IF($B4065="",0,IF($S4065="EVET",IF($D4065="GELİR",$O4065,-$O4065),0))</f>
        <v/>
      </c>
      <c r="AA4065" s="117">
        <f>IF($B4065="",0,IF(OR($W4065="EVET",$X4065="EVET",$Y4065="EVET"),0,IF($D4065="GELİR",IF($E4065="SATIŞ İADESİ/İSKONTO",-$O4065,$O4065),-$O4065)))</f>
        <v/>
      </c>
      <c r="AB4065" s="117">
        <f>IF($B4065="","",IF(OR($D4065="",$E4065="",$O4065=""),"EKSİK",IF($O4065&lt;=0,"SIFIR/NEGATİF",IF(COUNTIFS($C$6:$C$5000,$C4065,$O$6:$O$5000,$O4065,$B$6:$B$5000,$B4065)&gt;1,"MÜKERRER","OK"))))</f>
        <v/>
      </c>
    </row>
    <row r="4066" ht="16.5" customHeight="1" s="80">
      <c r="A4066" s="113" t="n"/>
      <c r="B4066" s="113" t="n"/>
      <c r="C4066" s="113" t="n"/>
      <c r="D4066" s="113" t="n"/>
      <c r="E4066" s="113" t="n"/>
      <c r="F4066" s="113" t="n"/>
      <c r="G4066" s="113" t="n"/>
      <c r="H4066" s="113" t="n"/>
      <c r="I4066" s="113" t="n"/>
      <c r="J4066" s="113" t="n"/>
      <c r="K4066" s="113" t="n"/>
      <c r="L4066" s="113" t="n"/>
      <c r="M4066" s="113" t="n"/>
      <c r="N4066" s="113" t="n"/>
      <c r="O4066" s="113" t="n"/>
      <c r="P4066" s="113" t="n"/>
      <c r="Q4066" s="113" t="n"/>
      <c r="R4066" s="113" t="n"/>
      <c r="S4066" s="113" t="n"/>
      <c r="T4066" s="113" t="n"/>
      <c r="U4066" s="113" t="n"/>
      <c r="V4066" s="113" t="n"/>
      <c r="W4066" s="113" t="n"/>
      <c r="X4066" s="113" t="n"/>
      <c r="Y4066" s="113" t="n"/>
      <c r="Z4066" s="117">
        <f>IF($B4066="",0,IF($S4066="EVET",IF($D4066="GELİR",$O4066,-$O4066),0))</f>
        <v/>
      </c>
      <c r="AA4066" s="117">
        <f>IF($B4066="",0,IF(OR($W4066="EVET",$X4066="EVET",$Y4066="EVET"),0,IF($D4066="GELİR",IF($E4066="SATIŞ İADESİ/İSKONTO",-$O4066,$O4066),-$O4066)))</f>
        <v/>
      </c>
      <c r="AB4066" s="117">
        <f>IF($B4066="","",IF(OR($D4066="",$E4066="",$O4066=""),"EKSİK",IF($O4066&lt;=0,"SIFIR/NEGATİF",IF(COUNTIFS($C$6:$C$5000,$C4066,$O$6:$O$5000,$O4066,$B$6:$B$5000,$B4066)&gt;1,"MÜKERRER","OK"))))</f>
        <v/>
      </c>
    </row>
    <row r="4067" ht="16.5" customHeight="1" s="80">
      <c r="A4067" s="113" t="n"/>
      <c r="B4067" s="113" t="n"/>
      <c r="C4067" s="113" t="n"/>
      <c r="D4067" s="113" t="n"/>
      <c r="E4067" s="113" t="n"/>
      <c r="F4067" s="113" t="n"/>
      <c r="G4067" s="113" t="n"/>
      <c r="H4067" s="113" t="n"/>
      <c r="I4067" s="113" t="n"/>
      <c r="J4067" s="113" t="n"/>
      <c r="K4067" s="113" t="n"/>
      <c r="L4067" s="113" t="n"/>
      <c r="M4067" s="113" t="n"/>
      <c r="N4067" s="113" t="n"/>
      <c r="O4067" s="113" t="n"/>
      <c r="P4067" s="113" t="n"/>
      <c r="Q4067" s="113" t="n"/>
      <c r="R4067" s="113" t="n"/>
      <c r="S4067" s="113" t="n"/>
      <c r="T4067" s="113" t="n"/>
      <c r="U4067" s="113" t="n"/>
      <c r="V4067" s="113" t="n"/>
      <c r="W4067" s="113" t="n"/>
      <c r="X4067" s="113" t="n"/>
      <c r="Y4067" s="113" t="n"/>
      <c r="Z4067" s="117">
        <f>IF($B4067="",0,IF($S4067="EVET",IF($D4067="GELİR",$O4067,-$O4067),0))</f>
        <v/>
      </c>
      <c r="AA4067" s="117">
        <f>IF($B4067="",0,IF(OR($W4067="EVET",$X4067="EVET",$Y4067="EVET"),0,IF($D4067="GELİR",IF($E4067="SATIŞ İADESİ/İSKONTO",-$O4067,$O4067),-$O4067)))</f>
        <v/>
      </c>
      <c r="AB4067" s="117">
        <f>IF($B4067="","",IF(OR($D4067="",$E4067="",$O4067=""),"EKSİK",IF($O4067&lt;=0,"SIFIR/NEGATİF",IF(COUNTIFS($C$6:$C$5000,$C4067,$O$6:$O$5000,$O4067,$B$6:$B$5000,$B4067)&gt;1,"MÜKERRER","OK"))))</f>
        <v/>
      </c>
    </row>
    <row r="4068" ht="16.5" customHeight="1" s="80">
      <c r="A4068" s="113" t="n"/>
      <c r="B4068" s="113" t="n"/>
      <c r="C4068" s="113" t="n"/>
      <c r="D4068" s="113" t="n"/>
      <c r="E4068" s="113" t="n"/>
      <c r="F4068" s="113" t="n"/>
      <c r="G4068" s="113" t="n"/>
      <c r="H4068" s="113" t="n"/>
      <c r="I4068" s="113" t="n"/>
      <c r="J4068" s="113" t="n"/>
      <c r="K4068" s="113" t="n"/>
      <c r="L4068" s="113" t="n"/>
      <c r="M4068" s="113" t="n"/>
      <c r="N4068" s="113" t="n"/>
      <c r="O4068" s="113" t="n"/>
      <c r="P4068" s="113" t="n"/>
      <c r="Q4068" s="113" t="n"/>
      <c r="R4068" s="113" t="n"/>
      <c r="S4068" s="113" t="n"/>
      <c r="T4068" s="113" t="n"/>
      <c r="U4068" s="113" t="n"/>
      <c r="V4068" s="113" t="n"/>
      <c r="W4068" s="113" t="n"/>
      <c r="X4068" s="113" t="n"/>
      <c r="Y4068" s="113" t="n"/>
      <c r="Z4068" s="117">
        <f>IF($B4068="",0,IF($S4068="EVET",IF($D4068="GELİR",$O4068,-$O4068),0))</f>
        <v/>
      </c>
      <c r="AA4068" s="117">
        <f>IF($B4068="",0,IF(OR($W4068="EVET",$X4068="EVET",$Y4068="EVET"),0,IF($D4068="GELİR",IF($E4068="SATIŞ İADESİ/İSKONTO",-$O4068,$O4068),-$O4068)))</f>
        <v/>
      </c>
      <c r="AB4068" s="117">
        <f>IF($B4068="","",IF(OR($D4068="",$E4068="",$O4068=""),"EKSİK",IF($O4068&lt;=0,"SIFIR/NEGATİF",IF(COUNTIFS($C$6:$C$5000,$C4068,$O$6:$O$5000,$O4068,$B$6:$B$5000,$B4068)&gt;1,"MÜKERRER","OK"))))</f>
        <v/>
      </c>
    </row>
    <row r="4069" ht="16.5" customHeight="1" s="80">
      <c r="A4069" s="113" t="n"/>
      <c r="B4069" s="113" t="n"/>
      <c r="C4069" s="113" t="n"/>
      <c r="D4069" s="113" t="n"/>
      <c r="E4069" s="113" t="n"/>
      <c r="F4069" s="113" t="n"/>
      <c r="G4069" s="113" t="n"/>
      <c r="H4069" s="113" t="n"/>
      <c r="I4069" s="113" t="n"/>
      <c r="J4069" s="113" t="n"/>
      <c r="K4069" s="113" t="n"/>
      <c r="L4069" s="113" t="n"/>
      <c r="M4069" s="113" t="n"/>
      <c r="N4069" s="113" t="n"/>
      <c r="O4069" s="113" t="n"/>
      <c r="P4069" s="113" t="n"/>
      <c r="Q4069" s="113" t="n"/>
      <c r="R4069" s="113" t="n"/>
      <c r="S4069" s="113" t="n"/>
      <c r="T4069" s="113" t="n"/>
      <c r="U4069" s="113" t="n"/>
      <c r="V4069" s="113" t="n"/>
      <c r="W4069" s="113" t="n"/>
      <c r="X4069" s="113" t="n"/>
      <c r="Y4069" s="113" t="n"/>
      <c r="Z4069" s="117">
        <f>IF($B4069="",0,IF($S4069="EVET",IF($D4069="GELİR",$O4069,-$O4069),0))</f>
        <v/>
      </c>
      <c r="AA4069" s="117">
        <f>IF($B4069="",0,IF(OR($W4069="EVET",$X4069="EVET",$Y4069="EVET"),0,IF($D4069="GELİR",IF($E4069="SATIŞ İADESİ/İSKONTO",-$O4069,$O4069),-$O4069)))</f>
        <v/>
      </c>
      <c r="AB4069" s="117">
        <f>IF($B4069="","",IF(OR($D4069="",$E4069="",$O4069=""),"EKSİK",IF($O4069&lt;=0,"SIFIR/NEGATİF",IF(COUNTIFS($C$6:$C$5000,$C4069,$O$6:$O$5000,$O4069,$B$6:$B$5000,$B4069)&gt;1,"MÜKERRER","OK"))))</f>
        <v/>
      </c>
    </row>
    <row r="4070" ht="16.5" customHeight="1" s="80">
      <c r="A4070" s="113" t="n"/>
      <c r="B4070" s="113" t="n"/>
      <c r="C4070" s="113" t="n"/>
      <c r="D4070" s="113" t="n"/>
      <c r="E4070" s="113" t="n"/>
      <c r="F4070" s="113" t="n"/>
      <c r="G4070" s="113" t="n"/>
      <c r="H4070" s="113" t="n"/>
      <c r="I4070" s="113" t="n"/>
      <c r="J4070" s="113" t="n"/>
      <c r="K4070" s="113" t="n"/>
      <c r="L4070" s="113" t="n"/>
      <c r="M4070" s="113" t="n"/>
      <c r="N4070" s="113" t="n"/>
      <c r="O4070" s="113" t="n"/>
      <c r="P4070" s="113" t="n"/>
      <c r="Q4070" s="113" t="n"/>
      <c r="R4070" s="113" t="n"/>
      <c r="S4070" s="113" t="n"/>
      <c r="T4070" s="113" t="n"/>
      <c r="U4070" s="113" t="n"/>
      <c r="V4070" s="113" t="n"/>
      <c r="W4070" s="113" t="n"/>
      <c r="X4070" s="113" t="n"/>
      <c r="Y4070" s="113" t="n"/>
      <c r="Z4070" s="117">
        <f>IF($B4070="",0,IF($S4070="EVET",IF($D4070="GELİR",$O4070,-$O4070),0))</f>
        <v/>
      </c>
      <c r="AA4070" s="117">
        <f>IF($B4070="",0,IF(OR($W4070="EVET",$X4070="EVET",$Y4070="EVET"),0,IF($D4070="GELİR",IF($E4070="SATIŞ İADESİ/İSKONTO",-$O4070,$O4070),-$O4070)))</f>
        <v/>
      </c>
      <c r="AB4070" s="117">
        <f>IF($B4070="","",IF(OR($D4070="",$E4070="",$O4070=""),"EKSİK",IF($O4070&lt;=0,"SIFIR/NEGATİF",IF(COUNTIFS($C$6:$C$5000,$C4070,$O$6:$O$5000,$O4070,$B$6:$B$5000,$B4070)&gt;1,"MÜKERRER","OK"))))</f>
        <v/>
      </c>
    </row>
    <row r="4071" ht="16.5" customHeight="1" s="80">
      <c r="A4071" s="113" t="n"/>
      <c r="B4071" s="113" t="n"/>
      <c r="C4071" s="113" t="n"/>
      <c r="D4071" s="113" t="n"/>
      <c r="E4071" s="113" t="n"/>
      <c r="F4071" s="113" t="n"/>
      <c r="G4071" s="113" t="n"/>
      <c r="H4071" s="113" t="n"/>
      <c r="I4071" s="113" t="n"/>
      <c r="J4071" s="113" t="n"/>
      <c r="K4071" s="113" t="n"/>
      <c r="L4071" s="113" t="n"/>
      <c r="M4071" s="113" t="n"/>
      <c r="N4071" s="113" t="n"/>
      <c r="O4071" s="113" t="n"/>
      <c r="P4071" s="113" t="n"/>
      <c r="Q4071" s="113" t="n"/>
      <c r="R4071" s="113" t="n"/>
      <c r="S4071" s="113" t="n"/>
      <c r="T4071" s="113" t="n"/>
      <c r="U4071" s="113" t="n"/>
      <c r="V4071" s="113" t="n"/>
      <c r="W4071" s="113" t="n"/>
      <c r="X4071" s="113" t="n"/>
      <c r="Y4071" s="113" t="n"/>
      <c r="Z4071" s="117">
        <f>IF($B4071="",0,IF($S4071="EVET",IF($D4071="GELİR",$O4071,-$O4071),0))</f>
        <v/>
      </c>
      <c r="AA4071" s="117">
        <f>IF($B4071="",0,IF(OR($W4071="EVET",$X4071="EVET",$Y4071="EVET"),0,IF($D4071="GELİR",IF($E4071="SATIŞ İADESİ/İSKONTO",-$O4071,$O4071),-$O4071)))</f>
        <v/>
      </c>
      <c r="AB4071" s="117">
        <f>IF($B4071="","",IF(OR($D4071="",$E4071="",$O4071=""),"EKSİK",IF($O4071&lt;=0,"SIFIR/NEGATİF",IF(COUNTIFS($C$6:$C$5000,$C4071,$O$6:$O$5000,$O4071,$B$6:$B$5000,$B4071)&gt;1,"MÜKERRER","OK"))))</f>
        <v/>
      </c>
    </row>
    <row r="4072" ht="16.5" customHeight="1" s="80">
      <c r="A4072" s="113" t="n"/>
      <c r="B4072" s="113" t="n"/>
      <c r="C4072" s="113" t="n"/>
      <c r="D4072" s="113" t="n"/>
      <c r="E4072" s="113" t="n"/>
      <c r="F4072" s="113" t="n"/>
      <c r="G4072" s="113" t="n"/>
      <c r="H4072" s="113" t="n"/>
      <c r="I4072" s="113" t="n"/>
      <c r="J4072" s="113" t="n"/>
      <c r="K4072" s="113" t="n"/>
      <c r="L4072" s="113" t="n"/>
      <c r="M4072" s="113" t="n"/>
      <c r="N4072" s="113" t="n"/>
      <c r="O4072" s="113" t="n"/>
      <c r="P4072" s="113" t="n"/>
      <c r="Q4072" s="113" t="n"/>
      <c r="R4072" s="113" t="n"/>
      <c r="S4072" s="113" t="n"/>
      <c r="T4072" s="113" t="n"/>
      <c r="U4072" s="113" t="n"/>
      <c r="V4072" s="113" t="n"/>
      <c r="W4072" s="113" t="n"/>
      <c r="X4072" s="113" t="n"/>
      <c r="Y4072" s="113" t="n"/>
      <c r="Z4072" s="117">
        <f>IF($B4072="",0,IF($S4072="EVET",IF($D4072="GELİR",$O4072,-$O4072),0))</f>
        <v/>
      </c>
      <c r="AA4072" s="117">
        <f>IF($B4072="",0,IF(OR($W4072="EVET",$X4072="EVET",$Y4072="EVET"),0,IF($D4072="GELİR",IF($E4072="SATIŞ İADESİ/İSKONTO",-$O4072,$O4072),-$O4072)))</f>
        <v/>
      </c>
      <c r="AB4072" s="117">
        <f>IF($B4072="","",IF(OR($D4072="",$E4072="",$O4072=""),"EKSİK",IF($O4072&lt;=0,"SIFIR/NEGATİF",IF(COUNTIFS($C$6:$C$5000,$C4072,$O$6:$O$5000,$O4072,$B$6:$B$5000,$B4072)&gt;1,"MÜKERRER","OK"))))</f>
        <v/>
      </c>
    </row>
    <row r="4073" ht="16.5" customHeight="1" s="80">
      <c r="A4073" s="113" t="n"/>
      <c r="B4073" s="113" t="n"/>
      <c r="C4073" s="113" t="n"/>
      <c r="D4073" s="113" t="n"/>
      <c r="E4073" s="113" t="n"/>
      <c r="F4073" s="113" t="n"/>
      <c r="G4073" s="113" t="n"/>
      <c r="H4073" s="113" t="n"/>
      <c r="I4073" s="113" t="n"/>
      <c r="J4073" s="113" t="n"/>
      <c r="K4073" s="113" t="n"/>
      <c r="L4073" s="113" t="n"/>
      <c r="M4073" s="113" t="n"/>
      <c r="N4073" s="113" t="n"/>
      <c r="O4073" s="113" t="n"/>
      <c r="P4073" s="113" t="n"/>
      <c r="Q4073" s="113" t="n"/>
      <c r="R4073" s="113" t="n"/>
      <c r="S4073" s="113" t="n"/>
      <c r="T4073" s="113" t="n"/>
      <c r="U4073" s="113" t="n"/>
      <c r="V4073" s="113" t="n"/>
      <c r="W4073" s="113" t="n"/>
      <c r="X4073" s="113" t="n"/>
      <c r="Y4073" s="113" t="n"/>
      <c r="Z4073" s="117">
        <f>IF($B4073="",0,IF($S4073="EVET",IF($D4073="GELİR",$O4073,-$O4073),0))</f>
        <v/>
      </c>
      <c r="AA4073" s="117">
        <f>IF($B4073="",0,IF(OR($W4073="EVET",$X4073="EVET",$Y4073="EVET"),0,IF($D4073="GELİR",IF($E4073="SATIŞ İADESİ/İSKONTO",-$O4073,$O4073),-$O4073)))</f>
        <v/>
      </c>
      <c r="AB4073" s="117">
        <f>IF($B4073="","",IF(OR($D4073="",$E4073="",$O4073=""),"EKSİK",IF($O4073&lt;=0,"SIFIR/NEGATİF",IF(COUNTIFS($C$6:$C$5000,$C4073,$O$6:$O$5000,$O4073,$B$6:$B$5000,$B4073)&gt;1,"MÜKERRER","OK"))))</f>
        <v/>
      </c>
    </row>
    <row r="4074" ht="16.5" customHeight="1" s="80">
      <c r="A4074" s="113" t="n"/>
      <c r="B4074" s="113" t="n"/>
      <c r="C4074" s="113" t="n"/>
      <c r="D4074" s="113" t="n"/>
      <c r="E4074" s="113" t="n"/>
      <c r="F4074" s="113" t="n"/>
      <c r="G4074" s="113" t="n"/>
      <c r="H4074" s="113" t="n"/>
      <c r="I4074" s="113" t="n"/>
      <c r="J4074" s="113" t="n"/>
      <c r="K4074" s="113" t="n"/>
      <c r="L4074" s="113" t="n"/>
      <c r="M4074" s="113" t="n"/>
      <c r="N4074" s="113" t="n"/>
      <c r="O4074" s="113" t="n"/>
      <c r="P4074" s="113" t="n"/>
      <c r="Q4074" s="113" t="n"/>
      <c r="R4074" s="113" t="n"/>
      <c r="S4074" s="113" t="n"/>
      <c r="T4074" s="113" t="n"/>
      <c r="U4074" s="113" t="n"/>
      <c r="V4074" s="113" t="n"/>
      <c r="W4074" s="113" t="n"/>
      <c r="X4074" s="113" t="n"/>
      <c r="Y4074" s="113" t="n"/>
      <c r="Z4074" s="117">
        <f>IF($B4074="",0,IF($S4074="EVET",IF($D4074="GELİR",$O4074,-$O4074),0))</f>
        <v/>
      </c>
      <c r="AA4074" s="117">
        <f>IF($B4074="",0,IF(OR($W4074="EVET",$X4074="EVET",$Y4074="EVET"),0,IF($D4074="GELİR",IF($E4074="SATIŞ İADESİ/İSKONTO",-$O4074,$O4074),-$O4074)))</f>
        <v/>
      </c>
      <c r="AB4074" s="117">
        <f>IF($B4074="","",IF(OR($D4074="",$E4074="",$O4074=""),"EKSİK",IF($O4074&lt;=0,"SIFIR/NEGATİF",IF(COUNTIFS($C$6:$C$5000,$C4074,$O$6:$O$5000,$O4074,$B$6:$B$5000,$B4074)&gt;1,"MÜKERRER","OK"))))</f>
        <v/>
      </c>
    </row>
    <row r="4075" ht="16.5" customHeight="1" s="80">
      <c r="A4075" s="113" t="n"/>
      <c r="B4075" s="113" t="n"/>
      <c r="C4075" s="113" t="n"/>
      <c r="D4075" s="113" t="n"/>
      <c r="E4075" s="113" t="n"/>
      <c r="F4075" s="113" t="n"/>
      <c r="G4075" s="113" t="n"/>
      <c r="H4075" s="113" t="n"/>
      <c r="I4075" s="113" t="n"/>
      <c r="J4075" s="113" t="n"/>
      <c r="K4075" s="113" t="n"/>
      <c r="L4075" s="113" t="n"/>
      <c r="M4075" s="113" t="n"/>
      <c r="N4075" s="113" t="n"/>
      <c r="O4075" s="113" t="n"/>
      <c r="P4075" s="113" t="n"/>
      <c r="Q4075" s="113" t="n"/>
      <c r="R4075" s="113" t="n"/>
      <c r="S4075" s="113" t="n"/>
      <c r="T4075" s="113" t="n"/>
      <c r="U4075" s="113" t="n"/>
      <c r="V4075" s="113" t="n"/>
      <c r="W4075" s="113" t="n"/>
      <c r="X4075" s="113" t="n"/>
      <c r="Y4075" s="113" t="n"/>
      <c r="Z4075" s="117">
        <f>IF($B4075="",0,IF($S4075="EVET",IF($D4075="GELİR",$O4075,-$O4075),0))</f>
        <v/>
      </c>
      <c r="AA4075" s="117">
        <f>IF($B4075="",0,IF(OR($W4075="EVET",$X4075="EVET",$Y4075="EVET"),0,IF($D4075="GELİR",IF($E4075="SATIŞ İADESİ/İSKONTO",-$O4075,$O4075),-$O4075)))</f>
        <v/>
      </c>
      <c r="AB4075" s="117">
        <f>IF($B4075="","",IF(OR($D4075="",$E4075="",$O4075=""),"EKSİK",IF($O4075&lt;=0,"SIFIR/NEGATİF",IF(COUNTIFS($C$6:$C$5000,$C4075,$O$6:$O$5000,$O4075,$B$6:$B$5000,$B4075)&gt;1,"MÜKERRER","OK"))))</f>
        <v/>
      </c>
    </row>
    <row r="4076" ht="16.5" customHeight="1" s="80">
      <c r="A4076" s="113" t="n"/>
      <c r="B4076" s="113" t="n"/>
      <c r="C4076" s="113" t="n"/>
      <c r="D4076" s="113" t="n"/>
      <c r="E4076" s="113" t="n"/>
      <c r="F4076" s="113" t="n"/>
      <c r="G4076" s="113" t="n"/>
      <c r="H4076" s="113" t="n"/>
      <c r="I4076" s="113" t="n"/>
      <c r="J4076" s="113" t="n"/>
      <c r="K4076" s="113" t="n"/>
      <c r="L4076" s="113" t="n"/>
      <c r="M4076" s="113" t="n"/>
      <c r="N4076" s="113" t="n"/>
      <c r="O4076" s="113" t="n"/>
      <c r="P4076" s="113" t="n"/>
      <c r="Q4076" s="113" t="n"/>
      <c r="R4076" s="113" t="n"/>
      <c r="S4076" s="113" t="n"/>
      <c r="T4076" s="113" t="n"/>
      <c r="U4076" s="113" t="n"/>
      <c r="V4076" s="113" t="n"/>
      <c r="W4076" s="113" t="n"/>
      <c r="X4076" s="113" t="n"/>
      <c r="Y4076" s="113" t="n"/>
      <c r="Z4076" s="117">
        <f>IF($B4076="",0,IF($S4076="EVET",IF($D4076="GELİR",$O4076,-$O4076),0))</f>
        <v/>
      </c>
      <c r="AA4076" s="117">
        <f>IF($B4076="",0,IF(OR($W4076="EVET",$X4076="EVET",$Y4076="EVET"),0,IF($D4076="GELİR",IF($E4076="SATIŞ İADESİ/İSKONTO",-$O4076,$O4076),-$O4076)))</f>
        <v/>
      </c>
      <c r="AB4076" s="117">
        <f>IF($B4076="","",IF(OR($D4076="",$E4076="",$O4076=""),"EKSİK",IF($O4076&lt;=0,"SIFIR/NEGATİF",IF(COUNTIFS($C$6:$C$5000,$C4076,$O$6:$O$5000,$O4076,$B$6:$B$5000,$B4076)&gt;1,"MÜKERRER","OK"))))</f>
        <v/>
      </c>
    </row>
    <row r="4077" ht="16.5" customHeight="1" s="80">
      <c r="A4077" s="113" t="n"/>
      <c r="B4077" s="113" t="n"/>
      <c r="C4077" s="113" t="n"/>
      <c r="D4077" s="113" t="n"/>
      <c r="E4077" s="113" t="n"/>
      <c r="F4077" s="113" t="n"/>
      <c r="G4077" s="113" t="n"/>
      <c r="H4077" s="113" t="n"/>
      <c r="I4077" s="113" t="n"/>
      <c r="J4077" s="113" t="n"/>
      <c r="K4077" s="113" t="n"/>
      <c r="L4077" s="113" t="n"/>
      <c r="M4077" s="113" t="n"/>
      <c r="N4077" s="113" t="n"/>
      <c r="O4077" s="113" t="n"/>
      <c r="P4077" s="113" t="n"/>
      <c r="Q4077" s="113" t="n"/>
      <c r="R4077" s="113" t="n"/>
      <c r="S4077" s="113" t="n"/>
      <c r="T4077" s="113" t="n"/>
      <c r="U4077" s="113" t="n"/>
      <c r="V4077" s="113" t="n"/>
      <c r="W4077" s="113" t="n"/>
      <c r="X4077" s="113" t="n"/>
      <c r="Y4077" s="113" t="n"/>
      <c r="Z4077" s="117">
        <f>IF($B4077="",0,IF($S4077="EVET",IF($D4077="GELİR",$O4077,-$O4077),0))</f>
        <v/>
      </c>
      <c r="AA4077" s="117">
        <f>IF($B4077="",0,IF(OR($W4077="EVET",$X4077="EVET",$Y4077="EVET"),0,IF($D4077="GELİR",IF($E4077="SATIŞ İADESİ/İSKONTO",-$O4077,$O4077),-$O4077)))</f>
        <v/>
      </c>
      <c r="AB4077" s="117">
        <f>IF($B4077="","",IF(OR($D4077="",$E4077="",$O4077=""),"EKSİK",IF($O4077&lt;=0,"SIFIR/NEGATİF",IF(COUNTIFS($C$6:$C$5000,$C4077,$O$6:$O$5000,$O4077,$B$6:$B$5000,$B4077)&gt;1,"MÜKERRER","OK"))))</f>
        <v/>
      </c>
    </row>
    <row r="4078" ht="16.5" customHeight="1" s="80">
      <c r="A4078" s="113" t="n"/>
      <c r="B4078" s="113" t="n"/>
      <c r="C4078" s="113" t="n"/>
      <c r="D4078" s="113" t="n"/>
      <c r="E4078" s="113" t="n"/>
      <c r="F4078" s="113" t="n"/>
      <c r="G4078" s="113" t="n"/>
      <c r="H4078" s="113" t="n"/>
      <c r="I4078" s="113" t="n"/>
      <c r="J4078" s="113" t="n"/>
      <c r="K4078" s="113" t="n"/>
      <c r="L4078" s="113" t="n"/>
      <c r="M4078" s="113" t="n"/>
      <c r="N4078" s="113" t="n"/>
      <c r="O4078" s="113" t="n"/>
      <c r="P4078" s="113" t="n"/>
      <c r="Q4078" s="113" t="n"/>
      <c r="R4078" s="113" t="n"/>
      <c r="S4078" s="113" t="n"/>
      <c r="T4078" s="113" t="n"/>
      <c r="U4078" s="113" t="n"/>
      <c r="V4078" s="113" t="n"/>
      <c r="W4078" s="113" t="n"/>
      <c r="X4078" s="113" t="n"/>
      <c r="Y4078" s="113" t="n"/>
      <c r="Z4078" s="117">
        <f>IF($B4078="",0,IF($S4078="EVET",IF($D4078="GELİR",$O4078,-$O4078),0))</f>
        <v/>
      </c>
      <c r="AA4078" s="117">
        <f>IF($B4078="",0,IF(OR($W4078="EVET",$X4078="EVET",$Y4078="EVET"),0,IF($D4078="GELİR",IF($E4078="SATIŞ İADESİ/İSKONTO",-$O4078,$O4078),-$O4078)))</f>
        <v/>
      </c>
      <c r="AB4078" s="117">
        <f>IF($B4078="","",IF(OR($D4078="",$E4078="",$O4078=""),"EKSİK",IF($O4078&lt;=0,"SIFIR/NEGATİF",IF(COUNTIFS($C$6:$C$5000,$C4078,$O$6:$O$5000,$O4078,$B$6:$B$5000,$B4078)&gt;1,"MÜKERRER","OK"))))</f>
        <v/>
      </c>
    </row>
    <row r="4079" ht="16.5" customHeight="1" s="80">
      <c r="A4079" s="113" t="n"/>
      <c r="B4079" s="113" t="n"/>
      <c r="C4079" s="113" t="n"/>
      <c r="D4079" s="113" t="n"/>
      <c r="E4079" s="113" t="n"/>
      <c r="F4079" s="113" t="n"/>
      <c r="G4079" s="113" t="n"/>
      <c r="H4079" s="113" t="n"/>
      <c r="I4079" s="113" t="n"/>
      <c r="J4079" s="113" t="n"/>
      <c r="K4079" s="113" t="n"/>
      <c r="L4079" s="113" t="n"/>
      <c r="M4079" s="113" t="n"/>
      <c r="N4079" s="113" t="n"/>
      <c r="O4079" s="113" t="n"/>
      <c r="P4079" s="113" t="n"/>
      <c r="Q4079" s="113" t="n"/>
      <c r="R4079" s="113" t="n"/>
      <c r="S4079" s="113" t="n"/>
      <c r="T4079" s="113" t="n"/>
      <c r="U4079" s="113" t="n"/>
      <c r="V4079" s="113" t="n"/>
      <c r="W4079" s="113" t="n"/>
      <c r="X4079" s="113" t="n"/>
      <c r="Y4079" s="113" t="n"/>
      <c r="Z4079" s="117">
        <f>IF($B4079="",0,IF($S4079="EVET",IF($D4079="GELİR",$O4079,-$O4079),0))</f>
        <v/>
      </c>
      <c r="AA4079" s="117">
        <f>IF($B4079="",0,IF(OR($W4079="EVET",$X4079="EVET",$Y4079="EVET"),0,IF($D4079="GELİR",IF($E4079="SATIŞ İADESİ/İSKONTO",-$O4079,$O4079),-$O4079)))</f>
        <v/>
      </c>
      <c r="AB4079" s="117">
        <f>IF($B4079="","",IF(OR($D4079="",$E4079="",$O4079=""),"EKSİK",IF($O4079&lt;=0,"SIFIR/NEGATİF",IF(COUNTIFS($C$6:$C$5000,$C4079,$O$6:$O$5000,$O4079,$B$6:$B$5000,$B4079)&gt;1,"MÜKERRER","OK"))))</f>
        <v/>
      </c>
    </row>
    <row r="4080" ht="16.5" customHeight="1" s="80">
      <c r="A4080" s="113" t="n"/>
      <c r="B4080" s="113" t="n"/>
      <c r="C4080" s="113" t="n"/>
      <c r="D4080" s="113" t="n"/>
      <c r="E4080" s="113" t="n"/>
      <c r="F4080" s="113" t="n"/>
      <c r="G4080" s="113" t="n"/>
      <c r="H4080" s="113" t="n"/>
      <c r="I4080" s="113" t="n"/>
      <c r="J4080" s="113" t="n"/>
      <c r="K4080" s="113" t="n"/>
      <c r="L4080" s="113" t="n"/>
      <c r="M4080" s="113" t="n"/>
      <c r="N4080" s="113" t="n"/>
      <c r="O4080" s="113" t="n"/>
      <c r="P4080" s="113" t="n"/>
      <c r="Q4080" s="113" t="n"/>
      <c r="R4080" s="113" t="n"/>
      <c r="S4080" s="113" t="n"/>
      <c r="T4080" s="113" t="n"/>
      <c r="U4080" s="113" t="n"/>
      <c r="V4080" s="113" t="n"/>
      <c r="W4080" s="113" t="n"/>
      <c r="X4080" s="113" t="n"/>
      <c r="Y4080" s="113" t="n"/>
      <c r="Z4080" s="117">
        <f>IF($B4080="",0,IF($S4080="EVET",IF($D4080="GELİR",$O4080,-$O4080),0))</f>
        <v/>
      </c>
      <c r="AA4080" s="117">
        <f>IF($B4080="",0,IF(OR($W4080="EVET",$X4080="EVET",$Y4080="EVET"),0,IF($D4080="GELİR",IF($E4080="SATIŞ İADESİ/İSKONTO",-$O4080,$O4080),-$O4080)))</f>
        <v/>
      </c>
      <c r="AB4080" s="117">
        <f>IF($B4080="","",IF(OR($D4080="",$E4080="",$O4080=""),"EKSİK",IF($O4080&lt;=0,"SIFIR/NEGATİF",IF(COUNTIFS($C$6:$C$5000,$C4080,$O$6:$O$5000,$O4080,$B$6:$B$5000,$B4080)&gt;1,"MÜKERRER","OK"))))</f>
        <v/>
      </c>
    </row>
    <row r="4081" ht="16.5" customHeight="1" s="80">
      <c r="A4081" s="113" t="n"/>
      <c r="B4081" s="113" t="n"/>
      <c r="C4081" s="113" t="n"/>
      <c r="D4081" s="113" t="n"/>
      <c r="E4081" s="113" t="n"/>
      <c r="F4081" s="113" t="n"/>
      <c r="G4081" s="113" t="n"/>
      <c r="H4081" s="113" t="n"/>
      <c r="I4081" s="113" t="n"/>
      <c r="J4081" s="113" t="n"/>
      <c r="K4081" s="113" t="n"/>
      <c r="L4081" s="113" t="n"/>
      <c r="M4081" s="113" t="n"/>
      <c r="N4081" s="113" t="n"/>
      <c r="O4081" s="113" t="n"/>
      <c r="P4081" s="113" t="n"/>
      <c r="Q4081" s="113" t="n"/>
      <c r="R4081" s="113" t="n"/>
      <c r="S4081" s="113" t="n"/>
      <c r="T4081" s="113" t="n"/>
      <c r="U4081" s="113" t="n"/>
      <c r="V4081" s="113" t="n"/>
      <c r="W4081" s="113" t="n"/>
      <c r="X4081" s="113" t="n"/>
      <c r="Y4081" s="113" t="n"/>
      <c r="Z4081" s="117">
        <f>IF($B4081="",0,IF($S4081="EVET",IF($D4081="GELİR",$O4081,-$O4081),0))</f>
        <v/>
      </c>
      <c r="AA4081" s="117">
        <f>IF($B4081="",0,IF(OR($W4081="EVET",$X4081="EVET",$Y4081="EVET"),0,IF($D4081="GELİR",IF($E4081="SATIŞ İADESİ/İSKONTO",-$O4081,$O4081),-$O4081)))</f>
        <v/>
      </c>
      <c r="AB4081" s="117">
        <f>IF($B4081="","",IF(OR($D4081="",$E4081="",$O4081=""),"EKSİK",IF($O4081&lt;=0,"SIFIR/NEGATİF",IF(COUNTIFS($C$6:$C$5000,$C4081,$O$6:$O$5000,$O4081,$B$6:$B$5000,$B4081)&gt;1,"MÜKERRER","OK"))))</f>
        <v/>
      </c>
    </row>
    <row r="4082" ht="16.5" customHeight="1" s="80">
      <c r="A4082" s="113" t="n"/>
      <c r="B4082" s="113" t="n"/>
      <c r="C4082" s="113" t="n"/>
      <c r="D4082" s="113" t="n"/>
      <c r="E4082" s="113" t="n"/>
      <c r="F4082" s="113" t="n"/>
      <c r="G4082" s="113" t="n"/>
      <c r="H4082" s="113" t="n"/>
      <c r="I4082" s="113" t="n"/>
      <c r="J4082" s="113" t="n"/>
      <c r="K4082" s="113" t="n"/>
      <c r="L4082" s="113" t="n"/>
      <c r="M4082" s="113" t="n"/>
      <c r="N4082" s="113" t="n"/>
      <c r="O4082" s="113" t="n"/>
      <c r="P4082" s="113" t="n"/>
      <c r="Q4082" s="113" t="n"/>
      <c r="R4082" s="113" t="n"/>
      <c r="S4082" s="113" t="n"/>
      <c r="T4082" s="113" t="n"/>
      <c r="U4082" s="113" t="n"/>
      <c r="V4082" s="113" t="n"/>
      <c r="W4082" s="113" t="n"/>
      <c r="X4082" s="113" t="n"/>
      <c r="Y4082" s="113" t="n"/>
      <c r="Z4082" s="117">
        <f>IF($B4082="",0,IF($S4082="EVET",IF($D4082="GELİR",$O4082,-$O4082),0))</f>
        <v/>
      </c>
      <c r="AA4082" s="117">
        <f>IF($B4082="",0,IF(OR($W4082="EVET",$X4082="EVET",$Y4082="EVET"),0,IF($D4082="GELİR",IF($E4082="SATIŞ İADESİ/İSKONTO",-$O4082,$O4082),-$O4082)))</f>
        <v/>
      </c>
      <c r="AB4082" s="117">
        <f>IF($B4082="","",IF(OR($D4082="",$E4082="",$O4082=""),"EKSİK",IF($O4082&lt;=0,"SIFIR/NEGATİF",IF(COUNTIFS($C$6:$C$5000,$C4082,$O$6:$O$5000,$O4082,$B$6:$B$5000,$B4082)&gt;1,"MÜKERRER","OK"))))</f>
        <v/>
      </c>
    </row>
    <row r="4083" ht="16.5" customHeight="1" s="80">
      <c r="A4083" s="113" t="n"/>
      <c r="B4083" s="113" t="n"/>
      <c r="C4083" s="113" t="n"/>
      <c r="D4083" s="113" t="n"/>
      <c r="E4083" s="113" t="n"/>
      <c r="F4083" s="113" t="n"/>
      <c r="G4083" s="113" t="n"/>
      <c r="H4083" s="113" t="n"/>
      <c r="I4083" s="113" t="n"/>
      <c r="J4083" s="113" t="n"/>
      <c r="K4083" s="113" t="n"/>
      <c r="L4083" s="113" t="n"/>
      <c r="M4083" s="113" t="n"/>
      <c r="N4083" s="113" t="n"/>
      <c r="O4083" s="113" t="n"/>
      <c r="P4083" s="113" t="n"/>
      <c r="Q4083" s="113" t="n"/>
      <c r="R4083" s="113" t="n"/>
      <c r="S4083" s="113" t="n"/>
      <c r="T4083" s="113" t="n"/>
      <c r="U4083" s="113" t="n"/>
      <c r="V4083" s="113" t="n"/>
      <c r="W4083" s="113" t="n"/>
      <c r="X4083" s="113" t="n"/>
      <c r="Y4083" s="113" t="n"/>
      <c r="Z4083" s="117">
        <f>IF($B4083="",0,IF($S4083="EVET",IF($D4083="GELİR",$O4083,-$O4083),0))</f>
        <v/>
      </c>
      <c r="AA4083" s="117">
        <f>IF($B4083="",0,IF(OR($W4083="EVET",$X4083="EVET",$Y4083="EVET"),0,IF($D4083="GELİR",IF($E4083="SATIŞ İADESİ/İSKONTO",-$O4083,$O4083),-$O4083)))</f>
        <v/>
      </c>
      <c r="AB4083" s="117">
        <f>IF($B4083="","",IF(OR($D4083="",$E4083="",$O4083=""),"EKSİK",IF($O4083&lt;=0,"SIFIR/NEGATİF",IF(COUNTIFS($C$6:$C$5000,$C4083,$O$6:$O$5000,$O4083,$B$6:$B$5000,$B4083)&gt;1,"MÜKERRER","OK"))))</f>
        <v/>
      </c>
    </row>
    <row r="4084" ht="16.5" customHeight="1" s="80">
      <c r="A4084" s="113" t="n"/>
      <c r="B4084" s="113" t="n"/>
      <c r="C4084" s="113" t="n"/>
      <c r="D4084" s="113" t="n"/>
      <c r="E4084" s="113" t="n"/>
      <c r="F4084" s="113" t="n"/>
      <c r="G4084" s="113" t="n"/>
      <c r="H4084" s="113" t="n"/>
      <c r="I4084" s="113" t="n"/>
      <c r="J4084" s="113" t="n"/>
      <c r="K4084" s="113" t="n"/>
      <c r="L4084" s="113" t="n"/>
      <c r="M4084" s="113" t="n"/>
      <c r="N4084" s="113" t="n"/>
      <c r="O4084" s="113" t="n"/>
      <c r="P4084" s="113" t="n"/>
      <c r="Q4084" s="113" t="n"/>
      <c r="R4084" s="113" t="n"/>
      <c r="S4084" s="113" t="n"/>
      <c r="T4084" s="113" t="n"/>
      <c r="U4084" s="113" t="n"/>
      <c r="V4084" s="113" t="n"/>
      <c r="W4084" s="113" t="n"/>
      <c r="X4084" s="113" t="n"/>
      <c r="Y4084" s="113" t="n"/>
      <c r="Z4084" s="117">
        <f>IF($B4084="",0,IF($S4084="EVET",IF($D4084="GELİR",$O4084,-$O4084),0))</f>
        <v/>
      </c>
      <c r="AA4084" s="117">
        <f>IF($B4084="",0,IF(OR($W4084="EVET",$X4084="EVET",$Y4084="EVET"),0,IF($D4084="GELİR",IF($E4084="SATIŞ İADESİ/İSKONTO",-$O4084,$O4084),-$O4084)))</f>
        <v/>
      </c>
      <c r="AB4084" s="117">
        <f>IF($B4084="","",IF(OR($D4084="",$E4084="",$O4084=""),"EKSİK",IF($O4084&lt;=0,"SIFIR/NEGATİF",IF(COUNTIFS($C$6:$C$5000,$C4084,$O$6:$O$5000,$O4084,$B$6:$B$5000,$B4084)&gt;1,"MÜKERRER","OK"))))</f>
        <v/>
      </c>
    </row>
    <row r="4085" ht="16.5" customHeight="1" s="80">
      <c r="A4085" s="113" t="n"/>
      <c r="B4085" s="113" t="n"/>
      <c r="C4085" s="113" t="n"/>
      <c r="D4085" s="113" t="n"/>
      <c r="E4085" s="113" t="n"/>
      <c r="F4085" s="113" t="n"/>
      <c r="G4085" s="113" t="n"/>
      <c r="H4085" s="113" t="n"/>
      <c r="I4085" s="113" t="n"/>
      <c r="J4085" s="113" t="n"/>
      <c r="K4085" s="113" t="n"/>
      <c r="L4085" s="113" t="n"/>
      <c r="M4085" s="113" t="n"/>
      <c r="N4085" s="113" t="n"/>
      <c r="O4085" s="113" t="n"/>
      <c r="P4085" s="113" t="n"/>
      <c r="Q4085" s="113" t="n"/>
      <c r="R4085" s="113" t="n"/>
      <c r="S4085" s="113" t="n"/>
      <c r="T4085" s="113" t="n"/>
      <c r="U4085" s="113" t="n"/>
      <c r="V4085" s="113" t="n"/>
      <c r="W4085" s="113" t="n"/>
      <c r="X4085" s="113" t="n"/>
      <c r="Y4085" s="113" t="n"/>
      <c r="Z4085" s="117">
        <f>IF($B4085="",0,IF($S4085="EVET",IF($D4085="GELİR",$O4085,-$O4085),0))</f>
        <v/>
      </c>
      <c r="AA4085" s="117">
        <f>IF($B4085="",0,IF(OR($W4085="EVET",$X4085="EVET",$Y4085="EVET"),0,IF($D4085="GELİR",IF($E4085="SATIŞ İADESİ/İSKONTO",-$O4085,$O4085),-$O4085)))</f>
        <v/>
      </c>
      <c r="AB4085" s="117">
        <f>IF($B4085="","",IF(OR($D4085="",$E4085="",$O4085=""),"EKSİK",IF($O4085&lt;=0,"SIFIR/NEGATİF",IF(COUNTIFS($C$6:$C$5000,$C4085,$O$6:$O$5000,$O4085,$B$6:$B$5000,$B4085)&gt;1,"MÜKERRER","OK"))))</f>
        <v/>
      </c>
    </row>
    <row r="4086" ht="16.5" customHeight="1" s="80">
      <c r="A4086" s="113" t="n"/>
      <c r="B4086" s="113" t="n"/>
      <c r="C4086" s="113" t="n"/>
      <c r="D4086" s="113" t="n"/>
      <c r="E4086" s="113" t="n"/>
      <c r="F4086" s="113" t="n"/>
      <c r="G4086" s="113" t="n"/>
      <c r="H4086" s="113" t="n"/>
      <c r="I4086" s="113" t="n"/>
      <c r="J4086" s="113" t="n"/>
      <c r="K4086" s="113" t="n"/>
      <c r="L4086" s="113" t="n"/>
      <c r="M4086" s="113" t="n"/>
      <c r="N4086" s="113" t="n"/>
      <c r="O4086" s="113" t="n"/>
      <c r="P4086" s="113" t="n"/>
      <c r="Q4086" s="113" t="n"/>
      <c r="R4086" s="113" t="n"/>
      <c r="S4086" s="113" t="n"/>
      <c r="T4086" s="113" t="n"/>
      <c r="U4086" s="113" t="n"/>
      <c r="V4086" s="113" t="n"/>
      <c r="W4086" s="113" t="n"/>
      <c r="X4086" s="113" t="n"/>
      <c r="Y4086" s="113" t="n"/>
      <c r="Z4086" s="117">
        <f>IF($B4086="",0,IF($S4086="EVET",IF($D4086="GELİR",$O4086,-$O4086),0))</f>
        <v/>
      </c>
      <c r="AA4086" s="117">
        <f>IF($B4086="",0,IF(OR($W4086="EVET",$X4086="EVET",$Y4086="EVET"),0,IF($D4086="GELİR",IF($E4086="SATIŞ İADESİ/İSKONTO",-$O4086,$O4086),-$O4086)))</f>
        <v/>
      </c>
      <c r="AB4086" s="117">
        <f>IF($B4086="","",IF(OR($D4086="",$E4086="",$O4086=""),"EKSİK",IF($O4086&lt;=0,"SIFIR/NEGATİF",IF(COUNTIFS($C$6:$C$5000,$C4086,$O$6:$O$5000,$O4086,$B$6:$B$5000,$B4086)&gt;1,"MÜKERRER","OK"))))</f>
        <v/>
      </c>
    </row>
    <row r="4087" ht="16.5" customHeight="1" s="80">
      <c r="A4087" s="113" t="n"/>
      <c r="B4087" s="113" t="n"/>
      <c r="C4087" s="113" t="n"/>
      <c r="D4087" s="113" t="n"/>
      <c r="E4087" s="113" t="n"/>
      <c r="F4087" s="113" t="n"/>
      <c r="G4087" s="113" t="n"/>
      <c r="H4087" s="113" t="n"/>
      <c r="I4087" s="113" t="n"/>
      <c r="J4087" s="113" t="n"/>
      <c r="K4087" s="113" t="n"/>
      <c r="L4087" s="113" t="n"/>
      <c r="M4087" s="113" t="n"/>
      <c r="N4087" s="113" t="n"/>
      <c r="O4087" s="113" t="n"/>
      <c r="P4087" s="113" t="n"/>
      <c r="Q4087" s="113" t="n"/>
      <c r="R4087" s="113" t="n"/>
      <c r="S4087" s="113" t="n"/>
      <c r="T4087" s="113" t="n"/>
      <c r="U4087" s="113" t="n"/>
      <c r="V4087" s="113" t="n"/>
      <c r="W4087" s="113" t="n"/>
      <c r="X4087" s="113" t="n"/>
      <c r="Y4087" s="113" t="n"/>
      <c r="Z4087" s="117">
        <f>IF($B4087="",0,IF($S4087="EVET",IF($D4087="GELİR",$O4087,-$O4087),0))</f>
        <v/>
      </c>
      <c r="AA4087" s="117">
        <f>IF($B4087="",0,IF(OR($W4087="EVET",$X4087="EVET",$Y4087="EVET"),0,IF($D4087="GELİR",IF($E4087="SATIŞ İADESİ/İSKONTO",-$O4087,$O4087),-$O4087)))</f>
        <v/>
      </c>
      <c r="AB4087" s="117">
        <f>IF($B4087="","",IF(OR($D4087="",$E4087="",$O4087=""),"EKSİK",IF($O4087&lt;=0,"SIFIR/NEGATİF",IF(COUNTIFS($C$6:$C$5000,$C4087,$O$6:$O$5000,$O4087,$B$6:$B$5000,$B4087)&gt;1,"MÜKERRER","OK"))))</f>
        <v/>
      </c>
    </row>
    <row r="4088" ht="16.5" customHeight="1" s="80">
      <c r="A4088" s="113" t="n"/>
      <c r="B4088" s="113" t="n"/>
      <c r="C4088" s="113" t="n"/>
      <c r="D4088" s="113" t="n"/>
      <c r="E4088" s="113" t="n"/>
      <c r="F4088" s="113" t="n"/>
      <c r="G4088" s="113" t="n"/>
      <c r="H4088" s="113" t="n"/>
      <c r="I4088" s="113" t="n"/>
      <c r="J4088" s="113" t="n"/>
      <c r="K4088" s="113" t="n"/>
      <c r="L4088" s="113" t="n"/>
      <c r="M4088" s="113" t="n"/>
      <c r="N4088" s="113" t="n"/>
      <c r="O4088" s="113" t="n"/>
      <c r="P4088" s="113" t="n"/>
      <c r="Q4088" s="113" t="n"/>
      <c r="R4088" s="113" t="n"/>
      <c r="S4088" s="113" t="n"/>
      <c r="T4088" s="113" t="n"/>
      <c r="U4088" s="113" t="n"/>
      <c r="V4088" s="113" t="n"/>
      <c r="W4088" s="113" t="n"/>
      <c r="X4088" s="113" t="n"/>
      <c r="Y4088" s="113" t="n"/>
      <c r="Z4088" s="117">
        <f>IF($B4088="",0,IF($S4088="EVET",IF($D4088="GELİR",$O4088,-$O4088),0))</f>
        <v/>
      </c>
      <c r="AA4088" s="117">
        <f>IF($B4088="",0,IF(OR($W4088="EVET",$X4088="EVET",$Y4088="EVET"),0,IF($D4088="GELİR",IF($E4088="SATIŞ İADESİ/İSKONTO",-$O4088,$O4088),-$O4088)))</f>
        <v/>
      </c>
      <c r="AB4088" s="117">
        <f>IF($B4088="","",IF(OR($D4088="",$E4088="",$O4088=""),"EKSİK",IF($O4088&lt;=0,"SIFIR/NEGATİF",IF(COUNTIFS($C$6:$C$5000,$C4088,$O$6:$O$5000,$O4088,$B$6:$B$5000,$B4088)&gt;1,"MÜKERRER","OK"))))</f>
        <v/>
      </c>
    </row>
    <row r="4089" ht="16.5" customHeight="1" s="80">
      <c r="A4089" s="113" t="n"/>
      <c r="B4089" s="113" t="n"/>
      <c r="C4089" s="113" t="n"/>
      <c r="D4089" s="113" t="n"/>
      <c r="E4089" s="113" t="n"/>
      <c r="F4089" s="113" t="n"/>
      <c r="G4089" s="113" t="n"/>
      <c r="H4089" s="113" t="n"/>
      <c r="I4089" s="113" t="n"/>
      <c r="J4089" s="113" t="n"/>
      <c r="K4089" s="113" t="n"/>
      <c r="L4089" s="113" t="n"/>
      <c r="M4089" s="113" t="n"/>
      <c r="N4089" s="113" t="n"/>
      <c r="O4089" s="113" t="n"/>
      <c r="P4089" s="113" t="n"/>
      <c r="Q4089" s="113" t="n"/>
      <c r="R4089" s="113" t="n"/>
      <c r="S4089" s="113" t="n"/>
      <c r="T4089" s="113" t="n"/>
      <c r="U4089" s="113" t="n"/>
      <c r="V4089" s="113" t="n"/>
      <c r="W4089" s="113" t="n"/>
      <c r="X4089" s="113" t="n"/>
      <c r="Y4089" s="113" t="n"/>
      <c r="Z4089" s="117">
        <f>IF($B4089="",0,IF($S4089="EVET",IF($D4089="GELİR",$O4089,-$O4089),0))</f>
        <v/>
      </c>
      <c r="AA4089" s="117">
        <f>IF($B4089="",0,IF(OR($W4089="EVET",$X4089="EVET",$Y4089="EVET"),0,IF($D4089="GELİR",IF($E4089="SATIŞ İADESİ/İSKONTO",-$O4089,$O4089),-$O4089)))</f>
        <v/>
      </c>
      <c r="AB4089" s="117">
        <f>IF($B4089="","",IF(OR($D4089="",$E4089="",$O4089=""),"EKSİK",IF($O4089&lt;=0,"SIFIR/NEGATİF",IF(COUNTIFS($C$6:$C$5000,$C4089,$O$6:$O$5000,$O4089,$B$6:$B$5000,$B4089)&gt;1,"MÜKERRER","OK"))))</f>
        <v/>
      </c>
    </row>
    <row r="4090" ht="16.5" customHeight="1" s="80">
      <c r="A4090" s="113" t="n"/>
      <c r="B4090" s="113" t="n"/>
      <c r="C4090" s="113" t="n"/>
      <c r="D4090" s="113" t="n"/>
      <c r="E4090" s="113" t="n"/>
      <c r="F4090" s="113" t="n"/>
      <c r="G4090" s="113" t="n"/>
      <c r="H4090" s="113" t="n"/>
      <c r="I4090" s="113" t="n"/>
      <c r="J4090" s="113" t="n"/>
      <c r="K4090" s="113" t="n"/>
      <c r="L4090" s="113" t="n"/>
      <c r="M4090" s="113" t="n"/>
      <c r="N4090" s="113" t="n"/>
      <c r="O4090" s="113" t="n"/>
      <c r="P4090" s="113" t="n"/>
      <c r="Q4090" s="113" t="n"/>
      <c r="R4090" s="113" t="n"/>
      <c r="S4090" s="113" t="n"/>
      <c r="T4090" s="113" t="n"/>
      <c r="U4090" s="113" t="n"/>
      <c r="V4090" s="113" t="n"/>
      <c r="W4090" s="113" t="n"/>
      <c r="X4090" s="113" t="n"/>
      <c r="Y4090" s="113" t="n"/>
      <c r="Z4090" s="117">
        <f>IF($B4090="",0,IF($S4090="EVET",IF($D4090="GELİR",$O4090,-$O4090),0))</f>
        <v/>
      </c>
      <c r="AA4090" s="117">
        <f>IF($B4090="",0,IF(OR($W4090="EVET",$X4090="EVET",$Y4090="EVET"),0,IF($D4090="GELİR",IF($E4090="SATIŞ İADESİ/İSKONTO",-$O4090,$O4090),-$O4090)))</f>
        <v/>
      </c>
      <c r="AB4090" s="117">
        <f>IF($B4090="","",IF(OR($D4090="",$E4090="",$O4090=""),"EKSİK",IF($O4090&lt;=0,"SIFIR/NEGATİF",IF(COUNTIFS($C$6:$C$5000,$C4090,$O$6:$O$5000,$O4090,$B$6:$B$5000,$B4090)&gt;1,"MÜKERRER","OK"))))</f>
        <v/>
      </c>
    </row>
    <row r="4091" ht="16.5" customHeight="1" s="80">
      <c r="A4091" s="113" t="n"/>
      <c r="B4091" s="113" t="n"/>
      <c r="C4091" s="113" t="n"/>
      <c r="D4091" s="113" t="n"/>
      <c r="E4091" s="113" t="n"/>
      <c r="F4091" s="113" t="n"/>
      <c r="G4091" s="113" t="n"/>
      <c r="H4091" s="113" t="n"/>
      <c r="I4091" s="113" t="n"/>
      <c r="J4091" s="113" t="n"/>
      <c r="K4091" s="113" t="n"/>
      <c r="L4091" s="113" t="n"/>
      <c r="M4091" s="113" t="n"/>
      <c r="N4091" s="113" t="n"/>
      <c r="O4091" s="113" t="n"/>
      <c r="P4091" s="113" t="n"/>
      <c r="Q4091" s="113" t="n"/>
      <c r="R4091" s="113" t="n"/>
      <c r="S4091" s="113" t="n"/>
      <c r="T4091" s="113" t="n"/>
      <c r="U4091" s="113" t="n"/>
      <c r="V4091" s="113" t="n"/>
      <c r="W4091" s="113" t="n"/>
      <c r="X4091" s="113" t="n"/>
      <c r="Y4091" s="113" t="n"/>
      <c r="Z4091" s="117">
        <f>IF($B4091="",0,IF($S4091="EVET",IF($D4091="GELİR",$O4091,-$O4091),0))</f>
        <v/>
      </c>
      <c r="AA4091" s="117">
        <f>IF($B4091="",0,IF(OR($W4091="EVET",$X4091="EVET",$Y4091="EVET"),0,IF($D4091="GELİR",IF($E4091="SATIŞ İADESİ/İSKONTO",-$O4091,$O4091),-$O4091)))</f>
        <v/>
      </c>
      <c r="AB4091" s="117">
        <f>IF($B4091="","",IF(OR($D4091="",$E4091="",$O4091=""),"EKSİK",IF($O4091&lt;=0,"SIFIR/NEGATİF",IF(COUNTIFS($C$6:$C$5000,$C4091,$O$6:$O$5000,$O4091,$B$6:$B$5000,$B4091)&gt;1,"MÜKERRER","OK"))))</f>
        <v/>
      </c>
    </row>
    <row r="4092" ht="16.5" customHeight="1" s="80">
      <c r="A4092" s="113" t="n"/>
      <c r="B4092" s="113" t="n"/>
      <c r="C4092" s="113" t="n"/>
      <c r="D4092" s="113" t="n"/>
      <c r="E4092" s="113" t="n"/>
      <c r="F4092" s="113" t="n"/>
      <c r="G4092" s="113" t="n"/>
      <c r="H4092" s="113" t="n"/>
      <c r="I4092" s="113" t="n"/>
      <c r="J4092" s="113" t="n"/>
      <c r="K4092" s="113" t="n"/>
      <c r="L4092" s="113" t="n"/>
      <c r="M4092" s="113" t="n"/>
      <c r="N4092" s="113" t="n"/>
      <c r="O4092" s="113" t="n"/>
      <c r="P4092" s="113" t="n"/>
      <c r="Q4092" s="113" t="n"/>
      <c r="R4092" s="113" t="n"/>
      <c r="S4092" s="113" t="n"/>
      <c r="T4092" s="113" t="n"/>
      <c r="U4092" s="113" t="n"/>
      <c r="V4092" s="113" t="n"/>
      <c r="W4092" s="113" t="n"/>
      <c r="X4092" s="113" t="n"/>
      <c r="Y4092" s="113" t="n"/>
      <c r="Z4092" s="117">
        <f>IF($B4092="",0,IF($S4092="EVET",IF($D4092="GELİR",$O4092,-$O4092),0))</f>
        <v/>
      </c>
      <c r="AA4092" s="117">
        <f>IF($B4092="",0,IF(OR($W4092="EVET",$X4092="EVET",$Y4092="EVET"),0,IF($D4092="GELİR",IF($E4092="SATIŞ İADESİ/İSKONTO",-$O4092,$O4092),-$O4092)))</f>
        <v/>
      </c>
      <c r="AB4092" s="117">
        <f>IF($B4092="","",IF(OR($D4092="",$E4092="",$O4092=""),"EKSİK",IF($O4092&lt;=0,"SIFIR/NEGATİF",IF(COUNTIFS($C$6:$C$5000,$C4092,$O$6:$O$5000,$O4092,$B$6:$B$5000,$B4092)&gt;1,"MÜKERRER","OK"))))</f>
        <v/>
      </c>
    </row>
    <row r="4093" ht="16.5" customHeight="1" s="80">
      <c r="A4093" s="113" t="n"/>
      <c r="B4093" s="113" t="n"/>
      <c r="C4093" s="113" t="n"/>
      <c r="D4093" s="113" t="n"/>
      <c r="E4093" s="113" t="n"/>
      <c r="F4093" s="113" t="n"/>
      <c r="G4093" s="113" t="n"/>
      <c r="H4093" s="113" t="n"/>
      <c r="I4093" s="113" t="n"/>
      <c r="J4093" s="113" t="n"/>
      <c r="K4093" s="113" t="n"/>
      <c r="L4093" s="113" t="n"/>
      <c r="M4093" s="113" t="n"/>
      <c r="N4093" s="113" t="n"/>
      <c r="O4093" s="113" t="n"/>
      <c r="P4093" s="113" t="n"/>
      <c r="Q4093" s="113" t="n"/>
      <c r="R4093" s="113" t="n"/>
      <c r="S4093" s="113" t="n"/>
      <c r="T4093" s="113" t="n"/>
      <c r="U4093" s="113" t="n"/>
      <c r="V4093" s="113" t="n"/>
      <c r="W4093" s="113" t="n"/>
      <c r="X4093" s="113" t="n"/>
      <c r="Y4093" s="113" t="n"/>
      <c r="Z4093" s="117">
        <f>IF($B4093="",0,IF($S4093="EVET",IF($D4093="GELİR",$O4093,-$O4093),0))</f>
        <v/>
      </c>
      <c r="AA4093" s="117">
        <f>IF($B4093="",0,IF(OR($W4093="EVET",$X4093="EVET",$Y4093="EVET"),0,IF($D4093="GELİR",IF($E4093="SATIŞ İADESİ/İSKONTO",-$O4093,$O4093),-$O4093)))</f>
        <v/>
      </c>
      <c r="AB4093" s="117">
        <f>IF($B4093="","",IF(OR($D4093="",$E4093="",$O4093=""),"EKSİK",IF($O4093&lt;=0,"SIFIR/NEGATİF",IF(COUNTIFS($C$6:$C$5000,$C4093,$O$6:$O$5000,$O4093,$B$6:$B$5000,$B4093)&gt;1,"MÜKERRER","OK"))))</f>
        <v/>
      </c>
    </row>
    <row r="4094" ht="16.5" customHeight="1" s="80">
      <c r="A4094" s="113" t="n"/>
      <c r="B4094" s="113" t="n"/>
      <c r="C4094" s="113" t="n"/>
      <c r="D4094" s="113" t="n"/>
      <c r="E4094" s="113" t="n"/>
      <c r="F4094" s="113" t="n"/>
      <c r="G4094" s="113" t="n"/>
      <c r="H4094" s="113" t="n"/>
      <c r="I4094" s="113" t="n"/>
      <c r="J4094" s="113" t="n"/>
      <c r="K4094" s="113" t="n"/>
      <c r="L4094" s="113" t="n"/>
      <c r="M4094" s="113" t="n"/>
      <c r="N4094" s="113" t="n"/>
      <c r="O4094" s="113" t="n"/>
      <c r="P4094" s="113" t="n"/>
      <c r="Q4094" s="113" t="n"/>
      <c r="R4094" s="113" t="n"/>
      <c r="S4094" s="113" t="n"/>
      <c r="T4094" s="113" t="n"/>
      <c r="U4094" s="113" t="n"/>
      <c r="V4094" s="113" t="n"/>
      <c r="W4094" s="113" t="n"/>
      <c r="X4094" s="113" t="n"/>
      <c r="Y4094" s="113" t="n"/>
      <c r="Z4094" s="117">
        <f>IF($B4094="",0,IF($S4094="EVET",IF($D4094="GELİR",$O4094,-$O4094),0))</f>
        <v/>
      </c>
      <c r="AA4094" s="117">
        <f>IF($B4094="",0,IF(OR($W4094="EVET",$X4094="EVET",$Y4094="EVET"),0,IF($D4094="GELİR",IF($E4094="SATIŞ İADESİ/İSKONTO",-$O4094,$O4094),-$O4094)))</f>
        <v/>
      </c>
      <c r="AB4094" s="117">
        <f>IF($B4094="","",IF(OR($D4094="",$E4094="",$O4094=""),"EKSİK",IF($O4094&lt;=0,"SIFIR/NEGATİF",IF(COUNTIFS($C$6:$C$5000,$C4094,$O$6:$O$5000,$O4094,$B$6:$B$5000,$B4094)&gt;1,"MÜKERRER","OK"))))</f>
        <v/>
      </c>
    </row>
    <row r="4095" ht="16.5" customHeight="1" s="80">
      <c r="A4095" s="113" t="n"/>
      <c r="B4095" s="113" t="n"/>
      <c r="C4095" s="113" t="n"/>
      <c r="D4095" s="113" t="n"/>
      <c r="E4095" s="113" t="n"/>
      <c r="F4095" s="113" t="n"/>
      <c r="G4095" s="113" t="n"/>
      <c r="H4095" s="113" t="n"/>
      <c r="I4095" s="113" t="n"/>
      <c r="J4095" s="113" t="n"/>
      <c r="K4095" s="113" t="n"/>
      <c r="L4095" s="113" t="n"/>
      <c r="M4095" s="113" t="n"/>
      <c r="N4095" s="113" t="n"/>
      <c r="O4095" s="113" t="n"/>
      <c r="P4095" s="113" t="n"/>
      <c r="Q4095" s="113" t="n"/>
      <c r="R4095" s="113" t="n"/>
      <c r="S4095" s="113" t="n"/>
      <c r="T4095" s="113" t="n"/>
      <c r="U4095" s="113" t="n"/>
      <c r="V4095" s="113" t="n"/>
      <c r="W4095" s="113" t="n"/>
      <c r="X4095" s="113" t="n"/>
      <c r="Y4095" s="113" t="n"/>
      <c r="Z4095" s="117">
        <f>IF($B4095="",0,IF($S4095="EVET",IF($D4095="GELİR",$O4095,-$O4095),0))</f>
        <v/>
      </c>
      <c r="AA4095" s="117">
        <f>IF($B4095="",0,IF(OR($W4095="EVET",$X4095="EVET",$Y4095="EVET"),0,IF($D4095="GELİR",IF($E4095="SATIŞ İADESİ/İSKONTO",-$O4095,$O4095),-$O4095)))</f>
        <v/>
      </c>
      <c r="AB4095" s="117">
        <f>IF($B4095="","",IF(OR($D4095="",$E4095="",$O4095=""),"EKSİK",IF($O4095&lt;=0,"SIFIR/NEGATİF",IF(COUNTIFS($C$6:$C$5000,$C4095,$O$6:$O$5000,$O4095,$B$6:$B$5000,$B4095)&gt;1,"MÜKERRER","OK"))))</f>
        <v/>
      </c>
    </row>
    <row r="4096" ht="16.5" customHeight="1" s="80">
      <c r="A4096" s="113" t="n"/>
      <c r="B4096" s="113" t="n"/>
      <c r="C4096" s="113" t="n"/>
      <c r="D4096" s="113" t="n"/>
      <c r="E4096" s="113" t="n"/>
      <c r="F4096" s="113" t="n"/>
      <c r="G4096" s="113" t="n"/>
      <c r="H4096" s="113" t="n"/>
      <c r="I4096" s="113" t="n"/>
      <c r="J4096" s="113" t="n"/>
      <c r="K4096" s="113" t="n"/>
      <c r="L4096" s="113" t="n"/>
      <c r="M4096" s="113" t="n"/>
      <c r="N4096" s="113" t="n"/>
      <c r="O4096" s="113" t="n"/>
      <c r="P4096" s="113" t="n"/>
      <c r="Q4096" s="113" t="n"/>
      <c r="R4096" s="113" t="n"/>
      <c r="S4096" s="113" t="n"/>
      <c r="T4096" s="113" t="n"/>
      <c r="U4096" s="113" t="n"/>
      <c r="V4096" s="113" t="n"/>
      <c r="W4096" s="113" t="n"/>
      <c r="X4096" s="113" t="n"/>
      <c r="Y4096" s="113" t="n"/>
      <c r="Z4096" s="117">
        <f>IF($B4096="",0,IF($S4096="EVET",IF($D4096="GELİR",$O4096,-$O4096),0))</f>
        <v/>
      </c>
      <c r="AA4096" s="117">
        <f>IF($B4096="",0,IF(OR($W4096="EVET",$X4096="EVET",$Y4096="EVET"),0,IF($D4096="GELİR",IF($E4096="SATIŞ İADESİ/İSKONTO",-$O4096,$O4096),-$O4096)))</f>
        <v/>
      </c>
      <c r="AB4096" s="117">
        <f>IF($B4096="","",IF(OR($D4096="",$E4096="",$O4096=""),"EKSİK",IF($O4096&lt;=0,"SIFIR/NEGATİF",IF(COUNTIFS($C$6:$C$5000,$C4096,$O$6:$O$5000,$O4096,$B$6:$B$5000,$B4096)&gt;1,"MÜKERRER","OK"))))</f>
        <v/>
      </c>
    </row>
    <row r="4097" ht="16.5" customHeight="1" s="80">
      <c r="A4097" s="113" t="n"/>
      <c r="B4097" s="113" t="n"/>
      <c r="C4097" s="113" t="n"/>
      <c r="D4097" s="113" t="n"/>
      <c r="E4097" s="113" t="n"/>
      <c r="F4097" s="113" t="n"/>
      <c r="G4097" s="113" t="n"/>
      <c r="H4097" s="113" t="n"/>
      <c r="I4097" s="113" t="n"/>
      <c r="J4097" s="113" t="n"/>
      <c r="K4097" s="113" t="n"/>
      <c r="L4097" s="113" t="n"/>
      <c r="M4097" s="113" t="n"/>
      <c r="N4097" s="113" t="n"/>
      <c r="O4097" s="113" t="n"/>
      <c r="P4097" s="113" t="n"/>
      <c r="Q4097" s="113" t="n"/>
      <c r="R4097" s="113" t="n"/>
      <c r="S4097" s="113" t="n"/>
      <c r="T4097" s="113" t="n"/>
      <c r="U4097" s="113" t="n"/>
      <c r="V4097" s="113" t="n"/>
      <c r="W4097" s="113" t="n"/>
      <c r="X4097" s="113" t="n"/>
      <c r="Y4097" s="113" t="n"/>
      <c r="Z4097" s="117">
        <f>IF($B4097="",0,IF($S4097="EVET",IF($D4097="GELİR",$O4097,-$O4097),0))</f>
        <v/>
      </c>
      <c r="AA4097" s="117">
        <f>IF($B4097="",0,IF(OR($W4097="EVET",$X4097="EVET",$Y4097="EVET"),0,IF($D4097="GELİR",IF($E4097="SATIŞ İADESİ/İSKONTO",-$O4097,$O4097),-$O4097)))</f>
        <v/>
      </c>
      <c r="AB4097" s="117">
        <f>IF($B4097="","",IF(OR($D4097="",$E4097="",$O4097=""),"EKSİK",IF($O4097&lt;=0,"SIFIR/NEGATİF",IF(COUNTIFS($C$6:$C$5000,$C4097,$O$6:$O$5000,$O4097,$B$6:$B$5000,$B4097)&gt;1,"MÜKERRER","OK"))))</f>
        <v/>
      </c>
    </row>
    <row r="4098" ht="16.5" customHeight="1" s="80">
      <c r="A4098" s="113" t="n"/>
      <c r="B4098" s="113" t="n"/>
      <c r="C4098" s="113" t="n"/>
      <c r="D4098" s="113" t="n"/>
      <c r="E4098" s="113" t="n"/>
      <c r="F4098" s="113" t="n"/>
      <c r="G4098" s="113" t="n"/>
      <c r="H4098" s="113" t="n"/>
      <c r="I4098" s="113" t="n"/>
      <c r="J4098" s="113" t="n"/>
      <c r="K4098" s="113" t="n"/>
      <c r="L4098" s="113" t="n"/>
      <c r="M4098" s="113" t="n"/>
      <c r="N4098" s="113" t="n"/>
      <c r="O4098" s="113" t="n"/>
      <c r="P4098" s="113" t="n"/>
      <c r="Q4098" s="113" t="n"/>
      <c r="R4098" s="113" t="n"/>
      <c r="S4098" s="113" t="n"/>
      <c r="T4098" s="113" t="n"/>
      <c r="U4098" s="113" t="n"/>
      <c r="V4098" s="113" t="n"/>
      <c r="W4098" s="113" t="n"/>
      <c r="X4098" s="113" t="n"/>
      <c r="Y4098" s="113" t="n"/>
      <c r="Z4098" s="117">
        <f>IF($B4098="",0,IF($S4098="EVET",IF($D4098="GELİR",$O4098,-$O4098),0))</f>
        <v/>
      </c>
      <c r="AA4098" s="117">
        <f>IF($B4098="",0,IF(OR($W4098="EVET",$X4098="EVET",$Y4098="EVET"),0,IF($D4098="GELİR",IF($E4098="SATIŞ İADESİ/İSKONTO",-$O4098,$O4098),-$O4098)))</f>
        <v/>
      </c>
      <c r="AB4098" s="117">
        <f>IF($B4098="","",IF(OR($D4098="",$E4098="",$O4098=""),"EKSİK",IF($O4098&lt;=0,"SIFIR/NEGATİF",IF(COUNTIFS($C$6:$C$5000,$C4098,$O$6:$O$5000,$O4098,$B$6:$B$5000,$B4098)&gt;1,"MÜKERRER","OK"))))</f>
        <v/>
      </c>
    </row>
    <row r="4099" ht="16.5" customHeight="1" s="80">
      <c r="A4099" s="113" t="n"/>
      <c r="B4099" s="113" t="n"/>
      <c r="C4099" s="113" t="n"/>
      <c r="D4099" s="113" t="n"/>
      <c r="E4099" s="113" t="n"/>
      <c r="F4099" s="113" t="n"/>
      <c r="G4099" s="113" t="n"/>
      <c r="H4099" s="113" t="n"/>
      <c r="I4099" s="113" t="n"/>
      <c r="J4099" s="113" t="n"/>
      <c r="K4099" s="113" t="n"/>
      <c r="L4099" s="113" t="n"/>
      <c r="M4099" s="113" t="n"/>
      <c r="N4099" s="113" t="n"/>
      <c r="O4099" s="113" t="n"/>
      <c r="P4099" s="113" t="n"/>
      <c r="Q4099" s="113" t="n"/>
      <c r="R4099" s="113" t="n"/>
      <c r="S4099" s="113" t="n"/>
      <c r="T4099" s="113" t="n"/>
      <c r="U4099" s="113" t="n"/>
      <c r="V4099" s="113" t="n"/>
      <c r="W4099" s="113" t="n"/>
      <c r="X4099" s="113" t="n"/>
      <c r="Y4099" s="113" t="n"/>
      <c r="Z4099" s="117">
        <f>IF($B4099="",0,IF($S4099="EVET",IF($D4099="GELİR",$O4099,-$O4099),0))</f>
        <v/>
      </c>
      <c r="AA4099" s="117">
        <f>IF($B4099="",0,IF(OR($W4099="EVET",$X4099="EVET",$Y4099="EVET"),0,IF($D4099="GELİR",IF($E4099="SATIŞ İADESİ/İSKONTO",-$O4099,$O4099),-$O4099)))</f>
        <v/>
      </c>
      <c r="AB4099" s="117">
        <f>IF($B4099="","",IF(OR($D4099="",$E4099="",$O4099=""),"EKSİK",IF($O4099&lt;=0,"SIFIR/NEGATİF",IF(COUNTIFS($C$6:$C$5000,$C4099,$O$6:$O$5000,$O4099,$B$6:$B$5000,$B4099)&gt;1,"MÜKERRER","OK"))))</f>
        <v/>
      </c>
    </row>
    <row r="4100" ht="16.5" customHeight="1" s="80">
      <c r="A4100" s="113" t="n"/>
      <c r="B4100" s="113" t="n"/>
      <c r="C4100" s="113" t="n"/>
      <c r="D4100" s="113" t="n"/>
      <c r="E4100" s="113" t="n"/>
      <c r="F4100" s="113" t="n"/>
      <c r="G4100" s="113" t="n"/>
      <c r="H4100" s="113" t="n"/>
      <c r="I4100" s="113" t="n"/>
      <c r="J4100" s="113" t="n"/>
      <c r="K4100" s="113" t="n"/>
      <c r="L4100" s="113" t="n"/>
      <c r="M4100" s="113" t="n"/>
      <c r="N4100" s="113" t="n"/>
      <c r="O4100" s="113" t="n"/>
      <c r="P4100" s="113" t="n"/>
      <c r="Q4100" s="113" t="n"/>
      <c r="R4100" s="113" t="n"/>
      <c r="S4100" s="113" t="n"/>
      <c r="T4100" s="113" t="n"/>
      <c r="U4100" s="113" t="n"/>
      <c r="V4100" s="113" t="n"/>
      <c r="W4100" s="113" t="n"/>
      <c r="X4100" s="113" t="n"/>
      <c r="Y4100" s="113" t="n"/>
      <c r="Z4100" s="117">
        <f>IF($B4100="",0,IF($S4100="EVET",IF($D4100="GELİR",$O4100,-$O4100),0))</f>
        <v/>
      </c>
      <c r="AA4100" s="117">
        <f>IF($B4100="",0,IF(OR($W4100="EVET",$X4100="EVET",$Y4100="EVET"),0,IF($D4100="GELİR",IF($E4100="SATIŞ İADESİ/İSKONTO",-$O4100,$O4100),-$O4100)))</f>
        <v/>
      </c>
      <c r="AB4100" s="117">
        <f>IF($B4100="","",IF(OR($D4100="",$E4100="",$O4100=""),"EKSİK",IF($O4100&lt;=0,"SIFIR/NEGATİF",IF(COUNTIFS($C$6:$C$5000,$C4100,$O$6:$O$5000,$O4100,$B$6:$B$5000,$B4100)&gt;1,"MÜKERRER","OK"))))</f>
        <v/>
      </c>
    </row>
    <row r="4101" ht="16.5" customHeight="1" s="80">
      <c r="A4101" s="113" t="n"/>
      <c r="B4101" s="113" t="n"/>
      <c r="C4101" s="113" t="n"/>
      <c r="D4101" s="113" t="n"/>
      <c r="E4101" s="113" t="n"/>
      <c r="F4101" s="113" t="n"/>
      <c r="G4101" s="113" t="n"/>
      <c r="H4101" s="113" t="n"/>
      <c r="I4101" s="113" t="n"/>
      <c r="J4101" s="113" t="n"/>
      <c r="K4101" s="113" t="n"/>
      <c r="L4101" s="113" t="n"/>
      <c r="M4101" s="113" t="n"/>
      <c r="N4101" s="113" t="n"/>
      <c r="O4101" s="113" t="n"/>
      <c r="P4101" s="113" t="n"/>
      <c r="Q4101" s="113" t="n"/>
      <c r="R4101" s="113" t="n"/>
      <c r="S4101" s="113" t="n"/>
      <c r="T4101" s="113" t="n"/>
      <c r="U4101" s="113" t="n"/>
      <c r="V4101" s="113" t="n"/>
      <c r="W4101" s="113" t="n"/>
      <c r="X4101" s="113" t="n"/>
      <c r="Y4101" s="113" t="n"/>
      <c r="Z4101" s="117">
        <f>IF($B4101="",0,IF($S4101="EVET",IF($D4101="GELİR",$O4101,-$O4101),0))</f>
        <v/>
      </c>
      <c r="AA4101" s="117">
        <f>IF($B4101="",0,IF(OR($W4101="EVET",$X4101="EVET",$Y4101="EVET"),0,IF($D4101="GELİR",IF($E4101="SATIŞ İADESİ/İSKONTO",-$O4101,$O4101),-$O4101)))</f>
        <v/>
      </c>
      <c r="AB4101" s="117">
        <f>IF($B4101="","",IF(OR($D4101="",$E4101="",$O4101=""),"EKSİK",IF($O4101&lt;=0,"SIFIR/NEGATİF",IF(COUNTIFS($C$6:$C$5000,$C4101,$O$6:$O$5000,$O4101,$B$6:$B$5000,$B4101)&gt;1,"MÜKERRER","OK"))))</f>
        <v/>
      </c>
    </row>
    <row r="4102" ht="16.5" customHeight="1" s="80">
      <c r="A4102" s="113" t="n"/>
      <c r="B4102" s="113" t="n"/>
      <c r="C4102" s="113" t="n"/>
      <c r="D4102" s="113" t="n"/>
      <c r="E4102" s="113" t="n"/>
      <c r="F4102" s="113" t="n"/>
      <c r="G4102" s="113" t="n"/>
      <c r="H4102" s="113" t="n"/>
      <c r="I4102" s="113" t="n"/>
      <c r="J4102" s="113" t="n"/>
      <c r="K4102" s="113" t="n"/>
      <c r="L4102" s="113" t="n"/>
      <c r="M4102" s="113" t="n"/>
      <c r="N4102" s="113" t="n"/>
      <c r="O4102" s="113" t="n"/>
      <c r="P4102" s="113" t="n"/>
      <c r="Q4102" s="113" t="n"/>
      <c r="R4102" s="113" t="n"/>
      <c r="S4102" s="113" t="n"/>
      <c r="T4102" s="113" t="n"/>
      <c r="U4102" s="113" t="n"/>
      <c r="V4102" s="113" t="n"/>
      <c r="W4102" s="113" t="n"/>
      <c r="X4102" s="113" t="n"/>
      <c r="Y4102" s="113" t="n"/>
      <c r="Z4102" s="117">
        <f>IF($B4102="",0,IF($S4102="EVET",IF($D4102="GELİR",$O4102,-$O4102),0))</f>
        <v/>
      </c>
      <c r="AA4102" s="117">
        <f>IF($B4102="",0,IF(OR($W4102="EVET",$X4102="EVET",$Y4102="EVET"),0,IF($D4102="GELİR",IF($E4102="SATIŞ İADESİ/İSKONTO",-$O4102,$O4102),-$O4102)))</f>
        <v/>
      </c>
      <c r="AB4102" s="117">
        <f>IF($B4102="","",IF(OR($D4102="",$E4102="",$O4102=""),"EKSİK",IF($O4102&lt;=0,"SIFIR/NEGATİF",IF(COUNTIFS($C$6:$C$5000,$C4102,$O$6:$O$5000,$O4102,$B$6:$B$5000,$B4102)&gt;1,"MÜKERRER","OK"))))</f>
        <v/>
      </c>
    </row>
    <row r="4103" ht="16.5" customHeight="1" s="80">
      <c r="A4103" s="113" t="n"/>
      <c r="B4103" s="113" t="n"/>
      <c r="C4103" s="113" t="n"/>
      <c r="D4103" s="113" t="n"/>
      <c r="E4103" s="113" t="n"/>
      <c r="F4103" s="113" t="n"/>
      <c r="G4103" s="113" t="n"/>
      <c r="H4103" s="113" t="n"/>
      <c r="I4103" s="113" t="n"/>
      <c r="J4103" s="113" t="n"/>
      <c r="K4103" s="113" t="n"/>
      <c r="L4103" s="113" t="n"/>
      <c r="M4103" s="113" t="n"/>
      <c r="N4103" s="113" t="n"/>
      <c r="O4103" s="113" t="n"/>
      <c r="P4103" s="113" t="n"/>
      <c r="Q4103" s="113" t="n"/>
      <c r="R4103" s="113" t="n"/>
      <c r="S4103" s="113" t="n"/>
      <c r="T4103" s="113" t="n"/>
      <c r="U4103" s="113" t="n"/>
      <c r="V4103" s="113" t="n"/>
      <c r="W4103" s="113" t="n"/>
      <c r="X4103" s="113" t="n"/>
      <c r="Y4103" s="113" t="n"/>
      <c r="Z4103" s="117">
        <f>IF($B4103="",0,IF($S4103="EVET",IF($D4103="GELİR",$O4103,-$O4103),0))</f>
        <v/>
      </c>
      <c r="AA4103" s="117">
        <f>IF($B4103="",0,IF(OR($W4103="EVET",$X4103="EVET",$Y4103="EVET"),0,IF($D4103="GELİR",IF($E4103="SATIŞ İADESİ/İSKONTO",-$O4103,$O4103),-$O4103)))</f>
        <v/>
      </c>
      <c r="AB4103" s="117">
        <f>IF($B4103="","",IF(OR($D4103="",$E4103="",$O4103=""),"EKSİK",IF($O4103&lt;=0,"SIFIR/NEGATİF",IF(COUNTIFS($C$6:$C$5000,$C4103,$O$6:$O$5000,$O4103,$B$6:$B$5000,$B4103)&gt;1,"MÜKERRER","OK"))))</f>
        <v/>
      </c>
    </row>
    <row r="4104" ht="16.5" customHeight="1" s="80">
      <c r="A4104" s="113" t="n"/>
      <c r="B4104" s="113" t="n"/>
      <c r="C4104" s="113" t="n"/>
      <c r="D4104" s="113" t="n"/>
      <c r="E4104" s="113" t="n"/>
      <c r="F4104" s="113" t="n"/>
      <c r="G4104" s="113" t="n"/>
      <c r="H4104" s="113" t="n"/>
      <c r="I4104" s="113" t="n"/>
      <c r="J4104" s="113" t="n"/>
      <c r="K4104" s="113" t="n"/>
      <c r="L4104" s="113" t="n"/>
      <c r="M4104" s="113" t="n"/>
      <c r="N4104" s="113" t="n"/>
      <c r="O4104" s="113" t="n"/>
      <c r="P4104" s="113" t="n"/>
      <c r="Q4104" s="113" t="n"/>
      <c r="R4104" s="113" t="n"/>
      <c r="S4104" s="113" t="n"/>
      <c r="T4104" s="113" t="n"/>
      <c r="U4104" s="113" t="n"/>
      <c r="V4104" s="113" t="n"/>
      <c r="W4104" s="113" t="n"/>
      <c r="X4104" s="113" t="n"/>
      <c r="Y4104" s="113" t="n"/>
      <c r="Z4104" s="117">
        <f>IF($B4104="",0,IF($S4104="EVET",IF($D4104="GELİR",$O4104,-$O4104),0))</f>
        <v/>
      </c>
      <c r="AA4104" s="117">
        <f>IF($B4104="",0,IF(OR($W4104="EVET",$X4104="EVET",$Y4104="EVET"),0,IF($D4104="GELİR",IF($E4104="SATIŞ İADESİ/İSKONTO",-$O4104,$O4104),-$O4104)))</f>
        <v/>
      </c>
      <c r="AB4104" s="117">
        <f>IF($B4104="","",IF(OR($D4104="",$E4104="",$O4104=""),"EKSİK",IF($O4104&lt;=0,"SIFIR/NEGATİF",IF(COUNTIFS($C$6:$C$5000,$C4104,$O$6:$O$5000,$O4104,$B$6:$B$5000,$B4104)&gt;1,"MÜKERRER","OK"))))</f>
        <v/>
      </c>
    </row>
    <row r="4105" ht="16.5" customHeight="1" s="80">
      <c r="A4105" s="113" t="n"/>
      <c r="B4105" s="113" t="n"/>
      <c r="C4105" s="113" t="n"/>
      <c r="D4105" s="113" t="n"/>
      <c r="E4105" s="113" t="n"/>
      <c r="F4105" s="113" t="n"/>
      <c r="G4105" s="113" t="n"/>
      <c r="H4105" s="113" t="n"/>
      <c r="I4105" s="113" t="n"/>
      <c r="J4105" s="113" t="n"/>
      <c r="K4105" s="113" t="n"/>
      <c r="L4105" s="113" t="n"/>
      <c r="M4105" s="113" t="n"/>
      <c r="N4105" s="113" t="n"/>
      <c r="O4105" s="113" t="n"/>
      <c r="P4105" s="113" t="n"/>
      <c r="Q4105" s="113" t="n"/>
      <c r="R4105" s="113" t="n"/>
      <c r="S4105" s="113" t="n"/>
      <c r="T4105" s="113" t="n"/>
      <c r="U4105" s="113" t="n"/>
      <c r="V4105" s="113" t="n"/>
      <c r="W4105" s="113" t="n"/>
      <c r="X4105" s="113" t="n"/>
      <c r="Y4105" s="113" t="n"/>
      <c r="Z4105" s="117">
        <f>IF($B4105="",0,IF($S4105="EVET",IF($D4105="GELİR",$O4105,-$O4105),0))</f>
        <v/>
      </c>
      <c r="AA4105" s="117">
        <f>IF($B4105="",0,IF(OR($W4105="EVET",$X4105="EVET",$Y4105="EVET"),0,IF($D4105="GELİR",IF($E4105="SATIŞ İADESİ/İSKONTO",-$O4105,$O4105),-$O4105)))</f>
        <v/>
      </c>
      <c r="AB4105" s="117">
        <f>IF($B4105="","",IF(OR($D4105="",$E4105="",$O4105=""),"EKSİK",IF($O4105&lt;=0,"SIFIR/NEGATİF",IF(COUNTIFS($C$6:$C$5000,$C4105,$O$6:$O$5000,$O4105,$B$6:$B$5000,$B4105)&gt;1,"MÜKERRER","OK"))))</f>
        <v/>
      </c>
    </row>
    <row r="4106" ht="16.5" customHeight="1" s="80">
      <c r="A4106" s="113" t="n"/>
      <c r="B4106" s="113" t="n"/>
      <c r="C4106" s="113" t="n"/>
      <c r="D4106" s="113" t="n"/>
      <c r="E4106" s="113" t="n"/>
      <c r="F4106" s="113" t="n"/>
      <c r="G4106" s="113" t="n"/>
      <c r="H4106" s="113" t="n"/>
      <c r="I4106" s="113" t="n"/>
      <c r="J4106" s="113" t="n"/>
      <c r="K4106" s="113" t="n"/>
      <c r="L4106" s="113" t="n"/>
      <c r="M4106" s="113" t="n"/>
      <c r="N4106" s="113" t="n"/>
      <c r="O4106" s="113" t="n"/>
      <c r="P4106" s="113" t="n"/>
      <c r="Q4106" s="113" t="n"/>
      <c r="R4106" s="113" t="n"/>
      <c r="S4106" s="113" t="n"/>
      <c r="T4106" s="113" t="n"/>
      <c r="U4106" s="113" t="n"/>
      <c r="V4106" s="113" t="n"/>
      <c r="W4106" s="113" t="n"/>
      <c r="X4106" s="113" t="n"/>
      <c r="Y4106" s="113" t="n"/>
      <c r="Z4106" s="117">
        <f>IF($B4106="",0,IF($S4106="EVET",IF($D4106="GELİR",$O4106,-$O4106),0))</f>
        <v/>
      </c>
      <c r="AA4106" s="117">
        <f>IF($B4106="",0,IF(OR($W4106="EVET",$X4106="EVET",$Y4106="EVET"),0,IF($D4106="GELİR",IF($E4106="SATIŞ İADESİ/İSKONTO",-$O4106,$O4106),-$O4106)))</f>
        <v/>
      </c>
      <c r="AB4106" s="117">
        <f>IF($B4106="","",IF(OR($D4106="",$E4106="",$O4106=""),"EKSİK",IF($O4106&lt;=0,"SIFIR/NEGATİF",IF(COUNTIFS($C$6:$C$5000,$C4106,$O$6:$O$5000,$O4106,$B$6:$B$5000,$B4106)&gt;1,"MÜKERRER","OK"))))</f>
        <v/>
      </c>
    </row>
    <row r="4107" ht="16.5" customHeight="1" s="80">
      <c r="A4107" s="113" t="n"/>
      <c r="B4107" s="113" t="n"/>
      <c r="C4107" s="113" t="n"/>
      <c r="D4107" s="113" t="n"/>
      <c r="E4107" s="113" t="n"/>
      <c r="F4107" s="113" t="n"/>
      <c r="G4107" s="113" t="n"/>
      <c r="H4107" s="113" t="n"/>
      <c r="I4107" s="113" t="n"/>
      <c r="J4107" s="113" t="n"/>
      <c r="K4107" s="113" t="n"/>
      <c r="L4107" s="113" t="n"/>
      <c r="M4107" s="113" t="n"/>
      <c r="N4107" s="113" t="n"/>
      <c r="O4107" s="113" t="n"/>
      <c r="P4107" s="113" t="n"/>
      <c r="Q4107" s="113" t="n"/>
      <c r="R4107" s="113" t="n"/>
      <c r="S4107" s="113" t="n"/>
      <c r="T4107" s="113" t="n"/>
      <c r="U4107" s="113" t="n"/>
      <c r="V4107" s="113" t="n"/>
      <c r="W4107" s="113" t="n"/>
      <c r="X4107" s="113" t="n"/>
      <c r="Y4107" s="113" t="n"/>
      <c r="Z4107" s="117">
        <f>IF($B4107="",0,IF($S4107="EVET",IF($D4107="GELİR",$O4107,-$O4107),0))</f>
        <v/>
      </c>
      <c r="AA4107" s="117">
        <f>IF($B4107="",0,IF(OR($W4107="EVET",$X4107="EVET",$Y4107="EVET"),0,IF($D4107="GELİR",IF($E4107="SATIŞ İADESİ/İSKONTO",-$O4107,$O4107),-$O4107)))</f>
        <v/>
      </c>
      <c r="AB4107" s="117">
        <f>IF($B4107="","",IF(OR($D4107="",$E4107="",$O4107=""),"EKSİK",IF($O4107&lt;=0,"SIFIR/NEGATİF",IF(COUNTIFS($C$6:$C$5000,$C4107,$O$6:$O$5000,$O4107,$B$6:$B$5000,$B4107)&gt;1,"MÜKERRER","OK"))))</f>
        <v/>
      </c>
    </row>
    <row r="4108" ht="16.5" customHeight="1" s="80">
      <c r="A4108" s="113" t="n"/>
      <c r="B4108" s="113" t="n"/>
      <c r="C4108" s="113" t="n"/>
      <c r="D4108" s="113" t="n"/>
      <c r="E4108" s="113" t="n"/>
      <c r="F4108" s="113" t="n"/>
      <c r="G4108" s="113" t="n"/>
      <c r="H4108" s="113" t="n"/>
      <c r="I4108" s="113" t="n"/>
      <c r="J4108" s="113" t="n"/>
      <c r="K4108" s="113" t="n"/>
      <c r="L4108" s="113" t="n"/>
      <c r="M4108" s="113" t="n"/>
      <c r="N4108" s="113" t="n"/>
      <c r="O4108" s="113" t="n"/>
      <c r="P4108" s="113" t="n"/>
      <c r="Q4108" s="113" t="n"/>
      <c r="R4108" s="113" t="n"/>
      <c r="S4108" s="113" t="n"/>
      <c r="T4108" s="113" t="n"/>
      <c r="U4108" s="113" t="n"/>
      <c r="V4108" s="113" t="n"/>
      <c r="W4108" s="113" t="n"/>
      <c r="X4108" s="113" t="n"/>
      <c r="Y4108" s="113" t="n"/>
      <c r="Z4108" s="117">
        <f>IF($B4108="",0,IF($S4108="EVET",IF($D4108="GELİR",$O4108,-$O4108),0))</f>
        <v/>
      </c>
      <c r="AA4108" s="117">
        <f>IF($B4108="",0,IF(OR($W4108="EVET",$X4108="EVET",$Y4108="EVET"),0,IF($D4108="GELİR",IF($E4108="SATIŞ İADESİ/İSKONTO",-$O4108,$O4108),-$O4108)))</f>
        <v/>
      </c>
      <c r="AB4108" s="117">
        <f>IF($B4108="","",IF(OR($D4108="",$E4108="",$O4108=""),"EKSİK",IF($O4108&lt;=0,"SIFIR/NEGATİF",IF(COUNTIFS($C$6:$C$5000,$C4108,$O$6:$O$5000,$O4108,$B$6:$B$5000,$B4108)&gt;1,"MÜKERRER","OK"))))</f>
        <v/>
      </c>
    </row>
    <row r="4109" ht="16.5" customHeight="1" s="80">
      <c r="A4109" s="113" t="n"/>
      <c r="B4109" s="113" t="n"/>
      <c r="C4109" s="113" t="n"/>
      <c r="D4109" s="113" t="n"/>
      <c r="E4109" s="113" t="n"/>
      <c r="F4109" s="113" t="n"/>
      <c r="G4109" s="113" t="n"/>
      <c r="H4109" s="113" t="n"/>
      <c r="I4109" s="113" t="n"/>
      <c r="J4109" s="113" t="n"/>
      <c r="K4109" s="113" t="n"/>
      <c r="L4109" s="113" t="n"/>
      <c r="M4109" s="113" t="n"/>
      <c r="N4109" s="113" t="n"/>
      <c r="O4109" s="113" t="n"/>
      <c r="P4109" s="113" t="n"/>
      <c r="Q4109" s="113" t="n"/>
      <c r="R4109" s="113" t="n"/>
      <c r="S4109" s="113" t="n"/>
      <c r="T4109" s="113" t="n"/>
      <c r="U4109" s="113" t="n"/>
      <c r="V4109" s="113" t="n"/>
      <c r="W4109" s="113" t="n"/>
      <c r="X4109" s="113" t="n"/>
      <c r="Y4109" s="113" t="n"/>
      <c r="Z4109" s="117">
        <f>IF($B4109="",0,IF($S4109="EVET",IF($D4109="GELİR",$O4109,-$O4109),0))</f>
        <v/>
      </c>
      <c r="AA4109" s="117">
        <f>IF($B4109="",0,IF(OR($W4109="EVET",$X4109="EVET",$Y4109="EVET"),0,IF($D4109="GELİR",IF($E4109="SATIŞ İADESİ/İSKONTO",-$O4109,$O4109),-$O4109)))</f>
        <v/>
      </c>
      <c r="AB4109" s="117">
        <f>IF($B4109="","",IF(OR($D4109="",$E4109="",$O4109=""),"EKSİK",IF($O4109&lt;=0,"SIFIR/NEGATİF",IF(COUNTIFS($C$6:$C$5000,$C4109,$O$6:$O$5000,$O4109,$B$6:$B$5000,$B4109)&gt;1,"MÜKERRER","OK"))))</f>
        <v/>
      </c>
    </row>
    <row r="4110" ht="16.5" customHeight="1" s="80">
      <c r="A4110" s="113" t="n"/>
      <c r="B4110" s="113" t="n"/>
      <c r="C4110" s="113" t="n"/>
      <c r="D4110" s="113" t="n"/>
      <c r="E4110" s="113" t="n"/>
      <c r="F4110" s="113" t="n"/>
      <c r="G4110" s="113" t="n"/>
      <c r="H4110" s="113" t="n"/>
      <c r="I4110" s="113" t="n"/>
      <c r="J4110" s="113" t="n"/>
      <c r="K4110" s="113" t="n"/>
      <c r="L4110" s="113" t="n"/>
      <c r="M4110" s="113" t="n"/>
      <c r="N4110" s="113" t="n"/>
      <c r="O4110" s="113" t="n"/>
      <c r="P4110" s="113" t="n"/>
      <c r="Q4110" s="113" t="n"/>
      <c r="R4110" s="113" t="n"/>
      <c r="S4110" s="113" t="n"/>
      <c r="T4110" s="113" t="n"/>
      <c r="U4110" s="113" t="n"/>
      <c r="V4110" s="113" t="n"/>
      <c r="W4110" s="113" t="n"/>
      <c r="X4110" s="113" t="n"/>
      <c r="Y4110" s="113" t="n"/>
      <c r="Z4110" s="117">
        <f>IF($B4110="",0,IF($S4110="EVET",IF($D4110="GELİR",$O4110,-$O4110),0))</f>
        <v/>
      </c>
      <c r="AA4110" s="117">
        <f>IF($B4110="",0,IF(OR($W4110="EVET",$X4110="EVET",$Y4110="EVET"),0,IF($D4110="GELİR",IF($E4110="SATIŞ İADESİ/İSKONTO",-$O4110,$O4110),-$O4110)))</f>
        <v/>
      </c>
      <c r="AB4110" s="117">
        <f>IF($B4110="","",IF(OR($D4110="",$E4110="",$O4110=""),"EKSİK",IF($O4110&lt;=0,"SIFIR/NEGATİF",IF(COUNTIFS($C$6:$C$5000,$C4110,$O$6:$O$5000,$O4110,$B$6:$B$5000,$B4110)&gt;1,"MÜKERRER","OK"))))</f>
        <v/>
      </c>
    </row>
    <row r="4111" ht="16.5" customHeight="1" s="80">
      <c r="A4111" s="113" t="n"/>
      <c r="B4111" s="113" t="n"/>
      <c r="C4111" s="113" t="n"/>
      <c r="D4111" s="113" t="n"/>
      <c r="E4111" s="113" t="n"/>
      <c r="F4111" s="113" t="n"/>
      <c r="G4111" s="113" t="n"/>
      <c r="H4111" s="113" t="n"/>
      <c r="I4111" s="113" t="n"/>
      <c r="J4111" s="113" t="n"/>
      <c r="K4111" s="113" t="n"/>
      <c r="L4111" s="113" t="n"/>
      <c r="M4111" s="113" t="n"/>
      <c r="N4111" s="113" t="n"/>
      <c r="O4111" s="113" t="n"/>
      <c r="P4111" s="113" t="n"/>
      <c r="Q4111" s="113" t="n"/>
      <c r="R4111" s="113" t="n"/>
      <c r="S4111" s="113" t="n"/>
      <c r="T4111" s="113" t="n"/>
      <c r="U4111" s="113" t="n"/>
      <c r="V4111" s="113" t="n"/>
      <c r="W4111" s="113" t="n"/>
      <c r="X4111" s="113" t="n"/>
      <c r="Y4111" s="113" t="n"/>
      <c r="Z4111" s="117">
        <f>IF($B4111="",0,IF($S4111="EVET",IF($D4111="GELİR",$O4111,-$O4111),0))</f>
        <v/>
      </c>
      <c r="AA4111" s="117">
        <f>IF($B4111="",0,IF(OR($W4111="EVET",$X4111="EVET",$Y4111="EVET"),0,IF($D4111="GELİR",IF($E4111="SATIŞ İADESİ/İSKONTO",-$O4111,$O4111),-$O4111)))</f>
        <v/>
      </c>
      <c r="AB4111" s="117">
        <f>IF($B4111="","",IF(OR($D4111="",$E4111="",$O4111=""),"EKSİK",IF($O4111&lt;=0,"SIFIR/NEGATİF",IF(COUNTIFS($C$6:$C$5000,$C4111,$O$6:$O$5000,$O4111,$B$6:$B$5000,$B4111)&gt;1,"MÜKERRER","OK"))))</f>
        <v/>
      </c>
    </row>
    <row r="4112" ht="16.5" customHeight="1" s="80">
      <c r="A4112" s="113" t="n"/>
      <c r="B4112" s="113" t="n"/>
      <c r="C4112" s="113" t="n"/>
      <c r="D4112" s="113" t="n"/>
      <c r="E4112" s="113" t="n"/>
      <c r="F4112" s="113" t="n"/>
      <c r="G4112" s="113" t="n"/>
      <c r="H4112" s="113" t="n"/>
      <c r="I4112" s="113" t="n"/>
      <c r="J4112" s="113" t="n"/>
      <c r="K4112" s="113" t="n"/>
      <c r="L4112" s="113" t="n"/>
      <c r="M4112" s="113" t="n"/>
      <c r="N4112" s="113" t="n"/>
      <c r="O4112" s="113" t="n"/>
      <c r="P4112" s="113" t="n"/>
      <c r="Q4112" s="113" t="n"/>
      <c r="R4112" s="113" t="n"/>
      <c r="S4112" s="113" t="n"/>
      <c r="T4112" s="113" t="n"/>
      <c r="U4112" s="113" t="n"/>
      <c r="V4112" s="113" t="n"/>
      <c r="W4112" s="113" t="n"/>
      <c r="X4112" s="113" t="n"/>
      <c r="Y4112" s="113" t="n"/>
      <c r="Z4112" s="117">
        <f>IF($B4112="",0,IF($S4112="EVET",IF($D4112="GELİR",$O4112,-$O4112),0))</f>
        <v/>
      </c>
      <c r="AA4112" s="117">
        <f>IF($B4112="",0,IF(OR($W4112="EVET",$X4112="EVET",$Y4112="EVET"),0,IF($D4112="GELİR",IF($E4112="SATIŞ İADESİ/İSKONTO",-$O4112,$O4112),-$O4112)))</f>
        <v/>
      </c>
      <c r="AB4112" s="117">
        <f>IF($B4112="","",IF(OR($D4112="",$E4112="",$O4112=""),"EKSİK",IF($O4112&lt;=0,"SIFIR/NEGATİF",IF(COUNTIFS($C$6:$C$5000,$C4112,$O$6:$O$5000,$O4112,$B$6:$B$5000,$B4112)&gt;1,"MÜKERRER","OK"))))</f>
        <v/>
      </c>
    </row>
    <row r="4113" ht="16.5" customHeight="1" s="80">
      <c r="A4113" s="113" t="n"/>
      <c r="B4113" s="113" t="n"/>
      <c r="C4113" s="113" t="n"/>
      <c r="D4113" s="113" t="n"/>
      <c r="E4113" s="113" t="n"/>
      <c r="F4113" s="113" t="n"/>
      <c r="G4113" s="113" t="n"/>
      <c r="H4113" s="113" t="n"/>
      <c r="I4113" s="113" t="n"/>
      <c r="J4113" s="113" t="n"/>
      <c r="K4113" s="113" t="n"/>
      <c r="L4113" s="113" t="n"/>
      <c r="M4113" s="113" t="n"/>
      <c r="N4113" s="113" t="n"/>
      <c r="O4113" s="113" t="n"/>
      <c r="P4113" s="113" t="n"/>
      <c r="Q4113" s="113" t="n"/>
      <c r="R4113" s="113" t="n"/>
      <c r="S4113" s="113" t="n"/>
      <c r="T4113" s="113" t="n"/>
      <c r="U4113" s="113" t="n"/>
      <c r="V4113" s="113" t="n"/>
      <c r="W4113" s="113" t="n"/>
      <c r="X4113" s="113" t="n"/>
      <c r="Y4113" s="113" t="n"/>
      <c r="Z4113" s="117">
        <f>IF($B4113="",0,IF($S4113="EVET",IF($D4113="GELİR",$O4113,-$O4113),0))</f>
        <v/>
      </c>
      <c r="AA4113" s="117">
        <f>IF($B4113="",0,IF(OR($W4113="EVET",$X4113="EVET",$Y4113="EVET"),0,IF($D4113="GELİR",IF($E4113="SATIŞ İADESİ/İSKONTO",-$O4113,$O4113),-$O4113)))</f>
        <v/>
      </c>
      <c r="AB4113" s="117">
        <f>IF($B4113="","",IF(OR($D4113="",$E4113="",$O4113=""),"EKSİK",IF($O4113&lt;=0,"SIFIR/NEGATİF",IF(COUNTIFS($C$6:$C$5000,$C4113,$O$6:$O$5000,$O4113,$B$6:$B$5000,$B4113)&gt;1,"MÜKERRER","OK"))))</f>
        <v/>
      </c>
    </row>
    <row r="4114" ht="16.5" customHeight="1" s="80">
      <c r="A4114" s="113" t="n"/>
      <c r="B4114" s="113" t="n"/>
      <c r="C4114" s="113" t="n"/>
      <c r="D4114" s="113" t="n"/>
      <c r="E4114" s="113" t="n"/>
      <c r="F4114" s="113" t="n"/>
      <c r="G4114" s="113" t="n"/>
      <c r="H4114" s="113" t="n"/>
      <c r="I4114" s="113" t="n"/>
      <c r="J4114" s="113" t="n"/>
      <c r="K4114" s="113" t="n"/>
      <c r="L4114" s="113" t="n"/>
      <c r="M4114" s="113" t="n"/>
      <c r="N4114" s="113" t="n"/>
      <c r="O4114" s="113" t="n"/>
      <c r="P4114" s="113" t="n"/>
      <c r="Q4114" s="113" t="n"/>
      <c r="R4114" s="113" t="n"/>
      <c r="S4114" s="113" t="n"/>
      <c r="T4114" s="113" t="n"/>
      <c r="U4114" s="113" t="n"/>
      <c r="V4114" s="113" t="n"/>
      <c r="W4114" s="113" t="n"/>
      <c r="X4114" s="113" t="n"/>
      <c r="Y4114" s="113" t="n"/>
      <c r="Z4114" s="117">
        <f>IF($B4114="",0,IF($S4114="EVET",IF($D4114="GELİR",$O4114,-$O4114),0))</f>
        <v/>
      </c>
      <c r="AA4114" s="117">
        <f>IF($B4114="",0,IF(OR($W4114="EVET",$X4114="EVET",$Y4114="EVET"),0,IF($D4114="GELİR",IF($E4114="SATIŞ İADESİ/İSKONTO",-$O4114,$O4114),-$O4114)))</f>
        <v/>
      </c>
      <c r="AB4114" s="117">
        <f>IF($B4114="","",IF(OR($D4114="",$E4114="",$O4114=""),"EKSİK",IF($O4114&lt;=0,"SIFIR/NEGATİF",IF(COUNTIFS($C$6:$C$5000,$C4114,$O$6:$O$5000,$O4114,$B$6:$B$5000,$B4114)&gt;1,"MÜKERRER","OK"))))</f>
        <v/>
      </c>
    </row>
    <row r="4115" ht="16.5" customHeight="1" s="80">
      <c r="A4115" s="113" t="n"/>
      <c r="B4115" s="113" t="n"/>
      <c r="C4115" s="113" t="n"/>
      <c r="D4115" s="113" t="n"/>
      <c r="E4115" s="113" t="n"/>
      <c r="F4115" s="113" t="n"/>
      <c r="G4115" s="113" t="n"/>
      <c r="H4115" s="113" t="n"/>
      <c r="I4115" s="113" t="n"/>
      <c r="J4115" s="113" t="n"/>
      <c r="K4115" s="113" t="n"/>
      <c r="L4115" s="113" t="n"/>
      <c r="M4115" s="113" t="n"/>
      <c r="N4115" s="113" t="n"/>
      <c r="O4115" s="113" t="n"/>
      <c r="P4115" s="113" t="n"/>
      <c r="Q4115" s="113" t="n"/>
      <c r="R4115" s="113" t="n"/>
      <c r="S4115" s="113" t="n"/>
      <c r="T4115" s="113" t="n"/>
      <c r="U4115" s="113" t="n"/>
      <c r="V4115" s="113" t="n"/>
      <c r="W4115" s="113" t="n"/>
      <c r="X4115" s="113" t="n"/>
      <c r="Y4115" s="113" t="n"/>
      <c r="Z4115" s="117">
        <f>IF($B4115="",0,IF($S4115="EVET",IF($D4115="GELİR",$O4115,-$O4115),0))</f>
        <v/>
      </c>
      <c r="AA4115" s="117">
        <f>IF($B4115="",0,IF(OR($W4115="EVET",$X4115="EVET",$Y4115="EVET"),0,IF($D4115="GELİR",IF($E4115="SATIŞ İADESİ/İSKONTO",-$O4115,$O4115),-$O4115)))</f>
        <v/>
      </c>
      <c r="AB4115" s="117">
        <f>IF($B4115="","",IF(OR($D4115="",$E4115="",$O4115=""),"EKSİK",IF($O4115&lt;=0,"SIFIR/NEGATİF",IF(COUNTIFS($C$6:$C$5000,$C4115,$O$6:$O$5000,$O4115,$B$6:$B$5000,$B4115)&gt;1,"MÜKERRER","OK"))))</f>
        <v/>
      </c>
    </row>
    <row r="4116" ht="16.5" customHeight="1" s="80">
      <c r="A4116" s="113" t="n"/>
      <c r="B4116" s="113" t="n"/>
      <c r="C4116" s="113" t="n"/>
      <c r="D4116" s="113" t="n"/>
      <c r="E4116" s="113" t="n"/>
      <c r="F4116" s="113" t="n"/>
      <c r="G4116" s="113" t="n"/>
      <c r="H4116" s="113" t="n"/>
      <c r="I4116" s="113" t="n"/>
      <c r="J4116" s="113" t="n"/>
      <c r="K4116" s="113" t="n"/>
      <c r="L4116" s="113" t="n"/>
      <c r="M4116" s="113" t="n"/>
      <c r="N4116" s="113" t="n"/>
      <c r="O4116" s="113" t="n"/>
      <c r="P4116" s="113" t="n"/>
      <c r="Q4116" s="113" t="n"/>
      <c r="R4116" s="113" t="n"/>
      <c r="S4116" s="113" t="n"/>
      <c r="T4116" s="113" t="n"/>
      <c r="U4116" s="113" t="n"/>
      <c r="V4116" s="113" t="n"/>
      <c r="W4116" s="113" t="n"/>
      <c r="X4116" s="113" t="n"/>
      <c r="Y4116" s="113" t="n"/>
      <c r="Z4116" s="117">
        <f>IF($B4116="",0,IF($S4116="EVET",IF($D4116="GELİR",$O4116,-$O4116),0))</f>
        <v/>
      </c>
      <c r="AA4116" s="117">
        <f>IF($B4116="",0,IF(OR($W4116="EVET",$X4116="EVET",$Y4116="EVET"),0,IF($D4116="GELİR",IF($E4116="SATIŞ İADESİ/İSKONTO",-$O4116,$O4116),-$O4116)))</f>
        <v/>
      </c>
      <c r="AB4116" s="117">
        <f>IF($B4116="","",IF(OR($D4116="",$E4116="",$O4116=""),"EKSİK",IF($O4116&lt;=0,"SIFIR/NEGATİF",IF(COUNTIFS($C$6:$C$5000,$C4116,$O$6:$O$5000,$O4116,$B$6:$B$5000,$B4116)&gt;1,"MÜKERRER","OK"))))</f>
        <v/>
      </c>
    </row>
    <row r="4117" ht="16.5" customHeight="1" s="80">
      <c r="A4117" s="113" t="n"/>
      <c r="B4117" s="113" t="n"/>
      <c r="C4117" s="113" t="n"/>
      <c r="D4117" s="113" t="n"/>
      <c r="E4117" s="113" t="n"/>
      <c r="F4117" s="113" t="n"/>
      <c r="G4117" s="113" t="n"/>
      <c r="H4117" s="113" t="n"/>
      <c r="I4117" s="113" t="n"/>
      <c r="J4117" s="113" t="n"/>
      <c r="K4117" s="113" t="n"/>
      <c r="L4117" s="113" t="n"/>
      <c r="M4117" s="113" t="n"/>
      <c r="N4117" s="113" t="n"/>
      <c r="O4117" s="113" t="n"/>
      <c r="P4117" s="113" t="n"/>
      <c r="Q4117" s="113" t="n"/>
      <c r="R4117" s="113" t="n"/>
      <c r="S4117" s="113" t="n"/>
      <c r="T4117" s="113" t="n"/>
      <c r="U4117" s="113" t="n"/>
      <c r="V4117" s="113" t="n"/>
      <c r="W4117" s="113" t="n"/>
      <c r="X4117" s="113" t="n"/>
      <c r="Y4117" s="113" t="n"/>
      <c r="Z4117" s="117">
        <f>IF($B4117="",0,IF($S4117="EVET",IF($D4117="GELİR",$O4117,-$O4117),0))</f>
        <v/>
      </c>
      <c r="AA4117" s="117">
        <f>IF($B4117="",0,IF(OR($W4117="EVET",$X4117="EVET",$Y4117="EVET"),0,IF($D4117="GELİR",IF($E4117="SATIŞ İADESİ/İSKONTO",-$O4117,$O4117),-$O4117)))</f>
        <v/>
      </c>
      <c r="AB4117" s="117">
        <f>IF($B4117="","",IF(OR($D4117="",$E4117="",$O4117=""),"EKSİK",IF($O4117&lt;=0,"SIFIR/NEGATİF",IF(COUNTIFS($C$6:$C$5000,$C4117,$O$6:$O$5000,$O4117,$B$6:$B$5000,$B4117)&gt;1,"MÜKERRER","OK"))))</f>
        <v/>
      </c>
    </row>
    <row r="4118" ht="16.5" customHeight="1" s="80">
      <c r="A4118" s="113" t="n"/>
      <c r="B4118" s="113" t="n"/>
      <c r="C4118" s="113" t="n"/>
      <c r="D4118" s="113" t="n"/>
      <c r="E4118" s="113" t="n"/>
      <c r="F4118" s="113" t="n"/>
      <c r="G4118" s="113" t="n"/>
      <c r="H4118" s="113" t="n"/>
      <c r="I4118" s="113" t="n"/>
      <c r="J4118" s="113" t="n"/>
      <c r="K4118" s="113" t="n"/>
      <c r="L4118" s="113" t="n"/>
      <c r="M4118" s="113" t="n"/>
      <c r="N4118" s="113" t="n"/>
      <c r="O4118" s="113" t="n"/>
      <c r="P4118" s="113" t="n"/>
      <c r="Q4118" s="113" t="n"/>
      <c r="R4118" s="113" t="n"/>
      <c r="S4118" s="113" t="n"/>
      <c r="T4118" s="113" t="n"/>
      <c r="U4118" s="113" t="n"/>
      <c r="V4118" s="113" t="n"/>
      <c r="W4118" s="113" t="n"/>
      <c r="X4118" s="113" t="n"/>
      <c r="Y4118" s="113" t="n"/>
      <c r="Z4118" s="117">
        <f>IF($B4118="",0,IF($S4118="EVET",IF($D4118="GELİR",$O4118,-$O4118),0))</f>
        <v/>
      </c>
      <c r="AA4118" s="117">
        <f>IF($B4118="",0,IF(OR($W4118="EVET",$X4118="EVET",$Y4118="EVET"),0,IF($D4118="GELİR",IF($E4118="SATIŞ İADESİ/İSKONTO",-$O4118,$O4118),-$O4118)))</f>
        <v/>
      </c>
      <c r="AB4118" s="117">
        <f>IF($B4118="","",IF(OR($D4118="",$E4118="",$O4118=""),"EKSİK",IF($O4118&lt;=0,"SIFIR/NEGATİF",IF(COUNTIFS($C$6:$C$5000,$C4118,$O$6:$O$5000,$O4118,$B$6:$B$5000,$B4118)&gt;1,"MÜKERRER","OK"))))</f>
        <v/>
      </c>
    </row>
    <row r="4119" ht="16.5" customHeight="1" s="80">
      <c r="A4119" s="113" t="n"/>
      <c r="B4119" s="113" t="n"/>
      <c r="C4119" s="113" t="n"/>
      <c r="D4119" s="113" t="n"/>
      <c r="E4119" s="113" t="n"/>
      <c r="F4119" s="113" t="n"/>
      <c r="G4119" s="113" t="n"/>
      <c r="H4119" s="113" t="n"/>
      <c r="I4119" s="113" t="n"/>
      <c r="J4119" s="113" t="n"/>
      <c r="K4119" s="113" t="n"/>
      <c r="L4119" s="113" t="n"/>
      <c r="M4119" s="113" t="n"/>
      <c r="N4119" s="113" t="n"/>
      <c r="O4119" s="113" t="n"/>
      <c r="P4119" s="113" t="n"/>
      <c r="Q4119" s="113" t="n"/>
      <c r="R4119" s="113" t="n"/>
      <c r="S4119" s="113" t="n"/>
      <c r="T4119" s="113" t="n"/>
      <c r="U4119" s="113" t="n"/>
      <c r="V4119" s="113" t="n"/>
      <c r="W4119" s="113" t="n"/>
      <c r="X4119" s="113" t="n"/>
      <c r="Y4119" s="113" t="n"/>
      <c r="Z4119" s="117">
        <f>IF($B4119="",0,IF($S4119="EVET",IF($D4119="GELİR",$O4119,-$O4119),0))</f>
        <v/>
      </c>
      <c r="AA4119" s="117">
        <f>IF($B4119="",0,IF(OR($W4119="EVET",$X4119="EVET",$Y4119="EVET"),0,IF($D4119="GELİR",IF($E4119="SATIŞ İADESİ/İSKONTO",-$O4119,$O4119),-$O4119)))</f>
        <v/>
      </c>
      <c r="AB4119" s="117">
        <f>IF($B4119="","",IF(OR($D4119="",$E4119="",$O4119=""),"EKSİK",IF($O4119&lt;=0,"SIFIR/NEGATİF",IF(COUNTIFS($C$6:$C$5000,$C4119,$O$6:$O$5000,$O4119,$B$6:$B$5000,$B4119)&gt;1,"MÜKERRER","OK"))))</f>
        <v/>
      </c>
    </row>
    <row r="4120" ht="16.5" customHeight="1" s="80">
      <c r="A4120" s="113" t="n"/>
      <c r="B4120" s="113" t="n"/>
      <c r="C4120" s="113" t="n"/>
      <c r="D4120" s="113" t="n"/>
      <c r="E4120" s="113" t="n"/>
      <c r="F4120" s="113" t="n"/>
      <c r="G4120" s="113" t="n"/>
      <c r="H4120" s="113" t="n"/>
      <c r="I4120" s="113" t="n"/>
      <c r="J4120" s="113" t="n"/>
      <c r="K4120" s="113" t="n"/>
      <c r="L4120" s="113" t="n"/>
      <c r="M4120" s="113" t="n"/>
      <c r="N4120" s="113" t="n"/>
      <c r="O4120" s="113" t="n"/>
      <c r="P4120" s="113" t="n"/>
      <c r="Q4120" s="113" t="n"/>
      <c r="R4120" s="113" t="n"/>
      <c r="S4120" s="113" t="n"/>
      <c r="T4120" s="113" t="n"/>
      <c r="U4120" s="113" t="n"/>
      <c r="V4120" s="113" t="n"/>
      <c r="W4120" s="113" t="n"/>
      <c r="X4120" s="113" t="n"/>
      <c r="Y4120" s="113" t="n"/>
      <c r="Z4120" s="117">
        <f>IF($B4120="",0,IF($S4120="EVET",IF($D4120="GELİR",$O4120,-$O4120),0))</f>
        <v/>
      </c>
      <c r="AA4120" s="117">
        <f>IF($B4120="",0,IF(OR($W4120="EVET",$X4120="EVET",$Y4120="EVET"),0,IF($D4120="GELİR",IF($E4120="SATIŞ İADESİ/İSKONTO",-$O4120,$O4120),-$O4120)))</f>
        <v/>
      </c>
      <c r="AB4120" s="117">
        <f>IF($B4120="","",IF(OR($D4120="",$E4120="",$O4120=""),"EKSİK",IF($O4120&lt;=0,"SIFIR/NEGATİF",IF(COUNTIFS($C$6:$C$5000,$C4120,$O$6:$O$5000,$O4120,$B$6:$B$5000,$B4120)&gt;1,"MÜKERRER","OK"))))</f>
        <v/>
      </c>
    </row>
    <row r="4121" ht="16.5" customHeight="1" s="80">
      <c r="A4121" s="113" t="n"/>
      <c r="B4121" s="113" t="n"/>
      <c r="C4121" s="113" t="n"/>
      <c r="D4121" s="113" t="n"/>
      <c r="E4121" s="113" t="n"/>
      <c r="F4121" s="113" t="n"/>
      <c r="G4121" s="113" t="n"/>
      <c r="H4121" s="113" t="n"/>
      <c r="I4121" s="113" t="n"/>
      <c r="J4121" s="113" t="n"/>
      <c r="K4121" s="113" t="n"/>
      <c r="L4121" s="113" t="n"/>
      <c r="M4121" s="113" t="n"/>
      <c r="N4121" s="113" t="n"/>
      <c r="O4121" s="113" t="n"/>
      <c r="P4121" s="113" t="n"/>
      <c r="Q4121" s="113" t="n"/>
      <c r="R4121" s="113" t="n"/>
      <c r="S4121" s="113" t="n"/>
      <c r="T4121" s="113" t="n"/>
      <c r="U4121" s="113" t="n"/>
      <c r="V4121" s="113" t="n"/>
      <c r="W4121" s="113" t="n"/>
      <c r="X4121" s="113" t="n"/>
      <c r="Y4121" s="113" t="n"/>
      <c r="Z4121" s="117">
        <f>IF($B4121="",0,IF($S4121="EVET",IF($D4121="GELİR",$O4121,-$O4121),0))</f>
        <v/>
      </c>
      <c r="AA4121" s="117">
        <f>IF($B4121="",0,IF(OR($W4121="EVET",$X4121="EVET",$Y4121="EVET"),0,IF($D4121="GELİR",IF($E4121="SATIŞ İADESİ/İSKONTO",-$O4121,$O4121),-$O4121)))</f>
        <v/>
      </c>
      <c r="AB4121" s="117">
        <f>IF($B4121="","",IF(OR($D4121="",$E4121="",$O4121=""),"EKSİK",IF($O4121&lt;=0,"SIFIR/NEGATİF",IF(COUNTIFS($C$6:$C$5000,$C4121,$O$6:$O$5000,$O4121,$B$6:$B$5000,$B4121)&gt;1,"MÜKERRER","OK"))))</f>
        <v/>
      </c>
    </row>
    <row r="4122" ht="16.5" customHeight="1" s="80">
      <c r="A4122" s="113" t="n"/>
      <c r="B4122" s="113" t="n"/>
      <c r="C4122" s="113" t="n"/>
      <c r="D4122" s="113" t="n"/>
      <c r="E4122" s="113" t="n"/>
      <c r="F4122" s="113" t="n"/>
      <c r="G4122" s="113" t="n"/>
      <c r="H4122" s="113" t="n"/>
      <c r="I4122" s="113" t="n"/>
      <c r="J4122" s="113" t="n"/>
      <c r="K4122" s="113" t="n"/>
      <c r="L4122" s="113" t="n"/>
      <c r="M4122" s="113" t="n"/>
      <c r="N4122" s="113" t="n"/>
      <c r="O4122" s="113" t="n"/>
      <c r="P4122" s="113" t="n"/>
      <c r="Q4122" s="113" t="n"/>
      <c r="R4122" s="113" t="n"/>
      <c r="S4122" s="113" t="n"/>
      <c r="T4122" s="113" t="n"/>
      <c r="U4122" s="113" t="n"/>
      <c r="V4122" s="113" t="n"/>
      <c r="W4122" s="113" t="n"/>
      <c r="X4122" s="113" t="n"/>
      <c r="Y4122" s="113" t="n"/>
      <c r="Z4122" s="117">
        <f>IF($B4122="",0,IF($S4122="EVET",IF($D4122="GELİR",$O4122,-$O4122),0))</f>
        <v/>
      </c>
      <c r="AA4122" s="117">
        <f>IF($B4122="",0,IF(OR($W4122="EVET",$X4122="EVET",$Y4122="EVET"),0,IF($D4122="GELİR",IF($E4122="SATIŞ İADESİ/İSKONTO",-$O4122,$O4122),-$O4122)))</f>
        <v/>
      </c>
      <c r="AB4122" s="117">
        <f>IF($B4122="","",IF(OR($D4122="",$E4122="",$O4122=""),"EKSİK",IF($O4122&lt;=0,"SIFIR/NEGATİF",IF(COUNTIFS($C$6:$C$5000,$C4122,$O$6:$O$5000,$O4122,$B$6:$B$5000,$B4122)&gt;1,"MÜKERRER","OK"))))</f>
        <v/>
      </c>
    </row>
    <row r="4123" ht="16.5" customHeight="1" s="80">
      <c r="A4123" s="113" t="n"/>
      <c r="B4123" s="113" t="n"/>
      <c r="C4123" s="113" t="n"/>
      <c r="D4123" s="113" t="n"/>
      <c r="E4123" s="113" t="n"/>
      <c r="F4123" s="113" t="n"/>
      <c r="G4123" s="113" t="n"/>
      <c r="H4123" s="113" t="n"/>
      <c r="I4123" s="113" t="n"/>
      <c r="J4123" s="113" t="n"/>
      <c r="K4123" s="113" t="n"/>
      <c r="L4123" s="113" t="n"/>
      <c r="M4123" s="113" t="n"/>
      <c r="N4123" s="113" t="n"/>
      <c r="O4123" s="113" t="n"/>
      <c r="P4123" s="113" t="n"/>
      <c r="Q4123" s="113" t="n"/>
      <c r="R4123" s="113" t="n"/>
      <c r="S4123" s="113" t="n"/>
      <c r="T4123" s="113" t="n"/>
      <c r="U4123" s="113" t="n"/>
      <c r="V4123" s="113" t="n"/>
      <c r="W4123" s="113" t="n"/>
      <c r="X4123" s="113" t="n"/>
      <c r="Y4123" s="113" t="n"/>
      <c r="Z4123" s="117">
        <f>IF($B4123="",0,IF($S4123="EVET",IF($D4123="GELİR",$O4123,-$O4123),0))</f>
        <v/>
      </c>
      <c r="AA4123" s="117">
        <f>IF($B4123="",0,IF(OR($W4123="EVET",$X4123="EVET",$Y4123="EVET"),0,IF($D4123="GELİR",IF($E4123="SATIŞ İADESİ/İSKONTO",-$O4123,$O4123),-$O4123)))</f>
        <v/>
      </c>
      <c r="AB4123" s="117">
        <f>IF($B4123="","",IF(OR($D4123="",$E4123="",$O4123=""),"EKSİK",IF($O4123&lt;=0,"SIFIR/NEGATİF",IF(COUNTIFS($C$6:$C$5000,$C4123,$O$6:$O$5000,$O4123,$B$6:$B$5000,$B4123)&gt;1,"MÜKERRER","OK"))))</f>
        <v/>
      </c>
    </row>
    <row r="4124" ht="16.5" customHeight="1" s="80">
      <c r="A4124" s="113" t="n"/>
      <c r="B4124" s="113" t="n"/>
      <c r="C4124" s="113" t="n"/>
      <c r="D4124" s="113" t="n"/>
      <c r="E4124" s="113" t="n"/>
      <c r="F4124" s="113" t="n"/>
      <c r="G4124" s="113" t="n"/>
      <c r="H4124" s="113" t="n"/>
      <c r="I4124" s="113" t="n"/>
      <c r="J4124" s="113" t="n"/>
      <c r="K4124" s="113" t="n"/>
      <c r="L4124" s="113" t="n"/>
      <c r="M4124" s="113" t="n"/>
      <c r="N4124" s="113" t="n"/>
      <c r="O4124" s="113" t="n"/>
      <c r="P4124" s="113" t="n"/>
      <c r="Q4124" s="113" t="n"/>
      <c r="R4124" s="113" t="n"/>
      <c r="S4124" s="113" t="n"/>
      <c r="T4124" s="113" t="n"/>
      <c r="U4124" s="113" t="n"/>
      <c r="V4124" s="113" t="n"/>
      <c r="W4124" s="113" t="n"/>
      <c r="X4124" s="113" t="n"/>
      <c r="Y4124" s="113" t="n"/>
      <c r="Z4124" s="117">
        <f>IF($B4124="",0,IF($S4124="EVET",IF($D4124="GELİR",$O4124,-$O4124),0))</f>
        <v/>
      </c>
      <c r="AA4124" s="117">
        <f>IF($B4124="",0,IF(OR($W4124="EVET",$X4124="EVET",$Y4124="EVET"),0,IF($D4124="GELİR",IF($E4124="SATIŞ İADESİ/İSKONTO",-$O4124,$O4124),-$O4124)))</f>
        <v/>
      </c>
      <c r="AB4124" s="117">
        <f>IF($B4124="","",IF(OR($D4124="",$E4124="",$O4124=""),"EKSİK",IF($O4124&lt;=0,"SIFIR/NEGATİF",IF(COUNTIFS($C$6:$C$5000,$C4124,$O$6:$O$5000,$O4124,$B$6:$B$5000,$B4124)&gt;1,"MÜKERRER","OK"))))</f>
        <v/>
      </c>
    </row>
    <row r="4125" ht="16.5" customHeight="1" s="80">
      <c r="A4125" s="113" t="n"/>
      <c r="B4125" s="113" t="n"/>
      <c r="C4125" s="113" t="n"/>
      <c r="D4125" s="113" t="n"/>
      <c r="E4125" s="113" t="n"/>
      <c r="F4125" s="113" t="n"/>
      <c r="G4125" s="113" t="n"/>
      <c r="H4125" s="113" t="n"/>
      <c r="I4125" s="113" t="n"/>
      <c r="J4125" s="113" t="n"/>
      <c r="K4125" s="113" t="n"/>
      <c r="L4125" s="113" t="n"/>
      <c r="M4125" s="113" t="n"/>
      <c r="N4125" s="113" t="n"/>
      <c r="O4125" s="113" t="n"/>
      <c r="P4125" s="113" t="n"/>
      <c r="Q4125" s="113" t="n"/>
      <c r="R4125" s="113" t="n"/>
      <c r="S4125" s="113" t="n"/>
      <c r="T4125" s="113" t="n"/>
      <c r="U4125" s="113" t="n"/>
      <c r="V4125" s="113" t="n"/>
      <c r="W4125" s="113" t="n"/>
      <c r="X4125" s="113" t="n"/>
      <c r="Y4125" s="113" t="n"/>
      <c r="Z4125" s="117">
        <f>IF($B4125="",0,IF($S4125="EVET",IF($D4125="GELİR",$O4125,-$O4125),0))</f>
        <v/>
      </c>
      <c r="AA4125" s="117">
        <f>IF($B4125="",0,IF(OR($W4125="EVET",$X4125="EVET",$Y4125="EVET"),0,IF($D4125="GELİR",IF($E4125="SATIŞ İADESİ/İSKONTO",-$O4125,$O4125),-$O4125)))</f>
        <v/>
      </c>
      <c r="AB4125" s="117">
        <f>IF($B4125="","",IF(OR($D4125="",$E4125="",$O4125=""),"EKSİK",IF($O4125&lt;=0,"SIFIR/NEGATİF",IF(COUNTIFS($C$6:$C$5000,$C4125,$O$6:$O$5000,$O4125,$B$6:$B$5000,$B4125)&gt;1,"MÜKERRER","OK"))))</f>
        <v/>
      </c>
    </row>
    <row r="4126" ht="16.5" customHeight="1" s="80">
      <c r="A4126" s="113" t="n"/>
      <c r="B4126" s="113" t="n"/>
      <c r="C4126" s="113" t="n"/>
      <c r="D4126" s="113" t="n"/>
      <c r="E4126" s="113" t="n"/>
      <c r="F4126" s="113" t="n"/>
      <c r="G4126" s="113" t="n"/>
      <c r="H4126" s="113" t="n"/>
      <c r="I4126" s="113" t="n"/>
      <c r="J4126" s="113" t="n"/>
      <c r="K4126" s="113" t="n"/>
      <c r="L4126" s="113" t="n"/>
      <c r="M4126" s="113" t="n"/>
      <c r="N4126" s="113" t="n"/>
      <c r="O4126" s="113" t="n"/>
      <c r="P4126" s="113" t="n"/>
      <c r="Q4126" s="113" t="n"/>
      <c r="R4126" s="113" t="n"/>
      <c r="S4126" s="113" t="n"/>
      <c r="T4126" s="113" t="n"/>
      <c r="U4126" s="113" t="n"/>
      <c r="V4126" s="113" t="n"/>
      <c r="W4126" s="113" t="n"/>
      <c r="X4126" s="113" t="n"/>
      <c r="Y4126" s="113" t="n"/>
      <c r="Z4126" s="117">
        <f>IF($B4126="",0,IF($S4126="EVET",IF($D4126="GELİR",$O4126,-$O4126),0))</f>
        <v/>
      </c>
      <c r="AA4126" s="117">
        <f>IF($B4126="",0,IF(OR($W4126="EVET",$X4126="EVET",$Y4126="EVET"),0,IF($D4126="GELİR",IF($E4126="SATIŞ İADESİ/İSKONTO",-$O4126,$O4126),-$O4126)))</f>
        <v/>
      </c>
      <c r="AB4126" s="117">
        <f>IF($B4126="","",IF(OR($D4126="",$E4126="",$O4126=""),"EKSİK",IF($O4126&lt;=0,"SIFIR/NEGATİF",IF(COUNTIFS($C$6:$C$5000,$C4126,$O$6:$O$5000,$O4126,$B$6:$B$5000,$B4126)&gt;1,"MÜKERRER","OK"))))</f>
        <v/>
      </c>
    </row>
    <row r="4127" ht="16.5" customHeight="1" s="80">
      <c r="A4127" s="113" t="n"/>
      <c r="B4127" s="113" t="n"/>
      <c r="C4127" s="113" t="n"/>
      <c r="D4127" s="113" t="n"/>
      <c r="E4127" s="113" t="n"/>
      <c r="F4127" s="113" t="n"/>
      <c r="G4127" s="113" t="n"/>
      <c r="H4127" s="113" t="n"/>
      <c r="I4127" s="113" t="n"/>
      <c r="J4127" s="113" t="n"/>
      <c r="K4127" s="113" t="n"/>
      <c r="L4127" s="113" t="n"/>
      <c r="M4127" s="113" t="n"/>
      <c r="N4127" s="113" t="n"/>
      <c r="O4127" s="113" t="n"/>
      <c r="P4127" s="113" t="n"/>
      <c r="Q4127" s="113" t="n"/>
      <c r="R4127" s="113" t="n"/>
      <c r="S4127" s="113" t="n"/>
      <c r="T4127" s="113" t="n"/>
      <c r="U4127" s="113" t="n"/>
      <c r="V4127" s="113" t="n"/>
      <c r="W4127" s="113" t="n"/>
      <c r="X4127" s="113" t="n"/>
      <c r="Y4127" s="113" t="n"/>
      <c r="Z4127" s="117">
        <f>IF($B4127="",0,IF($S4127="EVET",IF($D4127="GELİR",$O4127,-$O4127),0))</f>
        <v/>
      </c>
      <c r="AA4127" s="117">
        <f>IF($B4127="",0,IF(OR($W4127="EVET",$X4127="EVET",$Y4127="EVET"),0,IF($D4127="GELİR",IF($E4127="SATIŞ İADESİ/İSKONTO",-$O4127,$O4127),-$O4127)))</f>
        <v/>
      </c>
      <c r="AB4127" s="117">
        <f>IF($B4127="","",IF(OR($D4127="",$E4127="",$O4127=""),"EKSİK",IF($O4127&lt;=0,"SIFIR/NEGATİF",IF(COUNTIFS($C$6:$C$5000,$C4127,$O$6:$O$5000,$O4127,$B$6:$B$5000,$B4127)&gt;1,"MÜKERRER","OK"))))</f>
        <v/>
      </c>
    </row>
    <row r="4128" ht="16.5" customHeight="1" s="80">
      <c r="A4128" s="113" t="n"/>
      <c r="B4128" s="113" t="n"/>
      <c r="C4128" s="113" t="n"/>
      <c r="D4128" s="113" t="n"/>
      <c r="E4128" s="113" t="n"/>
      <c r="F4128" s="113" t="n"/>
      <c r="G4128" s="113" t="n"/>
      <c r="H4128" s="113" t="n"/>
      <c r="I4128" s="113" t="n"/>
      <c r="J4128" s="113" t="n"/>
      <c r="K4128" s="113" t="n"/>
      <c r="L4128" s="113" t="n"/>
      <c r="M4128" s="113" t="n"/>
      <c r="N4128" s="113" t="n"/>
      <c r="O4128" s="113" t="n"/>
      <c r="P4128" s="113" t="n"/>
      <c r="Q4128" s="113" t="n"/>
      <c r="R4128" s="113" t="n"/>
      <c r="S4128" s="113" t="n"/>
      <c r="T4128" s="113" t="n"/>
      <c r="U4128" s="113" t="n"/>
      <c r="V4128" s="113" t="n"/>
      <c r="W4128" s="113" t="n"/>
      <c r="X4128" s="113" t="n"/>
      <c r="Y4128" s="113" t="n"/>
      <c r="Z4128" s="117">
        <f>IF($B4128="",0,IF($S4128="EVET",IF($D4128="GELİR",$O4128,-$O4128),0))</f>
        <v/>
      </c>
      <c r="AA4128" s="117">
        <f>IF($B4128="",0,IF(OR($W4128="EVET",$X4128="EVET",$Y4128="EVET"),0,IF($D4128="GELİR",IF($E4128="SATIŞ İADESİ/İSKONTO",-$O4128,$O4128),-$O4128)))</f>
        <v/>
      </c>
      <c r="AB4128" s="117">
        <f>IF($B4128="","",IF(OR($D4128="",$E4128="",$O4128=""),"EKSİK",IF($O4128&lt;=0,"SIFIR/NEGATİF",IF(COUNTIFS($C$6:$C$5000,$C4128,$O$6:$O$5000,$O4128,$B$6:$B$5000,$B4128)&gt;1,"MÜKERRER","OK"))))</f>
        <v/>
      </c>
    </row>
    <row r="4129" ht="16.5" customHeight="1" s="80">
      <c r="A4129" s="113" t="n"/>
      <c r="B4129" s="113" t="n"/>
      <c r="C4129" s="113" t="n"/>
      <c r="D4129" s="113" t="n"/>
      <c r="E4129" s="113" t="n"/>
      <c r="F4129" s="113" t="n"/>
      <c r="G4129" s="113" t="n"/>
      <c r="H4129" s="113" t="n"/>
      <c r="I4129" s="113" t="n"/>
      <c r="J4129" s="113" t="n"/>
      <c r="K4129" s="113" t="n"/>
      <c r="L4129" s="113" t="n"/>
      <c r="M4129" s="113" t="n"/>
      <c r="N4129" s="113" t="n"/>
      <c r="O4129" s="113" t="n"/>
      <c r="P4129" s="113" t="n"/>
      <c r="Q4129" s="113" t="n"/>
      <c r="R4129" s="113" t="n"/>
      <c r="S4129" s="113" t="n"/>
      <c r="T4129" s="113" t="n"/>
      <c r="U4129" s="113" t="n"/>
      <c r="V4129" s="113" t="n"/>
      <c r="W4129" s="113" t="n"/>
      <c r="X4129" s="113" t="n"/>
      <c r="Y4129" s="113" t="n"/>
      <c r="Z4129" s="117">
        <f>IF($B4129="",0,IF($S4129="EVET",IF($D4129="GELİR",$O4129,-$O4129),0))</f>
        <v/>
      </c>
      <c r="AA4129" s="117">
        <f>IF($B4129="",0,IF(OR($W4129="EVET",$X4129="EVET",$Y4129="EVET"),0,IF($D4129="GELİR",IF($E4129="SATIŞ İADESİ/İSKONTO",-$O4129,$O4129),-$O4129)))</f>
        <v/>
      </c>
      <c r="AB4129" s="117">
        <f>IF($B4129="","",IF(OR($D4129="",$E4129="",$O4129=""),"EKSİK",IF($O4129&lt;=0,"SIFIR/NEGATİF",IF(COUNTIFS($C$6:$C$5000,$C4129,$O$6:$O$5000,$O4129,$B$6:$B$5000,$B4129)&gt;1,"MÜKERRER","OK"))))</f>
        <v/>
      </c>
    </row>
    <row r="4130" ht="16.5" customHeight="1" s="80">
      <c r="A4130" s="113" t="n"/>
      <c r="B4130" s="113" t="n"/>
      <c r="C4130" s="113" t="n"/>
      <c r="D4130" s="113" t="n"/>
      <c r="E4130" s="113" t="n"/>
      <c r="F4130" s="113" t="n"/>
      <c r="G4130" s="113" t="n"/>
      <c r="H4130" s="113" t="n"/>
      <c r="I4130" s="113" t="n"/>
      <c r="J4130" s="113" t="n"/>
      <c r="K4130" s="113" t="n"/>
      <c r="L4130" s="113" t="n"/>
      <c r="M4130" s="113" t="n"/>
      <c r="N4130" s="113" t="n"/>
      <c r="O4130" s="113" t="n"/>
      <c r="P4130" s="113" t="n"/>
      <c r="Q4130" s="113" t="n"/>
      <c r="R4130" s="113" t="n"/>
      <c r="S4130" s="113" t="n"/>
      <c r="T4130" s="113" t="n"/>
      <c r="U4130" s="113" t="n"/>
      <c r="V4130" s="113" t="n"/>
      <c r="W4130" s="113" t="n"/>
      <c r="X4130" s="113" t="n"/>
      <c r="Y4130" s="113" t="n"/>
      <c r="Z4130" s="117">
        <f>IF($B4130="",0,IF($S4130="EVET",IF($D4130="GELİR",$O4130,-$O4130),0))</f>
        <v/>
      </c>
      <c r="AA4130" s="117">
        <f>IF($B4130="",0,IF(OR($W4130="EVET",$X4130="EVET",$Y4130="EVET"),0,IF($D4130="GELİR",IF($E4130="SATIŞ İADESİ/İSKONTO",-$O4130,$O4130),-$O4130)))</f>
        <v/>
      </c>
      <c r="AB4130" s="117">
        <f>IF($B4130="","",IF(OR($D4130="",$E4130="",$O4130=""),"EKSİK",IF($O4130&lt;=0,"SIFIR/NEGATİF",IF(COUNTIFS($C$6:$C$5000,$C4130,$O$6:$O$5000,$O4130,$B$6:$B$5000,$B4130)&gt;1,"MÜKERRER","OK"))))</f>
        <v/>
      </c>
    </row>
    <row r="4131" ht="16.5" customHeight="1" s="80">
      <c r="A4131" s="113" t="n"/>
      <c r="B4131" s="113" t="n"/>
      <c r="C4131" s="113" t="n"/>
      <c r="D4131" s="113" t="n"/>
      <c r="E4131" s="113" t="n"/>
      <c r="F4131" s="113" t="n"/>
      <c r="G4131" s="113" t="n"/>
      <c r="H4131" s="113" t="n"/>
      <c r="I4131" s="113" t="n"/>
      <c r="J4131" s="113" t="n"/>
      <c r="K4131" s="113" t="n"/>
      <c r="L4131" s="113" t="n"/>
      <c r="M4131" s="113" t="n"/>
      <c r="N4131" s="113" t="n"/>
      <c r="O4131" s="113" t="n"/>
      <c r="P4131" s="113" t="n"/>
      <c r="Q4131" s="113" t="n"/>
      <c r="R4131" s="113" t="n"/>
      <c r="S4131" s="113" t="n"/>
      <c r="T4131" s="113" t="n"/>
      <c r="U4131" s="113" t="n"/>
      <c r="V4131" s="113" t="n"/>
      <c r="W4131" s="113" t="n"/>
      <c r="X4131" s="113" t="n"/>
      <c r="Y4131" s="113" t="n"/>
      <c r="Z4131" s="117">
        <f>IF($B4131="",0,IF($S4131="EVET",IF($D4131="GELİR",$O4131,-$O4131),0))</f>
        <v/>
      </c>
      <c r="AA4131" s="117">
        <f>IF($B4131="",0,IF(OR($W4131="EVET",$X4131="EVET",$Y4131="EVET"),0,IF($D4131="GELİR",IF($E4131="SATIŞ İADESİ/İSKONTO",-$O4131,$O4131),-$O4131)))</f>
        <v/>
      </c>
      <c r="AB4131" s="117">
        <f>IF($B4131="","",IF(OR($D4131="",$E4131="",$O4131=""),"EKSİK",IF($O4131&lt;=0,"SIFIR/NEGATİF",IF(COUNTIFS($C$6:$C$5000,$C4131,$O$6:$O$5000,$O4131,$B$6:$B$5000,$B4131)&gt;1,"MÜKERRER","OK"))))</f>
        <v/>
      </c>
    </row>
    <row r="4132" ht="16.5" customHeight="1" s="80">
      <c r="A4132" s="113" t="n"/>
      <c r="B4132" s="113" t="n"/>
      <c r="C4132" s="113" t="n"/>
      <c r="D4132" s="113" t="n"/>
      <c r="E4132" s="113" t="n"/>
      <c r="F4132" s="113" t="n"/>
      <c r="G4132" s="113" t="n"/>
      <c r="H4132" s="113" t="n"/>
      <c r="I4132" s="113" t="n"/>
      <c r="J4132" s="113" t="n"/>
      <c r="K4132" s="113" t="n"/>
      <c r="L4132" s="113" t="n"/>
      <c r="M4132" s="113" t="n"/>
      <c r="N4132" s="113" t="n"/>
      <c r="O4132" s="113" t="n"/>
      <c r="P4132" s="113" t="n"/>
      <c r="Q4132" s="113" t="n"/>
      <c r="R4132" s="113" t="n"/>
      <c r="S4132" s="113" t="n"/>
      <c r="T4132" s="113" t="n"/>
      <c r="U4132" s="113" t="n"/>
      <c r="V4132" s="113" t="n"/>
      <c r="W4132" s="113" t="n"/>
      <c r="X4132" s="113" t="n"/>
      <c r="Y4132" s="113" t="n"/>
      <c r="Z4132" s="117">
        <f>IF($B4132="",0,IF($S4132="EVET",IF($D4132="GELİR",$O4132,-$O4132),0))</f>
        <v/>
      </c>
      <c r="AA4132" s="117">
        <f>IF($B4132="",0,IF(OR($W4132="EVET",$X4132="EVET",$Y4132="EVET"),0,IF($D4132="GELİR",IF($E4132="SATIŞ İADESİ/İSKONTO",-$O4132,$O4132),-$O4132)))</f>
        <v/>
      </c>
      <c r="AB4132" s="117">
        <f>IF($B4132="","",IF(OR($D4132="",$E4132="",$O4132=""),"EKSİK",IF($O4132&lt;=0,"SIFIR/NEGATİF",IF(COUNTIFS($C$6:$C$5000,$C4132,$O$6:$O$5000,$O4132,$B$6:$B$5000,$B4132)&gt;1,"MÜKERRER","OK"))))</f>
        <v/>
      </c>
    </row>
    <row r="4133" ht="16.5" customHeight="1" s="80">
      <c r="A4133" s="113" t="n"/>
      <c r="B4133" s="113" t="n"/>
      <c r="C4133" s="113" t="n"/>
      <c r="D4133" s="113" t="n"/>
      <c r="E4133" s="113" t="n"/>
      <c r="F4133" s="113" t="n"/>
      <c r="G4133" s="113" t="n"/>
      <c r="H4133" s="113" t="n"/>
      <c r="I4133" s="113" t="n"/>
      <c r="J4133" s="113" t="n"/>
      <c r="K4133" s="113" t="n"/>
      <c r="L4133" s="113" t="n"/>
      <c r="M4133" s="113" t="n"/>
      <c r="N4133" s="113" t="n"/>
      <c r="O4133" s="113" t="n"/>
      <c r="P4133" s="113" t="n"/>
      <c r="Q4133" s="113" t="n"/>
      <c r="R4133" s="113" t="n"/>
      <c r="S4133" s="113" t="n"/>
      <c r="T4133" s="113" t="n"/>
      <c r="U4133" s="113" t="n"/>
      <c r="V4133" s="113" t="n"/>
      <c r="W4133" s="113" t="n"/>
      <c r="X4133" s="113" t="n"/>
      <c r="Y4133" s="113" t="n"/>
      <c r="Z4133" s="117">
        <f>IF($B4133="",0,IF($S4133="EVET",IF($D4133="GELİR",$O4133,-$O4133),0))</f>
        <v/>
      </c>
      <c r="AA4133" s="117">
        <f>IF($B4133="",0,IF(OR($W4133="EVET",$X4133="EVET",$Y4133="EVET"),0,IF($D4133="GELİR",IF($E4133="SATIŞ İADESİ/İSKONTO",-$O4133,$O4133),-$O4133)))</f>
        <v/>
      </c>
      <c r="AB4133" s="117">
        <f>IF($B4133="","",IF(OR($D4133="",$E4133="",$O4133=""),"EKSİK",IF($O4133&lt;=0,"SIFIR/NEGATİF",IF(COUNTIFS($C$6:$C$5000,$C4133,$O$6:$O$5000,$O4133,$B$6:$B$5000,$B4133)&gt;1,"MÜKERRER","OK"))))</f>
        <v/>
      </c>
    </row>
    <row r="4134" ht="16.5" customHeight="1" s="80">
      <c r="A4134" s="113" t="n"/>
      <c r="B4134" s="113" t="n"/>
      <c r="C4134" s="113" t="n"/>
      <c r="D4134" s="113" t="n"/>
      <c r="E4134" s="113" t="n"/>
      <c r="F4134" s="113" t="n"/>
      <c r="G4134" s="113" t="n"/>
      <c r="H4134" s="113" t="n"/>
      <c r="I4134" s="113" t="n"/>
      <c r="J4134" s="113" t="n"/>
      <c r="K4134" s="113" t="n"/>
      <c r="L4134" s="113" t="n"/>
      <c r="M4134" s="113" t="n"/>
      <c r="N4134" s="113" t="n"/>
      <c r="O4134" s="113" t="n"/>
      <c r="P4134" s="113" t="n"/>
      <c r="Q4134" s="113" t="n"/>
      <c r="R4134" s="113" t="n"/>
      <c r="S4134" s="113" t="n"/>
      <c r="T4134" s="113" t="n"/>
      <c r="U4134" s="113" t="n"/>
      <c r="V4134" s="113" t="n"/>
      <c r="W4134" s="113" t="n"/>
      <c r="X4134" s="113" t="n"/>
      <c r="Y4134" s="113" t="n"/>
      <c r="Z4134" s="117">
        <f>IF($B4134="",0,IF($S4134="EVET",IF($D4134="GELİR",$O4134,-$O4134),0))</f>
        <v/>
      </c>
      <c r="AA4134" s="117">
        <f>IF($B4134="",0,IF(OR($W4134="EVET",$X4134="EVET",$Y4134="EVET"),0,IF($D4134="GELİR",IF($E4134="SATIŞ İADESİ/İSKONTO",-$O4134,$O4134),-$O4134)))</f>
        <v/>
      </c>
      <c r="AB4134" s="117">
        <f>IF($B4134="","",IF(OR($D4134="",$E4134="",$O4134=""),"EKSİK",IF($O4134&lt;=0,"SIFIR/NEGATİF",IF(COUNTIFS($C$6:$C$5000,$C4134,$O$6:$O$5000,$O4134,$B$6:$B$5000,$B4134)&gt;1,"MÜKERRER","OK"))))</f>
        <v/>
      </c>
    </row>
    <row r="4135" ht="16.5" customHeight="1" s="80">
      <c r="A4135" s="113" t="n"/>
      <c r="B4135" s="113" t="n"/>
      <c r="C4135" s="113" t="n"/>
      <c r="D4135" s="113" t="n"/>
      <c r="E4135" s="113" t="n"/>
      <c r="F4135" s="113" t="n"/>
      <c r="G4135" s="113" t="n"/>
      <c r="H4135" s="113" t="n"/>
      <c r="I4135" s="113" t="n"/>
      <c r="J4135" s="113" t="n"/>
      <c r="K4135" s="113" t="n"/>
      <c r="L4135" s="113" t="n"/>
      <c r="M4135" s="113" t="n"/>
      <c r="N4135" s="113" t="n"/>
      <c r="O4135" s="113" t="n"/>
      <c r="P4135" s="113" t="n"/>
      <c r="Q4135" s="113" t="n"/>
      <c r="R4135" s="113" t="n"/>
      <c r="S4135" s="113" t="n"/>
      <c r="T4135" s="113" t="n"/>
      <c r="U4135" s="113" t="n"/>
      <c r="V4135" s="113" t="n"/>
      <c r="W4135" s="113" t="n"/>
      <c r="X4135" s="113" t="n"/>
      <c r="Y4135" s="113" t="n"/>
      <c r="Z4135" s="117">
        <f>IF($B4135="",0,IF($S4135="EVET",IF($D4135="GELİR",$O4135,-$O4135),0))</f>
        <v/>
      </c>
      <c r="AA4135" s="117">
        <f>IF($B4135="",0,IF(OR($W4135="EVET",$X4135="EVET",$Y4135="EVET"),0,IF($D4135="GELİR",IF($E4135="SATIŞ İADESİ/İSKONTO",-$O4135,$O4135),-$O4135)))</f>
        <v/>
      </c>
      <c r="AB4135" s="117">
        <f>IF($B4135="","",IF(OR($D4135="",$E4135="",$O4135=""),"EKSİK",IF($O4135&lt;=0,"SIFIR/NEGATİF",IF(COUNTIFS($C$6:$C$5000,$C4135,$O$6:$O$5000,$O4135,$B$6:$B$5000,$B4135)&gt;1,"MÜKERRER","OK"))))</f>
        <v/>
      </c>
    </row>
    <row r="4136" ht="16.5" customHeight="1" s="80">
      <c r="A4136" s="113" t="n"/>
      <c r="B4136" s="113" t="n"/>
      <c r="C4136" s="113" t="n"/>
      <c r="D4136" s="113" t="n"/>
      <c r="E4136" s="113" t="n"/>
      <c r="F4136" s="113" t="n"/>
      <c r="G4136" s="113" t="n"/>
      <c r="H4136" s="113" t="n"/>
      <c r="I4136" s="113" t="n"/>
      <c r="J4136" s="113" t="n"/>
      <c r="K4136" s="113" t="n"/>
      <c r="L4136" s="113" t="n"/>
      <c r="M4136" s="113" t="n"/>
      <c r="N4136" s="113" t="n"/>
      <c r="O4136" s="113" t="n"/>
      <c r="P4136" s="113" t="n"/>
      <c r="Q4136" s="113" t="n"/>
      <c r="R4136" s="113" t="n"/>
      <c r="S4136" s="113" t="n"/>
      <c r="T4136" s="113" t="n"/>
      <c r="U4136" s="113" t="n"/>
      <c r="V4136" s="113" t="n"/>
      <c r="W4136" s="113" t="n"/>
      <c r="X4136" s="113" t="n"/>
      <c r="Y4136" s="113" t="n"/>
      <c r="Z4136" s="117">
        <f>IF($B4136="",0,IF($S4136="EVET",IF($D4136="GELİR",$O4136,-$O4136),0))</f>
        <v/>
      </c>
      <c r="AA4136" s="117">
        <f>IF($B4136="",0,IF(OR($W4136="EVET",$X4136="EVET",$Y4136="EVET"),0,IF($D4136="GELİR",IF($E4136="SATIŞ İADESİ/İSKONTO",-$O4136,$O4136),-$O4136)))</f>
        <v/>
      </c>
      <c r="AB4136" s="117">
        <f>IF($B4136="","",IF(OR($D4136="",$E4136="",$O4136=""),"EKSİK",IF($O4136&lt;=0,"SIFIR/NEGATİF",IF(COUNTIFS($C$6:$C$5000,$C4136,$O$6:$O$5000,$O4136,$B$6:$B$5000,$B4136)&gt;1,"MÜKERRER","OK"))))</f>
        <v/>
      </c>
    </row>
    <row r="4137" ht="16.5" customHeight="1" s="80">
      <c r="A4137" s="113" t="n"/>
      <c r="B4137" s="113" t="n"/>
      <c r="C4137" s="113" t="n"/>
      <c r="D4137" s="113" t="n"/>
      <c r="E4137" s="113" t="n"/>
      <c r="F4137" s="113" t="n"/>
      <c r="G4137" s="113" t="n"/>
      <c r="H4137" s="113" t="n"/>
      <c r="I4137" s="113" t="n"/>
      <c r="J4137" s="113" t="n"/>
      <c r="K4137" s="113" t="n"/>
      <c r="L4137" s="113" t="n"/>
      <c r="M4137" s="113" t="n"/>
      <c r="N4137" s="113" t="n"/>
      <c r="O4137" s="113" t="n"/>
      <c r="P4137" s="113" t="n"/>
      <c r="Q4137" s="113" t="n"/>
      <c r="R4137" s="113" t="n"/>
      <c r="S4137" s="113" t="n"/>
      <c r="T4137" s="113" t="n"/>
      <c r="U4137" s="113" t="n"/>
      <c r="V4137" s="113" t="n"/>
      <c r="W4137" s="113" t="n"/>
      <c r="X4137" s="113" t="n"/>
      <c r="Y4137" s="113" t="n"/>
      <c r="Z4137" s="117">
        <f>IF($B4137="",0,IF($S4137="EVET",IF($D4137="GELİR",$O4137,-$O4137),0))</f>
        <v/>
      </c>
      <c r="AA4137" s="117">
        <f>IF($B4137="",0,IF(OR($W4137="EVET",$X4137="EVET",$Y4137="EVET"),0,IF($D4137="GELİR",IF($E4137="SATIŞ İADESİ/İSKONTO",-$O4137,$O4137),-$O4137)))</f>
        <v/>
      </c>
      <c r="AB4137" s="117">
        <f>IF($B4137="","",IF(OR($D4137="",$E4137="",$O4137=""),"EKSİK",IF($O4137&lt;=0,"SIFIR/NEGATİF",IF(COUNTIFS($C$6:$C$5000,$C4137,$O$6:$O$5000,$O4137,$B$6:$B$5000,$B4137)&gt;1,"MÜKERRER","OK"))))</f>
        <v/>
      </c>
    </row>
    <row r="4138" ht="16.5" customHeight="1" s="80">
      <c r="A4138" s="113" t="n"/>
      <c r="B4138" s="113" t="n"/>
      <c r="C4138" s="113" t="n"/>
      <c r="D4138" s="113" t="n"/>
      <c r="E4138" s="113" t="n"/>
      <c r="F4138" s="113" t="n"/>
      <c r="G4138" s="113" t="n"/>
      <c r="H4138" s="113" t="n"/>
      <c r="I4138" s="113" t="n"/>
      <c r="J4138" s="113" t="n"/>
      <c r="K4138" s="113" t="n"/>
      <c r="L4138" s="113" t="n"/>
      <c r="M4138" s="113" t="n"/>
      <c r="N4138" s="113" t="n"/>
      <c r="O4138" s="113" t="n"/>
      <c r="P4138" s="113" t="n"/>
      <c r="Q4138" s="113" t="n"/>
      <c r="R4138" s="113" t="n"/>
      <c r="S4138" s="113" t="n"/>
      <c r="T4138" s="113" t="n"/>
      <c r="U4138" s="113" t="n"/>
      <c r="V4138" s="113" t="n"/>
      <c r="W4138" s="113" t="n"/>
      <c r="X4138" s="113" t="n"/>
      <c r="Y4138" s="113" t="n"/>
      <c r="Z4138" s="117">
        <f>IF($B4138="",0,IF($S4138="EVET",IF($D4138="GELİR",$O4138,-$O4138),0))</f>
        <v/>
      </c>
      <c r="AA4138" s="117">
        <f>IF($B4138="",0,IF(OR($W4138="EVET",$X4138="EVET",$Y4138="EVET"),0,IF($D4138="GELİR",IF($E4138="SATIŞ İADESİ/İSKONTO",-$O4138,$O4138),-$O4138)))</f>
        <v/>
      </c>
      <c r="AB4138" s="117">
        <f>IF($B4138="","",IF(OR($D4138="",$E4138="",$O4138=""),"EKSİK",IF($O4138&lt;=0,"SIFIR/NEGATİF",IF(COUNTIFS($C$6:$C$5000,$C4138,$O$6:$O$5000,$O4138,$B$6:$B$5000,$B4138)&gt;1,"MÜKERRER","OK"))))</f>
        <v/>
      </c>
    </row>
    <row r="4139" ht="16.5" customHeight="1" s="80">
      <c r="A4139" s="113" t="n"/>
      <c r="B4139" s="113" t="n"/>
      <c r="C4139" s="113" t="n"/>
      <c r="D4139" s="113" t="n"/>
      <c r="E4139" s="113" t="n"/>
      <c r="F4139" s="113" t="n"/>
      <c r="G4139" s="113" t="n"/>
      <c r="H4139" s="113" t="n"/>
      <c r="I4139" s="113" t="n"/>
      <c r="J4139" s="113" t="n"/>
      <c r="K4139" s="113" t="n"/>
      <c r="L4139" s="113" t="n"/>
      <c r="M4139" s="113" t="n"/>
      <c r="N4139" s="113" t="n"/>
      <c r="O4139" s="113" t="n"/>
      <c r="P4139" s="113" t="n"/>
      <c r="Q4139" s="113" t="n"/>
      <c r="R4139" s="113" t="n"/>
      <c r="S4139" s="113" t="n"/>
      <c r="T4139" s="113" t="n"/>
      <c r="U4139" s="113" t="n"/>
      <c r="V4139" s="113" t="n"/>
      <c r="W4139" s="113" t="n"/>
      <c r="X4139" s="113" t="n"/>
      <c r="Y4139" s="113" t="n"/>
      <c r="Z4139" s="117">
        <f>IF($B4139="",0,IF($S4139="EVET",IF($D4139="GELİR",$O4139,-$O4139),0))</f>
        <v/>
      </c>
      <c r="AA4139" s="117">
        <f>IF($B4139="",0,IF(OR($W4139="EVET",$X4139="EVET",$Y4139="EVET"),0,IF($D4139="GELİR",IF($E4139="SATIŞ İADESİ/İSKONTO",-$O4139,$O4139),-$O4139)))</f>
        <v/>
      </c>
      <c r="AB4139" s="117">
        <f>IF($B4139="","",IF(OR($D4139="",$E4139="",$O4139=""),"EKSİK",IF($O4139&lt;=0,"SIFIR/NEGATİF",IF(COUNTIFS($C$6:$C$5000,$C4139,$O$6:$O$5000,$O4139,$B$6:$B$5000,$B4139)&gt;1,"MÜKERRER","OK"))))</f>
        <v/>
      </c>
    </row>
    <row r="4140" ht="16.5" customHeight="1" s="80">
      <c r="A4140" s="113" t="n"/>
      <c r="B4140" s="113" t="n"/>
      <c r="C4140" s="113" t="n"/>
      <c r="D4140" s="113" t="n"/>
      <c r="E4140" s="113" t="n"/>
      <c r="F4140" s="113" t="n"/>
      <c r="G4140" s="113" t="n"/>
      <c r="H4140" s="113" t="n"/>
      <c r="I4140" s="113" t="n"/>
      <c r="J4140" s="113" t="n"/>
      <c r="K4140" s="113" t="n"/>
      <c r="L4140" s="113" t="n"/>
      <c r="M4140" s="113" t="n"/>
      <c r="N4140" s="113" t="n"/>
      <c r="O4140" s="113" t="n"/>
      <c r="P4140" s="113" t="n"/>
      <c r="Q4140" s="113" t="n"/>
      <c r="R4140" s="113" t="n"/>
      <c r="S4140" s="113" t="n"/>
      <c r="T4140" s="113" t="n"/>
      <c r="U4140" s="113" t="n"/>
      <c r="V4140" s="113" t="n"/>
      <c r="W4140" s="113" t="n"/>
      <c r="X4140" s="113" t="n"/>
      <c r="Y4140" s="113" t="n"/>
      <c r="Z4140" s="117">
        <f>IF($B4140="",0,IF($S4140="EVET",IF($D4140="GELİR",$O4140,-$O4140),0))</f>
        <v/>
      </c>
      <c r="AA4140" s="117">
        <f>IF($B4140="",0,IF(OR($W4140="EVET",$X4140="EVET",$Y4140="EVET"),0,IF($D4140="GELİR",IF($E4140="SATIŞ İADESİ/İSKONTO",-$O4140,$O4140),-$O4140)))</f>
        <v/>
      </c>
      <c r="AB4140" s="117">
        <f>IF($B4140="","",IF(OR($D4140="",$E4140="",$O4140=""),"EKSİK",IF($O4140&lt;=0,"SIFIR/NEGATİF",IF(COUNTIFS($C$6:$C$5000,$C4140,$O$6:$O$5000,$O4140,$B$6:$B$5000,$B4140)&gt;1,"MÜKERRER","OK"))))</f>
        <v/>
      </c>
    </row>
    <row r="4141" ht="16.5" customHeight="1" s="80">
      <c r="A4141" s="113" t="n"/>
      <c r="B4141" s="113" t="n"/>
      <c r="C4141" s="113" t="n"/>
      <c r="D4141" s="113" t="n"/>
      <c r="E4141" s="113" t="n"/>
      <c r="F4141" s="113" t="n"/>
      <c r="G4141" s="113" t="n"/>
      <c r="H4141" s="113" t="n"/>
      <c r="I4141" s="113" t="n"/>
      <c r="J4141" s="113" t="n"/>
      <c r="K4141" s="113" t="n"/>
      <c r="L4141" s="113" t="n"/>
      <c r="M4141" s="113" t="n"/>
      <c r="N4141" s="113" t="n"/>
      <c r="O4141" s="113" t="n"/>
      <c r="P4141" s="113" t="n"/>
      <c r="Q4141" s="113" t="n"/>
      <c r="R4141" s="113" t="n"/>
      <c r="S4141" s="113" t="n"/>
      <c r="T4141" s="113" t="n"/>
      <c r="U4141" s="113" t="n"/>
      <c r="V4141" s="113" t="n"/>
      <c r="W4141" s="113" t="n"/>
      <c r="X4141" s="113" t="n"/>
      <c r="Y4141" s="113" t="n"/>
      <c r="Z4141" s="117">
        <f>IF($B4141="",0,IF($S4141="EVET",IF($D4141="GELİR",$O4141,-$O4141),0))</f>
        <v/>
      </c>
      <c r="AA4141" s="117">
        <f>IF($B4141="",0,IF(OR($W4141="EVET",$X4141="EVET",$Y4141="EVET"),0,IF($D4141="GELİR",IF($E4141="SATIŞ İADESİ/İSKONTO",-$O4141,$O4141),-$O4141)))</f>
        <v/>
      </c>
      <c r="AB4141" s="117">
        <f>IF($B4141="","",IF(OR($D4141="",$E4141="",$O4141=""),"EKSİK",IF($O4141&lt;=0,"SIFIR/NEGATİF",IF(COUNTIFS($C$6:$C$5000,$C4141,$O$6:$O$5000,$O4141,$B$6:$B$5000,$B4141)&gt;1,"MÜKERRER","OK"))))</f>
        <v/>
      </c>
    </row>
    <row r="4142" ht="16.5" customHeight="1" s="80">
      <c r="A4142" s="113" t="n"/>
      <c r="B4142" s="113" t="n"/>
      <c r="C4142" s="113" t="n"/>
      <c r="D4142" s="113" t="n"/>
      <c r="E4142" s="113" t="n"/>
      <c r="F4142" s="113" t="n"/>
      <c r="G4142" s="113" t="n"/>
      <c r="H4142" s="113" t="n"/>
      <c r="I4142" s="113" t="n"/>
      <c r="J4142" s="113" t="n"/>
      <c r="K4142" s="113" t="n"/>
      <c r="L4142" s="113" t="n"/>
      <c r="M4142" s="113" t="n"/>
      <c r="N4142" s="113" t="n"/>
      <c r="O4142" s="113" t="n"/>
      <c r="P4142" s="113" t="n"/>
      <c r="Q4142" s="113" t="n"/>
      <c r="R4142" s="113" t="n"/>
      <c r="S4142" s="113" t="n"/>
      <c r="T4142" s="113" t="n"/>
      <c r="U4142" s="113" t="n"/>
      <c r="V4142" s="113" t="n"/>
      <c r="W4142" s="113" t="n"/>
      <c r="X4142" s="113" t="n"/>
      <c r="Y4142" s="113" t="n"/>
      <c r="Z4142" s="117">
        <f>IF($B4142="",0,IF($S4142="EVET",IF($D4142="GELİR",$O4142,-$O4142),0))</f>
        <v/>
      </c>
      <c r="AA4142" s="117">
        <f>IF($B4142="",0,IF(OR($W4142="EVET",$X4142="EVET",$Y4142="EVET"),0,IF($D4142="GELİR",IF($E4142="SATIŞ İADESİ/İSKONTO",-$O4142,$O4142),-$O4142)))</f>
        <v/>
      </c>
      <c r="AB4142" s="117">
        <f>IF($B4142="","",IF(OR($D4142="",$E4142="",$O4142=""),"EKSİK",IF($O4142&lt;=0,"SIFIR/NEGATİF",IF(COUNTIFS($C$6:$C$5000,$C4142,$O$6:$O$5000,$O4142,$B$6:$B$5000,$B4142)&gt;1,"MÜKERRER","OK"))))</f>
        <v/>
      </c>
    </row>
    <row r="4143" ht="16.5" customHeight="1" s="80">
      <c r="A4143" s="113" t="n"/>
      <c r="B4143" s="113" t="n"/>
      <c r="C4143" s="113" t="n"/>
      <c r="D4143" s="113" t="n"/>
      <c r="E4143" s="113" t="n"/>
      <c r="F4143" s="113" t="n"/>
      <c r="G4143" s="113" t="n"/>
      <c r="H4143" s="113" t="n"/>
      <c r="I4143" s="113" t="n"/>
      <c r="J4143" s="113" t="n"/>
      <c r="K4143" s="113" t="n"/>
      <c r="L4143" s="113" t="n"/>
      <c r="M4143" s="113" t="n"/>
      <c r="N4143" s="113" t="n"/>
      <c r="O4143" s="113" t="n"/>
      <c r="P4143" s="113" t="n"/>
      <c r="Q4143" s="113" t="n"/>
      <c r="R4143" s="113" t="n"/>
      <c r="S4143" s="113" t="n"/>
      <c r="T4143" s="113" t="n"/>
      <c r="U4143" s="113" t="n"/>
      <c r="V4143" s="113" t="n"/>
      <c r="W4143" s="113" t="n"/>
      <c r="X4143" s="113" t="n"/>
      <c r="Y4143" s="113" t="n"/>
      <c r="Z4143" s="117">
        <f>IF($B4143="",0,IF($S4143="EVET",IF($D4143="GELİR",$O4143,-$O4143),0))</f>
        <v/>
      </c>
      <c r="AA4143" s="117">
        <f>IF($B4143="",0,IF(OR($W4143="EVET",$X4143="EVET",$Y4143="EVET"),0,IF($D4143="GELİR",IF($E4143="SATIŞ İADESİ/İSKONTO",-$O4143,$O4143),-$O4143)))</f>
        <v/>
      </c>
      <c r="AB4143" s="117">
        <f>IF($B4143="","",IF(OR($D4143="",$E4143="",$O4143=""),"EKSİK",IF($O4143&lt;=0,"SIFIR/NEGATİF",IF(COUNTIFS($C$6:$C$5000,$C4143,$O$6:$O$5000,$O4143,$B$6:$B$5000,$B4143)&gt;1,"MÜKERRER","OK"))))</f>
        <v/>
      </c>
    </row>
    <row r="4144" ht="16.5" customHeight="1" s="80">
      <c r="A4144" s="113" t="n"/>
      <c r="B4144" s="113" t="n"/>
      <c r="C4144" s="113" t="n"/>
      <c r="D4144" s="113" t="n"/>
      <c r="E4144" s="113" t="n"/>
      <c r="F4144" s="113" t="n"/>
      <c r="G4144" s="113" t="n"/>
      <c r="H4144" s="113" t="n"/>
      <c r="I4144" s="113" t="n"/>
      <c r="J4144" s="113" t="n"/>
      <c r="K4144" s="113" t="n"/>
      <c r="L4144" s="113" t="n"/>
      <c r="M4144" s="113" t="n"/>
      <c r="N4144" s="113" t="n"/>
      <c r="O4144" s="113" t="n"/>
      <c r="P4144" s="113" t="n"/>
      <c r="Q4144" s="113" t="n"/>
      <c r="R4144" s="113" t="n"/>
      <c r="S4144" s="113" t="n"/>
      <c r="T4144" s="113" t="n"/>
      <c r="U4144" s="113" t="n"/>
      <c r="V4144" s="113" t="n"/>
      <c r="W4144" s="113" t="n"/>
      <c r="X4144" s="113" t="n"/>
      <c r="Y4144" s="113" t="n"/>
      <c r="Z4144" s="117">
        <f>IF($B4144="",0,IF($S4144="EVET",IF($D4144="GELİR",$O4144,-$O4144),0))</f>
        <v/>
      </c>
      <c r="AA4144" s="117">
        <f>IF($B4144="",0,IF(OR($W4144="EVET",$X4144="EVET",$Y4144="EVET"),0,IF($D4144="GELİR",IF($E4144="SATIŞ İADESİ/İSKONTO",-$O4144,$O4144),-$O4144)))</f>
        <v/>
      </c>
      <c r="AB4144" s="117">
        <f>IF($B4144="","",IF(OR($D4144="",$E4144="",$O4144=""),"EKSİK",IF($O4144&lt;=0,"SIFIR/NEGATİF",IF(COUNTIFS($C$6:$C$5000,$C4144,$O$6:$O$5000,$O4144,$B$6:$B$5000,$B4144)&gt;1,"MÜKERRER","OK"))))</f>
        <v/>
      </c>
    </row>
    <row r="4145" ht="16.5" customHeight="1" s="80">
      <c r="A4145" s="113" t="n"/>
      <c r="B4145" s="113" t="n"/>
      <c r="C4145" s="113" t="n"/>
      <c r="D4145" s="113" t="n"/>
      <c r="E4145" s="113" t="n"/>
      <c r="F4145" s="113" t="n"/>
      <c r="G4145" s="113" t="n"/>
      <c r="H4145" s="113" t="n"/>
      <c r="I4145" s="113" t="n"/>
      <c r="J4145" s="113" t="n"/>
      <c r="K4145" s="113" t="n"/>
      <c r="L4145" s="113" t="n"/>
      <c r="M4145" s="113" t="n"/>
      <c r="N4145" s="113" t="n"/>
      <c r="O4145" s="113" t="n"/>
      <c r="P4145" s="113" t="n"/>
      <c r="Q4145" s="113" t="n"/>
      <c r="R4145" s="113" t="n"/>
      <c r="S4145" s="113" t="n"/>
      <c r="T4145" s="113" t="n"/>
      <c r="U4145" s="113" t="n"/>
      <c r="V4145" s="113" t="n"/>
      <c r="W4145" s="113" t="n"/>
      <c r="X4145" s="113" t="n"/>
      <c r="Y4145" s="113" t="n"/>
      <c r="Z4145" s="117">
        <f>IF($B4145="",0,IF($S4145="EVET",IF($D4145="GELİR",$O4145,-$O4145),0))</f>
        <v/>
      </c>
      <c r="AA4145" s="117">
        <f>IF($B4145="",0,IF(OR($W4145="EVET",$X4145="EVET",$Y4145="EVET"),0,IF($D4145="GELİR",IF($E4145="SATIŞ İADESİ/İSKONTO",-$O4145,$O4145),-$O4145)))</f>
        <v/>
      </c>
      <c r="AB4145" s="117">
        <f>IF($B4145="","",IF(OR($D4145="",$E4145="",$O4145=""),"EKSİK",IF($O4145&lt;=0,"SIFIR/NEGATİF",IF(COUNTIFS($C$6:$C$5000,$C4145,$O$6:$O$5000,$O4145,$B$6:$B$5000,$B4145)&gt;1,"MÜKERRER","OK"))))</f>
        <v/>
      </c>
    </row>
    <row r="4146" ht="16.5" customHeight="1" s="80">
      <c r="A4146" s="113" t="n"/>
      <c r="B4146" s="113" t="n"/>
      <c r="C4146" s="113" t="n"/>
      <c r="D4146" s="113" t="n"/>
      <c r="E4146" s="113" t="n"/>
      <c r="F4146" s="113" t="n"/>
      <c r="G4146" s="113" t="n"/>
      <c r="H4146" s="113" t="n"/>
      <c r="I4146" s="113" t="n"/>
      <c r="J4146" s="113" t="n"/>
      <c r="K4146" s="113" t="n"/>
      <c r="L4146" s="113" t="n"/>
      <c r="M4146" s="113" t="n"/>
      <c r="N4146" s="113" t="n"/>
      <c r="O4146" s="113" t="n"/>
      <c r="P4146" s="113" t="n"/>
      <c r="Q4146" s="113" t="n"/>
      <c r="R4146" s="113" t="n"/>
      <c r="S4146" s="113" t="n"/>
      <c r="T4146" s="113" t="n"/>
      <c r="U4146" s="113" t="n"/>
      <c r="V4146" s="113" t="n"/>
      <c r="W4146" s="113" t="n"/>
      <c r="X4146" s="113" t="n"/>
      <c r="Y4146" s="113" t="n"/>
      <c r="Z4146" s="117">
        <f>IF($B4146="",0,IF($S4146="EVET",IF($D4146="GELİR",$O4146,-$O4146),0))</f>
        <v/>
      </c>
      <c r="AA4146" s="117">
        <f>IF($B4146="",0,IF(OR($W4146="EVET",$X4146="EVET",$Y4146="EVET"),0,IF($D4146="GELİR",IF($E4146="SATIŞ İADESİ/İSKONTO",-$O4146,$O4146),-$O4146)))</f>
        <v/>
      </c>
      <c r="AB4146" s="117">
        <f>IF($B4146="","",IF(OR($D4146="",$E4146="",$O4146=""),"EKSİK",IF($O4146&lt;=0,"SIFIR/NEGATİF",IF(COUNTIFS($C$6:$C$5000,$C4146,$O$6:$O$5000,$O4146,$B$6:$B$5000,$B4146)&gt;1,"MÜKERRER","OK"))))</f>
        <v/>
      </c>
    </row>
    <row r="4147" ht="16.5" customHeight="1" s="80">
      <c r="A4147" s="113" t="n"/>
      <c r="B4147" s="113" t="n"/>
      <c r="C4147" s="113" t="n"/>
      <c r="D4147" s="113" t="n"/>
      <c r="E4147" s="113" t="n"/>
      <c r="F4147" s="113" t="n"/>
      <c r="G4147" s="113" t="n"/>
      <c r="H4147" s="113" t="n"/>
      <c r="I4147" s="113" t="n"/>
      <c r="J4147" s="113" t="n"/>
      <c r="K4147" s="113" t="n"/>
      <c r="L4147" s="113" t="n"/>
      <c r="M4147" s="113" t="n"/>
      <c r="N4147" s="113" t="n"/>
      <c r="O4147" s="113" t="n"/>
      <c r="P4147" s="113" t="n"/>
      <c r="Q4147" s="113" t="n"/>
      <c r="R4147" s="113" t="n"/>
      <c r="S4147" s="113" t="n"/>
      <c r="T4147" s="113" t="n"/>
      <c r="U4147" s="113" t="n"/>
      <c r="V4147" s="113" t="n"/>
      <c r="W4147" s="113" t="n"/>
      <c r="X4147" s="113" t="n"/>
      <c r="Y4147" s="113" t="n"/>
      <c r="Z4147" s="117">
        <f>IF($B4147="",0,IF($S4147="EVET",IF($D4147="GELİR",$O4147,-$O4147),0))</f>
        <v/>
      </c>
      <c r="AA4147" s="117">
        <f>IF($B4147="",0,IF(OR($W4147="EVET",$X4147="EVET",$Y4147="EVET"),0,IF($D4147="GELİR",IF($E4147="SATIŞ İADESİ/İSKONTO",-$O4147,$O4147),-$O4147)))</f>
        <v/>
      </c>
      <c r="AB4147" s="117">
        <f>IF($B4147="","",IF(OR($D4147="",$E4147="",$O4147=""),"EKSİK",IF($O4147&lt;=0,"SIFIR/NEGATİF",IF(COUNTIFS($C$6:$C$5000,$C4147,$O$6:$O$5000,$O4147,$B$6:$B$5000,$B4147)&gt;1,"MÜKERRER","OK"))))</f>
        <v/>
      </c>
    </row>
    <row r="4148" ht="16.5" customHeight="1" s="80">
      <c r="A4148" s="113" t="n"/>
      <c r="B4148" s="113" t="n"/>
      <c r="C4148" s="113" t="n"/>
      <c r="D4148" s="113" t="n"/>
      <c r="E4148" s="113" t="n"/>
      <c r="F4148" s="113" t="n"/>
      <c r="G4148" s="113" t="n"/>
      <c r="H4148" s="113" t="n"/>
      <c r="I4148" s="113" t="n"/>
      <c r="J4148" s="113" t="n"/>
      <c r="K4148" s="113" t="n"/>
      <c r="L4148" s="113" t="n"/>
      <c r="M4148" s="113" t="n"/>
      <c r="N4148" s="113" t="n"/>
      <c r="O4148" s="113" t="n"/>
      <c r="P4148" s="113" t="n"/>
      <c r="Q4148" s="113" t="n"/>
      <c r="R4148" s="113" t="n"/>
      <c r="S4148" s="113" t="n"/>
      <c r="T4148" s="113" t="n"/>
      <c r="U4148" s="113" t="n"/>
      <c r="V4148" s="113" t="n"/>
      <c r="W4148" s="113" t="n"/>
      <c r="X4148" s="113" t="n"/>
      <c r="Y4148" s="113" t="n"/>
      <c r="Z4148" s="117">
        <f>IF($B4148="",0,IF($S4148="EVET",IF($D4148="GELİR",$O4148,-$O4148),0))</f>
        <v/>
      </c>
      <c r="AA4148" s="117">
        <f>IF($B4148="",0,IF(OR($W4148="EVET",$X4148="EVET",$Y4148="EVET"),0,IF($D4148="GELİR",IF($E4148="SATIŞ İADESİ/İSKONTO",-$O4148,$O4148),-$O4148)))</f>
        <v/>
      </c>
      <c r="AB4148" s="117">
        <f>IF($B4148="","",IF(OR($D4148="",$E4148="",$O4148=""),"EKSİK",IF($O4148&lt;=0,"SIFIR/NEGATİF",IF(COUNTIFS($C$6:$C$5000,$C4148,$O$6:$O$5000,$O4148,$B$6:$B$5000,$B4148)&gt;1,"MÜKERRER","OK"))))</f>
        <v/>
      </c>
    </row>
    <row r="4149" ht="16.5" customHeight="1" s="80">
      <c r="A4149" s="113" t="n"/>
      <c r="B4149" s="113" t="n"/>
      <c r="C4149" s="113" t="n"/>
      <c r="D4149" s="113" t="n"/>
      <c r="E4149" s="113" t="n"/>
      <c r="F4149" s="113" t="n"/>
      <c r="G4149" s="113" t="n"/>
      <c r="H4149" s="113" t="n"/>
      <c r="I4149" s="113" t="n"/>
      <c r="J4149" s="113" t="n"/>
      <c r="K4149" s="113" t="n"/>
      <c r="L4149" s="113" t="n"/>
      <c r="M4149" s="113" t="n"/>
      <c r="N4149" s="113" t="n"/>
      <c r="O4149" s="113" t="n"/>
      <c r="P4149" s="113" t="n"/>
      <c r="Q4149" s="113" t="n"/>
      <c r="R4149" s="113" t="n"/>
      <c r="S4149" s="113" t="n"/>
      <c r="T4149" s="113" t="n"/>
      <c r="U4149" s="113" t="n"/>
      <c r="V4149" s="113" t="n"/>
      <c r="W4149" s="113" t="n"/>
      <c r="X4149" s="113" t="n"/>
      <c r="Y4149" s="113" t="n"/>
      <c r="Z4149" s="117">
        <f>IF($B4149="",0,IF($S4149="EVET",IF($D4149="GELİR",$O4149,-$O4149),0))</f>
        <v/>
      </c>
      <c r="AA4149" s="117">
        <f>IF($B4149="",0,IF(OR($W4149="EVET",$X4149="EVET",$Y4149="EVET"),0,IF($D4149="GELİR",IF($E4149="SATIŞ İADESİ/İSKONTO",-$O4149,$O4149),-$O4149)))</f>
        <v/>
      </c>
      <c r="AB4149" s="117">
        <f>IF($B4149="","",IF(OR($D4149="",$E4149="",$O4149=""),"EKSİK",IF($O4149&lt;=0,"SIFIR/NEGATİF",IF(COUNTIFS($C$6:$C$5000,$C4149,$O$6:$O$5000,$O4149,$B$6:$B$5000,$B4149)&gt;1,"MÜKERRER","OK"))))</f>
        <v/>
      </c>
    </row>
    <row r="4150" ht="16.5" customHeight="1" s="80">
      <c r="A4150" s="113" t="n"/>
      <c r="B4150" s="113" t="n"/>
      <c r="C4150" s="113" t="n"/>
      <c r="D4150" s="113" t="n"/>
      <c r="E4150" s="113" t="n"/>
      <c r="F4150" s="113" t="n"/>
      <c r="G4150" s="113" t="n"/>
      <c r="H4150" s="113" t="n"/>
      <c r="I4150" s="113" t="n"/>
      <c r="J4150" s="113" t="n"/>
      <c r="K4150" s="113" t="n"/>
      <c r="L4150" s="113" t="n"/>
      <c r="M4150" s="113" t="n"/>
      <c r="N4150" s="113" t="n"/>
      <c r="O4150" s="113" t="n"/>
      <c r="P4150" s="113" t="n"/>
      <c r="Q4150" s="113" t="n"/>
      <c r="R4150" s="113" t="n"/>
      <c r="S4150" s="113" t="n"/>
      <c r="T4150" s="113" t="n"/>
      <c r="U4150" s="113" t="n"/>
      <c r="V4150" s="113" t="n"/>
      <c r="W4150" s="113" t="n"/>
      <c r="X4150" s="113" t="n"/>
      <c r="Y4150" s="113" t="n"/>
      <c r="Z4150" s="117">
        <f>IF($B4150="",0,IF($S4150="EVET",IF($D4150="GELİR",$O4150,-$O4150),0))</f>
        <v/>
      </c>
      <c r="AA4150" s="117">
        <f>IF($B4150="",0,IF(OR($W4150="EVET",$X4150="EVET",$Y4150="EVET"),0,IF($D4150="GELİR",IF($E4150="SATIŞ İADESİ/İSKONTO",-$O4150,$O4150),-$O4150)))</f>
        <v/>
      </c>
      <c r="AB4150" s="117">
        <f>IF($B4150="","",IF(OR($D4150="",$E4150="",$O4150=""),"EKSİK",IF($O4150&lt;=0,"SIFIR/NEGATİF",IF(COUNTIFS($C$6:$C$5000,$C4150,$O$6:$O$5000,$O4150,$B$6:$B$5000,$B4150)&gt;1,"MÜKERRER","OK"))))</f>
        <v/>
      </c>
    </row>
    <row r="4151" ht="16.5" customHeight="1" s="80">
      <c r="A4151" s="113" t="n"/>
      <c r="B4151" s="113" t="n"/>
      <c r="C4151" s="113" t="n"/>
      <c r="D4151" s="113" t="n"/>
      <c r="E4151" s="113" t="n"/>
      <c r="F4151" s="113" t="n"/>
      <c r="G4151" s="113" t="n"/>
      <c r="H4151" s="113" t="n"/>
      <c r="I4151" s="113" t="n"/>
      <c r="J4151" s="113" t="n"/>
      <c r="K4151" s="113" t="n"/>
      <c r="L4151" s="113" t="n"/>
      <c r="M4151" s="113" t="n"/>
      <c r="N4151" s="113" t="n"/>
      <c r="O4151" s="113" t="n"/>
      <c r="P4151" s="113" t="n"/>
      <c r="Q4151" s="113" t="n"/>
      <c r="R4151" s="113" t="n"/>
      <c r="S4151" s="113" t="n"/>
      <c r="T4151" s="113" t="n"/>
      <c r="U4151" s="113" t="n"/>
      <c r="V4151" s="113" t="n"/>
      <c r="W4151" s="113" t="n"/>
      <c r="X4151" s="113" t="n"/>
      <c r="Y4151" s="113" t="n"/>
      <c r="Z4151" s="117">
        <f>IF($B4151="",0,IF($S4151="EVET",IF($D4151="GELİR",$O4151,-$O4151),0))</f>
        <v/>
      </c>
      <c r="AA4151" s="117">
        <f>IF($B4151="",0,IF(OR($W4151="EVET",$X4151="EVET",$Y4151="EVET"),0,IF($D4151="GELİR",IF($E4151="SATIŞ İADESİ/İSKONTO",-$O4151,$O4151),-$O4151)))</f>
        <v/>
      </c>
      <c r="AB4151" s="117">
        <f>IF($B4151="","",IF(OR($D4151="",$E4151="",$O4151=""),"EKSİK",IF($O4151&lt;=0,"SIFIR/NEGATİF",IF(COUNTIFS($C$6:$C$5000,$C4151,$O$6:$O$5000,$O4151,$B$6:$B$5000,$B4151)&gt;1,"MÜKERRER","OK"))))</f>
        <v/>
      </c>
    </row>
    <row r="4152" ht="16.5" customHeight="1" s="80">
      <c r="A4152" s="113" t="n"/>
      <c r="B4152" s="113" t="n"/>
      <c r="C4152" s="113" t="n"/>
      <c r="D4152" s="113" t="n"/>
      <c r="E4152" s="113" t="n"/>
      <c r="F4152" s="113" t="n"/>
      <c r="G4152" s="113" t="n"/>
      <c r="H4152" s="113" t="n"/>
      <c r="I4152" s="113" t="n"/>
      <c r="J4152" s="113" t="n"/>
      <c r="K4152" s="113" t="n"/>
      <c r="L4152" s="113" t="n"/>
      <c r="M4152" s="113" t="n"/>
      <c r="N4152" s="113" t="n"/>
      <c r="O4152" s="113" t="n"/>
      <c r="P4152" s="113" t="n"/>
      <c r="Q4152" s="113" t="n"/>
      <c r="R4152" s="113" t="n"/>
      <c r="S4152" s="113" t="n"/>
      <c r="T4152" s="113" t="n"/>
      <c r="U4152" s="113" t="n"/>
      <c r="V4152" s="113" t="n"/>
      <c r="W4152" s="113" t="n"/>
      <c r="X4152" s="113" t="n"/>
      <c r="Y4152" s="113" t="n"/>
      <c r="Z4152" s="117">
        <f>IF($B4152="",0,IF($S4152="EVET",IF($D4152="GELİR",$O4152,-$O4152),0))</f>
        <v/>
      </c>
      <c r="AA4152" s="117">
        <f>IF($B4152="",0,IF(OR($W4152="EVET",$X4152="EVET",$Y4152="EVET"),0,IF($D4152="GELİR",IF($E4152="SATIŞ İADESİ/İSKONTO",-$O4152,$O4152),-$O4152)))</f>
        <v/>
      </c>
      <c r="AB4152" s="117">
        <f>IF($B4152="","",IF(OR($D4152="",$E4152="",$O4152=""),"EKSİK",IF($O4152&lt;=0,"SIFIR/NEGATİF",IF(COUNTIFS($C$6:$C$5000,$C4152,$O$6:$O$5000,$O4152,$B$6:$B$5000,$B4152)&gt;1,"MÜKERRER","OK"))))</f>
        <v/>
      </c>
    </row>
    <row r="4153" ht="16.5" customHeight="1" s="80">
      <c r="A4153" s="113" t="n"/>
      <c r="B4153" s="113" t="n"/>
      <c r="C4153" s="113" t="n"/>
      <c r="D4153" s="113" t="n"/>
      <c r="E4153" s="113" t="n"/>
      <c r="F4153" s="113" t="n"/>
      <c r="G4153" s="113" t="n"/>
      <c r="H4153" s="113" t="n"/>
      <c r="I4153" s="113" t="n"/>
      <c r="J4153" s="113" t="n"/>
      <c r="K4153" s="113" t="n"/>
      <c r="L4153" s="113" t="n"/>
      <c r="M4153" s="113" t="n"/>
      <c r="N4153" s="113" t="n"/>
      <c r="O4153" s="113" t="n"/>
      <c r="P4153" s="113" t="n"/>
      <c r="Q4153" s="113" t="n"/>
      <c r="R4153" s="113" t="n"/>
      <c r="S4153" s="113" t="n"/>
      <c r="T4153" s="113" t="n"/>
      <c r="U4153" s="113" t="n"/>
      <c r="V4153" s="113" t="n"/>
      <c r="W4153" s="113" t="n"/>
      <c r="X4153" s="113" t="n"/>
      <c r="Y4153" s="113" t="n"/>
      <c r="Z4153" s="117">
        <f>IF($B4153="",0,IF($S4153="EVET",IF($D4153="GELİR",$O4153,-$O4153),0))</f>
        <v/>
      </c>
      <c r="AA4153" s="117">
        <f>IF($B4153="",0,IF(OR($W4153="EVET",$X4153="EVET",$Y4153="EVET"),0,IF($D4153="GELİR",IF($E4153="SATIŞ İADESİ/İSKONTO",-$O4153,$O4153),-$O4153)))</f>
        <v/>
      </c>
      <c r="AB4153" s="117">
        <f>IF($B4153="","",IF(OR($D4153="",$E4153="",$O4153=""),"EKSİK",IF($O4153&lt;=0,"SIFIR/NEGATİF",IF(COUNTIFS($C$6:$C$5000,$C4153,$O$6:$O$5000,$O4153,$B$6:$B$5000,$B4153)&gt;1,"MÜKERRER","OK"))))</f>
        <v/>
      </c>
    </row>
    <row r="4154" ht="16.5" customHeight="1" s="80">
      <c r="A4154" s="113" t="n"/>
      <c r="B4154" s="113" t="n"/>
      <c r="C4154" s="113" t="n"/>
      <c r="D4154" s="113" t="n"/>
      <c r="E4154" s="113" t="n"/>
      <c r="F4154" s="113" t="n"/>
      <c r="G4154" s="113" t="n"/>
      <c r="H4154" s="113" t="n"/>
      <c r="I4154" s="113" t="n"/>
      <c r="J4154" s="113" t="n"/>
      <c r="K4154" s="113" t="n"/>
      <c r="L4154" s="113" t="n"/>
      <c r="M4154" s="113" t="n"/>
      <c r="N4154" s="113" t="n"/>
      <c r="O4154" s="113" t="n"/>
      <c r="P4154" s="113" t="n"/>
      <c r="Q4154" s="113" t="n"/>
      <c r="R4154" s="113" t="n"/>
      <c r="S4154" s="113" t="n"/>
      <c r="T4154" s="113" t="n"/>
      <c r="U4154" s="113" t="n"/>
      <c r="V4154" s="113" t="n"/>
      <c r="W4154" s="113" t="n"/>
      <c r="X4154" s="113" t="n"/>
      <c r="Y4154" s="113" t="n"/>
      <c r="Z4154" s="117">
        <f>IF($B4154="",0,IF($S4154="EVET",IF($D4154="GELİR",$O4154,-$O4154),0))</f>
        <v/>
      </c>
      <c r="AA4154" s="117">
        <f>IF($B4154="",0,IF(OR($W4154="EVET",$X4154="EVET",$Y4154="EVET"),0,IF($D4154="GELİR",IF($E4154="SATIŞ İADESİ/İSKONTO",-$O4154,$O4154),-$O4154)))</f>
        <v/>
      </c>
      <c r="AB4154" s="117">
        <f>IF($B4154="","",IF(OR($D4154="",$E4154="",$O4154=""),"EKSİK",IF($O4154&lt;=0,"SIFIR/NEGATİF",IF(COUNTIFS($C$6:$C$5000,$C4154,$O$6:$O$5000,$O4154,$B$6:$B$5000,$B4154)&gt;1,"MÜKERRER","OK"))))</f>
        <v/>
      </c>
    </row>
    <row r="4155" ht="16.5" customHeight="1" s="80">
      <c r="A4155" s="113" t="n"/>
      <c r="B4155" s="113" t="n"/>
      <c r="C4155" s="113" t="n"/>
      <c r="D4155" s="113" t="n"/>
      <c r="E4155" s="113" t="n"/>
      <c r="F4155" s="113" t="n"/>
      <c r="G4155" s="113" t="n"/>
      <c r="H4155" s="113" t="n"/>
      <c r="I4155" s="113" t="n"/>
      <c r="J4155" s="113" t="n"/>
      <c r="K4155" s="113" t="n"/>
      <c r="L4155" s="113" t="n"/>
      <c r="M4155" s="113" t="n"/>
      <c r="N4155" s="113" t="n"/>
      <c r="O4155" s="113" t="n"/>
      <c r="P4155" s="113" t="n"/>
      <c r="Q4155" s="113" t="n"/>
      <c r="R4155" s="113" t="n"/>
      <c r="S4155" s="113" t="n"/>
      <c r="T4155" s="113" t="n"/>
      <c r="U4155" s="113" t="n"/>
      <c r="V4155" s="113" t="n"/>
      <c r="W4155" s="113" t="n"/>
      <c r="X4155" s="113" t="n"/>
      <c r="Y4155" s="113" t="n"/>
      <c r="Z4155" s="117">
        <f>IF($B4155="",0,IF($S4155="EVET",IF($D4155="GELİR",$O4155,-$O4155),0))</f>
        <v/>
      </c>
      <c r="AA4155" s="117">
        <f>IF($B4155="",0,IF(OR($W4155="EVET",$X4155="EVET",$Y4155="EVET"),0,IF($D4155="GELİR",IF($E4155="SATIŞ İADESİ/İSKONTO",-$O4155,$O4155),-$O4155)))</f>
        <v/>
      </c>
      <c r="AB4155" s="117">
        <f>IF($B4155="","",IF(OR($D4155="",$E4155="",$O4155=""),"EKSİK",IF($O4155&lt;=0,"SIFIR/NEGATİF",IF(COUNTIFS($C$6:$C$5000,$C4155,$O$6:$O$5000,$O4155,$B$6:$B$5000,$B4155)&gt;1,"MÜKERRER","OK"))))</f>
        <v/>
      </c>
    </row>
    <row r="4156" ht="16.5" customHeight="1" s="80">
      <c r="A4156" s="113" t="n"/>
      <c r="B4156" s="113" t="n"/>
      <c r="C4156" s="113" t="n"/>
      <c r="D4156" s="113" t="n"/>
      <c r="E4156" s="113" t="n"/>
      <c r="F4156" s="113" t="n"/>
      <c r="G4156" s="113" t="n"/>
      <c r="H4156" s="113" t="n"/>
      <c r="I4156" s="113" t="n"/>
      <c r="J4156" s="113" t="n"/>
      <c r="K4156" s="113" t="n"/>
      <c r="L4156" s="113" t="n"/>
      <c r="M4156" s="113" t="n"/>
      <c r="N4156" s="113" t="n"/>
      <c r="O4156" s="113" t="n"/>
      <c r="P4156" s="113" t="n"/>
      <c r="Q4156" s="113" t="n"/>
      <c r="R4156" s="113" t="n"/>
      <c r="S4156" s="113" t="n"/>
      <c r="T4156" s="113" t="n"/>
      <c r="U4156" s="113" t="n"/>
      <c r="V4156" s="113" t="n"/>
      <c r="W4156" s="113" t="n"/>
      <c r="X4156" s="113" t="n"/>
      <c r="Y4156" s="113" t="n"/>
      <c r="Z4156" s="117">
        <f>IF($B4156="",0,IF($S4156="EVET",IF($D4156="GELİR",$O4156,-$O4156),0))</f>
        <v/>
      </c>
      <c r="AA4156" s="117">
        <f>IF($B4156="",0,IF(OR($W4156="EVET",$X4156="EVET",$Y4156="EVET"),0,IF($D4156="GELİR",IF($E4156="SATIŞ İADESİ/İSKONTO",-$O4156,$O4156),-$O4156)))</f>
        <v/>
      </c>
      <c r="AB4156" s="117">
        <f>IF($B4156="","",IF(OR($D4156="",$E4156="",$O4156=""),"EKSİK",IF($O4156&lt;=0,"SIFIR/NEGATİF",IF(COUNTIFS($C$6:$C$5000,$C4156,$O$6:$O$5000,$O4156,$B$6:$B$5000,$B4156)&gt;1,"MÜKERRER","OK"))))</f>
        <v/>
      </c>
    </row>
    <row r="4157" ht="16.5" customHeight="1" s="80">
      <c r="A4157" s="113" t="n"/>
      <c r="B4157" s="113" t="n"/>
      <c r="C4157" s="113" t="n"/>
      <c r="D4157" s="113" t="n"/>
      <c r="E4157" s="113" t="n"/>
      <c r="F4157" s="113" t="n"/>
      <c r="G4157" s="113" t="n"/>
      <c r="H4157" s="113" t="n"/>
      <c r="I4157" s="113" t="n"/>
      <c r="J4157" s="113" t="n"/>
      <c r="K4157" s="113" t="n"/>
      <c r="L4157" s="113" t="n"/>
      <c r="M4157" s="113" t="n"/>
      <c r="N4157" s="113" t="n"/>
      <c r="O4157" s="113" t="n"/>
      <c r="P4157" s="113" t="n"/>
      <c r="Q4157" s="113" t="n"/>
      <c r="R4157" s="113" t="n"/>
      <c r="S4157" s="113" t="n"/>
      <c r="T4157" s="113" t="n"/>
      <c r="U4157" s="113" t="n"/>
      <c r="V4157" s="113" t="n"/>
      <c r="W4157" s="113" t="n"/>
      <c r="X4157" s="113" t="n"/>
      <c r="Y4157" s="113" t="n"/>
      <c r="Z4157" s="117">
        <f>IF($B4157="",0,IF($S4157="EVET",IF($D4157="GELİR",$O4157,-$O4157),0))</f>
        <v/>
      </c>
      <c r="AA4157" s="117">
        <f>IF($B4157="",0,IF(OR($W4157="EVET",$X4157="EVET",$Y4157="EVET"),0,IF($D4157="GELİR",IF($E4157="SATIŞ İADESİ/İSKONTO",-$O4157,$O4157),-$O4157)))</f>
        <v/>
      </c>
      <c r="AB4157" s="117">
        <f>IF($B4157="","",IF(OR($D4157="",$E4157="",$O4157=""),"EKSİK",IF($O4157&lt;=0,"SIFIR/NEGATİF",IF(COUNTIFS($C$6:$C$5000,$C4157,$O$6:$O$5000,$O4157,$B$6:$B$5000,$B4157)&gt;1,"MÜKERRER","OK"))))</f>
        <v/>
      </c>
    </row>
    <row r="4158" ht="16.5" customHeight="1" s="80">
      <c r="A4158" s="113" t="n"/>
      <c r="B4158" s="113" t="n"/>
      <c r="C4158" s="113" t="n"/>
      <c r="D4158" s="113" t="n"/>
      <c r="E4158" s="113" t="n"/>
      <c r="F4158" s="113" t="n"/>
      <c r="G4158" s="113" t="n"/>
      <c r="H4158" s="113" t="n"/>
      <c r="I4158" s="113" t="n"/>
      <c r="J4158" s="113" t="n"/>
      <c r="K4158" s="113" t="n"/>
      <c r="L4158" s="113" t="n"/>
      <c r="M4158" s="113" t="n"/>
      <c r="N4158" s="113" t="n"/>
      <c r="O4158" s="113" t="n"/>
      <c r="P4158" s="113" t="n"/>
      <c r="Q4158" s="113" t="n"/>
      <c r="R4158" s="113" t="n"/>
      <c r="S4158" s="113" t="n"/>
      <c r="T4158" s="113" t="n"/>
      <c r="U4158" s="113" t="n"/>
      <c r="V4158" s="113" t="n"/>
      <c r="W4158" s="113" t="n"/>
      <c r="X4158" s="113" t="n"/>
      <c r="Y4158" s="113" t="n"/>
      <c r="Z4158" s="117">
        <f>IF($B4158="",0,IF($S4158="EVET",IF($D4158="GELİR",$O4158,-$O4158),0))</f>
        <v/>
      </c>
      <c r="AA4158" s="117">
        <f>IF($B4158="",0,IF(OR($W4158="EVET",$X4158="EVET",$Y4158="EVET"),0,IF($D4158="GELİR",IF($E4158="SATIŞ İADESİ/İSKONTO",-$O4158,$O4158),-$O4158)))</f>
        <v/>
      </c>
      <c r="AB4158" s="117">
        <f>IF($B4158="","",IF(OR($D4158="",$E4158="",$O4158=""),"EKSİK",IF($O4158&lt;=0,"SIFIR/NEGATİF",IF(COUNTIFS($C$6:$C$5000,$C4158,$O$6:$O$5000,$O4158,$B$6:$B$5000,$B4158)&gt;1,"MÜKERRER","OK"))))</f>
        <v/>
      </c>
    </row>
    <row r="4159" ht="16.5" customHeight="1" s="80">
      <c r="A4159" s="113" t="n"/>
      <c r="B4159" s="113" t="n"/>
      <c r="C4159" s="113" t="n"/>
      <c r="D4159" s="113" t="n"/>
      <c r="E4159" s="113" t="n"/>
      <c r="F4159" s="113" t="n"/>
      <c r="G4159" s="113" t="n"/>
      <c r="H4159" s="113" t="n"/>
      <c r="I4159" s="113" t="n"/>
      <c r="J4159" s="113" t="n"/>
      <c r="K4159" s="113" t="n"/>
      <c r="L4159" s="113" t="n"/>
      <c r="M4159" s="113" t="n"/>
      <c r="N4159" s="113" t="n"/>
      <c r="O4159" s="113" t="n"/>
      <c r="P4159" s="113" t="n"/>
      <c r="Q4159" s="113" t="n"/>
      <c r="R4159" s="113" t="n"/>
      <c r="S4159" s="113" t="n"/>
      <c r="T4159" s="113" t="n"/>
      <c r="U4159" s="113" t="n"/>
      <c r="V4159" s="113" t="n"/>
      <c r="W4159" s="113" t="n"/>
      <c r="X4159" s="113" t="n"/>
      <c r="Y4159" s="113" t="n"/>
      <c r="Z4159" s="117">
        <f>IF($B4159="",0,IF($S4159="EVET",IF($D4159="GELİR",$O4159,-$O4159),0))</f>
        <v/>
      </c>
      <c r="AA4159" s="117">
        <f>IF($B4159="",0,IF(OR($W4159="EVET",$X4159="EVET",$Y4159="EVET"),0,IF($D4159="GELİR",IF($E4159="SATIŞ İADESİ/İSKONTO",-$O4159,$O4159),-$O4159)))</f>
        <v/>
      </c>
      <c r="AB4159" s="117">
        <f>IF($B4159="","",IF(OR($D4159="",$E4159="",$O4159=""),"EKSİK",IF($O4159&lt;=0,"SIFIR/NEGATİF",IF(COUNTIFS($C$6:$C$5000,$C4159,$O$6:$O$5000,$O4159,$B$6:$B$5000,$B4159)&gt;1,"MÜKERRER","OK"))))</f>
        <v/>
      </c>
    </row>
    <row r="4160" ht="16.5" customHeight="1" s="80">
      <c r="A4160" s="113" t="n"/>
      <c r="B4160" s="113" t="n"/>
      <c r="C4160" s="113" t="n"/>
      <c r="D4160" s="113" t="n"/>
      <c r="E4160" s="113" t="n"/>
      <c r="F4160" s="113" t="n"/>
      <c r="G4160" s="113" t="n"/>
      <c r="H4160" s="113" t="n"/>
      <c r="I4160" s="113" t="n"/>
      <c r="J4160" s="113" t="n"/>
      <c r="K4160" s="113" t="n"/>
      <c r="L4160" s="113" t="n"/>
      <c r="M4160" s="113" t="n"/>
      <c r="N4160" s="113" t="n"/>
      <c r="O4160" s="113" t="n"/>
      <c r="P4160" s="113" t="n"/>
      <c r="Q4160" s="113" t="n"/>
      <c r="R4160" s="113" t="n"/>
      <c r="S4160" s="113" t="n"/>
      <c r="T4160" s="113" t="n"/>
      <c r="U4160" s="113" t="n"/>
      <c r="V4160" s="113" t="n"/>
      <c r="W4160" s="113" t="n"/>
      <c r="X4160" s="113" t="n"/>
      <c r="Y4160" s="113" t="n"/>
      <c r="Z4160" s="117">
        <f>IF($B4160="",0,IF($S4160="EVET",IF($D4160="GELİR",$O4160,-$O4160),0))</f>
        <v/>
      </c>
      <c r="AA4160" s="117">
        <f>IF($B4160="",0,IF(OR($W4160="EVET",$X4160="EVET",$Y4160="EVET"),0,IF($D4160="GELİR",IF($E4160="SATIŞ İADESİ/İSKONTO",-$O4160,$O4160),-$O4160)))</f>
        <v/>
      </c>
      <c r="AB4160" s="117">
        <f>IF($B4160="","",IF(OR($D4160="",$E4160="",$O4160=""),"EKSİK",IF($O4160&lt;=0,"SIFIR/NEGATİF",IF(COUNTIFS($C$6:$C$5000,$C4160,$O$6:$O$5000,$O4160,$B$6:$B$5000,$B4160)&gt;1,"MÜKERRER","OK"))))</f>
        <v/>
      </c>
    </row>
    <row r="4161" ht="16.5" customHeight="1" s="80">
      <c r="A4161" s="113" t="n"/>
      <c r="B4161" s="113" t="n"/>
      <c r="C4161" s="113" t="n"/>
      <c r="D4161" s="113" t="n"/>
      <c r="E4161" s="113" t="n"/>
      <c r="F4161" s="113" t="n"/>
      <c r="G4161" s="113" t="n"/>
      <c r="H4161" s="113" t="n"/>
      <c r="I4161" s="113" t="n"/>
      <c r="J4161" s="113" t="n"/>
      <c r="K4161" s="113" t="n"/>
      <c r="L4161" s="113" t="n"/>
      <c r="M4161" s="113" t="n"/>
      <c r="N4161" s="113" t="n"/>
      <c r="O4161" s="113" t="n"/>
      <c r="P4161" s="113" t="n"/>
      <c r="Q4161" s="113" t="n"/>
      <c r="R4161" s="113" t="n"/>
      <c r="S4161" s="113" t="n"/>
      <c r="T4161" s="113" t="n"/>
      <c r="U4161" s="113" t="n"/>
      <c r="V4161" s="113" t="n"/>
      <c r="W4161" s="113" t="n"/>
      <c r="X4161" s="113" t="n"/>
      <c r="Y4161" s="113" t="n"/>
      <c r="Z4161" s="117">
        <f>IF($B4161="",0,IF($S4161="EVET",IF($D4161="GELİR",$O4161,-$O4161),0))</f>
        <v/>
      </c>
      <c r="AA4161" s="117">
        <f>IF($B4161="",0,IF(OR($W4161="EVET",$X4161="EVET",$Y4161="EVET"),0,IF($D4161="GELİR",IF($E4161="SATIŞ İADESİ/İSKONTO",-$O4161,$O4161),-$O4161)))</f>
        <v/>
      </c>
      <c r="AB4161" s="117">
        <f>IF($B4161="","",IF(OR($D4161="",$E4161="",$O4161=""),"EKSİK",IF($O4161&lt;=0,"SIFIR/NEGATİF",IF(COUNTIFS($C$6:$C$5000,$C4161,$O$6:$O$5000,$O4161,$B$6:$B$5000,$B4161)&gt;1,"MÜKERRER","OK"))))</f>
        <v/>
      </c>
    </row>
    <row r="4162" ht="16.5" customHeight="1" s="80">
      <c r="A4162" s="113" t="n"/>
      <c r="B4162" s="113" t="n"/>
      <c r="C4162" s="113" t="n"/>
      <c r="D4162" s="113" t="n"/>
      <c r="E4162" s="113" t="n"/>
      <c r="F4162" s="113" t="n"/>
      <c r="G4162" s="113" t="n"/>
      <c r="H4162" s="113" t="n"/>
      <c r="I4162" s="113" t="n"/>
      <c r="J4162" s="113" t="n"/>
      <c r="K4162" s="113" t="n"/>
      <c r="L4162" s="113" t="n"/>
      <c r="M4162" s="113" t="n"/>
      <c r="N4162" s="113" t="n"/>
      <c r="O4162" s="113" t="n"/>
      <c r="P4162" s="113" t="n"/>
      <c r="Q4162" s="113" t="n"/>
      <c r="R4162" s="113" t="n"/>
      <c r="S4162" s="113" t="n"/>
      <c r="T4162" s="113" t="n"/>
      <c r="U4162" s="113" t="n"/>
      <c r="V4162" s="113" t="n"/>
      <c r="W4162" s="113" t="n"/>
      <c r="X4162" s="113" t="n"/>
      <c r="Y4162" s="113" t="n"/>
      <c r="Z4162" s="117">
        <f>IF($B4162="",0,IF($S4162="EVET",IF($D4162="GELİR",$O4162,-$O4162),0))</f>
        <v/>
      </c>
      <c r="AA4162" s="117">
        <f>IF($B4162="",0,IF(OR($W4162="EVET",$X4162="EVET",$Y4162="EVET"),0,IF($D4162="GELİR",IF($E4162="SATIŞ İADESİ/İSKONTO",-$O4162,$O4162),-$O4162)))</f>
        <v/>
      </c>
      <c r="AB4162" s="117">
        <f>IF($B4162="","",IF(OR($D4162="",$E4162="",$O4162=""),"EKSİK",IF($O4162&lt;=0,"SIFIR/NEGATİF",IF(COUNTIFS($C$6:$C$5000,$C4162,$O$6:$O$5000,$O4162,$B$6:$B$5000,$B4162)&gt;1,"MÜKERRER","OK"))))</f>
        <v/>
      </c>
    </row>
    <row r="4163" ht="16.5" customHeight="1" s="80">
      <c r="A4163" s="113" t="n"/>
      <c r="B4163" s="113" t="n"/>
      <c r="C4163" s="113" t="n"/>
      <c r="D4163" s="113" t="n"/>
      <c r="E4163" s="113" t="n"/>
      <c r="F4163" s="113" t="n"/>
      <c r="G4163" s="113" t="n"/>
      <c r="H4163" s="113" t="n"/>
      <c r="I4163" s="113" t="n"/>
      <c r="J4163" s="113" t="n"/>
      <c r="K4163" s="113" t="n"/>
      <c r="L4163" s="113" t="n"/>
      <c r="M4163" s="113" t="n"/>
      <c r="N4163" s="113" t="n"/>
      <c r="O4163" s="113" t="n"/>
      <c r="P4163" s="113" t="n"/>
      <c r="Q4163" s="113" t="n"/>
      <c r="R4163" s="113" t="n"/>
      <c r="S4163" s="113" t="n"/>
      <c r="T4163" s="113" t="n"/>
      <c r="U4163" s="113" t="n"/>
      <c r="V4163" s="113" t="n"/>
      <c r="W4163" s="113" t="n"/>
      <c r="X4163" s="113" t="n"/>
      <c r="Y4163" s="113" t="n"/>
      <c r="Z4163" s="117">
        <f>IF($B4163="",0,IF($S4163="EVET",IF($D4163="GELİR",$O4163,-$O4163),0))</f>
        <v/>
      </c>
      <c r="AA4163" s="117">
        <f>IF($B4163="",0,IF(OR($W4163="EVET",$X4163="EVET",$Y4163="EVET"),0,IF($D4163="GELİR",IF($E4163="SATIŞ İADESİ/İSKONTO",-$O4163,$O4163),-$O4163)))</f>
        <v/>
      </c>
      <c r="AB4163" s="117">
        <f>IF($B4163="","",IF(OR($D4163="",$E4163="",$O4163=""),"EKSİK",IF($O4163&lt;=0,"SIFIR/NEGATİF",IF(COUNTIFS($C$6:$C$5000,$C4163,$O$6:$O$5000,$O4163,$B$6:$B$5000,$B4163)&gt;1,"MÜKERRER","OK"))))</f>
        <v/>
      </c>
    </row>
    <row r="4164" ht="16.5" customHeight="1" s="80">
      <c r="A4164" s="113" t="n"/>
      <c r="B4164" s="113" t="n"/>
      <c r="C4164" s="113" t="n"/>
      <c r="D4164" s="113" t="n"/>
      <c r="E4164" s="113" t="n"/>
      <c r="F4164" s="113" t="n"/>
      <c r="G4164" s="113" t="n"/>
      <c r="H4164" s="113" t="n"/>
      <c r="I4164" s="113" t="n"/>
      <c r="J4164" s="113" t="n"/>
      <c r="K4164" s="113" t="n"/>
      <c r="L4164" s="113" t="n"/>
      <c r="M4164" s="113" t="n"/>
      <c r="N4164" s="113" t="n"/>
      <c r="O4164" s="113" t="n"/>
      <c r="P4164" s="113" t="n"/>
      <c r="Q4164" s="113" t="n"/>
      <c r="R4164" s="113" t="n"/>
      <c r="S4164" s="113" t="n"/>
      <c r="T4164" s="113" t="n"/>
      <c r="U4164" s="113" t="n"/>
      <c r="V4164" s="113" t="n"/>
      <c r="W4164" s="113" t="n"/>
      <c r="X4164" s="113" t="n"/>
      <c r="Y4164" s="113" t="n"/>
      <c r="Z4164" s="117">
        <f>IF($B4164="",0,IF($S4164="EVET",IF($D4164="GELİR",$O4164,-$O4164),0))</f>
        <v/>
      </c>
      <c r="AA4164" s="117">
        <f>IF($B4164="",0,IF(OR($W4164="EVET",$X4164="EVET",$Y4164="EVET"),0,IF($D4164="GELİR",IF($E4164="SATIŞ İADESİ/İSKONTO",-$O4164,$O4164),-$O4164)))</f>
        <v/>
      </c>
      <c r="AB4164" s="117">
        <f>IF($B4164="","",IF(OR($D4164="",$E4164="",$O4164=""),"EKSİK",IF($O4164&lt;=0,"SIFIR/NEGATİF",IF(COUNTIFS($C$6:$C$5000,$C4164,$O$6:$O$5000,$O4164,$B$6:$B$5000,$B4164)&gt;1,"MÜKERRER","OK"))))</f>
        <v/>
      </c>
    </row>
    <row r="4165" ht="16.5" customHeight="1" s="80">
      <c r="A4165" s="113" t="n"/>
      <c r="B4165" s="113" t="n"/>
      <c r="C4165" s="113" t="n"/>
      <c r="D4165" s="113" t="n"/>
      <c r="E4165" s="113" t="n"/>
      <c r="F4165" s="113" t="n"/>
      <c r="G4165" s="113" t="n"/>
      <c r="H4165" s="113" t="n"/>
      <c r="I4165" s="113" t="n"/>
      <c r="J4165" s="113" t="n"/>
      <c r="K4165" s="113" t="n"/>
      <c r="L4165" s="113" t="n"/>
      <c r="M4165" s="113" t="n"/>
      <c r="N4165" s="113" t="n"/>
      <c r="O4165" s="113" t="n"/>
      <c r="P4165" s="113" t="n"/>
      <c r="Q4165" s="113" t="n"/>
      <c r="R4165" s="113" t="n"/>
      <c r="S4165" s="113" t="n"/>
      <c r="T4165" s="113" t="n"/>
      <c r="U4165" s="113" t="n"/>
      <c r="V4165" s="113" t="n"/>
      <c r="W4165" s="113" t="n"/>
      <c r="X4165" s="113" t="n"/>
      <c r="Y4165" s="113" t="n"/>
      <c r="Z4165" s="117">
        <f>IF($B4165="",0,IF($S4165="EVET",IF($D4165="GELİR",$O4165,-$O4165),0))</f>
        <v/>
      </c>
      <c r="AA4165" s="117">
        <f>IF($B4165="",0,IF(OR($W4165="EVET",$X4165="EVET",$Y4165="EVET"),0,IF($D4165="GELİR",IF($E4165="SATIŞ İADESİ/İSKONTO",-$O4165,$O4165),-$O4165)))</f>
        <v/>
      </c>
      <c r="AB4165" s="117">
        <f>IF($B4165="","",IF(OR($D4165="",$E4165="",$O4165=""),"EKSİK",IF($O4165&lt;=0,"SIFIR/NEGATİF",IF(COUNTIFS($C$6:$C$5000,$C4165,$O$6:$O$5000,$O4165,$B$6:$B$5000,$B4165)&gt;1,"MÜKERRER","OK"))))</f>
        <v/>
      </c>
    </row>
    <row r="4166" ht="16.5" customHeight="1" s="80">
      <c r="A4166" s="113" t="n"/>
      <c r="B4166" s="113" t="n"/>
      <c r="C4166" s="113" t="n"/>
      <c r="D4166" s="113" t="n"/>
      <c r="E4166" s="113" t="n"/>
      <c r="F4166" s="113" t="n"/>
      <c r="G4166" s="113" t="n"/>
      <c r="H4166" s="113" t="n"/>
      <c r="I4166" s="113" t="n"/>
      <c r="J4166" s="113" t="n"/>
      <c r="K4166" s="113" t="n"/>
      <c r="L4166" s="113" t="n"/>
      <c r="M4166" s="113" t="n"/>
      <c r="N4166" s="113" t="n"/>
      <c r="O4166" s="113" t="n"/>
      <c r="P4166" s="113" t="n"/>
      <c r="Q4166" s="113" t="n"/>
      <c r="R4166" s="113" t="n"/>
      <c r="S4166" s="113" t="n"/>
      <c r="T4166" s="113" t="n"/>
      <c r="U4166" s="113" t="n"/>
      <c r="V4166" s="113" t="n"/>
      <c r="W4166" s="113" t="n"/>
      <c r="X4166" s="113" t="n"/>
      <c r="Y4166" s="113" t="n"/>
      <c r="Z4166" s="117">
        <f>IF($B4166="",0,IF($S4166="EVET",IF($D4166="GELİR",$O4166,-$O4166),0))</f>
        <v/>
      </c>
      <c r="AA4166" s="117">
        <f>IF($B4166="",0,IF(OR($W4166="EVET",$X4166="EVET",$Y4166="EVET"),0,IF($D4166="GELİR",IF($E4166="SATIŞ İADESİ/İSKONTO",-$O4166,$O4166),-$O4166)))</f>
        <v/>
      </c>
      <c r="AB4166" s="117">
        <f>IF($B4166="","",IF(OR($D4166="",$E4166="",$O4166=""),"EKSİK",IF($O4166&lt;=0,"SIFIR/NEGATİF",IF(COUNTIFS($C$6:$C$5000,$C4166,$O$6:$O$5000,$O4166,$B$6:$B$5000,$B4166)&gt;1,"MÜKERRER","OK"))))</f>
        <v/>
      </c>
    </row>
    <row r="4167" ht="16.5" customHeight="1" s="80">
      <c r="A4167" s="113" t="n"/>
      <c r="B4167" s="113" t="n"/>
      <c r="C4167" s="113" t="n"/>
      <c r="D4167" s="113" t="n"/>
      <c r="E4167" s="113" t="n"/>
      <c r="F4167" s="113" t="n"/>
      <c r="G4167" s="113" t="n"/>
      <c r="H4167" s="113" t="n"/>
      <c r="I4167" s="113" t="n"/>
      <c r="J4167" s="113" t="n"/>
      <c r="K4167" s="113" t="n"/>
      <c r="L4167" s="113" t="n"/>
      <c r="M4167" s="113" t="n"/>
      <c r="N4167" s="113" t="n"/>
      <c r="O4167" s="113" t="n"/>
      <c r="P4167" s="113" t="n"/>
      <c r="Q4167" s="113" t="n"/>
      <c r="R4167" s="113" t="n"/>
      <c r="S4167" s="113" t="n"/>
      <c r="T4167" s="113" t="n"/>
      <c r="U4167" s="113" t="n"/>
      <c r="V4167" s="113" t="n"/>
      <c r="W4167" s="113" t="n"/>
      <c r="X4167" s="113" t="n"/>
      <c r="Y4167" s="113" t="n"/>
      <c r="Z4167" s="117">
        <f>IF($B4167="",0,IF($S4167="EVET",IF($D4167="GELİR",$O4167,-$O4167),0))</f>
        <v/>
      </c>
      <c r="AA4167" s="117">
        <f>IF($B4167="",0,IF(OR($W4167="EVET",$X4167="EVET",$Y4167="EVET"),0,IF($D4167="GELİR",IF($E4167="SATIŞ İADESİ/İSKONTO",-$O4167,$O4167),-$O4167)))</f>
        <v/>
      </c>
      <c r="AB4167" s="117">
        <f>IF($B4167="","",IF(OR($D4167="",$E4167="",$O4167=""),"EKSİK",IF($O4167&lt;=0,"SIFIR/NEGATİF",IF(COUNTIFS($C$6:$C$5000,$C4167,$O$6:$O$5000,$O4167,$B$6:$B$5000,$B4167)&gt;1,"MÜKERRER","OK"))))</f>
        <v/>
      </c>
    </row>
    <row r="4168" ht="16.5" customHeight="1" s="80">
      <c r="A4168" s="113" t="n"/>
      <c r="B4168" s="113" t="n"/>
      <c r="C4168" s="113" t="n"/>
      <c r="D4168" s="113" t="n"/>
      <c r="E4168" s="113" t="n"/>
      <c r="F4168" s="113" t="n"/>
      <c r="G4168" s="113" t="n"/>
      <c r="H4168" s="113" t="n"/>
      <c r="I4168" s="113" t="n"/>
      <c r="J4168" s="113" t="n"/>
      <c r="K4168" s="113" t="n"/>
      <c r="L4168" s="113" t="n"/>
      <c r="M4168" s="113" t="n"/>
      <c r="N4168" s="113" t="n"/>
      <c r="O4168" s="113" t="n"/>
      <c r="P4168" s="113" t="n"/>
      <c r="Q4168" s="113" t="n"/>
      <c r="R4168" s="113" t="n"/>
      <c r="S4168" s="113" t="n"/>
      <c r="T4168" s="113" t="n"/>
      <c r="U4168" s="113" t="n"/>
      <c r="V4168" s="113" t="n"/>
      <c r="W4168" s="113" t="n"/>
      <c r="X4168" s="113" t="n"/>
      <c r="Y4168" s="113" t="n"/>
      <c r="Z4168" s="117">
        <f>IF($B4168="",0,IF($S4168="EVET",IF($D4168="GELİR",$O4168,-$O4168),0))</f>
        <v/>
      </c>
      <c r="AA4168" s="117">
        <f>IF($B4168="",0,IF(OR($W4168="EVET",$X4168="EVET",$Y4168="EVET"),0,IF($D4168="GELİR",IF($E4168="SATIŞ İADESİ/İSKONTO",-$O4168,$O4168),-$O4168)))</f>
        <v/>
      </c>
      <c r="AB4168" s="117">
        <f>IF($B4168="","",IF(OR($D4168="",$E4168="",$O4168=""),"EKSİK",IF($O4168&lt;=0,"SIFIR/NEGATİF",IF(COUNTIFS($C$6:$C$5000,$C4168,$O$6:$O$5000,$O4168,$B$6:$B$5000,$B4168)&gt;1,"MÜKERRER","OK"))))</f>
        <v/>
      </c>
    </row>
    <row r="4169" ht="16.5" customHeight="1" s="80">
      <c r="A4169" s="113" t="n"/>
      <c r="B4169" s="113" t="n"/>
      <c r="C4169" s="113" t="n"/>
      <c r="D4169" s="113" t="n"/>
      <c r="E4169" s="113" t="n"/>
      <c r="F4169" s="113" t="n"/>
      <c r="G4169" s="113" t="n"/>
      <c r="H4169" s="113" t="n"/>
      <c r="I4169" s="113" t="n"/>
      <c r="J4169" s="113" t="n"/>
      <c r="K4169" s="113" t="n"/>
      <c r="L4169" s="113" t="n"/>
      <c r="M4169" s="113" t="n"/>
      <c r="N4169" s="113" t="n"/>
      <c r="O4169" s="113" t="n"/>
      <c r="P4169" s="113" t="n"/>
      <c r="Q4169" s="113" t="n"/>
      <c r="R4169" s="113" t="n"/>
      <c r="S4169" s="113" t="n"/>
      <c r="T4169" s="113" t="n"/>
      <c r="U4169" s="113" t="n"/>
      <c r="V4169" s="113" t="n"/>
      <c r="W4169" s="113" t="n"/>
      <c r="X4169" s="113" t="n"/>
      <c r="Y4169" s="113" t="n"/>
      <c r="Z4169" s="117">
        <f>IF($B4169="",0,IF($S4169="EVET",IF($D4169="GELİR",$O4169,-$O4169),0))</f>
        <v/>
      </c>
      <c r="AA4169" s="117">
        <f>IF($B4169="",0,IF(OR($W4169="EVET",$X4169="EVET",$Y4169="EVET"),0,IF($D4169="GELİR",IF($E4169="SATIŞ İADESİ/İSKONTO",-$O4169,$O4169),-$O4169)))</f>
        <v/>
      </c>
      <c r="AB4169" s="117">
        <f>IF($B4169="","",IF(OR($D4169="",$E4169="",$O4169=""),"EKSİK",IF($O4169&lt;=0,"SIFIR/NEGATİF",IF(COUNTIFS($C$6:$C$5000,$C4169,$O$6:$O$5000,$O4169,$B$6:$B$5000,$B4169)&gt;1,"MÜKERRER","OK"))))</f>
        <v/>
      </c>
    </row>
    <row r="4170" ht="16.5" customHeight="1" s="80">
      <c r="A4170" s="113" t="n"/>
      <c r="B4170" s="113" t="n"/>
      <c r="C4170" s="113" t="n"/>
      <c r="D4170" s="113" t="n"/>
      <c r="E4170" s="113" t="n"/>
      <c r="F4170" s="113" t="n"/>
      <c r="G4170" s="113" t="n"/>
      <c r="H4170" s="113" t="n"/>
      <c r="I4170" s="113" t="n"/>
      <c r="J4170" s="113" t="n"/>
      <c r="K4170" s="113" t="n"/>
      <c r="L4170" s="113" t="n"/>
      <c r="M4170" s="113" t="n"/>
      <c r="N4170" s="113" t="n"/>
      <c r="O4170" s="113" t="n"/>
      <c r="P4170" s="113" t="n"/>
      <c r="Q4170" s="113" t="n"/>
      <c r="R4170" s="113" t="n"/>
      <c r="S4170" s="113" t="n"/>
      <c r="T4170" s="113" t="n"/>
      <c r="U4170" s="113" t="n"/>
      <c r="V4170" s="113" t="n"/>
      <c r="W4170" s="113" t="n"/>
      <c r="X4170" s="113" t="n"/>
      <c r="Y4170" s="113" t="n"/>
      <c r="Z4170" s="117">
        <f>IF($B4170="",0,IF($S4170="EVET",IF($D4170="GELİR",$O4170,-$O4170),0))</f>
        <v/>
      </c>
      <c r="AA4170" s="117">
        <f>IF($B4170="",0,IF(OR($W4170="EVET",$X4170="EVET",$Y4170="EVET"),0,IF($D4170="GELİR",IF($E4170="SATIŞ İADESİ/İSKONTO",-$O4170,$O4170),-$O4170)))</f>
        <v/>
      </c>
      <c r="AB4170" s="117">
        <f>IF($B4170="","",IF(OR($D4170="",$E4170="",$O4170=""),"EKSİK",IF($O4170&lt;=0,"SIFIR/NEGATİF",IF(COUNTIFS($C$6:$C$5000,$C4170,$O$6:$O$5000,$O4170,$B$6:$B$5000,$B4170)&gt;1,"MÜKERRER","OK"))))</f>
        <v/>
      </c>
    </row>
    <row r="4171" ht="16.5" customHeight="1" s="80">
      <c r="A4171" s="113" t="n"/>
      <c r="B4171" s="113" t="n"/>
      <c r="C4171" s="113" t="n"/>
      <c r="D4171" s="113" t="n"/>
      <c r="E4171" s="113" t="n"/>
      <c r="F4171" s="113" t="n"/>
      <c r="G4171" s="113" t="n"/>
      <c r="H4171" s="113" t="n"/>
      <c r="I4171" s="113" t="n"/>
      <c r="J4171" s="113" t="n"/>
      <c r="K4171" s="113" t="n"/>
      <c r="L4171" s="113" t="n"/>
      <c r="M4171" s="113" t="n"/>
      <c r="N4171" s="113" t="n"/>
      <c r="O4171" s="113" t="n"/>
      <c r="P4171" s="113" t="n"/>
      <c r="Q4171" s="113" t="n"/>
      <c r="R4171" s="113" t="n"/>
      <c r="S4171" s="113" t="n"/>
      <c r="T4171" s="113" t="n"/>
      <c r="U4171" s="113" t="n"/>
      <c r="V4171" s="113" t="n"/>
      <c r="W4171" s="113" t="n"/>
      <c r="X4171" s="113" t="n"/>
      <c r="Y4171" s="113" t="n"/>
      <c r="Z4171" s="117">
        <f>IF($B4171="",0,IF($S4171="EVET",IF($D4171="GELİR",$O4171,-$O4171),0))</f>
        <v/>
      </c>
      <c r="AA4171" s="117">
        <f>IF($B4171="",0,IF(OR($W4171="EVET",$X4171="EVET",$Y4171="EVET"),0,IF($D4171="GELİR",IF($E4171="SATIŞ İADESİ/İSKONTO",-$O4171,$O4171),-$O4171)))</f>
        <v/>
      </c>
      <c r="AB4171" s="117">
        <f>IF($B4171="","",IF(OR($D4171="",$E4171="",$O4171=""),"EKSİK",IF($O4171&lt;=0,"SIFIR/NEGATİF",IF(COUNTIFS($C$6:$C$5000,$C4171,$O$6:$O$5000,$O4171,$B$6:$B$5000,$B4171)&gt;1,"MÜKERRER","OK"))))</f>
        <v/>
      </c>
    </row>
    <row r="4172" ht="16.5" customHeight="1" s="80">
      <c r="A4172" s="113" t="n"/>
      <c r="B4172" s="113" t="n"/>
      <c r="C4172" s="113" t="n"/>
      <c r="D4172" s="113" t="n"/>
      <c r="E4172" s="113" t="n"/>
      <c r="F4172" s="113" t="n"/>
      <c r="G4172" s="113" t="n"/>
      <c r="H4172" s="113" t="n"/>
      <c r="I4172" s="113" t="n"/>
      <c r="J4172" s="113" t="n"/>
      <c r="K4172" s="113" t="n"/>
      <c r="L4172" s="113" t="n"/>
      <c r="M4172" s="113" t="n"/>
      <c r="N4172" s="113" t="n"/>
      <c r="O4172" s="113" t="n"/>
      <c r="P4172" s="113" t="n"/>
      <c r="Q4172" s="113" t="n"/>
      <c r="R4172" s="113" t="n"/>
      <c r="S4172" s="113" t="n"/>
      <c r="T4172" s="113" t="n"/>
      <c r="U4172" s="113" t="n"/>
      <c r="V4172" s="113" t="n"/>
      <c r="W4172" s="113" t="n"/>
      <c r="X4172" s="113" t="n"/>
      <c r="Y4172" s="113" t="n"/>
      <c r="Z4172" s="117">
        <f>IF($B4172="",0,IF($S4172="EVET",IF($D4172="GELİR",$O4172,-$O4172),0))</f>
        <v/>
      </c>
      <c r="AA4172" s="117">
        <f>IF($B4172="",0,IF(OR($W4172="EVET",$X4172="EVET",$Y4172="EVET"),0,IF($D4172="GELİR",IF($E4172="SATIŞ İADESİ/İSKONTO",-$O4172,$O4172),-$O4172)))</f>
        <v/>
      </c>
      <c r="AB4172" s="117">
        <f>IF($B4172="","",IF(OR($D4172="",$E4172="",$O4172=""),"EKSİK",IF($O4172&lt;=0,"SIFIR/NEGATİF",IF(COUNTIFS($C$6:$C$5000,$C4172,$O$6:$O$5000,$O4172,$B$6:$B$5000,$B4172)&gt;1,"MÜKERRER","OK"))))</f>
        <v/>
      </c>
    </row>
    <row r="4173" ht="16.5" customHeight="1" s="80">
      <c r="A4173" s="113" t="n"/>
      <c r="B4173" s="113" t="n"/>
      <c r="C4173" s="113" t="n"/>
      <c r="D4173" s="113" t="n"/>
      <c r="E4173" s="113" t="n"/>
      <c r="F4173" s="113" t="n"/>
      <c r="G4173" s="113" t="n"/>
      <c r="H4173" s="113" t="n"/>
      <c r="I4173" s="113" t="n"/>
      <c r="J4173" s="113" t="n"/>
      <c r="K4173" s="113" t="n"/>
      <c r="L4173" s="113" t="n"/>
      <c r="M4173" s="113" t="n"/>
      <c r="N4173" s="113" t="n"/>
      <c r="O4173" s="113" t="n"/>
      <c r="P4173" s="113" t="n"/>
      <c r="Q4173" s="113" t="n"/>
      <c r="R4173" s="113" t="n"/>
      <c r="S4173" s="113" t="n"/>
      <c r="T4173" s="113" t="n"/>
      <c r="U4173" s="113" t="n"/>
      <c r="V4173" s="113" t="n"/>
      <c r="W4173" s="113" t="n"/>
      <c r="X4173" s="113" t="n"/>
      <c r="Y4173" s="113" t="n"/>
      <c r="Z4173" s="117">
        <f>IF($B4173="",0,IF($S4173="EVET",IF($D4173="GELİR",$O4173,-$O4173),0))</f>
        <v/>
      </c>
      <c r="AA4173" s="117">
        <f>IF($B4173="",0,IF(OR($W4173="EVET",$X4173="EVET",$Y4173="EVET"),0,IF($D4173="GELİR",IF($E4173="SATIŞ İADESİ/İSKONTO",-$O4173,$O4173),-$O4173)))</f>
        <v/>
      </c>
      <c r="AB4173" s="117">
        <f>IF($B4173="","",IF(OR($D4173="",$E4173="",$O4173=""),"EKSİK",IF($O4173&lt;=0,"SIFIR/NEGATİF",IF(COUNTIFS($C$6:$C$5000,$C4173,$O$6:$O$5000,$O4173,$B$6:$B$5000,$B4173)&gt;1,"MÜKERRER","OK"))))</f>
        <v/>
      </c>
    </row>
    <row r="4174" ht="16.5" customHeight="1" s="80">
      <c r="A4174" s="113" t="n"/>
      <c r="B4174" s="113" t="n"/>
      <c r="C4174" s="113" t="n"/>
      <c r="D4174" s="113" t="n"/>
      <c r="E4174" s="113" t="n"/>
      <c r="F4174" s="113" t="n"/>
      <c r="G4174" s="113" t="n"/>
      <c r="H4174" s="113" t="n"/>
      <c r="I4174" s="113" t="n"/>
      <c r="J4174" s="113" t="n"/>
      <c r="K4174" s="113" t="n"/>
      <c r="L4174" s="113" t="n"/>
      <c r="M4174" s="113" t="n"/>
      <c r="N4174" s="113" t="n"/>
      <c r="O4174" s="113" t="n"/>
      <c r="P4174" s="113" t="n"/>
      <c r="Q4174" s="113" t="n"/>
      <c r="R4174" s="113" t="n"/>
      <c r="S4174" s="113" t="n"/>
      <c r="T4174" s="113" t="n"/>
      <c r="U4174" s="113" t="n"/>
      <c r="V4174" s="113" t="n"/>
      <c r="W4174" s="113" t="n"/>
      <c r="X4174" s="113" t="n"/>
      <c r="Y4174" s="113" t="n"/>
      <c r="Z4174" s="117">
        <f>IF($B4174="",0,IF($S4174="EVET",IF($D4174="GELİR",$O4174,-$O4174),0))</f>
        <v/>
      </c>
      <c r="AA4174" s="117">
        <f>IF($B4174="",0,IF(OR($W4174="EVET",$X4174="EVET",$Y4174="EVET"),0,IF($D4174="GELİR",IF($E4174="SATIŞ İADESİ/İSKONTO",-$O4174,$O4174),-$O4174)))</f>
        <v/>
      </c>
      <c r="AB4174" s="117">
        <f>IF($B4174="","",IF(OR($D4174="",$E4174="",$O4174=""),"EKSİK",IF($O4174&lt;=0,"SIFIR/NEGATİF",IF(COUNTIFS($C$6:$C$5000,$C4174,$O$6:$O$5000,$O4174,$B$6:$B$5000,$B4174)&gt;1,"MÜKERRER","OK"))))</f>
        <v/>
      </c>
    </row>
    <row r="4175" ht="16.5" customHeight="1" s="80">
      <c r="A4175" s="113" t="n"/>
      <c r="B4175" s="113" t="n"/>
      <c r="C4175" s="113" t="n"/>
      <c r="D4175" s="113" t="n"/>
      <c r="E4175" s="113" t="n"/>
      <c r="F4175" s="113" t="n"/>
      <c r="G4175" s="113" t="n"/>
      <c r="H4175" s="113" t="n"/>
      <c r="I4175" s="113" t="n"/>
      <c r="J4175" s="113" t="n"/>
      <c r="K4175" s="113" t="n"/>
      <c r="L4175" s="113" t="n"/>
      <c r="M4175" s="113" t="n"/>
      <c r="N4175" s="113" t="n"/>
      <c r="O4175" s="113" t="n"/>
      <c r="P4175" s="113" t="n"/>
      <c r="Q4175" s="113" t="n"/>
      <c r="R4175" s="113" t="n"/>
      <c r="S4175" s="113" t="n"/>
      <c r="T4175" s="113" t="n"/>
      <c r="U4175" s="113" t="n"/>
      <c r="V4175" s="113" t="n"/>
      <c r="W4175" s="113" t="n"/>
      <c r="X4175" s="113" t="n"/>
      <c r="Y4175" s="113" t="n"/>
      <c r="Z4175" s="117">
        <f>IF($B4175="",0,IF($S4175="EVET",IF($D4175="GELİR",$O4175,-$O4175),0))</f>
        <v/>
      </c>
      <c r="AA4175" s="117">
        <f>IF($B4175="",0,IF(OR($W4175="EVET",$X4175="EVET",$Y4175="EVET"),0,IF($D4175="GELİR",IF($E4175="SATIŞ İADESİ/İSKONTO",-$O4175,$O4175),-$O4175)))</f>
        <v/>
      </c>
      <c r="AB4175" s="117">
        <f>IF($B4175="","",IF(OR($D4175="",$E4175="",$O4175=""),"EKSİK",IF($O4175&lt;=0,"SIFIR/NEGATİF",IF(COUNTIFS($C$6:$C$5000,$C4175,$O$6:$O$5000,$O4175,$B$6:$B$5000,$B4175)&gt;1,"MÜKERRER","OK"))))</f>
        <v/>
      </c>
    </row>
    <row r="4176" ht="16.5" customHeight="1" s="80">
      <c r="A4176" s="113" t="n"/>
      <c r="B4176" s="113" t="n"/>
      <c r="C4176" s="113" t="n"/>
      <c r="D4176" s="113" t="n"/>
      <c r="E4176" s="113" t="n"/>
      <c r="F4176" s="113" t="n"/>
      <c r="G4176" s="113" t="n"/>
      <c r="H4176" s="113" t="n"/>
      <c r="I4176" s="113" t="n"/>
      <c r="J4176" s="113" t="n"/>
      <c r="K4176" s="113" t="n"/>
      <c r="L4176" s="113" t="n"/>
      <c r="M4176" s="113" t="n"/>
      <c r="N4176" s="113" t="n"/>
      <c r="O4176" s="113" t="n"/>
      <c r="P4176" s="113" t="n"/>
      <c r="Q4176" s="113" t="n"/>
      <c r="R4176" s="113" t="n"/>
      <c r="S4176" s="113" t="n"/>
      <c r="T4176" s="113" t="n"/>
      <c r="U4176" s="113" t="n"/>
      <c r="V4176" s="113" t="n"/>
      <c r="W4176" s="113" t="n"/>
      <c r="X4176" s="113" t="n"/>
      <c r="Y4176" s="113" t="n"/>
      <c r="Z4176" s="117">
        <f>IF($B4176="",0,IF($S4176="EVET",IF($D4176="GELİR",$O4176,-$O4176),0))</f>
        <v/>
      </c>
      <c r="AA4176" s="117">
        <f>IF($B4176="",0,IF(OR($W4176="EVET",$X4176="EVET",$Y4176="EVET"),0,IF($D4176="GELİR",IF($E4176="SATIŞ İADESİ/İSKONTO",-$O4176,$O4176),-$O4176)))</f>
        <v/>
      </c>
      <c r="AB4176" s="117">
        <f>IF($B4176="","",IF(OR($D4176="",$E4176="",$O4176=""),"EKSİK",IF($O4176&lt;=0,"SIFIR/NEGATİF",IF(COUNTIFS($C$6:$C$5000,$C4176,$O$6:$O$5000,$O4176,$B$6:$B$5000,$B4176)&gt;1,"MÜKERRER","OK"))))</f>
        <v/>
      </c>
    </row>
    <row r="4177" ht="16.5" customHeight="1" s="80">
      <c r="A4177" s="113" t="n"/>
      <c r="B4177" s="113" t="n"/>
      <c r="C4177" s="113" t="n"/>
      <c r="D4177" s="113" t="n"/>
      <c r="E4177" s="113" t="n"/>
      <c r="F4177" s="113" t="n"/>
      <c r="G4177" s="113" t="n"/>
      <c r="H4177" s="113" t="n"/>
      <c r="I4177" s="113" t="n"/>
      <c r="J4177" s="113" t="n"/>
      <c r="K4177" s="113" t="n"/>
      <c r="L4177" s="113" t="n"/>
      <c r="M4177" s="113" t="n"/>
      <c r="N4177" s="113" t="n"/>
      <c r="O4177" s="113" t="n"/>
      <c r="P4177" s="113" t="n"/>
      <c r="Q4177" s="113" t="n"/>
      <c r="R4177" s="113" t="n"/>
      <c r="S4177" s="113" t="n"/>
      <c r="T4177" s="113" t="n"/>
      <c r="U4177" s="113" t="n"/>
      <c r="V4177" s="113" t="n"/>
      <c r="W4177" s="113" t="n"/>
      <c r="X4177" s="113" t="n"/>
      <c r="Y4177" s="113" t="n"/>
      <c r="Z4177" s="117">
        <f>IF($B4177="",0,IF($S4177="EVET",IF($D4177="GELİR",$O4177,-$O4177),0))</f>
        <v/>
      </c>
      <c r="AA4177" s="117">
        <f>IF($B4177="",0,IF(OR($W4177="EVET",$X4177="EVET",$Y4177="EVET"),0,IF($D4177="GELİR",IF($E4177="SATIŞ İADESİ/İSKONTO",-$O4177,$O4177),-$O4177)))</f>
        <v/>
      </c>
      <c r="AB4177" s="117">
        <f>IF($B4177="","",IF(OR($D4177="",$E4177="",$O4177=""),"EKSİK",IF($O4177&lt;=0,"SIFIR/NEGATİF",IF(COUNTIFS($C$6:$C$5000,$C4177,$O$6:$O$5000,$O4177,$B$6:$B$5000,$B4177)&gt;1,"MÜKERRER","OK"))))</f>
        <v/>
      </c>
    </row>
    <row r="4178" ht="16.5" customHeight="1" s="80">
      <c r="A4178" s="113" t="n"/>
      <c r="B4178" s="113" t="n"/>
      <c r="C4178" s="113" t="n"/>
      <c r="D4178" s="113" t="n"/>
      <c r="E4178" s="113" t="n"/>
      <c r="F4178" s="113" t="n"/>
      <c r="G4178" s="113" t="n"/>
      <c r="H4178" s="113" t="n"/>
      <c r="I4178" s="113" t="n"/>
      <c r="J4178" s="113" t="n"/>
      <c r="K4178" s="113" t="n"/>
      <c r="L4178" s="113" t="n"/>
      <c r="M4178" s="113" t="n"/>
      <c r="N4178" s="113" t="n"/>
      <c r="O4178" s="113" t="n"/>
      <c r="P4178" s="113" t="n"/>
      <c r="Q4178" s="113" t="n"/>
      <c r="R4178" s="113" t="n"/>
      <c r="S4178" s="113" t="n"/>
      <c r="T4178" s="113" t="n"/>
      <c r="U4178" s="113" t="n"/>
      <c r="V4178" s="113" t="n"/>
      <c r="W4178" s="113" t="n"/>
      <c r="X4178" s="113" t="n"/>
      <c r="Y4178" s="113" t="n"/>
      <c r="Z4178" s="117">
        <f>IF($B4178="",0,IF($S4178="EVET",IF($D4178="GELİR",$O4178,-$O4178),0))</f>
        <v/>
      </c>
      <c r="AA4178" s="117">
        <f>IF($B4178="",0,IF(OR($W4178="EVET",$X4178="EVET",$Y4178="EVET"),0,IF($D4178="GELİR",IF($E4178="SATIŞ İADESİ/İSKONTO",-$O4178,$O4178),-$O4178)))</f>
        <v/>
      </c>
      <c r="AB4178" s="117">
        <f>IF($B4178="","",IF(OR($D4178="",$E4178="",$O4178=""),"EKSİK",IF($O4178&lt;=0,"SIFIR/NEGATİF",IF(COUNTIFS($C$6:$C$5000,$C4178,$O$6:$O$5000,$O4178,$B$6:$B$5000,$B4178)&gt;1,"MÜKERRER","OK"))))</f>
        <v/>
      </c>
    </row>
    <row r="4179" ht="16.5" customHeight="1" s="80">
      <c r="A4179" s="113" t="n"/>
      <c r="B4179" s="113" t="n"/>
      <c r="C4179" s="113" t="n"/>
      <c r="D4179" s="113" t="n"/>
      <c r="E4179" s="113" t="n"/>
      <c r="F4179" s="113" t="n"/>
      <c r="G4179" s="113" t="n"/>
      <c r="H4179" s="113" t="n"/>
      <c r="I4179" s="113" t="n"/>
      <c r="J4179" s="113" t="n"/>
      <c r="K4179" s="113" t="n"/>
      <c r="L4179" s="113" t="n"/>
      <c r="M4179" s="113" t="n"/>
      <c r="N4179" s="113" t="n"/>
      <c r="O4179" s="113" t="n"/>
      <c r="P4179" s="113" t="n"/>
      <c r="Q4179" s="113" t="n"/>
      <c r="R4179" s="113" t="n"/>
      <c r="S4179" s="113" t="n"/>
      <c r="T4179" s="113" t="n"/>
      <c r="U4179" s="113" t="n"/>
      <c r="V4179" s="113" t="n"/>
      <c r="W4179" s="113" t="n"/>
      <c r="X4179" s="113" t="n"/>
      <c r="Y4179" s="113" t="n"/>
      <c r="Z4179" s="117">
        <f>IF($B4179="",0,IF($S4179="EVET",IF($D4179="GELİR",$O4179,-$O4179),0))</f>
        <v/>
      </c>
      <c r="AA4179" s="117">
        <f>IF($B4179="",0,IF(OR($W4179="EVET",$X4179="EVET",$Y4179="EVET"),0,IF($D4179="GELİR",IF($E4179="SATIŞ İADESİ/İSKONTO",-$O4179,$O4179),-$O4179)))</f>
        <v/>
      </c>
      <c r="AB4179" s="117">
        <f>IF($B4179="","",IF(OR($D4179="",$E4179="",$O4179=""),"EKSİK",IF($O4179&lt;=0,"SIFIR/NEGATİF",IF(COUNTIFS($C$6:$C$5000,$C4179,$O$6:$O$5000,$O4179,$B$6:$B$5000,$B4179)&gt;1,"MÜKERRER","OK"))))</f>
        <v/>
      </c>
    </row>
    <row r="4180" ht="16.5" customHeight="1" s="80">
      <c r="A4180" s="113" t="n"/>
      <c r="B4180" s="113" t="n"/>
      <c r="C4180" s="113" t="n"/>
      <c r="D4180" s="113" t="n"/>
      <c r="E4180" s="113" t="n"/>
      <c r="F4180" s="113" t="n"/>
      <c r="G4180" s="113" t="n"/>
      <c r="H4180" s="113" t="n"/>
      <c r="I4180" s="113" t="n"/>
      <c r="J4180" s="113" t="n"/>
      <c r="K4180" s="113" t="n"/>
      <c r="L4180" s="113" t="n"/>
      <c r="M4180" s="113" t="n"/>
      <c r="N4180" s="113" t="n"/>
      <c r="O4180" s="113" t="n"/>
      <c r="P4180" s="113" t="n"/>
      <c r="Q4180" s="113" t="n"/>
      <c r="R4180" s="113" t="n"/>
      <c r="S4180" s="113" t="n"/>
      <c r="T4180" s="113" t="n"/>
      <c r="U4180" s="113" t="n"/>
      <c r="V4180" s="113" t="n"/>
      <c r="W4180" s="113" t="n"/>
      <c r="X4180" s="113" t="n"/>
      <c r="Y4180" s="113" t="n"/>
      <c r="Z4180" s="117">
        <f>IF($B4180="",0,IF($S4180="EVET",IF($D4180="GELİR",$O4180,-$O4180),0))</f>
        <v/>
      </c>
      <c r="AA4180" s="117">
        <f>IF($B4180="",0,IF(OR($W4180="EVET",$X4180="EVET",$Y4180="EVET"),0,IF($D4180="GELİR",IF($E4180="SATIŞ İADESİ/İSKONTO",-$O4180,$O4180),-$O4180)))</f>
        <v/>
      </c>
      <c r="AB4180" s="117">
        <f>IF($B4180="","",IF(OR($D4180="",$E4180="",$O4180=""),"EKSİK",IF($O4180&lt;=0,"SIFIR/NEGATİF",IF(COUNTIFS($C$6:$C$5000,$C4180,$O$6:$O$5000,$O4180,$B$6:$B$5000,$B4180)&gt;1,"MÜKERRER","OK"))))</f>
        <v/>
      </c>
    </row>
    <row r="4181" ht="16.5" customHeight="1" s="80">
      <c r="A4181" s="113" t="n"/>
      <c r="B4181" s="113" t="n"/>
      <c r="C4181" s="113" t="n"/>
      <c r="D4181" s="113" t="n"/>
      <c r="E4181" s="113" t="n"/>
      <c r="F4181" s="113" t="n"/>
      <c r="G4181" s="113" t="n"/>
      <c r="H4181" s="113" t="n"/>
      <c r="I4181" s="113" t="n"/>
      <c r="J4181" s="113" t="n"/>
      <c r="K4181" s="113" t="n"/>
      <c r="L4181" s="113" t="n"/>
      <c r="M4181" s="113" t="n"/>
      <c r="N4181" s="113" t="n"/>
      <c r="O4181" s="113" t="n"/>
      <c r="P4181" s="113" t="n"/>
      <c r="Q4181" s="113" t="n"/>
      <c r="R4181" s="113" t="n"/>
      <c r="S4181" s="113" t="n"/>
      <c r="T4181" s="113" t="n"/>
      <c r="U4181" s="113" t="n"/>
      <c r="V4181" s="113" t="n"/>
      <c r="W4181" s="113" t="n"/>
      <c r="X4181" s="113" t="n"/>
      <c r="Y4181" s="113" t="n"/>
      <c r="Z4181" s="117">
        <f>IF($B4181="",0,IF($S4181="EVET",IF($D4181="GELİR",$O4181,-$O4181),0))</f>
        <v/>
      </c>
      <c r="AA4181" s="117">
        <f>IF($B4181="",0,IF(OR($W4181="EVET",$X4181="EVET",$Y4181="EVET"),0,IF($D4181="GELİR",IF($E4181="SATIŞ İADESİ/İSKONTO",-$O4181,$O4181),-$O4181)))</f>
        <v/>
      </c>
      <c r="AB4181" s="117">
        <f>IF($B4181="","",IF(OR($D4181="",$E4181="",$O4181=""),"EKSİK",IF($O4181&lt;=0,"SIFIR/NEGATİF",IF(COUNTIFS($C$6:$C$5000,$C4181,$O$6:$O$5000,$O4181,$B$6:$B$5000,$B4181)&gt;1,"MÜKERRER","OK"))))</f>
        <v/>
      </c>
    </row>
    <row r="4182" ht="16.5" customHeight="1" s="80">
      <c r="A4182" s="113" t="n"/>
      <c r="B4182" s="113" t="n"/>
      <c r="C4182" s="113" t="n"/>
      <c r="D4182" s="113" t="n"/>
      <c r="E4182" s="113" t="n"/>
      <c r="F4182" s="113" t="n"/>
      <c r="G4182" s="113" t="n"/>
      <c r="H4182" s="113" t="n"/>
      <c r="I4182" s="113" t="n"/>
      <c r="J4182" s="113" t="n"/>
      <c r="K4182" s="113" t="n"/>
      <c r="L4182" s="113" t="n"/>
      <c r="M4182" s="113" t="n"/>
      <c r="N4182" s="113" t="n"/>
      <c r="O4182" s="113" t="n"/>
      <c r="P4182" s="113" t="n"/>
      <c r="Q4182" s="113" t="n"/>
      <c r="R4182" s="113" t="n"/>
      <c r="S4182" s="113" t="n"/>
      <c r="T4182" s="113" t="n"/>
      <c r="U4182" s="113" t="n"/>
      <c r="V4182" s="113" t="n"/>
      <c r="W4182" s="113" t="n"/>
      <c r="X4182" s="113" t="n"/>
      <c r="Y4182" s="113" t="n"/>
      <c r="Z4182" s="117">
        <f>IF($B4182="",0,IF($S4182="EVET",IF($D4182="GELİR",$O4182,-$O4182),0))</f>
        <v/>
      </c>
      <c r="AA4182" s="117">
        <f>IF($B4182="",0,IF(OR($W4182="EVET",$X4182="EVET",$Y4182="EVET"),0,IF($D4182="GELİR",IF($E4182="SATIŞ İADESİ/İSKONTO",-$O4182,$O4182),-$O4182)))</f>
        <v/>
      </c>
      <c r="AB4182" s="117">
        <f>IF($B4182="","",IF(OR($D4182="",$E4182="",$O4182=""),"EKSİK",IF($O4182&lt;=0,"SIFIR/NEGATİF",IF(COUNTIFS($C$6:$C$5000,$C4182,$O$6:$O$5000,$O4182,$B$6:$B$5000,$B4182)&gt;1,"MÜKERRER","OK"))))</f>
        <v/>
      </c>
    </row>
    <row r="4183" ht="16.5" customHeight="1" s="80">
      <c r="A4183" s="113" t="n"/>
      <c r="B4183" s="113" t="n"/>
      <c r="C4183" s="113" t="n"/>
      <c r="D4183" s="113" t="n"/>
      <c r="E4183" s="113" t="n"/>
      <c r="F4183" s="113" t="n"/>
      <c r="G4183" s="113" t="n"/>
      <c r="H4183" s="113" t="n"/>
      <c r="I4183" s="113" t="n"/>
      <c r="J4183" s="113" t="n"/>
      <c r="K4183" s="113" t="n"/>
      <c r="L4183" s="113" t="n"/>
      <c r="M4183" s="113" t="n"/>
      <c r="N4183" s="113" t="n"/>
      <c r="O4183" s="113" t="n"/>
      <c r="P4183" s="113" t="n"/>
      <c r="Q4183" s="113" t="n"/>
      <c r="R4183" s="113" t="n"/>
      <c r="S4183" s="113" t="n"/>
      <c r="T4183" s="113" t="n"/>
      <c r="U4183" s="113" t="n"/>
      <c r="V4183" s="113" t="n"/>
      <c r="W4183" s="113" t="n"/>
      <c r="X4183" s="113" t="n"/>
      <c r="Y4183" s="113" t="n"/>
      <c r="Z4183" s="117">
        <f>IF($B4183="",0,IF($S4183="EVET",IF($D4183="GELİR",$O4183,-$O4183),0))</f>
        <v/>
      </c>
      <c r="AA4183" s="117">
        <f>IF($B4183="",0,IF(OR($W4183="EVET",$X4183="EVET",$Y4183="EVET"),0,IF($D4183="GELİR",IF($E4183="SATIŞ İADESİ/İSKONTO",-$O4183,$O4183),-$O4183)))</f>
        <v/>
      </c>
      <c r="AB4183" s="117">
        <f>IF($B4183="","",IF(OR($D4183="",$E4183="",$O4183=""),"EKSİK",IF($O4183&lt;=0,"SIFIR/NEGATİF",IF(COUNTIFS($C$6:$C$5000,$C4183,$O$6:$O$5000,$O4183,$B$6:$B$5000,$B4183)&gt;1,"MÜKERRER","OK"))))</f>
        <v/>
      </c>
    </row>
    <row r="4184" ht="16.5" customHeight="1" s="80">
      <c r="A4184" s="113" t="n"/>
      <c r="B4184" s="113" t="n"/>
      <c r="C4184" s="113" t="n"/>
      <c r="D4184" s="113" t="n"/>
      <c r="E4184" s="113" t="n"/>
      <c r="F4184" s="113" t="n"/>
      <c r="G4184" s="113" t="n"/>
      <c r="H4184" s="113" t="n"/>
      <c r="I4184" s="113" t="n"/>
      <c r="J4184" s="113" t="n"/>
      <c r="K4184" s="113" t="n"/>
      <c r="L4184" s="113" t="n"/>
      <c r="M4184" s="113" t="n"/>
      <c r="N4184" s="113" t="n"/>
      <c r="O4184" s="113" t="n"/>
      <c r="P4184" s="113" t="n"/>
      <c r="Q4184" s="113" t="n"/>
      <c r="R4184" s="113" t="n"/>
      <c r="S4184" s="113" t="n"/>
      <c r="T4184" s="113" t="n"/>
      <c r="U4184" s="113" t="n"/>
      <c r="V4184" s="113" t="n"/>
      <c r="W4184" s="113" t="n"/>
      <c r="X4184" s="113" t="n"/>
      <c r="Y4184" s="113" t="n"/>
      <c r="Z4184" s="117">
        <f>IF($B4184="",0,IF($S4184="EVET",IF($D4184="GELİR",$O4184,-$O4184),0))</f>
        <v/>
      </c>
      <c r="AA4184" s="117">
        <f>IF($B4184="",0,IF(OR($W4184="EVET",$X4184="EVET",$Y4184="EVET"),0,IF($D4184="GELİR",IF($E4184="SATIŞ İADESİ/İSKONTO",-$O4184,$O4184),-$O4184)))</f>
        <v/>
      </c>
      <c r="AB4184" s="117">
        <f>IF($B4184="","",IF(OR($D4184="",$E4184="",$O4184=""),"EKSİK",IF($O4184&lt;=0,"SIFIR/NEGATİF",IF(COUNTIFS($C$6:$C$5000,$C4184,$O$6:$O$5000,$O4184,$B$6:$B$5000,$B4184)&gt;1,"MÜKERRER","OK"))))</f>
        <v/>
      </c>
    </row>
    <row r="4185" ht="16.5" customHeight="1" s="80">
      <c r="A4185" s="113" t="n"/>
      <c r="B4185" s="113" t="n"/>
      <c r="C4185" s="113" t="n"/>
      <c r="D4185" s="113" t="n"/>
      <c r="E4185" s="113" t="n"/>
      <c r="F4185" s="113" t="n"/>
      <c r="G4185" s="113" t="n"/>
      <c r="H4185" s="113" t="n"/>
      <c r="I4185" s="113" t="n"/>
      <c r="J4185" s="113" t="n"/>
      <c r="K4185" s="113" t="n"/>
      <c r="L4185" s="113" t="n"/>
      <c r="M4185" s="113" t="n"/>
      <c r="N4185" s="113" t="n"/>
      <c r="O4185" s="113" t="n"/>
      <c r="P4185" s="113" t="n"/>
      <c r="Q4185" s="113" t="n"/>
      <c r="R4185" s="113" t="n"/>
      <c r="S4185" s="113" t="n"/>
      <c r="T4185" s="113" t="n"/>
      <c r="U4185" s="113" t="n"/>
      <c r="V4185" s="113" t="n"/>
      <c r="W4185" s="113" t="n"/>
      <c r="X4185" s="113" t="n"/>
      <c r="Y4185" s="113" t="n"/>
      <c r="Z4185" s="117">
        <f>IF($B4185="",0,IF($S4185="EVET",IF($D4185="GELİR",$O4185,-$O4185),0))</f>
        <v/>
      </c>
      <c r="AA4185" s="117">
        <f>IF($B4185="",0,IF(OR($W4185="EVET",$X4185="EVET",$Y4185="EVET"),0,IF($D4185="GELİR",IF($E4185="SATIŞ İADESİ/İSKONTO",-$O4185,$O4185),-$O4185)))</f>
        <v/>
      </c>
      <c r="AB4185" s="117">
        <f>IF($B4185="","",IF(OR($D4185="",$E4185="",$O4185=""),"EKSİK",IF($O4185&lt;=0,"SIFIR/NEGATİF",IF(COUNTIFS($C$6:$C$5000,$C4185,$O$6:$O$5000,$O4185,$B$6:$B$5000,$B4185)&gt;1,"MÜKERRER","OK"))))</f>
        <v/>
      </c>
    </row>
    <row r="4186" ht="16.5" customHeight="1" s="80">
      <c r="A4186" s="113" t="n"/>
      <c r="B4186" s="113" t="n"/>
      <c r="C4186" s="113" t="n"/>
      <c r="D4186" s="113" t="n"/>
      <c r="E4186" s="113" t="n"/>
      <c r="F4186" s="113" t="n"/>
      <c r="G4186" s="113" t="n"/>
      <c r="H4186" s="113" t="n"/>
      <c r="I4186" s="113" t="n"/>
      <c r="J4186" s="113" t="n"/>
      <c r="K4186" s="113" t="n"/>
      <c r="L4186" s="113" t="n"/>
      <c r="M4186" s="113" t="n"/>
      <c r="N4186" s="113" t="n"/>
      <c r="O4186" s="113" t="n"/>
      <c r="P4186" s="113" t="n"/>
      <c r="Q4186" s="113" t="n"/>
      <c r="R4186" s="113" t="n"/>
      <c r="S4186" s="113" t="n"/>
      <c r="T4186" s="113" t="n"/>
      <c r="U4186" s="113" t="n"/>
      <c r="V4186" s="113" t="n"/>
      <c r="W4186" s="113" t="n"/>
      <c r="X4186" s="113" t="n"/>
      <c r="Y4186" s="113" t="n"/>
      <c r="Z4186" s="117">
        <f>IF($B4186="",0,IF($S4186="EVET",IF($D4186="GELİR",$O4186,-$O4186),0))</f>
        <v/>
      </c>
      <c r="AA4186" s="117">
        <f>IF($B4186="",0,IF(OR($W4186="EVET",$X4186="EVET",$Y4186="EVET"),0,IF($D4186="GELİR",IF($E4186="SATIŞ İADESİ/İSKONTO",-$O4186,$O4186),-$O4186)))</f>
        <v/>
      </c>
      <c r="AB4186" s="117">
        <f>IF($B4186="","",IF(OR($D4186="",$E4186="",$O4186=""),"EKSİK",IF($O4186&lt;=0,"SIFIR/NEGATİF",IF(COUNTIFS($C$6:$C$5000,$C4186,$O$6:$O$5000,$O4186,$B$6:$B$5000,$B4186)&gt;1,"MÜKERRER","OK"))))</f>
        <v/>
      </c>
    </row>
    <row r="4187" ht="16.5" customHeight="1" s="80">
      <c r="A4187" s="113" t="n"/>
      <c r="B4187" s="113" t="n"/>
      <c r="C4187" s="113" t="n"/>
      <c r="D4187" s="113" t="n"/>
      <c r="E4187" s="113" t="n"/>
      <c r="F4187" s="113" t="n"/>
      <c r="G4187" s="113" t="n"/>
      <c r="H4187" s="113" t="n"/>
      <c r="I4187" s="113" t="n"/>
      <c r="J4187" s="113" t="n"/>
      <c r="K4187" s="113" t="n"/>
      <c r="L4187" s="113" t="n"/>
      <c r="M4187" s="113" t="n"/>
      <c r="N4187" s="113" t="n"/>
      <c r="O4187" s="113" t="n"/>
      <c r="P4187" s="113" t="n"/>
      <c r="Q4187" s="113" t="n"/>
      <c r="R4187" s="113" t="n"/>
      <c r="S4187" s="113" t="n"/>
      <c r="T4187" s="113" t="n"/>
      <c r="U4187" s="113" t="n"/>
      <c r="V4187" s="113" t="n"/>
      <c r="W4187" s="113" t="n"/>
      <c r="X4187" s="113" t="n"/>
      <c r="Y4187" s="113" t="n"/>
      <c r="Z4187" s="117">
        <f>IF($B4187="",0,IF($S4187="EVET",IF($D4187="GELİR",$O4187,-$O4187),0))</f>
        <v/>
      </c>
      <c r="AA4187" s="117">
        <f>IF($B4187="",0,IF(OR($W4187="EVET",$X4187="EVET",$Y4187="EVET"),0,IF($D4187="GELİR",IF($E4187="SATIŞ İADESİ/İSKONTO",-$O4187,$O4187),-$O4187)))</f>
        <v/>
      </c>
      <c r="AB4187" s="117">
        <f>IF($B4187="","",IF(OR($D4187="",$E4187="",$O4187=""),"EKSİK",IF($O4187&lt;=0,"SIFIR/NEGATİF",IF(COUNTIFS($C$6:$C$5000,$C4187,$O$6:$O$5000,$O4187,$B$6:$B$5000,$B4187)&gt;1,"MÜKERRER","OK"))))</f>
        <v/>
      </c>
    </row>
    <row r="4188" ht="16.5" customHeight="1" s="80">
      <c r="A4188" s="113" t="n"/>
      <c r="B4188" s="113" t="n"/>
      <c r="C4188" s="113" t="n"/>
      <c r="D4188" s="113" t="n"/>
      <c r="E4188" s="113" t="n"/>
      <c r="F4188" s="113" t="n"/>
      <c r="G4188" s="113" t="n"/>
      <c r="H4188" s="113" t="n"/>
      <c r="I4188" s="113" t="n"/>
      <c r="J4188" s="113" t="n"/>
      <c r="K4188" s="113" t="n"/>
      <c r="L4188" s="113" t="n"/>
      <c r="M4188" s="113" t="n"/>
      <c r="N4188" s="113" t="n"/>
      <c r="O4188" s="113" t="n"/>
      <c r="P4188" s="113" t="n"/>
      <c r="Q4188" s="113" t="n"/>
      <c r="R4188" s="113" t="n"/>
      <c r="S4188" s="113" t="n"/>
      <c r="T4188" s="113" t="n"/>
      <c r="U4188" s="113" t="n"/>
      <c r="V4188" s="113" t="n"/>
      <c r="W4188" s="113" t="n"/>
      <c r="X4188" s="113" t="n"/>
      <c r="Y4188" s="113" t="n"/>
      <c r="Z4188" s="117">
        <f>IF($B4188="",0,IF($S4188="EVET",IF($D4188="GELİR",$O4188,-$O4188),0))</f>
        <v/>
      </c>
      <c r="AA4188" s="117">
        <f>IF($B4188="",0,IF(OR($W4188="EVET",$X4188="EVET",$Y4188="EVET"),0,IF($D4188="GELİR",IF($E4188="SATIŞ İADESİ/İSKONTO",-$O4188,$O4188),-$O4188)))</f>
        <v/>
      </c>
      <c r="AB4188" s="117">
        <f>IF($B4188="","",IF(OR($D4188="",$E4188="",$O4188=""),"EKSİK",IF($O4188&lt;=0,"SIFIR/NEGATİF",IF(COUNTIFS($C$6:$C$5000,$C4188,$O$6:$O$5000,$O4188,$B$6:$B$5000,$B4188)&gt;1,"MÜKERRER","OK"))))</f>
        <v/>
      </c>
    </row>
    <row r="4189" ht="16.5" customHeight="1" s="80">
      <c r="A4189" s="113" t="n"/>
      <c r="B4189" s="113" t="n"/>
      <c r="C4189" s="113" t="n"/>
      <c r="D4189" s="113" t="n"/>
      <c r="E4189" s="113" t="n"/>
      <c r="F4189" s="113" t="n"/>
      <c r="G4189" s="113" t="n"/>
      <c r="H4189" s="113" t="n"/>
      <c r="I4189" s="113" t="n"/>
      <c r="J4189" s="113" t="n"/>
      <c r="K4189" s="113" t="n"/>
      <c r="L4189" s="113" t="n"/>
      <c r="M4189" s="113" t="n"/>
      <c r="N4189" s="113" t="n"/>
      <c r="O4189" s="113" t="n"/>
      <c r="P4189" s="113" t="n"/>
      <c r="Q4189" s="113" t="n"/>
      <c r="R4189" s="113" t="n"/>
      <c r="S4189" s="113" t="n"/>
      <c r="T4189" s="113" t="n"/>
      <c r="U4189" s="113" t="n"/>
      <c r="V4189" s="113" t="n"/>
      <c r="W4189" s="113" t="n"/>
      <c r="X4189" s="113" t="n"/>
      <c r="Y4189" s="113" t="n"/>
      <c r="Z4189" s="117">
        <f>IF($B4189="",0,IF($S4189="EVET",IF($D4189="GELİR",$O4189,-$O4189),0))</f>
        <v/>
      </c>
      <c r="AA4189" s="117">
        <f>IF($B4189="",0,IF(OR($W4189="EVET",$X4189="EVET",$Y4189="EVET"),0,IF($D4189="GELİR",IF($E4189="SATIŞ İADESİ/İSKONTO",-$O4189,$O4189),-$O4189)))</f>
        <v/>
      </c>
      <c r="AB4189" s="117">
        <f>IF($B4189="","",IF(OR($D4189="",$E4189="",$O4189=""),"EKSİK",IF($O4189&lt;=0,"SIFIR/NEGATİF",IF(COUNTIFS($C$6:$C$5000,$C4189,$O$6:$O$5000,$O4189,$B$6:$B$5000,$B4189)&gt;1,"MÜKERRER","OK"))))</f>
        <v/>
      </c>
    </row>
    <row r="4190" ht="16.5" customHeight="1" s="80">
      <c r="A4190" s="113" t="n"/>
      <c r="B4190" s="113" t="n"/>
      <c r="C4190" s="113" t="n"/>
      <c r="D4190" s="113" t="n"/>
      <c r="E4190" s="113" t="n"/>
      <c r="F4190" s="113" t="n"/>
      <c r="G4190" s="113" t="n"/>
      <c r="H4190" s="113" t="n"/>
      <c r="I4190" s="113" t="n"/>
      <c r="J4190" s="113" t="n"/>
      <c r="K4190" s="113" t="n"/>
      <c r="L4190" s="113" t="n"/>
      <c r="M4190" s="113" t="n"/>
      <c r="N4190" s="113" t="n"/>
      <c r="O4190" s="113" t="n"/>
      <c r="P4190" s="113" t="n"/>
      <c r="Q4190" s="113" t="n"/>
      <c r="R4190" s="113" t="n"/>
      <c r="S4190" s="113" t="n"/>
      <c r="T4190" s="113" t="n"/>
      <c r="U4190" s="113" t="n"/>
      <c r="V4190" s="113" t="n"/>
      <c r="W4190" s="113" t="n"/>
      <c r="X4190" s="113" t="n"/>
      <c r="Y4190" s="113" t="n"/>
      <c r="Z4190" s="117">
        <f>IF($B4190="",0,IF($S4190="EVET",IF($D4190="GELİR",$O4190,-$O4190),0))</f>
        <v/>
      </c>
      <c r="AA4190" s="117">
        <f>IF($B4190="",0,IF(OR($W4190="EVET",$X4190="EVET",$Y4190="EVET"),0,IF($D4190="GELİR",IF($E4190="SATIŞ İADESİ/İSKONTO",-$O4190,$O4190),-$O4190)))</f>
        <v/>
      </c>
      <c r="AB4190" s="117">
        <f>IF($B4190="","",IF(OR($D4190="",$E4190="",$O4190=""),"EKSİK",IF($O4190&lt;=0,"SIFIR/NEGATİF",IF(COUNTIFS($C$6:$C$5000,$C4190,$O$6:$O$5000,$O4190,$B$6:$B$5000,$B4190)&gt;1,"MÜKERRER","OK"))))</f>
        <v/>
      </c>
    </row>
    <row r="4191" ht="16.5" customHeight="1" s="80">
      <c r="A4191" s="113" t="n"/>
      <c r="B4191" s="113" t="n"/>
      <c r="C4191" s="113" t="n"/>
      <c r="D4191" s="113" t="n"/>
      <c r="E4191" s="113" t="n"/>
      <c r="F4191" s="113" t="n"/>
      <c r="G4191" s="113" t="n"/>
      <c r="H4191" s="113" t="n"/>
      <c r="I4191" s="113" t="n"/>
      <c r="J4191" s="113" t="n"/>
      <c r="K4191" s="113" t="n"/>
      <c r="L4191" s="113" t="n"/>
      <c r="M4191" s="113" t="n"/>
      <c r="N4191" s="113" t="n"/>
      <c r="O4191" s="113" t="n"/>
      <c r="P4191" s="113" t="n"/>
      <c r="Q4191" s="113" t="n"/>
      <c r="R4191" s="113" t="n"/>
      <c r="S4191" s="113" t="n"/>
      <c r="T4191" s="113" t="n"/>
      <c r="U4191" s="113" t="n"/>
      <c r="V4191" s="113" t="n"/>
      <c r="W4191" s="113" t="n"/>
      <c r="X4191" s="113" t="n"/>
      <c r="Y4191" s="113" t="n"/>
      <c r="Z4191" s="117">
        <f>IF($B4191="",0,IF($S4191="EVET",IF($D4191="GELİR",$O4191,-$O4191),0))</f>
        <v/>
      </c>
      <c r="AA4191" s="117">
        <f>IF($B4191="",0,IF(OR($W4191="EVET",$X4191="EVET",$Y4191="EVET"),0,IF($D4191="GELİR",IF($E4191="SATIŞ İADESİ/İSKONTO",-$O4191,$O4191),-$O4191)))</f>
        <v/>
      </c>
      <c r="AB4191" s="117">
        <f>IF($B4191="","",IF(OR($D4191="",$E4191="",$O4191=""),"EKSİK",IF($O4191&lt;=0,"SIFIR/NEGATİF",IF(COUNTIFS($C$6:$C$5000,$C4191,$O$6:$O$5000,$O4191,$B$6:$B$5000,$B4191)&gt;1,"MÜKERRER","OK"))))</f>
        <v/>
      </c>
    </row>
    <row r="4192" ht="16.5" customHeight="1" s="80">
      <c r="A4192" s="113" t="n"/>
      <c r="B4192" s="113" t="n"/>
      <c r="C4192" s="113" t="n"/>
      <c r="D4192" s="113" t="n"/>
      <c r="E4192" s="113" t="n"/>
      <c r="F4192" s="113" t="n"/>
      <c r="G4192" s="113" t="n"/>
      <c r="H4192" s="113" t="n"/>
      <c r="I4192" s="113" t="n"/>
      <c r="J4192" s="113" t="n"/>
      <c r="K4192" s="113" t="n"/>
      <c r="L4192" s="113" t="n"/>
      <c r="M4192" s="113" t="n"/>
      <c r="N4192" s="113" t="n"/>
      <c r="O4192" s="113" t="n"/>
      <c r="P4192" s="113" t="n"/>
      <c r="Q4192" s="113" t="n"/>
      <c r="R4192" s="113" t="n"/>
      <c r="S4192" s="113" t="n"/>
      <c r="T4192" s="113" t="n"/>
      <c r="U4192" s="113" t="n"/>
      <c r="V4192" s="113" t="n"/>
      <c r="W4192" s="113" t="n"/>
      <c r="X4192" s="113" t="n"/>
      <c r="Y4192" s="113" t="n"/>
      <c r="Z4192" s="117">
        <f>IF($B4192="",0,IF($S4192="EVET",IF($D4192="GELİR",$O4192,-$O4192),0))</f>
        <v/>
      </c>
      <c r="AA4192" s="117">
        <f>IF($B4192="",0,IF(OR($W4192="EVET",$X4192="EVET",$Y4192="EVET"),0,IF($D4192="GELİR",IF($E4192="SATIŞ İADESİ/İSKONTO",-$O4192,$O4192),-$O4192)))</f>
        <v/>
      </c>
      <c r="AB4192" s="117">
        <f>IF($B4192="","",IF(OR($D4192="",$E4192="",$O4192=""),"EKSİK",IF($O4192&lt;=0,"SIFIR/NEGATİF",IF(COUNTIFS($C$6:$C$5000,$C4192,$O$6:$O$5000,$O4192,$B$6:$B$5000,$B4192)&gt;1,"MÜKERRER","OK"))))</f>
        <v/>
      </c>
    </row>
    <row r="4193" ht="16.5" customHeight="1" s="80">
      <c r="A4193" s="113" t="n"/>
      <c r="B4193" s="113" t="n"/>
      <c r="C4193" s="113" t="n"/>
      <c r="D4193" s="113" t="n"/>
      <c r="E4193" s="113" t="n"/>
      <c r="F4193" s="113" t="n"/>
      <c r="G4193" s="113" t="n"/>
      <c r="H4193" s="113" t="n"/>
      <c r="I4193" s="113" t="n"/>
      <c r="J4193" s="113" t="n"/>
      <c r="K4193" s="113" t="n"/>
      <c r="L4193" s="113" t="n"/>
      <c r="M4193" s="113" t="n"/>
      <c r="N4193" s="113" t="n"/>
      <c r="O4193" s="113" t="n"/>
      <c r="P4193" s="113" t="n"/>
      <c r="Q4193" s="113" t="n"/>
      <c r="R4193" s="113" t="n"/>
      <c r="S4193" s="113" t="n"/>
      <c r="T4193" s="113" t="n"/>
      <c r="U4193" s="113" t="n"/>
      <c r="V4193" s="113" t="n"/>
      <c r="W4193" s="113" t="n"/>
      <c r="X4193" s="113" t="n"/>
      <c r="Y4193" s="113" t="n"/>
      <c r="Z4193" s="117">
        <f>IF($B4193="",0,IF($S4193="EVET",IF($D4193="GELİR",$O4193,-$O4193),0))</f>
        <v/>
      </c>
      <c r="AA4193" s="117">
        <f>IF($B4193="",0,IF(OR($W4193="EVET",$X4193="EVET",$Y4193="EVET"),0,IF($D4193="GELİR",IF($E4193="SATIŞ İADESİ/İSKONTO",-$O4193,$O4193),-$O4193)))</f>
        <v/>
      </c>
      <c r="AB4193" s="117">
        <f>IF($B4193="","",IF(OR($D4193="",$E4193="",$O4193=""),"EKSİK",IF($O4193&lt;=0,"SIFIR/NEGATİF",IF(COUNTIFS($C$6:$C$5000,$C4193,$O$6:$O$5000,$O4193,$B$6:$B$5000,$B4193)&gt;1,"MÜKERRER","OK"))))</f>
        <v/>
      </c>
    </row>
    <row r="4194" ht="16.5" customHeight="1" s="80">
      <c r="A4194" s="113" t="n"/>
      <c r="B4194" s="113" t="n"/>
      <c r="C4194" s="113" t="n"/>
      <c r="D4194" s="113" t="n"/>
      <c r="E4194" s="113" t="n"/>
      <c r="F4194" s="113" t="n"/>
      <c r="G4194" s="113" t="n"/>
      <c r="H4194" s="113" t="n"/>
      <c r="I4194" s="113" t="n"/>
      <c r="J4194" s="113" t="n"/>
      <c r="K4194" s="113" t="n"/>
      <c r="L4194" s="113" t="n"/>
      <c r="M4194" s="113" t="n"/>
      <c r="N4194" s="113" t="n"/>
      <c r="O4194" s="113" t="n"/>
      <c r="P4194" s="113" t="n"/>
      <c r="Q4194" s="113" t="n"/>
      <c r="R4194" s="113" t="n"/>
      <c r="S4194" s="113" t="n"/>
      <c r="T4194" s="113" t="n"/>
      <c r="U4194" s="113" t="n"/>
      <c r="V4194" s="113" t="n"/>
      <c r="W4194" s="113" t="n"/>
      <c r="X4194" s="113" t="n"/>
      <c r="Y4194" s="113" t="n"/>
      <c r="Z4194" s="117">
        <f>IF($B4194="",0,IF($S4194="EVET",IF($D4194="GELİR",$O4194,-$O4194),0))</f>
        <v/>
      </c>
      <c r="AA4194" s="117">
        <f>IF($B4194="",0,IF(OR($W4194="EVET",$X4194="EVET",$Y4194="EVET"),0,IF($D4194="GELİR",IF($E4194="SATIŞ İADESİ/İSKONTO",-$O4194,$O4194),-$O4194)))</f>
        <v/>
      </c>
      <c r="AB4194" s="117">
        <f>IF($B4194="","",IF(OR($D4194="",$E4194="",$O4194=""),"EKSİK",IF($O4194&lt;=0,"SIFIR/NEGATİF",IF(COUNTIFS($C$6:$C$5000,$C4194,$O$6:$O$5000,$O4194,$B$6:$B$5000,$B4194)&gt;1,"MÜKERRER","OK"))))</f>
        <v/>
      </c>
    </row>
    <row r="4195" ht="16.5" customHeight="1" s="80">
      <c r="A4195" s="113" t="n"/>
      <c r="B4195" s="113" t="n"/>
      <c r="C4195" s="113" t="n"/>
      <c r="D4195" s="113" t="n"/>
      <c r="E4195" s="113" t="n"/>
      <c r="F4195" s="113" t="n"/>
      <c r="G4195" s="113" t="n"/>
      <c r="H4195" s="113" t="n"/>
      <c r="I4195" s="113" t="n"/>
      <c r="J4195" s="113" t="n"/>
      <c r="K4195" s="113" t="n"/>
      <c r="L4195" s="113" t="n"/>
      <c r="M4195" s="113" t="n"/>
      <c r="N4195" s="113" t="n"/>
      <c r="O4195" s="113" t="n"/>
      <c r="P4195" s="113" t="n"/>
      <c r="Q4195" s="113" t="n"/>
      <c r="R4195" s="113" t="n"/>
      <c r="S4195" s="113" t="n"/>
      <c r="T4195" s="113" t="n"/>
      <c r="U4195" s="113" t="n"/>
      <c r="V4195" s="113" t="n"/>
      <c r="W4195" s="113" t="n"/>
      <c r="X4195" s="113" t="n"/>
      <c r="Y4195" s="113" t="n"/>
      <c r="Z4195" s="117">
        <f>IF($B4195="",0,IF($S4195="EVET",IF($D4195="GELİR",$O4195,-$O4195),0))</f>
        <v/>
      </c>
      <c r="AA4195" s="117">
        <f>IF($B4195="",0,IF(OR($W4195="EVET",$X4195="EVET",$Y4195="EVET"),0,IF($D4195="GELİR",IF($E4195="SATIŞ İADESİ/İSKONTO",-$O4195,$O4195),-$O4195)))</f>
        <v/>
      </c>
      <c r="AB4195" s="117">
        <f>IF($B4195="","",IF(OR($D4195="",$E4195="",$O4195=""),"EKSİK",IF($O4195&lt;=0,"SIFIR/NEGATİF",IF(COUNTIFS($C$6:$C$5000,$C4195,$O$6:$O$5000,$O4195,$B$6:$B$5000,$B4195)&gt;1,"MÜKERRER","OK"))))</f>
        <v/>
      </c>
    </row>
    <row r="4196" ht="16.5" customHeight="1" s="80">
      <c r="A4196" s="113" t="n"/>
      <c r="B4196" s="113" t="n"/>
      <c r="C4196" s="113" t="n"/>
      <c r="D4196" s="113" t="n"/>
      <c r="E4196" s="113" t="n"/>
      <c r="F4196" s="113" t="n"/>
      <c r="G4196" s="113" t="n"/>
      <c r="H4196" s="113" t="n"/>
      <c r="I4196" s="113" t="n"/>
      <c r="J4196" s="113" t="n"/>
      <c r="K4196" s="113" t="n"/>
      <c r="L4196" s="113" t="n"/>
      <c r="M4196" s="113" t="n"/>
      <c r="N4196" s="113" t="n"/>
      <c r="O4196" s="113" t="n"/>
      <c r="P4196" s="113" t="n"/>
      <c r="Q4196" s="113" t="n"/>
      <c r="R4196" s="113" t="n"/>
      <c r="S4196" s="113" t="n"/>
      <c r="T4196" s="113" t="n"/>
      <c r="U4196" s="113" t="n"/>
      <c r="V4196" s="113" t="n"/>
      <c r="W4196" s="113" t="n"/>
      <c r="X4196" s="113" t="n"/>
      <c r="Y4196" s="113" t="n"/>
      <c r="Z4196" s="117">
        <f>IF($B4196="",0,IF($S4196="EVET",IF($D4196="GELİR",$O4196,-$O4196),0))</f>
        <v/>
      </c>
      <c r="AA4196" s="117">
        <f>IF($B4196="",0,IF(OR($W4196="EVET",$X4196="EVET",$Y4196="EVET"),0,IF($D4196="GELİR",IF($E4196="SATIŞ İADESİ/İSKONTO",-$O4196,$O4196),-$O4196)))</f>
        <v/>
      </c>
      <c r="AB4196" s="117">
        <f>IF($B4196="","",IF(OR($D4196="",$E4196="",$O4196=""),"EKSİK",IF($O4196&lt;=0,"SIFIR/NEGATİF",IF(COUNTIFS($C$6:$C$5000,$C4196,$O$6:$O$5000,$O4196,$B$6:$B$5000,$B4196)&gt;1,"MÜKERRER","OK"))))</f>
        <v/>
      </c>
    </row>
    <row r="4197" ht="16.5" customHeight="1" s="80">
      <c r="A4197" s="113" t="n"/>
      <c r="B4197" s="113" t="n"/>
      <c r="C4197" s="113" t="n"/>
      <c r="D4197" s="113" t="n"/>
      <c r="E4197" s="113" t="n"/>
      <c r="F4197" s="113" t="n"/>
      <c r="G4197" s="113" t="n"/>
      <c r="H4197" s="113" t="n"/>
      <c r="I4197" s="113" t="n"/>
      <c r="J4197" s="113" t="n"/>
      <c r="K4197" s="113" t="n"/>
      <c r="L4197" s="113" t="n"/>
      <c r="M4197" s="113" t="n"/>
      <c r="N4197" s="113" t="n"/>
      <c r="O4197" s="113" t="n"/>
      <c r="P4197" s="113" t="n"/>
      <c r="Q4197" s="113" t="n"/>
      <c r="R4197" s="113" t="n"/>
      <c r="S4197" s="113" t="n"/>
      <c r="T4197" s="113" t="n"/>
      <c r="U4197" s="113" t="n"/>
      <c r="V4197" s="113" t="n"/>
      <c r="W4197" s="113" t="n"/>
      <c r="X4197" s="113" t="n"/>
      <c r="Y4197" s="113" t="n"/>
      <c r="Z4197" s="117">
        <f>IF($B4197="",0,IF($S4197="EVET",IF($D4197="GELİR",$O4197,-$O4197),0))</f>
        <v/>
      </c>
      <c r="AA4197" s="117">
        <f>IF($B4197="",0,IF(OR($W4197="EVET",$X4197="EVET",$Y4197="EVET"),0,IF($D4197="GELİR",IF($E4197="SATIŞ İADESİ/İSKONTO",-$O4197,$O4197),-$O4197)))</f>
        <v/>
      </c>
      <c r="AB4197" s="117">
        <f>IF($B4197="","",IF(OR($D4197="",$E4197="",$O4197=""),"EKSİK",IF($O4197&lt;=0,"SIFIR/NEGATİF",IF(COUNTIFS($C$6:$C$5000,$C4197,$O$6:$O$5000,$O4197,$B$6:$B$5000,$B4197)&gt;1,"MÜKERRER","OK"))))</f>
        <v/>
      </c>
    </row>
    <row r="4198" ht="16.5" customHeight="1" s="80">
      <c r="A4198" s="113" t="n"/>
      <c r="B4198" s="113" t="n"/>
      <c r="C4198" s="113" t="n"/>
      <c r="D4198" s="113" t="n"/>
      <c r="E4198" s="113" t="n"/>
      <c r="F4198" s="113" t="n"/>
      <c r="G4198" s="113" t="n"/>
      <c r="H4198" s="113" t="n"/>
      <c r="I4198" s="113" t="n"/>
      <c r="J4198" s="113" t="n"/>
      <c r="K4198" s="113" t="n"/>
      <c r="L4198" s="113" t="n"/>
      <c r="M4198" s="113" t="n"/>
      <c r="N4198" s="113" t="n"/>
      <c r="O4198" s="113" t="n"/>
      <c r="P4198" s="113" t="n"/>
      <c r="Q4198" s="113" t="n"/>
      <c r="R4198" s="113" t="n"/>
      <c r="S4198" s="113" t="n"/>
      <c r="T4198" s="113" t="n"/>
      <c r="U4198" s="113" t="n"/>
      <c r="V4198" s="113" t="n"/>
      <c r="W4198" s="113" t="n"/>
      <c r="X4198" s="113" t="n"/>
      <c r="Y4198" s="113" t="n"/>
      <c r="Z4198" s="117">
        <f>IF($B4198="",0,IF($S4198="EVET",IF($D4198="GELİR",$O4198,-$O4198),0))</f>
        <v/>
      </c>
      <c r="AA4198" s="117">
        <f>IF($B4198="",0,IF(OR($W4198="EVET",$X4198="EVET",$Y4198="EVET"),0,IF($D4198="GELİR",IF($E4198="SATIŞ İADESİ/İSKONTO",-$O4198,$O4198),-$O4198)))</f>
        <v/>
      </c>
      <c r="AB4198" s="117">
        <f>IF($B4198="","",IF(OR($D4198="",$E4198="",$O4198=""),"EKSİK",IF($O4198&lt;=0,"SIFIR/NEGATİF",IF(COUNTIFS($C$6:$C$5000,$C4198,$O$6:$O$5000,$O4198,$B$6:$B$5000,$B4198)&gt;1,"MÜKERRER","OK"))))</f>
        <v/>
      </c>
    </row>
    <row r="4199" ht="16.5" customHeight="1" s="80">
      <c r="A4199" s="113" t="n"/>
      <c r="B4199" s="113" t="n"/>
      <c r="C4199" s="113" t="n"/>
      <c r="D4199" s="113" t="n"/>
      <c r="E4199" s="113" t="n"/>
      <c r="F4199" s="113" t="n"/>
      <c r="G4199" s="113" t="n"/>
      <c r="H4199" s="113" t="n"/>
      <c r="I4199" s="113" t="n"/>
      <c r="J4199" s="113" t="n"/>
      <c r="K4199" s="113" t="n"/>
      <c r="L4199" s="113" t="n"/>
      <c r="M4199" s="113" t="n"/>
      <c r="N4199" s="113" t="n"/>
      <c r="O4199" s="113" t="n"/>
      <c r="P4199" s="113" t="n"/>
      <c r="Q4199" s="113" t="n"/>
      <c r="R4199" s="113" t="n"/>
      <c r="S4199" s="113" t="n"/>
      <c r="T4199" s="113" t="n"/>
      <c r="U4199" s="113" t="n"/>
      <c r="V4199" s="113" t="n"/>
      <c r="W4199" s="113" t="n"/>
      <c r="X4199" s="113" t="n"/>
      <c r="Y4199" s="113" t="n"/>
      <c r="Z4199" s="117">
        <f>IF($B4199="",0,IF($S4199="EVET",IF($D4199="GELİR",$O4199,-$O4199),0))</f>
        <v/>
      </c>
      <c r="AA4199" s="117">
        <f>IF($B4199="",0,IF(OR($W4199="EVET",$X4199="EVET",$Y4199="EVET"),0,IF($D4199="GELİR",IF($E4199="SATIŞ İADESİ/İSKONTO",-$O4199,$O4199),-$O4199)))</f>
        <v/>
      </c>
      <c r="AB4199" s="117">
        <f>IF($B4199="","",IF(OR($D4199="",$E4199="",$O4199=""),"EKSİK",IF($O4199&lt;=0,"SIFIR/NEGATİF",IF(COUNTIFS($C$6:$C$5000,$C4199,$O$6:$O$5000,$O4199,$B$6:$B$5000,$B4199)&gt;1,"MÜKERRER","OK"))))</f>
        <v/>
      </c>
    </row>
    <row r="4200" ht="16.5" customHeight="1" s="80">
      <c r="A4200" s="113" t="n"/>
      <c r="B4200" s="113" t="n"/>
      <c r="C4200" s="113" t="n"/>
      <c r="D4200" s="113" t="n"/>
      <c r="E4200" s="113" t="n"/>
      <c r="F4200" s="113" t="n"/>
      <c r="G4200" s="113" t="n"/>
      <c r="H4200" s="113" t="n"/>
      <c r="I4200" s="113" t="n"/>
      <c r="J4200" s="113" t="n"/>
      <c r="K4200" s="113" t="n"/>
      <c r="L4200" s="113" t="n"/>
      <c r="M4200" s="113" t="n"/>
      <c r="N4200" s="113" t="n"/>
      <c r="O4200" s="113" t="n"/>
      <c r="P4200" s="113" t="n"/>
      <c r="Q4200" s="113" t="n"/>
      <c r="R4200" s="113" t="n"/>
      <c r="S4200" s="113" t="n"/>
      <c r="T4200" s="113" t="n"/>
      <c r="U4200" s="113" t="n"/>
      <c r="V4200" s="113" t="n"/>
      <c r="W4200" s="113" t="n"/>
      <c r="X4200" s="113" t="n"/>
      <c r="Y4200" s="113" t="n"/>
      <c r="Z4200" s="117">
        <f>IF($B4200="",0,IF($S4200="EVET",IF($D4200="GELİR",$O4200,-$O4200),0))</f>
        <v/>
      </c>
      <c r="AA4200" s="117">
        <f>IF($B4200="",0,IF(OR($W4200="EVET",$X4200="EVET",$Y4200="EVET"),0,IF($D4200="GELİR",IF($E4200="SATIŞ İADESİ/İSKONTO",-$O4200,$O4200),-$O4200)))</f>
        <v/>
      </c>
      <c r="AB4200" s="117">
        <f>IF($B4200="","",IF(OR($D4200="",$E4200="",$O4200=""),"EKSİK",IF($O4200&lt;=0,"SIFIR/NEGATİF",IF(COUNTIFS($C$6:$C$5000,$C4200,$O$6:$O$5000,$O4200,$B$6:$B$5000,$B4200)&gt;1,"MÜKERRER","OK"))))</f>
        <v/>
      </c>
    </row>
    <row r="4201" ht="16.5" customHeight="1" s="80">
      <c r="A4201" s="113" t="n"/>
      <c r="B4201" s="113" t="n"/>
      <c r="C4201" s="113" t="n"/>
      <c r="D4201" s="113" t="n"/>
      <c r="E4201" s="113" t="n"/>
      <c r="F4201" s="113" t="n"/>
      <c r="G4201" s="113" t="n"/>
      <c r="H4201" s="113" t="n"/>
      <c r="I4201" s="113" t="n"/>
      <c r="J4201" s="113" t="n"/>
      <c r="K4201" s="113" t="n"/>
      <c r="L4201" s="113" t="n"/>
      <c r="M4201" s="113" t="n"/>
      <c r="N4201" s="113" t="n"/>
      <c r="O4201" s="113" t="n"/>
      <c r="P4201" s="113" t="n"/>
      <c r="Q4201" s="113" t="n"/>
      <c r="R4201" s="113" t="n"/>
      <c r="S4201" s="113" t="n"/>
      <c r="T4201" s="113" t="n"/>
      <c r="U4201" s="113" t="n"/>
      <c r="V4201" s="113" t="n"/>
      <c r="W4201" s="113" t="n"/>
      <c r="X4201" s="113" t="n"/>
      <c r="Y4201" s="113" t="n"/>
      <c r="Z4201" s="117">
        <f>IF($B4201="",0,IF($S4201="EVET",IF($D4201="GELİR",$O4201,-$O4201),0))</f>
        <v/>
      </c>
      <c r="AA4201" s="117">
        <f>IF($B4201="",0,IF(OR($W4201="EVET",$X4201="EVET",$Y4201="EVET"),0,IF($D4201="GELİR",IF($E4201="SATIŞ İADESİ/İSKONTO",-$O4201,$O4201),-$O4201)))</f>
        <v/>
      </c>
      <c r="AB4201" s="117">
        <f>IF($B4201="","",IF(OR($D4201="",$E4201="",$O4201=""),"EKSİK",IF($O4201&lt;=0,"SIFIR/NEGATİF",IF(COUNTIFS($C$6:$C$5000,$C4201,$O$6:$O$5000,$O4201,$B$6:$B$5000,$B4201)&gt;1,"MÜKERRER","OK"))))</f>
        <v/>
      </c>
    </row>
    <row r="4202" ht="16.5" customHeight="1" s="80">
      <c r="A4202" s="113" t="n"/>
      <c r="B4202" s="113" t="n"/>
      <c r="C4202" s="113" t="n"/>
      <c r="D4202" s="113" t="n"/>
      <c r="E4202" s="113" t="n"/>
      <c r="F4202" s="113" t="n"/>
      <c r="G4202" s="113" t="n"/>
      <c r="H4202" s="113" t="n"/>
      <c r="I4202" s="113" t="n"/>
      <c r="J4202" s="113" t="n"/>
      <c r="K4202" s="113" t="n"/>
      <c r="L4202" s="113" t="n"/>
      <c r="M4202" s="113" t="n"/>
      <c r="N4202" s="113" t="n"/>
      <c r="O4202" s="113" t="n"/>
      <c r="P4202" s="113" t="n"/>
      <c r="Q4202" s="113" t="n"/>
      <c r="R4202" s="113" t="n"/>
      <c r="S4202" s="113" t="n"/>
      <c r="T4202" s="113" t="n"/>
      <c r="U4202" s="113" t="n"/>
      <c r="V4202" s="113" t="n"/>
      <c r="W4202" s="113" t="n"/>
      <c r="X4202" s="113" t="n"/>
      <c r="Y4202" s="113" t="n"/>
      <c r="Z4202" s="117">
        <f>IF($B4202="",0,IF($S4202="EVET",IF($D4202="GELİR",$O4202,-$O4202),0))</f>
        <v/>
      </c>
      <c r="AA4202" s="117">
        <f>IF($B4202="",0,IF(OR($W4202="EVET",$X4202="EVET",$Y4202="EVET"),0,IF($D4202="GELİR",IF($E4202="SATIŞ İADESİ/İSKONTO",-$O4202,$O4202),-$O4202)))</f>
        <v/>
      </c>
      <c r="AB4202" s="117">
        <f>IF($B4202="","",IF(OR($D4202="",$E4202="",$O4202=""),"EKSİK",IF($O4202&lt;=0,"SIFIR/NEGATİF",IF(COUNTIFS($C$6:$C$5000,$C4202,$O$6:$O$5000,$O4202,$B$6:$B$5000,$B4202)&gt;1,"MÜKERRER","OK"))))</f>
        <v/>
      </c>
    </row>
    <row r="4203" ht="16.5" customHeight="1" s="80">
      <c r="A4203" s="113" t="n"/>
      <c r="B4203" s="113" t="n"/>
      <c r="C4203" s="113" t="n"/>
      <c r="D4203" s="113" t="n"/>
      <c r="E4203" s="113" t="n"/>
      <c r="F4203" s="113" t="n"/>
      <c r="G4203" s="113" t="n"/>
      <c r="H4203" s="113" t="n"/>
      <c r="I4203" s="113" t="n"/>
      <c r="J4203" s="113" t="n"/>
      <c r="K4203" s="113" t="n"/>
      <c r="L4203" s="113" t="n"/>
      <c r="M4203" s="113" t="n"/>
      <c r="N4203" s="113" t="n"/>
      <c r="O4203" s="113" t="n"/>
      <c r="P4203" s="113" t="n"/>
      <c r="Q4203" s="113" t="n"/>
      <c r="R4203" s="113" t="n"/>
      <c r="S4203" s="113" t="n"/>
      <c r="T4203" s="113" t="n"/>
      <c r="U4203" s="113" t="n"/>
      <c r="V4203" s="113" t="n"/>
      <c r="W4203" s="113" t="n"/>
      <c r="X4203" s="113" t="n"/>
      <c r="Y4203" s="113" t="n"/>
      <c r="Z4203" s="117">
        <f>IF($B4203="",0,IF($S4203="EVET",IF($D4203="GELİR",$O4203,-$O4203),0))</f>
        <v/>
      </c>
      <c r="AA4203" s="117">
        <f>IF($B4203="",0,IF(OR($W4203="EVET",$X4203="EVET",$Y4203="EVET"),0,IF($D4203="GELİR",IF($E4203="SATIŞ İADESİ/İSKONTO",-$O4203,$O4203),-$O4203)))</f>
        <v/>
      </c>
      <c r="AB4203" s="117">
        <f>IF($B4203="","",IF(OR($D4203="",$E4203="",$O4203=""),"EKSİK",IF($O4203&lt;=0,"SIFIR/NEGATİF",IF(COUNTIFS($C$6:$C$5000,$C4203,$O$6:$O$5000,$O4203,$B$6:$B$5000,$B4203)&gt;1,"MÜKERRER","OK"))))</f>
        <v/>
      </c>
    </row>
    <row r="4204" ht="16.5" customHeight="1" s="80">
      <c r="A4204" s="113" t="n"/>
      <c r="B4204" s="113" t="n"/>
      <c r="C4204" s="113" t="n"/>
      <c r="D4204" s="113" t="n"/>
      <c r="E4204" s="113" t="n"/>
      <c r="F4204" s="113" t="n"/>
      <c r="G4204" s="113" t="n"/>
      <c r="H4204" s="113" t="n"/>
      <c r="I4204" s="113" t="n"/>
      <c r="J4204" s="113" t="n"/>
      <c r="K4204" s="113" t="n"/>
      <c r="L4204" s="113" t="n"/>
      <c r="M4204" s="113" t="n"/>
      <c r="N4204" s="113" t="n"/>
      <c r="O4204" s="113" t="n"/>
      <c r="P4204" s="113" t="n"/>
      <c r="Q4204" s="113" t="n"/>
      <c r="R4204" s="113" t="n"/>
      <c r="S4204" s="113" t="n"/>
      <c r="T4204" s="113" t="n"/>
      <c r="U4204" s="113" t="n"/>
      <c r="V4204" s="113" t="n"/>
      <c r="W4204" s="113" t="n"/>
      <c r="X4204" s="113" t="n"/>
      <c r="Y4204" s="113" t="n"/>
      <c r="Z4204" s="117">
        <f>IF($B4204="",0,IF($S4204="EVET",IF($D4204="GELİR",$O4204,-$O4204),0))</f>
        <v/>
      </c>
      <c r="AA4204" s="117">
        <f>IF($B4204="",0,IF(OR($W4204="EVET",$X4204="EVET",$Y4204="EVET"),0,IF($D4204="GELİR",IF($E4204="SATIŞ İADESİ/İSKONTO",-$O4204,$O4204),-$O4204)))</f>
        <v/>
      </c>
      <c r="AB4204" s="117">
        <f>IF($B4204="","",IF(OR($D4204="",$E4204="",$O4204=""),"EKSİK",IF($O4204&lt;=0,"SIFIR/NEGATİF",IF(COUNTIFS($C$6:$C$5000,$C4204,$O$6:$O$5000,$O4204,$B$6:$B$5000,$B4204)&gt;1,"MÜKERRER","OK"))))</f>
        <v/>
      </c>
    </row>
    <row r="4205" ht="16.5" customHeight="1" s="80">
      <c r="A4205" s="113" t="n"/>
      <c r="B4205" s="113" t="n"/>
      <c r="C4205" s="113" t="n"/>
      <c r="D4205" s="113" t="n"/>
      <c r="E4205" s="113" t="n"/>
      <c r="F4205" s="113" t="n"/>
      <c r="G4205" s="113" t="n"/>
      <c r="H4205" s="113" t="n"/>
      <c r="I4205" s="113" t="n"/>
      <c r="J4205" s="113" t="n"/>
      <c r="K4205" s="113" t="n"/>
      <c r="L4205" s="113" t="n"/>
      <c r="M4205" s="113" t="n"/>
      <c r="N4205" s="113" t="n"/>
      <c r="O4205" s="113" t="n"/>
      <c r="P4205" s="113" t="n"/>
      <c r="Q4205" s="113" t="n"/>
      <c r="R4205" s="113" t="n"/>
      <c r="S4205" s="113" t="n"/>
      <c r="T4205" s="113" t="n"/>
      <c r="U4205" s="113" t="n"/>
      <c r="V4205" s="113" t="n"/>
      <c r="W4205" s="113" t="n"/>
      <c r="X4205" s="113" t="n"/>
      <c r="Y4205" s="113" t="n"/>
      <c r="Z4205" s="117">
        <f>IF($B4205="",0,IF($S4205="EVET",IF($D4205="GELİR",$O4205,-$O4205),0))</f>
        <v/>
      </c>
      <c r="AA4205" s="117">
        <f>IF($B4205="",0,IF(OR($W4205="EVET",$X4205="EVET",$Y4205="EVET"),0,IF($D4205="GELİR",IF($E4205="SATIŞ İADESİ/İSKONTO",-$O4205,$O4205),-$O4205)))</f>
        <v/>
      </c>
      <c r="AB4205" s="117">
        <f>IF($B4205="","",IF(OR($D4205="",$E4205="",$O4205=""),"EKSİK",IF($O4205&lt;=0,"SIFIR/NEGATİF",IF(COUNTIFS($C$6:$C$5000,$C4205,$O$6:$O$5000,$O4205,$B$6:$B$5000,$B4205)&gt;1,"MÜKERRER","OK"))))</f>
        <v/>
      </c>
    </row>
    <row r="4206" ht="16.5" customHeight="1" s="80">
      <c r="A4206" s="113" t="n"/>
      <c r="B4206" s="113" t="n"/>
      <c r="C4206" s="113" t="n"/>
      <c r="D4206" s="113" t="n"/>
      <c r="E4206" s="113" t="n"/>
      <c r="F4206" s="113" t="n"/>
      <c r="G4206" s="113" t="n"/>
      <c r="H4206" s="113" t="n"/>
      <c r="I4206" s="113" t="n"/>
      <c r="J4206" s="113" t="n"/>
      <c r="K4206" s="113" t="n"/>
      <c r="L4206" s="113" t="n"/>
      <c r="M4206" s="113" t="n"/>
      <c r="N4206" s="113" t="n"/>
      <c r="O4206" s="113" t="n"/>
      <c r="P4206" s="113" t="n"/>
      <c r="Q4206" s="113" t="n"/>
      <c r="R4206" s="113" t="n"/>
      <c r="S4206" s="113" t="n"/>
      <c r="T4206" s="113" t="n"/>
      <c r="U4206" s="113" t="n"/>
      <c r="V4206" s="113" t="n"/>
      <c r="W4206" s="113" t="n"/>
      <c r="X4206" s="113" t="n"/>
      <c r="Y4206" s="113" t="n"/>
      <c r="Z4206" s="117">
        <f>IF($B4206="",0,IF($S4206="EVET",IF($D4206="GELİR",$O4206,-$O4206),0))</f>
        <v/>
      </c>
      <c r="AA4206" s="117">
        <f>IF($B4206="",0,IF(OR($W4206="EVET",$X4206="EVET",$Y4206="EVET"),0,IF($D4206="GELİR",IF($E4206="SATIŞ İADESİ/İSKONTO",-$O4206,$O4206),-$O4206)))</f>
        <v/>
      </c>
      <c r="AB4206" s="117">
        <f>IF($B4206="","",IF(OR($D4206="",$E4206="",$O4206=""),"EKSİK",IF($O4206&lt;=0,"SIFIR/NEGATİF",IF(COUNTIFS($C$6:$C$5000,$C4206,$O$6:$O$5000,$O4206,$B$6:$B$5000,$B4206)&gt;1,"MÜKERRER","OK"))))</f>
        <v/>
      </c>
    </row>
    <row r="4207" ht="16.5" customHeight="1" s="80">
      <c r="A4207" s="113" t="n"/>
      <c r="B4207" s="113" t="n"/>
      <c r="C4207" s="113" t="n"/>
      <c r="D4207" s="113" t="n"/>
      <c r="E4207" s="113" t="n"/>
      <c r="F4207" s="113" t="n"/>
      <c r="G4207" s="113" t="n"/>
      <c r="H4207" s="113" t="n"/>
      <c r="I4207" s="113" t="n"/>
      <c r="J4207" s="113" t="n"/>
      <c r="K4207" s="113" t="n"/>
      <c r="L4207" s="113" t="n"/>
      <c r="M4207" s="113" t="n"/>
      <c r="N4207" s="113" t="n"/>
      <c r="O4207" s="113" t="n"/>
      <c r="P4207" s="113" t="n"/>
      <c r="Q4207" s="113" t="n"/>
      <c r="R4207" s="113" t="n"/>
      <c r="S4207" s="113" t="n"/>
      <c r="T4207" s="113" t="n"/>
      <c r="U4207" s="113" t="n"/>
      <c r="V4207" s="113" t="n"/>
      <c r="W4207" s="113" t="n"/>
      <c r="X4207" s="113" t="n"/>
      <c r="Y4207" s="113" t="n"/>
      <c r="Z4207" s="117">
        <f>IF($B4207="",0,IF($S4207="EVET",IF($D4207="GELİR",$O4207,-$O4207),0))</f>
        <v/>
      </c>
      <c r="AA4207" s="117">
        <f>IF($B4207="",0,IF(OR($W4207="EVET",$X4207="EVET",$Y4207="EVET"),0,IF($D4207="GELİR",IF($E4207="SATIŞ İADESİ/İSKONTO",-$O4207,$O4207),-$O4207)))</f>
        <v/>
      </c>
      <c r="AB4207" s="117">
        <f>IF($B4207="","",IF(OR($D4207="",$E4207="",$O4207=""),"EKSİK",IF($O4207&lt;=0,"SIFIR/NEGATİF",IF(COUNTIFS($C$6:$C$5000,$C4207,$O$6:$O$5000,$O4207,$B$6:$B$5000,$B4207)&gt;1,"MÜKERRER","OK"))))</f>
        <v/>
      </c>
    </row>
    <row r="4208" ht="16.5" customHeight="1" s="80">
      <c r="A4208" s="113" t="n"/>
      <c r="B4208" s="113" t="n"/>
      <c r="C4208" s="113" t="n"/>
      <c r="D4208" s="113" t="n"/>
      <c r="E4208" s="113" t="n"/>
      <c r="F4208" s="113" t="n"/>
      <c r="G4208" s="113" t="n"/>
      <c r="H4208" s="113" t="n"/>
      <c r="I4208" s="113" t="n"/>
      <c r="J4208" s="113" t="n"/>
      <c r="K4208" s="113" t="n"/>
      <c r="L4208" s="113" t="n"/>
      <c r="M4208" s="113" t="n"/>
      <c r="N4208" s="113" t="n"/>
      <c r="O4208" s="113" t="n"/>
      <c r="P4208" s="113" t="n"/>
      <c r="Q4208" s="113" t="n"/>
      <c r="R4208" s="113" t="n"/>
      <c r="S4208" s="113" t="n"/>
      <c r="T4208" s="113" t="n"/>
      <c r="U4208" s="113" t="n"/>
      <c r="V4208" s="113" t="n"/>
      <c r="W4208" s="113" t="n"/>
      <c r="X4208" s="113" t="n"/>
      <c r="Y4208" s="113" t="n"/>
      <c r="Z4208" s="117">
        <f>IF($B4208="",0,IF($S4208="EVET",IF($D4208="GELİR",$O4208,-$O4208),0))</f>
        <v/>
      </c>
      <c r="AA4208" s="117">
        <f>IF($B4208="",0,IF(OR($W4208="EVET",$X4208="EVET",$Y4208="EVET"),0,IF($D4208="GELİR",IF($E4208="SATIŞ İADESİ/İSKONTO",-$O4208,$O4208),-$O4208)))</f>
        <v/>
      </c>
      <c r="AB4208" s="117">
        <f>IF($B4208="","",IF(OR($D4208="",$E4208="",$O4208=""),"EKSİK",IF($O4208&lt;=0,"SIFIR/NEGATİF",IF(COUNTIFS($C$6:$C$5000,$C4208,$O$6:$O$5000,$O4208,$B$6:$B$5000,$B4208)&gt;1,"MÜKERRER","OK"))))</f>
        <v/>
      </c>
    </row>
    <row r="4209" ht="16.5" customHeight="1" s="80">
      <c r="A4209" s="113" t="n"/>
      <c r="B4209" s="113" t="n"/>
      <c r="C4209" s="113" t="n"/>
      <c r="D4209" s="113" t="n"/>
      <c r="E4209" s="113" t="n"/>
      <c r="F4209" s="113" t="n"/>
      <c r="G4209" s="113" t="n"/>
      <c r="H4209" s="113" t="n"/>
      <c r="I4209" s="113" t="n"/>
      <c r="J4209" s="113" t="n"/>
      <c r="K4209" s="113" t="n"/>
      <c r="L4209" s="113" t="n"/>
      <c r="M4209" s="113" t="n"/>
      <c r="N4209" s="113" t="n"/>
      <c r="O4209" s="113" t="n"/>
      <c r="P4209" s="113" t="n"/>
      <c r="Q4209" s="113" t="n"/>
      <c r="R4209" s="113" t="n"/>
      <c r="S4209" s="113" t="n"/>
      <c r="T4209" s="113" t="n"/>
      <c r="U4209" s="113" t="n"/>
      <c r="V4209" s="113" t="n"/>
      <c r="W4209" s="113" t="n"/>
      <c r="X4209" s="113" t="n"/>
      <c r="Y4209" s="113" t="n"/>
      <c r="Z4209" s="117">
        <f>IF($B4209="",0,IF($S4209="EVET",IF($D4209="GELİR",$O4209,-$O4209),0))</f>
        <v/>
      </c>
      <c r="AA4209" s="117">
        <f>IF($B4209="",0,IF(OR($W4209="EVET",$X4209="EVET",$Y4209="EVET"),0,IF($D4209="GELİR",IF($E4209="SATIŞ İADESİ/İSKONTO",-$O4209,$O4209),-$O4209)))</f>
        <v/>
      </c>
      <c r="AB4209" s="117">
        <f>IF($B4209="","",IF(OR($D4209="",$E4209="",$O4209=""),"EKSİK",IF($O4209&lt;=0,"SIFIR/NEGATİF",IF(COUNTIFS($C$6:$C$5000,$C4209,$O$6:$O$5000,$O4209,$B$6:$B$5000,$B4209)&gt;1,"MÜKERRER","OK"))))</f>
        <v/>
      </c>
    </row>
    <row r="4210" ht="16.5" customHeight="1" s="80">
      <c r="A4210" s="113" t="n"/>
      <c r="B4210" s="113" t="n"/>
      <c r="C4210" s="113" t="n"/>
      <c r="D4210" s="113" t="n"/>
      <c r="E4210" s="113" t="n"/>
      <c r="F4210" s="113" t="n"/>
      <c r="G4210" s="113" t="n"/>
      <c r="H4210" s="113" t="n"/>
      <c r="I4210" s="113" t="n"/>
      <c r="J4210" s="113" t="n"/>
      <c r="K4210" s="113" t="n"/>
      <c r="L4210" s="113" t="n"/>
      <c r="M4210" s="113" t="n"/>
      <c r="N4210" s="113" t="n"/>
      <c r="O4210" s="113" t="n"/>
      <c r="P4210" s="113" t="n"/>
      <c r="Q4210" s="113" t="n"/>
      <c r="R4210" s="113" t="n"/>
      <c r="S4210" s="113" t="n"/>
      <c r="T4210" s="113" t="n"/>
      <c r="U4210" s="113" t="n"/>
      <c r="V4210" s="113" t="n"/>
      <c r="W4210" s="113" t="n"/>
      <c r="X4210" s="113" t="n"/>
      <c r="Y4210" s="113" t="n"/>
      <c r="Z4210" s="117">
        <f>IF($B4210="",0,IF($S4210="EVET",IF($D4210="GELİR",$O4210,-$O4210),0))</f>
        <v/>
      </c>
      <c r="AA4210" s="117">
        <f>IF($B4210="",0,IF(OR($W4210="EVET",$X4210="EVET",$Y4210="EVET"),0,IF($D4210="GELİR",IF($E4210="SATIŞ İADESİ/İSKONTO",-$O4210,$O4210),-$O4210)))</f>
        <v/>
      </c>
      <c r="AB4210" s="117">
        <f>IF($B4210="","",IF(OR($D4210="",$E4210="",$O4210=""),"EKSİK",IF($O4210&lt;=0,"SIFIR/NEGATİF",IF(COUNTIFS($C$6:$C$5000,$C4210,$O$6:$O$5000,$O4210,$B$6:$B$5000,$B4210)&gt;1,"MÜKERRER","OK"))))</f>
        <v/>
      </c>
    </row>
    <row r="4211" ht="16.5" customHeight="1" s="80">
      <c r="A4211" s="113" t="n"/>
      <c r="B4211" s="113" t="n"/>
      <c r="C4211" s="113" t="n"/>
      <c r="D4211" s="113" t="n"/>
      <c r="E4211" s="113" t="n"/>
      <c r="F4211" s="113" t="n"/>
      <c r="G4211" s="113" t="n"/>
      <c r="H4211" s="113" t="n"/>
      <c r="I4211" s="113" t="n"/>
      <c r="J4211" s="113" t="n"/>
      <c r="K4211" s="113" t="n"/>
      <c r="L4211" s="113" t="n"/>
      <c r="M4211" s="113" t="n"/>
      <c r="N4211" s="113" t="n"/>
      <c r="O4211" s="113" t="n"/>
      <c r="P4211" s="113" t="n"/>
      <c r="Q4211" s="113" t="n"/>
      <c r="R4211" s="113" t="n"/>
      <c r="S4211" s="113" t="n"/>
      <c r="T4211" s="113" t="n"/>
      <c r="U4211" s="113" t="n"/>
      <c r="V4211" s="113" t="n"/>
      <c r="W4211" s="113" t="n"/>
      <c r="X4211" s="113" t="n"/>
      <c r="Y4211" s="113" t="n"/>
      <c r="Z4211" s="117">
        <f>IF($B4211="",0,IF($S4211="EVET",IF($D4211="GELİR",$O4211,-$O4211),0))</f>
        <v/>
      </c>
      <c r="AA4211" s="117">
        <f>IF($B4211="",0,IF(OR($W4211="EVET",$X4211="EVET",$Y4211="EVET"),0,IF($D4211="GELİR",IF($E4211="SATIŞ İADESİ/İSKONTO",-$O4211,$O4211),-$O4211)))</f>
        <v/>
      </c>
      <c r="AB4211" s="117">
        <f>IF($B4211="","",IF(OR($D4211="",$E4211="",$O4211=""),"EKSİK",IF($O4211&lt;=0,"SIFIR/NEGATİF",IF(COUNTIFS($C$6:$C$5000,$C4211,$O$6:$O$5000,$O4211,$B$6:$B$5000,$B4211)&gt;1,"MÜKERRER","OK"))))</f>
        <v/>
      </c>
    </row>
    <row r="4212" ht="16.5" customHeight="1" s="80">
      <c r="A4212" s="113" t="n"/>
      <c r="B4212" s="113" t="n"/>
      <c r="C4212" s="113" t="n"/>
      <c r="D4212" s="113" t="n"/>
      <c r="E4212" s="113" t="n"/>
      <c r="F4212" s="113" t="n"/>
      <c r="G4212" s="113" t="n"/>
      <c r="H4212" s="113" t="n"/>
      <c r="I4212" s="113" t="n"/>
      <c r="J4212" s="113" t="n"/>
      <c r="K4212" s="113" t="n"/>
      <c r="L4212" s="113" t="n"/>
      <c r="M4212" s="113" t="n"/>
      <c r="N4212" s="113" t="n"/>
      <c r="O4212" s="113" t="n"/>
      <c r="P4212" s="113" t="n"/>
      <c r="Q4212" s="113" t="n"/>
      <c r="R4212" s="113" t="n"/>
      <c r="S4212" s="113" t="n"/>
      <c r="T4212" s="113" t="n"/>
      <c r="U4212" s="113" t="n"/>
      <c r="V4212" s="113" t="n"/>
      <c r="W4212" s="113" t="n"/>
      <c r="X4212" s="113" t="n"/>
      <c r="Y4212" s="113" t="n"/>
      <c r="Z4212" s="117">
        <f>IF($B4212="",0,IF($S4212="EVET",IF($D4212="GELİR",$O4212,-$O4212),0))</f>
        <v/>
      </c>
      <c r="AA4212" s="117">
        <f>IF($B4212="",0,IF(OR($W4212="EVET",$X4212="EVET",$Y4212="EVET"),0,IF($D4212="GELİR",IF($E4212="SATIŞ İADESİ/İSKONTO",-$O4212,$O4212),-$O4212)))</f>
        <v/>
      </c>
      <c r="AB4212" s="117">
        <f>IF($B4212="","",IF(OR($D4212="",$E4212="",$O4212=""),"EKSİK",IF($O4212&lt;=0,"SIFIR/NEGATİF",IF(COUNTIFS($C$6:$C$5000,$C4212,$O$6:$O$5000,$O4212,$B$6:$B$5000,$B4212)&gt;1,"MÜKERRER","OK"))))</f>
        <v/>
      </c>
    </row>
    <row r="4213" ht="16.5" customHeight="1" s="80">
      <c r="A4213" s="113" t="n"/>
      <c r="B4213" s="113" t="n"/>
      <c r="C4213" s="113" t="n"/>
      <c r="D4213" s="113" t="n"/>
      <c r="E4213" s="113" t="n"/>
      <c r="F4213" s="113" t="n"/>
      <c r="G4213" s="113" t="n"/>
      <c r="H4213" s="113" t="n"/>
      <c r="I4213" s="113" t="n"/>
      <c r="J4213" s="113" t="n"/>
      <c r="K4213" s="113" t="n"/>
      <c r="L4213" s="113" t="n"/>
      <c r="M4213" s="113" t="n"/>
      <c r="N4213" s="113" t="n"/>
      <c r="O4213" s="113" t="n"/>
      <c r="P4213" s="113" t="n"/>
      <c r="Q4213" s="113" t="n"/>
      <c r="R4213" s="113" t="n"/>
      <c r="S4213" s="113" t="n"/>
      <c r="T4213" s="113" t="n"/>
      <c r="U4213" s="113" t="n"/>
      <c r="V4213" s="113" t="n"/>
      <c r="W4213" s="113" t="n"/>
      <c r="X4213" s="113" t="n"/>
      <c r="Y4213" s="113" t="n"/>
      <c r="Z4213" s="117">
        <f>IF($B4213="",0,IF($S4213="EVET",IF($D4213="GELİR",$O4213,-$O4213),0))</f>
        <v/>
      </c>
      <c r="AA4213" s="117">
        <f>IF($B4213="",0,IF(OR($W4213="EVET",$X4213="EVET",$Y4213="EVET"),0,IF($D4213="GELİR",IF($E4213="SATIŞ İADESİ/İSKONTO",-$O4213,$O4213),-$O4213)))</f>
        <v/>
      </c>
      <c r="AB4213" s="117">
        <f>IF($B4213="","",IF(OR($D4213="",$E4213="",$O4213=""),"EKSİK",IF($O4213&lt;=0,"SIFIR/NEGATİF",IF(COUNTIFS($C$6:$C$5000,$C4213,$O$6:$O$5000,$O4213,$B$6:$B$5000,$B4213)&gt;1,"MÜKERRER","OK"))))</f>
        <v/>
      </c>
    </row>
    <row r="4214" ht="16.5" customHeight="1" s="80">
      <c r="A4214" s="113" t="n"/>
      <c r="B4214" s="113" t="n"/>
      <c r="C4214" s="113" t="n"/>
      <c r="D4214" s="113" t="n"/>
      <c r="E4214" s="113" t="n"/>
      <c r="F4214" s="113" t="n"/>
      <c r="G4214" s="113" t="n"/>
      <c r="H4214" s="113" t="n"/>
      <c r="I4214" s="113" t="n"/>
      <c r="J4214" s="113" t="n"/>
      <c r="K4214" s="113" t="n"/>
      <c r="L4214" s="113" t="n"/>
      <c r="M4214" s="113" t="n"/>
      <c r="N4214" s="113" t="n"/>
      <c r="O4214" s="113" t="n"/>
      <c r="P4214" s="113" t="n"/>
      <c r="Q4214" s="113" t="n"/>
      <c r="R4214" s="113" t="n"/>
      <c r="S4214" s="113" t="n"/>
      <c r="T4214" s="113" t="n"/>
      <c r="U4214" s="113" t="n"/>
      <c r="V4214" s="113" t="n"/>
      <c r="W4214" s="113" t="n"/>
      <c r="X4214" s="113" t="n"/>
      <c r="Y4214" s="113" t="n"/>
      <c r="Z4214" s="117">
        <f>IF($B4214="",0,IF($S4214="EVET",IF($D4214="GELİR",$O4214,-$O4214),0))</f>
        <v/>
      </c>
      <c r="AA4214" s="117">
        <f>IF($B4214="",0,IF(OR($W4214="EVET",$X4214="EVET",$Y4214="EVET"),0,IF($D4214="GELİR",IF($E4214="SATIŞ İADESİ/İSKONTO",-$O4214,$O4214),-$O4214)))</f>
        <v/>
      </c>
      <c r="AB4214" s="117">
        <f>IF($B4214="","",IF(OR($D4214="",$E4214="",$O4214=""),"EKSİK",IF($O4214&lt;=0,"SIFIR/NEGATİF",IF(COUNTIFS($C$6:$C$5000,$C4214,$O$6:$O$5000,$O4214,$B$6:$B$5000,$B4214)&gt;1,"MÜKERRER","OK"))))</f>
        <v/>
      </c>
    </row>
    <row r="4215" ht="16.5" customHeight="1" s="80">
      <c r="A4215" s="113" t="n"/>
      <c r="B4215" s="113" t="n"/>
      <c r="C4215" s="113" t="n"/>
      <c r="D4215" s="113" t="n"/>
      <c r="E4215" s="113" t="n"/>
      <c r="F4215" s="113" t="n"/>
      <c r="G4215" s="113" t="n"/>
      <c r="H4215" s="113" t="n"/>
      <c r="I4215" s="113" t="n"/>
      <c r="J4215" s="113" t="n"/>
      <c r="K4215" s="113" t="n"/>
      <c r="L4215" s="113" t="n"/>
      <c r="M4215" s="113" t="n"/>
      <c r="N4215" s="113" t="n"/>
      <c r="O4215" s="113" t="n"/>
      <c r="P4215" s="113" t="n"/>
      <c r="Q4215" s="113" t="n"/>
      <c r="R4215" s="113" t="n"/>
      <c r="S4215" s="113" t="n"/>
      <c r="T4215" s="113" t="n"/>
      <c r="U4215" s="113" t="n"/>
      <c r="V4215" s="113" t="n"/>
      <c r="W4215" s="113" t="n"/>
      <c r="X4215" s="113" t="n"/>
      <c r="Y4215" s="113" t="n"/>
      <c r="Z4215" s="117">
        <f>IF($B4215="",0,IF($S4215="EVET",IF($D4215="GELİR",$O4215,-$O4215),0))</f>
        <v/>
      </c>
      <c r="AA4215" s="117">
        <f>IF($B4215="",0,IF(OR($W4215="EVET",$X4215="EVET",$Y4215="EVET"),0,IF($D4215="GELİR",IF($E4215="SATIŞ İADESİ/İSKONTO",-$O4215,$O4215),-$O4215)))</f>
        <v/>
      </c>
      <c r="AB4215" s="117">
        <f>IF($B4215="","",IF(OR($D4215="",$E4215="",$O4215=""),"EKSİK",IF($O4215&lt;=0,"SIFIR/NEGATİF",IF(COUNTIFS($C$6:$C$5000,$C4215,$O$6:$O$5000,$O4215,$B$6:$B$5000,$B4215)&gt;1,"MÜKERRER","OK"))))</f>
        <v/>
      </c>
    </row>
    <row r="4216" ht="16.5" customHeight="1" s="80">
      <c r="A4216" s="113" t="n"/>
      <c r="B4216" s="113" t="n"/>
      <c r="C4216" s="113" t="n"/>
      <c r="D4216" s="113" t="n"/>
      <c r="E4216" s="113" t="n"/>
      <c r="F4216" s="113" t="n"/>
      <c r="G4216" s="113" t="n"/>
      <c r="H4216" s="113" t="n"/>
      <c r="I4216" s="113" t="n"/>
      <c r="J4216" s="113" t="n"/>
      <c r="K4216" s="113" t="n"/>
      <c r="L4216" s="113" t="n"/>
      <c r="M4216" s="113" t="n"/>
      <c r="N4216" s="113" t="n"/>
      <c r="O4216" s="113" t="n"/>
      <c r="P4216" s="113" t="n"/>
      <c r="Q4216" s="113" t="n"/>
      <c r="R4216" s="113" t="n"/>
      <c r="S4216" s="113" t="n"/>
      <c r="T4216" s="113" t="n"/>
      <c r="U4216" s="113" t="n"/>
      <c r="V4216" s="113" t="n"/>
      <c r="W4216" s="113" t="n"/>
      <c r="X4216" s="113" t="n"/>
      <c r="Y4216" s="113" t="n"/>
      <c r="Z4216" s="117">
        <f>IF($B4216="",0,IF($S4216="EVET",IF($D4216="GELİR",$O4216,-$O4216),0))</f>
        <v/>
      </c>
      <c r="AA4216" s="117">
        <f>IF($B4216="",0,IF(OR($W4216="EVET",$X4216="EVET",$Y4216="EVET"),0,IF($D4216="GELİR",IF($E4216="SATIŞ İADESİ/İSKONTO",-$O4216,$O4216),-$O4216)))</f>
        <v/>
      </c>
      <c r="AB4216" s="117">
        <f>IF($B4216="","",IF(OR($D4216="",$E4216="",$O4216=""),"EKSİK",IF($O4216&lt;=0,"SIFIR/NEGATİF",IF(COUNTIFS($C$6:$C$5000,$C4216,$O$6:$O$5000,$O4216,$B$6:$B$5000,$B4216)&gt;1,"MÜKERRER","OK"))))</f>
        <v/>
      </c>
    </row>
    <row r="4217" ht="16.5" customHeight="1" s="80">
      <c r="A4217" s="113" t="n"/>
      <c r="B4217" s="113" t="n"/>
      <c r="C4217" s="113" t="n"/>
      <c r="D4217" s="113" t="n"/>
      <c r="E4217" s="113" t="n"/>
      <c r="F4217" s="113" t="n"/>
      <c r="G4217" s="113" t="n"/>
      <c r="H4217" s="113" t="n"/>
      <c r="I4217" s="113" t="n"/>
      <c r="J4217" s="113" t="n"/>
      <c r="K4217" s="113" t="n"/>
      <c r="L4217" s="113" t="n"/>
      <c r="M4217" s="113" t="n"/>
      <c r="N4217" s="113" t="n"/>
      <c r="O4217" s="113" t="n"/>
      <c r="P4217" s="113" t="n"/>
      <c r="Q4217" s="113" t="n"/>
      <c r="R4217" s="113" t="n"/>
      <c r="S4217" s="113" t="n"/>
      <c r="T4217" s="113" t="n"/>
      <c r="U4217" s="113" t="n"/>
      <c r="V4217" s="113" t="n"/>
      <c r="W4217" s="113" t="n"/>
      <c r="X4217" s="113" t="n"/>
      <c r="Y4217" s="113" t="n"/>
      <c r="Z4217" s="117">
        <f>IF($B4217="",0,IF($S4217="EVET",IF($D4217="GELİR",$O4217,-$O4217),0))</f>
        <v/>
      </c>
      <c r="AA4217" s="117">
        <f>IF($B4217="",0,IF(OR($W4217="EVET",$X4217="EVET",$Y4217="EVET"),0,IF($D4217="GELİR",IF($E4217="SATIŞ İADESİ/İSKONTO",-$O4217,$O4217),-$O4217)))</f>
        <v/>
      </c>
      <c r="AB4217" s="117">
        <f>IF($B4217="","",IF(OR($D4217="",$E4217="",$O4217=""),"EKSİK",IF($O4217&lt;=0,"SIFIR/NEGATİF",IF(COUNTIFS($C$6:$C$5000,$C4217,$O$6:$O$5000,$O4217,$B$6:$B$5000,$B4217)&gt;1,"MÜKERRER","OK"))))</f>
        <v/>
      </c>
    </row>
    <row r="4218" ht="16.5" customHeight="1" s="80">
      <c r="A4218" s="113" t="n"/>
      <c r="B4218" s="113" t="n"/>
      <c r="C4218" s="113" t="n"/>
      <c r="D4218" s="113" t="n"/>
      <c r="E4218" s="113" t="n"/>
      <c r="F4218" s="113" t="n"/>
      <c r="G4218" s="113" t="n"/>
      <c r="H4218" s="113" t="n"/>
      <c r="I4218" s="113" t="n"/>
      <c r="J4218" s="113" t="n"/>
      <c r="K4218" s="113" t="n"/>
      <c r="L4218" s="113" t="n"/>
      <c r="M4218" s="113" t="n"/>
      <c r="N4218" s="113" t="n"/>
      <c r="O4218" s="113" t="n"/>
      <c r="P4218" s="113" t="n"/>
      <c r="Q4218" s="113" t="n"/>
      <c r="R4218" s="113" t="n"/>
      <c r="S4218" s="113" t="n"/>
      <c r="T4218" s="113" t="n"/>
      <c r="U4218" s="113" t="n"/>
      <c r="V4218" s="113" t="n"/>
      <c r="W4218" s="113" t="n"/>
      <c r="X4218" s="113" t="n"/>
      <c r="Y4218" s="113" t="n"/>
      <c r="Z4218" s="117">
        <f>IF($B4218="",0,IF($S4218="EVET",IF($D4218="GELİR",$O4218,-$O4218),0))</f>
        <v/>
      </c>
      <c r="AA4218" s="117">
        <f>IF($B4218="",0,IF(OR($W4218="EVET",$X4218="EVET",$Y4218="EVET"),0,IF($D4218="GELİR",IF($E4218="SATIŞ İADESİ/İSKONTO",-$O4218,$O4218),-$O4218)))</f>
        <v/>
      </c>
      <c r="AB4218" s="117">
        <f>IF($B4218="","",IF(OR($D4218="",$E4218="",$O4218=""),"EKSİK",IF($O4218&lt;=0,"SIFIR/NEGATİF",IF(COUNTIFS($C$6:$C$5000,$C4218,$O$6:$O$5000,$O4218,$B$6:$B$5000,$B4218)&gt;1,"MÜKERRER","OK"))))</f>
        <v/>
      </c>
    </row>
    <row r="4219" ht="16.5" customHeight="1" s="80">
      <c r="A4219" s="113" t="n"/>
      <c r="B4219" s="113" t="n"/>
      <c r="C4219" s="113" t="n"/>
      <c r="D4219" s="113" t="n"/>
      <c r="E4219" s="113" t="n"/>
      <c r="F4219" s="113" t="n"/>
      <c r="G4219" s="113" t="n"/>
      <c r="H4219" s="113" t="n"/>
      <c r="I4219" s="113" t="n"/>
      <c r="J4219" s="113" t="n"/>
      <c r="K4219" s="113" t="n"/>
      <c r="L4219" s="113" t="n"/>
      <c r="M4219" s="113" t="n"/>
      <c r="N4219" s="113" t="n"/>
      <c r="O4219" s="113" t="n"/>
      <c r="P4219" s="113" t="n"/>
      <c r="Q4219" s="113" t="n"/>
      <c r="R4219" s="113" t="n"/>
      <c r="S4219" s="113" t="n"/>
      <c r="T4219" s="113" t="n"/>
      <c r="U4219" s="113" t="n"/>
      <c r="V4219" s="113" t="n"/>
      <c r="W4219" s="113" t="n"/>
      <c r="X4219" s="113" t="n"/>
      <c r="Y4219" s="113" t="n"/>
      <c r="Z4219" s="117">
        <f>IF($B4219="",0,IF($S4219="EVET",IF($D4219="GELİR",$O4219,-$O4219),0))</f>
        <v/>
      </c>
      <c r="AA4219" s="117">
        <f>IF($B4219="",0,IF(OR($W4219="EVET",$X4219="EVET",$Y4219="EVET"),0,IF($D4219="GELİR",IF($E4219="SATIŞ İADESİ/İSKONTO",-$O4219,$O4219),-$O4219)))</f>
        <v/>
      </c>
      <c r="AB4219" s="117">
        <f>IF($B4219="","",IF(OR($D4219="",$E4219="",$O4219=""),"EKSİK",IF($O4219&lt;=0,"SIFIR/NEGATİF",IF(COUNTIFS($C$6:$C$5000,$C4219,$O$6:$O$5000,$O4219,$B$6:$B$5000,$B4219)&gt;1,"MÜKERRER","OK"))))</f>
        <v/>
      </c>
    </row>
    <row r="4220" ht="16.5" customHeight="1" s="80">
      <c r="A4220" s="113" t="n"/>
      <c r="B4220" s="113" t="n"/>
      <c r="C4220" s="113" t="n"/>
      <c r="D4220" s="113" t="n"/>
      <c r="E4220" s="113" t="n"/>
      <c r="F4220" s="113" t="n"/>
      <c r="G4220" s="113" t="n"/>
      <c r="H4220" s="113" t="n"/>
      <c r="I4220" s="113" t="n"/>
      <c r="J4220" s="113" t="n"/>
      <c r="K4220" s="113" t="n"/>
      <c r="L4220" s="113" t="n"/>
      <c r="M4220" s="113" t="n"/>
      <c r="N4220" s="113" t="n"/>
      <c r="O4220" s="113" t="n"/>
      <c r="P4220" s="113" t="n"/>
      <c r="Q4220" s="113" t="n"/>
      <c r="R4220" s="113" t="n"/>
      <c r="S4220" s="113" t="n"/>
      <c r="T4220" s="113" t="n"/>
      <c r="U4220" s="113" t="n"/>
      <c r="V4220" s="113" t="n"/>
      <c r="W4220" s="113" t="n"/>
      <c r="X4220" s="113" t="n"/>
      <c r="Y4220" s="113" t="n"/>
      <c r="Z4220" s="117">
        <f>IF($B4220="",0,IF($S4220="EVET",IF($D4220="GELİR",$O4220,-$O4220),0))</f>
        <v/>
      </c>
      <c r="AA4220" s="117">
        <f>IF($B4220="",0,IF(OR($W4220="EVET",$X4220="EVET",$Y4220="EVET"),0,IF($D4220="GELİR",IF($E4220="SATIŞ İADESİ/İSKONTO",-$O4220,$O4220),-$O4220)))</f>
        <v/>
      </c>
      <c r="AB4220" s="117">
        <f>IF($B4220="","",IF(OR($D4220="",$E4220="",$O4220=""),"EKSİK",IF($O4220&lt;=0,"SIFIR/NEGATİF",IF(COUNTIFS($C$6:$C$5000,$C4220,$O$6:$O$5000,$O4220,$B$6:$B$5000,$B4220)&gt;1,"MÜKERRER","OK"))))</f>
        <v/>
      </c>
    </row>
    <row r="4221" ht="16.5" customHeight="1" s="80">
      <c r="A4221" s="113" t="n"/>
      <c r="B4221" s="113" t="n"/>
      <c r="C4221" s="113" t="n"/>
      <c r="D4221" s="113" t="n"/>
      <c r="E4221" s="113" t="n"/>
      <c r="F4221" s="113" t="n"/>
      <c r="G4221" s="113" t="n"/>
      <c r="H4221" s="113" t="n"/>
      <c r="I4221" s="113" t="n"/>
      <c r="J4221" s="113" t="n"/>
      <c r="K4221" s="113" t="n"/>
      <c r="L4221" s="113" t="n"/>
      <c r="M4221" s="113" t="n"/>
      <c r="N4221" s="113" t="n"/>
      <c r="O4221" s="113" t="n"/>
      <c r="P4221" s="113" t="n"/>
      <c r="Q4221" s="113" t="n"/>
      <c r="R4221" s="113" t="n"/>
      <c r="S4221" s="113" t="n"/>
      <c r="T4221" s="113" t="n"/>
      <c r="U4221" s="113" t="n"/>
      <c r="V4221" s="113" t="n"/>
      <c r="W4221" s="113" t="n"/>
      <c r="X4221" s="113" t="n"/>
      <c r="Y4221" s="113" t="n"/>
      <c r="Z4221" s="117">
        <f>IF($B4221="",0,IF($S4221="EVET",IF($D4221="GELİR",$O4221,-$O4221),0))</f>
        <v/>
      </c>
      <c r="AA4221" s="117">
        <f>IF($B4221="",0,IF(OR($W4221="EVET",$X4221="EVET",$Y4221="EVET"),0,IF($D4221="GELİR",IF($E4221="SATIŞ İADESİ/İSKONTO",-$O4221,$O4221),-$O4221)))</f>
        <v/>
      </c>
      <c r="AB4221" s="117">
        <f>IF($B4221="","",IF(OR($D4221="",$E4221="",$O4221=""),"EKSİK",IF($O4221&lt;=0,"SIFIR/NEGATİF",IF(COUNTIFS($C$6:$C$5000,$C4221,$O$6:$O$5000,$O4221,$B$6:$B$5000,$B4221)&gt;1,"MÜKERRER","OK"))))</f>
        <v/>
      </c>
    </row>
    <row r="4222" ht="16.5" customHeight="1" s="80">
      <c r="A4222" s="113" t="n"/>
      <c r="B4222" s="113" t="n"/>
      <c r="C4222" s="113" t="n"/>
      <c r="D4222" s="113" t="n"/>
      <c r="E4222" s="113" t="n"/>
      <c r="F4222" s="113" t="n"/>
      <c r="G4222" s="113" t="n"/>
      <c r="H4222" s="113" t="n"/>
      <c r="I4222" s="113" t="n"/>
      <c r="J4222" s="113" t="n"/>
      <c r="K4222" s="113" t="n"/>
      <c r="L4222" s="113" t="n"/>
      <c r="M4222" s="113" t="n"/>
      <c r="N4222" s="113" t="n"/>
      <c r="O4222" s="113" t="n"/>
      <c r="P4222" s="113" t="n"/>
      <c r="Q4222" s="113" t="n"/>
      <c r="R4222" s="113" t="n"/>
      <c r="S4222" s="113" t="n"/>
      <c r="T4222" s="113" t="n"/>
      <c r="U4222" s="113" t="n"/>
      <c r="V4222" s="113" t="n"/>
      <c r="W4222" s="113" t="n"/>
      <c r="X4222" s="113" t="n"/>
      <c r="Y4222" s="113" t="n"/>
      <c r="Z4222" s="117">
        <f>IF($B4222="",0,IF($S4222="EVET",IF($D4222="GELİR",$O4222,-$O4222),0))</f>
        <v/>
      </c>
      <c r="AA4222" s="117">
        <f>IF($B4222="",0,IF(OR($W4222="EVET",$X4222="EVET",$Y4222="EVET"),0,IF($D4222="GELİR",IF($E4222="SATIŞ İADESİ/İSKONTO",-$O4222,$O4222),-$O4222)))</f>
        <v/>
      </c>
      <c r="AB4222" s="117">
        <f>IF($B4222="","",IF(OR($D4222="",$E4222="",$O4222=""),"EKSİK",IF($O4222&lt;=0,"SIFIR/NEGATİF",IF(COUNTIFS($C$6:$C$5000,$C4222,$O$6:$O$5000,$O4222,$B$6:$B$5000,$B4222)&gt;1,"MÜKERRER","OK"))))</f>
        <v/>
      </c>
    </row>
    <row r="4223" ht="16.5" customHeight="1" s="80">
      <c r="A4223" s="113" t="n"/>
      <c r="B4223" s="113" t="n"/>
      <c r="C4223" s="113" t="n"/>
      <c r="D4223" s="113" t="n"/>
      <c r="E4223" s="113" t="n"/>
      <c r="F4223" s="113" t="n"/>
      <c r="G4223" s="113" t="n"/>
      <c r="H4223" s="113" t="n"/>
      <c r="I4223" s="113" t="n"/>
      <c r="J4223" s="113" t="n"/>
      <c r="K4223" s="113" t="n"/>
      <c r="L4223" s="113" t="n"/>
      <c r="M4223" s="113" t="n"/>
      <c r="N4223" s="113" t="n"/>
      <c r="O4223" s="113" t="n"/>
      <c r="P4223" s="113" t="n"/>
      <c r="Q4223" s="113" t="n"/>
      <c r="R4223" s="113" t="n"/>
      <c r="S4223" s="113" t="n"/>
      <c r="T4223" s="113" t="n"/>
      <c r="U4223" s="113" t="n"/>
      <c r="V4223" s="113" t="n"/>
      <c r="W4223" s="113" t="n"/>
      <c r="X4223" s="113" t="n"/>
      <c r="Y4223" s="113" t="n"/>
      <c r="Z4223" s="117">
        <f>IF($B4223="",0,IF($S4223="EVET",IF($D4223="GELİR",$O4223,-$O4223),0))</f>
        <v/>
      </c>
      <c r="AA4223" s="117">
        <f>IF($B4223="",0,IF(OR($W4223="EVET",$X4223="EVET",$Y4223="EVET"),0,IF($D4223="GELİR",IF($E4223="SATIŞ İADESİ/İSKONTO",-$O4223,$O4223),-$O4223)))</f>
        <v/>
      </c>
      <c r="AB4223" s="117">
        <f>IF($B4223="","",IF(OR($D4223="",$E4223="",$O4223=""),"EKSİK",IF($O4223&lt;=0,"SIFIR/NEGATİF",IF(COUNTIFS($C$6:$C$5000,$C4223,$O$6:$O$5000,$O4223,$B$6:$B$5000,$B4223)&gt;1,"MÜKERRER","OK"))))</f>
        <v/>
      </c>
    </row>
    <row r="4224" ht="16.5" customHeight="1" s="80">
      <c r="A4224" s="113" t="n"/>
      <c r="B4224" s="113" t="n"/>
      <c r="C4224" s="113" t="n"/>
      <c r="D4224" s="113" t="n"/>
      <c r="E4224" s="113" t="n"/>
      <c r="F4224" s="113" t="n"/>
      <c r="G4224" s="113" t="n"/>
      <c r="H4224" s="113" t="n"/>
      <c r="I4224" s="113" t="n"/>
      <c r="J4224" s="113" t="n"/>
      <c r="K4224" s="113" t="n"/>
      <c r="L4224" s="113" t="n"/>
      <c r="M4224" s="113" t="n"/>
      <c r="N4224" s="113" t="n"/>
      <c r="O4224" s="113" t="n"/>
      <c r="P4224" s="113" t="n"/>
      <c r="Q4224" s="113" t="n"/>
      <c r="R4224" s="113" t="n"/>
      <c r="S4224" s="113" t="n"/>
      <c r="T4224" s="113" t="n"/>
      <c r="U4224" s="113" t="n"/>
      <c r="V4224" s="113" t="n"/>
      <c r="W4224" s="113" t="n"/>
      <c r="X4224" s="113" t="n"/>
      <c r="Y4224" s="113" t="n"/>
      <c r="Z4224" s="117">
        <f>IF($B4224="",0,IF($S4224="EVET",IF($D4224="GELİR",$O4224,-$O4224),0))</f>
        <v/>
      </c>
      <c r="AA4224" s="117">
        <f>IF($B4224="",0,IF(OR($W4224="EVET",$X4224="EVET",$Y4224="EVET"),0,IF($D4224="GELİR",IF($E4224="SATIŞ İADESİ/İSKONTO",-$O4224,$O4224),-$O4224)))</f>
        <v/>
      </c>
      <c r="AB4224" s="117">
        <f>IF($B4224="","",IF(OR($D4224="",$E4224="",$O4224=""),"EKSİK",IF($O4224&lt;=0,"SIFIR/NEGATİF",IF(COUNTIFS($C$6:$C$5000,$C4224,$O$6:$O$5000,$O4224,$B$6:$B$5000,$B4224)&gt;1,"MÜKERRER","OK"))))</f>
        <v/>
      </c>
    </row>
    <row r="4225" ht="16.5" customHeight="1" s="80">
      <c r="A4225" s="113" t="n"/>
      <c r="B4225" s="113" t="n"/>
      <c r="C4225" s="113" t="n"/>
      <c r="D4225" s="113" t="n"/>
      <c r="E4225" s="113" t="n"/>
      <c r="F4225" s="113" t="n"/>
      <c r="G4225" s="113" t="n"/>
      <c r="H4225" s="113" t="n"/>
      <c r="I4225" s="113" t="n"/>
      <c r="J4225" s="113" t="n"/>
      <c r="K4225" s="113" t="n"/>
      <c r="L4225" s="113" t="n"/>
      <c r="M4225" s="113" t="n"/>
      <c r="N4225" s="113" t="n"/>
      <c r="O4225" s="113" t="n"/>
      <c r="P4225" s="113" t="n"/>
      <c r="Q4225" s="113" t="n"/>
      <c r="R4225" s="113" t="n"/>
      <c r="S4225" s="113" t="n"/>
      <c r="T4225" s="113" t="n"/>
      <c r="U4225" s="113" t="n"/>
      <c r="V4225" s="113" t="n"/>
      <c r="W4225" s="113" t="n"/>
      <c r="X4225" s="113" t="n"/>
      <c r="Y4225" s="113" t="n"/>
      <c r="Z4225" s="117">
        <f>IF($B4225="",0,IF($S4225="EVET",IF($D4225="GELİR",$O4225,-$O4225),0))</f>
        <v/>
      </c>
      <c r="AA4225" s="117">
        <f>IF($B4225="",0,IF(OR($W4225="EVET",$X4225="EVET",$Y4225="EVET"),0,IF($D4225="GELİR",IF($E4225="SATIŞ İADESİ/İSKONTO",-$O4225,$O4225),-$O4225)))</f>
        <v/>
      </c>
      <c r="AB4225" s="117">
        <f>IF($B4225="","",IF(OR($D4225="",$E4225="",$O4225=""),"EKSİK",IF($O4225&lt;=0,"SIFIR/NEGATİF",IF(COUNTIFS($C$6:$C$5000,$C4225,$O$6:$O$5000,$O4225,$B$6:$B$5000,$B4225)&gt;1,"MÜKERRER","OK"))))</f>
        <v/>
      </c>
    </row>
    <row r="4226" ht="16.5" customHeight="1" s="80">
      <c r="A4226" s="113" t="n"/>
      <c r="B4226" s="113" t="n"/>
      <c r="C4226" s="113" t="n"/>
      <c r="D4226" s="113" t="n"/>
      <c r="E4226" s="113" t="n"/>
      <c r="F4226" s="113" t="n"/>
      <c r="G4226" s="113" t="n"/>
      <c r="H4226" s="113" t="n"/>
      <c r="I4226" s="113" t="n"/>
      <c r="J4226" s="113" t="n"/>
      <c r="K4226" s="113" t="n"/>
      <c r="L4226" s="113" t="n"/>
      <c r="M4226" s="113" t="n"/>
      <c r="N4226" s="113" t="n"/>
      <c r="O4226" s="113" t="n"/>
      <c r="P4226" s="113" t="n"/>
      <c r="Q4226" s="113" t="n"/>
      <c r="R4226" s="113" t="n"/>
      <c r="S4226" s="113" t="n"/>
      <c r="T4226" s="113" t="n"/>
      <c r="U4226" s="113" t="n"/>
      <c r="V4226" s="113" t="n"/>
      <c r="W4226" s="113" t="n"/>
      <c r="X4226" s="113" t="n"/>
      <c r="Y4226" s="113" t="n"/>
      <c r="Z4226" s="117">
        <f>IF($B4226="",0,IF($S4226="EVET",IF($D4226="GELİR",$O4226,-$O4226),0))</f>
        <v/>
      </c>
      <c r="AA4226" s="117">
        <f>IF($B4226="",0,IF(OR($W4226="EVET",$X4226="EVET",$Y4226="EVET"),0,IF($D4226="GELİR",IF($E4226="SATIŞ İADESİ/İSKONTO",-$O4226,$O4226),-$O4226)))</f>
        <v/>
      </c>
      <c r="AB4226" s="117">
        <f>IF($B4226="","",IF(OR($D4226="",$E4226="",$O4226=""),"EKSİK",IF($O4226&lt;=0,"SIFIR/NEGATİF",IF(COUNTIFS($C$6:$C$5000,$C4226,$O$6:$O$5000,$O4226,$B$6:$B$5000,$B4226)&gt;1,"MÜKERRER","OK"))))</f>
        <v/>
      </c>
    </row>
    <row r="4227" ht="16.5" customHeight="1" s="80">
      <c r="A4227" s="113" t="n"/>
      <c r="B4227" s="113" t="n"/>
      <c r="C4227" s="113" t="n"/>
      <c r="D4227" s="113" t="n"/>
      <c r="E4227" s="113" t="n"/>
      <c r="F4227" s="113" t="n"/>
      <c r="G4227" s="113" t="n"/>
      <c r="H4227" s="113" t="n"/>
      <c r="I4227" s="113" t="n"/>
      <c r="J4227" s="113" t="n"/>
      <c r="K4227" s="113" t="n"/>
      <c r="L4227" s="113" t="n"/>
      <c r="M4227" s="113" t="n"/>
      <c r="N4227" s="113" t="n"/>
      <c r="O4227" s="113" t="n"/>
      <c r="P4227" s="113" t="n"/>
      <c r="Q4227" s="113" t="n"/>
      <c r="R4227" s="113" t="n"/>
      <c r="S4227" s="113" t="n"/>
      <c r="T4227" s="113" t="n"/>
      <c r="U4227" s="113" t="n"/>
      <c r="V4227" s="113" t="n"/>
      <c r="W4227" s="113" t="n"/>
      <c r="X4227" s="113" t="n"/>
      <c r="Y4227" s="113" t="n"/>
      <c r="Z4227" s="117">
        <f>IF($B4227="",0,IF($S4227="EVET",IF($D4227="GELİR",$O4227,-$O4227),0))</f>
        <v/>
      </c>
      <c r="AA4227" s="117">
        <f>IF($B4227="",0,IF(OR($W4227="EVET",$X4227="EVET",$Y4227="EVET"),0,IF($D4227="GELİR",IF($E4227="SATIŞ İADESİ/İSKONTO",-$O4227,$O4227),-$O4227)))</f>
        <v/>
      </c>
      <c r="AB4227" s="117">
        <f>IF($B4227="","",IF(OR($D4227="",$E4227="",$O4227=""),"EKSİK",IF($O4227&lt;=0,"SIFIR/NEGATİF",IF(COUNTIFS($C$6:$C$5000,$C4227,$O$6:$O$5000,$O4227,$B$6:$B$5000,$B4227)&gt;1,"MÜKERRER","OK"))))</f>
        <v/>
      </c>
    </row>
    <row r="4228" ht="16.5" customHeight="1" s="80">
      <c r="A4228" s="113" t="n"/>
      <c r="B4228" s="113" t="n"/>
      <c r="C4228" s="113" t="n"/>
      <c r="D4228" s="113" t="n"/>
      <c r="E4228" s="113" t="n"/>
      <c r="F4228" s="113" t="n"/>
      <c r="G4228" s="113" t="n"/>
      <c r="H4228" s="113" t="n"/>
      <c r="I4228" s="113" t="n"/>
      <c r="J4228" s="113" t="n"/>
      <c r="K4228" s="113" t="n"/>
      <c r="L4228" s="113" t="n"/>
      <c r="M4228" s="113" t="n"/>
      <c r="N4228" s="113" t="n"/>
      <c r="O4228" s="113" t="n"/>
      <c r="P4228" s="113" t="n"/>
      <c r="Q4228" s="113" t="n"/>
      <c r="R4228" s="113" t="n"/>
      <c r="S4228" s="113" t="n"/>
      <c r="T4228" s="113" t="n"/>
      <c r="U4228" s="113" t="n"/>
      <c r="V4228" s="113" t="n"/>
      <c r="W4228" s="113" t="n"/>
      <c r="X4228" s="113" t="n"/>
      <c r="Y4228" s="113" t="n"/>
      <c r="Z4228" s="117">
        <f>IF($B4228="",0,IF($S4228="EVET",IF($D4228="GELİR",$O4228,-$O4228),0))</f>
        <v/>
      </c>
      <c r="AA4228" s="117">
        <f>IF($B4228="",0,IF(OR($W4228="EVET",$X4228="EVET",$Y4228="EVET"),0,IF($D4228="GELİR",IF($E4228="SATIŞ İADESİ/İSKONTO",-$O4228,$O4228),-$O4228)))</f>
        <v/>
      </c>
      <c r="AB4228" s="117">
        <f>IF($B4228="","",IF(OR($D4228="",$E4228="",$O4228=""),"EKSİK",IF($O4228&lt;=0,"SIFIR/NEGATİF",IF(COUNTIFS($C$6:$C$5000,$C4228,$O$6:$O$5000,$O4228,$B$6:$B$5000,$B4228)&gt;1,"MÜKERRER","OK"))))</f>
        <v/>
      </c>
    </row>
    <row r="4229" ht="16.5" customHeight="1" s="80">
      <c r="A4229" s="113" t="n"/>
      <c r="B4229" s="113" t="n"/>
      <c r="C4229" s="113" t="n"/>
      <c r="D4229" s="113" t="n"/>
      <c r="E4229" s="113" t="n"/>
      <c r="F4229" s="113" t="n"/>
      <c r="G4229" s="113" t="n"/>
      <c r="H4229" s="113" t="n"/>
      <c r="I4229" s="113" t="n"/>
      <c r="J4229" s="113" t="n"/>
      <c r="K4229" s="113" t="n"/>
      <c r="L4229" s="113" t="n"/>
      <c r="M4229" s="113" t="n"/>
      <c r="N4229" s="113" t="n"/>
      <c r="O4229" s="113" t="n"/>
      <c r="P4229" s="113" t="n"/>
      <c r="Q4229" s="113" t="n"/>
      <c r="R4229" s="113" t="n"/>
      <c r="S4229" s="113" t="n"/>
      <c r="T4229" s="113" t="n"/>
      <c r="U4229" s="113" t="n"/>
      <c r="V4229" s="113" t="n"/>
      <c r="W4229" s="113" t="n"/>
      <c r="X4229" s="113" t="n"/>
      <c r="Y4229" s="113" t="n"/>
      <c r="Z4229" s="117">
        <f>IF($B4229="",0,IF($S4229="EVET",IF($D4229="GELİR",$O4229,-$O4229),0))</f>
        <v/>
      </c>
      <c r="AA4229" s="117">
        <f>IF($B4229="",0,IF(OR($W4229="EVET",$X4229="EVET",$Y4229="EVET"),0,IF($D4229="GELİR",IF($E4229="SATIŞ İADESİ/İSKONTO",-$O4229,$O4229),-$O4229)))</f>
        <v/>
      </c>
      <c r="AB4229" s="117">
        <f>IF($B4229="","",IF(OR($D4229="",$E4229="",$O4229=""),"EKSİK",IF($O4229&lt;=0,"SIFIR/NEGATİF",IF(COUNTIFS($C$6:$C$5000,$C4229,$O$6:$O$5000,$O4229,$B$6:$B$5000,$B4229)&gt;1,"MÜKERRER","OK"))))</f>
        <v/>
      </c>
    </row>
    <row r="4230" ht="16.5" customHeight="1" s="80">
      <c r="A4230" s="113" t="n"/>
      <c r="B4230" s="113" t="n"/>
      <c r="C4230" s="113" t="n"/>
      <c r="D4230" s="113" t="n"/>
      <c r="E4230" s="113" t="n"/>
      <c r="F4230" s="113" t="n"/>
      <c r="G4230" s="113" t="n"/>
      <c r="H4230" s="113" t="n"/>
      <c r="I4230" s="113" t="n"/>
      <c r="J4230" s="113" t="n"/>
      <c r="K4230" s="113" t="n"/>
      <c r="L4230" s="113" t="n"/>
      <c r="M4230" s="113" t="n"/>
      <c r="N4230" s="113" t="n"/>
      <c r="O4230" s="113" t="n"/>
      <c r="P4230" s="113" t="n"/>
      <c r="Q4230" s="113" t="n"/>
      <c r="R4230" s="113" t="n"/>
      <c r="S4230" s="113" t="n"/>
      <c r="T4230" s="113" t="n"/>
      <c r="U4230" s="113" t="n"/>
      <c r="V4230" s="113" t="n"/>
      <c r="W4230" s="113" t="n"/>
      <c r="X4230" s="113" t="n"/>
      <c r="Y4230" s="113" t="n"/>
      <c r="Z4230" s="117">
        <f>IF($B4230="",0,IF($S4230="EVET",IF($D4230="GELİR",$O4230,-$O4230),0))</f>
        <v/>
      </c>
      <c r="AA4230" s="117">
        <f>IF($B4230="",0,IF(OR($W4230="EVET",$X4230="EVET",$Y4230="EVET"),0,IF($D4230="GELİR",IF($E4230="SATIŞ İADESİ/İSKONTO",-$O4230,$O4230),-$O4230)))</f>
        <v/>
      </c>
      <c r="AB4230" s="117">
        <f>IF($B4230="","",IF(OR($D4230="",$E4230="",$O4230=""),"EKSİK",IF($O4230&lt;=0,"SIFIR/NEGATİF",IF(COUNTIFS($C$6:$C$5000,$C4230,$O$6:$O$5000,$O4230,$B$6:$B$5000,$B4230)&gt;1,"MÜKERRER","OK"))))</f>
        <v/>
      </c>
    </row>
    <row r="4231" ht="16.5" customHeight="1" s="80">
      <c r="A4231" s="113" t="n"/>
      <c r="B4231" s="113" t="n"/>
      <c r="C4231" s="113" t="n"/>
      <c r="D4231" s="113" t="n"/>
      <c r="E4231" s="113" t="n"/>
      <c r="F4231" s="113" t="n"/>
      <c r="G4231" s="113" t="n"/>
      <c r="H4231" s="113" t="n"/>
      <c r="I4231" s="113" t="n"/>
      <c r="J4231" s="113" t="n"/>
      <c r="K4231" s="113" t="n"/>
      <c r="L4231" s="113" t="n"/>
      <c r="M4231" s="113" t="n"/>
      <c r="N4231" s="113" t="n"/>
      <c r="O4231" s="113" t="n"/>
      <c r="P4231" s="113" t="n"/>
      <c r="Q4231" s="113" t="n"/>
      <c r="R4231" s="113" t="n"/>
      <c r="S4231" s="113" t="n"/>
      <c r="T4231" s="113" t="n"/>
      <c r="U4231" s="113" t="n"/>
      <c r="V4231" s="113" t="n"/>
      <c r="W4231" s="113" t="n"/>
      <c r="X4231" s="113" t="n"/>
      <c r="Y4231" s="113" t="n"/>
      <c r="Z4231" s="117">
        <f>IF($B4231="",0,IF($S4231="EVET",IF($D4231="GELİR",$O4231,-$O4231),0))</f>
        <v/>
      </c>
      <c r="AA4231" s="117">
        <f>IF($B4231="",0,IF(OR($W4231="EVET",$X4231="EVET",$Y4231="EVET"),0,IF($D4231="GELİR",IF($E4231="SATIŞ İADESİ/İSKONTO",-$O4231,$O4231),-$O4231)))</f>
        <v/>
      </c>
      <c r="AB4231" s="117">
        <f>IF($B4231="","",IF(OR($D4231="",$E4231="",$O4231=""),"EKSİK",IF($O4231&lt;=0,"SIFIR/NEGATİF",IF(COUNTIFS($C$6:$C$5000,$C4231,$O$6:$O$5000,$O4231,$B$6:$B$5000,$B4231)&gt;1,"MÜKERRER","OK"))))</f>
        <v/>
      </c>
    </row>
    <row r="4232" ht="16.5" customHeight="1" s="80">
      <c r="A4232" s="113" t="n"/>
      <c r="B4232" s="113" t="n"/>
      <c r="C4232" s="113" t="n"/>
      <c r="D4232" s="113" t="n"/>
      <c r="E4232" s="113" t="n"/>
      <c r="F4232" s="113" t="n"/>
      <c r="G4232" s="113" t="n"/>
      <c r="H4232" s="113" t="n"/>
      <c r="I4232" s="113" t="n"/>
      <c r="J4232" s="113" t="n"/>
      <c r="K4232" s="113" t="n"/>
      <c r="L4232" s="113" t="n"/>
      <c r="M4232" s="113" t="n"/>
      <c r="N4232" s="113" t="n"/>
      <c r="O4232" s="113" t="n"/>
      <c r="P4232" s="113" t="n"/>
      <c r="Q4232" s="113" t="n"/>
      <c r="R4232" s="113" t="n"/>
      <c r="S4232" s="113" t="n"/>
      <c r="T4232" s="113" t="n"/>
      <c r="U4232" s="113" t="n"/>
      <c r="V4232" s="113" t="n"/>
      <c r="W4232" s="113" t="n"/>
      <c r="X4232" s="113" t="n"/>
      <c r="Y4232" s="113" t="n"/>
      <c r="Z4232" s="117">
        <f>IF($B4232="",0,IF($S4232="EVET",IF($D4232="GELİR",$O4232,-$O4232),0))</f>
        <v/>
      </c>
      <c r="AA4232" s="117">
        <f>IF($B4232="",0,IF(OR($W4232="EVET",$X4232="EVET",$Y4232="EVET"),0,IF($D4232="GELİR",IF($E4232="SATIŞ İADESİ/İSKONTO",-$O4232,$O4232),-$O4232)))</f>
        <v/>
      </c>
      <c r="AB4232" s="117">
        <f>IF($B4232="","",IF(OR($D4232="",$E4232="",$O4232=""),"EKSİK",IF($O4232&lt;=0,"SIFIR/NEGATİF",IF(COUNTIFS($C$6:$C$5000,$C4232,$O$6:$O$5000,$O4232,$B$6:$B$5000,$B4232)&gt;1,"MÜKERRER","OK"))))</f>
        <v/>
      </c>
    </row>
    <row r="4233" ht="16.5" customHeight="1" s="80">
      <c r="A4233" s="113" t="n"/>
      <c r="B4233" s="113" t="n"/>
      <c r="C4233" s="113" t="n"/>
      <c r="D4233" s="113" t="n"/>
      <c r="E4233" s="113" t="n"/>
      <c r="F4233" s="113" t="n"/>
      <c r="G4233" s="113" t="n"/>
      <c r="H4233" s="113" t="n"/>
      <c r="I4233" s="113" t="n"/>
      <c r="J4233" s="113" t="n"/>
      <c r="K4233" s="113" t="n"/>
      <c r="L4233" s="113" t="n"/>
      <c r="M4233" s="113" t="n"/>
      <c r="N4233" s="113" t="n"/>
      <c r="O4233" s="113" t="n"/>
      <c r="P4233" s="113" t="n"/>
      <c r="Q4233" s="113" t="n"/>
      <c r="R4233" s="113" t="n"/>
      <c r="S4233" s="113" t="n"/>
      <c r="T4233" s="113" t="n"/>
      <c r="U4233" s="113" t="n"/>
      <c r="V4233" s="113" t="n"/>
      <c r="W4233" s="113" t="n"/>
      <c r="X4233" s="113" t="n"/>
      <c r="Y4233" s="113" t="n"/>
      <c r="Z4233" s="117">
        <f>IF($B4233="",0,IF($S4233="EVET",IF($D4233="GELİR",$O4233,-$O4233),0))</f>
        <v/>
      </c>
      <c r="AA4233" s="117">
        <f>IF($B4233="",0,IF(OR($W4233="EVET",$X4233="EVET",$Y4233="EVET"),0,IF($D4233="GELİR",IF($E4233="SATIŞ İADESİ/İSKONTO",-$O4233,$O4233),-$O4233)))</f>
        <v/>
      </c>
      <c r="AB4233" s="117">
        <f>IF($B4233="","",IF(OR($D4233="",$E4233="",$O4233=""),"EKSİK",IF($O4233&lt;=0,"SIFIR/NEGATİF",IF(COUNTIFS($C$6:$C$5000,$C4233,$O$6:$O$5000,$O4233,$B$6:$B$5000,$B4233)&gt;1,"MÜKERRER","OK"))))</f>
        <v/>
      </c>
    </row>
    <row r="4234" ht="16.5" customHeight="1" s="80">
      <c r="A4234" s="113" t="n"/>
      <c r="B4234" s="113" t="n"/>
      <c r="C4234" s="113" t="n"/>
      <c r="D4234" s="113" t="n"/>
      <c r="E4234" s="113" t="n"/>
      <c r="F4234" s="113" t="n"/>
      <c r="G4234" s="113" t="n"/>
      <c r="H4234" s="113" t="n"/>
      <c r="I4234" s="113" t="n"/>
      <c r="J4234" s="113" t="n"/>
      <c r="K4234" s="113" t="n"/>
      <c r="L4234" s="113" t="n"/>
      <c r="M4234" s="113" t="n"/>
      <c r="N4234" s="113" t="n"/>
      <c r="O4234" s="113" t="n"/>
      <c r="P4234" s="113" t="n"/>
      <c r="Q4234" s="113" t="n"/>
      <c r="R4234" s="113" t="n"/>
      <c r="S4234" s="113" t="n"/>
      <c r="T4234" s="113" t="n"/>
      <c r="U4234" s="113" t="n"/>
      <c r="V4234" s="113" t="n"/>
      <c r="W4234" s="113" t="n"/>
      <c r="X4234" s="113" t="n"/>
      <c r="Y4234" s="113" t="n"/>
      <c r="Z4234" s="117">
        <f>IF($B4234="",0,IF($S4234="EVET",IF($D4234="GELİR",$O4234,-$O4234),0))</f>
        <v/>
      </c>
      <c r="AA4234" s="117">
        <f>IF($B4234="",0,IF(OR($W4234="EVET",$X4234="EVET",$Y4234="EVET"),0,IF($D4234="GELİR",IF($E4234="SATIŞ İADESİ/İSKONTO",-$O4234,$O4234),-$O4234)))</f>
        <v/>
      </c>
      <c r="AB4234" s="117">
        <f>IF($B4234="","",IF(OR($D4234="",$E4234="",$O4234=""),"EKSİK",IF($O4234&lt;=0,"SIFIR/NEGATİF",IF(COUNTIFS($C$6:$C$5000,$C4234,$O$6:$O$5000,$O4234,$B$6:$B$5000,$B4234)&gt;1,"MÜKERRER","OK"))))</f>
        <v/>
      </c>
    </row>
    <row r="4235" ht="16.5" customHeight="1" s="80">
      <c r="A4235" s="113" t="n"/>
      <c r="B4235" s="113" t="n"/>
      <c r="C4235" s="113" t="n"/>
      <c r="D4235" s="113" t="n"/>
      <c r="E4235" s="113" t="n"/>
      <c r="F4235" s="113" t="n"/>
      <c r="G4235" s="113" t="n"/>
      <c r="H4235" s="113" t="n"/>
      <c r="I4235" s="113" t="n"/>
      <c r="J4235" s="113" t="n"/>
      <c r="K4235" s="113" t="n"/>
      <c r="L4235" s="113" t="n"/>
      <c r="M4235" s="113" t="n"/>
      <c r="N4235" s="113" t="n"/>
      <c r="O4235" s="113" t="n"/>
      <c r="P4235" s="113" t="n"/>
      <c r="Q4235" s="113" t="n"/>
      <c r="R4235" s="113" t="n"/>
      <c r="S4235" s="113" t="n"/>
      <c r="T4235" s="113" t="n"/>
      <c r="U4235" s="113" t="n"/>
      <c r="V4235" s="113" t="n"/>
      <c r="W4235" s="113" t="n"/>
      <c r="X4235" s="113" t="n"/>
      <c r="Y4235" s="113" t="n"/>
      <c r="Z4235" s="117">
        <f>IF($B4235="",0,IF($S4235="EVET",IF($D4235="GELİR",$O4235,-$O4235),0))</f>
        <v/>
      </c>
      <c r="AA4235" s="117">
        <f>IF($B4235="",0,IF(OR($W4235="EVET",$X4235="EVET",$Y4235="EVET"),0,IF($D4235="GELİR",IF($E4235="SATIŞ İADESİ/İSKONTO",-$O4235,$O4235),-$O4235)))</f>
        <v/>
      </c>
      <c r="AB4235" s="117">
        <f>IF($B4235="","",IF(OR($D4235="",$E4235="",$O4235=""),"EKSİK",IF($O4235&lt;=0,"SIFIR/NEGATİF",IF(COUNTIFS($C$6:$C$5000,$C4235,$O$6:$O$5000,$O4235,$B$6:$B$5000,$B4235)&gt;1,"MÜKERRER","OK"))))</f>
        <v/>
      </c>
    </row>
    <row r="4236" ht="16.5" customHeight="1" s="80">
      <c r="A4236" s="113" t="n"/>
      <c r="B4236" s="113" t="n"/>
      <c r="C4236" s="113" t="n"/>
      <c r="D4236" s="113" t="n"/>
      <c r="E4236" s="113" t="n"/>
      <c r="F4236" s="113" t="n"/>
      <c r="G4236" s="113" t="n"/>
      <c r="H4236" s="113" t="n"/>
      <c r="I4236" s="113" t="n"/>
      <c r="J4236" s="113" t="n"/>
      <c r="K4236" s="113" t="n"/>
      <c r="L4236" s="113" t="n"/>
      <c r="M4236" s="113" t="n"/>
      <c r="N4236" s="113" t="n"/>
      <c r="O4236" s="113" t="n"/>
      <c r="P4236" s="113" t="n"/>
      <c r="Q4236" s="113" t="n"/>
      <c r="R4236" s="113" t="n"/>
      <c r="S4236" s="113" t="n"/>
      <c r="T4236" s="113" t="n"/>
      <c r="U4236" s="113" t="n"/>
      <c r="V4236" s="113" t="n"/>
      <c r="W4236" s="113" t="n"/>
      <c r="X4236" s="113" t="n"/>
      <c r="Y4236" s="113" t="n"/>
      <c r="Z4236" s="117">
        <f>IF($B4236="",0,IF($S4236="EVET",IF($D4236="GELİR",$O4236,-$O4236),0))</f>
        <v/>
      </c>
      <c r="AA4236" s="117">
        <f>IF($B4236="",0,IF(OR($W4236="EVET",$X4236="EVET",$Y4236="EVET"),0,IF($D4236="GELİR",IF($E4236="SATIŞ İADESİ/İSKONTO",-$O4236,$O4236),-$O4236)))</f>
        <v/>
      </c>
      <c r="AB4236" s="117">
        <f>IF($B4236="","",IF(OR($D4236="",$E4236="",$O4236=""),"EKSİK",IF($O4236&lt;=0,"SIFIR/NEGATİF",IF(COUNTIFS($C$6:$C$5000,$C4236,$O$6:$O$5000,$O4236,$B$6:$B$5000,$B4236)&gt;1,"MÜKERRER","OK"))))</f>
        <v/>
      </c>
    </row>
    <row r="4237" ht="16.5" customHeight="1" s="80">
      <c r="A4237" s="113" t="n"/>
      <c r="B4237" s="113" t="n"/>
      <c r="C4237" s="113" t="n"/>
      <c r="D4237" s="113" t="n"/>
      <c r="E4237" s="113" t="n"/>
      <c r="F4237" s="113" t="n"/>
      <c r="G4237" s="113" t="n"/>
      <c r="H4237" s="113" t="n"/>
      <c r="I4237" s="113" t="n"/>
      <c r="J4237" s="113" t="n"/>
      <c r="K4237" s="113" t="n"/>
      <c r="L4237" s="113" t="n"/>
      <c r="M4237" s="113" t="n"/>
      <c r="N4237" s="113" t="n"/>
      <c r="O4237" s="113" t="n"/>
      <c r="P4237" s="113" t="n"/>
      <c r="Q4237" s="113" t="n"/>
      <c r="R4237" s="113" t="n"/>
      <c r="S4237" s="113" t="n"/>
      <c r="T4237" s="113" t="n"/>
      <c r="U4237" s="113" t="n"/>
      <c r="V4237" s="113" t="n"/>
      <c r="W4237" s="113" t="n"/>
      <c r="X4237" s="113" t="n"/>
      <c r="Y4237" s="113" t="n"/>
      <c r="Z4237" s="117">
        <f>IF($B4237="",0,IF($S4237="EVET",IF($D4237="GELİR",$O4237,-$O4237),0))</f>
        <v/>
      </c>
      <c r="AA4237" s="117">
        <f>IF($B4237="",0,IF(OR($W4237="EVET",$X4237="EVET",$Y4237="EVET"),0,IF($D4237="GELİR",IF($E4237="SATIŞ İADESİ/İSKONTO",-$O4237,$O4237),-$O4237)))</f>
        <v/>
      </c>
      <c r="AB4237" s="117">
        <f>IF($B4237="","",IF(OR($D4237="",$E4237="",$O4237=""),"EKSİK",IF($O4237&lt;=0,"SIFIR/NEGATİF",IF(COUNTIFS($C$6:$C$5000,$C4237,$O$6:$O$5000,$O4237,$B$6:$B$5000,$B4237)&gt;1,"MÜKERRER","OK"))))</f>
        <v/>
      </c>
    </row>
    <row r="4238" ht="16.5" customHeight="1" s="80">
      <c r="A4238" s="113" t="n"/>
      <c r="B4238" s="113" t="n"/>
      <c r="C4238" s="113" t="n"/>
      <c r="D4238" s="113" t="n"/>
      <c r="E4238" s="113" t="n"/>
      <c r="F4238" s="113" t="n"/>
      <c r="G4238" s="113" t="n"/>
      <c r="H4238" s="113" t="n"/>
      <c r="I4238" s="113" t="n"/>
      <c r="J4238" s="113" t="n"/>
      <c r="K4238" s="113" t="n"/>
      <c r="L4238" s="113" t="n"/>
      <c r="M4238" s="113" t="n"/>
      <c r="N4238" s="113" t="n"/>
      <c r="O4238" s="113" t="n"/>
      <c r="P4238" s="113" t="n"/>
      <c r="Q4238" s="113" t="n"/>
      <c r="R4238" s="113" t="n"/>
      <c r="S4238" s="113" t="n"/>
      <c r="T4238" s="113" t="n"/>
      <c r="U4238" s="113" t="n"/>
      <c r="V4238" s="113" t="n"/>
      <c r="W4238" s="113" t="n"/>
      <c r="X4238" s="113" t="n"/>
      <c r="Y4238" s="113" t="n"/>
      <c r="Z4238" s="117">
        <f>IF($B4238="",0,IF($S4238="EVET",IF($D4238="GELİR",$O4238,-$O4238),0))</f>
        <v/>
      </c>
      <c r="AA4238" s="117">
        <f>IF($B4238="",0,IF(OR($W4238="EVET",$X4238="EVET",$Y4238="EVET"),0,IF($D4238="GELİR",IF($E4238="SATIŞ İADESİ/İSKONTO",-$O4238,$O4238),-$O4238)))</f>
        <v/>
      </c>
      <c r="AB4238" s="117">
        <f>IF($B4238="","",IF(OR($D4238="",$E4238="",$O4238=""),"EKSİK",IF($O4238&lt;=0,"SIFIR/NEGATİF",IF(COUNTIFS($C$6:$C$5000,$C4238,$O$6:$O$5000,$O4238,$B$6:$B$5000,$B4238)&gt;1,"MÜKERRER","OK"))))</f>
        <v/>
      </c>
    </row>
    <row r="4239" ht="16.5" customHeight="1" s="80">
      <c r="A4239" s="113" t="n"/>
      <c r="B4239" s="113" t="n"/>
      <c r="C4239" s="113" t="n"/>
      <c r="D4239" s="113" t="n"/>
      <c r="E4239" s="113" t="n"/>
      <c r="F4239" s="113" t="n"/>
      <c r="G4239" s="113" t="n"/>
      <c r="H4239" s="113" t="n"/>
      <c r="I4239" s="113" t="n"/>
      <c r="J4239" s="113" t="n"/>
      <c r="K4239" s="113" t="n"/>
      <c r="L4239" s="113" t="n"/>
      <c r="M4239" s="113" t="n"/>
      <c r="N4239" s="113" t="n"/>
      <c r="O4239" s="113" t="n"/>
      <c r="P4239" s="113" t="n"/>
      <c r="Q4239" s="113" t="n"/>
      <c r="R4239" s="113" t="n"/>
      <c r="S4239" s="113" t="n"/>
      <c r="T4239" s="113" t="n"/>
      <c r="U4239" s="113" t="n"/>
      <c r="V4239" s="113" t="n"/>
      <c r="W4239" s="113" t="n"/>
      <c r="X4239" s="113" t="n"/>
      <c r="Y4239" s="113" t="n"/>
      <c r="Z4239" s="117">
        <f>IF($B4239="",0,IF($S4239="EVET",IF($D4239="GELİR",$O4239,-$O4239),0))</f>
        <v/>
      </c>
      <c r="AA4239" s="117">
        <f>IF($B4239="",0,IF(OR($W4239="EVET",$X4239="EVET",$Y4239="EVET"),0,IF($D4239="GELİR",IF($E4239="SATIŞ İADESİ/İSKONTO",-$O4239,$O4239),-$O4239)))</f>
        <v/>
      </c>
      <c r="AB4239" s="117">
        <f>IF($B4239="","",IF(OR($D4239="",$E4239="",$O4239=""),"EKSİK",IF($O4239&lt;=0,"SIFIR/NEGATİF",IF(COUNTIFS($C$6:$C$5000,$C4239,$O$6:$O$5000,$O4239,$B$6:$B$5000,$B4239)&gt;1,"MÜKERRER","OK"))))</f>
        <v/>
      </c>
    </row>
    <row r="4240" ht="16.5" customHeight="1" s="80">
      <c r="A4240" s="113" t="n"/>
      <c r="B4240" s="113" t="n"/>
      <c r="C4240" s="113" t="n"/>
      <c r="D4240" s="113" t="n"/>
      <c r="E4240" s="113" t="n"/>
      <c r="F4240" s="113" t="n"/>
      <c r="G4240" s="113" t="n"/>
      <c r="H4240" s="113" t="n"/>
      <c r="I4240" s="113" t="n"/>
      <c r="J4240" s="113" t="n"/>
      <c r="K4240" s="113" t="n"/>
      <c r="L4240" s="113" t="n"/>
      <c r="M4240" s="113" t="n"/>
      <c r="N4240" s="113" t="n"/>
      <c r="O4240" s="113" t="n"/>
      <c r="P4240" s="113" t="n"/>
      <c r="Q4240" s="113" t="n"/>
      <c r="R4240" s="113" t="n"/>
      <c r="S4240" s="113" t="n"/>
      <c r="T4240" s="113" t="n"/>
      <c r="U4240" s="113" t="n"/>
      <c r="V4240" s="113" t="n"/>
      <c r="W4240" s="113" t="n"/>
      <c r="X4240" s="113" t="n"/>
      <c r="Y4240" s="113" t="n"/>
      <c r="Z4240" s="117">
        <f>IF($B4240="",0,IF($S4240="EVET",IF($D4240="GELİR",$O4240,-$O4240),0))</f>
        <v/>
      </c>
      <c r="AA4240" s="117">
        <f>IF($B4240="",0,IF(OR($W4240="EVET",$X4240="EVET",$Y4240="EVET"),0,IF($D4240="GELİR",IF($E4240="SATIŞ İADESİ/İSKONTO",-$O4240,$O4240),-$O4240)))</f>
        <v/>
      </c>
      <c r="AB4240" s="117">
        <f>IF($B4240="","",IF(OR($D4240="",$E4240="",$O4240=""),"EKSİK",IF($O4240&lt;=0,"SIFIR/NEGATİF",IF(COUNTIFS($C$6:$C$5000,$C4240,$O$6:$O$5000,$O4240,$B$6:$B$5000,$B4240)&gt;1,"MÜKERRER","OK"))))</f>
        <v/>
      </c>
    </row>
    <row r="4241" ht="16.5" customHeight="1" s="80">
      <c r="A4241" s="113" t="n"/>
      <c r="B4241" s="113" t="n"/>
      <c r="C4241" s="113" t="n"/>
      <c r="D4241" s="113" t="n"/>
      <c r="E4241" s="113" t="n"/>
      <c r="F4241" s="113" t="n"/>
      <c r="G4241" s="113" t="n"/>
      <c r="H4241" s="113" t="n"/>
      <c r="I4241" s="113" t="n"/>
      <c r="J4241" s="113" t="n"/>
      <c r="K4241" s="113" t="n"/>
      <c r="L4241" s="113" t="n"/>
      <c r="M4241" s="113" t="n"/>
      <c r="N4241" s="113" t="n"/>
      <c r="O4241" s="113" t="n"/>
      <c r="P4241" s="113" t="n"/>
      <c r="Q4241" s="113" t="n"/>
      <c r="R4241" s="113" t="n"/>
      <c r="S4241" s="113" t="n"/>
      <c r="T4241" s="113" t="n"/>
      <c r="U4241" s="113" t="n"/>
      <c r="V4241" s="113" t="n"/>
      <c r="W4241" s="113" t="n"/>
      <c r="X4241" s="113" t="n"/>
      <c r="Y4241" s="113" t="n"/>
      <c r="Z4241" s="117">
        <f>IF($B4241="",0,IF($S4241="EVET",IF($D4241="GELİR",$O4241,-$O4241),0))</f>
        <v/>
      </c>
      <c r="AA4241" s="117">
        <f>IF($B4241="",0,IF(OR($W4241="EVET",$X4241="EVET",$Y4241="EVET"),0,IF($D4241="GELİR",IF($E4241="SATIŞ İADESİ/İSKONTO",-$O4241,$O4241),-$O4241)))</f>
        <v/>
      </c>
      <c r="AB4241" s="117">
        <f>IF($B4241="","",IF(OR($D4241="",$E4241="",$O4241=""),"EKSİK",IF($O4241&lt;=0,"SIFIR/NEGATİF",IF(COUNTIFS($C$6:$C$5000,$C4241,$O$6:$O$5000,$O4241,$B$6:$B$5000,$B4241)&gt;1,"MÜKERRER","OK"))))</f>
        <v/>
      </c>
    </row>
    <row r="4242" ht="16.5" customHeight="1" s="80">
      <c r="A4242" s="113" t="n"/>
      <c r="B4242" s="113" t="n"/>
      <c r="C4242" s="113" t="n"/>
      <c r="D4242" s="113" t="n"/>
      <c r="E4242" s="113" t="n"/>
      <c r="F4242" s="113" t="n"/>
      <c r="G4242" s="113" t="n"/>
      <c r="H4242" s="113" t="n"/>
      <c r="I4242" s="113" t="n"/>
      <c r="J4242" s="113" t="n"/>
      <c r="K4242" s="113" t="n"/>
      <c r="L4242" s="113" t="n"/>
      <c r="M4242" s="113" t="n"/>
      <c r="N4242" s="113" t="n"/>
      <c r="O4242" s="113" t="n"/>
      <c r="P4242" s="113" t="n"/>
      <c r="Q4242" s="113" t="n"/>
      <c r="R4242" s="113" t="n"/>
      <c r="S4242" s="113" t="n"/>
      <c r="T4242" s="113" t="n"/>
      <c r="U4242" s="113" t="n"/>
      <c r="V4242" s="113" t="n"/>
      <c r="W4242" s="113" t="n"/>
      <c r="X4242" s="113" t="n"/>
      <c r="Y4242" s="113" t="n"/>
      <c r="Z4242" s="117">
        <f>IF($B4242="",0,IF($S4242="EVET",IF($D4242="GELİR",$O4242,-$O4242),0))</f>
        <v/>
      </c>
      <c r="AA4242" s="117">
        <f>IF($B4242="",0,IF(OR($W4242="EVET",$X4242="EVET",$Y4242="EVET"),0,IF($D4242="GELİR",IF($E4242="SATIŞ İADESİ/İSKONTO",-$O4242,$O4242),-$O4242)))</f>
        <v/>
      </c>
      <c r="AB4242" s="117">
        <f>IF($B4242="","",IF(OR($D4242="",$E4242="",$O4242=""),"EKSİK",IF($O4242&lt;=0,"SIFIR/NEGATİF",IF(COUNTIFS($C$6:$C$5000,$C4242,$O$6:$O$5000,$O4242,$B$6:$B$5000,$B4242)&gt;1,"MÜKERRER","OK"))))</f>
        <v/>
      </c>
    </row>
    <row r="4243" ht="16.5" customHeight="1" s="80">
      <c r="A4243" s="113" t="n"/>
      <c r="B4243" s="113" t="n"/>
      <c r="C4243" s="113" t="n"/>
      <c r="D4243" s="113" t="n"/>
      <c r="E4243" s="113" t="n"/>
      <c r="F4243" s="113" t="n"/>
      <c r="G4243" s="113" t="n"/>
      <c r="H4243" s="113" t="n"/>
      <c r="I4243" s="113" t="n"/>
      <c r="J4243" s="113" t="n"/>
      <c r="K4243" s="113" t="n"/>
      <c r="L4243" s="113" t="n"/>
      <c r="M4243" s="113" t="n"/>
      <c r="N4243" s="113" t="n"/>
      <c r="O4243" s="113" t="n"/>
      <c r="P4243" s="113" t="n"/>
      <c r="Q4243" s="113" t="n"/>
      <c r="R4243" s="113" t="n"/>
      <c r="S4243" s="113" t="n"/>
      <c r="T4243" s="113" t="n"/>
      <c r="U4243" s="113" t="n"/>
      <c r="V4243" s="113" t="n"/>
      <c r="W4243" s="113" t="n"/>
      <c r="X4243" s="113" t="n"/>
      <c r="Y4243" s="113" t="n"/>
      <c r="Z4243" s="117">
        <f>IF($B4243="",0,IF($S4243="EVET",IF($D4243="GELİR",$O4243,-$O4243),0))</f>
        <v/>
      </c>
      <c r="AA4243" s="117">
        <f>IF($B4243="",0,IF(OR($W4243="EVET",$X4243="EVET",$Y4243="EVET"),0,IF($D4243="GELİR",IF($E4243="SATIŞ İADESİ/İSKONTO",-$O4243,$O4243),-$O4243)))</f>
        <v/>
      </c>
      <c r="AB4243" s="117">
        <f>IF($B4243="","",IF(OR($D4243="",$E4243="",$O4243=""),"EKSİK",IF($O4243&lt;=0,"SIFIR/NEGATİF",IF(COUNTIFS($C$6:$C$5000,$C4243,$O$6:$O$5000,$O4243,$B$6:$B$5000,$B4243)&gt;1,"MÜKERRER","OK"))))</f>
        <v/>
      </c>
    </row>
    <row r="4244" ht="16.5" customHeight="1" s="80">
      <c r="A4244" s="113" t="n"/>
      <c r="B4244" s="113" t="n"/>
      <c r="C4244" s="113" t="n"/>
      <c r="D4244" s="113" t="n"/>
      <c r="E4244" s="113" t="n"/>
      <c r="F4244" s="113" t="n"/>
      <c r="G4244" s="113" t="n"/>
      <c r="H4244" s="113" t="n"/>
      <c r="I4244" s="113" t="n"/>
      <c r="J4244" s="113" t="n"/>
      <c r="K4244" s="113" t="n"/>
      <c r="L4244" s="113" t="n"/>
      <c r="M4244" s="113" t="n"/>
      <c r="N4244" s="113" t="n"/>
      <c r="O4244" s="113" t="n"/>
      <c r="P4244" s="113" t="n"/>
      <c r="Q4244" s="113" t="n"/>
      <c r="R4244" s="113" t="n"/>
      <c r="S4244" s="113" t="n"/>
      <c r="T4244" s="113" t="n"/>
      <c r="U4244" s="113" t="n"/>
      <c r="V4244" s="113" t="n"/>
      <c r="W4244" s="113" t="n"/>
      <c r="X4244" s="113" t="n"/>
      <c r="Y4244" s="113" t="n"/>
      <c r="Z4244" s="117">
        <f>IF($B4244="",0,IF($S4244="EVET",IF($D4244="GELİR",$O4244,-$O4244),0))</f>
        <v/>
      </c>
      <c r="AA4244" s="117">
        <f>IF($B4244="",0,IF(OR($W4244="EVET",$X4244="EVET",$Y4244="EVET"),0,IF($D4244="GELİR",IF($E4244="SATIŞ İADESİ/İSKONTO",-$O4244,$O4244),-$O4244)))</f>
        <v/>
      </c>
      <c r="AB4244" s="117">
        <f>IF($B4244="","",IF(OR($D4244="",$E4244="",$O4244=""),"EKSİK",IF($O4244&lt;=0,"SIFIR/NEGATİF",IF(COUNTIFS($C$6:$C$5000,$C4244,$O$6:$O$5000,$O4244,$B$6:$B$5000,$B4244)&gt;1,"MÜKERRER","OK"))))</f>
        <v/>
      </c>
    </row>
    <row r="4245" ht="16.5" customHeight="1" s="80">
      <c r="A4245" s="113" t="n"/>
      <c r="B4245" s="113" t="n"/>
      <c r="C4245" s="113" t="n"/>
      <c r="D4245" s="113" t="n"/>
      <c r="E4245" s="113" t="n"/>
      <c r="F4245" s="113" t="n"/>
      <c r="G4245" s="113" t="n"/>
      <c r="H4245" s="113" t="n"/>
      <c r="I4245" s="113" t="n"/>
      <c r="J4245" s="113" t="n"/>
      <c r="K4245" s="113" t="n"/>
      <c r="L4245" s="113" t="n"/>
      <c r="M4245" s="113" t="n"/>
      <c r="N4245" s="113" t="n"/>
      <c r="O4245" s="113" t="n"/>
      <c r="P4245" s="113" t="n"/>
      <c r="Q4245" s="113" t="n"/>
      <c r="R4245" s="113" t="n"/>
      <c r="S4245" s="113" t="n"/>
      <c r="T4245" s="113" t="n"/>
      <c r="U4245" s="113" t="n"/>
      <c r="V4245" s="113" t="n"/>
      <c r="W4245" s="113" t="n"/>
      <c r="X4245" s="113" t="n"/>
      <c r="Y4245" s="113" t="n"/>
      <c r="Z4245" s="117">
        <f>IF($B4245="",0,IF($S4245="EVET",IF($D4245="GELİR",$O4245,-$O4245),0))</f>
        <v/>
      </c>
      <c r="AA4245" s="117">
        <f>IF($B4245="",0,IF(OR($W4245="EVET",$X4245="EVET",$Y4245="EVET"),0,IF($D4245="GELİR",IF($E4245="SATIŞ İADESİ/İSKONTO",-$O4245,$O4245),-$O4245)))</f>
        <v/>
      </c>
      <c r="AB4245" s="117">
        <f>IF($B4245="","",IF(OR($D4245="",$E4245="",$O4245=""),"EKSİK",IF($O4245&lt;=0,"SIFIR/NEGATİF",IF(COUNTIFS($C$6:$C$5000,$C4245,$O$6:$O$5000,$O4245,$B$6:$B$5000,$B4245)&gt;1,"MÜKERRER","OK"))))</f>
        <v/>
      </c>
    </row>
    <row r="4246" ht="16.5" customHeight="1" s="80">
      <c r="A4246" s="113" t="n"/>
      <c r="B4246" s="113" t="n"/>
      <c r="C4246" s="113" t="n"/>
      <c r="D4246" s="113" t="n"/>
      <c r="E4246" s="113" t="n"/>
      <c r="F4246" s="113" t="n"/>
      <c r="G4246" s="113" t="n"/>
      <c r="H4246" s="113" t="n"/>
      <c r="I4246" s="113" t="n"/>
      <c r="J4246" s="113" t="n"/>
      <c r="K4246" s="113" t="n"/>
      <c r="L4246" s="113" t="n"/>
      <c r="M4246" s="113" t="n"/>
      <c r="N4246" s="113" t="n"/>
      <c r="O4246" s="113" t="n"/>
      <c r="P4246" s="113" t="n"/>
      <c r="Q4246" s="113" t="n"/>
      <c r="R4246" s="113" t="n"/>
      <c r="S4246" s="113" t="n"/>
      <c r="T4246" s="113" t="n"/>
      <c r="U4246" s="113" t="n"/>
      <c r="V4246" s="113" t="n"/>
      <c r="W4246" s="113" t="n"/>
      <c r="X4246" s="113" t="n"/>
      <c r="Y4246" s="113" t="n"/>
      <c r="Z4246" s="117">
        <f>IF($B4246="",0,IF($S4246="EVET",IF($D4246="GELİR",$O4246,-$O4246),0))</f>
        <v/>
      </c>
      <c r="AA4246" s="117">
        <f>IF($B4246="",0,IF(OR($W4246="EVET",$X4246="EVET",$Y4246="EVET"),0,IF($D4246="GELİR",IF($E4246="SATIŞ İADESİ/İSKONTO",-$O4246,$O4246),-$O4246)))</f>
        <v/>
      </c>
      <c r="AB4246" s="117">
        <f>IF($B4246="","",IF(OR($D4246="",$E4246="",$O4246=""),"EKSİK",IF($O4246&lt;=0,"SIFIR/NEGATİF",IF(COUNTIFS($C$6:$C$5000,$C4246,$O$6:$O$5000,$O4246,$B$6:$B$5000,$B4246)&gt;1,"MÜKERRER","OK"))))</f>
        <v/>
      </c>
    </row>
    <row r="4247" ht="16.5" customHeight="1" s="80">
      <c r="A4247" s="113" t="n"/>
      <c r="B4247" s="113" t="n"/>
      <c r="C4247" s="113" t="n"/>
      <c r="D4247" s="113" t="n"/>
      <c r="E4247" s="113" t="n"/>
      <c r="F4247" s="113" t="n"/>
      <c r="G4247" s="113" t="n"/>
      <c r="H4247" s="113" t="n"/>
      <c r="I4247" s="113" t="n"/>
      <c r="J4247" s="113" t="n"/>
      <c r="K4247" s="113" t="n"/>
      <c r="L4247" s="113" t="n"/>
      <c r="M4247" s="113" t="n"/>
      <c r="N4247" s="113" t="n"/>
      <c r="O4247" s="113" t="n"/>
      <c r="P4247" s="113" t="n"/>
      <c r="Q4247" s="113" t="n"/>
      <c r="R4247" s="113" t="n"/>
      <c r="S4247" s="113" t="n"/>
      <c r="T4247" s="113" t="n"/>
      <c r="U4247" s="113" t="n"/>
      <c r="V4247" s="113" t="n"/>
      <c r="W4247" s="113" t="n"/>
      <c r="X4247" s="113" t="n"/>
      <c r="Y4247" s="113" t="n"/>
      <c r="Z4247" s="117">
        <f>IF($B4247="",0,IF($S4247="EVET",IF($D4247="GELİR",$O4247,-$O4247),0))</f>
        <v/>
      </c>
      <c r="AA4247" s="117">
        <f>IF($B4247="",0,IF(OR($W4247="EVET",$X4247="EVET",$Y4247="EVET"),0,IF($D4247="GELİR",IF($E4247="SATIŞ İADESİ/İSKONTO",-$O4247,$O4247),-$O4247)))</f>
        <v/>
      </c>
      <c r="AB4247" s="117">
        <f>IF($B4247="","",IF(OR($D4247="",$E4247="",$O4247=""),"EKSİK",IF($O4247&lt;=0,"SIFIR/NEGATİF",IF(COUNTIFS($C$6:$C$5000,$C4247,$O$6:$O$5000,$O4247,$B$6:$B$5000,$B4247)&gt;1,"MÜKERRER","OK"))))</f>
        <v/>
      </c>
    </row>
    <row r="4248" ht="16.5" customHeight="1" s="80">
      <c r="A4248" s="113" t="n"/>
      <c r="B4248" s="113" t="n"/>
      <c r="C4248" s="113" t="n"/>
      <c r="D4248" s="113" t="n"/>
      <c r="E4248" s="113" t="n"/>
      <c r="F4248" s="113" t="n"/>
      <c r="G4248" s="113" t="n"/>
      <c r="H4248" s="113" t="n"/>
      <c r="I4248" s="113" t="n"/>
      <c r="J4248" s="113" t="n"/>
      <c r="K4248" s="113" t="n"/>
      <c r="L4248" s="113" t="n"/>
      <c r="M4248" s="113" t="n"/>
      <c r="N4248" s="113" t="n"/>
      <c r="O4248" s="113" t="n"/>
      <c r="P4248" s="113" t="n"/>
      <c r="Q4248" s="113" t="n"/>
      <c r="R4248" s="113" t="n"/>
      <c r="S4248" s="113" t="n"/>
      <c r="T4248" s="113" t="n"/>
      <c r="U4248" s="113" t="n"/>
      <c r="V4248" s="113" t="n"/>
      <c r="W4248" s="113" t="n"/>
      <c r="X4248" s="113" t="n"/>
      <c r="Y4248" s="113" t="n"/>
      <c r="Z4248" s="117">
        <f>IF($B4248="",0,IF($S4248="EVET",IF($D4248="GELİR",$O4248,-$O4248),0))</f>
        <v/>
      </c>
      <c r="AA4248" s="117">
        <f>IF($B4248="",0,IF(OR($W4248="EVET",$X4248="EVET",$Y4248="EVET"),0,IF($D4248="GELİR",IF($E4248="SATIŞ İADESİ/İSKONTO",-$O4248,$O4248),-$O4248)))</f>
        <v/>
      </c>
      <c r="AB4248" s="117">
        <f>IF($B4248="","",IF(OR($D4248="",$E4248="",$O4248=""),"EKSİK",IF($O4248&lt;=0,"SIFIR/NEGATİF",IF(COUNTIFS($C$6:$C$5000,$C4248,$O$6:$O$5000,$O4248,$B$6:$B$5000,$B4248)&gt;1,"MÜKERRER","OK"))))</f>
        <v/>
      </c>
    </row>
    <row r="4249" ht="16.5" customHeight="1" s="80">
      <c r="A4249" s="113" t="n"/>
      <c r="B4249" s="113" t="n"/>
      <c r="C4249" s="113" t="n"/>
      <c r="D4249" s="113" t="n"/>
      <c r="E4249" s="113" t="n"/>
      <c r="F4249" s="113" t="n"/>
      <c r="G4249" s="113" t="n"/>
      <c r="H4249" s="113" t="n"/>
      <c r="I4249" s="113" t="n"/>
      <c r="J4249" s="113" t="n"/>
      <c r="K4249" s="113" t="n"/>
      <c r="L4249" s="113" t="n"/>
      <c r="M4249" s="113" t="n"/>
      <c r="N4249" s="113" t="n"/>
      <c r="O4249" s="113" t="n"/>
      <c r="P4249" s="113" t="n"/>
      <c r="Q4249" s="113" t="n"/>
      <c r="R4249" s="113" t="n"/>
      <c r="S4249" s="113" t="n"/>
      <c r="T4249" s="113" t="n"/>
      <c r="U4249" s="113" t="n"/>
      <c r="V4249" s="113" t="n"/>
      <c r="W4249" s="113" t="n"/>
      <c r="X4249" s="113" t="n"/>
      <c r="Y4249" s="113" t="n"/>
      <c r="Z4249" s="117">
        <f>IF($B4249="",0,IF($S4249="EVET",IF($D4249="GELİR",$O4249,-$O4249),0))</f>
        <v/>
      </c>
      <c r="AA4249" s="117">
        <f>IF($B4249="",0,IF(OR($W4249="EVET",$X4249="EVET",$Y4249="EVET"),0,IF($D4249="GELİR",IF($E4249="SATIŞ İADESİ/İSKONTO",-$O4249,$O4249),-$O4249)))</f>
        <v/>
      </c>
      <c r="AB4249" s="117">
        <f>IF($B4249="","",IF(OR($D4249="",$E4249="",$O4249=""),"EKSİK",IF($O4249&lt;=0,"SIFIR/NEGATİF",IF(COUNTIFS($C$6:$C$5000,$C4249,$O$6:$O$5000,$O4249,$B$6:$B$5000,$B4249)&gt;1,"MÜKERRER","OK"))))</f>
        <v/>
      </c>
    </row>
    <row r="4250" ht="16.5" customHeight="1" s="80">
      <c r="A4250" s="113" t="n"/>
      <c r="B4250" s="113" t="n"/>
      <c r="C4250" s="113" t="n"/>
      <c r="D4250" s="113" t="n"/>
      <c r="E4250" s="113" t="n"/>
      <c r="F4250" s="113" t="n"/>
      <c r="G4250" s="113" t="n"/>
      <c r="H4250" s="113" t="n"/>
      <c r="I4250" s="113" t="n"/>
      <c r="J4250" s="113" t="n"/>
      <c r="K4250" s="113" t="n"/>
      <c r="L4250" s="113" t="n"/>
      <c r="M4250" s="113" t="n"/>
      <c r="N4250" s="113" t="n"/>
      <c r="O4250" s="113" t="n"/>
      <c r="P4250" s="113" t="n"/>
      <c r="Q4250" s="113" t="n"/>
      <c r="R4250" s="113" t="n"/>
      <c r="S4250" s="113" t="n"/>
      <c r="T4250" s="113" t="n"/>
      <c r="U4250" s="113" t="n"/>
      <c r="V4250" s="113" t="n"/>
      <c r="W4250" s="113" t="n"/>
      <c r="X4250" s="113" t="n"/>
      <c r="Y4250" s="113" t="n"/>
      <c r="Z4250" s="117">
        <f>IF($B4250="",0,IF($S4250="EVET",IF($D4250="GELİR",$O4250,-$O4250),0))</f>
        <v/>
      </c>
      <c r="AA4250" s="117">
        <f>IF($B4250="",0,IF(OR($W4250="EVET",$X4250="EVET",$Y4250="EVET"),0,IF($D4250="GELİR",IF($E4250="SATIŞ İADESİ/İSKONTO",-$O4250,$O4250),-$O4250)))</f>
        <v/>
      </c>
      <c r="AB4250" s="117">
        <f>IF($B4250="","",IF(OR($D4250="",$E4250="",$O4250=""),"EKSİK",IF($O4250&lt;=0,"SIFIR/NEGATİF",IF(COUNTIFS($C$6:$C$5000,$C4250,$O$6:$O$5000,$O4250,$B$6:$B$5000,$B4250)&gt;1,"MÜKERRER","OK"))))</f>
        <v/>
      </c>
    </row>
    <row r="4251" ht="16.5" customHeight="1" s="80">
      <c r="A4251" s="113" t="n"/>
      <c r="B4251" s="113" t="n"/>
      <c r="C4251" s="113" t="n"/>
      <c r="D4251" s="113" t="n"/>
      <c r="E4251" s="113" t="n"/>
      <c r="F4251" s="113" t="n"/>
      <c r="G4251" s="113" t="n"/>
      <c r="H4251" s="113" t="n"/>
      <c r="I4251" s="113" t="n"/>
      <c r="J4251" s="113" t="n"/>
      <c r="K4251" s="113" t="n"/>
      <c r="L4251" s="113" t="n"/>
      <c r="M4251" s="113" t="n"/>
      <c r="N4251" s="113" t="n"/>
      <c r="O4251" s="113" t="n"/>
      <c r="P4251" s="113" t="n"/>
      <c r="Q4251" s="113" t="n"/>
      <c r="R4251" s="113" t="n"/>
      <c r="S4251" s="113" t="n"/>
      <c r="T4251" s="113" t="n"/>
      <c r="U4251" s="113" t="n"/>
      <c r="V4251" s="113" t="n"/>
      <c r="W4251" s="113" t="n"/>
      <c r="X4251" s="113" t="n"/>
      <c r="Y4251" s="113" t="n"/>
      <c r="Z4251" s="117">
        <f>IF($B4251="",0,IF($S4251="EVET",IF($D4251="GELİR",$O4251,-$O4251),0))</f>
        <v/>
      </c>
      <c r="AA4251" s="117">
        <f>IF($B4251="",0,IF(OR($W4251="EVET",$X4251="EVET",$Y4251="EVET"),0,IF($D4251="GELİR",IF($E4251="SATIŞ İADESİ/İSKONTO",-$O4251,$O4251),-$O4251)))</f>
        <v/>
      </c>
      <c r="AB4251" s="117">
        <f>IF($B4251="","",IF(OR($D4251="",$E4251="",$O4251=""),"EKSİK",IF($O4251&lt;=0,"SIFIR/NEGATİF",IF(COUNTIFS($C$6:$C$5000,$C4251,$O$6:$O$5000,$O4251,$B$6:$B$5000,$B4251)&gt;1,"MÜKERRER","OK"))))</f>
        <v/>
      </c>
    </row>
    <row r="4252" ht="16.5" customHeight="1" s="80">
      <c r="A4252" s="113" t="n"/>
      <c r="B4252" s="113" t="n"/>
      <c r="C4252" s="113" t="n"/>
      <c r="D4252" s="113" t="n"/>
      <c r="E4252" s="113" t="n"/>
      <c r="F4252" s="113" t="n"/>
      <c r="G4252" s="113" t="n"/>
      <c r="H4252" s="113" t="n"/>
      <c r="I4252" s="113" t="n"/>
      <c r="J4252" s="113" t="n"/>
      <c r="K4252" s="113" t="n"/>
      <c r="L4252" s="113" t="n"/>
      <c r="M4252" s="113" t="n"/>
      <c r="N4252" s="113" t="n"/>
      <c r="O4252" s="113" t="n"/>
      <c r="P4252" s="113" t="n"/>
      <c r="Q4252" s="113" t="n"/>
      <c r="R4252" s="113" t="n"/>
      <c r="S4252" s="113" t="n"/>
      <c r="T4252" s="113" t="n"/>
      <c r="U4252" s="113" t="n"/>
      <c r="V4252" s="113" t="n"/>
      <c r="W4252" s="113" t="n"/>
      <c r="X4252" s="113" t="n"/>
      <c r="Y4252" s="113" t="n"/>
      <c r="Z4252" s="117">
        <f>IF($B4252="",0,IF($S4252="EVET",IF($D4252="GELİR",$O4252,-$O4252),0))</f>
        <v/>
      </c>
      <c r="AA4252" s="117">
        <f>IF($B4252="",0,IF(OR($W4252="EVET",$X4252="EVET",$Y4252="EVET"),0,IF($D4252="GELİR",IF($E4252="SATIŞ İADESİ/İSKONTO",-$O4252,$O4252),-$O4252)))</f>
        <v/>
      </c>
      <c r="AB4252" s="117">
        <f>IF($B4252="","",IF(OR($D4252="",$E4252="",$O4252=""),"EKSİK",IF($O4252&lt;=0,"SIFIR/NEGATİF",IF(COUNTIFS($C$6:$C$5000,$C4252,$O$6:$O$5000,$O4252,$B$6:$B$5000,$B4252)&gt;1,"MÜKERRER","OK"))))</f>
        <v/>
      </c>
    </row>
    <row r="4253" ht="16.5" customHeight="1" s="80">
      <c r="A4253" s="113" t="n"/>
      <c r="B4253" s="113" t="n"/>
      <c r="C4253" s="113" t="n"/>
      <c r="D4253" s="113" t="n"/>
      <c r="E4253" s="113" t="n"/>
      <c r="F4253" s="113" t="n"/>
      <c r="G4253" s="113" t="n"/>
      <c r="H4253" s="113" t="n"/>
      <c r="I4253" s="113" t="n"/>
      <c r="J4253" s="113" t="n"/>
      <c r="K4253" s="113" t="n"/>
      <c r="L4253" s="113" t="n"/>
      <c r="M4253" s="113" t="n"/>
      <c r="N4253" s="113" t="n"/>
      <c r="O4253" s="113" t="n"/>
      <c r="P4253" s="113" t="n"/>
      <c r="Q4253" s="113" t="n"/>
      <c r="R4253" s="113" t="n"/>
      <c r="S4253" s="113" t="n"/>
      <c r="T4253" s="113" t="n"/>
      <c r="U4253" s="113" t="n"/>
      <c r="V4253" s="113" t="n"/>
      <c r="W4253" s="113" t="n"/>
      <c r="X4253" s="113" t="n"/>
      <c r="Y4253" s="113" t="n"/>
      <c r="Z4253" s="117">
        <f>IF($B4253="",0,IF($S4253="EVET",IF($D4253="GELİR",$O4253,-$O4253),0))</f>
        <v/>
      </c>
      <c r="AA4253" s="117">
        <f>IF($B4253="",0,IF(OR($W4253="EVET",$X4253="EVET",$Y4253="EVET"),0,IF($D4253="GELİR",IF($E4253="SATIŞ İADESİ/İSKONTO",-$O4253,$O4253),-$O4253)))</f>
        <v/>
      </c>
      <c r="AB4253" s="117">
        <f>IF($B4253="","",IF(OR($D4253="",$E4253="",$O4253=""),"EKSİK",IF($O4253&lt;=0,"SIFIR/NEGATİF",IF(COUNTIFS($C$6:$C$5000,$C4253,$O$6:$O$5000,$O4253,$B$6:$B$5000,$B4253)&gt;1,"MÜKERRER","OK"))))</f>
        <v/>
      </c>
    </row>
    <row r="4254" ht="16.5" customHeight="1" s="80">
      <c r="A4254" s="113" t="n"/>
      <c r="B4254" s="113" t="n"/>
      <c r="C4254" s="113" t="n"/>
      <c r="D4254" s="113" t="n"/>
      <c r="E4254" s="113" t="n"/>
      <c r="F4254" s="113" t="n"/>
      <c r="G4254" s="113" t="n"/>
      <c r="H4254" s="113" t="n"/>
      <c r="I4254" s="113" t="n"/>
      <c r="J4254" s="113" t="n"/>
      <c r="K4254" s="113" t="n"/>
      <c r="L4254" s="113" t="n"/>
      <c r="M4254" s="113" t="n"/>
      <c r="N4254" s="113" t="n"/>
      <c r="O4254" s="113" t="n"/>
      <c r="P4254" s="113" t="n"/>
      <c r="Q4254" s="113" t="n"/>
      <c r="R4254" s="113" t="n"/>
      <c r="S4254" s="113" t="n"/>
      <c r="T4254" s="113" t="n"/>
      <c r="U4254" s="113" t="n"/>
      <c r="V4254" s="113" t="n"/>
      <c r="W4254" s="113" t="n"/>
      <c r="X4254" s="113" t="n"/>
      <c r="Y4254" s="113" t="n"/>
      <c r="Z4254" s="117">
        <f>IF($B4254="",0,IF($S4254="EVET",IF($D4254="GELİR",$O4254,-$O4254),0))</f>
        <v/>
      </c>
      <c r="AA4254" s="117">
        <f>IF($B4254="",0,IF(OR($W4254="EVET",$X4254="EVET",$Y4254="EVET"),0,IF($D4254="GELİR",IF($E4254="SATIŞ İADESİ/İSKONTO",-$O4254,$O4254),-$O4254)))</f>
        <v/>
      </c>
      <c r="AB4254" s="117">
        <f>IF($B4254="","",IF(OR($D4254="",$E4254="",$O4254=""),"EKSİK",IF($O4254&lt;=0,"SIFIR/NEGATİF",IF(COUNTIFS($C$6:$C$5000,$C4254,$O$6:$O$5000,$O4254,$B$6:$B$5000,$B4254)&gt;1,"MÜKERRER","OK"))))</f>
        <v/>
      </c>
    </row>
    <row r="4255" ht="16.5" customHeight="1" s="80">
      <c r="A4255" s="113" t="n"/>
      <c r="B4255" s="113" t="n"/>
      <c r="C4255" s="113" t="n"/>
      <c r="D4255" s="113" t="n"/>
      <c r="E4255" s="113" t="n"/>
      <c r="F4255" s="113" t="n"/>
      <c r="G4255" s="113" t="n"/>
      <c r="H4255" s="113" t="n"/>
      <c r="I4255" s="113" t="n"/>
      <c r="J4255" s="113" t="n"/>
      <c r="K4255" s="113" t="n"/>
      <c r="L4255" s="113" t="n"/>
      <c r="M4255" s="113" t="n"/>
      <c r="N4255" s="113" t="n"/>
      <c r="O4255" s="113" t="n"/>
      <c r="P4255" s="113" t="n"/>
      <c r="Q4255" s="113" t="n"/>
      <c r="R4255" s="113" t="n"/>
      <c r="S4255" s="113" t="n"/>
      <c r="T4255" s="113" t="n"/>
      <c r="U4255" s="113" t="n"/>
      <c r="V4255" s="113" t="n"/>
      <c r="W4255" s="113" t="n"/>
      <c r="X4255" s="113" t="n"/>
      <c r="Y4255" s="113" t="n"/>
      <c r="Z4255" s="117">
        <f>IF($B4255="",0,IF($S4255="EVET",IF($D4255="GELİR",$O4255,-$O4255),0))</f>
        <v/>
      </c>
      <c r="AA4255" s="117">
        <f>IF($B4255="",0,IF(OR($W4255="EVET",$X4255="EVET",$Y4255="EVET"),0,IF($D4255="GELİR",IF($E4255="SATIŞ İADESİ/İSKONTO",-$O4255,$O4255),-$O4255)))</f>
        <v/>
      </c>
      <c r="AB4255" s="117">
        <f>IF($B4255="","",IF(OR($D4255="",$E4255="",$O4255=""),"EKSİK",IF($O4255&lt;=0,"SIFIR/NEGATİF",IF(COUNTIFS($C$6:$C$5000,$C4255,$O$6:$O$5000,$O4255,$B$6:$B$5000,$B4255)&gt;1,"MÜKERRER","OK"))))</f>
        <v/>
      </c>
    </row>
    <row r="4256" ht="16.5" customHeight="1" s="80">
      <c r="A4256" s="113" t="n"/>
      <c r="B4256" s="113" t="n"/>
      <c r="C4256" s="113" t="n"/>
      <c r="D4256" s="113" t="n"/>
      <c r="E4256" s="113" t="n"/>
      <c r="F4256" s="113" t="n"/>
      <c r="G4256" s="113" t="n"/>
      <c r="H4256" s="113" t="n"/>
      <c r="I4256" s="113" t="n"/>
      <c r="J4256" s="113" t="n"/>
      <c r="K4256" s="113" t="n"/>
      <c r="L4256" s="113" t="n"/>
      <c r="M4256" s="113" t="n"/>
      <c r="N4256" s="113" t="n"/>
      <c r="O4256" s="113" t="n"/>
      <c r="P4256" s="113" t="n"/>
      <c r="Q4256" s="113" t="n"/>
      <c r="R4256" s="113" t="n"/>
      <c r="S4256" s="113" t="n"/>
      <c r="T4256" s="113" t="n"/>
      <c r="U4256" s="113" t="n"/>
      <c r="V4256" s="113" t="n"/>
      <c r="W4256" s="113" t="n"/>
      <c r="X4256" s="113" t="n"/>
      <c r="Y4256" s="113" t="n"/>
      <c r="Z4256" s="117">
        <f>IF($B4256="",0,IF($S4256="EVET",IF($D4256="GELİR",$O4256,-$O4256),0))</f>
        <v/>
      </c>
      <c r="AA4256" s="117">
        <f>IF($B4256="",0,IF(OR($W4256="EVET",$X4256="EVET",$Y4256="EVET"),0,IF($D4256="GELİR",IF($E4256="SATIŞ İADESİ/İSKONTO",-$O4256,$O4256),-$O4256)))</f>
        <v/>
      </c>
      <c r="AB4256" s="117">
        <f>IF($B4256="","",IF(OR($D4256="",$E4256="",$O4256=""),"EKSİK",IF($O4256&lt;=0,"SIFIR/NEGATİF",IF(COUNTIFS($C$6:$C$5000,$C4256,$O$6:$O$5000,$O4256,$B$6:$B$5000,$B4256)&gt;1,"MÜKERRER","OK"))))</f>
        <v/>
      </c>
    </row>
    <row r="4257" ht="16.5" customHeight="1" s="80">
      <c r="A4257" s="113" t="n"/>
      <c r="B4257" s="113" t="n"/>
      <c r="C4257" s="113" t="n"/>
      <c r="D4257" s="113" t="n"/>
      <c r="E4257" s="113" t="n"/>
      <c r="F4257" s="113" t="n"/>
      <c r="G4257" s="113" t="n"/>
      <c r="H4257" s="113" t="n"/>
      <c r="I4257" s="113" t="n"/>
      <c r="J4257" s="113" t="n"/>
      <c r="K4257" s="113" t="n"/>
      <c r="L4257" s="113" t="n"/>
      <c r="M4257" s="113" t="n"/>
      <c r="N4257" s="113" t="n"/>
      <c r="O4257" s="113" t="n"/>
      <c r="P4257" s="113" t="n"/>
      <c r="Q4257" s="113" t="n"/>
      <c r="R4257" s="113" t="n"/>
      <c r="S4257" s="113" t="n"/>
      <c r="T4257" s="113" t="n"/>
      <c r="U4257" s="113" t="n"/>
      <c r="V4257" s="113" t="n"/>
      <c r="W4257" s="113" t="n"/>
      <c r="X4257" s="113" t="n"/>
      <c r="Y4257" s="113" t="n"/>
      <c r="Z4257" s="117">
        <f>IF($B4257="",0,IF($S4257="EVET",IF($D4257="GELİR",$O4257,-$O4257),0))</f>
        <v/>
      </c>
      <c r="AA4257" s="117">
        <f>IF($B4257="",0,IF(OR($W4257="EVET",$X4257="EVET",$Y4257="EVET"),0,IF($D4257="GELİR",IF($E4257="SATIŞ İADESİ/İSKONTO",-$O4257,$O4257),-$O4257)))</f>
        <v/>
      </c>
      <c r="AB4257" s="117">
        <f>IF($B4257="","",IF(OR($D4257="",$E4257="",$O4257=""),"EKSİK",IF($O4257&lt;=0,"SIFIR/NEGATİF",IF(COUNTIFS($C$6:$C$5000,$C4257,$O$6:$O$5000,$O4257,$B$6:$B$5000,$B4257)&gt;1,"MÜKERRER","OK"))))</f>
        <v/>
      </c>
    </row>
    <row r="4258" ht="16.5" customHeight="1" s="80">
      <c r="A4258" s="113" t="n"/>
      <c r="B4258" s="113" t="n"/>
      <c r="C4258" s="113" t="n"/>
      <c r="D4258" s="113" t="n"/>
      <c r="E4258" s="113" t="n"/>
      <c r="F4258" s="113" t="n"/>
      <c r="G4258" s="113" t="n"/>
      <c r="H4258" s="113" t="n"/>
      <c r="I4258" s="113" t="n"/>
      <c r="J4258" s="113" t="n"/>
      <c r="K4258" s="113" t="n"/>
      <c r="L4258" s="113" t="n"/>
      <c r="M4258" s="113" t="n"/>
      <c r="N4258" s="113" t="n"/>
      <c r="O4258" s="113" t="n"/>
      <c r="P4258" s="113" t="n"/>
      <c r="Q4258" s="113" t="n"/>
      <c r="R4258" s="113" t="n"/>
      <c r="S4258" s="113" t="n"/>
      <c r="T4258" s="113" t="n"/>
      <c r="U4258" s="113" t="n"/>
      <c r="V4258" s="113" t="n"/>
      <c r="W4258" s="113" t="n"/>
      <c r="X4258" s="113" t="n"/>
      <c r="Y4258" s="113" t="n"/>
      <c r="Z4258" s="117">
        <f>IF($B4258="",0,IF($S4258="EVET",IF($D4258="GELİR",$O4258,-$O4258),0))</f>
        <v/>
      </c>
      <c r="AA4258" s="117">
        <f>IF($B4258="",0,IF(OR($W4258="EVET",$X4258="EVET",$Y4258="EVET"),0,IF($D4258="GELİR",IF($E4258="SATIŞ İADESİ/İSKONTO",-$O4258,$O4258),-$O4258)))</f>
        <v/>
      </c>
      <c r="AB4258" s="117">
        <f>IF($B4258="","",IF(OR($D4258="",$E4258="",$O4258=""),"EKSİK",IF($O4258&lt;=0,"SIFIR/NEGATİF",IF(COUNTIFS($C$6:$C$5000,$C4258,$O$6:$O$5000,$O4258,$B$6:$B$5000,$B4258)&gt;1,"MÜKERRER","OK"))))</f>
        <v/>
      </c>
    </row>
    <row r="4259" ht="16.5" customHeight="1" s="80">
      <c r="A4259" s="113" t="n"/>
      <c r="B4259" s="113" t="n"/>
      <c r="C4259" s="113" t="n"/>
      <c r="D4259" s="113" t="n"/>
      <c r="E4259" s="113" t="n"/>
      <c r="F4259" s="113" t="n"/>
      <c r="G4259" s="113" t="n"/>
      <c r="H4259" s="113" t="n"/>
      <c r="I4259" s="113" t="n"/>
      <c r="J4259" s="113" t="n"/>
      <c r="K4259" s="113" t="n"/>
      <c r="L4259" s="113" t="n"/>
      <c r="M4259" s="113" t="n"/>
      <c r="N4259" s="113" t="n"/>
      <c r="O4259" s="113" t="n"/>
      <c r="P4259" s="113" t="n"/>
      <c r="Q4259" s="113" t="n"/>
      <c r="R4259" s="113" t="n"/>
      <c r="S4259" s="113" t="n"/>
      <c r="T4259" s="113" t="n"/>
      <c r="U4259" s="113" t="n"/>
      <c r="V4259" s="113" t="n"/>
      <c r="W4259" s="113" t="n"/>
      <c r="X4259" s="113" t="n"/>
      <c r="Y4259" s="113" t="n"/>
      <c r="Z4259" s="117">
        <f>IF($B4259="",0,IF($S4259="EVET",IF($D4259="GELİR",$O4259,-$O4259),0))</f>
        <v/>
      </c>
      <c r="AA4259" s="117">
        <f>IF($B4259="",0,IF(OR($W4259="EVET",$X4259="EVET",$Y4259="EVET"),0,IF($D4259="GELİR",IF($E4259="SATIŞ İADESİ/İSKONTO",-$O4259,$O4259),-$O4259)))</f>
        <v/>
      </c>
      <c r="AB4259" s="117">
        <f>IF($B4259="","",IF(OR($D4259="",$E4259="",$O4259=""),"EKSİK",IF($O4259&lt;=0,"SIFIR/NEGATİF",IF(COUNTIFS($C$6:$C$5000,$C4259,$O$6:$O$5000,$O4259,$B$6:$B$5000,$B4259)&gt;1,"MÜKERRER","OK"))))</f>
        <v/>
      </c>
    </row>
    <row r="4260" ht="16.5" customHeight="1" s="80">
      <c r="A4260" s="113" t="n"/>
      <c r="B4260" s="113" t="n"/>
      <c r="C4260" s="113" t="n"/>
      <c r="D4260" s="113" t="n"/>
      <c r="E4260" s="113" t="n"/>
      <c r="F4260" s="113" t="n"/>
      <c r="G4260" s="113" t="n"/>
      <c r="H4260" s="113" t="n"/>
      <c r="I4260" s="113" t="n"/>
      <c r="J4260" s="113" t="n"/>
      <c r="K4260" s="113" t="n"/>
      <c r="L4260" s="113" t="n"/>
      <c r="M4260" s="113" t="n"/>
      <c r="N4260" s="113" t="n"/>
      <c r="O4260" s="113" t="n"/>
      <c r="P4260" s="113" t="n"/>
      <c r="Q4260" s="113" t="n"/>
      <c r="R4260" s="113" t="n"/>
      <c r="S4260" s="113" t="n"/>
      <c r="T4260" s="113" t="n"/>
      <c r="U4260" s="113" t="n"/>
      <c r="V4260" s="113" t="n"/>
      <c r="W4260" s="113" t="n"/>
      <c r="X4260" s="113" t="n"/>
      <c r="Y4260" s="113" t="n"/>
      <c r="Z4260" s="117">
        <f>IF($B4260="",0,IF($S4260="EVET",IF($D4260="GELİR",$O4260,-$O4260),0))</f>
        <v/>
      </c>
      <c r="AA4260" s="117">
        <f>IF($B4260="",0,IF(OR($W4260="EVET",$X4260="EVET",$Y4260="EVET"),0,IF($D4260="GELİR",IF($E4260="SATIŞ İADESİ/İSKONTO",-$O4260,$O4260),-$O4260)))</f>
        <v/>
      </c>
      <c r="AB4260" s="117">
        <f>IF($B4260="","",IF(OR($D4260="",$E4260="",$O4260=""),"EKSİK",IF($O4260&lt;=0,"SIFIR/NEGATİF",IF(COUNTIFS($C$6:$C$5000,$C4260,$O$6:$O$5000,$O4260,$B$6:$B$5000,$B4260)&gt;1,"MÜKERRER","OK"))))</f>
        <v/>
      </c>
    </row>
    <row r="4261" ht="16.5" customHeight="1" s="80">
      <c r="A4261" s="113" t="n"/>
      <c r="B4261" s="113" t="n"/>
      <c r="C4261" s="113" t="n"/>
      <c r="D4261" s="113" t="n"/>
      <c r="E4261" s="113" t="n"/>
      <c r="F4261" s="113" t="n"/>
      <c r="G4261" s="113" t="n"/>
      <c r="H4261" s="113" t="n"/>
      <c r="I4261" s="113" t="n"/>
      <c r="J4261" s="113" t="n"/>
      <c r="K4261" s="113" t="n"/>
      <c r="L4261" s="113" t="n"/>
      <c r="M4261" s="113" t="n"/>
      <c r="N4261" s="113" t="n"/>
      <c r="O4261" s="113" t="n"/>
      <c r="P4261" s="113" t="n"/>
      <c r="Q4261" s="113" t="n"/>
      <c r="R4261" s="113" t="n"/>
      <c r="S4261" s="113" t="n"/>
      <c r="T4261" s="113" t="n"/>
      <c r="U4261" s="113" t="n"/>
      <c r="V4261" s="113" t="n"/>
      <c r="W4261" s="113" t="n"/>
      <c r="X4261" s="113" t="n"/>
      <c r="Y4261" s="113" t="n"/>
      <c r="Z4261" s="117">
        <f>IF($B4261="",0,IF($S4261="EVET",IF($D4261="GELİR",$O4261,-$O4261),0))</f>
        <v/>
      </c>
      <c r="AA4261" s="117">
        <f>IF($B4261="",0,IF(OR($W4261="EVET",$X4261="EVET",$Y4261="EVET"),0,IF($D4261="GELİR",IF($E4261="SATIŞ İADESİ/İSKONTO",-$O4261,$O4261),-$O4261)))</f>
        <v/>
      </c>
      <c r="AB4261" s="117">
        <f>IF($B4261="","",IF(OR($D4261="",$E4261="",$O4261=""),"EKSİK",IF($O4261&lt;=0,"SIFIR/NEGATİF",IF(COUNTIFS($C$6:$C$5000,$C4261,$O$6:$O$5000,$O4261,$B$6:$B$5000,$B4261)&gt;1,"MÜKERRER","OK"))))</f>
        <v/>
      </c>
    </row>
    <row r="4262" ht="16.5" customHeight="1" s="80">
      <c r="A4262" s="113" t="n"/>
      <c r="B4262" s="113" t="n"/>
      <c r="C4262" s="113" t="n"/>
      <c r="D4262" s="113" t="n"/>
      <c r="E4262" s="113" t="n"/>
      <c r="F4262" s="113" t="n"/>
      <c r="G4262" s="113" t="n"/>
      <c r="H4262" s="113" t="n"/>
      <c r="I4262" s="113" t="n"/>
      <c r="J4262" s="113" t="n"/>
      <c r="K4262" s="113" t="n"/>
      <c r="L4262" s="113" t="n"/>
      <c r="M4262" s="113" t="n"/>
      <c r="N4262" s="113" t="n"/>
      <c r="O4262" s="113" t="n"/>
      <c r="P4262" s="113" t="n"/>
      <c r="Q4262" s="113" t="n"/>
      <c r="R4262" s="113" t="n"/>
      <c r="S4262" s="113" t="n"/>
      <c r="T4262" s="113" t="n"/>
      <c r="U4262" s="113" t="n"/>
      <c r="V4262" s="113" t="n"/>
      <c r="W4262" s="113" t="n"/>
      <c r="X4262" s="113" t="n"/>
      <c r="Y4262" s="113" t="n"/>
      <c r="Z4262" s="117">
        <f>IF($B4262="",0,IF($S4262="EVET",IF($D4262="GELİR",$O4262,-$O4262),0))</f>
        <v/>
      </c>
      <c r="AA4262" s="117">
        <f>IF($B4262="",0,IF(OR($W4262="EVET",$X4262="EVET",$Y4262="EVET"),0,IF($D4262="GELİR",IF($E4262="SATIŞ İADESİ/İSKONTO",-$O4262,$O4262),-$O4262)))</f>
        <v/>
      </c>
      <c r="AB4262" s="117">
        <f>IF($B4262="","",IF(OR($D4262="",$E4262="",$O4262=""),"EKSİK",IF($O4262&lt;=0,"SIFIR/NEGATİF",IF(COUNTIFS($C$6:$C$5000,$C4262,$O$6:$O$5000,$O4262,$B$6:$B$5000,$B4262)&gt;1,"MÜKERRER","OK"))))</f>
        <v/>
      </c>
    </row>
    <row r="4263" ht="16.5" customHeight="1" s="80">
      <c r="A4263" s="113" t="n"/>
      <c r="B4263" s="113" t="n"/>
      <c r="C4263" s="113" t="n"/>
      <c r="D4263" s="113" t="n"/>
      <c r="E4263" s="113" t="n"/>
      <c r="F4263" s="113" t="n"/>
      <c r="G4263" s="113" t="n"/>
      <c r="H4263" s="113" t="n"/>
      <c r="I4263" s="113" t="n"/>
      <c r="J4263" s="113" t="n"/>
      <c r="K4263" s="113" t="n"/>
      <c r="L4263" s="113" t="n"/>
      <c r="M4263" s="113" t="n"/>
      <c r="N4263" s="113" t="n"/>
      <c r="O4263" s="113" t="n"/>
      <c r="P4263" s="113" t="n"/>
      <c r="Q4263" s="113" t="n"/>
      <c r="R4263" s="113" t="n"/>
      <c r="S4263" s="113" t="n"/>
      <c r="T4263" s="113" t="n"/>
      <c r="U4263" s="113" t="n"/>
      <c r="V4263" s="113" t="n"/>
      <c r="W4263" s="113" t="n"/>
      <c r="X4263" s="113" t="n"/>
      <c r="Y4263" s="113" t="n"/>
      <c r="Z4263" s="117">
        <f>IF($B4263="",0,IF($S4263="EVET",IF($D4263="GELİR",$O4263,-$O4263),0))</f>
        <v/>
      </c>
      <c r="AA4263" s="117">
        <f>IF($B4263="",0,IF(OR($W4263="EVET",$X4263="EVET",$Y4263="EVET"),0,IF($D4263="GELİR",IF($E4263="SATIŞ İADESİ/İSKONTO",-$O4263,$O4263),-$O4263)))</f>
        <v/>
      </c>
      <c r="AB4263" s="117">
        <f>IF($B4263="","",IF(OR($D4263="",$E4263="",$O4263=""),"EKSİK",IF($O4263&lt;=0,"SIFIR/NEGATİF",IF(COUNTIFS($C$6:$C$5000,$C4263,$O$6:$O$5000,$O4263,$B$6:$B$5000,$B4263)&gt;1,"MÜKERRER","OK"))))</f>
        <v/>
      </c>
    </row>
    <row r="4264" ht="16.5" customHeight="1" s="80">
      <c r="A4264" s="113" t="n"/>
      <c r="B4264" s="113" t="n"/>
      <c r="C4264" s="113" t="n"/>
      <c r="D4264" s="113" t="n"/>
      <c r="E4264" s="113" t="n"/>
      <c r="F4264" s="113" t="n"/>
      <c r="G4264" s="113" t="n"/>
      <c r="H4264" s="113" t="n"/>
      <c r="I4264" s="113" t="n"/>
      <c r="J4264" s="113" t="n"/>
      <c r="K4264" s="113" t="n"/>
      <c r="L4264" s="113" t="n"/>
      <c r="M4264" s="113" t="n"/>
      <c r="N4264" s="113" t="n"/>
      <c r="O4264" s="113" t="n"/>
      <c r="P4264" s="113" t="n"/>
      <c r="Q4264" s="113" t="n"/>
      <c r="R4264" s="113" t="n"/>
      <c r="S4264" s="113" t="n"/>
      <c r="T4264" s="113" t="n"/>
      <c r="U4264" s="113" t="n"/>
      <c r="V4264" s="113" t="n"/>
      <c r="W4264" s="113" t="n"/>
      <c r="X4264" s="113" t="n"/>
      <c r="Y4264" s="113" t="n"/>
      <c r="Z4264" s="117">
        <f>IF($B4264="",0,IF($S4264="EVET",IF($D4264="GELİR",$O4264,-$O4264),0))</f>
        <v/>
      </c>
      <c r="AA4264" s="117">
        <f>IF($B4264="",0,IF(OR($W4264="EVET",$X4264="EVET",$Y4264="EVET"),0,IF($D4264="GELİR",IF($E4264="SATIŞ İADESİ/İSKONTO",-$O4264,$O4264),-$O4264)))</f>
        <v/>
      </c>
      <c r="AB4264" s="117">
        <f>IF($B4264="","",IF(OR($D4264="",$E4264="",$O4264=""),"EKSİK",IF($O4264&lt;=0,"SIFIR/NEGATİF",IF(COUNTIFS($C$6:$C$5000,$C4264,$O$6:$O$5000,$O4264,$B$6:$B$5000,$B4264)&gt;1,"MÜKERRER","OK"))))</f>
        <v/>
      </c>
    </row>
    <row r="4265" ht="16.5" customHeight="1" s="80">
      <c r="A4265" s="113" t="n"/>
      <c r="B4265" s="113" t="n"/>
      <c r="C4265" s="113" t="n"/>
      <c r="D4265" s="113" t="n"/>
      <c r="E4265" s="113" t="n"/>
      <c r="F4265" s="113" t="n"/>
      <c r="G4265" s="113" t="n"/>
      <c r="H4265" s="113" t="n"/>
      <c r="I4265" s="113" t="n"/>
      <c r="J4265" s="113" t="n"/>
      <c r="K4265" s="113" t="n"/>
      <c r="L4265" s="113" t="n"/>
      <c r="M4265" s="113" t="n"/>
      <c r="N4265" s="113" t="n"/>
      <c r="O4265" s="113" t="n"/>
      <c r="P4265" s="113" t="n"/>
      <c r="Q4265" s="113" t="n"/>
      <c r="R4265" s="113" t="n"/>
      <c r="S4265" s="113" t="n"/>
      <c r="T4265" s="113" t="n"/>
      <c r="U4265" s="113" t="n"/>
      <c r="V4265" s="113" t="n"/>
      <c r="W4265" s="113" t="n"/>
      <c r="X4265" s="113" t="n"/>
      <c r="Y4265" s="113" t="n"/>
      <c r="Z4265" s="117">
        <f>IF($B4265="",0,IF($S4265="EVET",IF($D4265="GELİR",$O4265,-$O4265),0))</f>
        <v/>
      </c>
      <c r="AA4265" s="117">
        <f>IF($B4265="",0,IF(OR($W4265="EVET",$X4265="EVET",$Y4265="EVET"),0,IF($D4265="GELİR",IF($E4265="SATIŞ İADESİ/İSKONTO",-$O4265,$O4265),-$O4265)))</f>
        <v/>
      </c>
      <c r="AB4265" s="117">
        <f>IF($B4265="","",IF(OR($D4265="",$E4265="",$O4265=""),"EKSİK",IF($O4265&lt;=0,"SIFIR/NEGATİF",IF(COUNTIFS($C$6:$C$5000,$C4265,$O$6:$O$5000,$O4265,$B$6:$B$5000,$B4265)&gt;1,"MÜKERRER","OK"))))</f>
        <v/>
      </c>
    </row>
    <row r="4266" ht="16.5" customHeight="1" s="80">
      <c r="A4266" s="113" t="n"/>
      <c r="B4266" s="113" t="n"/>
      <c r="C4266" s="113" t="n"/>
      <c r="D4266" s="113" t="n"/>
      <c r="E4266" s="113" t="n"/>
      <c r="F4266" s="113" t="n"/>
      <c r="G4266" s="113" t="n"/>
      <c r="H4266" s="113" t="n"/>
      <c r="I4266" s="113" t="n"/>
      <c r="J4266" s="113" t="n"/>
      <c r="K4266" s="113" t="n"/>
      <c r="L4266" s="113" t="n"/>
      <c r="M4266" s="113" t="n"/>
      <c r="N4266" s="113" t="n"/>
      <c r="O4266" s="113" t="n"/>
      <c r="P4266" s="113" t="n"/>
      <c r="Q4266" s="113" t="n"/>
      <c r="R4266" s="113" t="n"/>
      <c r="S4266" s="113" t="n"/>
      <c r="T4266" s="113" t="n"/>
      <c r="U4266" s="113" t="n"/>
      <c r="V4266" s="113" t="n"/>
      <c r="W4266" s="113" t="n"/>
      <c r="X4266" s="113" t="n"/>
      <c r="Y4266" s="113" t="n"/>
      <c r="Z4266" s="117">
        <f>IF($B4266="",0,IF($S4266="EVET",IF($D4266="GELİR",$O4266,-$O4266),0))</f>
        <v/>
      </c>
      <c r="AA4266" s="117">
        <f>IF($B4266="",0,IF(OR($W4266="EVET",$X4266="EVET",$Y4266="EVET"),0,IF($D4266="GELİR",IF($E4266="SATIŞ İADESİ/İSKONTO",-$O4266,$O4266),-$O4266)))</f>
        <v/>
      </c>
      <c r="AB4266" s="117">
        <f>IF($B4266="","",IF(OR($D4266="",$E4266="",$O4266=""),"EKSİK",IF($O4266&lt;=0,"SIFIR/NEGATİF",IF(COUNTIFS($C$6:$C$5000,$C4266,$O$6:$O$5000,$O4266,$B$6:$B$5000,$B4266)&gt;1,"MÜKERRER","OK"))))</f>
        <v/>
      </c>
    </row>
    <row r="4267" ht="16.5" customHeight="1" s="80">
      <c r="A4267" s="113" t="n"/>
      <c r="B4267" s="113" t="n"/>
      <c r="C4267" s="113" t="n"/>
      <c r="D4267" s="113" t="n"/>
      <c r="E4267" s="113" t="n"/>
      <c r="F4267" s="113" t="n"/>
      <c r="G4267" s="113" t="n"/>
      <c r="H4267" s="113" t="n"/>
      <c r="I4267" s="113" t="n"/>
      <c r="J4267" s="113" t="n"/>
      <c r="K4267" s="113" t="n"/>
      <c r="L4267" s="113" t="n"/>
      <c r="M4267" s="113" t="n"/>
      <c r="N4267" s="113" t="n"/>
      <c r="O4267" s="113" t="n"/>
      <c r="P4267" s="113" t="n"/>
      <c r="Q4267" s="113" t="n"/>
      <c r="R4267" s="113" t="n"/>
      <c r="S4267" s="113" t="n"/>
      <c r="T4267" s="113" t="n"/>
      <c r="U4267" s="113" t="n"/>
      <c r="V4267" s="113" t="n"/>
      <c r="W4267" s="113" t="n"/>
      <c r="X4267" s="113" t="n"/>
      <c r="Y4267" s="113" t="n"/>
      <c r="Z4267" s="117">
        <f>IF($B4267="",0,IF($S4267="EVET",IF($D4267="GELİR",$O4267,-$O4267),0))</f>
        <v/>
      </c>
      <c r="AA4267" s="117">
        <f>IF($B4267="",0,IF(OR($W4267="EVET",$X4267="EVET",$Y4267="EVET"),0,IF($D4267="GELİR",IF($E4267="SATIŞ İADESİ/İSKONTO",-$O4267,$O4267),-$O4267)))</f>
        <v/>
      </c>
      <c r="AB4267" s="117">
        <f>IF($B4267="","",IF(OR($D4267="",$E4267="",$O4267=""),"EKSİK",IF($O4267&lt;=0,"SIFIR/NEGATİF",IF(COUNTIFS($C$6:$C$5000,$C4267,$O$6:$O$5000,$O4267,$B$6:$B$5000,$B4267)&gt;1,"MÜKERRER","OK"))))</f>
        <v/>
      </c>
    </row>
    <row r="4268" ht="16.5" customHeight="1" s="80">
      <c r="A4268" s="113" t="n"/>
      <c r="B4268" s="113" t="n"/>
      <c r="C4268" s="113" t="n"/>
      <c r="D4268" s="113" t="n"/>
      <c r="E4268" s="113" t="n"/>
      <c r="F4268" s="113" t="n"/>
      <c r="G4268" s="113" t="n"/>
      <c r="H4268" s="113" t="n"/>
      <c r="I4268" s="113" t="n"/>
      <c r="J4268" s="113" t="n"/>
      <c r="K4268" s="113" t="n"/>
      <c r="L4268" s="113" t="n"/>
      <c r="M4268" s="113" t="n"/>
      <c r="N4268" s="113" t="n"/>
      <c r="O4268" s="113" t="n"/>
      <c r="P4268" s="113" t="n"/>
      <c r="Q4268" s="113" t="n"/>
      <c r="R4268" s="113" t="n"/>
      <c r="S4268" s="113" t="n"/>
      <c r="T4268" s="113" t="n"/>
      <c r="U4268" s="113" t="n"/>
      <c r="V4268" s="113" t="n"/>
      <c r="W4268" s="113" t="n"/>
      <c r="X4268" s="113" t="n"/>
      <c r="Y4268" s="113" t="n"/>
      <c r="Z4268" s="117">
        <f>IF($B4268="",0,IF($S4268="EVET",IF($D4268="GELİR",$O4268,-$O4268),0))</f>
        <v/>
      </c>
      <c r="AA4268" s="117">
        <f>IF($B4268="",0,IF(OR($W4268="EVET",$X4268="EVET",$Y4268="EVET"),0,IF($D4268="GELİR",IF($E4268="SATIŞ İADESİ/İSKONTO",-$O4268,$O4268),-$O4268)))</f>
        <v/>
      </c>
      <c r="AB4268" s="117">
        <f>IF($B4268="","",IF(OR($D4268="",$E4268="",$O4268=""),"EKSİK",IF($O4268&lt;=0,"SIFIR/NEGATİF",IF(COUNTIFS($C$6:$C$5000,$C4268,$O$6:$O$5000,$O4268,$B$6:$B$5000,$B4268)&gt;1,"MÜKERRER","OK"))))</f>
        <v/>
      </c>
    </row>
    <row r="4269" ht="16.5" customHeight="1" s="80">
      <c r="A4269" s="113" t="n"/>
      <c r="B4269" s="113" t="n"/>
      <c r="C4269" s="113" t="n"/>
      <c r="D4269" s="113" t="n"/>
      <c r="E4269" s="113" t="n"/>
      <c r="F4269" s="113" t="n"/>
      <c r="G4269" s="113" t="n"/>
      <c r="H4269" s="113" t="n"/>
      <c r="I4269" s="113" t="n"/>
      <c r="J4269" s="113" t="n"/>
      <c r="K4269" s="113" t="n"/>
      <c r="L4269" s="113" t="n"/>
      <c r="M4269" s="113" t="n"/>
      <c r="N4269" s="113" t="n"/>
      <c r="O4269" s="113" t="n"/>
      <c r="P4269" s="113" t="n"/>
      <c r="Q4269" s="113" t="n"/>
      <c r="R4269" s="113" t="n"/>
      <c r="S4269" s="113" t="n"/>
      <c r="T4269" s="113" t="n"/>
      <c r="U4269" s="113" t="n"/>
      <c r="V4269" s="113" t="n"/>
      <c r="W4269" s="113" t="n"/>
      <c r="X4269" s="113" t="n"/>
      <c r="Y4269" s="113" t="n"/>
      <c r="Z4269" s="117">
        <f>IF($B4269="",0,IF($S4269="EVET",IF($D4269="GELİR",$O4269,-$O4269),0))</f>
        <v/>
      </c>
      <c r="AA4269" s="117">
        <f>IF($B4269="",0,IF(OR($W4269="EVET",$X4269="EVET",$Y4269="EVET"),0,IF($D4269="GELİR",IF($E4269="SATIŞ İADESİ/İSKONTO",-$O4269,$O4269),-$O4269)))</f>
        <v/>
      </c>
      <c r="AB4269" s="117">
        <f>IF($B4269="","",IF(OR($D4269="",$E4269="",$O4269=""),"EKSİK",IF($O4269&lt;=0,"SIFIR/NEGATİF",IF(COUNTIFS($C$6:$C$5000,$C4269,$O$6:$O$5000,$O4269,$B$6:$B$5000,$B4269)&gt;1,"MÜKERRER","OK"))))</f>
        <v/>
      </c>
    </row>
    <row r="4270" ht="16.5" customHeight="1" s="80">
      <c r="A4270" s="113" t="n"/>
      <c r="B4270" s="113" t="n"/>
      <c r="C4270" s="113" t="n"/>
      <c r="D4270" s="113" t="n"/>
      <c r="E4270" s="113" t="n"/>
      <c r="F4270" s="113" t="n"/>
      <c r="G4270" s="113" t="n"/>
      <c r="H4270" s="113" t="n"/>
      <c r="I4270" s="113" t="n"/>
      <c r="J4270" s="113" t="n"/>
      <c r="K4270" s="113" t="n"/>
      <c r="L4270" s="113" t="n"/>
      <c r="M4270" s="113" t="n"/>
      <c r="N4270" s="113" t="n"/>
      <c r="O4270" s="113" t="n"/>
      <c r="P4270" s="113" t="n"/>
      <c r="Q4270" s="113" t="n"/>
      <c r="R4270" s="113" t="n"/>
      <c r="S4270" s="113" t="n"/>
      <c r="T4270" s="113" t="n"/>
      <c r="U4270" s="113" t="n"/>
      <c r="V4270" s="113" t="n"/>
      <c r="W4270" s="113" t="n"/>
      <c r="X4270" s="113" t="n"/>
      <c r="Y4270" s="113" t="n"/>
      <c r="Z4270" s="117">
        <f>IF($B4270="",0,IF($S4270="EVET",IF($D4270="GELİR",$O4270,-$O4270),0))</f>
        <v/>
      </c>
      <c r="AA4270" s="117">
        <f>IF($B4270="",0,IF(OR($W4270="EVET",$X4270="EVET",$Y4270="EVET"),0,IF($D4270="GELİR",IF($E4270="SATIŞ İADESİ/İSKONTO",-$O4270,$O4270),-$O4270)))</f>
        <v/>
      </c>
      <c r="AB4270" s="117">
        <f>IF($B4270="","",IF(OR($D4270="",$E4270="",$O4270=""),"EKSİK",IF($O4270&lt;=0,"SIFIR/NEGATİF",IF(COUNTIFS($C$6:$C$5000,$C4270,$O$6:$O$5000,$O4270,$B$6:$B$5000,$B4270)&gt;1,"MÜKERRER","OK"))))</f>
        <v/>
      </c>
    </row>
    <row r="4271" ht="16.5" customHeight="1" s="80">
      <c r="A4271" s="113" t="n"/>
      <c r="B4271" s="113" t="n"/>
      <c r="C4271" s="113" t="n"/>
      <c r="D4271" s="113" t="n"/>
      <c r="E4271" s="113" t="n"/>
      <c r="F4271" s="113" t="n"/>
      <c r="G4271" s="113" t="n"/>
      <c r="H4271" s="113" t="n"/>
      <c r="I4271" s="113" t="n"/>
      <c r="J4271" s="113" t="n"/>
      <c r="K4271" s="113" t="n"/>
      <c r="L4271" s="113" t="n"/>
      <c r="M4271" s="113" t="n"/>
      <c r="N4271" s="113" t="n"/>
      <c r="O4271" s="113" t="n"/>
      <c r="P4271" s="113" t="n"/>
      <c r="Q4271" s="113" t="n"/>
      <c r="R4271" s="113" t="n"/>
      <c r="S4271" s="113" t="n"/>
      <c r="T4271" s="113" t="n"/>
      <c r="U4271" s="113" t="n"/>
      <c r="V4271" s="113" t="n"/>
      <c r="W4271" s="113" t="n"/>
      <c r="X4271" s="113" t="n"/>
      <c r="Y4271" s="113" t="n"/>
      <c r="Z4271" s="117">
        <f>IF($B4271="",0,IF($S4271="EVET",IF($D4271="GELİR",$O4271,-$O4271),0))</f>
        <v/>
      </c>
      <c r="AA4271" s="117">
        <f>IF($B4271="",0,IF(OR($W4271="EVET",$X4271="EVET",$Y4271="EVET"),0,IF($D4271="GELİR",IF($E4271="SATIŞ İADESİ/İSKONTO",-$O4271,$O4271),-$O4271)))</f>
        <v/>
      </c>
      <c r="AB4271" s="117">
        <f>IF($B4271="","",IF(OR($D4271="",$E4271="",$O4271=""),"EKSİK",IF($O4271&lt;=0,"SIFIR/NEGATİF",IF(COUNTIFS($C$6:$C$5000,$C4271,$O$6:$O$5000,$O4271,$B$6:$B$5000,$B4271)&gt;1,"MÜKERRER","OK"))))</f>
        <v/>
      </c>
    </row>
    <row r="4272" ht="16.5" customHeight="1" s="80">
      <c r="A4272" s="113" t="n"/>
      <c r="B4272" s="113" t="n"/>
      <c r="C4272" s="113" t="n"/>
      <c r="D4272" s="113" t="n"/>
      <c r="E4272" s="113" t="n"/>
      <c r="F4272" s="113" t="n"/>
      <c r="G4272" s="113" t="n"/>
      <c r="H4272" s="113" t="n"/>
      <c r="I4272" s="113" t="n"/>
      <c r="J4272" s="113" t="n"/>
      <c r="K4272" s="113" t="n"/>
      <c r="L4272" s="113" t="n"/>
      <c r="M4272" s="113" t="n"/>
      <c r="N4272" s="113" t="n"/>
      <c r="O4272" s="113" t="n"/>
      <c r="P4272" s="113" t="n"/>
      <c r="Q4272" s="113" t="n"/>
      <c r="R4272" s="113" t="n"/>
      <c r="S4272" s="113" t="n"/>
      <c r="T4272" s="113" t="n"/>
      <c r="U4272" s="113" t="n"/>
      <c r="V4272" s="113" t="n"/>
      <c r="W4272" s="113" t="n"/>
      <c r="X4272" s="113" t="n"/>
      <c r="Y4272" s="113" t="n"/>
      <c r="Z4272" s="117">
        <f>IF($B4272="",0,IF($S4272="EVET",IF($D4272="GELİR",$O4272,-$O4272),0))</f>
        <v/>
      </c>
      <c r="AA4272" s="117">
        <f>IF($B4272="",0,IF(OR($W4272="EVET",$X4272="EVET",$Y4272="EVET"),0,IF($D4272="GELİR",IF($E4272="SATIŞ İADESİ/İSKONTO",-$O4272,$O4272),-$O4272)))</f>
        <v/>
      </c>
      <c r="AB4272" s="117">
        <f>IF($B4272="","",IF(OR($D4272="",$E4272="",$O4272=""),"EKSİK",IF($O4272&lt;=0,"SIFIR/NEGATİF",IF(COUNTIFS($C$6:$C$5000,$C4272,$O$6:$O$5000,$O4272,$B$6:$B$5000,$B4272)&gt;1,"MÜKERRER","OK"))))</f>
        <v/>
      </c>
    </row>
    <row r="4273" ht="16.5" customHeight="1" s="80">
      <c r="A4273" s="113" t="n"/>
      <c r="B4273" s="113" t="n"/>
      <c r="C4273" s="113" t="n"/>
      <c r="D4273" s="113" t="n"/>
      <c r="E4273" s="113" t="n"/>
      <c r="F4273" s="113" t="n"/>
      <c r="G4273" s="113" t="n"/>
      <c r="H4273" s="113" t="n"/>
      <c r="I4273" s="113" t="n"/>
      <c r="J4273" s="113" t="n"/>
      <c r="K4273" s="113" t="n"/>
      <c r="L4273" s="113" t="n"/>
      <c r="M4273" s="113" t="n"/>
      <c r="N4273" s="113" t="n"/>
      <c r="O4273" s="113" t="n"/>
      <c r="P4273" s="113" t="n"/>
      <c r="Q4273" s="113" t="n"/>
      <c r="R4273" s="113" t="n"/>
      <c r="S4273" s="113" t="n"/>
      <c r="T4273" s="113" t="n"/>
      <c r="U4273" s="113" t="n"/>
      <c r="V4273" s="113" t="n"/>
      <c r="W4273" s="113" t="n"/>
      <c r="X4273" s="113" t="n"/>
      <c r="Y4273" s="113" t="n"/>
      <c r="Z4273" s="117">
        <f>IF($B4273="",0,IF($S4273="EVET",IF($D4273="GELİR",$O4273,-$O4273),0))</f>
        <v/>
      </c>
      <c r="AA4273" s="117">
        <f>IF($B4273="",0,IF(OR($W4273="EVET",$X4273="EVET",$Y4273="EVET"),0,IF($D4273="GELİR",IF($E4273="SATIŞ İADESİ/İSKONTO",-$O4273,$O4273),-$O4273)))</f>
        <v/>
      </c>
      <c r="AB4273" s="117">
        <f>IF($B4273="","",IF(OR($D4273="",$E4273="",$O4273=""),"EKSİK",IF($O4273&lt;=0,"SIFIR/NEGATİF",IF(COUNTIFS($C$6:$C$5000,$C4273,$O$6:$O$5000,$O4273,$B$6:$B$5000,$B4273)&gt;1,"MÜKERRER","OK"))))</f>
        <v/>
      </c>
    </row>
    <row r="4274" ht="16.5" customHeight="1" s="80">
      <c r="A4274" s="113" t="n"/>
      <c r="B4274" s="113" t="n"/>
      <c r="C4274" s="113" t="n"/>
      <c r="D4274" s="113" t="n"/>
      <c r="E4274" s="113" t="n"/>
      <c r="F4274" s="113" t="n"/>
      <c r="G4274" s="113" t="n"/>
      <c r="H4274" s="113" t="n"/>
      <c r="I4274" s="113" t="n"/>
      <c r="J4274" s="113" t="n"/>
      <c r="K4274" s="113" t="n"/>
      <c r="L4274" s="113" t="n"/>
      <c r="M4274" s="113" t="n"/>
      <c r="N4274" s="113" t="n"/>
      <c r="O4274" s="113" t="n"/>
      <c r="P4274" s="113" t="n"/>
      <c r="Q4274" s="113" t="n"/>
      <c r="R4274" s="113" t="n"/>
      <c r="S4274" s="113" t="n"/>
      <c r="T4274" s="113" t="n"/>
      <c r="U4274" s="113" t="n"/>
      <c r="V4274" s="113" t="n"/>
      <c r="W4274" s="113" t="n"/>
      <c r="X4274" s="113" t="n"/>
      <c r="Y4274" s="113" t="n"/>
      <c r="Z4274" s="117">
        <f>IF($B4274="",0,IF($S4274="EVET",IF($D4274="GELİR",$O4274,-$O4274),0))</f>
        <v/>
      </c>
      <c r="AA4274" s="117">
        <f>IF($B4274="",0,IF(OR($W4274="EVET",$X4274="EVET",$Y4274="EVET"),0,IF($D4274="GELİR",IF($E4274="SATIŞ İADESİ/İSKONTO",-$O4274,$O4274),-$O4274)))</f>
        <v/>
      </c>
      <c r="AB4274" s="117">
        <f>IF($B4274="","",IF(OR($D4274="",$E4274="",$O4274=""),"EKSİK",IF($O4274&lt;=0,"SIFIR/NEGATİF",IF(COUNTIFS($C$6:$C$5000,$C4274,$O$6:$O$5000,$O4274,$B$6:$B$5000,$B4274)&gt;1,"MÜKERRER","OK"))))</f>
        <v/>
      </c>
    </row>
    <row r="4275" ht="16.5" customHeight="1" s="80">
      <c r="A4275" s="113" t="n"/>
      <c r="B4275" s="113" t="n"/>
      <c r="C4275" s="113" t="n"/>
      <c r="D4275" s="113" t="n"/>
      <c r="E4275" s="113" t="n"/>
      <c r="F4275" s="113" t="n"/>
      <c r="G4275" s="113" t="n"/>
      <c r="H4275" s="113" t="n"/>
      <c r="I4275" s="113" t="n"/>
      <c r="J4275" s="113" t="n"/>
      <c r="K4275" s="113" t="n"/>
      <c r="L4275" s="113" t="n"/>
      <c r="M4275" s="113" t="n"/>
      <c r="N4275" s="113" t="n"/>
      <c r="O4275" s="113" t="n"/>
      <c r="P4275" s="113" t="n"/>
      <c r="Q4275" s="113" t="n"/>
      <c r="R4275" s="113" t="n"/>
      <c r="S4275" s="113" t="n"/>
      <c r="T4275" s="113" t="n"/>
      <c r="U4275" s="113" t="n"/>
      <c r="V4275" s="113" t="n"/>
      <c r="W4275" s="113" t="n"/>
      <c r="X4275" s="113" t="n"/>
      <c r="Y4275" s="113" t="n"/>
      <c r="Z4275" s="117">
        <f>IF($B4275="",0,IF($S4275="EVET",IF($D4275="GELİR",$O4275,-$O4275),0))</f>
        <v/>
      </c>
      <c r="AA4275" s="117">
        <f>IF($B4275="",0,IF(OR($W4275="EVET",$X4275="EVET",$Y4275="EVET"),0,IF($D4275="GELİR",IF($E4275="SATIŞ İADESİ/İSKONTO",-$O4275,$O4275),-$O4275)))</f>
        <v/>
      </c>
      <c r="AB4275" s="117">
        <f>IF($B4275="","",IF(OR($D4275="",$E4275="",$O4275=""),"EKSİK",IF($O4275&lt;=0,"SIFIR/NEGATİF",IF(COUNTIFS($C$6:$C$5000,$C4275,$O$6:$O$5000,$O4275,$B$6:$B$5000,$B4275)&gt;1,"MÜKERRER","OK"))))</f>
        <v/>
      </c>
    </row>
    <row r="4276" ht="16.5" customHeight="1" s="80">
      <c r="A4276" s="113" t="n"/>
      <c r="B4276" s="113" t="n"/>
      <c r="C4276" s="113" t="n"/>
      <c r="D4276" s="113" t="n"/>
      <c r="E4276" s="113" t="n"/>
      <c r="F4276" s="113" t="n"/>
      <c r="G4276" s="113" t="n"/>
      <c r="H4276" s="113" t="n"/>
      <c r="I4276" s="113" t="n"/>
      <c r="J4276" s="113" t="n"/>
      <c r="K4276" s="113" t="n"/>
      <c r="L4276" s="113" t="n"/>
      <c r="M4276" s="113" t="n"/>
      <c r="N4276" s="113" t="n"/>
      <c r="O4276" s="113" t="n"/>
      <c r="P4276" s="113" t="n"/>
      <c r="Q4276" s="113" t="n"/>
      <c r="R4276" s="113" t="n"/>
      <c r="S4276" s="113" t="n"/>
      <c r="T4276" s="113" t="n"/>
      <c r="U4276" s="113" t="n"/>
      <c r="V4276" s="113" t="n"/>
      <c r="W4276" s="113" t="n"/>
      <c r="X4276" s="113" t="n"/>
      <c r="Y4276" s="113" t="n"/>
      <c r="Z4276" s="117">
        <f>IF($B4276="",0,IF($S4276="EVET",IF($D4276="GELİR",$O4276,-$O4276),0))</f>
        <v/>
      </c>
      <c r="AA4276" s="117">
        <f>IF($B4276="",0,IF(OR($W4276="EVET",$X4276="EVET",$Y4276="EVET"),0,IF($D4276="GELİR",IF($E4276="SATIŞ İADESİ/İSKONTO",-$O4276,$O4276),-$O4276)))</f>
        <v/>
      </c>
      <c r="AB4276" s="117">
        <f>IF($B4276="","",IF(OR($D4276="",$E4276="",$O4276=""),"EKSİK",IF($O4276&lt;=0,"SIFIR/NEGATİF",IF(COUNTIFS($C$6:$C$5000,$C4276,$O$6:$O$5000,$O4276,$B$6:$B$5000,$B4276)&gt;1,"MÜKERRER","OK"))))</f>
        <v/>
      </c>
    </row>
    <row r="4277" ht="16.5" customHeight="1" s="80">
      <c r="A4277" s="113" t="n"/>
      <c r="B4277" s="113" t="n"/>
      <c r="C4277" s="113" t="n"/>
      <c r="D4277" s="113" t="n"/>
      <c r="E4277" s="113" t="n"/>
      <c r="F4277" s="113" t="n"/>
      <c r="G4277" s="113" t="n"/>
      <c r="H4277" s="113" t="n"/>
      <c r="I4277" s="113" t="n"/>
      <c r="J4277" s="113" t="n"/>
      <c r="K4277" s="113" t="n"/>
      <c r="L4277" s="113" t="n"/>
      <c r="M4277" s="113" t="n"/>
      <c r="N4277" s="113" t="n"/>
      <c r="O4277" s="113" t="n"/>
      <c r="P4277" s="113" t="n"/>
      <c r="Q4277" s="113" t="n"/>
      <c r="R4277" s="113" t="n"/>
      <c r="S4277" s="113" t="n"/>
      <c r="T4277" s="113" t="n"/>
      <c r="U4277" s="113" t="n"/>
      <c r="V4277" s="113" t="n"/>
      <c r="W4277" s="113" t="n"/>
      <c r="X4277" s="113" t="n"/>
      <c r="Y4277" s="113" t="n"/>
      <c r="Z4277" s="117">
        <f>IF($B4277="",0,IF($S4277="EVET",IF($D4277="GELİR",$O4277,-$O4277),0))</f>
        <v/>
      </c>
      <c r="AA4277" s="117">
        <f>IF($B4277="",0,IF(OR($W4277="EVET",$X4277="EVET",$Y4277="EVET"),0,IF($D4277="GELİR",IF($E4277="SATIŞ İADESİ/İSKONTO",-$O4277,$O4277),-$O4277)))</f>
        <v/>
      </c>
      <c r="AB4277" s="117">
        <f>IF($B4277="","",IF(OR($D4277="",$E4277="",$O4277=""),"EKSİK",IF($O4277&lt;=0,"SIFIR/NEGATİF",IF(COUNTIFS($C$6:$C$5000,$C4277,$O$6:$O$5000,$O4277,$B$6:$B$5000,$B4277)&gt;1,"MÜKERRER","OK"))))</f>
        <v/>
      </c>
    </row>
    <row r="4278" ht="16.5" customHeight="1" s="80">
      <c r="A4278" s="113" t="n"/>
      <c r="B4278" s="113" t="n"/>
      <c r="C4278" s="113" t="n"/>
      <c r="D4278" s="113" t="n"/>
      <c r="E4278" s="113" t="n"/>
      <c r="F4278" s="113" t="n"/>
      <c r="G4278" s="113" t="n"/>
      <c r="H4278" s="113" t="n"/>
      <c r="I4278" s="113" t="n"/>
      <c r="J4278" s="113" t="n"/>
      <c r="K4278" s="113" t="n"/>
      <c r="L4278" s="113" t="n"/>
      <c r="M4278" s="113" t="n"/>
      <c r="N4278" s="113" t="n"/>
      <c r="O4278" s="113" t="n"/>
      <c r="P4278" s="113" t="n"/>
      <c r="Q4278" s="113" t="n"/>
      <c r="R4278" s="113" t="n"/>
      <c r="S4278" s="113" t="n"/>
      <c r="T4278" s="113" t="n"/>
      <c r="U4278" s="113" t="n"/>
      <c r="V4278" s="113" t="n"/>
      <c r="W4278" s="113" t="n"/>
      <c r="X4278" s="113" t="n"/>
      <c r="Y4278" s="113" t="n"/>
      <c r="Z4278" s="117">
        <f>IF($B4278="",0,IF($S4278="EVET",IF($D4278="GELİR",$O4278,-$O4278),0))</f>
        <v/>
      </c>
      <c r="AA4278" s="117">
        <f>IF($B4278="",0,IF(OR($W4278="EVET",$X4278="EVET",$Y4278="EVET"),0,IF($D4278="GELİR",IF($E4278="SATIŞ İADESİ/İSKONTO",-$O4278,$O4278),-$O4278)))</f>
        <v/>
      </c>
      <c r="AB4278" s="117">
        <f>IF($B4278="","",IF(OR($D4278="",$E4278="",$O4278=""),"EKSİK",IF($O4278&lt;=0,"SIFIR/NEGATİF",IF(COUNTIFS($C$6:$C$5000,$C4278,$O$6:$O$5000,$O4278,$B$6:$B$5000,$B4278)&gt;1,"MÜKERRER","OK"))))</f>
        <v/>
      </c>
    </row>
    <row r="4279" ht="16.5" customHeight="1" s="80">
      <c r="A4279" s="113" t="n"/>
      <c r="B4279" s="113" t="n"/>
      <c r="C4279" s="113" t="n"/>
      <c r="D4279" s="113" t="n"/>
      <c r="E4279" s="113" t="n"/>
      <c r="F4279" s="113" t="n"/>
      <c r="G4279" s="113" t="n"/>
      <c r="H4279" s="113" t="n"/>
      <c r="I4279" s="113" t="n"/>
      <c r="J4279" s="113" t="n"/>
      <c r="K4279" s="113" t="n"/>
      <c r="L4279" s="113" t="n"/>
      <c r="M4279" s="113" t="n"/>
      <c r="N4279" s="113" t="n"/>
      <c r="O4279" s="113" t="n"/>
      <c r="P4279" s="113" t="n"/>
      <c r="Q4279" s="113" t="n"/>
      <c r="R4279" s="113" t="n"/>
      <c r="S4279" s="113" t="n"/>
      <c r="T4279" s="113" t="n"/>
      <c r="U4279" s="113" t="n"/>
      <c r="V4279" s="113" t="n"/>
      <c r="W4279" s="113" t="n"/>
      <c r="X4279" s="113" t="n"/>
      <c r="Y4279" s="113" t="n"/>
      <c r="Z4279" s="117">
        <f>IF($B4279="",0,IF($S4279="EVET",IF($D4279="GELİR",$O4279,-$O4279),0))</f>
        <v/>
      </c>
      <c r="AA4279" s="117">
        <f>IF($B4279="",0,IF(OR($W4279="EVET",$X4279="EVET",$Y4279="EVET"),0,IF($D4279="GELİR",IF($E4279="SATIŞ İADESİ/İSKONTO",-$O4279,$O4279),-$O4279)))</f>
        <v/>
      </c>
      <c r="AB4279" s="117">
        <f>IF($B4279="","",IF(OR($D4279="",$E4279="",$O4279=""),"EKSİK",IF($O4279&lt;=0,"SIFIR/NEGATİF",IF(COUNTIFS($C$6:$C$5000,$C4279,$O$6:$O$5000,$O4279,$B$6:$B$5000,$B4279)&gt;1,"MÜKERRER","OK"))))</f>
        <v/>
      </c>
    </row>
    <row r="4280" ht="16.5" customHeight="1" s="80">
      <c r="A4280" s="113" t="n"/>
      <c r="B4280" s="113" t="n"/>
      <c r="C4280" s="113" t="n"/>
      <c r="D4280" s="113" t="n"/>
      <c r="E4280" s="113" t="n"/>
      <c r="F4280" s="113" t="n"/>
      <c r="G4280" s="113" t="n"/>
      <c r="H4280" s="113" t="n"/>
      <c r="I4280" s="113" t="n"/>
      <c r="J4280" s="113" t="n"/>
      <c r="K4280" s="113" t="n"/>
      <c r="L4280" s="113" t="n"/>
      <c r="M4280" s="113" t="n"/>
      <c r="N4280" s="113" t="n"/>
      <c r="O4280" s="113" t="n"/>
      <c r="P4280" s="113" t="n"/>
      <c r="Q4280" s="113" t="n"/>
      <c r="R4280" s="113" t="n"/>
      <c r="S4280" s="113" t="n"/>
      <c r="T4280" s="113" t="n"/>
      <c r="U4280" s="113" t="n"/>
      <c r="V4280" s="113" t="n"/>
      <c r="W4280" s="113" t="n"/>
      <c r="X4280" s="113" t="n"/>
      <c r="Y4280" s="113" t="n"/>
      <c r="Z4280" s="117">
        <f>IF($B4280="",0,IF($S4280="EVET",IF($D4280="GELİR",$O4280,-$O4280),0))</f>
        <v/>
      </c>
      <c r="AA4280" s="117">
        <f>IF($B4280="",0,IF(OR($W4280="EVET",$X4280="EVET",$Y4280="EVET"),0,IF($D4280="GELİR",IF($E4280="SATIŞ İADESİ/İSKONTO",-$O4280,$O4280),-$O4280)))</f>
        <v/>
      </c>
      <c r="AB4280" s="117">
        <f>IF($B4280="","",IF(OR($D4280="",$E4280="",$O4280=""),"EKSİK",IF($O4280&lt;=0,"SIFIR/NEGATİF",IF(COUNTIFS($C$6:$C$5000,$C4280,$O$6:$O$5000,$O4280,$B$6:$B$5000,$B4280)&gt;1,"MÜKERRER","OK"))))</f>
        <v/>
      </c>
    </row>
    <row r="4281" ht="16.5" customHeight="1" s="80">
      <c r="A4281" s="113" t="n"/>
      <c r="B4281" s="113" t="n"/>
      <c r="C4281" s="113" t="n"/>
      <c r="D4281" s="113" t="n"/>
      <c r="E4281" s="113" t="n"/>
      <c r="F4281" s="113" t="n"/>
      <c r="G4281" s="113" t="n"/>
      <c r="H4281" s="113" t="n"/>
      <c r="I4281" s="113" t="n"/>
      <c r="J4281" s="113" t="n"/>
      <c r="K4281" s="113" t="n"/>
      <c r="L4281" s="113" t="n"/>
      <c r="M4281" s="113" t="n"/>
      <c r="N4281" s="113" t="n"/>
      <c r="O4281" s="113" t="n"/>
      <c r="P4281" s="113" t="n"/>
      <c r="Q4281" s="113" t="n"/>
      <c r="R4281" s="113" t="n"/>
      <c r="S4281" s="113" t="n"/>
      <c r="T4281" s="113" t="n"/>
      <c r="U4281" s="113" t="n"/>
      <c r="V4281" s="113" t="n"/>
      <c r="W4281" s="113" t="n"/>
      <c r="X4281" s="113" t="n"/>
      <c r="Y4281" s="113" t="n"/>
      <c r="Z4281" s="117">
        <f>IF($B4281="",0,IF($S4281="EVET",IF($D4281="GELİR",$O4281,-$O4281),0))</f>
        <v/>
      </c>
      <c r="AA4281" s="117">
        <f>IF($B4281="",0,IF(OR($W4281="EVET",$X4281="EVET",$Y4281="EVET"),0,IF($D4281="GELİR",IF($E4281="SATIŞ İADESİ/İSKONTO",-$O4281,$O4281),-$O4281)))</f>
        <v/>
      </c>
      <c r="AB4281" s="117">
        <f>IF($B4281="","",IF(OR($D4281="",$E4281="",$O4281=""),"EKSİK",IF($O4281&lt;=0,"SIFIR/NEGATİF",IF(COUNTIFS($C$6:$C$5000,$C4281,$O$6:$O$5000,$O4281,$B$6:$B$5000,$B4281)&gt;1,"MÜKERRER","OK"))))</f>
        <v/>
      </c>
    </row>
    <row r="4282" ht="16.5" customHeight="1" s="80">
      <c r="A4282" s="113" t="n"/>
      <c r="B4282" s="113" t="n"/>
      <c r="C4282" s="113" t="n"/>
      <c r="D4282" s="113" t="n"/>
      <c r="E4282" s="113" t="n"/>
      <c r="F4282" s="113" t="n"/>
      <c r="G4282" s="113" t="n"/>
      <c r="H4282" s="113" t="n"/>
      <c r="I4282" s="113" t="n"/>
      <c r="J4282" s="113" t="n"/>
      <c r="K4282" s="113" t="n"/>
      <c r="L4282" s="113" t="n"/>
      <c r="M4282" s="113" t="n"/>
      <c r="N4282" s="113" t="n"/>
      <c r="O4282" s="113" t="n"/>
      <c r="P4282" s="113" t="n"/>
      <c r="Q4282" s="113" t="n"/>
      <c r="R4282" s="113" t="n"/>
      <c r="S4282" s="113" t="n"/>
      <c r="T4282" s="113" t="n"/>
      <c r="U4282" s="113" t="n"/>
      <c r="V4282" s="113" t="n"/>
      <c r="W4282" s="113" t="n"/>
      <c r="X4282" s="113" t="n"/>
      <c r="Y4282" s="113" t="n"/>
      <c r="Z4282" s="117">
        <f>IF($B4282="",0,IF($S4282="EVET",IF($D4282="GELİR",$O4282,-$O4282),0))</f>
        <v/>
      </c>
      <c r="AA4282" s="117">
        <f>IF($B4282="",0,IF(OR($W4282="EVET",$X4282="EVET",$Y4282="EVET"),0,IF($D4282="GELİR",IF($E4282="SATIŞ İADESİ/İSKONTO",-$O4282,$O4282),-$O4282)))</f>
        <v/>
      </c>
      <c r="AB4282" s="117">
        <f>IF($B4282="","",IF(OR($D4282="",$E4282="",$O4282=""),"EKSİK",IF($O4282&lt;=0,"SIFIR/NEGATİF",IF(COUNTIFS($C$6:$C$5000,$C4282,$O$6:$O$5000,$O4282,$B$6:$B$5000,$B4282)&gt;1,"MÜKERRER","OK"))))</f>
        <v/>
      </c>
    </row>
    <row r="4283" ht="16.5" customHeight="1" s="80">
      <c r="A4283" s="113" t="n"/>
      <c r="B4283" s="113" t="n"/>
      <c r="C4283" s="113" t="n"/>
      <c r="D4283" s="113" t="n"/>
      <c r="E4283" s="113" t="n"/>
      <c r="F4283" s="113" t="n"/>
      <c r="G4283" s="113" t="n"/>
      <c r="H4283" s="113" t="n"/>
      <c r="I4283" s="113" t="n"/>
      <c r="J4283" s="113" t="n"/>
      <c r="K4283" s="113" t="n"/>
      <c r="L4283" s="113" t="n"/>
      <c r="M4283" s="113" t="n"/>
      <c r="N4283" s="113" t="n"/>
      <c r="O4283" s="113" t="n"/>
      <c r="P4283" s="113" t="n"/>
      <c r="Q4283" s="113" t="n"/>
      <c r="R4283" s="113" t="n"/>
      <c r="S4283" s="113" t="n"/>
      <c r="T4283" s="113" t="n"/>
      <c r="U4283" s="113" t="n"/>
      <c r="V4283" s="113" t="n"/>
      <c r="W4283" s="113" t="n"/>
      <c r="X4283" s="113" t="n"/>
      <c r="Y4283" s="113" t="n"/>
      <c r="Z4283" s="117">
        <f>IF($B4283="",0,IF($S4283="EVET",IF($D4283="GELİR",$O4283,-$O4283),0))</f>
        <v/>
      </c>
      <c r="AA4283" s="117">
        <f>IF($B4283="",0,IF(OR($W4283="EVET",$X4283="EVET",$Y4283="EVET"),0,IF($D4283="GELİR",IF($E4283="SATIŞ İADESİ/İSKONTO",-$O4283,$O4283),-$O4283)))</f>
        <v/>
      </c>
      <c r="AB4283" s="117">
        <f>IF($B4283="","",IF(OR($D4283="",$E4283="",$O4283=""),"EKSİK",IF($O4283&lt;=0,"SIFIR/NEGATİF",IF(COUNTIFS($C$6:$C$5000,$C4283,$O$6:$O$5000,$O4283,$B$6:$B$5000,$B4283)&gt;1,"MÜKERRER","OK"))))</f>
        <v/>
      </c>
    </row>
    <row r="4284" ht="16.5" customHeight="1" s="80">
      <c r="A4284" s="113" t="n"/>
      <c r="B4284" s="113" t="n"/>
      <c r="C4284" s="113" t="n"/>
      <c r="D4284" s="113" t="n"/>
      <c r="E4284" s="113" t="n"/>
      <c r="F4284" s="113" t="n"/>
      <c r="G4284" s="113" t="n"/>
      <c r="H4284" s="113" t="n"/>
      <c r="I4284" s="113" t="n"/>
      <c r="J4284" s="113" t="n"/>
      <c r="K4284" s="113" t="n"/>
      <c r="L4284" s="113" t="n"/>
      <c r="M4284" s="113" t="n"/>
      <c r="N4284" s="113" t="n"/>
      <c r="O4284" s="113" t="n"/>
      <c r="P4284" s="113" t="n"/>
      <c r="Q4284" s="113" t="n"/>
      <c r="R4284" s="113" t="n"/>
      <c r="S4284" s="113" t="n"/>
      <c r="T4284" s="113" t="n"/>
      <c r="U4284" s="113" t="n"/>
      <c r="V4284" s="113" t="n"/>
      <c r="W4284" s="113" t="n"/>
      <c r="X4284" s="113" t="n"/>
      <c r="Y4284" s="113" t="n"/>
      <c r="Z4284" s="117">
        <f>IF($B4284="",0,IF($S4284="EVET",IF($D4284="GELİR",$O4284,-$O4284),0))</f>
        <v/>
      </c>
      <c r="AA4284" s="117">
        <f>IF($B4284="",0,IF(OR($W4284="EVET",$X4284="EVET",$Y4284="EVET"),0,IF($D4284="GELİR",IF($E4284="SATIŞ İADESİ/İSKONTO",-$O4284,$O4284),-$O4284)))</f>
        <v/>
      </c>
      <c r="AB4284" s="117">
        <f>IF($B4284="","",IF(OR($D4284="",$E4284="",$O4284=""),"EKSİK",IF($O4284&lt;=0,"SIFIR/NEGATİF",IF(COUNTIFS($C$6:$C$5000,$C4284,$O$6:$O$5000,$O4284,$B$6:$B$5000,$B4284)&gt;1,"MÜKERRER","OK"))))</f>
        <v/>
      </c>
    </row>
    <row r="4285" ht="16.5" customHeight="1" s="80">
      <c r="A4285" s="113" t="n"/>
      <c r="B4285" s="113" t="n"/>
      <c r="C4285" s="113" t="n"/>
      <c r="D4285" s="113" t="n"/>
      <c r="E4285" s="113" t="n"/>
      <c r="F4285" s="113" t="n"/>
      <c r="G4285" s="113" t="n"/>
      <c r="H4285" s="113" t="n"/>
      <c r="I4285" s="113" t="n"/>
      <c r="J4285" s="113" t="n"/>
      <c r="K4285" s="113" t="n"/>
      <c r="L4285" s="113" t="n"/>
      <c r="M4285" s="113" t="n"/>
      <c r="N4285" s="113" t="n"/>
      <c r="O4285" s="113" t="n"/>
      <c r="P4285" s="113" t="n"/>
      <c r="Q4285" s="113" t="n"/>
      <c r="R4285" s="113" t="n"/>
      <c r="S4285" s="113" t="n"/>
      <c r="T4285" s="113" t="n"/>
      <c r="U4285" s="113" t="n"/>
      <c r="V4285" s="113" t="n"/>
      <c r="W4285" s="113" t="n"/>
      <c r="X4285" s="113" t="n"/>
      <c r="Y4285" s="113" t="n"/>
      <c r="Z4285" s="117">
        <f>IF($B4285="",0,IF($S4285="EVET",IF($D4285="GELİR",$O4285,-$O4285),0))</f>
        <v/>
      </c>
      <c r="AA4285" s="117">
        <f>IF($B4285="",0,IF(OR($W4285="EVET",$X4285="EVET",$Y4285="EVET"),0,IF($D4285="GELİR",IF($E4285="SATIŞ İADESİ/İSKONTO",-$O4285,$O4285),-$O4285)))</f>
        <v/>
      </c>
      <c r="AB4285" s="117">
        <f>IF($B4285="","",IF(OR($D4285="",$E4285="",$O4285=""),"EKSİK",IF($O4285&lt;=0,"SIFIR/NEGATİF",IF(COUNTIFS($C$6:$C$5000,$C4285,$O$6:$O$5000,$O4285,$B$6:$B$5000,$B4285)&gt;1,"MÜKERRER","OK"))))</f>
        <v/>
      </c>
    </row>
    <row r="4286" ht="16.5" customHeight="1" s="80">
      <c r="A4286" s="113" t="n"/>
      <c r="B4286" s="113" t="n"/>
      <c r="C4286" s="113" t="n"/>
      <c r="D4286" s="113" t="n"/>
      <c r="E4286" s="113" t="n"/>
      <c r="F4286" s="113" t="n"/>
      <c r="G4286" s="113" t="n"/>
      <c r="H4286" s="113" t="n"/>
      <c r="I4286" s="113" t="n"/>
      <c r="J4286" s="113" t="n"/>
      <c r="K4286" s="113" t="n"/>
      <c r="L4286" s="113" t="n"/>
      <c r="M4286" s="113" t="n"/>
      <c r="N4286" s="113" t="n"/>
      <c r="O4286" s="113" t="n"/>
      <c r="P4286" s="113" t="n"/>
      <c r="Q4286" s="113" t="n"/>
      <c r="R4286" s="113" t="n"/>
      <c r="S4286" s="113" t="n"/>
      <c r="T4286" s="113" t="n"/>
      <c r="U4286" s="113" t="n"/>
      <c r="V4286" s="113" t="n"/>
      <c r="W4286" s="113" t="n"/>
      <c r="X4286" s="113" t="n"/>
      <c r="Y4286" s="113" t="n"/>
      <c r="Z4286" s="117">
        <f>IF($B4286="",0,IF($S4286="EVET",IF($D4286="GELİR",$O4286,-$O4286),0))</f>
        <v/>
      </c>
      <c r="AA4286" s="117">
        <f>IF($B4286="",0,IF(OR($W4286="EVET",$X4286="EVET",$Y4286="EVET"),0,IF($D4286="GELİR",IF($E4286="SATIŞ İADESİ/İSKONTO",-$O4286,$O4286),-$O4286)))</f>
        <v/>
      </c>
      <c r="AB4286" s="117">
        <f>IF($B4286="","",IF(OR($D4286="",$E4286="",$O4286=""),"EKSİK",IF($O4286&lt;=0,"SIFIR/NEGATİF",IF(COUNTIFS($C$6:$C$5000,$C4286,$O$6:$O$5000,$O4286,$B$6:$B$5000,$B4286)&gt;1,"MÜKERRER","OK"))))</f>
        <v/>
      </c>
    </row>
    <row r="4287" ht="16.5" customHeight="1" s="80">
      <c r="A4287" s="113" t="n"/>
      <c r="B4287" s="113" t="n"/>
      <c r="C4287" s="113" t="n"/>
      <c r="D4287" s="113" t="n"/>
      <c r="E4287" s="113" t="n"/>
      <c r="F4287" s="113" t="n"/>
      <c r="G4287" s="113" t="n"/>
      <c r="H4287" s="113" t="n"/>
      <c r="I4287" s="113" t="n"/>
      <c r="J4287" s="113" t="n"/>
      <c r="K4287" s="113" t="n"/>
      <c r="L4287" s="113" t="n"/>
      <c r="M4287" s="113" t="n"/>
      <c r="N4287" s="113" t="n"/>
      <c r="O4287" s="113" t="n"/>
      <c r="P4287" s="113" t="n"/>
      <c r="Q4287" s="113" t="n"/>
      <c r="R4287" s="113" t="n"/>
      <c r="S4287" s="113" t="n"/>
      <c r="T4287" s="113" t="n"/>
      <c r="U4287" s="113" t="n"/>
      <c r="V4287" s="113" t="n"/>
      <c r="W4287" s="113" t="n"/>
      <c r="X4287" s="113" t="n"/>
      <c r="Y4287" s="113" t="n"/>
      <c r="Z4287" s="117">
        <f>IF($B4287="",0,IF($S4287="EVET",IF($D4287="GELİR",$O4287,-$O4287),0))</f>
        <v/>
      </c>
      <c r="AA4287" s="117">
        <f>IF($B4287="",0,IF(OR($W4287="EVET",$X4287="EVET",$Y4287="EVET"),0,IF($D4287="GELİR",IF($E4287="SATIŞ İADESİ/İSKONTO",-$O4287,$O4287),-$O4287)))</f>
        <v/>
      </c>
      <c r="AB4287" s="117">
        <f>IF($B4287="","",IF(OR($D4287="",$E4287="",$O4287=""),"EKSİK",IF($O4287&lt;=0,"SIFIR/NEGATİF",IF(COUNTIFS($C$6:$C$5000,$C4287,$O$6:$O$5000,$O4287,$B$6:$B$5000,$B4287)&gt;1,"MÜKERRER","OK"))))</f>
        <v/>
      </c>
    </row>
    <row r="4288" ht="16.5" customHeight="1" s="80">
      <c r="A4288" s="113" t="n"/>
      <c r="B4288" s="113" t="n"/>
      <c r="C4288" s="113" t="n"/>
      <c r="D4288" s="113" t="n"/>
      <c r="E4288" s="113" t="n"/>
      <c r="F4288" s="113" t="n"/>
      <c r="G4288" s="113" t="n"/>
      <c r="H4288" s="113" t="n"/>
      <c r="I4288" s="113" t="n"/>
      <c r="J4288" s="113" t="n"/>
      <c r="K4288" s="113" t="n"/>
      <c r="L4288" s="113" t="n"/>
      <c r="M4288" s="113" t="n"/>
      <c r="N4288" s="113" t="n"/>
      <c r="O4288" s="113" t="n"/>
      <c r="P4288" s="113" t="n"/>
      <c r="Q4288" s="113" t="n"/>
      <c r="R4288" s="113" t="n"/>
      <c r="S4288" s="113" t="n"/>
      <c r="T4288" s="113" t="n"/>
      <c r="U4288" s="113" t="n"/>
      <c r="V4288" s="113" t="n"/>
      <c r="W4288" s="113" t="n"/>
      <c r="X4288" s="113" t="n"/>
      <c r="Y4288" s="113" t="n"/>
      <c r="Z4288" s="117">
        <f>IF($B4288="",0,IF($S4288="EVET",IF($D4288="GELİR",$O4288,-$O4288),0))</f>
        <v/>
      </c>
      <c r="AA4288" s="117">
        <f>IF($B4288="",0,IF(OR($W4288="EVET",$X4288="EVET",$Y4288="EVET"),0,IF($D4288="GELİR",IF($E4288="SATIŞ İADESİ/İSKONTO",-$O4288,$O4288),-$O4288)))</f>
        <v/>
      </c>
      <c r="AB4288" s="117">
        <f>IF($B4288="","",IF(OR($D4288="",$E4288="",$O4288=""),"EKSİK",IF($O4288&lt;=0,"SIFIR/NEGATİF",IF(COUNTIFS($C$6:$C$5000,$C4288,$O$6:$O$5000,$O4288,$B$6:$B$5000,$B4288)&gt;1,"MÜKERRER","OK"))))</f>
        <v/>
      </c>
    </row>
    <row r="4289" ht="16.5" customHeight="1" s="80">
      <c r="A4289" s="113" t="n"/>
      <c r="B4289" s="113" t="n"/>
      <c r="C4289" s="113" t="n"/>
      <c r="D4289" s="113" t="n"/>
      <c r="E4289" s="113" t="n"/>
      <c r="F4289" s="113" t="n"/>
      <c r="G4289" s="113" t="n"/>
      <c r="H4289" s="113" t="n"/>
      <c r="I4289" s="113" t="n"/>
      <c r="J4289" s="113" t="n"/>
      <c r="K4289" s="113" t="n"/>
      <c r="L4289" s="113" t="n"/>
      <c r="M4289" s="113" t="n"/>
      <c r="N4289" s="113" t="n"/>
      <c r="O4289" s="113" t="n"/>
      <c r="P4289" s="113" t="n"/>
      <c r="Q4289" s="113" t="n"/>
      <c r="R4289" s="113" t="n"/>
      <c r="S4289" s="113" t="n"/>
      <c r="T4289" s="113" t="n"/>
      <c r="U4289" s="113" t="n"/>
      <c r="V4289" s="113" t="n"/>
      <c r="W4289" s="113" t="n"/>
      <c r="X4289" s="113" t="n"/>
      <c r="Y4289" s="113" t="n"/>
      <c r="Z4289" s="117">
        <f>IF($B4289="",0,IF($S4289="EVET",IF($D4289="GELİR",$O4289,-$O4289),0))</f>
        <v/>
      </c>
      <c r="AA4289" s="117">
        <f>IF($B4289="",0,IF(OR($W4289="EVET",$X4289="EVET",$Y4289="EVET"),0,IF($D4289="GELİR",IF($E4289="SATIŞ İADESİ/İSKONTO",-$O4289,$O4289),-$O4289)))</f>
        <v/>
      </c>
      <c r="AB4289" s="117">
        <f>IF($B4289="","",IF(OR($D4289="",$E4289="",$O4289=""),"EKSİK",IF($O4289&lt;=0,"SIFIR/NEGATİF",IF(COUNTIFS($C$6:$C$5000,$C4289,$O$6:$O$5000,$O4289,$B$6:$B$5000,$B4289)&gt;1,"MÜKERRER","OK"))))</f>
        <v/>
      </c>
    </row>
    <row r="4290" ht="16.5" customHeight="1" s="80">
      <c r="A4290" s="113" t="n"/>
      <c r="B4290" s="113" t="n"/>
      <c r="C4290" s="113" t="n"/>
      <c r="D4290" s="113" t="n"/>
      <c r="E4290" s="113" t="n"/>
      <c r="F4290" s="113" t="n"/>
      <c r="G4290" s="113" t="n"/>
      <c r="H4290" s="113" t="n"/>
      <c r="I4290" s="113" t="n"/>
      <c r="J4290" s="113" t="n"/>
      <c r="K4290" s="113" t="n"/>
      <c r="L4290" s="113" t="n"/>
      <c r="M4290" s="113" t="n"/>
      <c r="N4290" s="113" t="n"/>
      <c r="O4290" s="113" t="n"/>
      <c r="P4290" s="113" t="n"/>
      <c r="Q4290" s="113" t="n"/>
      <c r="R4290" s="113" t="n"/>
      <c r="S4290" s="113" t="n"/>
      <c r="T4290" s="113" t="n"/>
      <c r="U4290" s="113" t="n"/>
      <c r="V4290" s="113" t="n"/>
      <c r="W4290" s="113" t="n"/>
      <c r="X4290" s="113" t="n"/>
      <c r="Y4290" s="113" t="n"/>
      <c r="Z4290" s="117">
        <f>IF($B4290="",0,IF($S4290="EVET",IF($D4290="GELİR",$O4290,-$O4290),0))</f>
        <v/>
      </c>
      <c r="AA4290" s="117">
        <f>IF($B4290="",0,IF(OR($W4290="EVET",$X4290="EVET",$Y4290="EVET"),0,IF($D4290="GELİR",IF($E4290="SATIŞ İADESİ/İSKONTO",-$O4290,$O4290),-$O4290)))</f>
        <v/>
      </c>
      <c r="AB4290" s="117">
        <f>IF($B4290="","",IF(OR($D4290="",$E4290="",$O4290=""),"EKSİK",IF($O4290&lt;=0,"SIFIR/NEGATİF",IF(COUNTIFS($C$6:$C$5000,$C4290,$O$6:$O$5000,$O4290,$B$6:$B$5000,$B4290)&gt;1,"MÜKERRER","OK"))))</f>
        <v/>
      </c>
    </row>
    <row r="4291" ht="16.5" customHeight="1" s="80">
      <c r="A4291" s="113" t="n"/>
      <c r="B4291" s="113" t="n"/>
      <c r="C4291" s="113" t="n"/>
      <c r="D4291" s="113" t="n"/>
      <c r="E4291" s="113" t="n"/>
      <c r="F4291" s="113" t="n"/>
      <c r="G4291" s="113" t="n"/>
      <c r="H4291" s="113" t="n"/>
      <c r="I4291" s="113" t="n"/>
      <c r="J4291" s="113" t="n"/>
      <c r="K4291" s="113" t="n"/>
      <c r="L4291" s="113" t="n"/>
      <c r="M4291" s="113" t="n"/>
      <c r="N4291" s="113" t="n"/>
      <c r="O4291" s="113" t="n"/>
      <c r="P4291" s="113" t="n"/>
      <c r="Q4291" s="113" t="n"/>
      <c r="R4291" s="113" t="n"/>
      <c r="S4291" s="113" t="n"/>
      <c r="T4291" s="113" t="n"/>
      <c r="U4291" s="113" t="n"/>
      <c r="V4291" s="113" t="n"/>
      <c r="W4291" s="113" t="n"/>
      <c r="X4291" s="113" t="n"/>
      <c r="Y4291" s="113" t="n"/>
      <c r="Z4291" s="117">
        <f>IF($B4291="",0,IF($S4291="EVET",IF($D4291="GELİR",$O4291,-$O4291),0))</f>
        <v/>
      </c>
      <c r="AA4291" s="117">
        <f>IF($B4291="",0,IF(OR($W4291="EVET",$X4291="EVET",$Y4291="EVET"),0,IF($D4291="GELİR",IF($E4291="SATIŞ İADESİ/İSKONTO",-$O4291,$O4291),-$O4291)))</f>
        <v/>
      </c>
      <c r="AB4291" s="117">
        <f>IF($B4291="","",IF(OR($D4291="",$E4291="",$O4291=""),"EKSİK",IF($O4291&lt;=0,"SIFIR/NEGATİF",IF(COUNTIFS($C$6:$C$5000,$C4291,$O$6:$O$5000,$O4291,$B$6:$B$5000,$B4291)&gt;1,"MÜKERRER","OK"))))</f>
        <v/>
      </c>
    </row>
    <row r="4292" ht="16.5" customHeight="1" s="80">
      <c r="A4292" s="113" t="n"/>
      <c r="B4292" s="113" t="n"/>
      <c r="C4292" s="113" t="n"/>
      <c r="D4292" s="113" t="n"/>
      <c r="E4292" s="113" t="n"/>
      <c r="F4292" s="113" t="n"/>
      <c r="G4292" s="113" t="n"/>
      <c r="H4292" s="113" t="n"/>
      <c r="I4292" s="113" t="n"/>
      <c r="J4292" s="113" t="n"/>
      <c r="K4292" s="113" t="n"/>
      <c r="L4292" s="113" t="n"/>
      <c r="M4292" s="113" t="n"/>
      <c r="N4292" s="113" t="n"/>
      <c r="O4292" s="113" t="n"/>
      <c r="P4292" s="113" t="n"/>
      <c r="Q4292" s="113" t="n"/>
      <c r="R4292" s="113" t="n"/>
      <c r="S4292" s="113" t="n"/>
      <c r="T4292" s="113" t="n"/>
      <c r="U4292" s="113" t="n"/>
      <c r="V4292" s="113" t="n"/>
      <c r="W4292" s="113" t="n"/>
      <c r="X4292" s="113" t="n"/>
      <c r="Y4292" s="113" t="n"/>
      <c r="Z4292" s="117">
        <f>IF($B4292="",0,IF($S4292="EVET",IF($D4292="GELİR",$O4292,-$O4292),0))</f>
        <v/>
      </c>
      <c r="AA4292" s="117">
        <f>IF($B4292="",0,IF(OR($W4292="EVET",$X4292="EVET",$Y4292="EVET"),0,IF($D4292="GELİR",IF($E4292="SATIŞ İADESİ/İSKONTO",-$O4292,$O4292),-$O4292)))</f>
        <v/>
      </c>
      <c r="AB4292" s="117">
        <f>IF($B4292="","",IF(OR($D4292="",$E4292="",$O4292=""),"EKSİK",IF($O4292&lt;=0,"SIFIR/NEGATİF",IF(COUNTIFS($C$6:$C$5000,$C4292,$O$6:$O$5000,$O4292,$B$6:$B$5000,$B4292)&gt;1,"MÜKERRER","OK"))))</f>
        <v/>
      </c>
    </row>
    <row r="4293" ht="16.5" customHeight="1" s="80">
      <c r="A4293" s="113" t="n"/>
      <c r="B4293" s="113" t="n"/>
      <c r="C4293" s="113" t="n"/>
      <c r="D4293" s="113" t="n"/>
      <c r="E4293" s="113" t="n"/>
      <c r="F4293" s="113" t="n"/>
      <c r="G4293" s="113" t="n"/>
      <c r="H4293" s="113" t="n"/>
      <c r="I4293" s="113" t="n"/>
      <c r="J4293" s="113" t="n"/>
      <c r="K4293" s="113" t="n"/>
      <c r="L4293" s="113" t="n"/>
      <c r="M4293" s="113" t="n"/>
      <c r="N4293" s="113" t="n"/>
      <c r="O4293" s="113" t="n"/>
      <c r="P4293" s="113" t="n"/>
      <c r="Q4293" s="113" t="n"/>
      <c r="R4293" s="113" t="n"/>
      <c r="S4293" s="113" t="n"/>
      <c r="T4293" s="113" t="n"/>
      <c r="U4293" s="113" t="n"/>
      <c r="V4293" s="113" t="n"/>
      <c r="W4293" s="113" t="n"/>
      <c r="X4293" s="113" t="n"/>
      <c r="Y4293" s="113" t="n"/>
      <c r="Z4293" s="117">
        <f>IF($B4293="",0,IF($S4293="EVET",IF($D4293="GELİR",$O4293,-$O4293),0))</f>
        <v/>
      </c>
      <c r="AA4293" s="117">
        <f>IF($B4293="",0,IF(OR($W4293="EVET",$X4293="EVET",$Y4293="EVET"),0,IF($D4293="GELİR",IF($E4293="SATIŞ İADESİ/İSKONTO",-$O4293,$O4293),-$O4293)))</f>
        <v/>
      </c>
      <c r="AB4293" s="117">
        <f>IF($B4293="","",IF(OR($D4293="",$E4293="",$O4293=""),"EKSİK",IF($O4293&lt;=0,"SIFIR/NEGATİF",IF(COUNTIFS($C$6:$C$5000,$C4293,$O$6:$O$5000,$O4293,$B$6:$B$5000,$B4293)&gt;1,"MÜKERRER","OK"))))</f>
        <v/>
      </c>
    </row>
    <row r="4294" ht="16.5" customHeight="1" s="80">
      <c r="A4294" s="113" t="n"/>
      <c r="B4294" s="113" t="n"/>
      <c r="C4294" s="113" t="n"/>
      <c r="D4294" s="113" t="n"/>
      <c r="E4294" s="113" t="n"/>
      <c r="F4294" s="113" t="n"/>
      <c r="G4294" s="113" t="n"/>
      <c r="H4294" s="113" t="n"/>
      <c r="I4294" s="113" t="n"/>
      <c r="J4294" s="113" t="n"/>
      <c r="K4294" s="113" t="n"/>
      <c r="L4294" s="113" t="n"/>
      <c r="M4294" s="113" t="n"/>
      <c r="N4294" s="113" t="n"/>
      <c r="O4294" s="113" t="n"/>
      <c r="P4294" s="113" t="n"/>
      <c r="Q4294" s="113" t="n"/>
      <c r="R4294" s="113" t="n"/>
      <c r="S4294" s="113" t="n"/>
      <c r="T4294" s="113" t="n"/>
      <c r="U4294" s="113" t="n"/>
      <c r="V4294" s="113" t="n"/>
      <c r="W4294" s="113" t="n"/>
      <c r="X4294" s="113" t="n"/>
      <c r="Y4294" s="113" t="n"/>
      <c r="Z4294" s="117">
        <f>IF($B4294="",0,IF($S4294="EVET",IF($D4294="GELİR",$O4294,-$O4294),0))</f>
        <v/>
      </c>
      <c r="AA4294" s="117">
        <f>IF($B4294="",0,IF(OR($W4294="EVET",$X4294="EVET",$Y4294="EVET"),0,IF($D4294="GELİR",IF($E4294="SATIŞ İADESİ/İSKONTO",-$O4294,$O4294),-$O4294)))</f>
        <v/>
      </c>
      <c r="AB4294" s="117">
        <f>IF($B4294="","",IF(OR($D4294="",$E4294="",$O4294=""),"EKSİK",IF($O4294&lt;=0,"SIFIR/NEGATİF",IF(COUNTIFS($C$6:$C$5000,$C4294,$O$6:$O$5000,$O4294,$B$6:$B$5000,$B4294)&gt;1,"MÜKERRER","OK"))))</f>
        <v/>
      </c>
    </row>
    <row r="4295" ht="16.5" customHeight="1" s="80">
      <c r="A4295" s="113" t="n"/>
      <c r="B4295" s="113" t="n"/>
      <c r="C4295" s="113" t="n"/>
      <c r="D4295" s="113" t="n"/>
      <c r="E4295" s="113" t="n"/>
      <c r="F4295" s="113" t="n"/>
      <c r="G4295" s="113" t="n"/>
      <c r="H4295" s="113" t="n"/>
      <c r="I4295" s="113" t="n"/>
      <c r="J4295" s="113" t="n"/>
      <c r="K4295" s="113" t="n"/>
      <c r="L4295" s="113" t="n"/>
      <c r="M4295" s="113" t="n"/>
      <c r="N4295" s="113" t="n"/>
      <c r="O4295" s="113" t="n"/>
      <c r="P4295" s="113" t="n"/>
      <c r="Q4295" s="113" t="n"/>
      <c r="R4295" s="113" t="n"/>
      <c r="S4295" s="113" t="n"/>
      <c r="T4295" s="113" t="n"/>
      <c r="U4295" s="113" t="n"/>
      <c r="V4295" s="113" t="n"/>
      <c r="W4295" s="113" t="n"/>
      <c r="X4295" s="113" t="n"/>
      <c r="Y4295" s="113" t="n"/>
      <c r="Z4295" s="117">
        <f>IF($B4295="",0,IF($S4295="EVET",IF($D4295="GELİR",$O4295,-$O4295),0))</f>
        <v/>
      </c>
      <c r="AA4295" s="117">
        <f>IF($B4295="",0,IF(OR($W4295="EVET",$X4295="EVET",$Y4295="EVET"),0,IF($D4295="GELİR",IF($E4295="SATIŞ İADESİ/İSKONTO",-$O4295,$O4295),-$O4295)))</f>
        <v/>
      </c>
      <c r="AB4295" s="117">
        <f>IF($B4295="","",IF(OR($D4295="",$E4295="",$O4295=""),"EKSİK",IF($O4295&lt;=0,"SIFIR/NEGATİF",IF(COUNTIFS($C$6:$C$5000,$C4295,$O$6:$O$5000,$O4295,$B$6:$B$5000,$B4295)&gt;1,"MÜKERRER","OK"))))</f>
        <v/>
      </c>
    </row>
    <row r="4296" ht="16.5" customHeight="1" s="80">
      <c r="A4296" s="113" t="n"/>
      <c r="B4296" s="113" t="n"/>
      <c r="C4296" s="113" t="n"/>
      <c r="D4296" s="113" t="n"/>
      <c r="E4296" s="113" t="n"/>
      <c r="F4296" s="113" t="n"/>
      <c r="G4296" s="113" t="n"/>
      <c r="H4296" s="113" t="n"/>
      <c r="I4296" s="113" t="n"/>
      <c r="J4296" s="113" t="n"/>
      <c r="K4296" s="113" t="n"/>
      <c r="L4296" s="113" t="n"/>
      <c r="M4296" s="113" t="n"/>
      <c r="N4296" s="113" t="n"/>
      <c r="O4296" s="113" t="n"/>
      <c r="P4296" s="113" t="n"/>
      <c r="Q4296" s="113" t="n"/>
      <c r="R4296" s="113" t="n"/>
      <c r="S4296" s="113" t="n"/>
      <c r="T4296" s="113" t="n"/>
      <c r="U4296" s="113" t="n"/>
      <c r="V4296" s="113" t="n"/>
      <c r="W4296" s="113" t="n"/>
      <c r="X4296" s="113" t="n"/>
      <c r="Y4296" s="113" t="n"/>
      <c r="Z4296" s="117">
        <f>IF($B4296="",0,IF($S4296="EVET",IF($D4296="GELİR",$O4296,-$O4296),0))</f>
        <v/>
      </c>
      <c r="AA4296" s="117">
        <f>IF($B4296="",0,IF(OR($W4296="EVET",$X4296="EVET",$Y4296="EVET"),0,IF($D4296="GELİR",IF($E4296="SATIŞ İADESİ/İSKONTO",-$O4296,$O4296),-$O4296)))</f>
        <v/>
      </c>
      <c r="AB4296" s="117">
        <f>IF($B4296="","",IF(OR($D4296="",$E4296="",$O4296=""),"EKSİK",IF($O4296&lt;=0,"SIFIR/NEGATİF",IF(COUNTIFS($C$6:$C$5000,$C4296,$O$6:$O$5000,$O4296,$B$6:$B$5000,$B4296)&gt;1,"MÜKERRER","OK"))))</f>
        <v/>
      </c>
    </row>
    <row r="4297" ht="16.5" customHeight="1" s="80">
      <c r="A4297" s="113" t="n"/>
      <c r="B4297" s="113" t="n"/>
      <c r="C4297" s="113" t="n"/>
      <c r="D4297" s="113" t="n"/>
      <c r="E4297" s="113" t="n"/>
      <c r="F4297" s="113" t="n"/>
      <c r="G4297" s="113" t="n"/>
      <c r="H4297" s="113" t="n"/>
      <c r="I4297" s="113" t="n"/>
      <c r="J4297" s="113" t="n"/>
      <c r="K4297" s="113" t="n"/>
      <c r="L4297" s="113" t="n"/>
      <c r="M4297" s="113" t="n"/>
      <c r="N4297" s="113" t="n"/>
      <c r="O4297" s="113" t="n"/>
      <c r="P4297" s="113" t="n"/>
      <c r="Q4297" s="113" t="n"/>
      <c r="R4297" s="113" t="n"/>
      <c r="S4297" s="113" t="n"/>
      <c r="T4297" s="113" t="n"/>
      <c r="U4297" s="113" t="n"/>
      <c r="V4297" s="113" t="n"/>
      <c r="W4297" s="113" t="n"/>
      <c r="X4297" s="113" t="n"/>
      <c r="Y4297" s="113" t="n"/>
      <c r="Z4297" s="117">
        <f>IF($B4297="",0,IF($S4297="EVET",IF($D4297="GELİR",$O4297,-$O4297),0))</f>
        <v/>
      </c>
      <c r="AA4297" s="117">
        <f>IF($B4297="",0,IF(OR($W4297="EVET",$X4297="EVET",$Y4297="EVET"),0,IF($D4297="GELİR",IF($E4297="SATIŞ İADESİ/İSKONTO",-$O4297,$O4297),-$O4297)))</f>
        <v/>
      </c>
      <c r="AB4297" s="117">
        <f>IF($B4297="","",IF(OR($D4297="",$E4297="",$O4297=""),"EKSİK",IF($O4297&lt;=0,"SIFIR/NEGATİF",IF(COUNTIFS($C$6:$C$5000,$C4297,$O$6:$O$5000,$O4297,$B$6:$B$5000,$B4297)&gt;1,"MÜKERRER","OK"))))</f>
        <v/>
      </c>
    </row>
    <row r="4298" ht="16.5" customHeight="1" s="80">
      <c r="A4298" s="113" t="n"/>
      <c r="B4298" s="113" t="n"/>
      <c r="C4298" s="113" t="n"/>
      <c r="D4298" s="113" t="n"/>
      <c r="E4298" s="113" t="n"/>
      <c r="F4298" s="113" t="n"/>
      <c r="G4298" s="113" t="n"/>
      <c r="H4298" s="113" t="n"/>
      <c r="I4298" s="113" t="n"/>
      <c r="J4298" s="113" t="n"/>
      <c r="K4298" s="113" t="n"/>
      <c r="L4298" s="113" t="n"/>
      <c r="M4298" s="113" t="n"/>
      <c r="N4298" s="113" t="n"/>
      <c r="O4298" s="113" t="n"/>
      <c r="P4298" s="113" t="n"/>
      <c r="Q4298" s="113" t="n"/>
      <c r="R4298" s="113" t="n"/>
      <c r="S4298" s="113" t="n"/>
      <c r="T4298" s="113" t="n"/>
      <c r="U4298" s="113" t="n"/>
      <c r="V4298" s="113" t="n"/>
      <c r="W4298" s="113" t="n"/>
      <c r="X4298" s="113" t="n"/>
      <c r="Y4298" s="113" t="n"/>
      <c r="Z4298" s="117">
        <f>IF($B4298="",0,IF($S4298="EVET",IF($D4298="GELİR",$O4298,-$O4298),0))</f>
        <v/>
      </c>
      <c r="AA4298" s="117">
        <f>IF($B4298="",0,IF(OR($W4298="EVET",$X4298="EVET",$Y4298="EVET"),0,IF($D4298="GELİR",IF($E4298="SATIŞ İADESİ/İSKONTO",-$O4298,$O4298),-$O4298)))</f>
        <v/>
      </c>
      <c r="AB4298" s="117">
        <f>IF($B4298="","",IF(OR($D4298="",$E4298="",$O4298=""),"EKSİK",IF($O4298&lt;=0,"SIFIR/NEGATİF",IF(COUNTIFS($C$6:$C$5000,$C4298,$O$6:$O$5000,$O4298,$B$6:$B$5000,$B4298)&gt;1,"MÜKERRER","OK"))))</f>
        <v/>
      </c>
    </row>
    <row r="4299" ht="16.5" customHeight="1" s="80">
      <c r="A4299" s="113" t="n"/>
      <c r="B4299" s="113" t="n"/>
      <c r="C4299" s="113" t="n"/>
      <c r="D4299" s="113" t="n"/>
      <c r="E4299" s="113" t="n"/>
      <c r="F4299" s="113" t="n"/>
      <c r="G4299" s="113" t="n"/>
      <c r="H4299" s="113" t="n"/>
      <c r="I4299" s="113" t="n"/>
      <c r="J4299" s="113" t="n"/>
      <c r="K4299" s="113" t="n"/>
      <c r="L4299" s="113" t="n"/>
      <c r="M4299" s="113" t="n"/>
      <c r="N4299" s="113" t="n"/>
      <c r="O4299" s="113" t="n"/>
      <c r="P4299" s="113" t="n"/>
      <c r="Q4299" s="113" t="n"/>
      <c r="R4299" s="113" t="n"/>
      <c r="S4299" s="113" t="n"/>
      <c r="T4299" s="113" t="n"/>
      <c r="U4299" s="113" t="n"/>
      <c r="V4299" s="113" t="n"/>
      <c r="W4299" s="113" t="n"/>
      <c r="X4299" s="113" t="n"/>
      <c r="Y4299" s="113" t="n"/>
      <c r="Z4299" s="117">
        <f>IF($B4299="",0,IF($S4299="EVET",IF($D4299="GELİR",$O4299,-$O4299),0))</f>
        <v/>
      </c>
      <c r="AA4299" s="117">
        <f>IF($B4299="",0,IF(OR($W4299="EVET",$X4299="EVET",$Y4299="EVET"),0,IF($D4299="GELİR",IF($E4299="SATIŞ İADESİ/İSKONTO",-$O4299,$O4299),-$O4299)))</f>
        <v/>
      </c>
      <c r="AB4299" s="117">
        <f>IF($B4299="","",IF(OR($D4299="",$E4299="",$O4299=""),"EKSİK",IF($O4299&lt;=0,"SIFIR/NEGATİF",IF(COUNTIFS($C$6:$C$5000,$C4299,$O$6:$O$5000,$O4299,$B$6:$B$5000,$B4299)&gt;1,"MÜKERRER","OK"))))</f>
        <v/>
      </c>
    </row>
    <row r="4300" ht="16.5" customHeight="1" s="80">
      <c r="A4300" s="113" t="n"/>
      <c r="B4300" s="113" t="n"/>
      <c r="C4300" s="113" t="n"/>
      <c r="D4300" s="113" t="n"/>
      <c r="E4300" s="113" t="n"/>
      <c r="F4300" s="113" t="n"/>
      <c r="G4300" s="113" t="n"/>
      <c r="H4300" s="113" t="n"/>
      <c r="I4300" s="113" t="n"/>
      <c r="J4300" s="113" t="n"/>
      <c r="K4300" s="113" t="n"/>
      <c r="L4300" s="113" t="n"/>
      <c r="M4300" s="113" t="n"/>
      <c r="N4300" s="113" t="n"/>
      <c r="O4300" s="113" t="n"/>
      <c r="P4300" s="113" t="n"/>
      <c r="Q4300" s="113" t="n"/>
      <c r="R4300" s="113" t="n"/>
      <c r="S4300" s="113" t="n"/>
      <c r="T4300" s="113" t="n"/>
      <c r="U4300" s="113" t="n"/>
      <c r="V4300" s="113" t="n"/>
      <c r="W4300" s="113" t="n"/>
      <c r="X4300" s="113" t="n"/>
      <c r="Y4300" s="113" t="n"/>
      <c r="Z4300" s="117">
        <f>IF($B4300="",0,IF($S4300="EVET",IF($D4300="GELİR",$O4300,-$O4300),0))</f>
        <v/>
      </c>
      <c r="AA4300" s="117">
        <f>IF($B4300="",0,IF(OR($W4300="EVET",$X4300="EVET",$Y4300="EVET"),0,IF($D4300="GELİR",IF($E4300="SATIŞ İADESİ/İSKONTO",-$O4300,$O4300),-$O4300)))</f>
        <v/>
      </c>
      <c r="AB4300" s="117">
        <f>IF($B4300="","",IF(OR($D4300="",$E4300="",$O4300=""),"EKSİK",IF($O4300&lt;=0,"SIFIR/NEGATİF",IF(COUNTIFS($C$6:$C$5000,$C4300,$O$6:$O$5000,$O4300,$B$6:$B$5000,$B4300)&gt;1,"MÜKERRER","OK"))))</f>
        <v/>
      </c>
    </row>
    <row r="4301" ht="16.5" customHeight="1" s="80">
      <c r="A4301" s="113" t="n"/>
      <c r="B4301" s="113" t="n"/>
      <c r="C4301" s="113" t="n"/>
      <c r="D4301" s="113" t="n"/>
      <c r="E4301" s="113" t="n"/>
      <c r="F4301" s="113" t="n"/>
      <c r="G4301" s="113" t="n"/>
      <c r="H4301" s="113" t="n"/>
      <c r="I4301" s="113" t="n"/>
      <c r="J4301" s="113" t="n"/>
      <c r="K4301" s="113" t="n"/>
      <c r="L4301" s="113" t="n"/>
      <c r="M4301" s="113" t="n"/>
      <c r="N4301" s="113" t="n"/>
      <c r="O4301" s="113" t="n"/>
      <c r="P4301" s="113" t="n"/>
      <c r="Q4301" s="113" t="n"/>
      <c r="R4301" s="113" t="n"/>
      <c r="S4301" s="113" t="n"/>
      <c r="T4301" s="113" t="n"/>
      <c r="U4301" s="113" t="n"/>
      <c r="V4301" s="113" t="n"/>
      <c r="W4301" s="113" t="n"/>
      <c r="X4301" s="113" t="n"/>
      <c r="Y4301" s="113" t="n"/>
      <c r="Z4301" s="117">
        <f>IF($B4301="",0,IF($S4301="EVET",IF($D4301="GELİR",$O4301,-$O4301),0))</f>
        <v/>
      </c>
      <c r="AA4301" s="117">
        <f>IF($B4301="",0,IF(OR($W4301="EVET",$X4301="EVET",$Y4301="EVET"),0,IF($D4301="GELİR",IF($E4301="SATIŞ İADESİ/İSKONTO",-$O4301,$O4301),-$O4301)))</f>
        <v/>
      </c>
      <c r="AB4301" s="117">
        <f>IF($B4301="","",IF(OR($D4301="",$E4301="",$O4301=""),"EKSİK",IF($O4301&lt;=0,"SIFIR/NEGATİF",IF(COUNTIFS($C$6:$C$5000,$C4301,$O$6:$O$5000,$O4301,$B$6:$B$5000,$B4301)&gt;1,"MÜKERRER","OK"))))</f>
        <v/>
      </c>
    </row>
    <row r="4302" ht="16.5" customHeight="1" s="80">
      <c r="A4302" s="113" t="n"/>
      <c r="B4302" s="113" t="n"/>
      <c r="C4302" s="113" t="n"/>
      <c r="D4302" s="113" t="n"/>
      <c r="E4302" s="113" t="n"/>
      <c r="F4302" s="113" t="n"/>
      <c r="G4302" s="113" t="n"/>
      <c r="H4302" s="113" t="n"/>
      <c r="I4302" s="113" t="n"/>
      <c r="J4302" s="113" t="n"/>
      <c r="K4302" s="113" t="n"/>
      <c r="L4302" s="113" t="n"/>
      <c r="M4302" s="113" t="n"/>
      <c r="N4302" s="113" t="n"/>
      <c r="O4302" s="113" t="n"/>
      <c r="P4302" s="113" t="n"/>
      <c r="Q4302" s="113" t="n"/>
      <c r="R4302" s="113" t="n"/>
      <c r="S4302" s="113" t="n"/>
      <c r="T4302" s="113" t="n"/>
      <c r="U4302" s="113" t="n"/>
      <c r="V4302" s="113" t="n"/>
      <c r="W4302" s="113" t="n"/>
      <c r="X4302" s="113" t="n"/>
      <c r="Y4302" s="113" t="n"/>
      <c r="Z4302" s="117">
        <f>IF($B4302="",0,IF($S4302="EVET",IF($D4302="GELİR",$O4302,-$O4302),0))</f>
        <v/>
      </c>
      <c r="AA4302" s="117">
        <f>IF($B4302="",0,IF(OR($W4302="EVET",$X4302="EVET",$Y4302="EVET"),0,IF($D4302="GELİR",IF($E4302="SATIŞ İADESİ/İSKONTO",-$O4302,$O4302),-$O4302)))</f>
        <v/>
      </c>
      <c r="AB4302" s="117">
        <f>IF($B4302="","",IF(OR($D4302="",$E4302="",$O4302=""),"EKSİK",IF($O4302&lt;=0,"SIFIR/NEGATİF",IF(COUNTIFS($C$6:$C$5000,$C4302,$O$6:$O$5000,$O4302,$B$6:$B$5000,$B4302)&gt;1,"MÜKERRER","OK"))))</f>
        <v/>
      </c>
    </row>
    <row r="4303" ht="16.5" customHeight="1" s="80">
      <c r="A4303" s="113" t="n"/>
      <c r="B4303" s="113" t="n"/>
      <c r="C4303" s="113" t="n"/>
      <c r="D4303" s="113" t="n"/>
      <c r="E4303" s="113" t="n"/>
      <c r="F4303" s="113" t="n"/>
      <c r="G4303" s="113" t="n"/>
      <c r="H4303" s="113" t="n"/>
      <c r="I4303" s="113" t="n"/>
      <c r="J4303" s="113" t="n"/>
      <c r="K4303" s="113" t="n"/>
      <c r="L4303" s="113" t="n"/>
      <c r="M4303" s="113" t="n"/>
      <c r="N4303" s="113" t="n"/>
      <c r="O4303" s="113" t="n"/>
      <c r="P4303" s="113" t="n"/>
      <c r="Q4303" s="113" t="n"/>
      <c r="R4303" s="113" t="n"/>
      <c r="S4303" s="113" t="n"/>
      <c r="T4303" s="113" t="n"/>
      <c r="U4303" s="113" t="n"/>
      <c r="V4303" s="113" t="n"/>
      <c r="W4303" s="113" t="n"/>
      <c r="X4303" s="113" t="n"/>
      <c r="Y4303" s="113" t="n"/>
      <c r="Z4303" s="117">
        <f>IF($B4303="",0,IF($S4303="EVET",IF($D4303="GELİR",$O4303,-$O4303),0))</f>
        <v/>
      </c>
      <c r="AA4303" s="117">
        <f>IF($B4303="",0,IF(OR($W4303="EVET",$X4303="EVET",$Y4303="EVET"),0,IF($D4303="GELİR",IF($E4303="SATIŞ İADESİ/İSKONTO",-$O4303,$O4303),-$O4303)))</f>
        <v/>
      </c>
      <c r="AB4303" s="117">
        <f>IF($B4303="","",IF(OR($D4303="",$E4303="",$O4303=""),"EKSİK",IF($O4303&lt;=0,"SIFIR/NEGATİF",IF(COUNTIFS($C$6:$C$5000,$C4303,$O$6:$O$5000,$O4303,$B$6:$B$5000,$B4303)&gt;1,"MÜKERRER","OK"))))</f>
        <v/>
      </c>
    </row>
    <row r="4304" ht="16.5" customHeight="1" s="80">
      <c r="A4304" s="113" t="n"/>
      <c r="B4304" s="113" t="n"/>
      <c r="C4304" s="113" t="n"/>
      <c r="D4304" s="113" t="n"/>
      <c r="E4304" s="113" t="n"/>
      <c r="F4304" s="113" t="n"/>
      <c r="G4304" s="113" t="n"/>
      <c r="H4304" s="113" t="n"/>
      <c r="I4304" s="113" t="n"/>
      <c r="J4304" s="113" t="n"/>
      <c r="K4304" s="113" t="n"/>
      <c r="L4304" s="113" t="n"/>
      <c r="M4304" s="113" t="n"/>
      <c r="N4304" s="113" t="n"/>
      <c r="O4304" s="113" t="n"/>
      <c r="P4304" s="113" t="n"/>
      <c r="Q4304" s="113" t="n"/>
      <c r="R4304" s="113" t="n"/>
      <c r="S4304" s="113" t="n"/>
      <c r="T4304" s="113" t="n"/>
      <c r="U4304" s="113" t="n"/>
      <c r="V4304" s="113" t="n"/>
      <c r="W4304" s="113" t="n"/>
      <c r="X4304" s="113" t="n"/>
      <c r="Y4304" s="113" t="n"/>
      <c r="Z4304" s="117">
        <f>IF($B4304="",0,IF($S4304="EVET",IF($D4304="GELİR",$O4304,-$O4304),0))</f>
        <v/>
      </c>
      <c r="AA4304" s="117">
        <f>IF($B4304="",0,IF(OR($W4304="EVET",$X4304="EVET",$Y4304="EVET"),0,IF($D4304="GELİR",IF($E4304="SATIŞ İADESİ/İSKONTO",-$O4304,$O4304),-$O4304)))</f>
        <v/>
      </c>
      <c r="AB4304" s="117">
        <f>IF($B4304="","",IF(OR($D4304="",$E4304="",$O4304=""),"EKSİK",IF($O4304&lt;=0,"SIFIR/NEGATİF",IF(COUNTIFS($C$6:$C$5000,$C4304,$O$6:$O$5000,$O4304,$B$6:$B$5000,$B4304)&gt;1,"MÜKERRER","OK"))))</f>
        <v/>
      </c>
    </row>
    <row r="4305" ht="16.5" customHeight="1" s="80">
      <c r="A4305" s="113" t="n"/>
      <c r="B4305" s="113" t="n"/>
      <c r="C4305" s="113" t="n"/>
      <c r="D4305" s="113" t="n"/>
      <c r="E4305" s="113" t="n"/>
      <c r="F4305" s="113" t="n"/>
      <c r="G4305" s="113" t="n"/>
      <c r="H4305" s="113" t="n"/>
      <c r="I4305" s="113" t="n"/>
      <c r="J4305" s="113" t="n"/>
      <c r="K4305" s="113" t="n"/>
      <c r="L4305" s="113" t="n"/>
      <c r="M4305" s="113" t="n"/>
      <c r="N4305" s="113" t="n"/>
      <c r="O4305" s="113" t="n"/>
      <c r="P4305" s="113" t="n"/>
      <c r="Q4305" s="113" t="n"/>
      <c r="R4305" s="113" t="n"/>
      <c r="S4305" s="113" t="n"/>
      <c r="T4305" s="113" t="n"/>
      <c r="U4305" s="113" t="n"/>
      <c r="V4305" s="113" t="n"/>
      <c r="W4305" s="113" t="n"/>
      <c r="X4305" s="113" t="n"/>
      <c r="Y4305" s="113" t="n"/>
      <c r="Z4305" s="117">
        <f>IF($B4305="",0,IF($S4305="EVET",IF($D4305="GELİR",$O4305,-$O4305),0))</f>
        <v/>
      </c>
      <c r="AA4305" s="117">
        <f>IF($B4305="",0,IF(OR($W4305="EVET",$X4305="EVET",$Y4305="EVET"),0,IF($D4305="GELİR",IF($E4305="SATIŞ İADESİ/İSKONTO",-$O4305,$O4305),-$O4305)))</f>
        <v/>
      </c>
      <c r="AB4305" s="117">
        <f>IF($B4305="","",IF(OR($D4305="",$E4305="",$O4305=""),"EKSİK",IF($O4305&lt;=0,"SIFIR/NEGATİF",IF(COUNTIFS($C$6:$C$5000,$C4305,$O$6:$O$5000,$O4305,$B$6:$B$5000,$B4305)&gt;1,"MÜKERRER","OK"))))</f>
        <v/>
      </c>
    </row>
    <row r="4306" ht="16.5" customHeight="1" s="80">
      <c r="A4306" s="113" t="n"/>
      <c r="B4306" s="113" t="n"/>
      <c r="C4306" s="113" t="n"/>
      <c r="D4306" s="113" t="n"/>
      <c r="E4306" s="113" t="n"/>
      <c r="F4306" s="113" t="n"/>
      <c r="G4306" s="113" t="n"/>
      <c r="H4306" s="113" t="n"/>
      <c r="I4306" s="113" t="n"/>
      <c r="J4306" s="113" t="n"/>
      <c r="K4306" s="113" t="n"/>
      <c r="L4306" s="113" t="n"/>
      <c r="M4306" s="113" t="n"/>
      <c r="N4306" s="113" t="n"/>
      <c r="O4306" s="113" t="n"/>
      <c r="P4306" s="113" t="n"/>
      <c r="Q4306" s="113" t="n"/>
      <c r="R4306" s="113" t="n"/>
      <c r="S4306" s="113" t="n"/>
      <c r="T4306" s="113" t="n"/>
      <c r="U4306" s="113" t="n"/>
      <c r="V4306" s="113" t="n"/>
      <c r="W4306" s="113" t="n"/>
      <c r="X4306" s="113" t="n"/>
      <c r="Y4306" s="113" t="n"/>
      <c r="Z4306" s="117">
        <f>IF($B4306="",0,IF($S4306="EVET",IF($D4306="GELİR",$O4306,-$O4306),0))</f>
        <v/>
      </c>
      <c r="AA4306" s="117">
        <f>IF($B4306="",0,IF(OR($W4306="EVET",$X4306="EVET",$Y4306="EVET"),0,IF($D4306="GELİR",IF($E4306="SATIŞ İADESİ/İSKONTO",-$O4306,$O4306),-$O4306)))</f>
        <v/>
      </c>
      <c r="AB4306" s="117">
        <f>IF($B4306="","",IF(OR($D4306="",$E4306="",$O4306=""),"EKSİK",IF($O4306&lt;=0,"SIFIR/NEGATİF",IF(COUNTIFS($C$6:$C$5000,$C4306,$O$6:$O$5000,$O4306,$B$6:$B$5000,$B4306)&gt;1,"MÜKERRER","OK"))))</f>
        <v/>
      </c>
    </row>
    <row r="4307" ht="16.5" customHeight="1" s="80">
      <c r="A4307" s="113" t="n"/>
      <c r="B4307" s="113" t="n"/>
      <c r="C4307" s="113" t="n"/>
      <c r="D4307" s="113" t="n"/>
      <c r="E4307" s="113" t="n"/>
      <c r="F4307" s="113" t="n"/>
      <c r="G4307" s="113" t="n"/>
      <c r="H4307" s="113" t="n"/>
      <c r="I4307" s="113" t="n"/>
      <c r="J4307" s="113" t="n"/>
      <c r="K4307" s="113" t="n"/>
      <c r="L4307" s="113" t="n"/>
      <c r="M4307" s="113" t="n"/>
      <c r="N4307" s="113" t="n"/>
      <c r="O4307" s="113" t="n"/>
      <c r="P4307" s="113" t="n"/>
      <c r="Q4307" s="113" t="n"/>
      <c r="R4307" s="113" t="n"/>
      <c r="S4307" s="113" t="n"/>
      <c r="T4307" s="113" t="n"/>
      <c r="U4307" s="113" t="n"/>
      <c r="V4307" s="113" t="n"/>
      <c r="W4307" s="113" t="n"/>
      <c r="X4307" s="113" t="n"/>
      <c r="Y4307" s="113" t="n"/>
      <c r="Z4307" s="117">
        <f>IF($B4307="",0,IF($S4307="EVET",IF($D4307="GELİR",$O4307,-$O4307),0))</f>
        <v/>
      </c>
      <c r="AA4307" s="117">
        <f>IF($B4307="",0,IF(OR($W4307="EVET",$X4307="EVET",$Y4307="EVET"),0,IF($D4307="GELİR",IF($E4307="SATIŞ İADESİ/İSKONTO",-$O4307,$O4307),-$O4307)))</f>
        <v/>
      </c>
      <c r="AB4307" s="117">
        <f>IF($B4307="","",IF(OR($D4307="",$E4307="",$O4307=""),"EKSİK",IF($O4307&lt;=0,"SIFIR/NEGATİF",IF(COUNTIFS($C$6:$C$5000,$C4307,$O$6:$O$5000,$O4307,$B$6:$B$5000,$B4307)&gt;1,"MÜKERRER","OK"))))</f>
        <v/>
      </c>
    </row>
    <row r="4308" ht="16.5" customHeight="1" s="80">
      <c r="A4308" s="113" t="n"/>
      <c r="B4308" s="113" t="n"/>
      <c r="C4308" s="113" t="n"/>
      <c r="D4308" s="113" t="n"/>
      <c r="E4308" s="113" t="n"/>
      <c r="F4308" s="113" t="n"/>
      <c r="G4308" s="113" t="n"/>
      <c r="H4308" s="113" t="n"/>
      <c r="I4308" s="113" t="n"/>
      <c r="J4308" s="113" t="n"/>
      <c r="K4308" s="113" t="n"/>
      <c r="L4308" s="113" t="n"/>
      <c r="M4308" s="113" t="n"/>
      <c r="N4308" s="113" t="n"/>
      <c r="O4308" s="113" t="n"/>
      <c r="P4308" s="113" t="n"/>
      <c r="Q4308" s="113" t="n"/>
      <c r="R4308" s="113" t="n"/>
      <c r="S4308" s="113" t="n"/>
      <c r="T4308" s="113" t="n"/>
      <c r="U4308" s="113" t="n"/>
      <c r="V4308" s="113" t="n"/>
      <c r="W4308" s="113" t="n"/>
      <c r="X4308" s="113" t="n"/>
      <c r="Y4308" s="113" t="n"/>
      <c r="Z4308" s="117">
        <f>IF($B4308="",0,IF($S4308="EVET",IF($D4308="GELİR",$O4308,-$O4308),0))</f>
        <v/>
      </c>
      <c r="AA4308" s="117">
        <f>IF($B4308="",0,IF(OR($W4308="EVET",$X4308="EVET",$Y4308="EVET"),0,IF($D4308="GELİR",IF($E4308="SATIŞ İADESİ/İSKONTO",-$O4308,$O4308),-$O4308)))</f>
        <v/>
      </c>
      <c r="AB4308" s="117">
        <f>IF($B4308="","",IF(OR($D4308="",$E4308="",$O4308=""),"EKSİK",IF($O4308&lt;=0,"SIFIR/NEGATİF",IF(COUNTIFS($C$6:$C$5000,$C4308,$O$6:$O$5000,$O4308,$B$6:$B$5000,$B4308)&gt;1,"MÜKERRER","OK"))))</f>
        <v/>
      </c>
    </row>
    <row r="4309" ht="16.5" customHeight="1" s="80">
      <c r="A4309" s="113" t="n"/>
      <c r="B4309" s="113" t="n"/>
      <c r="C4309" s="113" t="n"/>
      <c r="D4309" s="113" t="n"/>
      <c r="E4309" s="113" t="n"/>
      <c r="F4309" s="113" t="n"/>
      <c r="G4309" s="113" t="n"/>
      <c r="H4309" s="113" t="n"/>
      <c r="I4309" s="113" t="n"/>
      <c r="J4309" s="113" t="n"/>
      <c r="K4309" s="113" t="n"/>
      <c r="L4309" s="113" t="n"/>
      <c r="M4309" s="113" t="n"/>
      <c r="N4309" s="113" t="n"/>
      <c r="O4309" s="113" t="n"/>
      <c r="P4309" s="113" t="n"/>
      <c r="Q4309" s="113" t="n"/>
      <c r="R4309" s="113" t="n"/>
      <c r="S4309" s="113" t="n"/>
      <c r="T4309" s="113" t="n"/>
      <c r="U4309" s="113" t="n"/>
      <c r="V4309" s="113" t="n"/>
      <c r="W4309" s="113" t="n"/>
      <c r="X4309" s="113" t="n"/>
      <c r="Y4309" s="113" t="n"/>
      <c r="Z4309" s="117">
        <f>IF($B4309="",0,IF($S4309="EVET",IF($D4309="GELİR",$O4309,-$O4309),0))</f>
        <v/>
      </c>
      <c r="AA4309" s="117">
        <f>IF($B4309="",0,IF(OR($W4309="EVET",$X4309="EVET",$Y4309="EVET"),0,IF($D4309="GELİR",IF($E4309="SATIŞ İADESİ/İSKONTO",-$O4309,$O4309),-$O4309)))</f>
        <v/>
      </c>
      <c r="AB4309" s="117">
        <f>IF($B4309="","",IF(OR($D4309="",$E4309="",$O4309=""),"EKSİK",IF($O4309&lt;=0,"SIFIR/NEGATİF",IF(COUNTIFS($C$6:$C$5000,$C4309,$O$6:$O$5000,$O4309,$B$6:$B$5000,$B4309)&gt;1,"MÜKERRER","OK"))))</f>
        <v/>
      </c>
    </row>
    <row r="4310" ht="16.5" customHeight="1" s="80">
      <c r="A4310" s="113" t="n"/>
      <c r="B4310" s="113" t="n"/>
      <c r="C4310" s="113" t="n"/>
      <c r="D4310" s="113" t="n"/>
      <c r="E4310" s="113" t="n"/>
      <c r="F4310" s="113" t="n"/>
      <c r="G4310" s="113" t="n"/>
      <c r="H4310" s="113" t="n"/>
      <c r="I4310" s="113" t="n"/>
      <c r="J4310" s="113" t="n"/>
      <c r="K4310" s="113" t="n"/>
      <c r="L4310" s="113" t="n"/>
      <c r="M4310" s="113" t="n"/>
      <c r="N4310" s="113" t="n"/>
      <c r="O4310" s="113" t="n"/>
      <c r="P4310" s="113" t="n"/>
      <c r="Q4310" s="113" t="n"/>
      <c r="R4310" s="113" t="n"/>
      <c r="S4310" s="113" t="n"/>
      <c r="T4310" s="113" t="n"/>
      <c r="U4310" s="113" t="n"/>
      <c r="V4310" s="113" t="n"/>
      <c r="W4310" s="113" t="n"/>
      <c r="X4310" s="113" t="n"/>
      <c r="Y4310" s="113" t="n"/>
      <c r="Z4310" s="117">
        <f>IF($B4310="",0,IF($S4310="EVET",IF($D4310="GELİR",$O4310,-$O4310),0))</f>
        <v/>
      </c>
      <c r="AA4310" s="117">
        <f>IF($B4310="",0,IF(OR($W4310="EVET",$X4310="EVET",$Y4310="EVET"),0,IF($D4310="GELİR",IF($E4310="SATIŞ İADESİ/İSKONTO",-$O4310,$O4310),-$O4310)))</f>
        <v/>
      </c>
      <c r="AB4310" s="117">
        <f>IF($B4310="","",IF(OR($D4310="",$E4310="",$O4310=""),"EKSİK",IF($O4310&lt;=0,"SIFIR/NEGATİF",IF(COUNTIFS($C$6:$C$5000,$C4310,$O$6:$O$5000,$O4310,$B$6:$B$5000,$B4310)&gt;1,"MÜKERRER","OK"))))</f>
        <v/>
      </c>
    </row>
    <row r="4311" ht="16.5" customHeight="1" s="80">
      <c r="A4311" s="113" t="n"/>
      <c r="B4311" s="113" t="n"/>
      <c r="C4311" s="113" t="n"/>
      <c r="D4311" s="113" t="n"/>
      <c r="E4311" s="113" t="n"/>
      <c r="F4311" s="113" t="n"/>
      <c r="G4311" s="113" t="n"/>
      <c r="H4311" s="113" t="n"/>
      <c r="I4311" s="113" t="n"/>
      <c r="J4311" s="113" t="n"/>
      <c r="K4311" s="113" t="n"/>
      <c r="L4311" s="113" t="n"/>
      <c r="M4311" s="113" t="n"/>
      <c r="N4311" s="113" t="n"/>
      <c r="O4311" s="113" t="n"/>
      <c r="P4311" s="113" t="n"/>
      <c r="Q4311" s="113" t="n"/>
      <c r="R4311" s="113" t="n"/>
      <c r="S4311" s="113" t="n"/>
      <c r="T4311" s="113" t="n"/>
      <c r="U4311" s="113" t="n"/>
      <c r="V4311" s="113" t="n"/>
      <c r="W4311" s="113" t="n"/>
      <c r="X4311" s="113" t="n"/>
      <c r="Y4311" s="113" t="n"/>
      <c r="Z4311" s="117">
        <f>IF($B4311="",0,IF($S4311="EVET",IF($D4311="GELİR",$O4311,-$O4311),0))</f>
        <v/>
      </c>
      <c r="AA4311" s="117">
        <f>IF($B4311="",0,IF(OR($W4311="EVET",$X4311="EVET",$Y4311="EVET"),0,IF($D4311="GELİR",IF($E4311="SATIŞ İADESİ/İSKONTO",-$O4311,$O4311),-$O4311)))</f>
        <v/>
      </c>
      <c r="AB4311" s="117">
        <f>IF($B4311="","",IF(OR($D4311="",$E4311="",$O4311=""),"EKSİK",IF($O4311&lt;=0,"SIFIR/NEGATİF",IF(COUNTIFS($C$6:$C$5000,$C4311,$O$6:$O$5000,$O4311,$B$6:$B$5000,$B4311)&gt;1,"MÜKERRER","OK"))))</f>
        <v/>
      </c>
    </row>
    <row r="4312" ht="16.5" customHeight="1" s="80">
      <c r="A4312" s="113" t="n"/>
      <c r="B4312" s="113" t="n"/>
      <c r="C4312" s="113" t="n"/>
      <c r="D4312" s="113" t="n"/>
      <c r="E4312" s="113" t="n"/>
      <c r="F4312" s="113" t="n"/>
      <c r="G4312" s="113" t="n"/>
      <c r="H4312" s="113" t="n"/>
      <c r="I4312" s="113" t="n"/>
      <c r="J4312" s="113" t="n"/>
      <c r="K4312" s="113" t="n"/>
      <c r="L4312" s="113" t="n"/>
      <c r="M4312" s="113" t="n"/>
      <c r="N4312" s="113" t="n"/>
      <c r="O4312" s="113" t="n"/>
      <c r="P4312" s="113" t="n"/>
      <c r="Q4312" s="113" t="n"/>
      <c r="R4312" s="113" t="n"/>
      <c r="S4312" s="113" t="n"/>
      <c r="T4312" s="113" t="n"/>
      <c r="U4312" s="113" t="n"/>
      <c r="V4312" s="113" t="n"/>
      <c r="W4312" s="113" t="n"/>
      <c r="X4312" s="113" t="n"/>
      <c r="Y4312" s="113" t="n"/>
      <c r="Z4312" s="117">
        <f>IF($B4312="",0,IF($S4312="EVET",IF($D4312="GELİR",$O4312,-$O4312),0))</f>
        <v/>
      </c>
      <c r="AA4312" s="117">
        <f>IF($B4312="",0,IF(OR($W4312="EVET",$X4312="EVET",$Y4312="EVET"),0,IF($D4312="GELİR",IF($E4312="SATIŞ İADESİ/İSKONTO",-$O4312,$O4312),-$O4312)))</f>
        <v/>
      </c>
      <c r="AB4312" s="117">
        <f>IF($B4312="","",IF(OR($D4312="",$E4312="",$O4312=""),"EKSİK",IF($O4312&lt;=0,"SIFIR/NEGATİF",IF(COUNTIFS($C$6:$C$5000,$C4312,$O$6:$O$5000,$O4312,$B$6:$B$5000,$B4312)&gt;1,"MÜKERRER","OK"))))</f>
        <v/>
      </c>
    </row>
    <row r="4313" ht="16.5" customHeight="1" s="80">
      <c r="A4313" s="113" t="n"/>
      <c r="B4313" s="113" t="n"/>
      <c r="C4313" s="113" t="n"/>
      <c r="D4313" s="113" t="n"/>
      <c r="E4313" s="113" t="n"/>
      <c r="F4313" s="113" t="n"/>
      <c r="G4313" s="113" t="n"/>
      <c r="H4313" s="113" t="n"/>
      <c r="I4313" s="113" t="n"/>
      <c r="J4313" s="113" t="n"/>
      <c r="K4313" s="113" t="n"/>
      <c r="L4313" s="113" t="n"/>
      <c r="M4313" s="113" t="n"/>
      <c r="N4313" s="113" t="n"/>
      <c r="O4313" s="113" t="n"/>
      <c r="P4313" s="113" t="n"/>
      <c r="Q4313" s="113" t="n"/>
      <c r="R4313" s="113" t="n"/>
      <c r="S4313" s="113" t="n"/>
      <c r="T4313" s="113" t="n"/>
      <c r="U4313" s="113" t="n"/>
      <c r="V4313" s="113" t="n"/>
      <c r="W4313" s="113" t="n"/>
      <c r="X4313" s="113" t="n"/>
      <c r="Y4313" s="113" t="n"/>
      <c r="Z4313" s="117">
        <f>IF($B4313="",0,IF($S4313="EVET",IF($D4313="GELİR",$O4313,-$O4313),0))</f>
        <v/>
      </c>
      <c r="AA4313" s="117">
        <f>IF($B4313="",0,IF(OR($W4313="EVET",$X4313="EVET",$Y4313="EVET"),0,IF($D4313="GELİR",IF($E4313="SATIŞ İADESİ/İSKONTO",-$O4313,$O4313),-$O4313)))</f>
        <v/>
      </c>
      <c r="AB4313" s="117">
        <f>IF($B4313="","",IF(OR($D4313="",$E4313="",$O4313=""),"EKSİK",IF($O4313&lt;=0,"SIFIR/NEGATİF",IF(COUNTIFS($C$6:$C$5000,$C4313,$O$6:$O$5000,$O4313,$B$6:$B$5000,$B4313)&gt;1,"MÜKERRER","OK"))))</f>
        <v/>
      </c>
    </row>
    <row r="4314" ht="16.5" customHeight="1" s="80">
      <c r="A4314" s="113" t="n"/>
      <c r="B4314" s="113" t="n"/>
      <c r="C4314" s="113" t="n"/>
      <c r="D4314" s="113" t="n"/>
      <c r="E4314" s="113" t="n"/>
      <c r="F4314" s="113" t="n"/>
      <c r="G4314" s="113" t="n"/>
      <c r="H4314" s="113" t="n"/>
      <c r="I4314" s="113" t="n"/>
      <c r="J4314" s="113" t="n"/>
      <c r="K4314" s="113" t="n"/>
      <c r="L4314" s="113" t="n"/>
      <c r="M4314" s="113" t="n"/>
      <c r="N4314" s="113" t="n"/>
      <c r="O4314" s="113" t="n"/>
      <c r="P4314" s="113" t="n"/>
      <c r="Q4314" s="113" t="n"/>
      <c r="R4314" s="113" t="n"/>
      <c r="S4314" s="113" t="n"/>
      <c r="T4314" s="113" t="n"/>
      <c r="U4314" s="113" t="n"/>
      <c r="V4314" s="113" t="n"/>
      <c r="W4314" s="113" t="n"/>
      <c r="X4314" s="113" t="n"/>
      <c r="Y4314" s="113" t="n"/>
      <c r="Z4314" s="117">
        <f>IF($B4314="",0,IF($S4314="EVET",IF($D4314="GELİR",$O4314,-$O4314),0))</f>
        <v/>
      </c>
      <c r="AA4314" s="117">
        <f>IF($B4314="",0,IF(OR($W4314="EVET",$X4314="EVET",$Y4314="EVET"),0,IF($D4314="GELİR",IF($E4314="SATIŞ İADESİ/İSKONTO",-$O4314,$O4314),-$O4314)))</f>
        <v/>
      </c>
      <c r="AB4314" s="117">
        <f>IF($B4314="","",IF(OR($D4314="",$E4314="",$O4314=""),"EKSİK",IF($O4314&lt;=0,"SIFIR/NEGATİF",IF(COUNTIFS($C$6:$C$5000,$C4314,$O$6:$O$5000,$O4314,$B$6:$B$5000,$B4314)&gt;1,"MÜKERRER","OK"))))</f>
        <v/>
      </c>
    </row>
    <row r="4315" ht="16.5" customHeight="1" s="80">
      <c r="A4315" s="113" t="n"/>
      <c r="B4315" s="113" t="n"/>
      <c r="C4315" s="113" t="n"/>
      <c r="D4315" s="113" t="n"/>
      <c r="E4315" s="113" t="n"/>
      <c r="F4315" s="113" t="n"/>
      <c r="G4315" s="113" t="n"/>
      <c r="H4315" s="113" t="n"/>
      <c r="I4315" s="113" t="n"/>
      <c r="J4315" s="113" t="n"/>
      <c r="K4315" s="113" t="n"/>
      <c r="L4315" s="113" t="n"/>
      <c r="M4315" s="113" t="n"/>
      <c r="N4315" s="113" t="n"/>
      <c r="O4315" s="113" t="n"/>
      <c r="P4315" s="113" t="n"/>
      <c r="Q4315" s="113" t="n"/>
      <c r="R4315" s="113" t="n"/>
      <c r="S4315" s="113" t="n"/>
      <c r="T4315" s="113" t="n"/>
      <c r="U4315" s="113" t="n"/>
      <c r="V4315" s="113" t="n"/>
      <c r="W4315" s="113" t="n"/>
      <c r="X4315" s="113" t="n"/>
      <c r="Y4315" s="113" t="n"/>
      <c r="Z4315" s="117">
        <f>IF($B4315="",0,IF($S4315="EVET",IF($D4315="GELİR",$O4315,-$O4315),0))</f>
        <v/>
      </c>
      <c r="AA4315" s="117">
        <f>IF($B4315="",0,IF(OR($W4315="EVET",$X4315="EVET",$Y4315="EVET"),0,IF($D4315="GELİR",IF($E4315="SATIŞ İADESİ/İSKONTO",-$O4315,$O4315),-$O4315)))</f>
        <v/>
      </c>
      <c r="AB4315" s="117">
        <f>IF($B4315="","",IF(OR($D4315="",$E4315="",$O4315=""),"EKSİK",IF($O4315&lt;=0,"SIFIR/NEGATİF",IF(COUNTIFS($C$6:$C$5000,$C4315,$O$6:$O$5000,$O4315,$B$6:$B$5000,$B4315)&gt;1,"MÜKERRER","OK"))))</f>
        <v/>
      </c>
    </row>
    <row r="4316" ht="16.5" customHeight="1" s="80">
      <c r="A4316" s="113" t="n"/>
      <c r="B4316" s="113" t="n"/>
      <c r="C4316" s="113" t="n"/>
      <c r="D4316" s="113" t="n"/>
      <c r="E4316" s="113" t="n"/>
      <c r="F4316" s="113" t="n"/>
      <c r="G4316" s="113" t="n"/>
      <c r="H4316" s="113" t="n"/>
      <c r="I4316" s="113" t="n"/>
      <c r="J4316" s="113" t="n"/>
      <c r="K4316" s="113" t="n"/>
      <c r="L4316" s="113" t="n"/>
      <c r="M4316" s="113" t="n"/>
      <c r="N4316" s="113" t="n"/>
      <c r="O4316" s="113" t="n"/>
      <c r="P4316" s="113" t="n"/>
      <c r="Q4316" s="113" t="n"/>
      <c r="R4316" s="113" t="n"/>
      <c r="S4316" s="113" t="n"/>
      <c r="T4316" s="113" t="n"/>
      <c r="U4316" s="113" t="n"/>
      <c r="V4316" s="113" t="n"/>
      <c r="W4316" s="113" t="n"/>
      <c r="X4316" s="113" t="n"/>
      <c r="Y4316" s="113" t="n"/>
      <c r="Z4316" s="117">
        <f>IF($B4316="",0,IF($S4316="EVET",IF($D4316="GELİR",$O4316,-$O4316),0))</f>
        <v/>
      </c>
      <c r="AA4316" s="117">
        <f>IF($B4316="",0,IF(OR($W4316="EVET",$X4316="EVET",$Y4316="EVET"),0,IF($D4316="GELİR",IF($E4316="SATIŞ İADESİ/İSKONTO",-$O4316,$O4316),-$O4316)))</f>
        <v/>
      </c>
      <c r="AB4316" s="117">
        <f>IF($B4316="","",IF(OR($D4316="",$E4316="",$O4316=""),"EKSİK",IF($O4316&lt;=0,"SIFIR/NEGATİF",IF(COUNTIFS($C$6:$C$5000,$C4316,$O$6:$O$5000,$O4316,$B$6:$B$5000,$B4316)&gt;1,"MÜKERRER","OK"))))</f>
        <v/>
      </c>
    </row>
    <row r="4317" ht="16.5" customHeight="1" s="80">
      <c r="A4317" s="113" t="n"/>
      <c r="B4317" s="113" t="n"/>
      <c r="C4317" s="113" t="n"/>
      <c r="D4317" s="113" t="n"/>
      <c r="E4317" s="113" t="n"/>
      <c r="F4317" s="113" t="n"/>
      <c r="G4317" s="113" t="n"/>
      <c r="H4317" s="113" t="n"/>
      <c r="I4317" s="113" t="n"/>
      <c r="J4317" s="113" t="n"/>
      <c r="K4317" s="113" t="n"/>
      <c r="L4317" s="113" t="n"/>
      <c r="M4317" s="113" t="n"/>
      <c r="N4317" s="113" t="n"/>
      <c r="O4317" s="113" t="n"/>
      <c r="P4317" s="113" t="n"/>
      <c r="Q4317" s="113" t="n"/>
      <c r="R4317" s="113" t="n"/>
      <c r="S4317" s="113" t="n"/>
      <c r="T4317" s="113" t="n"/>
      <c r="U4317" s="113" t="n"/>
      <c r="V4317" s="113" t="n"/>
      <c r="W4317" s="113" t="n"/>
      <c r="X4317" s="113" t="n"/>
      <c r="Y4317" s="113" t="n"/>
      <c r="Z4317" s="117">
        <f>IF($B4317="",0,IF($S4317="EVET",IF($D4317="GELİR",$O4317,-$O4317),0))</f>
        <v/>
      </c>
      <c r="AA4317" s="117">
        <f>IF($B4317="",0,IF(OR($W4317="EVET",$X4317="EVET",$Y4317="EVET"),0,IF($D4317="GELİR",IF($E4317="SATIŞ İADESİ/İSKONTO",-$O4317,$O4317),-$O4317)))</f>
        <v/>
      </c>
      <c r="AB4317" s="117">
        <f>IF($B4317="","",IF(OR($D4317="",$E4317="",$O4317=""),"EKSİK",IF($O4317&lt;=0,"SIFIR/NEGATİF",IF(COUNTIFS($C$6:$C$5000,$C4317,$O$6:$O$5000,$O4317,$B$6:$B$5000,$B4317)&gt;1,"MÜKERRER","OK"))))</f>
        <v/>
      </c>
    </row>
    <row r="4318" ht="16.5" customHeight="1" s="80">
      <c r="A4318" s="113" t="n"/>
      <c r="B4318" s="113" t="n"/>
      <c r="C4318" s="113" t="n"/>
      <c r="D4318" s="113" t="n"/>
      <c r="E4318" s="113" t="n"/>
      <c r="F4318" s="113" t="n"/>
      <c r="G4318" s="113" t="n"/>
      <c r="H4318" s="113" t="n"/>
      <c r="I4318" s="113" t="n"/>
      <c r="J4318" s="113" t="n"/>
      <c r="K4318" s="113" t="n"/>
      <c r="L4318" s="113" t="n"/>
      <c r="M4318" s="113" t="n"/>
      <c r="N4318" s="113" t="n"/>
      <c r="O4318" s="113" t="n"/>
      <c r="P4318" s="113" t="n"/>
      <c r="Q4318" s="113" t="n"/>
      <c r="R4318" s="113" t="n"/>
      <c r="S4318" s="113" t="n"/>
      <c r="T4318" s="113" t="n"/>
      <c r="U4318" s="113" t="n"/>
      <c r="V4318" s="113" t="n"/>
      <c r="W4318" s="113" t="n"/>
      <c r="X4318" s="113" t="n"/>
      <c r="Y4318" s="113" t="n"/>
      <c r="Z4318" s="117">
        <f>IF($B4318="",0,IF($S4318="EVET",IF($D4318="GELİR",$O4318,-$O4318),0))</f>
        <v/>
      </c>
      <c r="AA4318" s="117">
        <f>IF($B4318="",0,IF(OR($W4318="EVET",$X4318="EVET",$Y4318="EVET"),0,IF($D4318="GELİR",IF($E4318="SATIŞ İADESİ/İSKONTO",-$O4318,$O4318),-$O4318)))</f>
        <v/>
      </c>
      <c r="AB4318" s="117">
        <f>IF($B4318="","",IF(OR($D4318="",$E4318="",$O4318=""),"EKSİK",IF($O4318&lt;=0,"SIFIR/NEGATİF",IF(COUNTIFS($C$6:$C$5000,$C4318,$O$6:$O$5000,$O4318,$B$6:$B$5000,$B4318)&gt;1,"MÜKERRER","OK"))))</f>
        <v/>
      </c>
    </row>
    <row r="4319" ht="16.5" customHeight="1" s="80">
      <c r="A4319" s="113" t="n"/>
      <c r="B4319" s="113" t="n"/>
      <c r="C4319" s="113" t="n"/>
      <c r="D4319" s="113" t="n"/>
      <c r="E4319" s="113" t="n"/>
      <c r="F4319" s="113" t="n"/>
      <c r="G4319" s="113" t="n"/>
      <c r="H4319" s="113" t="n"/>
      <c r="I4319" s="113" t="n"/>
      <c r="J4319" s="113" t="n"/>
      <c r="K4319" s="113" t="n"/>
      <c r="L4319" s="113" t="n"/>
      <c r="M4319" s="113" t="n"/>
      <c r="N4319" s="113" t="n"/>
      <c r="O4319" s="113" t="n"/>
      <c r="P4319" s="113" t="n"/>
      <c r="Q4319" s="113" t="n"/>
      <c r="R4319" s="113" t="n"/>
      <c r="S4319" s="113" t="n"/>
      <c r="T4319" s="113" t="n"/>
      <c r="U4319" s="113" t="n"/>
      <c r="V4319" s="113" t="n"/>
      <c r="W4319" s="113" t="n"/>
      <c r="X4319" s="113" t="n"/>
      <c r="Y4319" s="113" t="n"/>
      <c r="Z4319" s="117">
        <f>IF($B4319="",0,IF($S4319="EVET",IF($D4319="GELİR",$O4319,-$O4319),0))</f>
        <v/>
      </c>
      <c r="AA4319" s="117">
        <f>IF($B4319="",0,IF(OR($W4319="EVET",$X4319="EVET",$Y4319="EVET"),0,IF($D4319="GELİR",IF($E4319="SATIŞ İADESİ/İSKONTO",-$O4319,$O4319),-$O4319)))</f>
        <v/>
      </c>
      <c r="AB4319" s="117">
        <f>IF($B4319="","",IF(OR($D4319="",$E4319="",$O4319=""),"EKSİK",IF($O4319&lt;=0,"SIFIR/NEGATİF",IF(COUNTIFS($C$6:$C$5000,$C4319,$O$6:$O$5000,$O4319,$B$6:$B$5000,$B4319)&gt;1,"MÜKERRER","OK"))))</f>
        <v/>
      </c>
    </row>
    <row r="4320" ht="16.5" customHeight="1" s="80">
      <c r="A4320" s="113" t="n"/>
      <c r="B4320" s="113" t="n"/>
      <c r="C4320" s="113" t="n"/>
      <c r="D4320" s="113" t="n"/>
      <c r="E4320" s="113" t="n"/>
      <c r="F4320" s="113" t="n"/>
      <c r="G4320" s="113" t="n"/>
      <c r="H4320" s="113" t="n"/>
      <c r="I4320" s="113" t="n"/>
      <c r="J4320" s="113" t="n"/>
      <c r="K4320" s="113" t="n"/>
      <c r="L4320" s="113" t="n"/>
      <c r="M4320" s="113" t="n"/>
      <c r="N4320" s="113" t="n"/>
      <c r="O4320" s="113" t="n"/>
      <c r="P4320" s="113" t="n"/>
      <c r="Q4320" s="113" t="n"/>
      <c r="R4320" s="113" t="n"/>
      <c r="S4320" s="113" t="n"/>
      <c r="T4320" s="113" t="n"/>
      <c r="U4320" s="113" t="n"/>
      <c r="V4320" s="113" t="n"/>
      <c r="W4320" s="113" t="n"/>
      <c r="X4320" s="113" t="n"/>
      <c r="Y4320" s="113" t="n"/>
      <c r="Z4320" s="117">
        <f>IF($B4320="",0,IF($S4320="EVET",IF($D4320="GELİR",$O4320,-$O4320),0))</f>
        <v/>
      </c>
      <c r="AA4320" s="117">
        <f>IF($B4320="",0,IF(OR($W4320="EVET",$X4320="EVET",$Y4320="EVET"),0,IF($D4320="GELİR",IF($E4320="SATIŞ İADESİ/İSKONTO",-$O4320,$O4320),-$O4320)))</f>
        <v/>
      </c>
      <c r="AB4320" s="117">
        <f>IF($B4320="","",IF(OR($D4320="",$E4320="",$O4320=""),"EKSİK",IF($O4320&lt;=0,"SIFIR/NEGATİF",IF(COUNTIFS($C$6:$C$5000,$C4320,$O$6:$O$5000,$O4320,$B$6:$B$5000,$B4320)&gt;1,"MÜKERRER","OK"))))</f>
        <v/>
      </c>
    </row>
    <row r="4321" ht="16.5" customHeight="1" s="80">
      <c r="A4321" s="113" t="n"/>
      <c r="B4321" s="113" t="n"/>
      <c r="C4321" s="113" t="n"/>
      <c r="D4321" s="113" t="n"/>
      <c r="E4321" s="113" t="n"/>
      <c r="F4321" s="113" t="n"/>
      <c r="G4321" s="113" t="n"/>
      <c r="H4321" s="113" t="n"/>
      <c r="I4321" s="113" t="n"/>
      <c r="J4321" s="113" t="n"/>
      <c r="K4321" s="113" t="n"/>
      <c r="L4321" s="113" t="n"/>
      <c r="M4321" s="113" t="n"/>
      <c r="N4321" s="113" t="n"/>
      <c r="O4321" s="113" t="n"/>
      <c r="P4321" s="113" t="n"/>
      <c r="Q4321" s="113" t="n"/>
      <c r="R4321" s="113" t="n"/>
      <c r="S4321" s="113" t="n"/>
      <c r="T4321" s="113" t="n"/>
      <c r="U4321" s="113" t="n"/>
      <c r="V4321" s="113" t="n"/>
      <c r="W4321" s="113" t="n"/>
      <c r="X4321" s="113" t="n"/>
      <c r="Y4321" s="113" t="n"/>
      <c r="Z4321" s="117">
        <f>IF($B4321="",0,IF($S4321="EVET",IF($D4321="GELİR",$O4321,-$O4321),0))</f>
        <v/>
      </c>
      <c r="AA4321" s="117">
        <f>IF($B4321="",0,IF(OR($W4321="EVET",$X4321="EVET",$Y4321="EVET"),0,IF($D4321="GELİR",IF($E4321="SATIŞ İADESİ/İSKONTO",-$O4321,$O4321),-$O4321)))</f>
        <v/>
      </c>
      <c r="AB4321" s="117">
        <f>IF($B4321="","",IF(OR($D4321="",$E4321="",$O4321=""),"EKSİK",IF($O4321&lt;=0,"SIFIR/NEGATİF",IF(COUNTIFS($C$6:$C$5000,$C4321,$O$6:$O$5000,$O4321,$B$6:$B$5000,$B4321)&gt;1,"MÜKERRER","OK"))))</f>
        <v/>
      </c>
    </row>
    <row r="4322" ht="16.5" customHeight="1" s="80">
      <c r="A4322" s="113" t="n"/>
      <c r="B4322" s="113" t="n"/>
      <c r="C4322" s="113" t="n"/>
      <c r="D4322" s="113" t="n"/>
      <c r="E4322" s="113" t="n"/>
      <c r="F4322" s="113" t="n"/>
      <c r="G4322" s="113" t="n"/>
      <c r="H4322" s="113" t="n"/>
      <c r="I4322" s="113" t="n"/>
      <c r="J4322" s="113" t="n"/>
      <c r="K4322" s="113" t="n"/>
      <c r="L4322" s="113" t="n"/>
      <c r="M4322" s="113" t="n"/>
      <c r="N4322" s="113" t="n"/>
      <c r="O4322" s="113" t="n"/>
      <c r="P4322" s="113" t="n"/>
      <c r="Q4322" s="113" t="n"/>
      <c r="R4322" s="113" t="n"/>
      <c r="S4322" s="113" t="n"/>
      <c r="T4322" s="113" t="n"/>
      <c r="U4322" s="113" t="n"/>
      <c r="V4322" s="113" t="n"/>
      <c r="W4322" s="113" t="n"/>
      <c r="X4322" s="113" t="n"/>
      <c r="Y4322" s="113" t="n"/>
      <c r="Z4322" s="117">
        <f>IF($B4322="",0,IF($S4322="EVET",IF($D4322="GELİR",$O4322,-$O4322),0))</f>
        <v/>
      </c>
      <c r="AA4322" s="117">
        <f>IF($B4322="",0,IF(OR($W4322="EVET",$X4322="EVET",$Y4322="EVET"),0,IF($D4322="GELİR",IF($E4322="SATIŞ İADESİ/İSKONTO",-$O4322,$O4322),-$O4322)))</f>
        <v/>
      </c>
      <c r="AB4322" s="117">
        <f>IF($B4322="","",IF(OR($D4322="",$E4322="",$O4322=""),"EKSİK",IF($O4322&lt;=0,"SIFIR/NEGATİF",IF(COUNTIFS($C$6:$C$5000,$C4322,$O$6:$O$5000,$O4322,$B$6:$B$5000,$B4322)&gt;1,"MÜKERRER","OK"))))</f>
        <v/>
      </c>
    </row>
    <row r="4323" ht="16.5" customHeight="1" s="80">
      <c r="A4323" s="113" t="n"/>
      <c r="B4323" s="113" t="n"/>
      <c r="C4323" s="113" t="n"/>
      <c r="D4323" s="113" t="n"/>
      <c r="E4323" s="113" t="n"/>
      <c r="F4323" s="113" t="n"/>
      <c r="G4323" s="113" t="n"/>
      <c r="H4323" s="113" t="n"/>
      <c r="I4323" s="113" t="n"/>
      <c r="J4323" s="113" t="n"/>
      <c r="K4323" s="113" t="n"/>
      <c r="L4323" s="113" t="n"/>
      <c r="M4323" s="113" t="n"/>
      <c r="N4323" s="113" t="n"/>
      <c r="O4323" s="113" t="n"/>
      <c r="P4323" s="113" t="n"/>
      <c r="Q4323" s="113" t="n"/>
      <c r="R4323" s="113" t="n"/>
      <c r="S4323" s="113" t="n"/>
      <c r="T4323" s="113" t="n"/>
      <c r="U4323" s="113" t="n"/>
      <c r="V4323" s="113" t="n"/>
      <c r="W4323" s="113" t="n"/>
      <c r="X4323" s="113" t="n"/>
      <c r="Y4323" s="113" t="n"/>
      <c r="Z4323" s="117">
        <f>IF($B4323="",0,IF($S4323="EVET",IF($D4323="GELİR",$O4323,-$O4323),0))</f>
        <v/>
      </c>
      <c r="AA4323" s="117">
        <f>IF($B4323="",0,IF(OR($W4323="EVET",$X4323="EVET",$Y4323="EVET"),0,IF($D4323="GELİR",IF($E4323="SATIŞ İADESİ/İSKONTO",-$O4323,$O4323),-$O4323)))</f>
        <v/>
      </c>
      <c r="AB4323" s="117">
        <f>IF($B4323="","",IF(OR($D4323="",$E4323="",$O4323=""),"EKSİK",IF($O4323&lt;=0,"SIFIR/NEGATİF",IF(COUNTIFS($C$6:$C$5000,$C4323,$O$6:$O$5000,$O4323,$B$6:$B$5000,$B4323)&gt;1,"MÜKERRER","OK"))))</f>
        <v/>
      </c>
    </row>
    <row r="4324" ht="16.5" customHeight="1" s="80">
      <c r="A4324" s="113" t="n"/>
      <c r="B4324" s="113" t="n"/>
      <c r="C4324" s="113" t="n"/>
      <c r="D4324" s="113" t="n"/>
      <c r="E4324" s="113" t="n"/>
      <c r="F4324" s="113" t="n"/>
      <c r="G4324" s="113" t="n"/>
      <c r="H4324" s="113" t="n"/>
      <c r="I4324" s="113" t="n"/>
      <c r="J4324" s="113" t="n"/>
      <c r="K4324" s="113" t="n"/>
      <c r="L4324" s="113" t="n"/>
      <c r="M4324" s="113" t="n"/>
      <c r="N4324" s="113" t="n"/>
      <c r="O4324" s="113" t="n"/>
      <c r="P4324" s="113" t="n"/>
      <c r="Q4324" s="113" t="n"/>
      <c r="R4324" s="113" t="n"/>
      <c r="S4324" s="113" t="n"/>
      <c r="T4324" s="113" t="n"/>
      <c r="U4324" s="113" t="n"/>
      <c r="V4324" s="113" t="n"/>
      <c r="W4324" s="113" t="n"/>
      <c r="X4324" s="113" t="n"/>
      <c r="Y4324" s="113" t="n"/>
      <c r="Z4324" s="117">
        <f>IF($B4324="",0,IF($S4324="EVET",IF($D4324="GELİR",$O4324,-$O4324),0))</f>
        <v/>
      </c>
      <c r="AA4324" s="117">
        <f>IF($B4324="",0,IF(OR($W4324="EVET",$X4324="EVET",$Y4324="EVET"),0,IF($D4324="GELİR",IF($E4324="SATIŞ İADESİ/İSKONTO",-$O4324,$O4324),-$O4324)))</f>
        <v/>
      </c>
      <c r="AB4324" s="117">
        <f>IF($B4324="","",IF(OR($D4324="",$E4324="",$O4324=""),"EKSİK",IF($O4324&lt;=0,"SIFIR/NEGATİF",IF(COUNTIFS($C$6:$C$5000,$C4324,$O$6:$O$5000,$O4324,$B$6:$B$5000,$B4324)&gt;1,"MÜKERRER","OK"))))</f>
        <v/>
      </c>
    </row>
    <row r="4325" ht="16.5" customHeight="1" s="80">
      <c r="A4325" s="113" t="n"/>
      <c r="B4325" s="113" t="n"/>
      <c r="C4325" s="113" t="n"/>
      <c r="D4325" s="113" t="n"/>
      <c r="E4325" s="113" t="n"/>
      <c r="F4325" s="113" t="n"/>
      <c r="G4325" s="113" t="n"/>
      <c r="H4325" s="113" t="n"/>
      <c r="I4325" s="113" t="n"/>
      <c r="J4325" s="113" t="n"/>
      <c r="K4325" s="113" t="n"/>
      <c r="L4325" s="113" t="n"/>
      <c r="M4325" s="113" t="n"/>
      <c r="N4325" s="113" t="n"/>
      <c r="O4325" s="113" t="n"/>
      <c r="P4325" s="113" t="n"/>
      <c r="Q4325" s="113" t="n"/>
      <c r="R4325" s="113" t="n"/>
      <c r="S4325" s="113" t="n"/>
      <c r="T4325" s="113" t="n"/>
      <c r="U4325" s="113" t="n"/>
      <c r="V4325" s="113" t="n"/>
      <c r="W4325" s="113" t="n"/>
      <c r="X4325" s="113" t="n"/>
      <c r="Y4325" s="113" t="n"/>
      <c r="Z4325" s="117">
        <f>IF($B4325="",0,IF($S4325="EVET",IF($D4325="GELİR",$O4325,-$O4325),0))</f>
        <v/>
      </c>
      <c r="AA4325" s="117">
        <f>IF($B4325="",0,IF(OR($W4325="EVET",$X4325="EVET",$Y4325="EVET"),0,IF($D4325="GELİR",IF($E4325="SATIŞ İADESİ/İSKONTO",-$O4325,$O4325),-$O4325)))</f>
        <v/>
      </c>
      <c r="AB4325" s="117">
        <f>IF($B4325="","",IF(OR($D4325="",$E4325="",$O4325=""),"EKSİK",IF($O4325&lt;=0,"SIFIR/NEGATİF",IF(COUNTIFS($C$6:$C$5000,$C4325,$O$6:$O$5000,$O4325,$B$6:$B$5000,$B4325)&gt;1,"MÜKERRER","OK"))))</f>
        <v/>
      </c>
    </row>
    <row r="4326" ht="16.5" customHeight="1" s="80">
      <c r="A4326" s="113" t="n"/>
      <c r="B4326" s="113" t="n"/>
      <c r="C4326" s="113" t="n"/>
      <c r="D4326" s="113" t="n"/>
      <c r="E4326" s="113" t="n"/>
      <c r="F4326" s="113" t="n"/>
      <c r="G4326" s="113" t="n"/>
      <c r="H4326" s="113" t="n"/>
      <c r="I4326" s="113" t="n"/>
      <c r="J4326" s="113" t="n"/>
      <c r="K4326" s="113" t="n"/>
      <c r="L4326" s="113" t="n"/>
      <c r="M4326" s="113" t="n"/>
      <c r="N4326" s="113" t="n"/>
      <c r="O4326" s="113" t="n"/>
      <c r="P4326" s="113" t="n"/>
      <c r="Q4326" s="113" t="n"/>
      <c r="R4326" s="113" t="n"/>
      <c r="S4326" s="113" t="n"/>
      <c r="T4326" s="113" t="n"/>
      <c r="U4326" s="113" t="n"/>
      <c r="V4326" s="113" t="n"/>
      <c r="W4326" s="113" t="n"/>
      <c r="X4326" s="113" t="n"/>
      <c r="Y4326" s="113" t="n"/>
      <c r="Z4326" s="117">
        <f>IF($B4326="",0,IF($S4326="EVET",IF($D4326="GELİR",$O4326,-$O4326),0))</f>
        <v/>
      </c>
      <c r="AA4326" s="117">
        <f>IF($B4326="",0,IF(OR($W4326="EVET",$X4326="EVET",$Y4326="EVET"),0,IF($D4326="GELİR",IF($E4326="SATIŞ İADESİ/İSKONTO",-$O4326,$O4326),-$O4326)))</f>
        <v/>
      </c>
      <c r="AB4326" s="117">
        <f>IF($B4326="","",IF(OR($D4326="",$E4326="",$O4326=""),"EKSİK",IF($O4326&lt;=0,"SIFIR/NEGATİF",IF(COUNTIFS($C$6:$C$5000,$C4326,$O$6:$O$5000,$O4326,$B$6:$B$5000,$B4326)&gt;1,"MÜKERRER","OK"))))</f>
        <v/>
      </c>
    </row>
    <row r="4327" ht="16.5" customHeight="1" s="80">
      <c r="A4327" s="113" t="n"/>
      <c r="B4327" s="113" t="n"/>
      <c r="C4327" s="113" t="n"/>
      <c r="D4327" s="113" t="n"/>
      <c r="E4327" s="113" t="n"/>
      <c r="F4327" s="113" t="n"/>
      <c r="G4327" s="113" t="n"/>
      <c r="H4327" s="113" t="n"/>
      <c r="I4327" s="113" t="n"/>
      <c r="J4327" s="113" t="n"/>
      <c r="K4327" s="113" t="n"/>
      <c r="L4327" s="113" t="n"/>
      <c r="M4327" s="113" t="n"/>
      <c r="N4327" s="113" t="n"/>
      <c r="O4327" s="113" t="n"/>
      <c r="P4327" s="113" t="n"/>
      <c r="Q4327" s="113" t="n"/>
      <c r="R4327" s="113" t="n"/>
      <c r="S4327" s="113" t="n"/>
      <c r="T4327" s="113" t="n"/>
      <c r="U4327" s="113" t="n"/>
      <c r="V4327" s="113" t="n"/>
      <c r="W4327" s="113" t="n"/>
      <c r="X4327" s="113" t="n"/>
      <c r="Y4327" s="113" t="n"/>
      <c r="Z4327" s="117">
        <f>IF($B4327="",0,IF($S4327="EVET",IF($D4327="GELİR",$O4327,-$O4327),0))</f>
        <v/>
      </c>
      <c r="AA4327" s="117">
        <f>IF($B4327="",0,IF(OR($W4327="EVET",$X4327="EVET",$Y4327="EVET"),0,IF($D4327="GELİR",IF($E4327="SATIŞ İADESİ/İSKONTO",-$O4327,$O4327),-$O4327)))</f>
        <v/>
      </c>
      <c r="AB4327" s="117">
        <f>IF($B4327="","",IF(OR($D4327="",$E4327="",$O4327=""),"EKSİK",IF($O4327&lt;=0,"SIFIR/NEGATİF",IF(COUNTIFS($C$6:$C$5000,$C4327,$O$6:$O$5000,$O4327,$B$6:$B$5000,$B4327)&gt;1,"MÜKERRER","OK"))))</f>
        <v/>
      </c>
    </row>
    <row r="4328" ht="16.5" customHeight="1" s="80">
      <c r="A4328" s="113" t="n"/>
      <c r="B4328" s="113" t="n"/>
      <c r="C4328" s="113" t="n"/>
      <c r="D4328" s="113" t="n"/>
      <c r="E4328" s="113" t="n"/>
      <c r="F4328" s="113" t="n"/>
      <c r="G4328" s="113" t="n"/>
      <c r="H4328" s="113" t="n"/>
      <c r="I4328" s="113" t="n"/>
      <c r="J4328" s="113" t="n"/>
      <c r="K4328" s="113" t="n"/>
      <c r="L4328" s="113" t="n"/>
      <c r="M4328" s="113" t="n"/>
      <c r="N4328" s="113" t="n"/>
      <c r="O4328" s="113" t="n"/>
      <c r="P4328" s="113" t="n"/>
      <c r="Q4328" s="113" t="n"/>
      <c r="R4328" s="113" t="n"/>
      <c r="S4328" s="113" t="n"/>
      <c r="T4328" s="113" t="n"/>
      <c r="U4328" s="113" t="n"/>
      <c r="V4328" s="113" t="n"/>
      <c r="W4328" s="113" t="n"/>
      <c r="X4328" s="113" t="n"/>
      <c r="Y4328" s="113" t="n"/>
      <c r="Z4328" s="117">
        <f>IF($B4328="",0,IF($S4328="EVET",IF($D4328="GELİR",$O4328,-$O4328),0))</f>
        <v/>
      </c>
      <c r="AA4328" s="117">
        <f>IF($B4328="",0,IF(OR($W4328="EVET",$X4328="EVET",$Y4328="EVET"),0,IF($D4328="GELİR",IF($E4328="SATIŞ İADESİ/İSKONTO",-$O4328,$O4328),-$O4328)))</f>
        <v/>
      </c>
      <c r="AB4328" s="117">
        <f>IF($B4328="","",IF(OR($D4328="",$E4328="",$O4328=""),"EKSİK",IF($O4328&lt;=0,"SIFIR/NEGATİF",IF(COUNTIFS($C$6:$C$5000,$C4328,$O$6:$O$5000,$O4328,$B$6:$B$5000,$B4328)&gt;1,"MÜKERRER","OK"))))</f>
        <v/>
      </c>
    </row>
    <row r="4329" ht="16.5" customHeight="1" s="80">
      <c r="A4329" s="113" t="n"/>
      <c r="B4329" s="113" t="n"/>
      <c r="C4329" s="113" t="n"/>
      <c r="D4329" s="113" t="n"/>
      <c r="E4329" s="113" t="n"/>
      <c r="F4329" s="113" t="n"/>
      <c r="G4329" s="113" t="n"/>
      <c r="H4329" s="113" t="n"/>
      <c r="I4329" s="113" t="n"/>
      <c r="J4329" s="113" t="n"/>
      <c r="K4329" s="113" t="n"/>
      <c r="L4329" s="113" t="n"/>
      <c r="M4329" s="113" t="n"/>
      <c r="N4329" s="113" t="n"/>
      <c r="O4329" s="113" t="n"/>
      <c r="P4329" s="113" t="n"/>
      <c r="Q4329" s="113" t="n"/>
      <c r="R4329" s="113" t="n"/>
      <c r="S4329" s="113" t="n"/>
      <c r="T4329" s="113" t="n"/>
      <c r="U4329" s="113" t="n"/>
      <c r="V4329" s="113" t="n"/>
      <c r="W4329" s="113" t="n"/>
      <c r="X4329" s="113" t="n"/>
      <c r="Y4329" s="113" t="n"/>
      <c r="Z4329" s="117">
        <f>IF($B4329="",0,IF($S4329="EVET",IF($D4329="GELİR",$O4329,-$O4329),0))</f>
        <v/>
      </c>
      <c r="AA4329" s="117">
        <f>IF($B4329="",0,IF(OR($W4329="EVET",$X4329="EVET",$Y4329="EVET"),0,IF($D4329="GELİR",IF($E4329="SATIŞ İADESİ/İSKONTO",-$O4329,$O4329),-$O4329)))</f>
        <v/>
      </c>
      <c r="AB4329" s="117">
        <f>IF($B4329="","",IF(OR($D4329="",$E4329="",$O4329=""),"EKSİK",IF($O4329&lt;=0,"SIFIR/NEGATİF",IF(COUNTIFS($C$6:$C$5000,$C4329,$O$6:$O$5000,$O4329,$B$6:$B$5000,$B4329)&gt;1,"MÜKERRER","OK"))))</f>
        <v/>
      </c>
    </row>
    <row r="4330" ht="16.5" customHeight="1" s="80">
      <c r="A4330" s="113" t="n"/>
      <c r="B4330" s="113" t="n"/>
      <c r="C4330" s="113" t="n"/>
      <c r="D4330" s="113" t="n"/>
      <c r="E4330" s="113" t="n"/>
      <c r="F4330" s="113" t="n"/>
      <c r="G4330" s="113" t="n"/>
      <c r="H4330" s="113" t="n"/>
      <c r="I4330" s="113" t="n"/>
      <c r="J4330" s="113" t="n"/>
      <c r="K4330" s="113" t="n"/>
      <c r="L4330" s="113" t="n"/>
      <c r="M4330" s="113" t="n"/>
      <c r="N4330" s="113" t="n"/>
      <c r="O4330" s="113" t="n"/>
      <c r="P4330" s="113" t="n"/>
      <c r="Q4330" s="113" t="n"/>
      <c r="R4330" s="113" t="n"/>
      <c r="S4330" s="113" t="n"/>
      <c r="T4330" s="113" t="n"/>
      <c r="U4330" s="113" t="n"/>
      <c r="V4330" s="113" t="n"/>
      <c r="W4330" s="113" t="n"/>
      <c r="X4330" s="113" t="n"/>
      <c r="Y4330" s="113" t="n"/>
      <c r="Z4330" s="117">
        <f>IF($B4330="",0,IF($S4330="EVET",IF($D4330="GELİR",$O4330,-$O4330),0))</f>
        <v/>
      </c>
      <c r="AA4330" s="117">
        <f>IF($B4330="",0,IF(OR($W4330="EVET",$X4330="EVET",$Y4330="EVET"),0,IF($D4330="GELİR",IF($E4330="SATIŞ İADESİ/İSKONTO",-$O4330,$O4330),-$O4330)))</f>
        <v/>
      </c>
      <c r="AB4330" s="117">
        <f>IF($B4330="","",IF(OR($D4330="",$E4330="",$O4330=""),"EKSİK",IF($O4330&lt;=0,"SIFIR/NEGATİF",IF(COUNTIFS($C$6:$C$5000,$C4330,$O$6:$O$5000,$O4330,$B$6:$B$5000,$B4330)&gt;1,"MÜKERRER","OK"))))</f>
        <v/>
      </c>
    </row>
    <row r="4331" ht="16.5" customHeight="1" s="80">
      <c r="A4331" s="113" t="n"/>
      <c r="B4331" s="113" t="n"/>
      <c r="C4331" s="113" t="n"/>
      <c r="D4331" s="113" t="n"/>
      <c r="E4331" s="113" t="n"/>
      <c r="F4331" s="113" t="n"/>
      <c r="G4331" s="113" t="n"/>
      <c r="H4331" s="113" t="n"/>
      <c r="I4331" s="113" t="n"/>
      <c r="J4331" s="113" t="n"/>
      <c r="K4331" s="113" t="n"/>
      <c r="L4331" s="113" t="n"/>
      <c r="M4331" s="113" t="n"/>
      <c r="N4331" s="113" t="n"/>
      <c r="O4331" s="113" t="n"/>
      <c r="P4331" s="113" t="n"/>
      <c r="Q4331" s="113" t="n"/>
      <c r="R4331" s="113" t="n"/>
      <c r="S4331" s="113" t="n"/>
      <c r="T4331" s="113" t="n"/>
      <c r="U4331" s="113" t="n"/>
      <c r="V4331" s="113" t="n"/>
      <c r="W4331" s="113" t="n"/>
      <c r="X4331" s="113" t="n"/>
      <c r="Y4331" s="113" t="n"/>
      <c r="Z4331" s="117">
        <f>IF($B4331="",0,IF($S4331="EVET",IF($D4331="GELİR",$O4331,-$O4331),0))</f>
        <v/>
      </c>
      <c r="AA4331" s="117">
        <f>IF($B4331="",0,IF(OR($W4331="EVET",$X4331="EVET",$Y4331="EVET"),0,IF($D4331="GELİR",IF($E4331="SATIŞ İADESİ/İSKONTO",-$O4331,$O4331),-$O4331)))</f>
        <v/>
      </c>
      <c r="AB4331" s="117">
        <f>IF($B4331="","",IF(OR($D4331="",$E4331="",$O4331=""),"EKSİK",IF($O4331&lt;=0,"SIFIR/NEGATİF",IF(COUNTIFS($C$6:$C$5000,$C4331,$O$6:$O$5000,$O4331,$B$6:$B$5000,$B4331)&gt;1,"MÜKERRER","OK"))))</f>
        <v/>
      </c>
    </row>
    <row r="4332" ht="16.5" customHeight="1" s="80">
      <c r="A4332" s="113" t="n"/>
      <c r="B4332" s="113" t="n"/>
      <c r="C4332" s="113" t="n"/>
      <c r="D4332" s="113" t="n"/>
      <c r="E4332" s="113" t="n"/>
      <c r="F4332" s="113" t="n"/>
      <c r="G4332" s="113" t="n"/>
      <c r="H4332" s="113" t="n"/>
      <c r="I4332" s="113" t="n"/>
      <c r="J4332" s="113" t="n"/>
      <c r="K4332" s="113" t="n"/>
      <c r="L4332" s="113" t="n"/>
      <c r="M4332" s="113" t="n"/>
      <c r="N4332" s="113" t="n"/>
      <c r="O4332" s="113" t="n"/>
      <c r="P4332" s="113" t="n"/>
      <c r="Q4332" s="113" t="n"/>
      <c r="R4332" s="113" t="n"/>
      <c r="S4332" s="113" t="n"/>
      <c r="T4332" s="113" t="n"/>
      <c r="U4332" s="113" t="n"/>
      <c r="V4332" s="113" t="n"/>
      <c r="W4332" s="113" t="n"/>
      <c r="X4332" s="113" t="n"/>
      <c r="Y4332" s="113" t="n"/>
      <c r="Z4332" s="117">
        <f>IF($B4332="",0,IF($S4332="EVET",IF($D4332="GELİR",$O4332,-$O4332),0))</f>
        <v/>
      </c>
      <c r="AA4332" s="117">
        <f>IF($B4332="",0,IF(OR($W4332="EVET",$X4332="EVET",$Y4332="EVET"),0,IF($D4332="GELİR",IF($E4332="SATIŞ İADESİ/İSKONTO",-$O4332,$O4332),-$O4332)))</f>
        <v/>
      </c>
      <c r="AB4332" s="117">
        <f>IF($B4332="","",IF(OR($D4332="",$E4332="",$O4332=""),"EKSİK",IF($O4332&lt;=0,"SIFIR/NEGATİF",IF(COUNTIFS($C$6:$C$5000,$C4332,$O$6:$O$5000,$O4332,$B$6:$B$5000,$B4332)&gt;1,"MÜKERRER","OK"))))</f>
        <v/>
      </c>
    </row>
    <row r="4333" ht="16.5" customHeight="1" s="80">
      <c r="A4333" s="113" t="n"/>
      <c r="B4333" s="113" t="n"/>
      <c r="C4333" s="113" t="n"/>
      <c r="D4333" s="113" t="n"/>
      <c r="E4333" s="113" t="n"/>
      <c r="F4333" s="113" t="n"/>
      <c r="G4333" s="113" t="n"/>
      <c r="H4333" s="113" t="n"/>
      <c r="I4333" s="113" t="n"/>
      <c r="J4333" s="113" t="n"/>
      <c r="K4333" s="113" t="n"/>
      <c r="L4333" s="113" t="n"/>
      <c r="M4333" s="113" t="n"/>
      <c r="N4333" s="113" t="n"/>
      <c r="O4333" s="113" t="n"/>
      <c r="P4333" s="113" t="n"/>
      <c r="Q4333" s="113" t="n"/>
      <c r="R4333" s="113" t="n"/>
      <c r="S4333" s="113" t="n"/>
      <c r="T4333" s="113" t="n"/>
      <c r="U4333" s="113" t="n"/>
      <c r="V4333" s="113" t="n"/>
      <c r="W4333" s="113" t="n"/>
      <c r="X4333" s="113" t="n"/>
      <c r="Y4333" s="113" t="n"/>
      <c r="Z4333" s="117">
        <f>IF($B4333="",0,IF($S4333="EVET",IF($D4333="GELİR",$O4333,-$O4333),0))</f>
        <v/>
      </c>
      <c r="AA4333" s="117">
        <f>IF($B4333="",0,IF(OR($W4333="EVET",$X4333="EVET",$Y4333="EVET"),0,IF($D4333="GELİR",IF($E4333="SATIŞ İADESİ/İSKONTO",-$O4333,$O4333),-$O4333)))</f>
        <v/>
      </c>
      <c r="AB4333" s="117">
        <f>IF($B4333="","",IF(OR($D4333="",$E4333="",$O4333=""),"EKSİK",IF($O4333&lt;=0,"SIFIR/NEGATİF",IF(COUNTIFS($C$6:$C$5000,$C4333,$O$6:$O$5000,$O4333,$B$6:$B$5000,$B4333)&gt;1,"MÜKERRER","OK"))))</f>
        <v/>
      </c>
    </row>
    <row r="4334" ht="16.5" customHeight="1" s="80">
      <c r="A4334" s="113" t="n"/>
      <c r="B4334" s="113" t="n"/>
      <c r="C4334" s="113" t="n"/>
      <c r="D4334" s="113" t="n"/>
      <c r="E4334" s="113" t="n"/>
      <c r="F4334" s="113" t="n"/>
      <c r="G4334" s="113" t="n"/>
      <c r="H4334" s="113" t="n"/>
      <c r="I4334" s="113" t="n"/>
      <c r="J4334" s="113" t="n"/>
      <c r="K4334" s="113" t="n"/>
      <c r="L4334" s="113" t="n"/>
      <c r="M4334" s="113" t="n"/>
      <c r="N4334" s="113" t="n"/>
      <c r="O4334" s="113" t="n"/>
      <c r="P4334" s="113" t="n"/>
      <c r="Q4334" s="113" t="n"/>
      <c r="R4334" s="113" t="n"/>
      <c r="S4334" s="113" t="n"/>
      <c r="T4334" s="113" t="n"/>
      <c r="U4334" s="113" t="n"/>
      <c r="V4334" s="113" t="n"/>
      <c r="W4334" s="113" t="n"/>
      <c r="X4334" s="113" t="n"/>
      <c r="Y4334" s="113" t="n"/>
      <c r="Z4334" s="117">
        <f>IF($B4334="",0,IF($S4334="EVET",IF($D4334="GELİR",$O4334,-$O4334),0))</f>
        <v/>
      </c>
      <c r="AA4334" s="117">
        <f>IF($B4334="",0,IF(OR($W4334="EVET",$X4334="EVET",$Y4334="EVET"),0,IF($D4334="GELİR",IF($E4334="SATIŞ İADESİ/İSKONTO",-$O4334,$O4334),-$O4334)))</f>
        <v/>
      </c>
      <c r="AB4334" s="117">
        <f>IF($B4334="","",IF(OR($D4334="",$E4334="",$O4334=""),"EKSİK",IF($O4334&lt;=0,"SIFIR/NEGATİF",IF(COUNTIFS($C$6:$C$5000,$C4334,$O$6:$O$5000,$O4334,$B$6:$B$5000,$B4334)&gt;1,"MÜKERRER","OK"))))</f>
        <v/>
      </c>
    </row>
    <row r="4335" ht="16.5" customHeight="1" s="80">
      <c r="A4335" s="113" t="n"/>
      <c r="B4335" s="113" t="n"/>
      <c r="C4335" s="113" t="n"/>
      <c r="D4335" s="113" t="n"/>
      <c r="E4335" s="113" t="n"/>
      <c r="F4335" s="113" t="n"/>
      <c r="G4335" s="113" t="n"/>
      <c r="H4335" s="113" t="n"/>
      <c r="I4335" s="113" t="n"/>
      <c r="J4335" s="113" t="n"/>
      <c r="K4335" s="113" t="n"/>
      <c r="L4335" s="113" t="n"/>
      <c r="M4335" s="113" t="n"/>
      <c r="N4335" s="113" t="n"/>
      <c r="O4335" s="113" t="n"/>
      <c r="P4335" s="113" t="n"/>
      <c r="Q4335" s="113" t="n"/>
      <c r="R4335" s="113" t="n"/>
      <c r="S4335" s="113" t="n"/>
      <c r="T4335" s="113" t="n"/>
      <c r="U4335" s="113" t="n"/>
      <c r="V4335" s="113" t="n"/>
      <c r="W4335" s="113" t="n"/>
      <c r="X4335" s="113" t="n"/>
      <c r="Y4335" s="113" t="n"/>
      <c r="Z4335" s="117">
        <f>IF($B4335="",0,IF($S4335="EVET",IF($D4335="GELİR",$O4335,-$O4335),0))</f>
        <v/>
      </c>
      <c r="AA4335" s="117">
        <f>IF($B4335="",0,IF(OR($W4335="EVET",$X4335="EVET",$Y4335="EVET"),0,IF($D4335="GELİR",IF($E4335="SATIŞ İADESİ/İSKONTO",-$O4335,$O4335),-$O4335)))</f>
        <v/>
      </c>
      <c r="AB4335" s="117">
        <f>IF($B4335="","",IF(OR($D4335="",$E4335="",$O4335=""),"EKSİK",IF($O4335&lt;=0,"SIFIR/NEGATİF",IF(COUNTIFS($C$6:$C$5000,$C4335,$O$6:$O$5000,$O4335,$B$6:$B$5000,$B4335)&gt;1,"MÜKERRER","OK"))))</f>
        <v/>
      </c>
    </row>
    <row r="4336" ht="16.5" customHeight="1" s="80">
      <c r="A4336" s="113" t="n"/>
      <c r="B4336" s="113" t="n"/>
      <c r="C4336" s="113" t="n"/>
      <c r="D4336" s="113" t="n"/>
      <c r="E4336" s="113" t="n"/>
      <c r="F4336" s="113" t="n"/>
      <c r="G4336" s="113" t="n"/>
      <c r="H4336" s="113" t="n"/>
      <c r="I4336" s="113" t="n"/>
      <c r="J4336" s="113" t="n"/>
      <c r="K4336" s="113" t="n"/>
      <c r="L4336" s="113" t="n"/>
      <c r="M4336" s="113" t="n"/>
      <c r="N4336" s="113" t="n"/>
      <c r="O4336" s="113" t="n"/>
      <c r="P4336" s="113" t="n"/>
      <c r="Q4336" s="113" t="n"/>
      <c r="R4336" s="113" t="n"/>
      <c r="S4336" s="113" t="n"/>
      <c r="T4336" s="113" t="n"/>
      <c r="U4336" s="113" t="n"/>
      <c r="V4336" s="113" t="n"/>
      <c r="W4336" s="113" t="n"/>
      <c r="X4336" s="113" t="n"/>
      <c r="Y4336" s="113" t="n"/>
      <c r="Z4336" s="117">
        <f>IF($B4336="",0,IF($S4336="EVET",IF($D4336="GELİR",$O4336,-$O4336),0))</f>
        <v/>
      </c>
      <c r="AA4336" s="117">
        <f>IF($B4336="",0,IF(OR($W4336="EVET",$X4336="EVET",$Y4336="EVET"),0,IF($D4336="GELİR",IF($E4336="SATIŞ İADESİ/İSKONTO",-$O4336,$O4336),-$O4336)))</f>
        <v/>
      </c>
      <c r="AB4336" s="117">
        <f>IF($B4336="","",IF(OR($D4336="",$E4336="",$O4336=""),"EKSİK",IF($O4336&lt;=0,"SIFIR/NEGATİF",IF(COUNTIFS($C$6:$C$5000,$C4336,$O$6:$O$5000,$O4336,$B$6:$B$5000,$B4336)&gt;1,"MÜKERRER","OK"))))</f>
        <v/>
      </c>
    </row>
    <row r="4337" ht="16.5" customHeight="1" s="80">
      <c r="A4337" s="113" t="n"/>
      <c r="B4337" s="113" t="n"/>
      <c r="C4337" s="113" t="n"/>
      <c r="D4337" s="113" t="n"/>
      <c r="E4337" s="113" t="n"/>
      <c r="F4337" s="113" t="n"/>
      <c r="G4337" s="113" t="n"/>
      <c r="H4337" s="113" t="n"/>
      <c r="I4337" s="113" t="n"/>
      <c r="J4337" s="113" t="n"/>
      <c r="K4337" s="113" t="n"/>
      <c r="L4337" s="113" t="n"/>
      <c r="M4337" s="113" t="n"/>
      <c r="N4337" s="113" t="n"/>
      <c r="O4337" s="113" t="n"/>
      <c r="P4337" s="113" t="n"/>
      <c r="Q4337" s="113" t="n"/>
      <c r="R4337" s="113" t="n"/>
      <c r="S4337" s="113" t="n"/>
      <c r="T4337" s="113" t="n"/>
      <c r="U4337" s="113" t="n"/>
      <c r="V4337" s="113" t="n"/>
      <c r="W4337" s="113" t="n"/>
      <c r="X4337" s="113" t="n"/>
      <c r="Y4337" s="113" t="n"/>
      <c r="Z4337" s="117">
        <f>IF($B4337="",0,IF($S4337="EVET",IF($D4337="GELİR",$O4337,-$O4337),0))</f>
        <v/>
      </c>
      <c r="AA4337" s="117">
        <f>IF($B4337="",0,IF(OR($W4337="EVET",$X4337="EVET",$Y4337="EVET"),0,IF($D4337="GELİR",IF($E4337="SATIŞ İADESİ/İSKONTO",-$O4337,$O4337),-$O4337)))</f>
        <v/>
      </c>
      <c r="AB4337" s="117">
        <f>IF($B4337="","",IF(OR($D4337="",$E4337="",$O4337=""),"EKSİK",IF($O4337&lt;=0,"SIFIR/NEGATİF",IF(COUNTIFS($C$6:$C$5000,$C4337,$O$6:$O$5000,$O4337,$B$6:$B$5000,$B4337)&gt;1,"MÜKERRER","OK"))))</f>
        <v/>
      </c>
    </row>
    <row r="4338" ht="16.5" customHeight="1" s="80">
      <c r="A4338" s="113" t="n"/>
      <c r="B4338" s="113" t="n"/>
      <c r="C4338" s="113" t="n"/>
      <c r="D4338" s="113" t="n"/>
      <c r="E4338" s="113" t="n"/>
      <c r="F4338" s="113" t="n"/>
      <c r="G4338" s="113" t="n"/>
      <c r="H4338" s="113" t="n"/>
      <c r="I4338" s="113" t="n"/>
      <c r="J4338" s="113" t="n"/>
      <c r="K4338" s="113" t="n"/>
      <c r="L4338" s="113" t="n"/>
      <c r="M4338" s="113" t="n"/>
      <c r="N4338" s="113" t="n"/>
      <c r="O4338" s="113" t="n"/>
      <c r="P4338" s="113" t="n"/>
      <c r="Q4338" s="113" t="n"/>
      <c r="R4338" s="113" t="n"/>
      <c r="S4338" s="113" t="n"/>
      <c r="T4338" s="113" t="n"/>
      <c r="U4338" s="113" t="n"/>
      <c r="V4338" s="113" t="n"/>
      <c r="W4338" s="113" t="n"/>
      <c r="X4338" s="113" t="n"/>
      <c r="Y4338" s="113" t="n"/>
      <c r="Z4338" s="117">
        <f>IF($B4338="",0,IF($S4338="EVET",IF($D4338="GELİR",$O4338,-$O4338),0))</f>
        <v/>
      </c>
      <c r="AA4338" s="117">
        <f>IF($B4338="",0,IF(OR($W4338="EVET",$X4338="EVET",$Y4338="EVET"),0,IF($D4338="GELİR",IF($E4338="SATIŞ İADESİ/İSKONTO",-$O4338,$O4338),-$O4338)))</f>
        <v/>
      </c>
      <c r="AB4338" s="117">
        <f>IF($B4338="","",IF(OR($D4338="",$E4338="",$O4338=""),"EKSİK",IF($O4338&lt;=0,"SIFIR/NEGATİF",IF(COUNTIFS($C$6:$C$5000,$C4338,$O$6:$O$5000,$O4338,$B$6:$B$5000,$B4338)&gt;1,"MÜKERRER","OK"))))</f>
        <v/>
      </c>
    </row>
    <row r="4339" ht="16.5" customHeight="1" s="80">
      <c r="A4339" s="113" t="n"/>
      <c r="B4339" s="113" t="n"/>
      <c r="C4339" s="113" t="n"/>
      <c r="D4339" s="113" t="n"/>
      <c r="E4339" s="113" t="n"/>
      <c r="F4339" s="113" t="n"/>
      <c r="G4339" s="113" t="n"/>
      <c r="H4339" s="113" t="n"/>
      <c r="I4339" s="113" t="n"/>
      <c r="J4339" s="113" t="n"/>
      <c r="K4339" s="113" t="n"/>
      <c r="L4339" s="113" t="n"/>
      <c r="M4339" s="113" t="n"/>
      <c r="N4339" s="113" t="n"/>
      <c r="O4339" s="113" t="n"/>
      <c r="P4339" s="113" t="n"/>
      <c r="Q4339" s="113" t="n"/>
      <c r="R4339" s="113" t="n"/>
      <c r="S4339" s="113" t="n"/>
      <c r="T4339" s="113" t="n"/>
      <c r="U4339" s="113" t="n"/>
      <c r="V4339" s="113" t="n"/>
      <c r="W4339" s="113" t="n"/>
      <c r="X4339" s="113" t="n"/>
      <c r="Y4339" s="113" t="n"/>
      <c r="Z4339" s="117">
        <f>IF($B4339="",0,IF($S4339="EVET",IF($D4339="GELİR",$O4339,-$O4339),0))</f>
        <v/>
      </c>
      <c r="AA4339" s="117">
        <f>IF($B4339="",0,IF(OR($W4339="EVET",$X4339="EVET",$Y4339="EVET"),0,IF($D4339="GELİR",IF($E4339="SATIŞ İADESİ/İSKONTO",-$O4339,$O4339),-$O4339)))</f>
        <v/>
      </c>
      <c r="AB4339" s="117">
        <f>IF($B4339="","",IF(OR($D4339="",$E4339="",$O4339=""),"EKSİK",IF($O4339&lt;=0,"SIFIR/NEGATİF",IF(COUNTIFS($C$6:$C$5000,$C4339,$O$6:$O$5000,$O4339,$B$6:$B$5000,$B4339)&gt;1,"MÜKERRER","OK"))))</f>
        <v/>
      </c>
    </row>
    <row r="4340" ht="16.5" customHeight="1" s="80">
      <c r="A4340" s="113" t="n"/>
      <c r="B4340" s="113" t="n"/>
      <c r="C4340" s="113" t="n"/>
      <c r="D4340" s="113" t="n"/>
      <c r="E4340" s="113" t="n"/>
      <c r="F4340" s="113" t="n"/>
      <c r="G4340" s="113" t="n"/>
      <c r="H4340" s="113" t="n"/>
      <c r="I4340" s="113" t="n"/>
      <c r="J4340" s="113" t="n"/>
      <c r="K4340" s="113" t="n"/>
      <c r="L4340" s="113" t="n"/>
      <c r="M4340" s="113" t="n"/>
      <c r="N4340" s="113" t="n"/>
      <c r="O4340" s="113" t="n"/>
      <c r="P4340" s="113" t="n"/>
      <c r="Q4340" s="113" t="n"/>
      <c r="R4340" s="113" t="n"/>
      <c r="S4340" s="113" t="n"/>
      <c r="T4340" s="113" t="n"/>
      <c r="U4340" s="113" t="n"/>
      <c r="V4340" s="113" t="n"/>
      <c r="W4340" s="113" t="n"/>
      <c r="X4340" s="113" t="n"/>
      <c r="Y4340" s="113" t="n"/>
      <c r="Z4340" s="117">
        <f>IF($B4340="",0,IF($S4340="EVET",IF($D4340="GELİR",$O4340,-$O4340),0))</f>
        <v/>
      </c>
      <c r="AA4340" s="117">
        <f>IF($B4340="",0,IF(OR($W4340="EVET",$X4340="EVET",$Y4340="EVET"),0,IF($D4340="GELİR",IF($E4340="SATIŞ İADESİ/İSKONTO",-$O4340,$O4340),-$O4340)))</f>
        <v/>
      </c>
      <c r="AB4340" s="117">
        <f>IF($B4340="","",IF(OR($D4340="",$E4340="",$O4340=""),"EKSİK",IF($O4340&lt;=0,"SIFIR/NEGATİF",IF(COUNTIFS($C$6:$C$5000,$C4340,$O$6:$O$5000,$O4340,$B$6:$B$5000,$B4340)&gt;1,"MÜKERRER","OK"))))</f>
        <v/>
      </c>
    </row>
    <row r="4341" ht="16.5" customHeight="1" s="80">
      <c r="A4341" s="113" t="n"/>
      <c r="B4341" s="113" t="n"/>
      <c r="C4341" s="113" t="n"/>
      <c r="D4341" s="113" t="n"/>
      <c r="E4341" s="113" t="n"/>
      <c r="F4341" s="113" t="n"/>
      <c r="G4341" s="113" t="n"/>
      <c r="H4341" s="113" t="n"/>
      <c r="I4341" s="113" t="n"/>
      <c r="J4341" s="113" t="n"/>
      <c r="K4341" s="113" t="n"/>
      <c r="L4341" s="113" t="n"/>
      <c r="M4341" s="113" t="n"/>
      <c r="N4341" s="113" t="n"/>
      <c r="O4341" s="113" t="n"/>
      <c r="P4341" s="113" t="n"/>
      <c r="Q4341" s="113" t="n"/>
      <c r="R4341" s="113" t="n"/>
      <c r="S4341" s="113" t="n"/>
      <c r="T4341" s="113" t="n"/>
      <c r="U4341" s="113" t="n"/>
      <c r="V4341" s="113" t="n"/>
      <c r="W4341" s="113" t="n"/>
      <c r="X4341" s="113" t="n"/>
      <c r="Y4341" s="113" t="n"/>
      <c r="Z4341" s="117">
        <f>IF($B4341="",0,IF($S4341="EVET",IF($D4341="GELİR",$O4341,-$O4341),0))</f>
        <v/>
      </c>
      <c r="AA4341" s="117">
        <f>IF($B4341="",0,IF(OR($W4341="EVET",$X4341="EVET",$Y4341="EVET"),0,IF($D4341="GELİR",IF($E4341="SATIŞ İADESİ/İSKONTO",-$O4341,$O4341),-$O4341)))</f>
        <v/>
      </c>
      <c r="AB4341" s="117">
        <f>IF($B4341="","",IF(OR($D4341="",$E4341="",$O4341=""),"EKSİK",IF($O4341&lt;=0,"SIFIR/NEGATİF",IF(COUNTIFS($C$6:$C$5000,$C4341,$O$6:$O$5000,$O4341,$B$6:$B$5000,$B4341)&gt;1,"MÜKERRER","OK"))))</f>
        <v/>
      </c>
    </row>
    <row r="4342" ht="16.5" customHeight="1" s="80">
      <c r="A4342" s="113" t="n"/>
      <c r="B4342" s="113" t="n"/>
      <c r="C4342" s="113" t="n"/>
      <c r="D4342" s="113" t="n"/>
      <c r="E4342" s="113" t="n"/>
      <c r="F4342" s="113" t="n"/>
      <c r="G4342" s="113" t="n"/>
      <c r="H4342" s="113" t="n"/>
      <c r="I4342" s="113" t="n"/>
      <c r="J4342" s="113" t="n"/>
      <c r="K4342" s="113" t="n"/>
      <c r="L4342" s="113" t="n"/>
      <c r="M4342" s="113" t="n"/>
      <c r="N4342" s="113" t="n"/>
      <c r="O4342" s="113" t="n"/>
      <c r="P4342" s="113" t="n"/>
      <c r="Q4342" s="113" t="n"/>
      <c r="R4342" s="113" t="n"/>
      <c r="S4342" s="113" t="n"/>
      <c r="T4342" s="113" t="n"/>
      <c r="U4342" s="113" t="n"/>
      <c r="V4342" s="113" t="n"/>
      <c r="W4342" s="113" t="n"/>
      <c r="X4342" s="113" t="n"/>
      <c r="Y4342" s="113" t="n"/>
      <c r="Z4342" s="117">
        <f>IF($B4342="",0,IF($S4342="EVET",IF($D4342="GELİR",$O4342,-$O4342),0))</f>
        <v/>
      </c>
      <c r="AA4342" s="117">
        <f>IF($B4342="",0,IF(OR($W4342="EVET",$X4342="EVET",$Y4342="EVET"),0,IF($D4342="GELİR",IF($E4342="SATIŞ İADESİ/İSKONTO",-$O4342,$O4342),-$O4342)))</f>
        <v/>
      </c>
      <c r="AB4342" s="117">
        <f>IF($B4342="","",IF(OR($D4342="",$E4342="",$O4342=""),"EKSİK",IF($O4342&lt;=0,"SIFIR/NEGATİF",IF(COUNTIFS($C$6:$C$5000,$C4342,$O$6:$O$5000,$O4342,$B$6:$B$5000,$B4342)&gt;1,"MÜKERRER","OK"))))</f>
        <v/>
      </c>
    </row>
    <row r="4343" ht="16.5" customHeight="1" s="80">
      <c r="A4343" s="113" t="n"/>
      <c r="B4343" s="113" t="n"/>
      <c r="C4343" s="113" t="n"/>
      <c r="D4343" s="113" t="n"/>
      <c r="E4343" s="113" t="n"/>
      <c r="F4343" s="113" t="n"/>
      <c r="G4343" s="113" t="n"/>
      <c r="H4343" s="113" t="n"/>
      <c r="I4343" s="113" t="n"/>
      <c r="J4343" s="113" t="n"/>
      <c r="K4343" s="113" t="n"/>
      <c r="L4343" s="113" t="n"/>
      <c r="M4343" s="113" t="n"/>
      <c r="N4343" s="113" t="n"/>
      <c r="O4343" s="113" t="n"/>
      <c r="P4343" s="113" t="n"/>
      <c r="Q4343" s="113" t="n"/>
      <c r="R4343" s="113" t="n"/>
      <c r="S4343" s="113" t="n"/>
      <c r="T4343" s="113" t="n"/>
      <c r="U4343" s="113" t="n"/>
      <c r="V4343" s="113" t="n"/>
      <c r="W4343" s="113" t="n"/>
      <c r="X4343" s="113" t="n"/>
      <c r="Y4343" s="113" t="n"/>
      <c r="Z4343" s="117">
        <f>IF($B4343="",0,IF($S4343="EVET",IF($D4343="GELİR",$O4343,-$O4343),0))</f>
        <v/>
      </c>
      <c r="AA4343" s="117">
        <f>IF($B4343="",0,IF(OR($W4343="EVET",$X4343="EVET",$Y4343="EVET"),0,IF($D4343="GELİR",IF($E4343="SATIŞ İADESİ/İSKONTO",-$O4343,$O4343),-$O4343)))</f>
        <v/>
      </c>
      <c r="AB4343" s="117">
        <f>IF($B4343="","",IF(OR($D4343="",$E4343="",$O4343=""),"EKSİK",IF($O4343&lt;=0,"SIFIR/NEGATİF",IF(COUNTIFS($C$6:$C$5000,$C4343,$O$6:$O$5000,$O4343,$B$6:$B$5000,$B4343)&gt;1,"MÜKERRER","OK"))))</f>
        <v/>
      </c>
    </row>
    <row r="4344" ht="16.5" customHeight="1" s="80">
      <c r="A4344" s="113" t="n"/>
      <c r="B4344" s="113" t="n"/>
      <c r="C4344" s="113" t="n"/>
      <c r="D4344" s="113" t="n"/>
      <c r="E4344" s="113" t="n"/>
      <c r="F4344" s="113" t="n"/>
      <c r="G4344" s="113" t="n"/>
      <c r="H4344" s="113" t="n"/>
      <c r="I4344" s="113" t="n"/>
      <c r="J4344" s="113" t="n"/>
      <c r="K4344" s="113" t="n"/>
      <c r="L4344" s="113" t="n"/>
      <c r="M4344" s="113" t="n"/>
      <c r="N4344" s="113" t="n"/>
      <c r="O4344" s="113" t="n"/>
      <c r="P4344" s="113" t="n"/>
      <c r="Q4344" s="113" t="n"/>
      <c r="R4344" s="113" t="n"/>
      <c r="S4344" s="113" t="n"/>
      <c r="T4344" s="113" t="n"/>
      <c r="U4344" s="113" t="n"/>
      <c r="V4344" s="113" t="n"/>
      <c r="W4344" s="113" t="n"/>
      <c r="X4344" s="113" t="n"/>
      <c r="Y4344" s="113" t="n"/>
      <c r="Z4344" s="117">
        <f>IF($B4344="",0,IF($S4344="EVET",IF($D4344="GELİR",$O4344,-$O4344),0))</f>
        <v/>
      </c>
      <c r="AA4344" s="117">
        <f>IF($B4344="",0,IF(OR($W4344="EVET",$X4344="EVET",$Y4344="EVET"),0,IF($D4344="GELİR",IF($E4344="SATIŞ İADESİ/İSKONTO",-$O4344,$O4344),-$O4344)))</f>
        <v/>
      </c>
      <c r="AB4344" s="117">
        <f>IF($B4344="","",IF(OR($D4344="",$E4344="",$O4344=""),"EKSİK",IF($O4344&lt;=0,"SIFIR/NEGATİF",IF(COUNTIFS($C$6:$C$5000,$C4344,$O$6:$O$5000,$O4344,$B$6:$B$5000,$B4344)&gt;1,"MÜKERRER","OK"))))</f>
        <v/>
      </c>
    </row>
    <row r="4345" ht="16.5" customHeight="1" s="80">
      <c r="A4345" s="113" t="n"/>
      <c r="B4345" s="113" t="n"/>
      <c r="C4345" s="113" t="n"/>
      <c r="D4345" s="113" t="n"/>
      <c r="E4345" s="113" t="n"/>
      <c r="F4345" s="113" t="n"/>
      <c r="G4345" s="113" t="n"/>
      <c r="H4345" s="113" t="n"/>
      <c r="I4345" s="113" t="n"/>
      <c r="J4345" s="113" t="n"/>
      <c r="K4345" s="113" t="n"/>
      <c r="L4345" s="113" t="n"/>
      <c r="M4345" s="113" t="n"/>
      <c r="N4345" s="113" t="n"/>
      <c r="O4345" s="113" t="n"/>
      <c r="P4345" s="113" t="n"/>
      <c r="Q4345" s="113" t="n"/>
      <c r="R4345" s="113" t="n"/>
      <c r="S4345" s="113" t="n"/>
      <c r="T4345" s="113" t="n"/>
      <c r="U4345" s="113" t="n"/>
      <c r="V4345" s="113" t="n"/>
      <c r="W4345" s="113" t="n"/>
      <c r="X4345" s="113" t="n"/>
      <c r="Y4345" s="113" t="n"/>
      <c r="Z4345" s="117">
        <f>IF($B4345="",0,IF($S4345="EVET",IF($D4345="GELİR",$O4345,-$O4345),0))</f>
        <v/>
      </c>
      <c r="AA4345" s="117">
        <f>IF($B4345="",0,IF(OR($W4345="EVET",$X4345="EVET",$Y4345="EVET"),0,IF($D4345="GELİR",IF($E4345="SATIŞ İADESİ/İSKONTO",-$O4345,$O4345),-$O4345)))</f>
        <v/>
      </c>
      <c r="AB4345" s="117">
        <f>IF($B4345="","",IF(OR($D4345="",$E4345="",$O4345=""),"EKSİK",IF($O4345&lt;=0,"SIFIR/NEGATİF",IF(COUNTIFS($C$6:$C$5000,$C4345,$O$6:$O$5000,$O4345,$B$6:$B$5000,$B4345)&gt;1,"MÜKERRER","OK"))))</f>
        <v/>
      </c>
    </row>
    <row r="4346" ht="16.5" customHeight="1" s="80">
      <c r="A4346" s="113" t="n"/>
      <c r="B4346" s="113" t="n"/>
      <c r="C4346" s="113" t="n"/>
      <c r="D4346" s="113" t="n"/>
      <c r="E4346" s="113" t="n"/>
      <c r="F4346" s="113" t="n"/>
      <c r="G4346" s="113" t="n"/>
      <c r="H4346" s="113" t="n"/>
      <c r="I4346" s="113" t="n"/>
      <c r="J4346" s="113" t="n"/>
      <c r="K4346" s="113" t="n"/>
      <c r="L4346" s="113" t="n"/>
      <c r="M4346" s="113" t="n"/>
      <c r="N4346" s="113" t="n"/>
      <c r="O4346" s="113" t="n"/>
      <c r="P4346" s="113" t="n"/>
      <c r="Q4346" s="113" t="n"/>
      <c r="R4346" s="113" t="n"/>
      <c r="S4346" s="113" t="n"/>
      <c r="T4346" s="113" t="n"/>
      <c r="U4346" s="113" t="n"/>
      <c r="V4346" s="113" t="n"/>
      <c r="W4346" s="113" t="n"/>
      <c r="X4346" s="113" t="n"/>
      <c r="Y4346" s="113" t="n"/>
      <c r="Z4346" s="117">
        <f>IF($B4346="",0,IF($S4346="EVET",IF($D4346="GELİR",$O4346,-$O4346),0))</f>
        <v/>
      </c>
      <c r="AA4346" s="117">
        <f>IF($B4346="",0,IF(OR($W4346="EVET",$X4346="EVET",$Y4346="EVET"),0,IF($D4346="GELİR",IF($E4346="SATIŞ İADESİ/İSKONTO",-$O4346,$O4346),-$O4346)))</f>
        <v/>
      </c>
      <c r="AB4346" s="117">
        <f>IF($B4346="","",IF(OR($D4346="",$E4346="",$O4346=""),"EKSİK",IF($O4346&lt;=0,"SIFIR/NEGATİF",IF(COUNTIFS($C$6:$C$5000,$C4346,$O$6:$O$5000,$O4346,$B$6:$B$5000,$B4346)&gt;1,"MÜKERRER","OK"))))</f>
        <v/>
      </c>
    </row>
    <row r="4347" ht="16.5" customHeight="1" s="80">
      <c r="A4347" s="113" t="n"/>
      <c r="B4347" s="113" t="n"/>
      <c r="C4347" s="113" t="n"/>
      <c r="D4347" s="113" t="n"/>
      <c r="E4347" s="113" t="n"/>
      <c r="F4347" s="113" t="n"/>
      <c r="G4347" s="113" t="n"/>
      <c r="H4347" s="113" t="n"/>
      <c r="I4347" s="113" t="n"/>
      <c r="J4347" s="113" t="n"/>
      <c r="K4347" s="113" t="n"/>
      <c r="L4347" s="113" t="n"/>
      <c r="M4347" s="113" t="n"/>
      <c r="N4347" s="113" t="n"/>
      <c r="O4347" s="113" t="n"/>
      <c r="P4347" s="113" t="n"/>
      <c r="Q4347" s="113" t="n"/>
      <c r="R4347" s="113" t="n"/>
      <c r="S4347" s="113" t="n"/>
      <c r="T4347" s="113" t="n"/>
      <c r="U4347" s="113" t="n"/>
      <c r="V4347" s="113" t="n"/>
      <c r="W4347" s="113" t="n"/>
      <c r="X4347" s="113" t="n"/>
      <c r="Y4347" s="113" t="n"/>
      <c r="Z4347" s="117">
        <f>IF($B4347="",0,IF($S4347="EVET",IF($D4347="GELİR",$O4347,-$O4347),0))</f>
        <v/>
      </c>
      <c r="AA4347" s="117">
        <f>IF($B4347="",0,IF(OR($W4347="EVET",$X4347="EVET",$Y4347="EVET"),0,IF($D4347="GELİR",IF($E4347="SATIŞ İADESİ/İSKONTO",-$O4347,$O4347),-$O4347)))</f>
        <v/>
      </c>
      <c r="AB4347" s="117">
        <f>IF($B4347="","",IF(OR($D4347="",$E4347="",$O4347=""),"EKSİK",IF($O4347&lt;=0,"SIFIR/NEGATİF",IF(COUNTIFS($C$6:$C$5000,$C4347,$O$6:$O$5000,$O4347,$B$6:$B$5000,$B4347)&gt;1,"MÜKERRER","OK"))))</f>
        <v/>
      </c>
    </row>
    <row r="4348" ht="16.5" customHeight="1" s="80">
      <c r="A4348" s="113" t="n"/>
      <c r="B4348" s="113" t="n"/>
      <c r="C4348" s="113" t="n"/>
      <c r="D4348" s="113" t="n"/>
      <c r="E4348" s="113" t="n"/>
      <c r="F4348" s="113" t="n"/>
      <c r="G4348" s="113" t="n"/>
      <c r="H4348" s="113" t="n"/>
      <c r="I4348" s="113" t="n"/>
      <c r="J4348" s="113" t="n"/>
      <c r="K4348" s="113" t="n"/>
      <c r="L4348" s="113" t="n"/>
      <c r="M4348" s="113" t="n"/>
      <c r="N4348" s="113" t="n"/>
      <c r="O4348" s="113" t="n"/>
      <c r="P4348" s="113" t="n"/>
      <c r="Q4348" s="113" t="n"/>
      <c r="R4348" s="113" t="n"/>
      <c r="S4348" s="113" t="n"/>
      <c r="T4348" s="113" t="n"/>
      <c r="U4348" s="113" t="n"/>
      <c r="V4348" s="113" t="n"/>
      <c r="W4348" s="113" t="n"/>
      <c r="X4348" s="113" t="n"/>
      <c r="Y4348" s="113" t="n"/>
      <c r="Z4348" s="117">
        <f>IF($B4348="",0,IF($S4348="EVET",IF($D4348="GELİR",$O4348,-$O4348),0))</f>
        <v/>
      </c>
      <c r="AA4348" s="117">
        <f>IF($B4348="",0,IF(OR($W4348="EVET",$X4348="EVET",$Y4348="EVET"),0,IF($D4348="GELİR",IF($E4348="SATIŞ İADESİ/İSKONTO",-$O4348,$O4348),-$O4348)))</f>
        <v/>
      </c>
      <c r="AB4348" s="117">
        <f>IF($B4348="","",IF(OR($D4348="",$E4348="",$O4348=""),"EKSİK",IF($O4348&lt;=0,"SIFIR/NEGATİF",IF(COUNTIFS($C$6:$C$5000,$C4348,$O$6:$O$5000,$O4348,$B$6:$B$5000,$B4348)&gt;1,"MÜKERRER","OK"))))</f>
        <v/>
      </c>
    </row>
    <row r="4349" ht="16.5" customHeight="1" s="80">
      <c r="A4349" s="113" t="n"/>
      <c r="B4349" s="113" t="n"/>
      <c r="C4349" s="113" t="n"/>
      <c r="D4349" s="113" t="n"/>
      <c r="E4349" s="113" t="n"/>
      <c r="F4349" s="113" t="n"/>
      <c r="G4349" s="113" t="n"/>
      <c r="H4349" s="113" t="n"/>
      <c r="I4349" s="113" t="n"/>
      <c r="J4349" s="113" t="n"/>
      <c r="K4349" s="113" t="n"/>
      <c r="L4349" s="113" t="n"/>
      <c r="M4349" s="113" t="n"/>
      <c r="N4349" s="113" t="n"/>
      <c r="O4349" s="113" t="n"/>
      <c r="P4349" s="113" t="n"/>
      <c r="Q4349" s="113" t="n"/>
      <c r="R4349" s="113" t="n"/>
      <c r="S4349" s="113" t="n"/>
      <c r="T4349" s="113" t="n"/>
      <c r="U4349" s="113" t="n"/>
      <c r="V4349" s="113" t="n"/>
      <c r="W4349" s="113" t="n"/>
      <c r="X4349" s="113" t="n"/>
      <c r="Y4349" s="113" t="n"/>
      <c r="Z4349" s="117">
        <f>IF($B4349="",0,IF($S4349="EVET",IF($D4349="GELİR",$O4349,-$O4349),0))</f>
        <v/>
      </c>
      <c r="AA4349" s="117">
        <f>IF($B4349="",0,IF(OR($W4349="EVET",$X4349="EVET",$Y4349="EVET"),0,IF($D4349="GELİR",IF($E4349="SATIŞ İADESİ/İSKONTO",-$O4349,$O4349),-$O4349)))</f>
        <v/>
      </c>
      <c r="AB4349" s="117">
        <f>IF($B4349="","",IF(OR($D4349="",$E4349="",$O4349=""),"EKSİK",IF($O4349&lt;=0,"SIFIR/NEGATİF",IF(COUNTIFS($C$6:$C$5000,$C4349,$O$6:$O$5000,$O4349,$B$6:$B$5000,$B4349)&gt;1,"MÜKERRER","OK"))))</f>
        <v/>
      </c>
    </row>
    <row r="4350" ht="16.5" customHeight="1" s="80">
      <c r="A4350" s="113" t="n"/>
      <c r="B4350" s="113" t="n"/>
      <c r="C4350" s="113" t="n"/>
      <c r="D4350" s="113" t="n"/>
      <c r="E4350" s="113" t="n"/>
      <c r="F4350" s="113" t="n"/>
      <c r="G4350" s="113" t="n"/>
      <c r="H4350" s="113" t="n"/>
      <c r="I4350" s="113" t="n"/>
      <c r="J4350" s="113" t="n"/>
      <c r="K4350" s="113" t="n"/>
      <c r="L4350" s="113" t="n"/>
      <c r="M4350" s="113" t="n"/>
      <c r="N4350" s="113" t="n"/>
      <c r="O4350" s="113" t="n"/>
      <c r="P4350" s="113" t="n"/>
      <c r="Q4350" s="113" t="n"/>
      <c r="R4350" s="113" t="n"/>
      <c r="S4350" s="113" t="n"/>
      <c r="T4350" s="113" t="n"/>
      <c r="U4350" s="113" t="n"/>
      <c r="V4350" s="113" t="n"/>
      <c r="W4350" s="113" t="n"/>
      <c r="X4350" s="113" t="n"/>
      <c r="Y4350" s="113" t="n"/>
      <c r="Z4350" s="117">
        <f>IF($B4350="",0,IF($S4350="EVET",IF($D4350="GELİR",$O4350,-$O4350),0))</f>
        <v/>
      </c>
      <c r="AA4350" s="117">
        <f>IF($B4350="",0,IF(OR($W4350="EVET",$X4350="EVET",$Y4350="EVET"),0,IF($D4350="GELİR",IF($E4350="SATIŞ İADESİ/İSKONTO",-$O4350,$O4350),-$O4350)))</f>
        <v/>
      </c>
      <c r="AB4350" s="117">
        <f>IF($B4350="","",IF(OR($D4350="",$E4350="",$O4350=""),"EKSİK",IF($O4350&lt;=0,"SIFIR/NEGATİF",IF(COUNTIFS($C$6:$C$5000,$C4350,$O$6:$O$5000,$O4350,$B$6:$B$5000,$B4350)&gt;1,"MÜKERRER","OK"))))</f>
        <v/>
      </c>
    </row>
    <row r="4351" ht="16.5" customHeight="1" s="80">
      <c r="A4351" s="113" t="n"/>
      <c r="B4351" s="113" t="n"/>
      <c r="C4351" s="113" t="n"/>
      <c r="D4351" s="113" t="n"/>
      <c r="E4351" s="113" t="n"/>
      <c r="F4351" s="113" t="n"/>
      <c r="G4351" s="113" t="n"/>
      <c r="H4351" s="113" t="n"/>
      <c r="I4351" s="113" t="n"/>
      <c r="J4351" s="113" t="n"/>
      <c r="K4351" s="113" t="n"/>
      <c r="L4351" s="113" t="n"/>
      <c r="M4351" s="113" t="n"/>
      <c r="N4351" s="113" t="n"/>
      <c r="O4351" s="113" t="n"/>
      <c r="P4351" s="113" t="n"/>
      <c r="Q4351" s="113" t="n"/>
      <c r="R4351" s="113" t="n"/>
      <c r="S4351" s="113" t="n"/>
      <c r="T4351" s="113" t="n"/>
      <c r="U4351" s="113" t="n"/>
      <c r="V4351" s="113" t="n"/>
      <c r="W4351" s="113" t="n"/>
      <c r="X4351" s="113" t="n"/>
      <c r="Y4351" s="113" t="n"/>
      <c r="Z4351" s="117">
        <f>IF($B4351="",0,IF($S4351="EVET",IF($D4351="GELİR",$O4351,-$O4351),0))</f>
        <v/>
      </c>
      <c r="AA4351" s="117">
        <f>IF($B4351="",0,IF(OR($W4351="EVET",$X4351="EVET",$Y4351="EVET"),0,IF($D4351="GELİR",IF($E4351="SATIŞ İADESİ/İSKONTO",-$O4351,$O4351),-$O4351)))</f>
        <v/>
      </c>
      <c r="AB4351" s="117">
        <f>IF($B4351="","",IF(OR($D4351="",$E4351="",$O4351=""),"EKSİK",IF($O4351&lt;=0,"SIFIR/NEGATİF",IF(COUNTIFS($C$6:$C$5000,$C4351,$O$6:$O$5000,$O4351,$B$6:$B$5000,$B4351)&gt;1,"MÜKERRER","OK"))))</f>
        <v/>
      </c>
    </row>
    <row r="4352" ht="16.5" customHeight="1" s="80">
      <c r="A4352" s="113" t="n"/>
      <c r="B4352" s="113" t="n"/>
      <c r="C4352" s="113" t="n"/>
      <c r="D4352" s="113" t="n"/>
      <c r="E4352" s="113" t="n"/>
      <c r="F4352" s="113" t="n"/>
      <c r="G4352" s="113" t="n"/>
      <c r="H4352" s="113" t="n"/>
      <c r="I4352" s="113" t="n"/>
      <c r="J4352" s="113" t="n"/>
      <c r="K4352" s="113" t="n"/>
      <c r="L4352" s="113" t="n"/>
      <c r="M4352" s="113" t="n"/>
      <c r="N4352" s="113" t="n"/>
      <c r="O4352" s="113" t="n"/>
      <c r="P4352" s="113" t="n"/>
      <c r="Q4352" s="113" t="n"/>
      <c r="R4352" s="113" t="n"/>
      <c r="S4352" s="113" t="n"/>
      <c r="T4352" s="113" t="n"/>
      <c r="U4352" s="113" t="n"/>
      <c r="V4352" s="113" t="n"/>
      <c r="W4352" s="113" t="n"/>
      <c r="X4352" s="113" t="n"/>
      <c r="Y4352" s="113" t="n"/>
      <c r="Z4352" s="117">
        <f>IF($B4352="",0,IF($S4352="EVET",IF($D4352="GELİR",$O4352,-$O4352),0))</f>
        <v/>
      </c>
      <c r="AA4352" s="117">
        <f>IF($B4352="",0,IF(OR($W4352="EVET",$X4352="EVET",$Y4352="EVET"),0,IF($D4352="GELİR",IF($E4352="SATIŞ İADESİ/İSKONTO",-$O4352,$O4352),-$O4352)))</f>
        <v/>
      </c>
      <c r="AB4352" s="117">
        <f>IF($B4352="","",IF(OR($D4352="",$E4352="",$O4352=""),"EKSİK",IF($O4352&lt;=0,"SIFIR/NEGATİF",IF(COUNTIFS($C$6:$C$5000,$C4352,$O$6:$O$5000,$O4352,$B$6:$B$5000,$B4352)&gt;1,"MÜKERRER","OK"))))</f>
        <v/>
      </c>
    </row>
    <row r="4353" ht="16.5" customHeight="1" s="80">
      <c r="A4353" s="113" t="n"/>
      <c r="B4353" s="113" t="n"/>
      <c r="C4353" s="113" t="n"/>
      <c r="D4353" s="113" t="n"/>
      <c r="E4353" s="113" t="n"/>
      <c r="F4353" s="113" t="n"/>
      <c r="G4353" s="113" t="n"/>
      <c r="H4353" s="113" t="n"/>
      <c r="I4353" s="113" t="n"/>
      <c r="J4353" s="113" t="n"/>
      <c r="K4353" s="113" t="n"/>
      <c r="L4353" s="113" t="n"/>
      <c r="M4353" s="113" t="n"/>
      <c r="N4353" s="113" t="n"/>
      <c r="O4353" s="113" t="n"/>
      <c r="P4353" s="113" t="n"/>
      <c r="Q4353" s="113" t="n"/>
      <c r="R4353" s="113" t="n"/>
      <c r="S4353" s="113" t="n"/>
      <c r="T4353" s="113" t="n"/>
      <c r="U4353" s="113" t="n"/>
      <c r="V4353" s="113" t="n"/>
      <c r="W4353" s="113" t="n"/>
      <c r="X4353" s="113" t="n"/>
      <c r="Y4353" s="113" t="n"/>
      <c r="Z4353" s="117">
        <f>IF($B4353="",0,IF($S4353="EVET",IF($D4353="GELİR",$O4353,-$O4353),0))</f>
        <v/>
      </c>
      <c r="AA4353" s="117">
        <f>IF($B4353="",0,IF(OR($W4353="EVET",$X4353="EVET",$Y4353="EVET"),0,IF($D4353="GELİR",IF($E4353="SATIŞ İADESİ/İSKONTO",-$O4353,$O4353),-$O4353)))</f>
        <v/>
      </c>
      <c r="AB4353" s="117">
        <f>IF($B4353="","",IF(OR($D4353="",$E4353="",$O4353=""),"EKSİK",IF($O4353&lt;=0,"SIFIR/NEGATİF",IF(COUNTIFS($C$6:$C$5000,$C4353,$O$6:$O$5000,$O4353,$B$6:$B$5000,$B4353)&gt;1,"MÜKERRER","OK"))))</f>
        <v/>
      </c>
    </row>
    <row r="4354" ht="16.5" customHeight="1" s="80">
      <c r="A4354" s="113" t="n"/>
      <c r="B4354" s="113" t="n"/>
      <c r="C4354" s="113" t="n"/>
      <c r="D4354" s="113" t="n"/>
      <c r="E4354" s="113" t="n"/>
      <c r="F4354" s="113" t="n"/>
      <c r="G4354" s="113" t="n"/>
      <c r="H4354" s="113" t="n"/>
      <c r="I4354" s="113" t="n"/>
      <c r="J4354" s="113" t="n"/>
      <c r="K4354" s="113" t="n"/>
      <c r="L4354" s="113" t="n"/>
      <c r="M4354" s="113" t="n"/>
      <c r="N4354" s="113" t="n"/>
      <c r="O4354" s="113" t="n"/>
      <c r="P4354" s="113" t="n"/>
      <c r="Q4354" s="113" t="n"/>
      <c r="R4354" s="113" t="n"/>
      <c r="S4354" s="113" t="n"/>
      <c r="T4354" s="113" t="n"/>
      <c r="U4354" s="113" t="n"/>
      <c r="V4354" s="113" t="n"/>
      <c r="W4354" s="113" t="n"/>
      <c r="X4354" s="113" t="n"/>
      <c r="Y4354" s="113" t="n"/>
      <c r="Z4354" s="117">
        <f>IF($B4354="",0,IF($S4354="EVET",IF($D4354="GELİR",$O4354,-$O4354),0))</f>
        <v/>
      </c>
      <c r="AA4354" s="117">
        <f>IF($B4354="",0,IF(OR($W4354="EVET",$X4354="EVET",$Y4354="EVET"),0,IF($D4354="GELİR",IF($E4354="SATIŞ İADESİ/İSKONTO",-$O4354,$O4354),-$O4354)))</f>
        <v/>
      </c>
      <c r="AB4354" s="117">
        <f>IF($B4354="","",IF(OR($D4354="",$E4354="",$O4354=""),"EKSİK",IF($O4354&lt;=0,"SIFIR/NEGATİF",IF(COUNTIFS($C$6:$C$5000,$C4354,$O$6:$O$5000,$O4354,$B$6:$B$5000,$B4354)&gt;1,"MÜKERRER","OK"))))</f>
        <v/>
      </c>
    </row>
    <row r="4355" ht="16.5" customHeight="1" s="80">
      <c r="A4355" s="113" t="n"/>
      <c r="B4355" s="113" t="n"/>
      <c r="C4355" s="113" t="n"/>
      <c r="D4355" s="113" t="n"/>
      <c r="E4355" s="113" t="n"/>
      <c r="F4355" s="113" t="n"/>
      <c r="G4355" s="113" t="n"/>
      <c r="H4355" s="113" t="n"/>
      <c r="I4355" s="113" t="n"/>
      <c r="J4355" s="113" t="n"/>
      <c r="K4355" s="113" t="n"/>
      <c r="L4355" s="113" t="n"/>
      <c r="M4355" s="113" t="n"/>
      <c r="N4355" s="113" t="n"/>
      <c r="O4355" s="113" t="n"/>
      <c r="P4355" s="113" t="n"/>
      <c r="Q4355" s="113" t="n"/>
      <c r="R4355" s="113" t="n"/>
      <c r="S4355" s="113" t="n"/>
      <c r="T4355" s="113" t="n"/>
      <c r="U4355" s="113" t="n"/>
      <c r="V4355" s="113" t="n"/>
      <c r="W4355" s="113" t="n"/>
      <c r="X4355" s="113" t="n"/>
      <c r="Y4355" s="113" t="n"/>
      <c r="Z4355" s="117">
        <f>IF($B4355="",0,IF($S4355="EVET",IF($D4355="GELİR",$O4355,-$O4355),0))</f>
        <v/>
      </c>
      <c r="AA4355" s="117">
        <f>IF($B4355="",0,IF(OR($W4355="EVET",$X4355="EVET",$Y4355="EVET"),0,IF($D4355="GELİR",IF($E4355="SATIŞ İADESİ/İSKONTO",-$O4355,$O4355),-$O4355)))</f>
        <v/>
      </c>
      <c r="AB4355" s="117">
        <f>IF($B4355="","",IF(OR($D4355="",$E4355="",$O4355=""),"EKSİK",IF($O4355&lt;=0,"SIFIR/NEGATİF",IF(COUNTIFS($C$6:$C$5000,$C4355,$O$6:$O$5000,$O4355,$B$6:$B$5000,$B4355)&gt;1,"MÜKERRER","OK"))))</f>
        <v/>
      </c>
    </row>
    <row r="4356" ht="16.5" customHeight="1" s="80">
      <c r="A4356" s="113" t="n"/>
      <c r="B4356" s="113" t="n"/>
      <c r="C4356" s="113" t="n"/>
      <c r="D4356" s="113" t="n"/>
      <c r="E4356" s="113" t="n"/>
      <c r="F4356" s="113" t="n"/>
      <c r="G4356" s="113" t="n"/>
      <c r="H4356" s="113" t="n"/>
      <c r="I4356" s="113" t="n"/>
      <c r="J4356" s="113" t="n"/>
      <c r="K4356" s="113" t="n"/>
      <c r="L4356" s="113" t="n"/>
      <c r="M4356" s="113" t="n"/>
      <c r="N4356" s="113" t="n"/>
      <c r="O4356" s="113" t="n"/>
      <c r="P4356" s="113" t="n"/>
      <c r="Q4356" s="113" t="n"/>
      <c r="R4356" s="113" t="n"/>
      <c r="S4356" s="113" t="n"/>
      <c r="T4356" s="113" t="n"/>
      <c r="U4356" s="113" t="n"/>
      <c r="V4356" s="113" t="n"/>
      <c r="W4356" s="113" t="n"/>
      <c r="X4356" s="113" t="n"/>
      <c r="Y4356" s="113" t="n"/>
      <c r="Z4356" s="117">
        <f>IF($B4356="",0,IF($S4356="EVET",IF($D4356="GELİR",$O4356,-$O4356),0))</f>
        <v/>
      </c>
      <c r="AA4356" s="117">
        <f>IF($B4356="",0,IF(OR($W4356="EVET",$X4356="EVET",$Y4356="EVET"),0,IF($D4356="GELİR",IF($E4356="SATIŞ İADESİ/İSKONTO",-$O4356,$O4356),-$O4356)))</f>
        <v/>
      </c>
      <c r="AB4356" s="117">
        <f>IF($B4356="","",IF(OR($D4356="",$E4356="",$O4356=""),"EKSİK",IF($O4356&lt;=0,"SIFIR/NEGATİF",IF(COUNTIFS($C$6:$C$5000,$C4356,$O$6:$O$5000,$O4356,$B$6:$B$5000,$B4356)&gt;1,"MÜKERRER","OK"))))</f>
        <v/>
      </c>
    </row>
    <row r="4357" ht="16.5" customHeight="1" s="80">
      <c r="A4357" s="113" t="n"/>
      <c r="B4357" s="113" t="n"/>
      <c r="C4357" s="113" t="n"/>
      <c r="D4357" s="113" t="n"/>
      <c r="E4357" s="113" t="n"/>
      <c r="F4357" s="113" t="n"/>
      <c r="G4357" s="113" t="n"/>
      <c r="H4357" s="113" t="n"/>
      <c r="I4357" s="113" t="n"/>
      <c r="J4357" s="113" t="n"/>
      <c r="K4357" s="113" t="n"/>
      <c r="L4357" s="113" t="n"/>
      <c r="M4357" s="113" t="n"/>
      <c r="N4357" s="113" t="n"/>
      <c r="O4357" s="113" t="n"/>
      <c r="P4357" s="113" t="n"/>
      <c r="Q4357" s="113" t="n"/>
      <c r="R4357" s="113" t="n"/>
      <c r="S4357" s="113" t="n"/>
      <c r="T4357" s="113" t="n"/>
      <c r="U4357" s="113" t="n"/>
      <c r="V4357" s="113" t="n"/>
      <c r="W4357" s="113" t="n"/>
      <c r="X4357" s="113" t="n"/>
      <c r="Y4357" s="113" t="n"/>
      <c r="Z4357" s="117">
        <f>IF($B4357="",0,IF($S4357="EVET",IF($D4357="GELİR",$O4357,-$O4357),0))</f>
        <v/>
      </c>
      <c r="AA4357" s="117">
        <f>IF($B4357="",0,IF(OR($W4357="EVET",$X4357="EVET",$Y4357="EVET"),0,IF($D4357="GELİR",IF($E4357="SATIŞ İADESİ/İSKONTO",-$O4357,$O4357),-$O4357)))</f>
        <v/>
      </c>
      <c r="AB4357" s="117">
        <f>IF($B4357="","",IF(OR($D4357="",$E4357="",$O4357=""),"EKSİK",IF($O4357&lt;=0,"SIFIR/NEGATİF",IF(COUNTIFS($C$6:$C$5000,$C4357,$O$6:$O$5000,$O4357,$B$6:$B$5000,$B4357)&gt;1,"MÜKERRER","OK"))))</f>
        <v/>
      </c>
    </row>
    <row r="4358" ht="16.5" customHeight="1" s="80">
      <c r="A4358" s="113" t="n"/>
      <c r="B4358" s="113" t="n"/>
      <c r="C4358" s="113" t="n"/>
      <c r="D4358" s="113" t="n"/>
      <c r="E4358" s="113" t="n"/>
      <c r="F4358" s="113" t="n"/>
      <c r="G4358" s="113" t="n"/>
      <c r="H4358" s="113" t="n"/>
      <c r="I4358" s="113" t="n"/>
      <c r="J4358" s="113" t="n"/>
      <c r="K4358" s="113" t="n"/>
      <c r="L4358" s="113" t="n"/>
      <c r="M4358" s="113" t="n"/>
      <c r="N4358" s="113" t="n"/>
      <c r="O4358" s="113" t="n"/>
      <c r="P4358" s="113" t="n"/>
      <c r="Q4358" s="113" t="n"/>
      <c r="R4358" s="113" t="n"/>
      <c r="S4358" s="113" t="n"/>
      <c r="T4358" s="113" t="n"/>
      <c r="U4358" s="113" t="n"/>
      <c r="V4358" s="113" t="n"/>
      <c r="W4358" s="113" t="n"/>
      <c r="X4358" s="113" t="n"/>
      <c r="Y4358" s="113" t="n"/>
      <c r="Z4358" s="117">
        <f>IF($B4358="",0,IF($S4358="EVET",IF($D4358="GELİR",$O4358,-$O4358),0))</f>
        <v/>
      </c>
      <c r="AA4358" s="117">
        <f>IF($B4358="",0,IF(OR($W4358="EVET",$X4358="EVET",$Y4358="EVET"),0,IF($D4358="GELİR",IF($E4358="SATIŞ İADESİ/İSKONTO",-$O4358,$O4358),-$O4358)))</f>
        <v/>
      </c>
      <c r="AB4358" s="117">
        <f>IF($B4358="","",IF(OR($D4358="",$E4358="",$O4358=""),"EKSİK",IF($O4358&lt;=0,"SIFIR/NEGATİF",IF(COUNTIFS($C$6:$C$5000,$C4358,$O$6:$O$5000,$O4358,$B$6:$B$5000,$B4358)&gt;1,"MÜKERRER","OK"))))</f>
        <v/>
      </c>
    </row>
    <row r="4359" ht="16.5" customHeight="1" s="80">
      <c r="A4359" s="113" t="n"/>
      <c r="B4359" s="113" t="n"/>
      <c r="C4359" s="113" t="n"/>
      <c r="D4359" s="113" t="n"/>
      <c r="E4359" s="113" t="n"/>
      <c r="F4359" s="113" t="n"/>
      <c r="G4359" s="113" t="n"/>
      <c r="H4359" s="113" t="n"/>
      <c r="I4359" s="113" t="n"/>
      <c r="J4359" s="113" t="n"/>
      <c r="K4359" s="113" t="n"/>
      <c r="L4359" s="113" t="n"/>
      <c r="M4359" s="113" t="n"/>
      <c r="N4359" s="113" t="n"/>
      <c r="O4359" s="113" t="n"/>
      <c r="P4359" s="113" t="n"/>
      <c r="Q4359" s="113" t="n"/>
      <c r="R4359" s="113" t="n"/>
      <c r="S4359" s="113" t="n"/>
      <c r="T4359" s="113" t="n"/>
      <c r="U4359" s="113" t="n"/>
      <c r="V4359" s="113" t="n"/>
      <c r="W4359" s="113" t="n"/>
      <c r="X4359" s="113" t="n"/>
      <c r="Y4359" s="113" t="n"/>
      <c r="Z4359" s="117">
        <f>IF($B4359="",0,IF($S4359="EVET",IF($D4359="GELİR",$O4359,-$O4359),0))</f>
        <v/>
      </c>
      <c r="AA4359" s="117">
        <f>IF($B4359="",0,IF(OR($W4359="EVET",$X4359="EVET",$Y4359="EVET"),0,IF($D4359="GELİR",IF($E4359="SATIŞ İADESİ/İSKONTO",-$O4359,$O4359),-$O4359)))</f>
        <v/>
      </c>
      <c r="AB4359" s="117">
        <f>IF($B4359="","",IF(OR($D4359="",$E4359="",$O4359=""),"EKSİK",IF($O4359&lt;=0,"SIFIR/NEGATİF",IF(COUNTIFS($C$6:$C$5000,$C4359,$O$6:$O$5000,$O4359,$B$6:$B$5000,$B4359)&gt;1,"MÜKERRER","OK"))))</f>
        <v/>
      </c>
    </row>
    <row r="4360" ht="16.5" customHeight="1" s="80">
      <c r="A4360" s="113" t="n"/>
      <c r="B4360" s="113" t="n"/>
      <c r="C4360" s="113" t="n"/>
      <c r="D4360" s="113" t="n"/>
      <c r="E4360" s="113" t="n"/>
      <c r="F4360" s="113" t="n"/>
      <c r="G4360" s="113" t="n"/>
      <c r="H4360" s="113" t="n"/>
      <c r="I4360" s="113" t="n"/>
      <c r="J4360" s="113" t="n"/>
      <c r="K4360" s="113" t="n"/>
      <c r="L4360" s="113" t="n"/>
      <c r="M4360" s="113" t="n"/>
      <c r="N4360" s="113" t="n"/>
      <c r="O4360" s="113" t="n"/>
      <c r="P4360" s="113" t="n"/>
      <c r="Q4360" s="113" t="n"/>
      <c r="R4360" s="113" t="n"/>
      <c r="S4360" s="113" t="n"/>
      <c r="T4360" s="113" t="n"/>
      <c r="U4360" s="113" t="n"/>
      <c r="V4360" s="113" t="n"/>
      <c r="W4360" s="113" t="n"/>
      <c r="X4360" s="113" t="n"/>
      <c r="Y4360" s="113" t="n"/>
      <c r="Z4360" s="117">
        <f>IF($B4360="",0,IF($S4360="EVET",IF($D4360="GELİR",$O4360,-$O4360),0))</f>
        <v/>
      </c>
      <c r="AA4360" s="117">
        <f>IF($B4360="",0,IF(OR($W4360="EVET",$X4360="EVET",$Y4360="EVET"),0,IF($D4360="GELİR",IF($E4360="SATIŞ İADESİ/İSKONTO",-$O4360,$O4360),-$O4360)))</f>
        <v/>
      </c>
      <c r="AB4360" s="117">
        <f>IF($B4360="","",IF(OR($D4360="",$E4360="",$O4360=""),"EKSİK",IF($O4360&lt;=0,"SIFIR/NEGATİF",IF(COUNTIFS($C$6:$C$5000,$C4360,$O$6:$O$5000,$O4360,$B$6:$B$5000,$B4360)&gt;1,"MÜKERRER","OK"))))</f>
        <v/>
      </c>
    </row>
    <row r="4361" ht="16.5" customHeight="1" s="80">
      <c r="A4361" s="113" t="n"/>
      <c r="B4361" s="113" t="n"/>
      <c r="C4361" s="113" t="n"/>
      <c r="D4361" s="113" t="n"/>
      <c r="E4361" s="113" t="n"/>
      <c r="F4361" s="113" t="n"/>
      <c r="G4361" s="113" t="n"/>
      <c r="H4361" s="113" t="n"/>
      <c r="I4361" s="113" t="n"/>
      <c r="J4361" s="113" t="n"/>
      <c r="K4361" s="113" t="n"/>
      <c r="L4361" s="113" t="n"/>
      <c r="M4361" s="113" t="n"/>
      <c r="N4361" s="113" t="n"/>
      <c r="O4361" s="113" t="n"/>
      <c r="P4361" s="113" t="n"/>
      <c r="Q4361" s="113" t="n"/>
      <c r="R4361" s="113" t="n"/>
      <c r="S4361" s="113" t="n"/>
      <c r="T4361" s="113" t="n"/>
      <c r="U4361" s="113" t="n"/>
      <c r="V4361" s="113" t="n"/>
      <c r="W4361" s="113" t="n"/>
      <c r="X4361" s="113" t="n"/>
      <c r="Y4361" s="113" t="n"/>
      <c r="Z4361" s="117">
        <f>IF($B4361="",0,IF($S4361="EVET",IF($D4361="GELİR",$O4361,-$O4361),0))</f>
        <v/>
      </c>
      <c r="AA4361" s="117">
        <f>IF($B4361="",0,IF(OR($W4361="EVET",$X4361="EVET",$Y4361="EVET"),0,IF($D4361="GELİR",IF($E4361="SATIŞ İADESİ/İSKONTO",-$O4361,$O4361),-$O4361)))</f>
        <v/>
      </c>
      <c r="AB4361" s="117">
        <f>IF($B4361="","",IF(OR($D4361="",$E4361="",$O4361=""),"EKSİK",IF($O4361&lt;=0,"SIFIR/NEGATİF",IF(COUNTIFS($C$6:$C$5000,$C4361,$O$6:$O$5000,$O4361,$B$6:$B$5000,$B4361)&gt;1,"MÜKERRER","OK"))))</f>
        <v/>
      </c>
    </row>
    <row r="4362" ht="16.5" customHeight="1" s="80">
      <c r="A4362" s="113" t="n"/>
      <c r="B4362" s="113" t="n"/>
      <c r="C4362" s="113" t="n"/>
      <c r="D4362" s="113" t="n"/>
      <c r="E4362" s="113" t="n"/>
      <c r="F4362" s="113" t="n"/>
      <c r="G4362" s="113" t="n"/>
      <c r="H4362" s="113" t="n"/>
      <c r="I4362" s="113" t="n"/>
      <c r="J4362" s="113" t="n"/>
      <c r="K4362" s="113" t="n"/>
      <c r="L4362" s="113" t="n"/>
      <c r="M4362" s="113" t="n"/>
      <c r="N4362" s="113" t="n"/>
      <c r="O4362" s="113" t="n"/>
      <c r="P4362" s="113" t="n"/>
      <c r="Q4362" s="113" t="n"/>
      <c r="R4362" s="113" t="n"/>
      <c r="S4362" s="113" t="n"/>
      <c r="T4362" s="113" t="n"/>
      <c r="U4362" s="113" t="n"/>
      <c r="V4362" s="113" t="n"/>
      <c r="W4362" s="113" t="n"/>
      <c r="X4362" s="113" t="n"/>
      <c r="Y4362" s="113" t="n"/>
      <c r="Z4362" s="117">
        <f>IF($B4362="",0,IF($S4362="EVET",IF($D4362="GELİR",$O4362,-$O4362),0))</f>
        <v/>
      </c>
      <c r="AA4362" s="117">
        <f>IF($B4362="",0,IF(OR($W4362="EVET",$X4362="EVET",$Y4362="EVET"),0,IF($D4362="GELİR",IF($E4362="SATIŞ İADESİ/İSKONTO",-$O4362,$O4362),-$O4362)))</f>
        <v/>
      </c>
      <c r="AB4362" s="117">
        <f>IF($B4362="","",IF(OR($D4362="",$E4362="",$O4362=""),"EKSİK",IF($O4362&lt;=0,"SIFIR/NEGATİF",IF(COUNTIFS($C$6:$C$5000,$C4362,$O$6:$O$5000,$O4362,$B$6:$B$5000,$B4362)&gt;1,"MÜKERRER","OK"))))</f>
        <v/>
      </c>
    </row>
    <row r="4363" ht="16.5" customHeight="1" s="80">
      <c r="A4363" s="113" t="n"/>
      <c r="B4363" s="113" t="n"/>
      <c r="C4363" s="113" t="n"/>
      <c r="D4363" s="113" t="n"/>
      <c r="E4363" s="113" t="n"/>
      <c r="F4363" s="113" t="n"/>
      <c r="G4363" s="113" t="n"/>
      <c r="H4363" s="113" t="n"/>
      <c r="I4363" s="113" t="n"/>
      <c r="J4363" s="113" t="n"/>
      <c r="K4363" s="113" t="n"/>
      <c r="L4363" s="113" t="n"/>
      <c r="M4363" s="113" t="n"/>
      <c r="N4363" s="113" t="n"/>
      <c r="O4363" s="113" t="n"/>
      <c r="P4363" s="113" t="n"/>
      <c r="Q4363" s="113" t="n"/>
      <c r="R4363" s="113" t="n"/>
      <c r="S4363" s="113" t="n"/>
      <c r="T4363" s="113" t="n"/>
      <c r="U4363" s="113" t="n"/>
      <c r="V4363" s="113" t="n"/>
      <c r="W4363" s="113" t="n"/>
      <c r="X4363" s="113" t="n"/>
      <c r="Y4363" s="113" t="n"/>
      <c r="Z4363" s="117">
        <f>IF($B4363="",0,IF($S4363="EVET",IF($D4363="GELİR",$O4363,-$O4363),0))</f>
        <v/>
      </c>
      <c r="AA4363" s="117">
        <f>IF($B4363="",0,IF(OR($W4363="EVET",$X4363="EVET",$Y4363="EVET"),0,IF($D4363="GELİR",IF($E4363="SATIŞ İADESİ/İSKONTO",-$O4363,$O4363),-$O4363)))</f>
        <v/>
      </c>
      <c r="AB4363" s="117">
        <f>IF($B4363="","",IF(OR($D4363="",$E4363="",$O4363=""),"EKSİK",IF($O4363&lt;=0,"SIFIR/NEGATİF",IF(COUNTIFS($C$6:$C$5000,$C4363,$O$6:$O$5000,$O4363,$B$6:$B$5000,$B4363)&gt;1,"MÜKERRER","OK"))))</f>
        <v/>
      </c>
    </row>
    <row r="4364" ht="16.5" customHeight="1" s="80">
      <c r="A4364" s="113" t="n"/>
      <c r="B4364" s="113" t="n"/>
      <c r="C4364" s="113" t="n"/>
      <c r="D4364" s="113" t="n"/>
      <c r="E4364" s="113" t="n"/>
      <c r="F4364" s="113" t="n"/>
      <c r="G4364" s="113" t="n"/>
      <c r="H4364" s="113" t="n"/>
      <c r="I4364" s="113" t="n"/>
      <c r="J4364" s="113" t="n"/>
      <c r="K4364" s="113" t="n"/>
      <c r="L4364" s="113" t="n"/>
      <c r="M4364" s="113" t="n"/>
      <c r="N4364" s="113" t="n"/>
      <c r="O4364" s="113" t="n"/>
      <c r="P4364" s="113" t="n"/>
      <c r="Q4364" s="113" t="n"/>
      <c r="R4364" s="113" t="n"/>
      <c r="S4364" s="113" t="n"/>
      <c r="T4364" s="113" t="n"/>
      <c r="U4364" s="113" t="n"/>
      <c r="V4364" s="113" t="n"/>
      <c r="W4364" s="113" t="n"/>
      <c r="X4364" s="113" t="n"/>
      <c r="Y4364" s="113" t="n"/>
      <c r="Z4364" s="117">
        <f>IF($B4364="",0,IF($S4364="EVET",IF($D4364="GELİR",$O4364,-$O4364),0))</f>
        <v/>
      </c>
      <c r="AA4364" s="117">
        <f>IF($B4364="",0,IF(OR($W4364="EVET",$X4364="EVET",$Y4364="EVET"),0,IF($D4364="GELİR",IF($E4364="SATIŞ İADESİ/İSKONTO",-$O4364,$O4364),-$O4364)))</f>
        <v/>
      </c>
      <c r="AB4364" s="117">
        <f>IF($B4364="","",IF(OR($D4364="",$E4364="",$O4364=""),"EKSİK",IF($O4364&lt;=0,"SIFIR/NEGATİF",IF(COUNTIFS($C$6:$C$5000,$C4364,$O$6:$O$5000,$O4364,$B$6:$B$5000,$B4364)&gt;1,"MÜKERRER","OK"))))</f>
        <v/>
      </c>
    </row>
    <row r="4365" ht="16.5" customHeight="1" s="80">
      <c r="A4365" s="113" t="n"/>
      <c r="B4365" s="113" t="n"/>
      <c r="C4365" s="113" t="n"/>
      <c r="D4365" s="113" t="n"/>
      <c r="E4365" s="113" t="n"/>
      <c r="F4365" s="113" t="n"/>
      <c r="G4365" s="113" t="n"/>
      <c r="H4365" s="113" t="n"/>
      <c r="I4365" s="113" t="n"/>
      <c r="J4365" s="113" t="n"/>
      <c r="K4365" s="113" t="n"/>
      <c r="L4365" s="113" t="n"/>
      <c r="M4365" s="113" t="n"/>
      <c r="N4365" s="113" t="n"/>
      <c r="O4365" s="113" t="n"/>
      <c r="P4365" s="113" t="n"/>
      <c r="Q4365" s="113" t="n"/>
      <c r="R4365" s="113" t="n"/>
      <c r="S4365" s="113" t="n"/>
      <c r="T4365" s="113" t="n"/>
      <c r="U4365" s="113" t="n"/>
      <c r="V4365" s="113" t="n"/>
      <c r="W4365" s="113" t="n"/>
      <c r="X4365" s="113" t="n"/>
      <c r="Y4365" s="113" t="n"/>
      <c r="Z4365" s="117">
        <f>IF($B4365="",0,IF($S4365="EVET",IF($D4365="GELİR",$O4365,-$O4365),0))</f>
        <v/>
      </c>
      <c r="AA4365" s="117">
        <f>IF($B4365="",0,IF(OR($W4365="EVET",$X4365="EVET",$Y4365="EVET"),0,IF($D4365="GELİR",IF($E4365="SATIŞ İADESİ/İSKONTO",-$O4365,$O4365),-$O4365)))</f>
        <v/>
      </c>
      <c r="AB4365" s="117">
        <f>IF($B4365="","",IF(OR($D4365="",$E4365="",$O4365=""),"EKSİK",IF($O4365&lt;=0,"SIFIR/NEGATİF",IF(COUNTIFS($C$6:$C$5000,$C4365,$O$6:$O$5000,$O4365,$B$6:$B$5000,$B4365)&gt;1,"MÜKERRER","OK"))))</f>
        <v/>
      </c>
    </row>
    <row r="4366" ht="16.5" customHeight="1" s="80">
      <c r="A4366" s="113" t="n"/>
      <c r="B4366" s="113" t="n"/>
      <c r="C4366" s="113" t="n"/>
      <c r="D4366" s="113" t="n"/>
      <c r="E4366" s="113" t="n"/>
      <c r="F4366" s="113" t="n"/>
      <c r="G4366" s="113" t="n"/>
      <c r="H4366" s="113" t="n"/>
      <c r="I4366" s="113" t="n"/>
      <c r="J4366" s="113" t="n"/>
      <c r="K4366" s="113" t="n"/>
      <c r="L4366" s="113" t="n"/>
      <c r="M4366" s="113" t="n"/>
      <c r="N4366" s="113" t="n"/>
      <c r="O4366" s="113" t="n"/>
      <c r="P4366" s="113" t="n"/>
      <c r="Q4366" s="113" t="n"/>
      <c r="R4366" s="113" t="n"/>
      <c r="S4366" s="113" t="n"/>
      <c r="T4366" s="113" t="n"/>
      <c r="U4366" s="113" t="n"/>
      <c r="V4366" s="113" t="n"/>
      <c r="W4366" s="113" t="n"/>
      <c r="X4366" s="113" t="n"/>
      <c r="Y4366" s="113" t="n"/>
      <c r="Z4366" s="117">
        <f>IF($B4366="",0,IF($S4366="EVET",IF($D4366="GELİR",$O4366,-$O4366),0))</f>
        <v/>
      </c>
      <c r="AA4366" s="117">
        <f>IF($B4366="",0,IF(OR($W4366="EVET",$X4366="EVET",$Y4366="EVET"),0,IF($D4366="GELİR",IF($E4366="SATIŞ İADESİ/İSKONTO",-$O4366,$O4366),-$O4366)))</f>
        <v/>
      </c>
      <c r="AB4366" s="117">
        <f>IF($B4366="","",IF(OR($D4366="",$E4366="",$O4366=""),"EKSİK",IF($O4366&lt;=0,"SIFIR/NEGATİF",IF(COUNTIFS($C$6:$C$5000,$C4366,$O$6:$O$5000,$O4366,$B$6:$B$5000,$B4366)&gt;1,"MÜKERRER","OK"))))</f>
        <v/>
      </c>
    </row>
    <row r="4367" ht="16.5" customHeight="1" s="80">
      <c r="A4367" s="113" t="n"/>
      <c r="B4367" s="113" t="n"/>
      <c r="C4367" s="113" t="n"/>
      <c r="D4367" s="113" t="n"/>
      <c r="E4367" s="113" t="n"/>
      <c r="F4367" s="113" t="n"/>
      <c r="G4367" s="113" t="n"/>
      <c r="H4367" s="113" t="n"/>
      <c r="I4367" s="113" t="n"/>
      <c r="J4367" s="113" t="n"/>
      <c r="K4367" s="113" t="n"/>
      <c r="L4367" s="113" t="n"/>
      <c r="M4367" s="113" t="n"/>
      <c r="N4367" s="113" t="n"/>
      <c r="O4367" s="113" t="n"/>
      <c r="P4367" s="113" t="n"/>
      <c r="Q4367" s="113" t="n"/>
      <c r="R4367" s="113" t="n"/>
      <c r="S4367" s="113" t="n"/>
      <c r="T4367" s="113" t="n"/>
      <c r="U4367" s="113" t="n"/>
      <c r="V4367" s="113" t="n"/>
      <c r="W4367" s="113" t="n"/>
      <c r="X4367" s="113" t="n"/>
      <c r="Y4367" s="113" t="n"/>
      <c r="Z4367" s="117">
        <f>IF($B4367="",0,IF($S4367="EVET",IF($D4367="GELİR",$O4367,-$O4367),0))</f>
        <v/>
      </c>
      <c r="AA4367" s="117">
        <f>IF($B4367="",0,IF(OR($W4367="EVET",$X4367="EVET",$Y4367="EVET"),0,IF($D4367="GELİR",IF($E4367="SATIŞ İADESİ/İSKONTO",-$O4367,$O4367),-$O4367)))</f>
        <v/>
      </c>
      <c r="AB4367" s="117">
        <f>IF($B4367="","",IF(OR($D4367="",$E4367="",$O4367=""),"EKSİK",IF($O4367&lt;=0,"SIFIR/NEGATİF",IF(COUNTIFS($C$6:$C$5000,$C4367,$O$6:$O$5000,$O4367,$B$6:$B$5000,$B4367)&gt;1,"MÜKERRER","OK"))))</f>
        <v/>
      </c>
    </row>
    <row r="4368" ht="16.5" customHeight="1" s="80">
      <c r="A4368" s="113" t="n"/>
      <c r="B4368" s="113" t="n"/>
      <c r="C4368" s="113" t="n"/>
      <c r="D4368" s="113" t="n"/>
      <c r="E4368" s="113" t="n"/>
      <c r="F4368" s="113" t="n"/>
      <c r="G4368" s="113" t="n"/>
      <c r="H4368" s="113" t="n"/>
      <c r="I4368" s="113" t="n"/>
      <c r="J4368" s="113" t="n"/>
      <c r="K4368" s="113" t="n"/>
      <c r="L4368" s="113" t="n"/>
      <c r="M4368" s="113" t="n"/>
      <c r="N4368" s="113" t="n"/>
      <c r="O4368" s="113" t="n"/>
      <c r="P4368" s="113" t="n"/>
      <c r="Q4368" s="113" t="n"/>
      <c r="R4368" s="113" t="n"/>
      <c r="S4368" s="113" t="n"/>
      <c r="T4368" s="113" t="n"/>
      <c r="U4368" s="113" t="n"/>
      <c r="V4368" s="113" t="n"/>
      <c r="W4368" s="113" t="n"/>
      <c r="X4368" s="113" t="n"/>
      <c r="Y4368" s="113" t="n"/>
      <c r="Z4368" s="117">
        <f>IF($B4368="",0,IF($S4368="EVET",IF($D4368="GELİR",$O4368,-$O4368),0))</f>
        <v/>
      </c>
      <c r="AA4368" s="117">
        <f>IF($B4368="",0,IF(OR($W4368="EVET",$X4368="EVET",$Y4368="EVET"),0,IF($D4368="GELİR",IF($E4368="SATIŞ İADESİ/İSKONTO",-$O4368,$O4368),-$O4368)))</f>
        <v/>
      </c>
      <c r="AB4368" s="117">
        <f>IF($B4368="","",IF(OR($D4368="",$E4368="",$O4368=""),"EKSİK",IF($O4368&lt;=0,"SIFIR/NEGATİF",IF(COUNTIFS($C$6:$C$5000,$C4368,$O$6:$O$5000,$O4368,$B$6:$B$5000,$B4368)&gt;1,"MÜKERRER","OK"))))</f>
        <v/>
      </c>
    </row>
    <row r="4369" ht="16.5" customHeight="1" s="80">
      <c r="A4369" s="113" t="n"/>
      <c r="B4369" s="113" t="n"/>
      <c r="C4369" s="113" t="n"/>
      <c r="D4369" s="113" t="n"/>
      <c r="E4369" s="113" t="n"/>
      <c r="F4369" s="113" t="n"/>
      <c r="G4369" s="113" t="n"/>
      <c r="H4369" s="113" t="n"/>
      <c r="I4369" s="113" t="n"/>
      <c r="J4369" s="113" t="n"/>
      <c r="K4369" s="113" t="n"/>
      <c r="L4369" s="113" t="n"/>
      <c r="M4369" s="113" t="n"/>
      <c r="N4369" s="113" t="n"/>
      <c r="O4369" s="113" t="n"/>
      <c r="P4369" s="113" t="n"/>
      <c r="Q4369" s="113" t="n"/>
      <c r="R4369" s="113" t="n"/>
      <c r="S4369" s="113" t="n"/>
      <c r="T4369" s="113" t="n"/>
      <c r="U4369" s="113" t="n"/>
      <c r="V4369" s="113" t="n"/>
      <c r="W4369" s="113" t="n"/>
      <c r="X4369" s="113" t="n"/>
      <c r="Y4369" s="113" t="n"/>
      <c r="Z4369" s="117">
        <f>IF($B4369="",0,IF($S4369="EVET",IF($D4369="GELİR",$O4369,-$O4369),0))</f>
        <v/>
      </c>
      <c r="AA4369" s="117">
        <f>IF($B4369="",0,IF(OR($W4369="EVET",$X4369="EVET",$Y4369="EVET"),0,IF($D4369="GELİR",IF($E4369="SATIŞ İADESİ/İSKONTO",-$O4369,$O4369),-$O4369)))</f>
        <v/>
      </c>
      <c r="AB4369" s="117">
        <f>IF($B4369="","",IF(OR($D4369="",$E4369="",$O4369=""),"EKSİK",IF($O4369&lt;=0,"SIFIR/NEGATİF",IF(COUNTIFS($C$6:$C$5000,$C4369,$O$6:$O$5000,$O4369,$B$6:$B$5000,$B4369)&gt;1,"MÜKERRER","OK"))))</f>
        <v/>
      </c>
    </row>
    <row r="4370" ht="16.5" customHeight="1" s="80">
      <c r="A4370" s="113" t="n"/>
      <c r="B4370" s="113" t="n"/>
      <c r="C4370" s="113" t="n"/>
      <c r="D4370" s="113" t="n"/>
      <c r="E4370" s="113" t="n"/>
      <c r="F4370" s="113" t="n"/>
      <c r="G4370" s="113" t="n"/>
      <c r="H4370" s="113" t="n"/>
      <c r="I4370" s="113" t="n"/>
      <c r="J4370" s="113" t="n"/>
      <c r="K4370" s="113" t="n"/>
      <c r="L4370" s="113" t="n"/>
      <c r="M4370" s="113" t="n"/>
      <c r="N4370" s="113" t="n"/>
      <c r="O4370" s="113" t="n"/>
      <c r="P4370" s="113" t="n"/>
      <c r="Q4370" s="113" t="n"/>
      <c r="R4370" s="113" t="n"/>
      <c r="S4370" s="113" t="n"/>
      <c r="T4370" s="113" t="n"/>
      <c r="U4370" s="113" t="n"/>
      <c r="V4370" s="113" t="n"/>
      <c r="W4370" s="113" t="n"/>
      <c r="X4370" s="113" t="n"/>
      <c r="Y4370" s="113" t="n"/>
      <c r="Z4370" s="117">
        <f>IF($B4370="",0,IF($S4370="EVET",IF($D4370="GELİR",$O4370,-$O4370),0))</f>
        <v/>
      </c>
      <c r="AA4370" s="117">
        <f>IF($B4370="",0,IF(OR($W4370="EVET",$X4370="EVET",$Y4370="EVET"),0,IF($D4370="GELİR",IF($E4370="SATIŞ İADESİ/İSKONTO",-$O4370,$O4370),-$O4370)))</f>
        <v/>
      </c>
      <c r="AB4370" s="117">
        <f>IF($B4370="","",IF(OR($D4370="",$E4370="",$O4370=""),"EKSİK",IF($O4370&lt;=0,"SIFIR/NEGATİF",IF(COUNTIFS($C$6:$C$5000,$C4370,$O$6:$O$5000,$O4370,$B$6:$B$5000,$B4370)&gt;1,"MÜKERRER","OK"))))</f>
        <v/>
      </c>
    </row>
    <row r="4371" ht="16.5" customHeight="1" s="80">
      <c r="A4371" s="113" t="n"/>
      <c r="B4371" s="113" t="n"/>
      <c r="C4371" s="113" t="n"/>
      <c r="D4371" s="113" t="n"/>
      <c r="E4371" s="113" t="n"/>
      <c r="F4371" s="113" t="n"/>
      <c r="G4371" s="113" t="n"/>
      <c r="H4371" s="113" t="n"/>
      <c r="I4371" s="113" t="n"/>
      <c r="J4371" s="113" t="n"/>
      <c r="K4371" s="113" t="n"/>
      <c r="L4371" s="113" t="n"/>
      <c r="M4371" s="113" t="n"/>
      <c r="N4371" s="113" t="n"/>
      <c r="O4371" s="113" t="n"/>
      <c r="P4371" s="113" t="n"/>
      <c r="Q4371" s="113" t="n"/>
      <c r="R4371" s="113" t="n"/>
      <c r="S4371" s="113" t="n"/>
      <c r="T4371" s="113" t="n"/>
      <c r="U4371" s="113" t="n"/>
      <c r="V4371" s="113" t="n"/>
      <c r="W4371" s="113" t="n"/>
      <c r="X4371" s="113" t="n"/>
      <c r="Y4371" s="113" t="n"/>
      <c r="Z4371" s="117">
        <f>IF($B4371="",0,IF($S4371="EVET",IF($D4371="GELİR",$O4371,-$O4371),0))</f>
        <v/>
      </c>
      <c r="AA4371" s="117">
        <f>IF($B4371="",0,IF(OR($W4371="EVET",$X4371="EVET",$Y4371="EVET"),0,IF($D4371="GELİR",IF($E4371="SATIŞ İADESİ/İSKONTO",-$O4371,$O4371),-$O4371)))</f>
        <v/>
      </c>
      <c r="AB4371" s="117">
        <f>IF($B4371="","",IF(OR($D4371="",$E4371="",$O4371=""),"EKSİK",IF($O4371&lt;=0,"SIFIR/NEGATİF",IF(COUNTIFS($C$6:$C$5000,$C4371,$O$6:$O$5000,$O4371,$B$6:$B$5000,$B4371)&gt;1,"MÜKERRER","OK"))))</f>
        <v/>
      </c>
    </row>
    <row r="4372" ht="16.5" customHeight="1" s="80">
      <c r="A4372" s="113" t="n"/>
      <c r="B4372" s="113" t="n"/>
      <c r="C4372" s="113" t="n"/>
      <c r="D4372" s="113" t="n"/>
      <c r="E4372" s="113" t="n"/>
      <c r="F4372" s="113" t="n"/>
      <c r="G4372" s="113" t="n"/>
      <c r="H4372" s="113" t="n"/>
      <c r="I4372" s="113" t="n"/>
      <c r="J4372" s="113" t="n"/>
      <c r="K4372" s="113" t="n"/>
      <c r="L4372" s="113" t="n"/>
      <c r="M4372" s="113" t="n"/>
      <c r="N4372" s="113" t="n"/>
      <c r="O4372" s="113" t="n"/>
      <c r="P4372" s="113" t="n"/>
      <c r="Q4372" s="113" t="n"/>
      <c r="R4372" s="113" t="n"/>
      <c r="S4372" s="113" t="n"/>
      <c r="T4372" s="113" t="n"/>
      <c r="U4372" s="113" t="n"/>
      <c r="V4372" s="113" t="n"/>
      <c r="W4372" s="113" t="n"/>
      <c r="X4372" s="113" t="n"/>
      <c r="Y4372" s="113" t="n"/>
      <c r="Z4372" s="117">
        <f>IF($B4372="",0,IF($S4372="EVET",IF($D4372="GELİR",$O4372,-$O4372),0))</f>
        <v/>
      </c>
      <c r="AA4372" s="117">
        <f>IF($B4372="",0,IF(OR($W4372="EVET",$X4372="EVET",$Y4372="EVET"),0,IF($D4372="GELİR",IF($E4372="SATIŞ İADESİ/İSKONTO",-$O4372,$O4372),-$O4372)))</f>
        <v/>
      </c>
      <c r="AB4372" s="117">
        <f>IF($B4372="","",IF(OR($D4372="",$E4372="",$O4372=""),"EKSİK",IF($O4372&lt;=0,"SIFIR/NEGATİF",IF(COUNTIFS($C$6:$C$5000,$C4372,$O$6:$O$5000,$O4372,$B$6:$B$5000,$B4372)&gt;1,"MÜKERRER","OK"))))</f>
        <v/>
      </c>
    </row>
    <row r="4373" ht="16.5" customHeight="1" s="80">
      <c r="A4373" s="113" t="n"/>
      <c r="B4373" s="113" t="n"/>
      <c r="C4373" s="113" t="n"/>
      <c r="D4373" s="113" t="n"/>
      <c r="E4373" s="113" t="n"/>
      <c r="F4373" s="113" t="n"/>
      <c r="G4373" s="113" t="n"/>
      <c r="H4373" s="113" t="n"/>
      <c r="I4373" s="113" t="n"/>
      <c r="J4373" s="113" t="n"/>
      <c r="K4373" s="113" t="n"/>
      <c r="L4373" s="113" t="n"/>
      <c r="M4373" s="113" t="n"/>
      <c r="N4373" s="113" t="n"/>
      <c r="O4373" s="113" t="n"/>
      <c r="P4373" s="113" t="n"/>
      <c r="Q4373" s="113" t="n"/>
      <c r="R4373" s="113" t="n"/>
      <c r="S4373" s="113" t="n"/>
      <c r="T4373" s="113" t="n"/>
      <c r="U4373" s="113" t="n"/>
      <c r="V4373" s="113" t="n"/>
      <c r="W4373" s="113" t="n"/>
      <c r="X4373" s="113" t="n"/>
      <c r="Y4373" s="113" t="n"/>
      <c r="Z4373" s="117">
        <f>IF($B4373="",0,IF($S4373="EVET",IF($D4373="GELİR",$O4373,-$O4373),0))</f>
        <v/>
      </c>
      <c r="AA4373" s="117">
        <f>IF($B4373="",0,IF(OR($W4373="EVET",$X4373="EVET",$Y4373="EVET"),0,IF($D4373="GELİR",IF($E4373="SATIŞ İADESİ/İSKONTO",-$O4373,$O4373),-$O4373)))</f>
        <v/>
      </c>
      <c r="AB4373" s="117">
        <f>IF($B4373="","",IF(OR($D4373="",$E4373="",$O4373=""),"EKSİK",IF($O4373&lt;=0,"SIFIR/NEGATİF",IF(COUNTIFS($C$6:$C$5000,$C4373,$O$6:$O$5000,$O4373,$B$6:$B$5000,$B4373)&gt;1,"MÜKERRER","OK"))))</f>
        <v/>
      </c>
    </row>
    <row r="4374" ht="16.5" customHeight="1" s="80">
      <c r="A4374" s="113" t="n"/>
      <c r="B4374" s="113" t="n"/>
      <c r="C4374" s="113" t="n"/>
      <c r="D4374" s="113" t="n"/>
      <c r="E4374" s="113" t="n"/>
      <c r="F4374" s="113" t="n"/>
      <c r="G4374" s="113" t="n"/>
      <c r="H4374" s="113" t="n"/>
      <c r="I4374" s="113" t="n"/>
      <c r="J4374" s="113" t="n"/>
      <c r="K4374" s="113" t="n"/>
      <c r="L4374" s="113" t="n"/>
      <c r="M4374" s="113" t="n"/>
      <c r="N4374" s="113" t="n"/>
      <c r="O4374" s="113" t="n"/>
      <c r="P4374" s="113" t="n"/>
      <c r="Q4374" s="113" t="n"/>
      <c r="R4374" s="113" t="n"/>
      <c r="S4374" s="113" t="n"/>
      <c r="T4374" s="113" t="n"/>
      <c r="U4374" s="113" t="n"/>
      <c r="V4374" s="113" t="n"/>
      <c r="W4374" s="113" t="n"/>
      <c r="X4374" s="113" t="n"/>
      <c r="Y4374" s="113" t="n"/>
      <c r="Z4374" s="117">
        <f>IF($B4374="",0,IF($S4374="EVET",IF($D4374="GELİR",$O4374,-$O4374),0))</f>
        <v/>
      </c>
      <c r="AA4374" s="117">
        <f>IF($B4374="",0,IF(OR($W4374="EVET",$X4374="EVET",$Y4374="EVET"),0,IF($D4374="GELİR",IF($E4374="SATIŞ İADESİ/İSKONTO",-$O4374,$O4374),-$O4374)))</f>
        <v/>
      </c>
      <c r="AB4374" s="117">
        <f>IF($B4374="","",IF(OR($D4374="",$E4374="",$O4374=""),"EKSİK",IF($O4374&lt;=0,"SIFIR/NEGATİF",IF(COUNTIFS($C$6:$C$5000,$C4374,$O$6:$O$5000,$O4374,$B$6:$B$5000,$B4374)&gt;1,"MÜKERRER","OK"))))</f>
        <v/>
      </c>
    </row>
    <row r="4375" ht="16.5" customHeight="1" s="80">
      <c r="A4375" s="113" t="n"/>
      <c r="B4375" s="113" t="n"/>
      <c r="C4375" s="113" t="n"/>
      <c r="D4375" s="113" t="n"/>
      <c r="E4375" s="113" t="n"/>
      <c r="F4375" s="113" t="n"/>
      <c r="G4375" s="113" t="n"/>
      <c r="H4375" s="113" t="n"/>
      <c r="I4375" s="113" t="n"/>
      <c r="J4375" s="113" t="n"/>
      <c r="K4375" s="113" t="n"/>
      <c r="L4375" s="113" t="n"/>
      <c r="M4375" s="113" t="n"/>
      <c r="N4375" s="113" t="n"/>
      <c r="O4375" s="113" t="n"/>
      <c r="P4375" s="113" t="n"/>
      <c r="Q4375" s="113" t="n"/>
      <c r="R4375" s="113" t="n"/>
      <c r="S4375" s="113" t="n"/>
      <c r="T4375" s="113" t="n"/>
      <c r="U4375" s="113" t="n"/>
      <c r="V4375" s="113" t="n"/>
      <c r="W4375" s="113" t="n"/>
      <c r="X4375" s="113" t="n"/>
      <c r="Y4375" s="113" t="n"/>
      <c r="Z4375" s="117">
        <f>IF($B4375="",0,IF($S4375="EVET",IF($D4375="GELİR",$O4375,-$O4375),0))</f>
        <v/>
      </c>
      <c r="AA4375" s="117">
        <f>IF($B4375="",0,IF(OR($W4375="EVET",$X4375="EVET",$Y4375="EVET"),0,IF($D4375="GELİR",IF($E4375="SATIŞ İADESİ/İSKONTO",-$O4375,$O4375),-$O4375)))</f>
        <v/>
      </c>
      <c r="AB4375" s="117">
        <f>IF($B4375="","",IF(OR($D4375="",$E4375="",$O4375=""),"EKSİK",IF($O4375&lt;=0,"SIFIR/NEGATİF",IF(COUNTIFS($C$6:$C$5000,$C4375,$O$6:$O$5000,$O4375,$B$6:$B$5000,$B4375)&gt;1,"MÜKERRER","OK"))))</f>
        <v/>
      </c>
    </row>
    <row r="4376" ht="16.5" customHeight="1" s="80">
      <c r="A4376" s="113" t="n"/>
      <c r="B4376" s="113" t="n"/>
      <c r="C4376" s="113" t="n"/>
      <c r="D4376" s="113" t="n"/>
      <c r="E4376" s="113" t="n"/>
      <c r="F4376" s="113" t="n"/>
      <c r="G4376" s="113" t="n"/>
      <c r="H4376" s="113" t="n"/>
      <c r="I4376" s="113" t="n"/>
      <c r="J4376" s="113" t="n"/>
      <c r="K4376" s="113" t="n"/>
      <c r="L4376" s="113" t="n"/>
      <c r="M4376" s="113" t="n"/>
      <c r="N4376" s="113" t="n"/>
      <c r="O4376" s="113" t="n"/>
      <c r="P4376" s="113" t="n"/>
      <c r="Q4376" s="113" t="n"/>
      <c r="R4376" s="113" t="n"/>
      <c r="S4376" s="113" t="n"/>
      <c r="T4376" s="113" t="n"/>
      <c r="U4376" s="113" t="n"/>
      <c r="V4376" s="113" t="n"/>
      <c r="W4376" s="113" t="n"/>
      <c r="X4376" s="113" t="n"/>
      <c r="Y4376" s="113" t="n"/>
      <c r="Z4376" s="117">
        <f>IF($B4376="",0,IF($S4376="EVET",IF($D4376="GELİR",$O4376,-$O4376),0))</f>
        <v/>
      </c>
      <c r="AA4376" s="117">
        <f>IF($B4376="",0,IF(OR($W4376="EVET",$X4376="EVET",$Y4376="EVET"),0,IF($D4376="GELİR",IF($E4376="SATIŞ İADESİ/İSKONTO",-$O4376,$O4376),-$O4376)))</f>
        <v/>
      </c>
      <c r="AB4376" s="117">
        <f>IF($B4376="","",IF(OR($D4376="",$E4376="",$O4376=""),"EKSİK",IF($O4376&lt;=0,"SIFIR/NEGATİF",IF(COUNTIFS($C$6:$C$5000,$C4376,$O$6:$O$5000,$O4376,$B$6:$B$5000,$B4376)&gt;1,"MÜKERRER","OK"))))</f>
        <v/>
      </c>
    </row>
    <row r="4377" ht="16.5" customHeight="1" s="80">
      <c r="A4377" s="113" t="n"/>
      <c r="B4377" s="113" t="n"/>
      <c r="C4377" s="113" t="n"/>
      <c r="D4377" s="113" t="n"/>
      <c r="E4377" s="113" t="n"/>
      <c r="F4377" s="113" t="n"/>
      <c r="G4377" s="113" t="n"/>
      <c r="H4377" s="113" t="n"/>
      <c r="I4377" s="113" t="n"/>
      <c r="J4377" s="113" t="n"/>
      <c r="K4377" s="113" t="n"/>
      <c r="L4377" s="113" t="n"/>
      <c r="M4377" s="113" t="n"/>
      <c r="N4377" s="113" t="n"/>
      <c r="O4377" s="113" t="n"/>
      <c r="P4377" s="113" t="n"/>
      <c r="Q4377" s="113" t="n"/>
      <c r="R4377" s="113" t="n"/>
      <c r="S4377" s="113" t="n"/>
      <c r="T4377" s="113" t="n"/>
      <c r="U4377" s="113" t="n"/>
      <c r="V4377" s="113" t="n"/>
      <c r="W4377" s="113" t="n"/>
      <c r="X4377" s="113" t="n"/>
      <c r="Y4377" s="113" t="n"/>
      <c r="Z4377" s="117">
        <f>IF($B4377="",0,IF($S4377="EVET",IF($D4377="GELİR",$O4377,-$O4377),0))</f>
        <v/>
      </c>
      <c r="AA4377" s="117">
        <f>IF($B4377="",0,IF(OR($W4377="EVET",$X4377="EVET",$Y4377="EVET"),0,IF($D4377="GELİR",IF($E4377="SATIŞ İADESİ/İSKONTO",-$O4377,$O4377),-$O4377)))</f>
        <v/>
      </c>
      <c r="AB4377" s="117">
        <f>IF($B4377="","",IF(OR($D4377="",$E4377="",$O4377=""),"EKSİK",IF($O4377&lt;=0,"SIFIR/NEGATİF",IF(COUNTIFS($C$6:$C$5000,$C4377,$O$6:$O$5000,$O4377,$B$6:$B$5000,$B4377)&gt;1,"MÜKERRER","OK"))))</f>
        <v/>
      </c>
    </row>
    <row r="4378" ht="16.5" customHeight="1" s="80">
      <c r="A4378" s="113" t="n"/>
      <c r="B4378" s="113" t="n"/>
      <c r="C4378" s="113" t="n"/>
      <c r="D4378" s="113" t="n"/>
      <c r="E4378" s="113" t="n"/>
      <c r="F4378" s="113" t="n"/>
      <c r="G4378" s="113" t="n"/>
      <c r="H4378" s="113" t="n"/>
      <c r="I4378" s="113" t="n"/>
      <c r="J4378" s="113" t="n"/>
      <c r="K4378" s="113" t="n"/>
      <c r="L4378" s="113" t="n"/>
      <c r="M4378" s="113" t="n"/>
      <c r="N4378" s="113" t="n"/>
      <c r="O4378" s="113" t="n"/>
      <c r="P4378" s="113" t="n"/>
      <c r="Q4378" s="113" t="n"/>
      <c r="R4378" s="113" t="n"/>
      <c r="S4378" s="113" t="n"/>
      <c r="T4378" s="113" t="n"/>
      <c r="U4378" s="113" t="n"/>
      <c r="V4378" s="113" t="n"/>
      <c r="W4378" s="113" t="n"/>
      <c r="X4378" s="113" t="n"/>
      <c r="Y4378" s="113" t="n"/>
      <c r="Z4378" s="117">
        <f>IF($B4378="",0,IF($S4378="EVET",IF($D4378="GELİR",$O4378,-$O4378),0))</f>
        <v/>
      </c>
      <c r="AA4378" s="117">
        <f>IF($B4378="",0,IF(OR($W4378="EVET",$X4378="EVET",$Y4378="EVET"),0,IF($D4378="GELİR",IF($E4378="SATIŞ İADESİ/İSKONTO",-$O4378,$O4378),-$O4378)))</f>
        <v/>
      </c>
      <c r="AB4378" s="117">
        <f>IF($B4378="","",IF(OR($D4378="",$E4378="",$O4378=""),"EKSİK",IF($O4378&lt;=0,"SIFIR/NEGATİF",IF(COUNTIFS($C$6:$C$5000,$C4378,$O$6:$O$5000,$O4378,$B$6:$B$5000,$B4378)&gt;1,"MÜKERRER","OK"))))</f>
        <v/>
      </c>
    </row>
    <row r="4379" ht="16.5" customHeight="1" s="80">
      <c r="A4379" s="113" t="n"/>
      <c r="B4379" s="113" t="n"/>
      <c r="C4379" s="113" t="n"/>
      <c r="D4379" s="113" t="n"/>
      <c r="E4379" s="113" t="n"/>
      <c r="F4379" s="113" t="n"/>
      <c r="G4379" s="113" t="n"/>
      <c r="H4379" s="113" t="n"/>
      <c r="I4379" s="113" t="n"/>
      <c r="J4379" s="113" t="n"/>
      <c r="K4379" s="113" t="n"/>
      <c r="L4379" s="113" t="n"/>
      <c r="M4379" s="113" t="n"/>
      <c r="N4379" s="113" t="n"/>
      <c r="O4379" s="113" t="n"/>
      <c r="P4379" s="113" t="n"/>
      <c r="Q4379" s="113" t="n"/>
      <c r="R4379" s="113" t="n"/>
      <c r="S4379" s="113" t="n"/>
      <c r="T4379" s="113" t="n"/>
      <c r="U4379" s="113" t="n"/>
      <c r="V4379" s="113" t="n"/>
      <c r="W4379" s="113" t="n"/>
      <c r="X4379" s="113" t="n"/>
      <c r="Y4379" s="113" t="n"/>
      <c r="Z4379" s="117">
        <f>IF($B4379="",0,IF($S4379="EVET",IF($D4379="GELİR",$O4379,-$O4379),0))</f>
        <v/>
      </c>
      <c r="AA4379" s="117">
        <f>IF($B4379="",0,IF(OR($W4379="EVET",$X4379="EVET",$Y4379="EVET"),0,IF($D4379="GELİR",IF($E4379="SATIŞ İADESİ/İSKONTO",-$O4379,$O4379),-$O4379)))</f>
        <v/>
      </c>
      <c r="AB4379" s="117">
        <f>IF($B4379="","",IF(OR($D4379="",$E4379="",$O4379=""),"EKSİK",IF($O4379&lt;=0,"SIFIR/NEGATİF",IF(COUNTIFS($C$6:$C$5000,$C4379,$O$6:$O$5000,$O4379,$B$6:$B$5000,$B4379)&gt;1,"MÜKERRER","OK"))))</f>
        <v/>
      </c>
    </row>
    <row r="4380" ht="16.5" customHeight="1" s="80">
      <c r="A4380" s="113" t="n"/>
      <c r="B4380" s="113" t="n"/>
      <c r="C4380" s="113" t="n"/>
      <c r="D4380" s="113" t="n"/>
      <c r="E4380" s="113" t="n"/>
      <c r="F4380" s="113" t="n"/>
      <c r="G4380" s="113" t="n"/>
      <c r="H4380" s="113" t="n"/>
      <c r="I4380" s="113" t="n"/>
      <c r="J4380" s="113" t="n"/>
      <c r="K4380" s="113" t="n"/>
      <c r="L4380" s="113" t="n"/>
      <c r="M4380" s="113" t="n"/>
      <c r="N4380" s="113" t="n"/>
      <c r="O4380" s="113" t="n"/>
      <c r="P4380" s="113" t="n"/>
      <c r="Q4380" s="113" t="n"/>
      <c r="R4380" s="113" t="n"/>
      <c r="S4380" s="113" t="n"/>
      <c r="T4380" s="113" t="n"/>
      <c r="U4380" s="113" t="n"/>
      <c r="V4380" s="113" t="n"/>
      <c r="W4380" s="113" t="n"/>
      <c r="X4380" s="113" t="n"/>
      <c r="Y4380" s="113" t="n"/>
      <c r="Z4380" s="117">
        <f>IF($B4380="",0,IF($S4380="EVET",IF($D4380="GELİR",$O4380,-$O4380),0))</f>
        <v/>
      </c>
      <c r="AA4380" s="117">
        <f>IF($B4380="",0,IF(OR($W4380="EVET",$X4380="EVET",$Y4380="EVET"),0,IF($D4380="GELİR",IF($E4380="SATIŞ İADESİ/İSKONTO",-$O4380,$O4380),-$O4380)))</f>
        <v/>
      </c>
      <c r="AB4380" s="117">
        <f>IF($B4380="","",IF(OR($D4380="",$E4380="",$O4380=""),"EKSİK",IF($O4380&lt;=0,"SIFIR/NEGATİF",IF(COUNTIFS($C$6:$C$5000,$C4380,$O$6:$O$5000,$O4380,$B$6:$B$5000,$B4380)&gt;1,"MÜKERRER","OK"))))</f>
        <v/>
      </c>
    </row>
    <row r="4381" ht="16.5" customHeight="1" s="80">
      <c r="A4381" s="113" t="n"/>
      <c r="B4381" s="113" t="n"/>
      <c r="C4381" s="113" t="n"/>
      <c r="D4381" s="113" t="n"/>
      <c r="E4381" s="113" t="n"/>
      <c r="F4381" s="113" t="n"/>
      <c r="G4381" s="113" t="n"/>
      <c r="H4381" s="113" t="n"/>
      <c r="I4381" s="113" t="n"/>
      <c r="J4381" s="113" t="n"/>
      <c r="K4381" s="113" t="n"/>
      <c r="L4381" s="113" t="n"/>
      <c r="M4381" s="113" t="n"/>
      <c r="N4381" s="113" t="n"/>
      <c r="O4381" s="113" t="n"/>
      <c r="P4381" s="113" t="n"/>
      <c r="Q4381" s="113" t="n"/>
      <c r="R4381" s="113" t="n"/>
      <c r="S4381" s="113" t="n"/>
      <c r="T4381" s="113" t="n"/>
      <c r="U4381" s="113" t="n"/>
      <c r="V4381" s="113" t="n"/>
      <c r="W4381" s="113" t="n"/>
      <c r="X4381" s="113" t="n"/>
      <c r="Y4381" s="113" t="n"/>
      <c r="Z4381" s="117">
        <f>IF($B4381="",0,IF($S4381="EVET",IF($D4381="GELİR",$O4381,-$O4381),0))</f>
        <v/>
      </c>
      <c r="AA4381" s="117">
        <f>IF($B4381="",0,IF(OR($W4381="EVET",$X4381="EVET",$Y4381="EVET"),0,IF($D4381="GELİR",IF($E4381="SATIŞ İADESİ/İSKONTO",-$O4381,$O4381),-$O4381)))</f>
        <v/>
      </c>
      <c r="AB4381" s="117">
        <f>IF($B4381="","",IF(OR($D4381="",$E4381="",$O4381=""),"EKSİK",IF($O4381&lt;=0,"SIFIR/NEGATİF",IF(COUNTIFS($C$6:$C$5000,$C4381,$O$6:$O$5000,$O4381,$B$6:$B$5000,$B4381)&gt;1,"MÜKERRER","OK"))))</f>
        <v/>
      </c>
    </row>
    <row r="4382" ht="16.5" customHeight="1" s="80">
      <c r="A4382" s="113" t="n"/>
      <c r="B4382" s="113" t="n"/>
      <c r="C4382" s="113" t="n"/>
      <c r="D4382" s="113" t="n"/>
      <c r="E4382" s="113" t="n"/>
      <c r="F4382" s="113" t="n"/>
      <c r="G4382" s="113" t="n"/>
      <c r="H4382" s="113" t="n"/>
      <c r="I4382" s="113" t="n"/>
      <c r="J4382" s="113" t="n"/>
      <c r="K4382" s="113" t="n"/>
      <c r="L4382" s="113" t="n"/>
      <c r="M4382" s="113" t="n"/>
      <c r="N4382" s="113" t="n"/>
      <c r="O4382" s="113" t="n"/>
      <c r="P4382" s="113" t="n"/>
      <c r="Q4382" s="113" t="n"/>
      <c r="R4382" s="113" t="n"/>
      <c r="S4382" s="113" t="n"/>
      <c r="T4382" s="113" t="n"/>
      <c r="U4382" s="113" t="n"/>
      <c r="V4382" s="113" t="n"/>
      <c r="W4382" s="113" t="n"/>
      <c r="X4382" s="113" t="n"/>
      <c r="Y4382" s="113" t="n"/>
      <c r="Z4382" s="117">
        <f>IF($B4382="",0,IF($S4382="EVET",IF($D4382="GELİR",$O4382,-$O4382),0))</f>
        <v/>
      </c>
      <c r="AA4382" s="117">
        <f>IF($B4382="",0,IF(OR($W4382="EVET",$X4382="EVET",$Y4382="EVET"),0,IF($D4382="GELİR",IF($E4382="SATIŞ İADESİ/İSKONTO",-$O4382,$O4382),-$O4382)))</f>
        <v/>
      </c>
      <c r="AB4382" s="117">
        <f>IF($B4382="","",IF(OR($D4382="",$E4382="",$O4382=""),"EKSİK",IF($O4382&lt;=0,"SIFIR/NEGATİF",IF(COUNTIFS($C$6:$C$5000,$C4382,$O$6:$O$5000,$O4382,$B$6:$B$5000,$B4382)&gt;1,"MÜKERRER","OK"))))</f>
        <v/>
      </c>
    </row>
    <row r="4383" ht="16.5" customHeight="1" s="80">
      <c r="A4383" s="113" t="n"/>
      <c r="B4383" s="113" t="n"/>
      <c r="C4383" s="113" t="n"/>
      <c r="D4383" s="113" t="n"/>
      <c r="E4383" s="113" t="n"/>
      <c r="F4383" s="113" t="n"/>
      <c r="G4383" s="113" t="n"/>
      <c r="H4383" s="113" t="n"/>
      <c r="I4383" s="113" t="n"/>
      <c r="J4383" s="113" t="n"/>
      <c r="K4383" s="113" t="n"/>
      <c r="L4383" s="113" t="n"/>
      <c r="M4383" s="113" t="n"/>
      <c r="N4383" s="113" t="n"/>
      <c r="O4383" s="113" t="n"/>
      <c r="P4383" s="113" t="n"/>
      <c r="Q4383" s="113" t="n"/>
      <c r="R4383" s="113" t="n"/>
      <c r="S4383" s="113" t="n"/>
      <c r="T4383" s="113" t="n"/>
      <c r="U4383" s="113" t="n"/>
      <c r="V4383" s="113" t="n"/>
      <c r="W4383" s="113" t="n"/>
      <c r="X4383" s="113" t="n"/>
      <c r="Y4383" s="113" t="n"/>
      <c r="Z4383" s="117">
        <f>IF($B4383="",0,IF($S4383="EVET",IF($D4383="GELİR",$O4383,-$O4383),0))</f>
        <v/>
      </c>
      <c r="AA4383" s="117">
        <f>IF($B4383="",0,IF(OR($W4383="EVET",$X4383="EVET",$Y4383="EVET"),0,IF($D4383="GELİR",IF($E4383="SATIŞ İADESİ/İSKONTO",-$O4383,$O4383),-$O4383)))</f>
        <v/>
      </c>
      <c r="AB4383" s="117">
        <f>IF($B4383="","",IF(OR($D4383="",$E4383="",$O4383=""),"EKSİK",IF($O4383&lt;=0,"SIFIR/NEGATİF",IF(COUNTIFS($C$6:$C$5000,$C4383,$O$6:$O$5000,$O4383,$B$6:$B$5000,$B4383)&gt;1,"MÜKERRER","OK"))))</f>
        <v/>
      </c>
    </row>
    <row r="4384" ht="16.5" customHeight="1" s="80">
      <c r="A4384" s="113" t="n"/>
      <c r="B4384" s="113" t="n"/>
      <c r="C4384" s="113" t="n"/>
      <c r="D4384" s="113" t="n"/>
      <c r="E4384" s="113" t="n"/>
      <c r="F4384" s="113" t="n"/>
      <c r="G4384" s="113" t="n"/>
      <c r="H4384" s="113" t="n"/>
      <c r="I4384" s="113" t="n"/>
      <c r="J4384" s="113" t="n"/>
      <c r="K4384" s="113" t="n"/>
      <c r="L4384" s="113" t="n"/>
      <c r="M4384" s="113" t="n"/>
      <c r="N4384" s="113" t="n"/>
      <c r="O4384" s="113" t="n"/>
      <c r="P4384" s="113" t="n"/>
      <c r="Q4384" s="113" t="n"/>
      <c r="R4384" s="113" t="n"/>
      <c r="S4384" s="113" t="n"/>
      <c r="T4384" s="113" t="n"/>
      <c r="U4384" s="113" t="n"/>
      <c r="V4384" s="113" t="n"/>
      <c r="W4384" s="113" t="n"/>
      <c r="X4384" s="113" t="n"/>
      <c r="Y4384" s="113" t="n"/>
      <c r="Z4384" s="117">
        <f>IF($B4384="",0,IF($S4384="EVET",IF($D4384="GELİR",$O4384,-$O4384),0))</f>
        <v/>
      </c>
      <c r="AA4384" s="117">
        <f>IF($B4384="",0,IF(OR($W4384="EVET",$X4384="EVET",$Y4384="EVET"),0,IF($D4384="GELİR",IF($E4384="SATIŞ İADESİ/İSKONTO",-$O4384,$O4384),-$O4384)))</f>
        <v/>
      </c>
      <c r="AB4384" s="117">
        <f>IF($B4384="","",IF(OR($D4384="",$E4384="",$O4384=""),"EKSİK",IF($O4384&lt;=0,"SIFIR/NEGATİF",IF(COUNTIFS($C$6:$C$5000,$C4384,$O$6:$O$5000,$O4384,$B$6:$B$5000,$B4384)&gt;1,"MÜKERRER","OK"))))</f>
        <v/>
      </c>
    </row>
    <row r="4385" ht="16.5" customHeight="1" s="80">
      <c r="A4385" s="113" t="n"/>
      <c r="B4385" s="113" t="n"/>
      <c r="C4385" s="113" t="n"/>
      <c r="D4385" s="113" t="n"/>
      <c r="E4385" s="113" t="n"/>
      <c r="F4385" s="113" t="n"/>
      <c r="G4385" s="113" t="n"/>
      <c r="H4385" s="113" t="n"/>
      <c r="I4385" s="113" t="n"/>
      <c r="J4385" s="113" t="n"/>
      <c r="K4385" s="113" t="n"/>
      <c r="L4385" s="113" t="n"/>
      <c r="M4385" s="113" t="n"/>
      <c r="N4385" s="113" t="n"/>
      <c r="O4385" s="113" t="n"/>
      <c r="P4385" s="113" t="n"/>
      <c r="Q4385" s="113" t="n"/>
      <c r="R4385" s="113" t="n"/>
      <c r="S4385" s="113" t="n"/>
      <c r="T4385" s="113" t="n"/>
      <c r="U4385" s="113" t="n"/>
      <c r="V4385" s="113" t="n"/>
      <c r="W4385" s="113" t="n"/>
      <c r="X4385" s="113" t="n"/>
      <c r="Y4385" s="113" t="n"/>
      <c r="Z4385" s="117">
        <f>IF($B4385="",0,IF($S4385="EVET",IF($D4385="GELİR",$O4385,-$O4385),0))</f>
        <v/>
      </c>
      <c r="AA4385" s="117">
        <f>IF($B4385="",0,IF(OR($W4385="EVET",$X4385="EVET",$Y4385="EVET"),0,IF($D4385="GELİR",IF($E4385="SATIŞ İADESİ/İSKONTO",-$O4385,$O4385),-$O4385)))</f>
        <v/>
      </c>
      <c r="AB4385" s="117">
        <f>IF($B4385="","",IF(OR($D4385="",$E4385="",$O4385=""),"EKSİK",IF($O4385&lt;=0,"SIFIR/NEGATİF",IF(COUNTIFS($C$6:$C$5000,$C4385,$O$6:$O$5000,$O4385,$B$6:$B$5000,$B4385)&gt;1,"MÜKERRER","OK"))))</f>
        <v/>
      </c>
    </row>
    <row r="4386" ht="16.5" customHeight="1" s="80">
      <c r="A4386" s="113" t="n"/>
      <c r="B4386" s="113" t="n"/>
      <c r="C4386" s="113" t="n"/>
      <c r="D4386" s="113" t="n"/>
      <c r="E4386" s="113" t="n"/>
      <c r="F4386" s="113" t="n"/>
      <c r="G4386" s="113" t="n"/>
      <c r="H4386" s="113" t="n"/>
      <c r="I4386" s="113" t="n"/>
      <c r="J4386" s="113" t="n"/>
      <c r="K4386" s="113" t="n"/>
      <c r="L4386" s="113" t="n"/>
      <c r="M4386" s="113" t="n"/>
      <c r="N4386" s="113" t="n"/>
      <c r="O4386" s="113" t="n"/>
      <c r="P4386" s="113" t="n"/>
      <c r="Q4386" s="113" t="n"/>
      <c r="R4386" s="113" t="n"/>
      <c r="S4386" s="113" t="n"/>
      <c r="T4386" s="113" t="n"/>
      <c r="U4386" s="113" t="n"/>
      <c r="V4386" s="113" t="n"/>
      <c r="W4386" s="113" t="n"/>
      <c r="X4386" s="113" t="n"/>
      <c r="Y4386" s="113" t="n"/>
      <c r="Z4386" s="117">
        <f>IF($B4386="",0,IF($S4386="EVET",IF($D4386="GELİR",$O4386,-$O4386),0))</f>
        <v/>
      </c>
      <c r="AA4386" s="117">
        <f>IF($B4386="",0,IF(OR($W4386="EVET",$X4386="EVET",$Y4386="EVET"),0,IF($D4386="GELİR",IF($E4386="SATIŞ İADESİ/İSKONTO",-$O4386,$O4386),-$O4386)))</f>
        <v/>
      </c>
      <c r="AB4386" s="117">
        <f>IF($B4386="","",IF(OR($D4386="",$E4386="",$O4386=""),"EKSİK",IF($O4386&lt;=0,"SIFIR/NEGATİF",IF(COUNTIFS($C$6:$C$5000,$C4386,$O$6:$O$5000,$O4386,$B$6:$B$5000,$B4386)&gt;1,"MÜKERRER","OK"))))</f>
        <v/>
      </c>
    </row>
    <row r="4387" ht="16.5" customHeight="1" s="80">
      <c r="A4387" s="113" t="n"/>
      <c r="B4387" s="113" t="n"/>
      <c r="C4387" s="113" t="n"/>
      <c r="D4387" s="113" t="n"/>
      <c r="E4387" s="113" t="n"/>
      <c r="F4387" s="113" t="n"/>
      <c r="G4387" s="113" t="n"/>
      <c r="H4387" s="113" t="n"/>
      <c r="I4387" s="113" t="n"/>
      <c r="J4387" s="113" t="n"/>
      <c r="K4387" s="113" t="n"/>
      <c r="L4387" s="113" t="n"/>
      <c r="M4387" s="113" t="n"/>
      <c r="N4387" s="113" t="n"/>
      <c r="O4387" s="113" t="n"/>
      <c r="P4387" s="113" t="n"/>
      <c r="Q4387" s="113" t="n"/>
      <c r="R4387" s="113" t="n"/>
      <c r="S4387" s="113" t="n"/>
      <c r="T4387" s="113" t="n"/>
      <c r="U4387" s="113" t="n"/>
      <c r="V4387" s="113" t="n"/>
      <c r="W4387" s="113" t="n"/>
      <c r="X4387" s="113" t="n"/>
      <c r="Y4387" s="113" t="n"/>
      <c r="Z4387" s="117">
        <f>IF($B4387="",0,IF($S4387="EVET",IF($D4387="GELİR",$O4387,-$O4387),0))</f>
        <v/>
      </c>
      <c r="AA4387" s="117">
        <f>IF($B4387="",0,IF(OR($W4387="EVET",$X4387="EVET",$Y4387="EVET"),0,IF($D4387="GELİR",IF($E4387="SATIŞ İADESİ/İSKONTO",-$O4387,$O4387),-$O4387)))</f>
        <v/>
      </c>
      <c r="AB4387" s="117">
        <f>IF($B4387="","",IF(OR($D4387="",$E4387="",$O4387=""),"EKSİK",IF($O4387&lt;=0,"SIFIR/NEGATİF",IF(COUNTIFS($C$6:$C$5000,$C4387,$O$6:$O$5000,$O4387,$B$6:$B$5000,$B4387)&gt;1,"MÜKERRER","OK"))))</f>
        <v/>
      </c>
    </row>
    <row r="4388" ht="16.5" customHeight="1" s="80">
      <c r="A4388" s="113" t="n"/>
      <c r="B4388" s="113" t="n"/>
      <c r="C4388" s="113" t="n"/>
      <c r="D4388" s="113" t="n"/>
      <c r="E4388" s="113" t="n"/>
      <c r="F4388" s="113" t="n"/>
      <c r="G4388" s="113" t="n"/>
      <c r="H4388" s="113" t="n"/>
      <c r="I4388" s="113" t="n"/>
      <c r="J4388" s="113" t="n"/>
      <c r="K4388" s="113" t="n"/>
      <c r="L4388" s="113" t="n"/>
      <c r="M4388" s="113" t="n"/>
      <c r="N4388" s="113" t="n"/>
      <c r="O4388" s="113" t="n"/>
      <c r="P4388" s="113" t="n"/>
      <c r="Q4388" s="113" t="n"/>
      <c r="R4388" s="113" t="n"/>
      <c r="S4388" s="113" t="n"/>
      <c r="T4388" s="113" t="n"/>
      <c r="U4388" s="113" t="n"/>
      <c r="V4388" s="113" t="n"/>
      <c r="W4388" s="113" t="n"/>
      <c r="X4388" s="113" t="n"/>
      <c r="Y4388" s="113" t="n"/>
      <c r="Z4388" s="117">
        <f>IF($B4388="",0,IF($S4388="EVET",IF($D4388="GELİR",$O4388,-$O4388),0))</f>
        <v/>
      </c>
      <c r="AA4388" s="117">
        <f>IF($B4388="",0,IF(OR($W4388="EVET",$X4388="EVET",$Y4388="EVET"),0,IF($D4388="GELİR",IF($E4388="SATIŞ İADESİ/İSKONTO",-$O4388,$O4388),-$O4388)))</f>
        <v/>
      </c>
      <c r="AB4388" s="117">
        <f>IF($B4388="","",IF(OR($D4388="",$E4388="",$O4388=""),"EKSİK",IF($O4388&lt;=0,"SIFIR/NEGATİF",IF(COUNTIFS($C$6:$C$5000,$C4388,$O$6:$O$5000,$O4388,$B$6:$B$5000,$B4388)&gt;1,"MÜKERRER","OK"))))</f>
        <v/>
      </c>
    </row>
    <row r="4389" ht="16.5" customHeight="1" s="80">
      <c r="A4389" s="113" t="n"/>
      <c r="B4389" s="113" t="n"/>
      <c r="C4389" s="113" t="n"/>
      <c r="D4389" s="113" t="n"/>
      <c r="E4389" s="113" t="n"/>
      <c r="F4389" s="113" t="n"/>
      <c r="G4389" s="113" t="n"/>
      <c r="H4389" s="113" t="n"/>
      <c r="I4389" s="113" t="n"/>
      <c r="J4389" s="113" t="n"/>
      <c r="K4389" s="113" t="n"/>
      <c r="L4389" s="113" t="n"/>
      <c r="M4389" s="113" t="n"/>
      <c r="N4389" s="113" t="n"/>
      <c r="O4389" s="113" t="n"/>
      <c r="P4389" s="113" t="n"/>
      <c r="Q4389" s="113" t="n"/>
      <c r="R4389" s="113" t="n"/>
      <c r="S4389" s="113" t="n"/>
      <c r="T4389" s="113" t="n"/>
      <c r="U4389" s="113" t="n"/>
      <c r="V4389" s="113" t="n"/>
      <c r="W4389" s="113" t="n"/>
      <c r="X4389" s="113" t="n"/>
      <c r="Y4389" s="113" t="n"/>
      <c r="Z4389" s="117">
        <f>IF($B4389="",0,IF($S4389="EVET",IF($D4389="GELİR",$O4389,-$O4389),0))</f>
        <v/>
      </c>
      <c r="AA4389" s="117">
        <f>IF($B4389="",0,IF(OR($W4389="EVET",$X4389="EVET",$Y4389="EVET"),0,IF($D4389="GELİR",IF($E4389="SATIŞ İADESİ/İSKONTO",-$O4389,$O4389),-$O4389)))</f>
        <v/>
      </c>
      <c r="AB4389" s="117">
        <f>IF($B4389="","",IF(OR($D4389="",$E4389="",$O4389=""),"EKSİK",IF($O4389&lt;=0,"SIFIR/NEGATİF",IF(COUNTIFS($C$6:$C$5000,$C4389,$O$6:$O$5000,$O4389,$B$6:$B$5000,$B4389)&gt;1,"MÜKERRER","OK"))))</f>
        <v/>
      </c>
    </row>
    <row r="4390" ht="16.5" customHeight="1" s="80">
      <c r="A4390" s="113" t="n"/>
      <c r="B4390" s="113" t="n"/>
      <c r="C4390" s="113" t="n"/>
      <c r="D4390" s="113" t="n"/>
      <c r="E4390" s="113" t="n"/>
      <c r="F4390" s="113" t="n"/>
      <c r="G4390" s="113" t="n"/>
      <c r="H4390" s="113" t="n"/>
      <c r="I4390" s="113" t="n"/>
      <c r="J4390" s="113" t="n"/>
      <c r="K4390" s="113" t="n"/>
      <c r="L4390" s="113" t="n"/>
      <c r="M4390" s="113" t="n"/>
      <c r="N4390" s="113" t="n"/>
      <c r="O4390" s="113" t="n"/>
      <c r="P4390" s="113" t="n"/>
      <c r="Q4390" s="113" t="n"/>
      <c r="R4390" s="113" t="n"/>
      <c r="S4390" s="113" t="n"/>
      <c r="T4390" s="113" t="n"/>
      <c r="U4390" s="113" t="n"/>
      <c r="V4390" s="113" t="n"/>
      <c r="W4390" s="113" t="n"/>
      <c r="X4390" s="113" t="n"/>
      <c r="Y4390" s="113" t="n"/>
      <c r="Z4390" s="117">
        <f>IF($B4390="",0,IF($S4390="EVET",IF($D4390="GELİR",$O4390,-$O4390),0))</f>
        <v/>
      </c>
      <c r="AA4390" s="117">
        <f>IF($B4390="",0,IF(OR($W4390="EVET",$X4390="EVET",$Y4390="EVET"),0,IF($D4390="GELİR",IF($E4390="SATIŞ İADESİ/İSKONTO",-$O4390,$O4390),-$O4390)))</f>
        <v/>
      </c>
      <c r="AB4390" s="117">
        <f>IF($B4390="","",IF(OR($D4390="",$E4390="",$O4390=""),"EKSİK",IF($O4390&lt;=0,"SIFIR/NEGATİF",IF(COUNTIFS($C$6:$C$5000,$C4390,$O$6:$O$5000,$O4390,$B$6:$B$5000,$B4390)&gt;1,"MÜKERRER","OK"))))</f>
        <v/>
      </c>
    </row>
    <row r="4391" ht="16.5" customHeight="1" s="80">
      <c r="A4391" s="113" t="n"/>
      <c r="B4391" s="113" t="n"/>
      <c r="C4391" s="113" t="n"/>
      <c r="D4391" s="113" t="n"/>
      <c r="E4391" s="113" t="n"/>
      <c r="F4391" s="113" t="n"/>
      <c r="G4391" s="113" t="n"/>
      <c r="H4391" s="113" t="n"/>
      <c r="I4391" s="113" t="n"/>
      <c r="J4391" s="113" t="n"/>
      <c r="K4391" s="113" t="n"/>
      <c r="L4391" s="113" t="n"/>
      <c r="M4391" s="113" t="n"/>
      <c r="N4391" s="113" t="n"/>
      <c r="O4391" s="113" t="n"/>
      <c r="P4391" s="113" t="n"/>
      <c r="Q4391" s="113" t="n"/>
      <c r="R4391" s="113" t="n"/>
      <c r="S4391" s="113" t="n"/>
      <c r="T4391" s="113" t="n"/>
      <c r="U4391" s="113" t="n"/>
      <c r="V4391" s="113" t="n"/>
      <c r="W4391" s="113" t="n"/>
      <c r="X4391" s="113" t="n"/>
      <c r="Y4391" s="113" t="n"/>
      <c r="Z4391" s="117">
        <f>IF($B4391="",0,IF($S4391="EVET",IF($D4391="GELİR",$O4391,-$O4391),0))</f>
        <v/>
      </c>
      <c r="AA4391" s="117">
        <f>IF($B4391="",0,IF(OR($W4391="EVET",$X4391="EVET",$Y4391="EVET"),0,IF($D4391="GELİR",IF($E4391="SATIŞ İADESİ/İSKONTO",-$O4391,$O4391),-$O4391)))</f>
        <v/>
      </c>
      <c r="AB4391" s="117">
        <f>IF($B4391="","",IF(OR($D4391="",$E4391="",$O4391=""),"EKSİK",IF($O4391&lt;=0,"SIFIR/NEGATİF",IF(COUNTIFS($C$6:$C$5000,$C4391,$O$6:$O$5000,$O4391,$B$6:$B$5000,$B4391)&gt;1,"MÜKERRER","OK"))))</f>
        <v/>
      </c>
    </row>
    <row r="4392" ht="16.5" customHeight="1" s="80">
      <c r="A4392" s="113" t="n"/>
      <c r="B4392" s="113" t="n"/>
      <c r="C4392" s="113" t="n"/>
      <c r="D4392" s="113" t="n"/>
      <c r="E4392" s="113" t="n"/>
      <c r="F4392" s="113" t="n"/>
      <c r="G4392" s="113" t="n"/>
      <c r="H4392" s="113" t="n"/>
      <c r="I4392" s="113" t="n"/>
      <c r="J4392" s="113" t="n"/>
      <c r="K4392" s="113" t="n"/>
      <c r="L4392" s="113" t="n"/>
      <c r="M4392" s="113" t="n"/>
      <c r="N4392" s="113" t="n"/>
      <c r="O4392" s="113" t="n"/>
      <c r="P4392" s="113" t="n"/>
      <c r="Q4392" s="113" t="n"/>
      <c r="R4392" s="113" t="n"/>
      <c r="S4392" s="113" t="n"/>
      <c r="T4392" s="113" t="n"/>
      <c r="U4392" s="113" t="n"/>
      <c r="V4392" s="113" t="n"/>
      <c r="W4392" s="113" t="n"/>
      <c r="X4392" s="113" t="n"/>
      <c r="Y4392" s="113" t="n"/>
      <c r="Z4392" s="117">
        <f>IF($B4392="",0,IF($S4392="EVET",IF($D4392="GELİR",$O4392,-$O4392),0))</f>
        <v/>
      </c>
      <c r="AA4392" s="117">
        <f>IF($B4392="",0,IF(OR($W4392="EVET",$X4392="EVET",$Y4392="EVET"),0,IF($D4392="GELİR",IF($E4392="SATIŞ İADESİ/İSKONTO",-$O4392,$O4392),-$O4392)))</f>
        <v/>
      </c>
      <c r="AB4392" s="117">
        <f>IF($B4392="","",IF(OR($D4392="",$E4392="",$O4392=""),"EKSİK",IF($O4392&lt;=0,"SIFIR/NEGATİF",IF(COUNTIFS($C$6:$C$5000,$C4392,$O$6:$O$5000,$O4392,$B$6:$B$5000,$B4392)&gt;1,"MÜKERRER","OK"))))</f>
        <v/>
      </c>
    </row>
    <row r="4393" ht="16.5" customHeight="1" s="80">
      <c r="A4393" s="113" t="n"/>
      <c r="B4393" s="113" t="n"/>
      <c r="C4393" s="113" t="n"/>
      <c r="D4393" s="113" t="n"/>
      <c r="E4393" s="113" t="n"/>
      <c r="F4393" s="113" t="n"/>
      <c r="G4393" s="113" t="n"/>
      <c r="H4393" s="113" t="n"/>
      <c r="I4393" s="113" t="n"/>
      <c r="J4393" s="113" t="n"/>
      <c r="K4393" s="113" t="n"/>
      <c r="L4393" s="113" t="n"/>
      <c r="M4393" s="113" t="n"/>
      <c r="N4393" s="113" t="n"/>
      <c r="O4393" s="113" t="n"/>
      <c r="P4393" s="113" t="n"/>
      <c r="Q4393" s="113" t="n"/>
      <c r="R4393" s="113" t="n"/>
      <c r="S4393" s="113" t="n"/>
      <c r="T4393" s="113" t="n"/>
      <c r="U4393" s="113" t="n"/>
      <c r="V4393" s="113" t="n"/>
      <c r="W4393" s="113" t="n"/>
      <c r="X4393" s="113" t="n"/>
      <c r="Y4393" s="113" t="n"/>
      <c r="Z4393" s="117">
        <f>IF($B4393="",0,IF($S4393="EVET",IF($D4393="GELİR",$O4393,-$O4393),0))</f>
        <v/>
      </c>
      <c r="AA4393" s="117">
        <f>IF($B4393="",0,IF(OR($W4393="EVET",$X4393="EVET",$Y4393="EVET"),0,IF($D4393="GELİR",IF($E4393="SATIŞ İADESİ/İSKONTO",-$O4393,$O4393),-$O4393)))</f>
        <v/>
      </c>
      <c r="AB4393" s="117">
        <f>IF($B4393="","",IF(OR($D4393="",$E4393="",$O4393=""),"EKSİK",IF($O4393&lt;=0,"SIFIR/NEGATİF",IF(COUNTIFS($C$6:$C$5000,$C4393,$O$6:$O$5000,$O4393,$B$6:$B$5000,$B4393)&gt;1,"MÜKERRER","OK"))))</f>
        <v/>
      </c>
    </row>
    <row r="4394" ht="16.5" customHeight="1" s="80">
      <c r="A4394" s="113" t="n"/>
      <c r="B4394" s="113" t="n"/>
      <c r="C4394" s="113" t="n"/>
      <c r="D4394" s="113" t="n"/>
      <c r="E4394" s="113" t="n"/>
      <c r="F4394" s="113" t="n"/>
      <c r="G4394" s="113" t="n"/>
      <c r="H4394" s="113" t="n"/>
      <c r="I4394" s="113" t="n"/>
      <c r="J4394" s="113" t="n"/>
      <c r="K4394" s="113" t="n"/>
      <c r="L4394" s="113" t="n"/>
      <c r="M4394" s="113" t="n"/>
      <c r="N4394" s="113" t="n"/>
      <c r="O4394" s="113" t="n"/>
      <c r="P4394" s="113" t="n"/>
      <c r="Q4394" s="113" t="n"/>
      <c r="R4394" s="113" t="n"/>
      <c r="S4394" s="113" t="n"/>
      <c r="T4394" s="113" t="n"/>
      <c r="U4394" s="113" t="n"/>
      <c r="V4394" s="113" t="n"/>
      <c r="W4394" s="113" t="n"/>
      <c r="X4394" s="113" t="n"/>
      <c r="Y4394" s="113" t="n"/>
      <c r="Z4394" s="117">
        <f>IF($B4394="",0,IF($S4394="EVET",IF($D4394="GELİR",$O4394,-$O4394),0))</f>
        <v/>
      </c>
      <c r="AA4394" s="117">
        <f>IF($B4394="",0,IF(OR($W4394="EVET",$X4394="EVET",$Y4394="EVET"),0,IF($D4394="GELİR",IF($E4394="SATIŞ İADESİ/İSKONTO",-$O4394,$O4394),-$O4394)))</f>
        <v/>
      </c>
      <c r="AB4394" s="117">
        <f>IF($B4394="","",IF(OR($D4394="",$E4394="",$O4394=""),"EKSİK",IF($O4394&lt;=0,"SIFIR/NEGATİF",IF(COUNTIFS($C$6:$C$5000,$C4394,$O$6:$O$5000,$O4394,$B$6:$B$5000,$B4394)&gt;1,"MÜKERRER","OK"))))</f>
        <v/>
      </c>
    </row>
    <row r="4395" ht="16.5" customHeight="1" s="80">
      <c r="A4395" s="113" t="n"/>
      <c r="B4395" s="113" t="n"/>
      <c r="C4395" s="113" t="n"/>
      <c r="D4395" s="113" t="n"/>
      <c r="E4395" s="113" t="n"/>
      <c r="F4395" s="113" t="n"/>
      <c r="G4395" s="113" t="n"/>
      <c r="H4395" s="113" t="n"/>
      <c r="I4395" s="113" t="n"/>
      <c r="J4395" s="113" t="n"/>
      <c r="K4395" s="113" t="n"/>
      <c r="L4395" s="113" t="n"/>
      <c r="M4395" s="113" t="n"/>
      <c r="N4395" s="113" t="n"/>
      <c r="O4395" s="113" t="n"/>
      <c r="P4395" s="113" t="n"/>
      <c r="Q4395" s="113" t="n"/>
      <c r="R4395" s="113" t="n"/>
      <c r="S4395" s="113" t="n"/>
      <c r="T4395" s="113" t="n"/>
      <c r="U4395" s="113" t="n"/>
      <c r="V4395" s="113" t="n"/>
      <c r="W4395" s="113" t="n"/>
      <c r="X4395" s="113" t="n"/>
      <c r="Y4395" s="113" t="n"/>
      <c r="Z4395" s="117">
        <f>IF($B4395="",0,IF($S4395="EVET",IF($D4395="GELİR",$O4395,-$O4395),0))</f>
        <v/>
      </c>
      <c r="AA4395" s="117">
        <f>IF($B4395="",0,IF(OR($W4395="EVET",$X4395="EVET",$Y4395="EVET"),0,IF($D4395="GELİR",IF($E4395="SATIŞ İADESİ/İSKONTO",-$O4395,$O4395),-$O4395)))</f>
        <v/>
      </c>
      <c r="AB4395" s="117">
        <f>IF($B4395="","",IF(OR($D4395="",$E4395="",$O4395=""),"EKSİK",IF($O4395&lt;=0,"SIFIR/NEGATİF",IF(COUNTIFS($C$6:$C$5000,$C4395,$O$6:$O$5000,$O4395,$B$6:$B$5000,$B4395)&gt;1,"MÜKERRER","OK"))))</f>
        <v/>
      </c>
    </row>
    <row r="4396" ht="16.5" customHeight="1" s="80">
      <c r="A4396" s="113" t="n"/>
      <c r="B4396" s="113" t="n"/>
      <c r="C4396" s="113" t="n"/>
      <c r="D4396" s="113" t="n"/>
      <c r="E4396" s="113" t="n"/>
      <c r="F4396" s="113" t="n"/>
      <c r="G4396" s="113" t="n"/>
      <c r="H4396" s="113" t="n"/>
      <c r="I4396" s="113" t="n"/>
      <c r="J4396" s="113" t="n"/>
      <c r="K4396" s="113" t="n"/>
      <c r="L4396" s="113" t="n"/>
      <c r="M4396" s="113" t="n"/>
      <c r="N4396" s="113" t="n"/>
      <c r="O4396" s="113" t="n"/>
      <c r="P4396" s="113" t="n"/>
      <c r="Q4396" s="113" t="n"/>
      <c r="R4396" s="113" t="n"/>
      <c r="S4396" s="113" t="n"/>
      <c r="T4396" s="113" t="n"/>
      <c r="U4396" s="113" t="n"/>
      <c r="V4396" s="113" t="n"/>
      <c r="W4396" s="113" t="n"/>
      <c r="X4396" s="113" t="n"/>
      <c r="Y4396" s="113" t="n"/>
      <c r="Z4396" s="117">
        <f>IF($B4396="",0,IF($S4396="EVET",IF($D4396="GELİR",$O4396,-$O4396),0))</f>
        <v/>
      </c>
      <c r="AA4396" s="117">
        <f>IF($B4396="",0,IF(OR($W4396="EVET",$X4396="EVET",$Y4396="EVET"),0,IF($D4396="GELİR",IF($E4396="SATIŞ İADESİ/İSKONTO",-$O4396,$O4396),-$O4396)))</f>
        <v/>
      </c>
      <c r="AB4396" s="117">
        <f>IF($B4396="","",IF(OR($D4396="",$E4396="",$O4396=""),"EKSİK",IF($O4396&lt;=0,"SIFIR/NEGATİF",IF(COUNTIFS($C$6:$C$5000,$C4396,$O$6:$O$5000,$O4396,$B$6:$B$5000,$B4396)&gt;1,"MÜKERRER","OK"))))</f>
        <v/>
      </c>
    </row>
    <row r="4397" ht="16.5" customHeight="1" s="80">
      <c r="A4397" s="113" t="n"/>
      <c r="B4397" s="113" t="n"/>
      <c r="C4397" s="113" t="n"/>
      <c r="D4397" s="113" t="n"/>
      <c r="E4397" s="113" t="n"/>
      <c r="F4397" s="113" t="n"/>
      <c r="G4397" s="113" t="n"/>
      <c r="H4397" s="113" t="n"/>
      <c r="I4397" s="113" t="n"/>
      <c r="J4397" s="113" t="n"/>
      <c r="K4397" s="113" t="n"/>
      <c r="L4397" s="113" t="n"/>
      <c r="M4397" s="113" t="n"/>
      <c r="N4397" s="113" t="n"/>
      <c r="O4397" s="113" t="n"/>
      <c r="P4397" s="113" t="n"/>
      <c r="Q4397" s="113" t="n"/>
      <c r="R4397" s="113" t="n"/>
      <c r="S4397" s="113" t="n"/>
      <c r="T4397" s="113" t="n"/>
      <c r="U4397" s="113" t="n"/>
      <c r="V4397" s="113" t="n"/>
      <c r="W4397" s="113" t="n"/>
      <c r="X4397" s="113" t="n"/>
      <c r="Y4397" s="113" t="n"/>
      <c r="Z4397" s="117">
        <f>IF($B4397="",0,IF($S4397="EVET",IF($D4397="GELİR",$O4397,-$O4397),0))</f>
        <v/>
      </c>
      <c r="AA4397" s="117">
        <f>IF($B4397="",0,IF(OR($W4397="EVET",$X4397="EVET",$Y4397="EVET"),0,IF($D4397="GELİR",IF($E4397="SATIŞ İADESİ/İSKONTO",-$O4397,$O4397),-$O4397)))</f>
        <v/>
      </c>
      <c r="AB4397" s="117">
        <f>IF($B4397="","",IF(OR($D4397="",$E4397="",$O4397=""),"EKSİK",IF($O4397&lt;=0,"SIFIR/NEGATİF",IF(COUNTIFS($C$6:$C$5000,$C4397,$O$6:$O$5000,$O4397,$B$6:$B$5000,$B4397)&gt;1,"MÜKERRER","OK"))))</f>
        <v/>
      </c>
    </row>
    <row r="4398" ht="16.5" customHeight="1" s="80">
      <c r="A4398" s="113" t="n"/>
      <c r="B4398" s="113" t="n"/>
      <c r="C4398" s="113" t="n"/>
      <c r="D4398" s="113" t="n"/>
      <c r="E4398" s="113" t="n"/>
      <c r="F4398" s="113" t="n"/>
      <c r="G4398" s="113" t="n"/>
      <c r="H4398" s="113" t="n"/>
      <c r="I4398" s="113" t="n"/>
      <c r="J4398" s="113" t="n"/>
      <c r="K4398" s="113" t="n"/>
      <c r="L4398" s="113" t="n"/>
      <c r="M4398" s="113" t="n"/>
      <c r="N4398" s="113" t="n"/>
      <c r="O4398" s="113" t="n"/>
      <c r="P4398" s="113" t="n"/>
      <c r="Q4398" s="113" t="n"/>
      <c r="R4398" s="113" t="n"/>
      <c r="S4398" s="113" t="n"/>
      <c r="T4398" s="113" t="n"/>
      <c r="U4398" s="113" t="n"/>
      <c r="V4398" s="113" t="n"/>
      <c r="W4398" s="113" t="n"/>
      <c r="X4398" s="113" t="n"/>
      <c r="Y4398" s="113" t="n"/>
      <c r="Z4398" s="117">
        <f>IF($B4398="",0,IF($S4398="EVET",IF($D4398="GELİR",$O4398,-$O4398),0))</f>
        <v/>
      </c>
      <c r="AA4398" s="117">
        <f>IF($B4398="",0,IF(OR($W4398="EVET",$X4398="EVET",$Y4398="EVET"),0,IF($D4398="GELİR",IF($E4398="SATIŞ İADESİ/İSKONTO",-$O4398,$O4398),-$O4398)))</f>
        <v/>
      </c>
      <c r="AB4398" s="117">
        <f>IF($B4398="","",IF(OR($D4398="",$E4398="",$O4398=""),"EKSİK",IF($O4398&lt;=0,"SIFIR/NEGATİF",IF(COUNTIFS($C$6:$C$5000,$C4398,$O$6:$O$5000,$O4398,$B$6:$B$5000,$B4398)&gt;1,"MÜKERRER","OK"))))</f>
        <v/>
      </c>
    </row>
    <row r="4399" ht="16.5" customHeight="1" s="80">
      <c r="A4399" s="113" t="n"/>
      <c r="B4399" s="113" t="n"/>
      <c r="C4399" s="113" t="n"/>
      <c r="D4399" s="113" t="n"/>
      <c r="E4399" s="113" t="n"/>
      <c r="F4399" s="113" t="n"/>
      <c r="G4399" s="113" t="n"/>
      <c r="H4399" s="113" t="n"/>
      <c r="I4399" s="113" t="n"/>
      <c r="J4399" s="113" t="n"/>
      <c r="K4399" s="113" t="n"/>
      <c r="L4399" s="113" t="n"/>
      <c r="M4399" s="113" t="n"/>
      <c r="N4399" s="113" t="n"/>
      <c r="O4399" s="113" t="n"/>
      <c r="P4399" s="113" t="n"/>
      <c r="Q4399" s="113" t="n"/>
      <c r="R4399" s="113" t="n"/>
      <c r="S4399" s="113" t="n"/>
      <c r="T4399" s="113" t="n"/>
      <c r="U4399" s="113" t="n"/>
      <c r="V4399" s="113" t="n"/>
      <c r="W4399" s="113" t="n"/>
      <c r="X4399" s="113" t="n"/>
      <c r="Y4399" s="113" t="n"/>
      <c r="Z4399" s="117">
        <f>IF($B4399="",0,IF($S4399="EVET",IF($D4399="GELİR",$O4399,-$O4399),0))</f>
        <v/>
      </c>
      <c r="AA4399" s="117">
        <f>IF($B4399="",0,IF(OR($W4399="EVET",$X4399="EVET",$Y4399="EVET"),0,IF($D4399="GELİR",IF($E4399="SATIŞ İADESİ/İSKONTO",-$O4399,$O4399),-$O4399)))</f>
        <v/>
      </c>
      <c r="AB4399" s="117">
        <f>IF($B4399="","",IF(OR($D4399="",$E4399="",$O4399=""),"EKSİK",IF($O4399&lt;=0,"SIFIR/NEGATİF",IF(COUNTIFS($C$6:$C$5000,$C4399,$O$6:$O$5000,$O4399,$B$6:$B$5000,$B4399)&gt;1,"MÜKERRER","OK"))))</f>
        <v/>
      </c>
    </row>
    <row r="4400" ht="16.5" customHeight="1" s="80">
      <c r="A4400" s="113" t="n"/>
      <c r="B4400" s="113" t="n"/>
      <c r="C4400" s="113" t="n"/>
      <c r="D4400" s="113" t="n"/>
      <c r="E4400" s="113" t="n"/>
      <c r="F4400" s="113" t="n"/>
      <c r="G4400" s="113" t="n"/>
      <c r="H4400" s="113" t="n"/>
      <c r="I4400" s="113" t="n"/>
      <c r="J4400" s="113" t="n"/>
      <c r="K4400" s="113" t="n"/>
      <c r="L4400" s="113" t="n"/>
      <c r="M4400" s="113" t="n"/>
      <c r="N4400" s="113" t="n"/>
      <c r="O4400" s="113" t="n"/>
      <c r="P4400" s="113" t="n"/>
      <c r="Q4400" s="113" t="n"/>
      <c r="R4400" s="113" t="n"/>
      <c r="S4400" s="113" t="n"/>
      <c r="T4400" s="113" t="n"/>
      <c r="U4400" s="113" t="n"/>
      <c r="V4400" s="113" t="n"/>
      <c r="W4400" s="113" t="n"/>
      <c r="X4400" s="113" t="n"/>
      <c r="Y4400" s="113" t="n"/>
      <c r="Z4400" s="117">
        <f>IF($B4400="",0,IF($S4400="EVET",IF($D4400="GELİR",$O4400,-$O4400),0))</f>
        <v/>
      </c>
      <c r="AA4400" s="117">
        <f>IF($B4400="",0,IF(OR($W4400="EVET",$X4400="EVET",$Y4400="EVET"),0,IF($D4400="GELİR",IF($E4400="SATIŞ İADESİ/İSKONTO",-$O4400,$O4400),-$O4400)))</f>
        <v/>
      </c>
      <c r="AB4400" s="117">
        <f>IF($B4400="","",IF(OR($D4400="",$E4400="",$O4400=""),"EKSİK",IF($O4400&lt;=0,"SIFIR/NEGATİF",IF(COUNTIFS($C$6:$C$5000,$C4400,$O$6:$O$5000,$O4400,$B$6:$B$5000,$B4400)&gt;1,"MÜKERRER","OK"))))</f>
        <v/>
      </c>
    </row>
    <row r="4401" ht="16.5" customHeight="1" s="80">
      <c r="A4401" s="113" t="n"/>
      <c r="B4401" s="113" t="n"/>
      <c r="C4401" s="113" t="n"/>
      <c r="D4401" s="113" t="n"/>
      <c r="E4401" s="113" t="n"/>
      <c r="F4401" s="113" t="n"/>
      <c r="G4401" s="113" t="n"/>
      <c r="H4401" s="113" t="n"/>
      <c r="I4401" s="113" t="n"/>
      <c r="J4401" s="113" t="n"/>
      <c r="K4401" s="113" t="n"/>
      <c r="L4401" s="113" t="n"/>
      <c r="M4401" s="113" t="n"/>
      <c r="N4401" s="113" t="n"/>
      <c r="O4401" s="113" t="n"/>
      <c r="P4401" s="113" t="n"/>
      <c r="Q4401" s="113" t="n"/>
      <c r="R4401" s="113" t="n"/>
      <c r="S4401" s="113" t="n"/>
      <c r="T4401" s="113" t="n"/>
      <c r="U4401" s="113" t="n"/>
      <c r="V4401" s="113" t="n"/>
      <c r="W4401" s="113" t="n"/>
      <c r="X4401" s="113" t="n"/>
      <c r="Y4401" s="113" t="n"/>
      <c r="Z4401" s="117">
        <f>IF($B4401="",0,IF($S4401="EVET",IF($D4401="GELİR",$O4401,-$O4401),0))</f>
        <v/>
      </c>
      <c r="AA4401" s="117">
        <f>IF($B4401="",0,IF(OR($W4401="EVET",$X4401="EVET",$Y4401="EVET"),0,IF($D4401="GELİR",IF($E4401="SATIŞ İADESİ/İSKONTO",-$O4401,$O4401),-$O4401)))</f>
        <v/>
      </c>
      <c r="AB4401" s="117">
        <f>IF($B4401="","",IF(OR($D4401="",$E4401="",$O4401=""),"EKSİK",IF($O4401&lt;=0,"SIFIR/NEGATİF",IF(COUNTIFS($C$6:$C$5000,$C4401,$O$6:$O$5000,$O4401,$B$6:$B$5000,$B4401)&gt;1,"MÜKERRER","OK"))))</f>
        <v/>
      </c>
    </row>
    <row r="4402" ht="16.5" customHeight="1" s="80">
      <c r="A4402" s="113" t="n"/>
      <c r="B4402" s="113" t="n"/>
      <c r="C4402" s="113" t="n"/>
      <c r="D4402" s="113" t="n"/>
      <c r="E4402" s="113" t="n"/>
      <c r="F4402" s="113" t="n"/>
      <c r="G4402" s="113" t="n"/>
      <c r="H4402" s="113" t="n"/>
      <c r="I4402" s="113" t="n"/>
      <c r="J4402" s="113" t="n"/>
      <c r="K4402" s="113" t="n"/>
      <c r="L4402" s="113" t="n"/>
      <c r="M4402" s="113" t="n"/>
      <c r="N4402" s="113" t="n"/>
      <c r="O4402" s="113" t="n"/>
      <c r="P4402" s="113" t="n"/>
      <c r="Q4402" s="113" t="n"/>
      <c r="R4402" s="113" t="n"/>
      <c r="S4402" s="113" t="n"/>
      <c r="T4402" s="113" t="n"/>
      <c r="U4402" s="113" t="n"/>
      <c r="V4402" s="113" t="n"/>
      <c r="W4402" s="113" t="n"/>
      <c r="X4402" s="113" t="n"/>
      <c r="Y4402" s="113" t="n"/>
      <c r="Z4402" s="117">
        <f>IF($B4402="",0,IF($S4402="EVET",IF($D4402="GELİR",$O4402,-$O4402),0))</f>
        <v/>
      </c>
      <c r="AA4402" s="117">
        <f>IF($B4402="",0,IF(OR($W4402="EVET",$X4402="EVET",$Y4402="EVET"),0,IF($D4402="GELİR",IF($E4402="SATIŞ İADESİ/İSKONTO",-$O4402,$O4402),-$O4402)))</f>
        <v/>
      </c>
      <c r="AB4402" s="117">
        <f>IF($B4402="","",IF(OR($D4402="",$E4402="",$O4402=""),"EKSİK",IF($O4402&lt;=0,"SIFIR/NEGATİF",IF(COUNTIFS($C$6:$C$5000,$C4402,$O$6:$O$5000,$O4402,$B$6:$B$5000,$B4402)&gt;1,"MÜKERRER","OK"))))</f>
        <v/>
      </c>
    </row>
    <row r="4403" ht="16.5" customHeight="1" s="80">
      <c r="A4403" s="113" t="n"/>
      <c r="B4403" s="113" t="n"/>
      <c r="C4403" s="113" t="n"/>
      <c r="D4403" s="113" t="n"/>
      <c r="E4403" s="113" t="n"/>
      <c r="F4403" s="113" t="n"/>
      <c r="G4403" s="113" t="n"/>
      <c r="H4403" s="113" t="n"/>
      <c r="I4403" s="113" t="n"/>
      <c r="J4403" s="113" t="n"/>
      <c r="K4403" s="113" t="n"/>
      <c r="L4403" s="113" t="n"/>
      <c r="M4403" s="113" t="n"/>
      <c r="N4403" s="113" t="n"/>
      <c r="O4403" s="113" t="n"/>
      <c r="P4403" s="113" t="n"/>
      <c r="Q4403" s="113" t="n"/>
      <c r="R4403" s="113" t="n"/>
      <c r="S4403" s="113" t="n"/>
      <c r="T4403" s="113" t="n"/>
      <c r="U4403" s="113" t="n"/>
      <c r="V4403" s="113" t="n"/>
      <c r="W4403" s="113" t="n"/>
      <c r="X4403" s="113" t="n"/>
      <c r="Y4403" s="113" t="n"/>
      <c r="Z4403" s="117">
        <f>IF($B4403="",0,IF($S4403="EVET",IF($D4403="GELİR",$O4403,-$O4403),0))</f>
        <v/>
      </c>
      <c r="AA4403" s="117">
        <f>IF($B4403="",0,IF(OR($W4403="EVET",$X4403="EVET",$Y4403="EVET"),0,IF($D4403="GELİR",IF($E4403="SATIŞ İADESİ/İSKONTO",-$O4403,$O4403),-$O4403)))</f>
        <v/>
      </c>
      <c r="AB4403" s="117">
        <f>IF($B4403="","",IF(OR($D4403="",$E4403="",$O4403=""),"EKSİK",IF($O4403&lt;=0,"SIFIR/NEGATİF",IF(COUNTIFS($C$6:$C$5000,$C4403,$O$6:$O$5000,$O4403,$B$6:$B$5000,$B4403)&gt;1,"MÜKERRER","OK"))))</f>
        <v/>
      </c>
    </row>
    <row r="4404" ht="16.5" customHeight="1" s="80">
      <c r="A4404" s="113" t="n"/>
      <c r="B4404" s="113" t="n"/>
      <c r="C4404" s="113" t="n"/>
      <c r="D4404" s="113" t="n"/>
      <c r="E4404" s="113" t="n"/>
      <c r="F4404" s="113" t="n"/>
      <c r="G4404" s="113" t="n"/>
      <c r="H4404" s="113" t="n"/>
      <c r="I4404" s="113" t="n"/>
      <c r="J4404" s="113" t="n"/>
      <c r="K4404" s="113" t="n"/>
      <c r="L4404" s="113" t="n"/>
      <c r="M4404" s="113" t="n"/>
      <c r="N4404" s="113" t="n"/>
      <c r="O4404" s="113" t="n"/>
      <c r="P4404" s="113" t="n"/>
      <c r="Q4404" s="113" t="n"/>
      <c r="R4404" s="113" t="n"/>
      <c r="S4404" s="113" t="n"/>
      <c r="T4404" s="113" t="n"/>
      <c r="U4404" s="113" t="n"/>
      <c r="V4404" s="113" t="n"/>
      <c r="W4404" s="113" t="n"/>
      <c r="X4404" s="113" t="n"/>
      <c r="Y4404" s="113" t="n"/>
      <c r="Z4404" s="117">
        <f>IF($B4404="",0,IF($S4404="EVET",IF($D4404="GELİR",$O4404,-$O4404),0))</f>
        <v/>
      </c>
      <c r="AA4404" s="117">
        <f>IF($B4404="",0,IF(OR($W4404="EVET",$X4404="EVET",$Y4404="EVET"),0,IF($D4404="GELİR",IF($E4404="SATIŞ İADESİ/İSKONTO",-$O4404,$O4404),-$O4404)))</f>
        <v/>
      </c>
      <c r="AB4404" s="117">
        <f>IF($B4404="","",IF(OR($D4404="",$E4404="",$O4404=""),"EKSİK",IF($O4404&lt;=0,"SIFIR/NEGATİF",IF(COUNTIFS($C$6:$C$5000,$C4404,$O$6:$O$5000,$O4404,$B$6:$B$5000,$B4404)&gt;1,"MÜKERRER","OK"))))</f>
        <v/>
      </c>
    </row>
    <row r="4405" ht="16.5" customHeight="1" s="80">
      <c r="A4405" s="113" t="n"/>
      <c r="B4405" s="113" t="n"/>
      <c r="C4405" s="113" t="n"/>
      <c r="D4405" s="113" t="n"/>
      <c r="E4405" s="113" t="n"/>
      <c r="F4405" s="113" t="n"/>
      <c r="G4405" s="113" t="n"/>
      <c r="H4405" s="113" t="n"/>
      <c r="I4405" s="113" t="n"/>
      <c r="J4405" s="113" t="n"/>
      <c r="K4405" s="113" t="n"/>
      <c r="L4405" s="113" t="n"/>
      <c r="M4405" s="113" t="n"/>
      <c r="N4405" s="113" t="n"/>
      <c r="O4405" s="113" t="n"/>
      <c r="P4405" s="113" t="n"/>
      <c r="Q4405" s="113" t="n"/>
      <c r="R4405" s="113" t="n"/>
      <c r="S4405" s="113" t="n"/>
      <c r="T4405" s="113" t="n"/>
      <c r="U4405" s="113" t="n"/>
      <c r="V4405" s="113" t="n"/>
      <c r="W4405" s="113" t="n"/>
      <c r="X4405" s="113" t="n"/>
      <c r="Y4405" s="113" t="n"/>
      <c r="Z4405" s="117">
        <f>IF($B4405="",0,IF($S4405="EVET",IF($D4405="GELİR",$O4405,-$O4405),0))</f>
        <v/>
      </c>
      <c r="AA4405" s="117">
        <f>IF($B4405="",0,IF(OR($W4405="EVET",$X4405="EVET",$Y4405="EVET"),0,IF($D4405="GELİR",IF($E4405="SATIŞ İADESİ/İSKONTO",-$O4405,$O4405),-$O4405)))</f>
        <v/>
      </c>
      <c r="AB4405" s="117">
        <f>IF($B4405="","",IF(OR($D4405="",$E4405="",$O4405=""),"EKSİK",IF($O4405&lt;=0,"SIFIR/NEGATİF",IF(COUNTIFS($C$6:$C$5000,$C4405,$O$6:$O$5000,$O4405,$B$6:$B$5000,$B4405)&gt;1,"MÜKERRER","OK"))))</f>
        <v/>
      </c>
    </row>
    <row r="4406" ht="16.5" customHeight="1" s="80">
      <c r="A4406" s="113" t="n"/>
      <c r="B4406" s="113" t="n"/>
      <c r="C4406" s="113" t="n"/>
      <c r="D4406" s="113" t="n"/>
      <c r="E4406" s="113" t="n"/>
      <c r="F4406" s="113" t="n"/>
      <c r="G4406" s="113" t="n"/>
      <c r="H4406" s="113" t="n"/>
      <c r="I4406" s="113" t="n"/>
      <c r="J4406" s="113" t="n"/>
      <c r="K4406" s="113" t="n"/>
      <c r="L4406" s="113" t="n"/>
      <c r="M4406" s="113" t="n"/>
      <c r="N4406" s="113" t="n"/>
      <c r="O4406" s="113" t="n"/>
      <c r="P4406" s="113" t="n"/>
      <c r="Q4406" s="113" t="n"/>
      <c r="R4406" s="113" t="n"/>
      <c r="S4406" s="113" t="n"/>
      <c r="T4406" s="113" t="n"/>
      <c r="U4406" s="113" t="n"/>
      <c r="V4406" s="113" t="n"/>
      <c r="W4406" s="113" t="n"/>
      <c r="X4406" s="113" t="n"/>
      <c r="Y4406" s="113" t="n"/>
      <c r="Z4406" s="117">
        <f>IF($B4406="",0,IF($S4406="EVET",IF($D4406="GELİR",$O4406,-$O4406),0))</f>
        <v/>
      </c>
      <c r="AA4406" s="117">
        <f>IF($B4406="",0,IF(OR($W4406="EVET",$X4406="EVET",$Y4406="EVET"),0,IF($D4406="GELİR",IF($E4406="SATIŞ İADESİ/İSKONTO",-$O4406,$O4406),-$O4406)))</f>
        <v/>
      </c>
      <c r="AB4406" s="117">
        <f>IF($B4406="","",IF(OR($D4406="",$E4406="",$O4406=""),"EKSİK",IF($O4406&lt;=0,"SIFIR/NEGATİF",IF(COUNTIFS($C$6:$C$5000,$C4406,$O$6:$O$5000,$O4406,$B$6:$B$5000,$B4406)&gt;1,"MÜKERRER","OK"))))</f>
        <v/>
      </c>
    </row>
    <row r="4407" ht="16.5" customHeight="1" s="80">
      <c r="A4407" s="113" t="n"/>
      <c r="B4407" s="113" t="n"/>
      <c r="C4407" s="113" t="n"/>
      <c r="D4407" s="113" t="n"/>
      <c r="E4407" s="113" t="n"/>
      <c r="F4407" s="113" t="n"/>
      <c r="G4407" s="113" t="n"/>
      <c r="H4407" s="113" t="n"/>
      <c r="I4407" s="113" t="n"/>
      <c r="J4407" s="113" t="n"/>
      <c r="K4407" s="113" t="n"/>
      <c r="L4407" s="113" t="n"/>
      <c r="M4407" s="113" t="n"/>
      <c r="N4407" s="113" t="n"/>
      <c r="O4407" s="113" t="n"/>
      <c r="P4407" s="113" t="n"/>
      <c r="Q4407" s="113" t="n"/>
      <c r="R4407" s="113" t="n"/>
      <c r="S4407" s="113" t="n"/>
      <c r="T4407" s="113" t="n"/>
      <c r="U4407" s="113" t="n"/>
      <c r="V4407" s="113" t="n"/>
      <c r="W4407" s="113" t="n"/>
      <c r="X4407" s="113" t="n"/>
      <c r="Y4407" s="113" t="n"/>
      <c r="Z4407" s="117">
        <f>IF($B4407="",0,IF($S4407="EVET",IF($D4407="GELİR",$O4407,-$O4407),0))</f>
        <v/>
      </c>
      <c r="AA4407" s="117">
        <f>IF($B4407="",0,IF(OR($W4407="EVET",$X4407="EVET",$Y4407="EVET"),0,IF($D4407="GELİR",IF($E4407="SATIŞ İADESİ/İSKONTO",-$O4407,$O4407),-$O4407)))</f>
        <v/>
      </c>
      <c r="AB4407" s="117">
        <f>IF($B4407="","",IF(OR($D4407="",$E4407="",$O4407=""),"EKSİK",IF($O4407&lt;=0,"SIFIR/NEGATİF",IF(COUNTIFS($C$6:$C$5000,$C4407,$O$6:$O$5000,$O4407,$B$6:$B$5000,$B4407)&gt;1,"MÜKERRER","OK"))))</f>
        <v/>
      </c>
    </row>
    <row r="4408" ht="16.5" customHeight="1" s="80">
      <c r="A4408" s="113" t="n"/>
      <c r="B4408" s="113" t="n"/>
      <c r="C4408" s="113" t="n"/>
      <c r="D4408" s="113" t="n"/>
      <c r="E4408" s="113" t="n"/>
      <c r="F4408" s="113" t="n"/>
      <c r="G4408" s="113" t="n"/>
      <c r="H4408" s="113" t="n"/>
      <c r="I4408" s="113" t="n"/>
      <c r="J4408" s="113" t="n"/>
      <c r="K4408" s="113" t="n"/>
      <c r="L4408" s="113" t="n"/>
      <c r="M4408" s="113" t="n"/>
      <c r="N4408" s="113" t="n"/>
      <c r="O4408" s="113" t="n"/>
      <c r="P4408" s="113" t="n"/>
      <c r="Q4408" s="113" t="n"/>
      <c r="R4408" s="113" t="n"/>
      <c r="S4408" s="113" t="n"/>
      <c r="T4408" s="113" t="n"/>
      <c r="U4408" s="113" t="n"/>
      <c r="V4408" s="113" t="n"/>
      <c r="W4408" s="113" t="n"/>
      <c r="X4408" s="113" t="n"/>
      <c r="Y4408" s="113" t="n"/>
      <c r="Z4408" s="117">
        <f>IF($B4408="",0,IF($S4408="EVET",IF($D4408="GELİR",$O4408,-$O4408),0))</f>
        <v/>
      </c>
      <c r="AA4408" s="117">
        <f>IF($B4408="",0,IF(OR($W4408="EVET",$X4408="EVET",$Y4408="EVET"),0,IF($D4408="GELİR",IF($E4408="SATIŞ İADESİ/İSKONTO",-$O4408,$O4408),-$O4408)))</f>
        <v/>
      </c>
      <c r="AB4408" s="117">
        <f>IF($B4408="","",IF(OR($D4408="",$E4408="",$O4408=""),"EKSİK",IF($O4408&lt;=0,"SIFIR/NEGATİF",IF(COUNTIFS($C$6:$C$5000,$C4408,$O$6:$O$5000,$O4408,$B$6:$B$5000,$B4408)&gt;1,"MÜKERRER","OK"))))</f>
        <v/>
      </c>
    </row>
    <row r="4409" ht="16.5" customHeight="1" s="80">
      <c r="A4409" s="113" t="n"/>
      <c r="B4409" s="113" t="n"/>
      <c r="C4409" s="113" t="n"/>
      <c r="D4409" s="113" t="n"/>
      <c r="E4409" s="113" t="n"/>
      <c r="F4409" s="113" t="n"/>
      <c r="G4409" s="113" t="n"/>
      <c r="H4409" s="113" t="n"/>
      <c r="I4409" s="113" t="n"/>
      <c r="J4409" s="113" t="n"/>
      <c r="K4409" s="113" t="n"/>
      <c r="L4409" s="113" t="n"/>
      <c r="M4409" s="113" t="n"/>
      <c r="N4409" s="113" t="n"/>
      <c r="O4409" s="113" t="n"/>
      <c r="P4409" s="113" t="n"/>
      <c r="Q4409" s="113" t="n"/>
      <c r="R4409" s="113" t="n"/>
      <c r="S4409" s="113" t="n"/>
      <c r="T4409" s="113" t="n"/>
      <c r="U4409" s="113" t="n"/>
      <c r="V4409" s="113" t="n"/>
      <c r="W4409" s="113" t="n"/>
      <c r="X4409" s="113" t="n"/>
      <c r="Y4409" s="113" t="n"/>
      <c r="Z4409" s="117">
        <f>IF($B4409="",0,IF($S4409="EVET",IF($D4409="GELİR",$O4409,-$O4409),0))</f>
        <v/>
      </c>
      <c r="AA4409" s="117">
        <f>IF($B4409="",0,IF(OR($W4409="EVET",$X4409="EVET",$Y4409="EVET"),0,IF($D4409="GELİR",IF($E4409="SATIŞ İADESİ/İSKONTO",-$O4409,$O4409),-$O4409)))</f>
        <v/>
      </c>
      <c r="AB4409" s="117">
        <f>IF($B4409="","",IF(OR($D4409="",$E4409="",$O4409=""),"EKSİK",IF($O4409&lt;=0,"SIFIR/NEGATİF",IF(COUNTIFS($C$6:$C$5000,$C4409,$O$6:$O$5000,$O4409,$B$6:$B$5000,$B4409)&gt;1,"MÜKERRER","OK"))))</f>
        <v/>
      </c>
    </row>
    <row r="4410" ht="16.5" customHeight="1" s="80">
      <c r="A4410" s="113" t="n"/>
      <c r="B4410" s="113" t="n"/>
      <c r="C4410" s="113" t="n"/>
      <c r="D4410" s="113" t="n"/>
      <c r="E4410" s="113" t="n"/>
      <c r="F4410" s="113" t="n"/>
      <c r="G4410" s="113" t="n"/>
      <c r="H4410" s="113" t="n"/>
      <c r="I4410" s="113" t="n"/>
      <c r="J4410" s="113" t="n"/>
      <c r="K4410" s="113" t="n"/>
      <c r="L4410" s="113" t="n"/>
      <c r="M4410" s="113" t="n"/>
      <c r="N4410" s="113" t="n"/>
      <c r="O4410" s="113" t="n"/>
      <c r="P4410" s="113" t="n"/>
      <c r="Q4410" s="113" t="n"/>
      <c r="R4410" s="113" t="n"/>
      <c r="S4410" s="113" t="n"/>
      <c r="T4410" s="113" t="n"/>
      <c r="U4410" s="113" t="n"/>
      <c r="V4410" s="113" t="n"/>
      <c r="W4410" s="113" t="n"/>
      <c r="X4410" s="113" t="n"/>
      <c r="Y4410" s="113" t="n"/>
      <c r="Z4410" s="117">
        <f>IF($B4410="",0,IF($S4410="EVET",IF($D4410="GELİR",$O4410,-$O4410),0))</f>
        <v/>
      </c>
      <c r="AA4410" s="117">
        <f>IF($B4410="",0,IF(OR($W4410="EVET",$X4410="EVET",$Y4410="EVET"),0,IF($D4410="GELİR",IF($E4410="SATIŞ İADESİ/İSKONTO",-$O4410,$O4410),-$O4410)))</f>
        <v/>
      </c>
      <c r="AB4410" s="117">
        <f>IF($B4410="","",IF(OR($D4410="",$E4410="",$O4410=""),"EKSİK",IF($O4410&lt;=0,"SIFIR/NEGATİF",IF(COUNTIFS($C$6:$C$5000,$C4410,$O$6:$O$5000,$O4410,$B$6:$B$5000,$B4410)&gt;1,"MÜKERRER","OK"))))</f>
        <v/>
      </c>
    </row>
    <row r="4411" ht="16.5" customHeight="1" s="80">
      <c r="A4411" s="113" t="n"/>
      <c r="B4411" s="113" t="n"/>
      <c r="C4411" s="113" t="n"/>
      <c r="D4411" s="113" t="n"/>
      <c r="E4411" s="113" t="n"/>
      <c r="F4411" s="113" t="n"/>
      <c r="G4411" s="113" t="n"/>
      <c r="H4411" s="113" t="n"/>
      <c r="I4411" s="113" t="n"/>
      <c r="J4411" s="113" t="n"/>
      <c r="K4411" s="113" t="n"/>
      <c r="L4411" s="113" t="n"/>
      <c r="M4411" s="113" t="n"/>
      <c r="N4411" s="113" t="n"/>
      <c r="O4411" s="113" t="n"/>
      <c r="P4411" s="113" t="n"/>
      <c r="Q4411" s="113" t="n"/>
      <c r="R4411" s="113" t="n"/>
      <c r="S4411" s="113" t="n"/>
      <c r="T4411" s="113" t="n"/>
      <c r="U4411" s="113" t="n"/>
      <c r="V4411" s="113" t="n"/>
      <c r="W4411" s="113" t="n"/>
      <c r="X4411" s="113" t="n"/>
      <c r="Y4411" s="113" t="n"/>
      <c r="Z4411" s="117">
        <f>IF($B4411="",0,IF($S4411="EVET",IF($D4411="GELİR",$O4411,-$O4411),0))</f>
        <v/>
      </c>
      <c r="AA4411" s="117">
        <f>IF($B4411="",0,IF(OR($W4411="EVET",$X4411="EVET",$Y4411="EVET"),0,IF($D4411="GELİR",IF($E4411="SATIŞ İADESİ/İSKONTO",-$O4411,$O4411),-$O4411)))</f>
        <v/>
      </c>
      <c r="AB4411" s="117">
        <f>IF($B4411="","",IF(OR($D4411="",$E4411="",$O4411=""),"EKSİK",IF($O4411&lt;=0,"SIFIR/NEGATİF",IF(COUNTIFS($C$6:$C$5000,$C4411,$O$6:$O$5000,$O4411,$B$6:$B$5000,$B4411)&gt;1,"MÜKERRER","OK"))))</f>
        <v/>
      </c>
    </row>
    <row r="4412" ht="16.5" customHeight="1" s="80">
      <c r="A4412" s="113" t="n"/>
      <c r="B4412" s="113" t="n"/>
      <c r="C4412" s="113" t="n"/>
      <c r="D4412" s="113" t="n"/>
      <c r="E4412" s="113" t="n"/>
      <c r="F4412" s="113" t="n"/>
      <c r="G4412" s="113" t="n"/>
      <c r="H4412" s="113" t="n"/>
      <c r="I4412" s="113" t="n"/>
      <c r="J4412" s="113" t="n"/>
      <c r="K4412" s="113" t="n"/>
      <c r="L4412" s="113" t="n"/>
      <c r="M4412" s="113" t="n"/>
      <c r="N4412" s="113" t="n"/>
      <c r="O4412" s="113" t="n"/>
      <c r="P4412" s="113" t="n"/>
      <c r="Q4412" s="113" t="n"/>
      <c r="R4412" s="113" t="n"/>
      <c r="S4412" s="113" t="n"/>
      <c r="T4412" s="113" t="n"/>
      <c r="U4412" s="113" t="n"/>
      <c r="V4412" s="113" t="n"/>
      <c r="W4412" s="113" t="n"/>
      <c r="X4412" s="113" t="n"/>
      <c r="Y4412" s="113" t="n"/>
      <c r="Z4412" s="117">
        <f>IF($B4412="",0,IF($S4412="EVET",IF($D4412="GELİR",$O4412,-$O4412),0))</f>
        <v/>
      </c>
      <c r="AA4412" s="117">
        <f>IF($B4412="",0,IF(OR($W4412="EVET",$X4412="EVET",$Y4412="EVET"),0,IF($D4412="GELİR",IF($E4412="SATIŞ İADESİ/İSKONTO",-$O4412,$O4412),-$O4412)))</f>
        <v/>
      </c>
      <c r="AB4412" s="117">
        <f>IF($B4412="","",IF(OR($D4412="",$E4412="",$O4412=""),"EKSİK",IF($O4412&lt;=0,"SIFIR/NEGATİF",IF(COUNTIFS($C$6:$C$5000,$C4412,$O$6:$O$5000,$O4412,$B$6:$B$5000,$B4412)&gt;1,"MÜKERRER","OK"))))</f>
        <v/>
      </c>
    </row>
    <row r="4413" ht="16.5" customHeight="1" s="80">
      <c r="A4413" s="113" t="n"/>
      <c r="B4413" s="113" t="n"/>
      <c r="C4413" s="113" t="n"/>
      <c r="D4413" s="113" t="n"/>
      <c r="E4413" s="113" t="n"/>
      <c r="F4413" s="113" t="n"/>
      <c r="G4413" s="113" t="n"/>
      <c r="H4413" s="113" t="n"/>
      <c r="I4413" s="113" t="n"/>
      <c r="J4413" s="113" t="n"/>
      <c r="K4413" s="113" t="n"/>
      <c r="L4413" s="113" t="n"/>
      <c r="M4413" s="113" t="n"/>
      <c r="N4413" s="113" t="n"/>
      <c r="O4413" s="113" t="n"/>
      <c r="P4413" s="113" t="n"/>
      <c r="Q4413" s="113" t="n"/>
      <c r="R4413" s="113" t="n"/>
      <c r="S4413" s="113" t="n"/>
      <c r="T4413" s="113" t="n"/>
      <c r="U4413" s="113" t="n"/>
      <c r="V4413" s="113" t="n"/>
      <c r="W4413" s="113" t="n"/>
      <c r="X4413" s="113" t="n"/>
      <c r="Y4413" s="113" t="n"/>
      <c r="Z4413" s="117">
        <f>IF($B4413="",0,IF($S4413="EVET",IF($D4413="GELİR",$O4413,-$O4413),0))</f>
        <v/>
      </c>
      <c r="AA4413" s="117">
        <f>IF($B4413="",0,IF(OR($W4413="EVET",$X4413="EVET",$Y4413="EVET"),0,IF($D4413="GELİR",IF($E4413="SATIŞ İADESİ/İSKONTO",-$O4413,$O4413),-$O4413)))</f>
        <v/>
      </c>
      <c r="AB4413" s="117">
        <f>IF($B4413="","",IF(OR($D4413="",$E4413="",$O4413=""),"EKSİK",IF($O4413&lt;=0,"SIFIR/NEGATİF",IF(COUNTIFS($C$6:$C$5000,$C4413,$O$6:$O$5000,$O4413,$B$6:$B$5000,$B4413)&gt;1,"MÜKERRER","OK"))))</f>
        <v/>
      </c>
    </row>
    <row r="4414" ht="16.5" customHeight="1" s="80">
      <c r="A4414" s="113" t="n"/>
      <c r="B4414" s="113" t="n"/>
      <c r="C4414" s="113" t="n"/>
      <c r="D4414" s="113" t="n"/>
      <c r="E4414" s="113" t="n"/>
      <c r="F4414" s="113" t="n"/>
      <c r="G4414" s="113" t="n"/>
      <c r="H4414" s="113" t="n"/>
      <c r="I4414" s="113" t="n"/>
      <c r="J4414" s="113" t="n"/>
      <c r="K4414" s="113" t="n"/>
      <c r="L4414" s="113" t="n"/>
      <c r="M4414" s="113" t="n"/>
      <c r="N4414" s="113" t="n"/>
      <c r="O4414" s="113" t="n"/>
      <c r="P4414" s="113" t="n"/>
      <c r="Q4414" s="113" t="n"/>
      <c r="R4414" s="113" t="n"/>
      <c r="S4414" s="113" t="n"/>
      <c r="T4414" s="113" t="n"/>
      <c r="U4414" s="113" t="n"/>
      <c r="V4414" s="113" t="n"/>
      <c r="W4414" s="113" t="n"/>
      <c r="X4414" s="113" t="n"/>
      <c r="Y4414" s="113" t="n"/>
      <c r="Z4414" s="117">
        <f>IF($B4414="",0,IF($S4414="EVET",IF($D4414="GELİR",$O4414,-$O4414),0))</f>
        <v/>
      </c>
      <c r="AA4414" s="117">
        <f>IF($B4414="",0,IF(OR($W4414="EVET",$X4414="EVET",$Y4414="EVET"),0,IF($D4414="GELİR",IF($E4414="SATIŞ İADESİ/İSKONTO",-$O4414,$O4414),-$O4414)))</f>
        <v/>
      </c>
      <c r="AB4414" s="117">
        <f>IF($B4414="","",IF(OR($D4414="",$E4414="",$O4414=""),"EKSİK",IF($O4414&lt;=0,"SIFIR/NEGATİF",IF(COUNTIFS($C$6:$C$5000,$C4414,$O$6:$O$5000,$O4414,$B$6:$B$5000,$B4414)&gt;1,"MÜKERRER","OK"))))</f>
        <v/>
      </c>
    </row>
    <row r="4415" ht="16.5" customHeight="1" s="80">
      <c r="A4415" s="113" t="n"/>
      <c r="B4415" s="113" t="n"/>
      <c r="C4415" s="113" t="n"/>
      <c r="D4415" s="113" t="n"/>
      <c r="E4415" s="113" t="n"/>
      <c r="F4415" s="113" t="n"/>
      <c r="G4415" s="113" t="n"/>
      <c r="H4415" s="113" t="n"/>
      <c r="I4415" s="113" t="n"/>
      <c r="J4415" s="113" t="n"/>
      <c r="K4415" s="113" t="n"/>
      <c r="L4415" s="113" t="n"/>
      <c r="M4415" s="113" t="n"/>
      <c r="N4415" s="113" t="n"/>
      <c r="O4415" s="113" t="n"/>
      <c r="P4415" s="113" t="n"/>
      <c r="Q4415" s="113" t="n"/>
      <c r="R4415" s="113" t="n"/>
      <c r="S4415" s="113" t="n"/>
      <c r="T4415" s="113" t="n"/>
      <c r="U4415" s="113" t="n"/>
      <c r="V4415" s="113" t="n"/>
      <c r="W4415" s="113" t="n"/>
      <c r="X4415" s="113" t="n"/>
      <c r="Y4415" s="113" t="n"/>
      <c r="Z4415" s="117">
        <f>IF($B4415="",0,IF($S4415="EVET",IF($D4415="GELİR",$O4415,-$O4415),0))</f>
        <v/>
      </c>
      <c r="AA4415" s="117">
        <f>IF($B4415="",0,IF(OR($W4415="EVET",$X4415="EVET",$Y4415="EVET"),0,IF($D4415="GELİR",IF($E4415="SATIŞ İADESİ/İSKONTO",-$O4415,$O4415),-$O4415)))</f>
        <v/>
      </c>
      <c r="AB4415" s="117">
        <f>IF($B4415="","",IF(OR($D4415="",$E4415="",$O4415=""),"EKSİK",IF($O4415&lt;=0,"SIFIR/NEGATİF",IF(COUNTIFS($C$6:$C$5000,$C4415,$O$6:$O$5000,$O4415,$B$6:$B$5000,$B4415)&gt;1,"MÜKERRER","OK"))))</f>
        <v/>
      </c>
    </row>
    <row r="4416" ht="16.5" customHeight="1" s="80">
      <c r="A4416" s="113" t="n"/>
      <c r="B4416" s="113" t="n"/>
      <c r="C4416" s="113" t="n"/>
      <c r="D4416" s="113" t="n"/>
      <c r="E4416" s="113" t="n"/>
      <c r="F4416" s="113" t="n"/>
      <c r="G4416" s="113" t="n"/>
      <c r="H4416" s="113" t="n"/>
      <c r="I4416" s="113" t="n"/>
      <c r="J4416" s="113" t="n"/>
      <c r="K4416" s="113" t="n"/>
      <c r="L4416" s="113" t="n"/>
      <c r="M4416" s="113" t="n"/>
      <c r="N4416" s="113" t="n"/>
      <c r="O4416" s="113" t="n"/>
      <c r="P4416" s="113" t="n"/>
      <c r="Q4416" s="113" t="n"/>
      <c r="R4416" s="113" t="n"/>
      <c r="S4416" s="113" t="n"/>
      <c r="T4416" s="113" t="n"/>
      <c r="U4416" s="113" t="n"/>
      <c r="V4416" s="113" t="n"/>
      <c r="W4416" s="113" t="n"/>
      <c r="X4416" s="113" t="n"/>
      <c r="Y4416" s="113" t="n"/>
      <c r="Z4416" s="117">
        <f>IF($B4416="",0,IF($S4416="EVET",IF($D4416="GELİR",$O4416,-$O4416),0))</f>
        <v/>
      </c>
      <c r="AA4416" s="117">
        <f>IF($B4416="",0,IF(OR($W4416="EVET",$X4416="EVET",$Y4416="EVET"),0,IF($D4416="GELİR",IF($E4416="SATIŞ İADESİ/İSKONTO",-$O4416,$O4416),-$O4416)))</f>
        <v/>
      </c>
      <c r="AB4416" s="117">
        <f>IF($B4416="","",IF(OR($D4416="",$E4416="",$O4416=""),"EKSİK",IF($O4416&lt;=0,"SIFIR/NEGATİF",IF(COUNTIFS($C$6:$C$5000,$C4416,$O$6:$O$5000,$O4416,$B$6:$B$5000,$B4416)&gt;1,"MÜKERRER","OK"))))</f>
        <v/>
      </c>
    </row>
    <row r="4417" ht="16.5" customHeight="1" s="80">
      <c r="A4417" s="113" t="n"/>
      <c r="B4417" s="113" t="n"/>
      <c r="C4417" s="113" t="n"/>
      <c r="D4417" s="113" t="n"/>
      <c r="E4417" s="113" t="n"/>
      <c r="F4417" s="113" t="n"/>
      <c r="G4417" s="113" t="n"/>
      <c r="H4417" s="113" t="n"/>
      <c r="I4417" s="113" t="n"/>
      <c r="J4417" s="113" t="n"/>
      <c r="K4417" s="113" t="n"/>
      <c r="L4417" s="113" t="n"/>
      <c r="M4417" s="113" t="n"/>
      <c r="N4417" s="113" t="n"/>
      <c r="O4417" s="113" t="n"/>
      <c r="P4417" s="113" t="n"/>
      <c r="Q4417" s="113" t="n"/>
      <c r="R4417" s="113" t="n"/>
      <c r="S4417" s="113" t="n"/>
      <c r="T4417" s="113" t="n"/>
      <c r="U4417" s="113" t="n"/>
      <c r="V4417" s="113" t="n"/>
      <c r="W4417" s="113" t="n"/>
      <c r="X4417" s="113" t="n"/>
      <c r="Y4417" s="113" t="n"/>
      <c r="Z4417" s="117">
        <f>IF($B4417="",0,IF($S4417="EVET",IF($D4417="GELİR",$O4417,-$O4417),0))</f>
        <v/>
      </c>
      <c r="AA4417" s="117">
        <f>IF($B4417="",0,IF(OR($W4417="EVET",$X4417="EVET",$Y4417="EVET"),0,IF($D4417="GELİR",IF($E4417="SATIŞ İADESİ/İSKONTO",-$O4417,$O4417),-$O4417)))</f>
        <v/>
      </c>
      <c r="AB4417" s="117">
        <f>IF($B4417="","",IF(OR($D4417="",$E4417="",$O4417=""),"EKSİK",IF($O4417&lt;=0,"SIFIR/NEGATİF",IF(COUNTIFS($C$6:$C$5000,$C4417,$O$6:$O$5000,$O4417,$B$6:$B$5000,$B4417)&gt;1,"MÜKERRER","OK"))))</f>
        <v/>
      </c>
    </row>
    <row r="4418" ht="16.5" customHeight="1" s="80">
      <c r="A4418" s="113" t="n"/>
      <c r="B4418" s="113" t="n"/>
      <c r="C4418" s="113" t="n"/>
      <c r="D4418" s="113" t="n"/>
      <c r="E4418" s="113" t="n"/>
      <c r="F4418" s="113" t="n"/>
      <c r="G4418" s="113" t="n"/>
      <c r="H4418" s="113" t="n"/>
      <c r="I4418" s="113" t="n"/>
      <c r="J4418" s="113" t="n"/>
      <c r="K4418" s="113" t="n"/>
      <c r="L4418" s="113" t="n"/>
      <c r="M4418" s="113" t="n"/>
      <c r="N4418" s="113" t="n"/>
      <c r="O4418" s="113" t="n"/>
      <c r="P4418" s="113" t="n"/>
      <c r="Q4418" s="113" t="n"/>
      <c r="R4418" s="113" t="n"/>
      <c r="S4418" s="113" t="n"/>
      <c r="T4418" s="113" t="n"/>
      <c r="U4418" s="113" t="n"/>
      <c r="V4418" s="113" t="n"/>
      <c r="W4418" s="113" t="n"/>
      <c r="X4418" s="113" t="n"/>
      <c r="Y4418" s="113" t="n"/>
      <c r="Z4418" s="117">
        <f>IF($B4418="",0,IF($S4418="EVET",IF($D4418="GELİR",$O4418,-$O4418),0))</f>
        <v/>
      </c>
      <c r="AA4418" s="117">
        <f>IF($B4418="",0,IF(OR($W4418="EVET",$X4418="EVET",$Y4418="EVET"),0,IF($D4418="GELİR",IF($E4418="SATIŞ İADESİ/İSKONTO",-$O4418,$O4418),-$O4418)))</f>
        <v/>
      </c>
      <c r="AB4418" s="117">
        <f>IF($B4418="","",IF(OR($D4418="",$E4418="",$O4418=""),"EKSİK",IF($O4418&lt;=0,"SIFIR/NEGATİF",IF(COUNTIFS($C$6:$C$5000,$C4418,$O$6:$O$5000,$O4418,$B$6:$B$5000,$B4418)&gt;1,"MÜKERRER","OK"))))</f>
        <v/>
      </c>
    </row>
    <row r="4419" ht="16.5" customHeight="1" s="80">
      <c r="A4419" s="113" t="n"/>
      <c r="B4419" s="113" t="n"/>
      <c r="C4419" s="113" t="n"/>
      <c r="D4419" s="113" t="n"/>
      <c r="E4419" s="113" t="n"/>
      <c r="F4419" s="113" t="n"/>
      <c r="G4419" s="113" t="n"/>
      <c r="H4419" s="113" t="n"/>
      <c r="I4419" s="113" t="n"/>
      <c r="J4419" s="113" t="n"/>
      <c r="K4419" s="113" t="n"/>
      <c r="L4419" s="113" t="n"/>
      <c r="M4419" s="113" t="n"/>
      <c r="N4419" s="113" t="n"/>
      <c r="O4419" s="113" t="n"/>
      <c r="P4419" s="113" t="n"/>
      <c r="Q4419" s="113" t="n"/>
      <c r="R4419" s="113" t="n"/>
      <c r="S4419" s="113" t="n"/>
      <c r="T4419" s="113" t="n"/>
      <c r="U4419" s="113" t="n"/>
      <c r="V4419" s="113" t="n"/>
      <c r="W4419" s="113" t="n"/>
      <c r="X4419" s="113" t="n"/>
      <c r="Y4419" s="113" t="n"/>
      <c r="Z4419" s="117">
        <f>IF($B4419="",0,IF($S4419="EVET",IF($D4419="GELİR",$O4419,-$O4419),0))</f>
        <v/>
      </c>
      <c r="AA4419" s="117">
        <f>IF($B4419="",0,IF(OR($W4419="EVET",$X4419="EVET",$Y4419="EVET"),0,IF($D4419="GELİR",IF($E4419="SATIŞ İADESİ/İSKONTO",-$O4419,$O4419),-$O4419)))</f>
        <v/>
      </c>
      <c r="AB4419" s="117">
        <f>IF($B4419="","",IF(OR($D4419="",$E4419="",$O4419=""),"EKSİK",IF($O4419&lt;=0,"SIFIR/NEGATİF",IF(COUNTIFS($C$6:$C$5000,$C4419,$O$6:$O$5000,$O4419,$B$6:$B$5000,$B4419)&gt;1,"MÜKERRER","OK"))))</f>
        <v/>
      </c>
    </row>
    <row r="4420" ht="16.5" customHeight="1" s="80">
      <c r="A4420" s="113" t="n"/>
      <c r="B4420" s="113" t="n"/>
      <c r="C4420" s="113" t="n"/>
      <c r="D4420" s="113" t="n"/>
      <c r="E4420" s="113" t="n"/>
      <c r="F4420" s="113" t="n"/>
      <c r="G4420" s="113" t="n"/>
      <c r="H4420" s="113" t="n"/>
      <c r="I4420" s="113" t="n"/>
      <c r="J4420" s="113" t="n"/>
      <c r="K4420" s="113" t="n"/>
      <c r="L4420" s="113" t="n"/>
      <c r="M4420" s="113" t="n"/>
      <c r="N4420" s="113" t="n"/>
      <c r="O4420" s="113" t="n"/>
      <c r="P4420" s="113" t="n"/>
      <c r="Q4420" s="113" t="n"/>
      <c r="R4420" s="113" t="n"/>
      <c r="S4420" s="113" t="n"/>
      <c r="T4420" s="113" t="n"/>
      <c r="U4420" s="113" t="n"/>
      <c r="V4420" s="113" t="n"/>
      <c r="W4420" s="113" t="n"/>
      <c r="X4420" s="113" t="n"/>
      <c r="Y4420" s="113" t="n"/>
      <c r="Z4420" s="117">
        <f>IF($B4420="",0,IF($S4420="EVET",IF($D4420="GELİR",$O4420,-$O4420),0))</f>
        <v/>
      </c>
      <c r="AA4420" s="117">
        <f>IF($B4420="",0,IF(OR($W4420="EVET",$X4420="EVET",$Y4420="EVET"),0,IF($D4420="GELİR",IF($E4420="SATIŞ İADESİ/İSKONTO",-$O4420,$O4420),-$O4420)))</f>
        <v/>
      </c>
      <c r="AB4420" s="117">
        <f>IF($B4420="","",IF(OR($D4420="",$E4420="",$O4420=""),"EKSİK",IF($O4420&lt;=0,"SIFIR/NEGATİF",IF(COUNTIFS($C$6:$C$5000,$C4420,$O$6:$O$5000,$O4420,$B$6:$B$5000,$B4420)&gt;1,"MÜKERRER","OK"))))</f>
        <v/>
      </c>
    </row>
    <row r="4421" ht="16.5" customHeight="1" s="80">
      <c r="A4421" s="113" t="n"/>
      <c r="B4421" s="113" t="n"/>
      <c r="C4421" s="113" t="n"/>
      <c r="D4421" s="113" t="n"/>
      <c r="E4421" s="113" t="n"/>
      <c r="F4421" s="113" t="n"/>
      <c r="G4421" s="113" t="n"/>
      <c r="H4421" s="113" t="n"/>
      <c r="I4421" s="113" t="n"/>
      <c r="J4421" s="113" t="n"/>
      <c r="K4421" s="113" t="n"/>
      <c r="L4421" s="113" t="n"/>
      <c r="M4421" s="113" t="n"/>
      <c r="N4421" s="113" t="n"/>
      <c r="O4421" s="113" t="n"/>
      <c r="P4421" s="113" t="n"/>
      <c r="Q4421" s="113" t="n"/>
      <c r="R4421" s="113" t="n"/>
      <c r="S4421" s="113" t="n"/>
      <c r="T4421" s="113" t="n"/>
      <c r="U4421" s="113" t="n"/>
      <c r="V4421" s="113" t="n"/>
      <c r="W4421" s="113" t="n"/>
      <c r="X4421" s="113" t="n"/>
      <c r="Y4421" s="113" t="n"/>
      <c r="Z4421" s="117">
        <f>IF($B4421="",0,IF($S4421="EVET",IF($D4421="GELİR",$O4421,-$O4421),0))</f>
        <v/>
      </c>
      <c r="AA4421" s="117">
        <f>IF($B4421="",0,IF(OR($W4421="EVET",$X4421="EVET",$Y4421="EVET"),0,IF($D4421="GELİR",IF($E4421="SATIŞ İADESİ/İSKONTO",-$O4421,$O4421),-$O4421)))</f>
        <v/>
      </c>
      <c r="AB4421" s="117">
        <f>IF($B4421="","",IF(OR($D4421="",$E4421="",$O4421=""),"EKSİK",IF($O4421&lt;=0,"SIFIR/NEGATİF",IF(COUNTIFS($C$6:$C$5000,$C4421,$O$6:$O$5000,$O4421,$B$6:$B$5000,$B4421)&gt;1,"MÜKERRER","OK"))))</f>
        <v/>
      </c>
    </row>
    <row r="4422" ht="16.5" customHeight="1" s="80">
      <c r="A4422" s="113" t="n"/>
      <c r="B4422" s="113" t="n"/>
      <c r="C4422" s="113" t="n"/>
      <c r="D4422" s="113" t="n"/>
      <c r="E4422" s="113" t="n"/>
      <c r="F4422" s="113" t="n"/>
      <c r="G4422" s="113" t="n"/>
      <c r="H4422" s="113" t="n"/>
      <c r="I4422" s="113" t="n"/>
      <c r="J4422" s="113" t="n"/>
      <c r="K4422" s="113" t="n"/>
      <c r="L4422" s="113" t="n"/>
      <c r="M4422" s="113" t="n"/>
      <c r="N4422" s="113" t="n"/>
      <c r="O4422" s="113" t="n"/>
      <c r="P4422" s="113" t="n"/>
      <c r="Q4422" s="113" t="n"/>
      <c r="R4422" s="113" t="n"/>
      <c r="S4422" s="113" t="n"/>
      <c r="T4422" s="113" t="n"/>
      <c r="U4422" s="113" t="n"/>
      <c r="V4422" s="113" t="n"/>
      <c r="W4422" s="113" t="n"/>
      <c r="X4422" s="113" t="n"/>
      <c r="Y4422" s="113" t="n"/>
      <c r="Z4422" s="117">
        <f>IF($B4422="",0,IF($S4422="EVET",IF($D4422="GELİR",$O4422,-$O4422),0))</f>
        <v/>
      </c>
      <c r="AA4422" s="117">
        <f>IF($B4422="",0,IF(OR($W4422="EVET",$X4422="EVET",$Y4422="EVET"),0,IF($D4422="GELİR",IF($E4422="SATIŞ İADESİ/İSKONTO",-$O4422,$O4422),-$O4422)))</f>
        <v/>
      </c>
      <c r="AB4422" s="117">
        <f>IF($B4422="","",IF(OR($D4422="",$E4422="",$O4422=""),"EKSİK",IF($O4422&lt;=0,"SIFIR/NEGATİF",IF(COUNTIFS($C$6:$C$5000,$C4422,$O$6:$O$5000,$O4422,$B$6:$B$5000,$B4422)&gt;1,"MÜKERRER","OK"))))</f>
        <v/>
      </c>
    </row>
    <row r="4423" ht="16.5" customHeight="1" s="80">
      <c r="A4423" s="113" t="n"/>
      <c r="B4423" s="113" t="n"/>
      <c r="C4423" s="113" t="n"/>
      <c r="D4423" s="113" t="n"/>
      <c r="E4423" s="113" t="n"/>
      <c r="F4423" s="113" t="n"/>
      <c r="G4423" s="113" t="n"/>
      <c r="H4423" s="113" t="n"/>
      <c r="I4423" s="113" t="n"/>
      <c r="J4423" s="113" t="n"/>
      <c r="K4423" s="113" t="n"/>
      <c r="L4423" s="113" t="n"/>
      <c r="M4423" s="113" t="n"/>
      <c r="N4423" s="113" t="n"/>
      <c r="O4423" s="113" t="n"/>
      <c r="P4423" s="113" t="n"/>
      <c r="Q4423" s="113" t="n"/>
      <c r="R4423" s="113" t="n"/>
      <c r="S4423" s="113" t="n"/>
      <c r="T4423" s="113" t="n"/>
      <c r="U4423" s="113" t="n"/>
      <c r="V4423" s="113" t="n"/>
      <c r="W4423" s="113" t="n"/>
      <c r="X4423" s="113" t="n"/>
      <c r="Y4423" s="113" t="n"/>
      <c r="Z4423" s="117">
        <f>IF($B4423="",0,IF($S4423="EVET",IF($D4423="GELİR",$O4423,-$O4423),0))</f>
        <v/>
      </c>
      <c r="AA4423" s="117">
        <f>IF($B4423="",0,IF(OR($W4423="EVET",$X4423="EVET",$Y4423="EVET"),0,IF($D4423="GELİR",IF($E4423="SATIŞ İADESİ/İSKONTO",-$O4423,$O4423),-$O4423)))</f>
        <v/>
      </c>
      <c r="AB4423" s="117">
        <f>IF($B4423="","",IF(OR($D4423="",$E4423="",$O4423=""),"EKSİK",IF($O4423&lt;=0,"SIFIR/NEGATİF",IF(COUNTIFS($C$6:$C$5000,$C4423,$O$6:$O$5000,$O4423,$B$6:$B$5000,$B4423)&gt;1,"MÜKERRER","OK"))))</f>
        <v/>
      </c>
    </row>
    <row r="4424" ht="16.5" customHeight="1" s="80">
      <c r="A4424" s="113" t="n"/>
      <c r="B4424" s="113" t="n"/>
      <c r="C4424" s="113" t="n"/>
      <c r="D4424" s="113" t="n"/>
      <c r="E4424" s="113" t="n"/>
      <c r="F4424" s="113" t="n"/>
      <c r="G4424" s="113" t="n"/>
      <c r="H4424" s="113" t="n"/>
      <c r="I4424" s="113" t="n"/>
      <c r="J4424" s="113" t="n"/>
      <c r="K4424" s="113" t="n"/>
      <c r="L4424" s="113" t="n"/>
      <c r="M4424" s="113" t="n"/>
      <c r="N4424" s="113" t="n"/>
      <c r="O4424" s="113" t="n"/>
      <c r="P4424" s="113" t="n"/>
      <c r="Q4424" s="113" t="n"/>
      <c r="R4424" s="113" t="n"/>
      <c r="S4424" s="113" t="n"/>
      <c r="T4424" s="113" t="n"/>
      <c r="U4424" s="113" t="n"/>
      <c r="V4424" s="113" t="n"/>
      <c r="W4424" s="113" t="n"/>
      <c r="X4424" s="113" t="n"/>
      <c r="Y4424" s="113" t="n"/>
      <c r="Z4424" s="117">
        <f>IF($B4424="",0,IF($S4424="EVET",IF($D4424="GELİR",$O4424,-$O4424),0))</f>
        <v/>
      </c>
      <c r="AA4424" s="117">
        <f>IF($B4424="",0,IF(OR($W4424="EVET",$X4424="EVET",$Y4424="EVET"),0,IF($D4424="GELİR",IF($E4424="SATIŞ İADESİ/İSKONTO",-$O4424,$O4424),-$O4424)))</f>
        <v/>
      </c>
      <c r="AB4424" s="117">
        <f>IF($B4424="","",IF(OR($D4424="",$E4424="",$O4424=""),"EKSİK",IF($O4424&lt;=0,"SIFIR/NEGATİF",IF(COUNTIFS($C$6:$C$5000,$C4424,$O$6:$O$5000,$O4424,$B$6:$B$5000,$B4424)&gt;1,"MÜKERRER","OK"))))</f>
        <v/>
      </c>
    </row>
    <row r="4425" ht="16.5" customHeight="1" s="80">
      <c r="A4425" s="113" t="n"/>
      <c r="B4425" s="113" t="n"/>
      <c r="C4425" s="113" t="n"/>
      <c r="D4425" s="113" t="n"/>
      <c r="E4425" s="113" t="n"/>
      <c r="F4425" s="113" t="n"/>
      <c r="G4425" s="113" t="n"/>
      <c r="H4425" s="113" t="n"/>
      <c r="I4425" s="113" t="n"/>
      <c r="J4425" s="113" t="n"/>
      <c r="K4425" s="113" t="n"/>
      <c r="L4425" s="113" t="n"/>
      <c r="M4425" s="113" t="n"/>
      <c r="N4425" s="113" t="n"/>
      <c r="O4425" s="113" t="n"/>
      <c r="P4425" s="113" t="n"/>
      <c r="Q4425" s="113" t="n"/>
      <c r="R4425" s="113" t="n"/>
      <c r="S4425" s="113" t="n"/>
      <c r="T4425" s="113" t="n"/>
      <c r="U4425" s="113" t="n"/>
      <c r="V4425" s="113" t="n"/>
      <c r="W4425" s="113" t="n"/>
      <c r="X4425" s="113" t="n"/>
      <c r="Y4425" s="113" t="n"/>
      <c r="Z4425" s="117">
        <f>IF($B4425="",0,IF($S4425="EVET",IF($D4425="GELİR",$O4425,-$O4425),0))</f>
        <v/>
      </c>
      <c r="AA4425" s="117">
        <f>IF($B4425="",0,IF(OR($W4425="EVET",$X4425="EVET",$Y4425="EVET"),0,IF($D4425="GELİR",IF($E4425="SATIŞ İADESİ/İSKONTO",-$O4425,$O4425),-$O4425)))</f>
        <v/>
      </c>
      <c r="AB4425" s="117">
        <f>IF($B4425="","",IF(OR($D4425="",$E4425="",$O4425=""),"EKSİK",IF($O4425&lt;=0,"SIFIR/NEGATİF",IF(COUNTIFS($C$6:$C$5000,$C4425,$O$6:$O$5000,$O4425,$B$6:$B$5000,$B4425)&gt;1,"MÜKERRER","OK"))))</f>
        <v/>
      </c>
    </row>
    <row r="4426" ht="16.5" customHeight="1" s="80">
      <c r="A4426" s="113" t="n"/>
      <c r="B4426" s="113" t="n"/>
      <c r="C4426" s="113" t="n"/>
      <c r="D4426" s="113" t="n"/>
      <c r="E4426" s="113" t="n"/>
      <c r="F4426" s="113" t="n"/>
      <c r="G4426" s="113" t="n"/>
      <c r="H4426" s="113" t="n"/>
      <c r="I4426" s="113" t="n"/>
      <c r="J4426" s="113" t="n"/>
      <c r="K4426" s="113" t="n"/>
      <c r="L4426" s="113" t="n"/>
      <c r="M4426" s="113" t="n"/>
      <c r="N4426" s="113" t="n"/>
      <c r="O4426" s="113" t="n"/>
      <c r="P4426" s="113" t="n"/>
      <c r="Q4426" s="113" t="n"/>
      <c r="R4426" s="113" t="n"/>
      <c r="S4426" s="113" t="n"/>
      <c r="T4426" s="113" t="n"/>
      <c r="U4426" s="113" t="n"/>
      <c r="V4426" s="113" t="n"/>
      <c r="W4426" s="113" t="n"/>
      <c r="X4426" s="113" t="n"/>
      <c r="Y4426" s="113" t="n"/>
      <c r="Z4426" s="117">
        <f>IF($B4426="",0,IF($S4426="EVET",IF($D4426="GELİR",$O4426,-$O4426),0))</f>
        <v/>
      </c>
      <c r="AA4426" s="117">
        <f>IF($B4426="",0,IF(OR($W4426="EVET",$X4426="EVET",$Y4426="EVET"),0,IF($D4426="GELİR",IF($E4426="SATIŞ İADESİ/İSKONTO",-$O4426,$O4426),-$O4426)))</f>
        <v/>
      </c>
      <c r="AB4426" s="117">
        <f>IF($B4426="","",IF(OR($D4426="",$E4426="",$O4426=""),"EKSİK",IF($O4426&lt;=0,"SIFIR/NEGATİF",IF(COUNTIFS($C$6:$C$5000,$C4426,$O$6:$O$5000,$O4426,$B$6:$B$5000,$B4426)&gt;1,"MÜKERRER","OK"))))</f>
        <v/>
      </c>
    </row>
    <row r="4427" ht="16.5" customHeight="1" s="80">
      <c r="A4427" s="113" t="n"/>
      <c r="B4427" s="113" t="n"/>
      <c r="C4427" s="113" t="n"/>
      <c r="D4427" s="113" t="n"/>
      <c r="E4427" s="113" t="n"/>
      <c r="F4427" s="113" t="n"/>
      <c r="G4427" s="113" t="n"/>
      <c r="H4427" s="113" t="n"/>
      <c r="I4427" s="113" t="n"/>
      <c r="J4427" s="113" t="n"/>
      <c r="K4427" s="113" t="n"/>
      <c r="L4427" s="113" t="n"/>
      <c r="M4427" s="113" t="n"/>
      <c r="N4427" s="113" t="n"/>
      <c r="O4427" s="113" t="n"/>
      <c r="P4427" s="113" t="n"/>
      <c r="Q4427" s="113" t="n"/>
      <c r="R4427" s="113" t="n"/>
      <c r="S4427" s="113" t="n"/>
      <c r="T4427" s="113" t="n"/>
      <c r="U4427" s="113" t="n"/>
      <c r="V4427" s="113" t="n"/>
      <c r="W4427" s="113" t="n"/>
      <c r="X4427" s="113" t="n"/>
      <c r="Y4427" s="113" t="n"/>
      <c r="Z4427" s="117">
        <f>IF($B4427="",0,IF($S4427="EVET",IF($D4427="GELİR",$O4427,-$O4427),0))</f>
        <v/>
      </c>
      <c r="AA4427" s="117">
        <f>IF($B4427="",0,IF(OR($W4427="EVET",$X4427="EVET",$Y4427="EVET"),0,IF($D4427="GELİR",IF($E4427="SATIŞ İADESİ/İSKONTO",-$O4427,$O4427),-$O4427)))</f>
        <v/>
      </c>
      <c r="AB4427" s="117">
        <f>IF($B4427="","",IF(OR($D4427="",$E4427="",$O4427=""),"EKSİK",IF($O4427&lt;=0,"SIFIR/NEGATİF",IF(COUNTIFS($C$6:$C$5000,$C4427,$O$6:$O$5000,$O4427,$B$6:$B$5000,$B4427)&gt;1,"MÜKERRER","OK"))))</f>
        <v/>
      </c>
    </row>
    <row r="4428" ht="16.5" customHeight="1" s="80">
      <c r="A4428" s="113" t="n"/>
      <c r="B4428" s="113" t="n"/>
      <c r="C4428" s="113" t="n"/>
      <c r="D4428" s="113" t="n"/>
      <c r="E4428" s="113" t="n"/>
      <c r="F4428" s="113" t="n"/>
      <c r="G4428" s="113" t="n"/>
      <c r="H4428" s="113" t="n"/>
      <c r="I4428" s="113" t="n"/>
      <c r="J4428" s="113" t="n"/>
      <c r="K4428" s="113" t="n"/>
      <c r="L4428" s="113" t="n"/>
      <c r="M4428" s="113" t="n"/>
      <c r="N4428" s="113" t="n"/>
      <c r="O4428" s="113" t="n"/>
      <c r="P4428" s="113" t="n"/>
      <c r="Q4428" s="113" t="n"/>
      <c r="R4428" s="113" t="n"/>
      <c r="S4428" s="113" t="n"/>
      <c r="T4428" s="113" t="n"/>
      <c r="U4428" s="113" t="n"/>
      <c r="V4428" s="113" t="n"/>
      <c r="W4428" s="113" t="n"/>
      <c r="X4428" s="113" t="n"/>
      <c r="Y4428" s="113" t="n"/>
      <c r="Z4428" s="117">
        <f>IF($B4428="",0,IF($S4428="EVET",IF($D4428="GELİR",$O4428,-$O4428),0))</f>
        <v/>
      </c>
      <c r="AA4428" s="117">
        <f>IF($B4428="",0,IF(OR($W4428="EVET",$X4428="EVET",$Y4428="EVET"),0,IF($D4428="GELİR",IF($E4428="SATIŞ İADESİ/İSKONTO",-$O4428,$O4428),-$O4428)))</f>
        <v/>
      </c>
      <c r="AB4428" s="117">
        <f>IF($B4428="","",IF(OR($D4428="",$E4428="",$O4428=""),"EKSİK",IF($O4428&lt;=0,"SIFIR/NEGATİF",IF(COUNTIFS($C$6:$C$5000,$C4428,$O$6:$O$5000,$O4428,$B$6:$B$5000,$B4428)&gt;1,"MÜKERRER","OK"))))</f>
        <v/>
      </c>
    </row>
    <row r="4429" ht="16.5" customHeight="1" s="80">
      <c r="A4429" s="113" t="n"/>
      <c r="B4429" s="113" t="n"/>
      <c r="C4429" s="113" t="n"/>
      <c r="D4429" s="113" t="n"/>
      <c r="E4429" s="113" t="n"/>
      <c r="F4429" s="113" t="n"/>
      <c r="G4429" s="113" t="n"/>
      <c r="H4429" s="113" t="n"/>
      <c r="I4429" s="113" t="n"/>
      <c r="J4429" s="113" t="n"/>
      <c r="K4429" s="113" t="n"/>
      <c r="L4429" s="113" t="n"/>
      <c r="M4429" s="113" t="n"/>
      <c r="N4429" s="113" t="n"/>
      <c r="O4429" s="113" t="n"/>
      <c r="P4429" s="113" t="n"/>
      <c r="Q4429" s="113" t="n"/>
      <c r="R4429" s="113" t="n"/>
      <c r="S4429" s="113" t="n"/>
      <c r="T4429" s="113" t="n"/>
      <c r="U4429" s="113" t="n"/>
      <c r="V4429" s="113" t="n"/>
      <c r="W4429" s="113" t="n"/>
      <c r="X4429" s="113" t="n"/>
      <c r="Y4429" s="113" t="n"/>
      <c r="Z4429" s="117">
        <f>IF($B4429="",0,IF($S4429="EVET",IF($D4429="GELİR",$O4429,-$O4429),0))</f>
        <v/>
      </c>
      <c r="AA4429" s="117">
        <f>IF($B4429="",0,IF(OR($W4429="EVET",$X4429="EVET",$Y4429="EVET"),0,IF($D4429="GELİR",IF($E4429="SATIŞ İADESİ/İSKONTO",-$O4429,$O4429),-$O4429)))</f>
        <v/>
      </c>
      <c r="AB4429" s="117">
        <f>IF($B4429="","",IF(OR($D4429="",$E4429="",$O4429=""),"EKSİK",IF($O4429&lt;=0,"SIFIR/NEGATİF",IF(COUNTIFS($C$6:$C$5000,$C4429,$O$6:$O$5000,$O4429,$B$6:$B$5000,$B4429)&gt;1,"MÜKERRER","OK"))))</f>
        <v/>
      </c>
    </row>
    <row r="4430" ht="16.5" customHeight="1" s="80">
      <c r="A4430" s="113" t="n"/>
      <c r="B4430" s="113" t="n"/>
      <c r="C4430" s="113" t="n"/>
      <c r="D4430" s="113" t="n"/>
      <c r="E4430" s="113" t="n"/>
      <c r="F4430" s="113" t="n"/>
      <c r="G4430" s="113" t="n"/>
      <c r="H4430" s="113" t="n"/>
      <c r="I4430" s="113" t="n"/>
      <c r="J4430" s="113" t="n"/>
      <c r="K4430" s="113" t="n"/>
      <c r="L4430" s="113" t="n"/>
      <c r="M4430" s="113" t="n"/>
      <c r="N4430" s="113" t="n"/>
      <c r="O4430" s="113" t="n"/>
      <c r="P4430" s="113" t="n"/>
      <c r="Q4430" s="113" t="n"/>
      <c r="R4430" s="113" t="n"/>
      <c r="S4430" s="113" t="n"/>
      <c r="T4430" s="113" t="n"/>
      <c r="U4430" s="113" t="n"/>
      <c r="V4430" s="113" t="n"/>
      <c r="W4430" s="113" t="n"/>
      <c r="X4430" s="113" t="n"/>
      <c r="Y4430" s="113" t="n"/>
      <c r="Z4430" s="117">
        <f>IF($B4430="",0,IF($S4430="EVET",IF($D4430="GELİR",$O4430,-$O4430),0))</f>
        <v/>
      </c>
      <c r="AA4430" s="117">
        <f>IF($B4430="",0,IF(OR($W4430="EVET",$X4430="EVET",$Y4430="EVET"),0,IF($D4430="GELİR",IF($E4430="SATIŞ İADESİ/İSKONTO",-$O4430,$O4430),-$O4430)))</f>
        <v/>
      </c>
      <c r="AB4430" s="117">
        <f>IF($B4430="","",IF(OR($D4430="",$E4430="",$O4430=""),"EKSİK",IF($O4430&lt;=0,"SIFIR/NEGATİF",IF(COUNTIFS($C$6:$C$5000,$C4430,$O$6:$O$5000,$O4430,$B$6:$B$5000,$B4430)&gt;1,"MÜKERRER","OK"))))</f>
        <v/>
      </c>
    </row>
    <row r="4431" ht="16.5" customHeight="1" s="80">
      <c r="A4431" s="113" t="n"/>
      <c r="B4431" s="113" t="n"/>
      <c r="C4431" s="113" t="n"/>
      <c r="D4431" s="113" t="n"/>
      <c r="E4431" s="113" t="n"/>
      <c r="F4431" s="113" t="n"/>
      <c r="G4431" s="113" t="n"/>
      <c r="H4431" s="113" t="n"/>
      <c r="I4431" s="113" t="n"/>
      <c r="J4431" s="113" t="n"/>
      <c r="K4431" s="113" t="n"/>
      <c r="L4431" s="113" t="n"/>
      <c r="M4431" s="113" t="n"/>
      <c r="N4431" s="113" t="n"/>
      <c r="O4431" s="113" t="n"/>
      <c r="P4431" s="113" t="n"/>
      <c r="Q4431" s="113" t="n"/>
      <c r="R4431" s="113" t="n"/>
      <c r="S4431" s="113" t="n"/>
      <c r="T4431" s="113" t="n"/>
      <c r="U4431" s="113" t="n"/>
      <c r="V4431" s="113" t="n"/>
      <c r="W4431" s="113" t="n"/>
      <c r="X4431" s="113" t="n"/>
      <c r="Y4431" s="113" t="n"/>
      <c r="Z4431" s="117">
        <f>IF($B4431="",0,IF($S4431="EVET",IF($D4431="GELİR",$O4431,-$O4431),0))</f>
        <v/>
      </c>
      <c r="AA4431" s="117">
        <f>IF($B4431="",0,IF(OR($W4431="EVET",$X4431="EVET",$Y4431="EVET"),0,IF($D4431="GELİR",IF($E4431="SATIŞ İADESİ/İSKONTO",-$O4431,$O4431),-$O4431)))</f>
        <v/>
      </c>
      <c r="AB4431" s="117">
        <f>IF($B4431="","",IF(OR($D4431="",$E4431="",$O4431=""),"EKSİK",IF($O4431&lt;=0,"SIFIR/NEGATİF",IF(COUNTIFS($C$6:$C$5000,$C4431,$O$6:$O$5000,$O4431,$B$6:$B$5000,$B4431)&gt;1,"MÜKERRER","OK"))))</f>
        <v/>
      </c>
    </row>
    <row r="4432" ht="16.5" customHeight="1" s="80">
      <c r="A4432" s="113" t="n"/>
      <c r="B4432" s="113" t="n"/>
      <c r="C4432" s="113" t="n"/>
      <c r="D4432" s="113" t="n"/>
      <c r="E4432" s="113" t="n"/>
      <c r="F4432" s="113" t="n"/>
      <c r="G4432" s="113" t="n"/>
      <c r="H4432" s="113" t="n"/>
      <c r="I4432" s="113" t="n"/>
      <c r="J4432" s="113" t="n"/>
      <c r="K4432" s="113" t="n"/>
      <c r="L4432" s="113" t="n"/>
      <c r="M4432" s="113" t="n"/>
      <c r="N4432" s="113" t="n"/>
      <c r="O4432" s="113" t="n"/>
      <c r="P4432" s="113" t="n"/>
      <c r="Q4432" s="113" t="n"/>
      <c r="R4432" s="113" t="n"/>
      <c r="S4432" s="113" t="n"/>
      <c r="T4432" s="113" t="n"/>
      <c r="U4432" s="113" t="n"/>
      <c r="V4432" s="113" t="n"/>
      <c r="W4432" s="113" t="n"/>
      <c r="X4432" s="113" t="n"/>
      <c r="Y4432" s="113" t="n"/>
      <c r="Z4432" s="117">
        <f>IF($B4432="",0,IF($S4432="EVET",IF($D4432="GELİR",$O4432,-$O4432),0))</f>
        <v/>
      </c>
      <c r="AA4432" s="117">
        <f>IF($B4432="",0,IF(OR($W4432="EVET",$X4432="EVET",$Y4432="EVET"),0,IF($D4432="GELİR",IF($E4432="SATIŞ İADESİ/İSKONTO",-$O4432,$O4432),-$O4432)))</f>
        <v/>
      </c>
      <c r="AB4432" s="117">
        <f>IF($B4432="","",IF(OR($D4432="",$E4432="",$O4432=""),"EKSİK",IF($O4432&lt;=0,"SIFIR/NEGATİF",IF(COUNTIFS($C$6:$C$5000,$C4432,$O$6:$O$5000,$O4432,$B$6:$B$5000,$B4432)&gt;1,"MÜKERRER","OK"))))</f>
        <v/>
      </c>
    </row>
    <row r="4433" ht="16.5" customHeight="1" s="80">
      <c r="A4433" s="113" t="n"/>
      <c r="B4433" s="113" t="n"/>
      <c r="C4433" s="113" t="n"/>
      <c r="D4433" s="113" t="n"/>
      <c r="E4433" s="113" t="n"/>
      <c r="F4433" s="113" t="n"/>
      <c r="G4433" s="113" t="n"/>
      <c r="H4433" s="113" t="n"/>
      <c r="I4433" s="113" t="n"/>
      <c r="J4433" s="113" t="n"/>
      <c r="K4433" s="113" t="n"/>
      <c r="L4433" s="113" t="n"/>
      <c r="M4433" s="113" t="n"/>
      <c r="N4433" s="113" t="n"/>
      <c r="O4433" s="113" t="n"/>
      <c r="P4433" s="113" t="n"/>
      <c r="Q4433" s="113" t="n"/>
      <c r="R4433" s="113" t="n"/>
      <c r="S4433" s="113" t="n"/>
      <c r="T4433" s="113" t="n"/>
      <c r="U4433" s="113" t="n"/>
      <c r="V4433" s="113" t="n"/>
      <c r="W4433" s="113" t="n"/>
      <c r="X4433" s="113" t="n"/>
      <c r="Y4433" s="113" t="n"/>
      <c r="Z4433" s="117">
        <f>IF($B4433="",0,IF($S4433="EVET",IF($D4433="GELİR",$O4433,-$O4433),0))</f>
        <v/>
      </c>
      <c r="AA4433" s="117">
        <f>IF($B4433="",0,IF(OR($W4433="EVET",$X4433="EVET",$Y4433="EVET"),0,IF($D4433="GELİR",IF($E4433="SATIŞ İADESİ/İSKONTO",-$O4433,$O4433),-$O4433)))</f>
        <v/>
      </c>
      <c r="AB4433" s="117">
        <f>IF($B4433="","",IF(OR($D4433="",$E4433="",$O4433=""),"EKSİK",IF($O4433&lt;=0,"SIFIR/NEGATİF",IF(COUNTIFS($C$6:$C$5000,$C4433,$O$6:$O$5000,$O4433,$B$6:$B$5000,$B4433)&gt;1,"MÜKERRER","OK"))))</f>
        <v/>
      </c>
    </row>
    <row r="4434" ht="16.5" customHeight="1" s="80">
      <c r="A4434" s="113" t="n"/>
      <c r="B4434" s="113" t="n"/>
      <c r="C4434" s="113" t="n"/>
      <c r="D4434" s="113" t="n"/>
      <c r="E4434" s="113" t="n"/>
      <c r="F4434" s="113" t="n"/>
      <c r="G4434" s="113" t="n"/>
      <c r="H4434" s="113" t="n"/>
      <c r="I4434" s="113" t="n"/>
      <c r="J4434" s="113" t="n"/>
      <c r="K4434" s="113" t="n"/>
      <c r="L4434" s="113" t="n"/>
      <c r="M4434" s="113" t="n"/>
      <c r="N4434" s="113" t="n"/>
      <c r="O4434" s="113" t="n"/>
      <c r="P4434" s="113" t="n"/>
      <c r="Q4434" s="113" t="n"/>
      <c r="R4434" s="113" t="n"/>
      <c r="S4434" s="113" t="n"/>
      <c r="T4434" s="113" t="n"/>
      <c r="U4434" s="113" t="n"/>
      <c r="V4434" s="113" t="n"/>
      <c r="W4434" s="113" t="n"/>
      <c r="X4434" s="113" t="n"/>
      <c r="Y4434" s="113" t="n"/>
      <c r="Z4434" s="117">
        <f>IF($B4434="",0,IF($S4434="EVET",IF($D4434="GELİR",$O4434,-$O4434),0))</f>
        <v/>
      </c>
      <c r="AA4434" s="117">
        <f>IF($B4434="",0,IF(OR($W4434="EVET",$X4434="EVET",$Y4434="EVET"),0,IF($D4434="GELİR",IF($E4434="SATIŞ İADESİ/İSKONTO",-$O4434,$O4434),-$O4434)))</f>
        <v/>
      </c>
      <c r="AB4434" s="117">
        <f>IF($B4434="","",IF(OR($D4434="",$E4434="",$O4434=""),"EKSİK",IF($O4434&lt;=0,"SIFIR/NEGATİF",IF(COUNTIFS($C$6:$C$5000,$C4434,$O$6:$O$5000,$O4434,$B$6:$B$5000,$B4434)&gt;1,"MÜKERRER","OK"))))</f>
        <v/>
      </c>
    </row>
    <row r="4435" ht="16.5" customHeight="1" s="80">
      <c r="A4435" s="113" t="n"/>
      <c r="B4435" s="113" t="n"/>
      <c r="C4435" s="113" t="n"/>
      <c r="D4435" s="113" t="n"/>
      <c r="E4435" s="113" t="n"/>
      <c r="F4435" s="113" t="n"/>
      <c r="G4435" s="113" t="n"/>
      <c r="H4435" s="113" t="n"/>
      <c r="I4435" s="113" t="n"/>
      <c r="J4435" s="113" t="n"/>
      <c r="K4435" s="113" t="n"/>
      <c r="L4435" s="113" t="n"/>
      <c r="M4435" s="113" t="n"/>
      <c r="N4435" s="113" t="n"/>
      <c r="O4435" s="113" t="n"/>
      <c r="P4435" s="113" t="n"/>
      <c r="Q4435" s="113" t="n"/>
      <c r="R4435" s="113" t="n"/>
      <c r="S4435" s="113" t="n"/>
      <c r="T4435" s="113" t="n"/>
      <c r="U4435" s="113" t="n"/>
      <c r="V4435" s="113" t="n"/>
      <c r="W4435" s="113" t="n"/>
      <c r="X4435" s="113" t="n"/>
      <c r="Y4435" s="113" t="n"/>
      <c r="Z4435" s="117">
        <f>IF($B4435="",0,IF($S4435="EVET",IF($D4435="GELİR",$O4435,-$O4435),0))</f>
        <v/>
      </c>
      <c r="AA4435" s="117">
        <f>IF($B4435="",0,IF(OR($W4435="EVET",$X4435="EVET",$Y4435="EVET"),0,IF($D4435="GELİR",IF($E4435="SATIŞ İADESİ/İSKONTO",-$O4435,$O4435),-$O4435)))</f>
        <v/>
      </c>
      <c r="AB4435" s="117">
        <f>IF($B4435="","",IF(OR($D4435="",$E4435="",$O4435=""),"EKSİK",IF($O4435&lt;=0,"SIFIR/NEGATİF",IF(COUNTIFS($C$6:$C$5000,$C4435,$O$6:$O$5000,$O4435,$B$6:$B$5000,$B4435)&gt;1,"MÜKERRER","OK"))))</f>
        <v/>
      </c>
    </row>
    <row r="4436" ht="16.5" customHeight="1" s="80">
      <c r="A4436" s="113" t="n"/>
      <c r="B4436" s="113" t="n"/>
      <c r="C4436" s="113" t="n"/>
      <c r="D4436" s="113" t="n"/>
      <c r="E4436" s="113" t="n"/>
      <c r="F4436" s="113" t="n"/>
      <c r="G4436" s="113" t="n"/>
      <c r="H4436" s="113" t="n"/>
      <c r="I4436" s="113" t="n"/>
      <c r="J4436" s="113" t="n"/>
      <c r="K4436" s="113" t="n"/>
      <c r="L4436" s="113" t="n"/>
      <c r="M4436" s="113" t="n"/>
      <c r="N4436" s="113" t="n"/>
      <c r="O4436" s="113" t="n"/>
      <c r="P4436" s="113" t="n"/>
      <c r="Q4436" s="113" t="n"/>
      <c r="R4436" s="113" t="n"/>
      <c r="S4436" s="113" t="n"/>
      <c r="T4436" s="113" t="n"/>
      <c r="U4436" s="113" t="n"/>
      <c r="V4436" s="113" t="n"/>
      <c r="W4436" s="113" t="n"/>
      <c r="X4436" s="113" t="n"/>
      <c r="Y4436" s="113" t="n"/>
      <c r="Z4436" s="117">
        <f>IF($B4436="",0,IF($S4436="EVET",IF($D4436="GELİR",$O4436,-$O4436),0))</f>
        <v/>
      </c>
      <c r="AA4436" s="117">
        <f>IF($B4436="",0,IF(OR($W4436="EVET",$X4436="EVET",$Y4436="EVET"),0,IF($D4436="GELİR",IF($E4436="SATIŞ İADESİ/İSKONTO",-$O4436,$O4436),-$O4436)))</f>
        <v/>
      </c>
      <c r="AB4436" s="117">
        <f>IF($B4436="","",IF(OR($D4436="",$E4436="",$O4436=""),"EKSİK",IF($O4436&lt;=0,"SIFIR/NEGATİF",IF(COUNTIFS($C$6:$C$5000,$C4436,$O$6:$O$5000,$O4436,$B$6:$B$5000,$B4436)&gt;1,"MÜKERRER","OK"))))</f>
        <v/>
      </c>
    </row>
    <row r="4437" ht="16.5" customHeight="1" s="80">
      <c r="A4437" s="113" t="n"/>
      <c r="B4437" s="113" t="n"/>
      <c r="C4437" s="113" t="n"/>
      <c r="D4437" s="113" t="n"/>
      <c r="E4437" s="113" t="n"/>
      <c r="F4437" s="113" t="n"/>
      <c r="G4437" s="113" t="n"/>
      <c r="H4437" s="113" t="n"/>
      <c r="I4437" s="113" t="n"/>
      <c r="J4437" s="113" t="n"/>
      <c r="K4437" s="113" t="n"/>
      <c r="L4437" s="113" t="n"/>
      <c r="M4437" s="113" t="n"/>
      <c r="N4437" s="113" t="n"/>
      <c r="O4437" s="113" t="n"/>
      <c r="P4437" s="113" t="n"/>
      <c r="Q4437" s="113" t="n"/>
      <c r="R4437" s="113" t="n"/>
      <c r="S4437" s="113" t="n"/>
      <c r="T4437" s="113" t="n"/>
      <c r="U4437" s="113" t="n"/>
      <c r="V4437" s="113" t="n"/>
      <c r="W4437" s="113" t="n"/>
      <c r="X4437" s="113" t="n"/>
      <c r="Y4437" s="113" t="n"/>
      <c r="Z4437" s="117">
        <f>IF($B4437="",0,IF($S4437="EVET",IF($D4437="GELİR",$O4437,-$O4437),0))</f>
        <v/>
      </c>
      <c r="AA4437" s="117">
        <f>IF($B4437="",0,IF(OR($W4437="EVET",$X4437="EVET",$Y4437="EVET"),0,IF($D4437="GELİR",IF($E4437="SATIŞ İADESİ/İSKONTO",-$O4437,$O4437),-$O4437)))</f>
        <v/>
      </c>
      <c r="AB4437" s="117">
        <f>IF($B4437="","",IF(OR($D4437="",$E4437="",$O4437=""),"EKSİK",IF($O4437&lt;=0,"SIFIR/NEGATİF",IF(COUNTIFS($C$6:$C$5000,$C4437,$O$6:$O$5000,$O4437,$B$6:$B$5000,$B4437)&gt;1,"MÜKERRER","OK"))))</f>
        <v/>
      </c>
    </row>
    <row r="4438" ht="16.5" customHeight="1" s="80">
      <c r="A4438" s="113" t="n"/>
      <c r="B4438" s="113" t="n"/>
      <c r="C4438" s="113" t="n"/>
      <c r="D4438" s="113" t="n"/>
      <c r="E4438" s="113" t="n"/>
      <c r="F4438" s="113" t="n"/>
      <c r="G4438" s="113" t="n"/>
      <c r="H4438" s="113" t="n"/>
      <c r="I4438" s="113" t="n"/>
      <c r="J4438" s="113" t="n"/>
      <c r="K4438" s="113" t="n"/>
      <c r="L4438" s="113" t="n"/>
      <c r="M4438" s="113" t="n"/>
      <c r="N4438" s="113" t="n"/>
      <c r="O4438" s="113" t="n"/>
      <c r="P4438" s="113" t="n"/>
      <c r="Q4438" s="113" t="n"/>
      <c r="R4438" s="113" t="n"/>
      <c r="S4438" s="113" t="n"/>
      <c r="T4438" s="113" t="n"/>
      <c r="U4438" s="113" t="n"/>
      <c r="V4438" s="113" t="n"/>
      <c r="W4438" s="113" t="n"/>
      <c r="X4438" s="113" t="n"/>
      <c r="Y4438" s="113" t="n"/>
      <c r="Z4438" s="117">
        <f>IF($B4438="",0,IF($S4438="EVET",IF($D4438="GELİR",$O4438,-$O4438),0))</f>
        <v/>
      </c>
      <c r="AA4438" s="117">
        <f>IF($B4438="",0,IF(OR($W4438="EVET",$X4438="EVET",$Y4438="EVET"),0,IF($D4438="GELİR",IF($E4438="SATIŞ İADESİ/İSKONTO",-$O4438,$O4438),-$O4438)))</f>
        <v/>
      </c>
      <c r="AB4438" s="117">
        <f>IF($B4438="","",IF(OR($D4438="",$E4438="",$O4438=""),"EKSİK",IF($O4438&lt;=0,"SIFIR/NEGATİF",IF(COUNTIFS($C$6:$C$5000,$C4438,$O$6:$O$5000,$O4438,$B$6:$B$5000,$B4438)&gt;1,"MÜKERRER","OK"))))</f>
        <v/>
      </c>
    </row>
    <row r="4439" ht="16.5" customHeight="1" s="80">
      <c r="A4439" s="113" t="n"/>
      <c r="B4439" s="113" t="n"/>
      <c r="C4439" s="113" t="n"/>
      <c r="D4439" s="113" t="n"/>
      <c r="E4439" s="113" t="n"/>
      <c r="F4439" s="113" t="n"/>
      <c r="G4439" s="113" t="n"/>
      <c r="H4439" s="113" t="n"/>
      <c r="I4439" s="113" t="n"/>
      <c r="J4439" s="113" t="n"/>
      <c r="K4439" s="113" t="n"/>
      <c r="L4439" s="113" t="n"/>
      <c r="M4439" s="113" t="n"/>
      <c r="N4439" s="113" t="n"/>
      <c r="O4439" s="113" t="n"/>
      <c r="P4439" s="113" t="n"/>
      <c r="Q4439" s="113" t="n"/>
      <c r="R4439" s="113" t="n"/>
      <c r="S4439" s="113" t="n"/>
      <c r="T4439" s="113" t="n"/>
      <c r="U4439" s="113" t="n"/>
      <c r="V4439" s="113" t="n"/>
      <c r="W4439" s="113" t="n"/>
      <c r="X4439" s="113" t="n"/>
      <c r="Y4439" s="113" t="n"/>
      <c r="Z4439" s="117">
        <f>IF($B4439="",0,IF($S4439="EVET",IF($D4439="GELİR",$O4439,-$O4439),0))</f>
        <v/>
      </c>
      <c r="AA4439" s="117">
        <f>IF($B4439="",0,IF(OR($W4439="EVET",$X4439="EVET",$Y4439="EVET"),0,IF($D4439="GELİR",IF($E4439="SATIŞ İADESİ/İSKONTO",-$O4439,$O4439),-$O4439)))</f>
        <v/>
      </c>
      <c r="AB4439" s="117">
        <f>IF($B4439="","",IF(OR($D4439="",$E4439="",$O4439=""),"EKSİK",IF($O4439&lt;=0,"SIFIR/NEGATİF",IF(COUNTIFS($C$6:$C$5000,$C4439,$O$6:$O$5000,$O4439,$B$6:$B$5000,$B4439)&gt;1,"MÜKERRER","OK"))))</f>
        <v/>
      </c>
    </row>
    <row r="4440" ht="16.5" customHeight="1" s="80">
      <c r="A4440" s="113" t="n"/>
      <c r="B4440" s="113" t="n"/>
      <c r="C4440" s="113" t="n"/>
      <c r="D4440" s="113" t="n"/>
      <c r="E4440" s="113" t="n"/>
      <c r="F4440" s="113" t="n"/>
      <c r="G4440" s="113" t="n"/>
      <c r="H4440" s="113" t="n"/>
      <c r="I4440" s="113" t="n"/>
      <c r="J4440" s="113" t="n"/>
      <c r="K4440" s="113" t="n"/>
      <c r="L4440" s="113" t="n"/>
      <c r="M4440" s="113" t="n"/>
      <c r="N4440" s="113" t="n"/>
      <c r="O4440" s="113" t="n"/>
      <c r="P4440" s="113" t="n"/>
      <c r="Q4440" s="113" t="n"/>
      <c r="R4440" s="113" t="n"/>
      <c r="S4440" s="113" t="n"/>
      <c r="T4440" s="113" t="n"/>
      <c r="U4440" s="113" t="n"/>
      <c r="V4440" s="113" t="n"/>
      <c r="W4440" s="113" t="n"/>
      <c r="X4440" s="113" t="n"/>
      <c r="Y4440" s="113" t="n"/>
      <c r="Z4440" s="117">
        <f>IF($B4440="",0,IF($S4440="EVET",IF($D4440="GELİR",$O4440,-$O4440),0))</f>
        <v/>
      </c>
      <c r="AA4440" s="117">
        <f>IF($B4440="",0,IF(OR($W4440="EVET",$X4440="EVET",$Y4440="EVET"),0,IF($D4440="GELİR",IF($E4440="SATIŞ İADESİ/İSKONTO",-$O4440,$O4440),-$O4440)))</f>
        <v/>
      </c>
      <c r="AB4440" s="117">
        <f>IF($B4440="","",IF(OR($D4440="",$E4440="",$O4440=""),"EKSİK",IF($O4440&lt;=0,"SIFIR/NEGATİF",IF(COUNTIFS($C$6:$C$5000,$C4440,$O$6:$O$5000,$O4440,$B$6:$B$5000,$B4440)&gt;1,"MÜKERRER","OK"))))</f>
        <v/>
      </c>
    </row>
    <row r="4441" ht="16.5" customHeight="1" s="80">
      <c r="A4441" s="113" t="n"/>
      <c r="B4441" s="113" t="n"/>
      <c r="C4441" s="113" t="n"/>
      <c r="D4441" s="113" t="n"/>
      <c r="E4441" s="113" t="n"/>
      <c r="F4441" s="113" t="n"/>
      <c r="G4441" s="113" t="n"/>
      <c r="H4441" s="113" t="n"/>
      <c r="I4441" s="113" t="n"/>
      <c r="J4441" s="113" t="n"/>
      <c r="K4441" s="113" t="n"/>
      <c r="L4441" s="113" t="n"/>
      <c r="M4441" s="113" t="n"/>
      <c r="N4441" s="113" t="n"/>
      <c r="O4441" s="113" t="n"/>
      <c r="P4441" s="113" t="n"/>
      <c r="Q4441" s="113" t="n"/>
      <c r="R4441" s="113" t="n"/>
      <c r="S4441" s="113" t="n"/>
      <c r="T4441" s="113" t="n"/>
      <c r="U4441" s="113" t="n"/>
      <c r="V4441" s="113" t="n"/>
      <c r="W4441" s="113" t="n"/>
      <c r="X4441" s="113" t="n"/>
      <c r="Y4441" s="113" t="n"/>
      <c r="Z4441" s="117">
        <f>IF($B4441="",0,IF($S4441="EVET",IF($D4441="GELİR",$O4441,-$O4441),0))</f>
        <v/>
      </c>
      <c r="AA4441" s="117">
        <f>IF($B4441="",0,IF(OR($W4441="EVET",$X4441="EVET",$Y4441="EVET"),0,IF($D4441="GELİR",IF($E4441="SATIŞ İADESİ/İSKONTO",-$O4441,$O4441),-$O4441)))</f>
        <v/>
      </c>
      <c r="AB4441" s="117">
        <f>IF($B4441="","",IF(OR($D4441="",$E4441="",$O4441=""),"EKSİK",IF($O4441&lt;=0,"SIFIR/NEGATİF",IF(COUNTIFS($C$6:$C$5000,$C4441,$O$6:$O$5000,$O4441,$B$6:$B$5000,$B4441)&gt;1,"MÜKERRER","OK"))))</f>
        <v/>
      </c>
    </row>
    <row r="4442" ht="16.5" customHeight="1" s="80">
      <c r="A4442" s="113" t="n"/>
      <c r="B4442" s="113" t="n"/>
      <c r="C4442" s="113" t="n"/>
      <c r="D4442" s="113" t="n"/>
      <c r="E4442" s="113" t="n"/>
      <c r="F4442" s="113" t="n"/>
      <c r="G4442" s="113" t="n"/>
      <c r="H4442" s="113" t="n"/>
      <c r="I4442" s="113" t="n"/>
      <c r="J4442" s="113" t="n"/>
      <c r="K4442" s="113" t="n"/>
      <c r="L4442" s="113" t="n"/>
      <c r="M4442" s="113" t="n"/>
      <c r="N4442" s="113" t="n"/>
      <c r="O4442" s="113" t="n"/>
      <c r="P4442" s="113" t="n"/>
      <c r="Q4442" s="113" t="n"/>
      <c r="R4442" s="113" t="n"/>
      <c r="S4442" s="113" t="n"/>
      <c r="T4442" s="113" t="n"/>
      <c r="U4442" s="113" t="n"/>
      <c r="V4442" s="113" t="n"/>
      <c r="W4442" s="113" t="n"/>
      <c r="X4442" s="113" t="n"/>
      <c r="Y4442" s="113" t="n"/>
      <c r="Z4442" s="117">
        <f>IF($B4442="",0,IF($S4442="EVET",IF($D4442="GELİR",$O4442,-$O4442),0))</f>
        <v/>
      </c>
      <c r="AA4442" s="117">
        <f>IF($B4442="",0,IF(OR($W4442="EVET",$X4442="EVET",$Y4442="EVET"),0,IF($D4442="GELİR",IF($E4442="SATIŞ İADESİ/İSKONTO",-$O4442,$O4442),-$O4442)))</f>
        <v/>
      </c>
      <c r="AB4442" s="117">
        <f>IF($B4442="","",IF(OR($D4442="",$E4442="",$O4442=""),"EKSİK",IF($O4442&lt;=0,"SIFIR/NEGATİF",IF(COUNTIFS($C$6:$C$5000,$C4442,$O$6:$O$5000,$O4442,$B$6:$B$5000,$B4442)&gt;1,"MÜKERRER","OK"))))</f>
        <v/>
      </c>
    </row>
    <row r="4443" ht="16.5" customHeight="1" s="80">
      <c r="A4443" s="113" t="n"/>
      <c r="B4443" s="113" t="n"/>
      <c r="C4443" s="113" t="n"/>
      <c r="D4443" s="113" t="n"/>
      <c r="E4443" s="113" t="n"/>
      <c r="F4443" s="113" t="n"/>
      <c r="G4443" s="113" t="n"/>
      <c r="H4443" s="113" t="n"/>
      <c r="I4443" s="113" t="n"/>
      <c r="J4443" s="113" t="n"/>
      <c r="K4443" s="113" t="n"/>
      <c r="L4443" s="113" t="n"/>
      <c r="M4443" s="113" t="n"/>
      <c r="N4443" s="113" t="n"/>
      <c r="O4443" s="113" t="n"/>
      <c r="P4443" s="113" t="n"/>
      <c r="Q4443" s="113" t="n"/>
      <c r="R4443" s="113" t="n"/>
      <c r="S4443" s="113" t="n"/>
      <c r="T4443" s="113" t="n"/>
      <c r="U4443" s="113" t="n"/>
      <c r="V4443" s="113" t="n"/>
      <c r="W4443" s="113" t="n"/>
      <c r="X4443" s="113" t="n"/>
      <c r="Y4443" s="113" t="n"/>
      <c r="Z4443" s="117">
        <f>IF($B4443="",0,IF($S4443="EVET",IF($D4443="GELİR",$O4443,-$O4443),0))</f>
        <v/>
      </c>
      <c r="AA4443" s="117">
        <f>IF($B4443="",0,IF(OR($W4443="EVET",$X4443="EVET",$Y4443="EVET"),0,IF($D4443="GELİR",IF($E4443="SATIŞ İADESİ/İSKONTO",-$O4443,$O4443),-$O4443)))</f>
        <v/>
      </c>
      <c r="AB4443" s="117">
        <f>IF($B4443="","",IF(OR($D4443="",$E4443="",$O4443=""),"EKSİK",IF($O4443&lt;=0,"SIFIR/NEGATİF",IF(COUNTIFS($C$6:$C$5000,$C4443,$O$6:$O$5000,$O4443,$B$6:$B$5000,$B4443)&gt;1,"MÜKERRER","OK"))))</f>
        <v/>
      </c>
    </row>
    <row r="4444" ht="16.5" customHeight="1" s="80">
      <c r="A4444" s="113" t="n"/>
      <c r="B4444" s="113" t="n"/>
      <c r="C4444" s="113" t="n"/>
      <c r="D4444" s="113" t="n"/>
      <c r="E4444" s="113" t="n"/>
      <c r="F4444" s="113" t="n"/>
      <c r="G4444" s="113" t="n"/>
      <c r="H4444" s="113" t="n"/>
      <c r="I4444" s="113" t="n"/>
      <c r="J4444" s="113" t="n"/>
      <c r="K4444" s="113" t="n"/>
      <c r="L4444" s="113" t="n"/>
      <c r="M4444" s="113" t="n"/>
      <c r="N4444" s="113" t="n"/>
      <c r="O4444" s="113" t="n"/>
      <c r="P4444" s="113" t="n"/>
      <c r="Q4444" s="113" t="n"/>
      <c r="R4444" s="113" t="n"/>
      <c r="S4444" s="113" t="n"/>
      <c r="T4444" s="113" t="n"/>
      <c r="U4444" s="113" t="n"/>
      <c r="V4444" s="113" t="n"/>
      <c r="W4444" s="113" t="n"/>
      <c r="X4444" s="113" t="n"/>
      <c r="Y4444" s="113" t="n"/>
      <c r="Z4444" s="117">
        <f>IF($B4444="",0,IF($S4444="EVET",IF($D4444="GELİR",$O4444,-$O4444),0))</f>
        <v/>
      </c>
      <c r="AA4444" s="117">
        <f>IF($B4444="",0,IF(OR($W4444="EVET",$X4444="EVET",$Y4444="EVET"),0,IF($D4444="GELİR",IF($E4444="SATIŞ İADESİ/İSKONTO",-$O4444,$O4444),-$O4444)))</f>
        <v/>
      </c>
      <c r="AB4444" s="117">
        <f>IF($B4444="","",IF(OR($D4444="",$E4444="",$O4444=""),"EKSİK",IF($O4444&lt;=0,"SIFIR/NEGATİF",IF(COUNTIFS($C$6:$C$5000,$C4444,$O$6:$O$5000,$O4444,$B$6:$B$5000,$B4444)&gt;1,"MÜKERRER","OK"))))</f>
        <v/>
      </c>
    </row>
    <row r="4445" ht="16.5" customHeight="1" s="80">
      <c r="A4445" s="113" t="n"/>
      <c r="B4445" s="113" t="n"/>
      <c r="C4445" s="113" t="n"/>
      <c r="D4445" s="113" t="n"/>
      <c r="E4445" s="113" t="n"/>
      <c r="F4445" s="113" t="n"/>
      <c r="G4445" s="113" t="n"/>
      <c r="H4445" s="113" t="n"/>
      <c r="I4445" s="113" t="n"/>
      <c r="J4445" s="113" t="n"/>
      <c r="K4445" s="113" t="n"/>
      <c r="L4445" s="113" t="n"/>
      <c r="M4445" s="113" t="n"/>
      <c r="N4445" s="113" t="n"/>
      <c r="O4445" s="113" t="n"/>
      <c r="P4445" s="113" t="n"/>
      <c r="Q4445" s="113" t="n"/>
      <c r="R4445" s="113" t="n"/>
      <c r="S4445" s="113" t="n"/>
      <c r="T4445" s="113" t="n"/>
      <c r="U4445" s="113" t="n"/>
      <c r="V4445" s="113" t="n"/>
      <c r="W4445" s="113" t="n"/>
      <c r="X4445" s="113" t="n"/>
      <c r="Y4445" s="113" t="n"/>
      <c r="Z4445" s="117">
        <f>IF($B4445="",0,IF($S4445="EVET",IF($D4445="GELİR",$O4445,-$O4445),0))</f>
        <v/>
      </c>
      <c r="AA4445" s="117">
        <f>IF($B4445="",0,IF(OR($W4445="EVET",$X4445="EVET",$Y4445="EVET"),0,IF($D4445="GELİR",IF($E4445="SATIŞ İADESİ/İSKONTO",-$O4445,$O4445),-$O4445)))</f>
        <v/>
      </c>
      <c r="AB4445" s="117">
        <f>IF($B4445="","",IF(OR($D4445="",$E4445="",$O4445=""),"EKSİK",IF($O4445&lt;=0,"SIFIR/NEGATİF",IF(COUNTIFS($C$6:$C$5000,$C4445,$O$6:$O$5000,$O4445,$B$6:$B$5000,$B4445)&gt;1,"MÜKERRER","OK"))))</f>
        <v/>
      </c>
    </row>
    <row r="4446" ht="16.5" customHeight="1" s="80">
      <c r="A4446" s="113" t="n"/>
      <c r="B4446" s="113" t="n"/>
      <c r="C4446" s="113" t="n"/>
      <c r="D4446" s="113" t="n"/>
      <c r="E4446" s="113" t="n"/>
      <c r="F4446" s="113" t="n"/>
      <c r="G4446" s="113" t="n"/>
      <c r="H4446" s="113" t="n"/>
      <c r="I4446" s="113" t="n"/>
      <c r="J4446" s="113" t="n"/>
      <c r="K4446" s="113" t="n"/>
      <c r="L4446" s="113" t="n"/>
      <c r="M4446" s="113" t="n"/>
      <c r="N4446" s="113" t="n"/>
      <c r="O4446" s="113" t="n"/>
      <c r="P4446" s="113" t="n"/>
      <c r="Q4446" s="113" t="n"/>
      <c r="R4446" s="113" t="n"/>
      <c r="S4446" s="113" t="n"/>
      <c r="T4446" s="113" t="n"/>
      <c r="U4446" s="113" t="n"/>
      <c r="V4446" s="113" t="n"/>
      <c r="W4446" s="113" t="n"/>
      <c r="X4446" s="113" t="n"/>
      <c r="Y4446" s="113" t="n"/>
      <c r="Z4446" s="117">
        <f>IF($B4446="",0,IF($S4446="EVET",IF($D4446="GELİR",$O4446,-$O4446),0))</f>
        <v/>
      </c>
      <c r="AA4446" s="117">
        <f>IF($B4446="",0,IF(OR($W4446="EVET",$X4446="EVET",$Y4446="EVET"),0,IF($D4446="GELİR",IF($E4446="SATIŞ İADESİ/İSKONTO",-$O4446,$O4446),-$O4446)))</f>
        <v/>
      </c>
      <c r="AB4446" s="117">
        <f>IF($B4446="","",IF(OR($D4446="",$E4446="",$O4446=""),"EKSİK",IF($O4446&lt;=0,"SIFIR/NEGATİF",IF(COUNTIFS($C$6:$C$5000,$C4446,$O$6:$O$5000,$O4446,$B$6:$B$5000,$B4446)&gt;1,"MÜKERRER","OK"))))</f>
        <v/>
      </c>
    </row>
    <row r="4447" ht="16.5" customHeight="1" s="80">
      <c r="A4447" s="113" t="n"/>
      <c r="B4447" s="113" t="n"/>
      <c r="C4447" s="113" t="n"/>
      <c r="D4447" s="113" t="n"/>
      <c r="E4447" s="113" t="n"/>
      <c r="F4447" s="113" t="n"/>
      <c r="G4447" s="113" t="n"/>
      <c r="H4447" s="113" t="n"/>
      <c r="I4447" s="113" t="n"/>
      <c r="J4447" s="113" t="n"/>
      <c r="K4447" s="113" t="n"/>
      <c r="L4447" s="113" t="n"/>
      <c r="M4447" s="113" t="n"/>
      <c r="N4447" s="113" t="n"/>
      <c r="O4447" s="113" t="n"/>
      <c r="P4447" s="113" t="n"/>
      <c r="Q4447" s="113" t="n"/>
      <c r="R4447" s="113" t="n"/>
      <c r="S4447" s="113" t="n"/>
      <c r="T4447" s="113" t="n"/>
      <c r="U4447" s="113" t="n"/>
      <c r="V4447" s="113" t="n"/>
      <c r="W4447" s="113" t="n"/>
      <c r="X4447" s="113" t="n"/>
      <c r="Y4447" s="113" t="n"/>
      <c r="Z4447" s="117">
        <f>IF($B4447="",0,IF($S4447="EVET",IF($D4447="GELİR",$O4447,-$O4447),0))</f>
        <v/>
      </c>
      <c r="AA4447" s="117">
        <f>IF($B4447="",0,IF(OR($W4447="EVET",$X4447="EVET",$Y4447="EVET"),0,IF($D4447="GELİR",IF($E4447="SATIŞ İADESİ/İSKONTO",-$O4447,$O4447),-$O4447)))</f>
        <v/>
      </c>
      <c r="AB4447" s="117">
        <f>IF($B4447="","",IF(OR($D4447="",$E4447="",$O4447=""),"EKSİK",IF($O4447&lt;=0,"SIFIR/NEGATİF",IF(COUNTIFS($C$6:$C$5000,$C4447,$O$6:$O$5000,$O4447,$B$6:$B$5000,$B4447)&gt;1,"MÜKERRER","OK"))))</f>
        <v/>
      </c>
    </row>
    <row r="4448" ht="16.5" customHeight="1" s="80">
      <c r="A4448" s="113" t="n"/>
      <c r="B4448" s="113" t="n"/>
      <c r="C4448" s="113" t="n"/>
      <c r="D4448" s="113" t="n"/>
      <c r="E4448" s="113" t="n"/>
      <c r="F4448" s="113" t="n"/>
      <c r="G4448" s="113" t="n"/>
      <c r="H4448" s="113" t="n"/>
      <c r="I4448" s="113" t="n"/>
      <c r="J4448" s="113" t="n"/>
      <c r="K4448" s="113" t="n"/>
      <c r="L4448" s="113" t="n"/>
      <c r="M4448" s="113" t="n"/>
      <c r="N4448" s="113" t="n"/>
      <c r="O4448" s="113" t="n"/>
      <c r="P4448" s="113" t="n"/>
      <c r="Q4448" s="113" t="n"/>
      <c r="R4448" s="113" t="n"/>
      <c r="S4448" s="113" t="n"/>
      <c r="T4448" s="113" t="n"/>
      <c r="U4448" s="113" t="n"/>
      <c r="V4448" s="113" t="n"/>
      <c r="W4448" s="113" t="n"/>
      <c r="X4448" s="113" t="n"/>
      <c r="Y4448" s="113" t="n"/>
      <c r="Z4448" s="117">
        <f>IF($B4448="",0,IF($S4448="EVET",IF($D4448="GELİR",$O4448,-$O4448),0))</f>
        <v/>
      </c>
      <c r="AA4448" s="117">
        <f>IF($B4448="",0,IF(OR($W4448="EVET",$X4448="EVET",$Y4448="EVET"),0,IF($D4448="GELİR",IF($E4448="SATIŞ İADESİ/İSKONTO",-$O4448,$O4448),-$O4448)))</f>
        <v/>
      </c>
      <c r="AB4448" s="117">
        <f>IF($B4448="","",IF(OR($D4448="",$E4448="",$O4448=""),"EKSİK",IF($O4448&lt;=0,"SIFIR/NEGATİF",IF(COUNTIFS($C$6:$C$5000,$C4448,$O$6:$O$5000,$O4448,$B$6:$B$5000,$B4448)&gt;1,"MÜKERRER","OK"))))</f>
        <v/>
      </c>
    </row>
    <row r="4449" ht="16.5" customHeight="1" s="80">
      <c r="A4449" s="113" t="n"/>
      <c r="B4449" s="113" t="n"/>
      <c r="C4449" s="113" t="n"/>
      <c r="D4449" s="113" t="n"/>
      <c r="E4449" s="113" t="n"/>
      <c r="F4449" s="113" t="n"/>
      <c r="G4449" s="113" t="n"/>
      <c r="H4449" s="113" t="n"/>
      <c r="I4449" s="113" t="n"/>
      <c r="J4449" s="113" t="n"/>
      <c r="K4449" s="113" t="n"/>
      <c r="L4449" s="113" t="n"/>
      <c r="M4449" s="113" t="n"/>
      <c r="N4449" s="113" t="n"/>
      <c r="O4449" s="113" t="n"/>
      <c r="P4449" s="113" t="n"/>
      <c r="Q4449" s="113" t="n"/>
      <c r="R4449" s="113" t="n"/>
      <c r="S4449" s="113" t="n"/>
      <c r="T4449" s="113" t="n"/>
      <c r="U4449" s="113" t="n"/>
      <c r="V4449" s="113" t="n"/>
      <c r="W4449" s="113" t="n"/>
      <c r="X4449" s="113" t="n"/>
      <c r="Y4449" s="113" t="n"/>
      <c r="Z4449" s="117">
        <f>IF($B4449="",0,IF($S4449="EVET",IF($D4449="GELİR",$O4449,-$O4449),0))</f>
        <v/>
      </c>
      <c r="AA4449" s="117">
        <f>IF($B4449="",0,IF(OR($W4449="EVET",$X4449="EVET",$Y4449="EVET"),0,IF($D4449="GELİR",IF($E4449="SATIŞ İADESİ/İSKONTO",-$O4449,$O4449),-$O4449)))</f>
        <v/>
      </c>
      <c r="AB4449" s="117">
        <f>IF($B4449="","",IF(OR($D4449="",$E4449="",$O4449=""),"EKSİK",IF($O4449&lt;=0,"SIFIR/NEGATİF",IF(COUNTIFS($C$6:$C$5000,$C4449,$O$6:$O$5000,$O4449,$B$6:$B$5000,$B4449)&gt;1,"MÜKERRER","OK"))))</f>
        <v/>
      </c>
    </row>
    <row r="4450" ht="16.5" customHeight="1" s="80">
      <c r="A4450" s="113" t="n"/>
      <c r="B4450" s="113" t="n"/>
      <c r="C4450" s="113" t="n"/>
      <c r="D4450" s="113" t="n"/>
      <c r="E4450" s="113" t="n"/>
      <c r="F4450" s="113" t="n"/>
      <c r="G4450" s="113" t="n"/>
      <c r="H4450" s="113" t="n"/>
      <c r="I4450" s="113" t="n"/>
      <c r="J4450" s="113" t="n"/>
      <c r="K4450" s="113" t="n"/>
      <c r="L4450" s="113" t="n"/>
      <c r="M4450" s="113" t="n"/>
      <c r="N4450" s="113" t="n"/>
      <c r="O4450" s="113" t="n"/>
      <c r="P4450" s="113" t="n"/>
      <c r="Q4450" s="113" t="n"/>
      <c r="R4450" s="113" t="n"/>
      <c r="S4450" s="113" t="n"/>
      <c r="T4450" s="113" t="n"/>
      <c r="U4450" s="113" t="n"/>
      <c r="V4450" s="113" t="n"/>
      <c r="W4450" s="113" t="n"/>
      <c r="X4450" s="113" t="n"/>
      <c r="Y4450" s="113" t="n"/>
      <c r="Z4450" s="117">
        <f>IF($B4450="",0,IF($S4450="EVET",IF($D4450="GELİR",$O4450,-$O4450),0))</f>
        <v/>
      </c>
      <c r="AA4450" s="117">
        <f>IF($B4450="",0,IF(OR($W4450="EVET",$X4450="EVET",$Y4450="EVET"),0,IF($D4450="GELİR",IF($E4450="SATIŞ İADESİ/İSKONTO",-$O4450,$O4450),-$O4450)))</f>
        <v/>
      </c>
      <c r="AB4450" s="117">
        <f>IF($B4450="","",IF(OR($D4450="",$E4450="",$O4450=""),"EKSİK",IF($O4450&lt;=0,"SIFIR/NEGATİF",IF(COUNTIFS($C$6:$C$5000,$C4450,$O$6:$O$5000,$O4450,$B$6:$B$5000,$B4450)&gt;1,"MÜKERRER","OK"))))</f>
        <v/>
      </c>
    </row>
    <row r="4451" ht="16.5" customHeight="1" s="80">
      <c r="A4451" s="113" t="n"/>
      <c r="B4451" s="113" t="n"/>
      <c r="C4451" s="113" t="n"/>
      <c r="D4451" s="113" t="n"/>
      <c r="E4451" s="113" t="n"/>
      <c r="F4451" s="113" t="n"/>
      <c r="G4451" s="113" t="n"/>
      <c r="H4451" s="113" t="n"/>
      <c r="I4451" s="113" t="n"/>
      <c r="J4451" s="113" t="n"/>
      <c r="K4451" s="113" t="n"/>
      <c r="L4451" s="113" t="n"/>
      <c r="M4451" s="113" t="n"/>
      <c r="N4451" s="113" t="n"/>
      <c r="O4451" s="113" t="n"/>
      <c r="P4451" s="113" t="n"/>
      <c r="Q4451" s="113" t="n"/>
      <c r="R4451" s="113" t="n"/>
      <c r="S4451" s="113" t="n"/>
      <c r="T4451" s="113" t="n"/>
      <c r="U4451" s="113" t="n"/>
      <c r="V4451" s="113" t="n"/>
      <c r="W4451" s="113" t="n"/>
      <c r="X4451" s="113" t="n"/>
      <c r="Y4451" s="113" t="n"/>
      <c r="Z4451" s="117">
        <f>IF($B4451="",0,IF($S4451="EVET",IF($D4451="GELİR",$O4451,-$O4451),0))</f>
        <v/>
      </c>
      <c r="AA4451" s="117">
        <f>IF($B4451="",0,IF(OR($W4451="EVET",$X4451="EVET",$Y4451="EVET"),0,IF($D4451="GELİR",IF($E4451="SATIŞ İADESİ/İSKONTO",-$O4451,$O4451),-$O4451)))</f>
        <v/>
      </c>
      <c r="AB4451" s="117">
        <f>IF($B4451="","",IF(OR($D4451="",$E4451="",$O4451=""),"EKSİK",IF($O4451&lt;=0,"SIFIR/NEGATİF",IF(COUNTIFS($C$6:$C$5000,$C4451,$O$6:$O$5000,$O4451,$B$6:$B$5000,$B4451)&gt;1,"MÜKERRER","OK"))))</f>
        <v/>
      </c>
    </row>
    <row r="4452" ht="16.5" customHeight="1" s="80">
      <c r="A4452" s="113" t="n"/>
      <c r="B4452" s="113" t="n"/>
      <c r="C4452" s="113" t="n"/>
      <c r="D4452" s="113" t="n"/>
      <c r="E4452" s="113" t="n"/>
      <c r="F4452" s="113" t="n"/>
      <c r="G4452" s="113" t="n"/>
      <c r="H4452" s="113" t="n"/>
      <c r="I4452" s="113" t="n"/>
      <c r="J4452" s="113" t="n"/>
      <c r="K4452" s="113" t="n"/>
      <c r="L4452" s="113" t="n"/>
      <c r="M4452" s="113" t="n"/>
      <c r="N4452" s="113" t="n"/>
      <c r="O4452" s="113" t="n"/>
      <c r="P4452" s="113" t="n"/>
      <c r="Q4452" s="113" t="n"/>
      <c r="R4452" s="113" t="n"/>
      <c r="S4452" s="113" t="n"/>
      <c r="T4452" s="113" t="n"/>
      <c r="U4452" s="113" t="n"/>
      <c r="V4452" s="113" t="n"/>
      <c r="W4452" s="113" t="n"/>
      <c r="X4452" s="113" t="n"/>
      <c r="Y4452" s="113" t="n"/>
      <c r="Z4452" s="117">
        <f>IF($B4452="",0,IF($S4452="EVET",IF($D4452="GELİR",$O4452,-$O4452),0))</f>
        <v/>
      </c>
      <c r="AA4452" s="117">
        <f>IF($B4452="",0,IF(OR($W4452="EVET",$X4452="EVET",$Y4452="EVET"),0,IF($D4452="GELİR",IF($E4452="SATIŞ İADESİ/İSKONTO",-$O4452,$O4452),-$O4452)))</f>
        <v/>
      </c>
      <c r="AB4452" s="117">
        <f>IF($B4452="","",IF(OR($D4452="",$E4452="",$O4452=""),"EKSİK",IF($O4452&lt;=0,"SIFIR/NEGATİF",IF(COUNTIFS($C$6:$C$5000,$C4452,$O$6:$O$5000,$O4452,$B$6:$B$5000,$B4452)&gt;1,"MÜKERRER","OK"))))</f>
        <v/>
      </c>
    </row>
    <row r="4453" ht="16.5" customHeight="1" s="80">
      <c r="A4453" s="113" t="n"/>
      <c r="B4453" s="113" t="n"/>
      <c r="C4453" s="113" t="n"/>
      <c r="D4453" s="113" t="n"/>
      <c r="E4453" s="113" t="n"/>
      <c r="F4453" s="113" t="n"/>
      <c r="G4453" s="113" t="n"/>
      <c r="H4453" s="113" t="n"/>
      <c r="I4453" s="113" t="n"/>
      <c r="J4453" s="113" t="n"/>
      <c r="K4453" s="113" t="n"/>
      <c r="L4453" s="113" t="n"/>
      <c r="M4453" s="113" t="n"/>
      <c r="N4453" s="113" t="n"/>
      <c r="O4453" s="113" t="n"/>
      <c r="P4453" s="113" t="n"/>
      <c r="Q4453" s="113" t="n"/>
      <c r="R4453" s="113" t="n"/>
      <c r="S4453" s="113" t="n"/>
      <c r="T4453" s="113" t="n"/>
      <c r="U4453" s="113" t="n"/>
      <c r="V4453" s="113" t="n"/>
      <c r="W4453" s="113" t="n"/>
      <c r="X4453" s="113" t="n"/>
      <c r="Y4453" s="113" t="n"/>
      <c r="Z4453" s="117">
        <f>IF($B4453="",0,IF($S4453="EVET",IF($D4453="GELİR",$O4453,-$O4453),0))</f>
        <v/>
      </c>
      <c r="AA4453" s="117">
        <f>IF($B4453="",0,IF(OR($W4453="EVET",$X4453="EVET",$Y4453="EVET"),0,IF($D4453="GELİR",IF($E4453="SATIŞ İADESİ/İSKONTO",-$O4453,$O4453),-$O4453)))</f>
        <v/>
      </c>
      <c r="AB4453" s="117">
        <f>IF($B4453="","",IF(OR($D4453="",$E4453="",$O4453=""),"EKSİK",IF($O4453&lt;=0,"SIFIR/NEGATİF",IF(COUNTIFS($C$6:$C$5000,$C4453,$O$6:$O$5000,$O4453,$B$6:$B$5000,$B4453)&gt;1,"MÜKERRER","OK"))))</f>
        <v/>
      </c>
    </row>
    <row r="4454" ht="16.5" customHeight="1" s="80">
      <c r="A4454" s="113" t="n"/>
      <c r="B4454" s="113" t="n"/>
      <c r="C4454" s="113" t="n"/>
      <c r="D4454" s="113" t="n"/>
      <c r="E4454" s="113" t="n"/>
      <c r="F4454" s="113" t="n"/>
      <c r="G4454" s="113" t="n"/>
      <c r="H4454" s="113" t="n"/>
      <c r="I4454" s="113" t="n"/>
      <c r="J4454" s="113" t="n"/>
      <c r="K4454" s="113" t="n"/>
      <c r="L4454" s="113" t="n"/>
      <c r="M4454" s="113" t="n"/>
      <c r="N4454" s="113" t="n"/>
      <c r="O4454" s="113" t="n"/>
      <c r="P4454" s="113" t="n"/>
      <c r="Q4454" s="113" t="n"/>
      <c r="R4454" s="113" t="n"/>
      <c r="S4454" s="113" t="n"/>
      <c r="T4454" s="113" t="n"/>
      <c r="U4454" s="113" t="n"/>
      <c r="V4454" s="113" t="n"/>
      <c r="W4454" s="113" t="n"/>
      <c r="X4454" s="113" t="n"/>
      <c r="Y4454" s="113" t="n"/>
      <c r="Z4454" s="117">
        <f>IF($B4454="",0,IF($S4454="EVET",IF($D4454="GELİR",$O4454,-$O4454),0))</f>
        <v/>
      </c>
      <c r="AA4454" s="117">
        <f>IF($B4454="",0,IF(OR($W4454="EVET",$X4454="EVET",$Y4454="EVET"),0,IF($D4454="GELİR",IF($E4454="SATIŞ İADESİ/İSKONTO",-$O4454,$O4454),-$O4454)))</f>
        <v/>
      </c>
      <c r="AB4454" s="117">
        <f>IF($B4454="","",IF(OR($D4454="",$E4454="",$O4454=""),"EKSİK",IF($O4454&lt;=0,"SIFIR/NEGATİF",IF(COUNTIFS($C$6:$C$5000,$C4454,$O$6:$O$5000,$O4454,$B$6:$B$5000,$B4454)&gt;1,"MÜKERRER","OK"))))</f>
        <v/>
      </c>
    </row>
    <row r="4455" ht="16.5" customHeight="1" s="80">
      <c r="A4455" s="113" t="n"/>
      <c r="B4455" s="113" t="n"/>
      <c r="C4455" s="113" t="n"/>
      <c r="D4455" s="113" t="n"/>
      <c r="E4455" s="113" t="n"/>
      <c r="F4455" s="113" t="n"/>
      <c r="G4455" s="113" t="n"/>
      <c r="H4455" s="113" t="n"/>
      <c r="I4455" s="113" t="n"/>
      <c r="J4455" s="113" t="n"/>
      <c r="K4455" s="113" t="n"/>
      <c r="L4455" s="113" t="n"/>
      <c r="M4455" s="113" t="n"/>
      <c r="N4455" s="113" t="n"/>
      <c r="O4455" s="113" t="n"/>
      <c r="P4455" s="113" t="n"/>
      <c r="Q4455" s="113" t="n"/>
      <c r="R4455" s="113" t="n"/>
      <c r="S4455" s="113" t="n"/>
      <c r="T4455" s="113" t="n"/>
      <c r="U4455" s="113" t="n"/>
      <c r="V4455" s="113" t="n"/>
      <c r="W4455" s="113" t="n"/>
      <c r="X4455" s="113" t="n"/>
      <c r="Y4455" s="113" t="n"/>
      <c r="Z4455" s="117">
        <f>IF($B4455="",0,IF($S4455="EVET",IF($D4455="GELİR",$O4455,-$O4455),0))</f>
        <v/>
      </c>
      <c r="AA4455" s="117">
        <f>IF($B4455="",0,IF(OR($W4455="EVET",$X4455="EVET",$Y4455="EVET"),0,IF($D4455="GELİR",IF($E4455="SATIŞ İADESİ/İSKONTO",-$O4455,$O4455),-$O4455)))</f>
        <v/>
      </c>
      <c r="AB4455" s="117">
        <f>IF($B4455="","",IF(OR($D4455="",$E4455="",$O4455=""),"EKSİK",IF($O4455&lt;=0,"SIFIR/NEGATİF",IF(COUNTIFS($C$6:$C$5000,$C4455,$O$6:$O$5000,$O4455,$B$6:$B$5000,$B4455)&gt;1,"MÜKERRER","OK"))))</f>
        <v/>
      </c>
    </row>
    <row r="4456" ht="16.5" customHeight="1" s="80">
      <c r="A4456" s="113" t="n"/>
      <c r="B4456" s="113" t="n"/>
      <c r="C4456" s="113" t="n"/>
      <c r="D4456" s="113" t="n"/>
      <c r="E4456" s="113" t="n"/>
      <c r="F4456" s="113" t="n"/>
      <c r="G4456" s="113" t="n"/>
      <c r="H4456" s="113" t="n"/>
      <c r="I4456" s="113" t="n"/>
      <c r="J4456" s="113" t="n"/>
      <c r="K4456" s="113" t="n"/>
      <c r="L4456" s="113" t="n"/>
      <c r="M4456" s="113" t="n"/>
      <c r="N4456" s="113" t="n"/>
      <c r="O4456" s="113" t="n"/>
      <c r="P4456" s="113" t="n"/>
      <c r="Q4456" s="113" t="n"/>
      <c r="R4456" s="113" t="n"/>
      <c r="S4456" s="113" t="n"/>
      <c r="T4456" s="113" t="n"/>
      <c r="U4456" s="113" t="n"/>
      <c r="V4456" s="113" t="n"/>
      <c r="W4456" s="113" t="n"/>
      <c r="X4456" s="113" t="n"/>
      <c r="Y4456" s="113" t="n"/>
      <c r="Z4456" s="117">
        <f>IF($B4456="",0,IF($S4456="EVET",IF($D4456="GELİR",$O4456,-$O4456),0))</f>
        <v/>
      </c>
      <c r="AA4456" s="117">
        <f>IF($B4456="",0,IF(OR($W4456="EVET",$X4456="EVET",$Y4456="EVET"),0,IF($D4456="GELİR",IF($E4456="SATIŞ İADESİ/İSKONTO",-$O4456,$O4456),-$O4456)))</f>
        <v/>
      </c>
      <c r="AB4456" s="117">
        <f>IF($B4456="","",IF(OR($D4456="",$E4456="",$O4456=""),"EKSİK",IF($O4456&lt;=0,"SIFIR/NEGATİF",IF(COUNTIFS($C$6:$C$5000,$C4456,$O$6:$O$5000,$O4456,$B$6:$B$5000,$B4456)&gt;1,"MÜKERRER","OK"))))</f>
        <v/>
      </c>
    </row>
    <row r="4457" ht="16.5" customHeight="1" s="80">
      <c r="A4457" s="113" t="n"/>
      <c r="B4457" s="113" t="n"/>
      <c r="C4457" s="113" t="n"/>
      <c r="D4457" s="113" t="n"/>
      <c r="E4457" s="113" t="n"/>
      <c r="F4457" s="113" t="n"/>
      <c r="G4457" s="113" t="n"/>
      <c r="H4457" s="113" t="n"/>
      <c r="I4457" s="113" t="n"/>
      <c r="J4457" s="113" t="n"/>
      <c r="K4457" s="113" t="n"/>
      <c r="L4457" s="113" t="n"/>
      <c r="M4457" s="113" t="n"/>
      <c r="N4457" s="113" t="n"/>
      <c r="O4457" s="113" t="n"/>
      <c r="P4457" s="113" t="n"/>
      <c r="Q4457" s="113" t="n"/>
      <c r="R4457" s="113" t="n"/>
      <c r="S4457" s="113" t="n"/>
      <c r="T4457" s="113" t="n"/>
      <c r="U4457" s="113" t="n"/>
      <c r="V4457" s="113" t="n"/>
      <c r="W4457" s="113" t="n"/>
      <c r="X4457" s="113" t="n"/>
      <c r="Y4457" s="113" t="n"/>
      <c r="Z4457" s="117">
        <f>IF($B4457="",0,IF($S4457="EVET",IF($D4457="GELİR",$O4457,-$O4457),0))</f>
        <v/>
      </c>
      <c r="AA4457" s="117">
        <f>IF($B4457="",0,IF(OR($W4457="EVET",$X4457="EVET",$Y4457="EVET"),0,IF($D4457="GELİR",IF($E4457="SATIŞ İADESİ/İSKONTO",-$O4457,$O4457),-$O4457)))</f>
        <v/>
      </c>
      <c r="AB4457" s="117">
        <f>IF($B4457="","",IF(OR($D4457="",$E4457="",$O4457=""),"EKSİK",IF($O4457&lt;=0,"SIFIR/NEGATİF",IF(COUNTIFS($C$6:$C$5000,$C4457,$O$6:$O$5000,$O4457,$B$6:$B$5000,$B4457)&gt;1,"MÜKERRER","OK"))))</f>
        <v/>
      </c>
    </row>
    <row r="4458" ht="16.5" customHeight="1" s="80">
      <c r="A4458" s="113" t="n"/>
      <c r="B4458" s="113" t="n"/>
      <c r="C4458" s="113" t="n"/>
      <c r="D4458" s="113" t="n"/>
      <c r="E4458" s="113" t="n"/>
      <c r="F4458" s="113" t="n"/>
      <c r="G4458" s="113" t="n"/>
      <c r="H4458" s="113" t="n"/>
      <c r="I4458" s="113" t="n"/>
      <c r="J4458" s="113" t="n"/>
      <c r="K4458" s="113" t="n"/>
      <c r="L4458" s="113" t="n"/>
      <c r="M4458" s="113" t="n"/>
      <c r="N4458" s="113" t="n"/>
      <c r="O4458" s="113" t="n"/>
      <c r="P4458" s="113" t="n"/>
      <c r="Q4458" s="113" t="n"/>
      <c r="R4458" s="113" t="n"/>
      <c r="S4458" s="113" t="n"/>
      <c r="T4458" s="113" t="n"/>
      <c r="U4458" s="113" t="n"/>
      <c r="V4458" s="113" t="n"/>
      <c r="W4458" s="113" t="n"/>
      <c r="X4458" s="113" t="n"/>
      <c r="Y4458" s="113" t="n"/>
      <c r="Z4458" s="117">
        <f>IF($B4458="",0,IF($S4458="EVET",IF($D4458="GELİR",$O4458,-$O4458),0))</f>
        <v/>
      </c>
      <c r="AA4458" s="117">
        <f>IF($B4458="",0,IF(OR($W4458="EVET",$X4458="EVET",$Y4458="EVET"),0,IF($D4458="GELİR",IF($E4458="SATIŞ İADESİ/İSKONTO",-$O4458,$O4458),-$O4458)))</f>
        <v/>
      </c>
      <c r="AB4458" s="117">
        <f>IF($B4458="","",IF(OR($D4458="",$E4458="",$O4458=""),"EKSİK",IF($O4458&lt;=0,"SIFIR/NEGATİF",IF(COUNTIFS($C$6:$C$5000,$C4458,$O$6:$O$5000,$O4458,$B$6:$B$5000,$B4458)&gt;1,"MÜKERRER","OK"))))</f>
        <v/>
      </c>
    </row>
    <row r="4459" ht="16.5" customHeight="1" s="80">
      <c r="A4459" s="113" t="n"/>
      <c r="B4459" s="113" t="n"/>
      <c r="C4459" s="113" t="n"/>
      <c r="D4459" s="113" t="n"/>
      <c r="E4459" s="113" t="n"/>
      <c r="F4459" s="113" t="n"/>
      <c r="G4459" s="113" t="n"/>
      <c r="H4459" s="113" t="n"/>
      <c r="I4459" s="113" t="n"/>
      <c r="J4459" s="113" t="n"/>
      <c r="K4459" s="113" t="n"/>
      <c r="L4459" s="113" t="n"/>
      <c r="M4459" s="113" t="n"/>
      <c r="N4459" s="113" t="n"/>
      <c r="O4459" s="113" t="n"/>
      <c r="P4459" s="113" t="n"/>
      <c r="Q4459" s="113" t="n"/>
      <c r="R4459" s="113" t="n"/>
      <c r="S4459" s="113" t="n"/>
      <c r="T4459" s="113" t="n"/>
      <c r="U4459" s="113" t="n"/>
      <c r="V4459" s="113" t="n"/>
      <c r="W4459" s="113" t="n"/>
      <c r="X4459" s="113" t="n"/>
      <c r="Y4459" s="113" t="n"/>
      <c r="Z4459" s="117">
        <f>IF($B4459="",0,IF($S4459="EVET",IF($D4459="GELİR",$O4459,-$O4459),0))</f>
        <v/>
      </c>
      <c r="AA4459" s="117">
        <f>IF($B4459="",0,IF(OR($W4459="EVET",$X4459="EVET",$Y4459="EVET"),0,IF($D4459="GELİR",IF($E4459="SATIŞ İADESİ/İSKONTO",-$O4459,$O4459),-$O4459)))</f>
        <v/>
      </c>
      <c r="AB4459" s="117">
        <f>IF($B4459="","",IF(OR($D4459="",$E4459="",$O4459=""),"EKSİK",IF($O4459&lt;=0,"SIFIR/NEGATİF",IF(COUNTIFS($C$6:$C$5000,$C4459,$O$6:$O$5000,$O4459,$B$6:$B$5000,$B4459)&gt;1,"MÜKERRER","OK"))))</f>
        <v/>
      </c>
    </row>
    <row r="4460" ht="16.5" customHeight="1" s="80">
      <c r="A4460" s="113" t="n"/>
      <c r="B4460" s="113" t="n"/>
      <c r="C4460" s="113" t="n"/>
      <c r="D4460" s="113" t="n"/>
      <c r="E4460" s="113" t="n"/>
      <c r="F4460" s="113" t="n"/>
      <c r="G4460" s="113" t="n"/>
      <c r="H4460" s="113" t="n"/>
      <c r="I4460" s="113" t="n"/>
      <c r="J4460" s="113" t="n"/>
      <c r="K4460" s="113" t="n"/>
      <c r="L4460" s="113" t="n"/>
      <c r="M4460" s="113" t="n"/>
      <c r="N4460" s="113" t="n"/>
      <c r="O4460" s="113" t="n"/>
      <c r="P4460" s="113" t="n"/>
      <c r="Q4460" s="113" t="n"/>
      <c r="R4460" s="113" t="n"/>
      <c r="S4460" s="113" t="n"/>
      <c r="T4460" s="113" t="n"/>
      <c r="U4460" s="113" t="n"/>
      <c r="V4460" s="113" t="n"/>
      <c r="W4460" s="113" t="n"/>
      <c r="X4460" s="113" t="n"/>
      <c r="Y4460" s="113" t="n"/>
      <c r="Z4460" s="117">
        <f>IF($B4460="",0,IF($S4460="EVET",IF($D4460="GELİR",$O4460,-$O4460),0))</f>
        <v/>
      </c>
      <c r="AA4460" s="117">
        <f>IF($B4460="",0,IF(OR($W4460="EVET",$X4460="EVET",$Y4460="EVET"),0,IF($D4460="GELİR",IF($E4460="SATIŞ İADESİ/İSKONTO",-$O4460,$O4460),-$O4460)))</f>
        <v/>
      </c>
      <c r="AB4460" s="117">
        <f>IF($B4460="","",IF(OR($D4460="",$E4460="",$O4460=""),"EKSİK",IF($O4460&lt;=0,"SIFIR/NEGATİF",IF(COUNTIFS($C$6:$C$5000,$C4460,$O$6:$O$5000,$O4460,$B$6:$B$5000,$B4460)&gt;1,"MÜKERRER","OK"))))</f>
        <v/>
      </c>
    </row>
    <row r="4461" ht="16.5" customHeight="1" s="80">
      <c r="A4461" s="113" t="n"/>
      <c r="B4461" s="113" t="n"/>
      <c r="C4461" s="113" t="n"/>
      <c r="D4461" s="113" t="n"/>
      <c r="E4461" s="113" t="n"/>
      <c r="F4461" s="113" t="n"/>
      <c r="G4461" s="113" t="n"/>
      <c r="H4461" s="113" t="n"/>
      <c r="I4461" s="113" t="n"/>
      <c r="J4461" s="113" t="n"/>
      <c r="K4461" s="113" t="n"/>
      <c r="L4461" s="113" t="n"/>
      <c r="M4461" s="113" t="n"/>
      <c r="N4461" s="113" t="n"/>
      <c r="O4461" s="113" t="n"/>
      <c r="P4461" s="113" t="n"/>
      <c r="Q4461" s="113" t="n"/>
      <c r="R4461" s="113" t="n"/>
      <c r="S4461" s="113" t="n"/>
      <c r="T4461" s="113" t="n"/>
      <c r="U4461" s="113" t="n"/>
      <c r="V4461" s="113" t="n"/>
      <c r="W4461" s="113" t="n"/>
      <c r="X4461" s="113" t="n"/>
      <c r="Y4461" s="113" t="n"/>
      <c r="Z4461" s="117">
        <f>IF($B4461="",0,IF($S4461="EVET",IF($D4461="GELİR",$O4461,-$O4461),0))</f>
        <v/>
      </c>
      <c r="AA4461" s="117">
        <f>IF($B4461="",0,IF(OR($W4461="EVET",$X4461="EVET",$Y4461="EVET"),0,IF($D4461="GELİR",IF($E4461="SATIŞ İADESİ/İSKONTO",-$O4461,$O4461),-$O4461)))</f>
        <v/>
      </c>
      <c r="AB4461" s="117">
        <f>IF($B4461="","",IF(OR($D4461="",$E4461="",$O4461=""),"EKSİK",IF($O4461&lt;=0,"SIFIR/NEGATİF",IF(COUNTIFS($C$6:$C$5000,$C4461,$O$6:$O$5000,$O4461,$B$6:$B$5000,$B4461)&gt;1,"MÜKERRER","OK"))))</f>
        <v/>
      </c>
    </row>
    <row r="4462" ht="16.5" customHeight="1" s="80">
      <c r="A4462" s="113" t="n"/>
      <c r="B4462" s="113" t="n"/>
      <c r="C4462" s="113" t="n"/>
      <c r="D4462" s="113" t="n"/>
      <c r="E4462" s="113" t="n"/>
      <c r="F4462" s="113" t="n"/>
      <c r="G4462" s="113" t="n"/>
      <c r="H4462" s="113" t="n"/>
      <c r="I4462" s="113" t="n"/>
      <c r="J4462" s="113" t="n"/>
      <c r="K4462" s="113" t="n"/>
      <c r="L4462" s="113" t="n"/>
      <c r="M4462" s="113" t="n"/>
      <c r="N4462" s="113" t="n"/>
      <c r="O4462" s="113" t="n"/>
      <c r="P4462" s="113" t="n"/>
      <c r="Q4462" s="113" t="n"/>
      <c r="R4462" s="113" t="n"/>
      <c r="S4462" s="113" t="n"/>
      <c r="T4462" s="113" t="n"/>
      <c r="U4462" s="113" t="n"/>
      <c r="V4462" s="113" t="n"/>
      <c r="W4462" s="113" t="n"/>
      <c r="X4462" s="113" t="n"/>
      <c r="Y4462" s="113" t="n"/>
      <c r="Z4462" s="117">
        <f>IF($B4462="",0,IF($S4462="EVET",IF($D4462="GELİR",$O4462,-$O4462),0))</f>
        <v/>
      </c>
      <c r="AA4462" s="117">
        <f>IF($B4462="",0,IF(OR($W4462="EVET",$X4462="EVET",$Y4462="EVET"),0,IF($D4462="GELİR",IF($E4462="SATIŞ İADESİ/İSKONTO",-$O4462,$O4462),-$O4462)))</f>
        <v/>
      </c>
      <c r="AB4462" s="117">
        <f>IF($B4462="","",IF(OR($D4462="",$E4462="",$O4462=""),"EKSİK",IF($O4462&lt;=0,"SIFIR/NEGATİF",IF(COUNTIFS($C$6:$C$5000,$C4462,$O$6:$O$5000,$O4462,$B$6:$B$5000,$B4462)&gt;1,"MÜKERRER","OK"))))</f>
        <v/>
      </c>
    </row>
    <row r="4463" ht="16.5" customHeight="1" s="80">
      <c r="A4463" s="113" t="n"/>
      <c r="B4463" s="113" t="n"/>
      <c r="C4463" s="113" t="n"/>
      <c r="D4463" s="113" t="n"/>
      <c r="E4463" s="113" t="n"/>
      <c r="F4463" s="113" t="n"/>
      <c r="G4463" s="113" t="n"/>
      <c r="H4463" s="113" t="n"/>
      <c r="I4463" s="113" t="n"/>
      <c r="J4463" s="113" t="n"/>
      <c r="K4463" s="113" t="n"/>
      <c r="L4463" s="113" t="n"/>
      <c r="M4463" s="113" t="n"/>
      <c r="N4463" s="113" t="n"/>
      <c r="O4463" s="113" t="n"/>
      <c r="P4463" s="113" t="n"/>
      <c r="Q4463" s="113" t="n"/>
      <c r="R4463" s="113" t="n"/>
      <c r="S4463" s="113" t="n"/>
      <c r="T4463" s="113" t="n"/>
      <c r="U4463" s="113" t="n"/>
      <c r="V4463" s="113" t="n"/>
      <c r="W4463" s="113" t="n"/>
      <c r="X4463" s="113" t="n"/>
      <c r="Y4463" s="113" t="n"/>
      <c r="Z4463" s="117">
        <f>IF($B4463="",0,IF($S4463="EVET",IF($D4463="GELİR",$O4463,-$O4463),0))</f>
        <v/>
      </c>
      <c r="AA4463" s="117">
        <f>IF($B4463="",0,IF(OR($W4463="EVET",$X4463="EVET",$Y4463="EVET"),0,IF($D4463="GELİR",IF($E4463="SATIŞ İADESİ/İSKONTO",-$O4463,$O4463),-$O4463)))</f>
        <v/>
      </c>
      <c r="AB4463" s="117">
        <f>IF($B4463="","",IF(OR($D4463="",$E4463="",$O4463=""),"EKSİK",IF($O4463&lt;=0,"SIFIR/NEGATİF",IF(COUNTIFS($C$6:$C$5000,$C4463,$O$6:$O$5000,$O4463,$B$6:$B$5000,$B4463)&gt;1,"MÜKERRER","OK"))))</f>
        <v/>
      </c>
    </row>
    <row r="4464" ht="16.5" customHeight="1" s="80">
      <c r="A4464" s="113" t="n"/>
      <c r="B4464" s="113" t="n"/>
      <c r="C4464" s="113" t="n"/>
      <c r="D4464" s="113" t="n"/>
      <c r="E4464" s="113" t="n"/>
      <c r="F4464" s="113" t="n"/>
      <c r="G4464" s="113" t="n"/>
      <c r="H4464" s="113" t="n"/>
      <c r="I4464" s="113" t="n"/>
      <c r="J4464" s="113" t="n"/>
      <c r="K4464" s="113" t="n"/>
      <c r="L4464" s="113" t="n"/>
      <c r="M4464" s="113" t="n"/>
      <c r="N4464" s="113" t="n"/>
      <c r="O4464" s="113" t="n"/>
      <c r="P4464" s="113" t="n"/>
      <c r="Q4464" s="113" t="n"/>
      <c r="R4464" s="113" t="n"/>
      <c r="S4464" s="113" t="n"/>
      <c r="T4464" s="113" t="n"/>
      <c r="U4464" s="113" t="n"/>
      <c r="V4464" s="113" t="n"/>
      <c r="W4464" s="113" t="n"/>
      <c r="X4464" s="113" t="n"/>
      <c r="Y4464" s="113" t="n"/>
      <c r="Z4464" s="117">
        <f>IF($B4464="",0,IF($S4464="EVET",IF($D4464="GELİR",$O4464,-$O4464),0))</f>
        <v/>
      </c>
      <c r="AA4464" s="117">
        <f>IF($B4464="",0,IF(OR($W4464="EVET",$X4464="EVET",$Y4464="EVET"),0,IF($D4464="GELİR",IF($E4464="SATIŞ İADESİ/İSKONTO",-$O4464,$O4464),-$O4464)))</f>
        <v/>
      </c>
      <c r="AB4464" s="117">
        <f>IF($B4464="","",IF(OR($D4464="",$E4464="",$O4464=""),"EKSİK",IF($O4464&lt;=0,"SIFIR/NEGATİF",IF(COUNTIFS($C$6:$C$5000,$C4464,$O$6:$O$5000,$O4464,$B$6:$B$5000,$B4464)&gt;1,"MÜKERRER","OK"))))</f>
        <v/>
      </c>
    </row>
    <row r="4465" ht="16.5" customHeight="1" s="80">
      <c r="A4465" s="113" t="n"/>
      <c r="B4465" s="113" t="n"/>
      <c r="C4465" s="113" t="n"/>
      <c r="D4465" s="113" t="n"/>
      <c r="E4465" s="113" t="n"/>
      <c r="F4465" s="113" t="n"/>
      <c r="G4465" s="113" t="n"/>
      <c r="H4465" s="113" t="n"/>
      <c r="I4465" s="113" t="n"/>
      <c r="J4465" s="113" t="n"/>
      <c r="K4465" s="113" t="n"/>
      <c r="L4465" s="113" t="n"/>
      <c r="M4465" s="113" t="n"/>
      <c r="N4465" s="113" t="n"/>
      <c r="O4465" s="113" t="n"/>
      <c r="P4465" s="113" t="n"/>
      <c r="Q4465" s="113" t="n"/>
      <c r="R4465" s="113" t="n"/>
      <c r="S4465" s="113" t="n"/>
      <c r="T4465" s="113" t="n"/>
      <c r="U4465" s="113" t="n"/>
      <c r="V4465" s="113" t="n"/>
      <c r="W4465" s="113" t="n"/>
      <c r="X4465" s="113" t="n"/>
      <c r="Y4465" s="113" t="n"/>
      <c r="Z4465" s="117">
        <f>IF($B4465="",0,IF($S4465="EVET",IF($D4465="GELİR",$O4465,-$O4465),0))</f>
        <v/>
      </c>
      <c r="AA4465" s="117">
        <f>IF($B4465="",0,IF(OR($W4465="EVET",$X4465="EVET",$Y4465="EVET"),0,IF($D4465="GELİR",IF($E4465="SATIŞ İADESİ/İSKONTO",-$O4465,$O4465),-$O4465)))</f>
        <v/>
      </c>
      <c r="AB4465" s="117">
        <f>IF($B4465="","",IF(OR($D4465="",$E4465="",$O4465=""),"EKSİK",IF($O4465&lt;=0,"SIFIR/NEGATİF",IF(COUNTIFS($C$6:$C$5000,$C4465,$O$6:$O$5000,$O4465,$B$6:$B$5000,$B4465)&gt;1,"MÜKERRER","OK"))))</f>
        <v/>
      </c>
    </row>
    <row r="4466" ht="16.5" customHeight="1" s="80">
      <c r="A4466" s="113" t="n"/>
      <c r="B4466" s="113" t="n"/>
      <c r="C4466" s="113" t="n"/>
      <c r="D4466" s="113" t="n"/>
      <c r="E4466" s="113" t="n"/>
      <c r="F4466" s="113" t="n"/>
      <c r="G4466" s="113" t="n"/>
      <c r="H4466" s="113" t="n"/>
      <c r="I4466" s="113" t="n"/>
      <c r="J4466" s="113" t="n"/>
      <c r="K4466" s="113" t="n"/>
      <c r="L4466" s="113" t="n"/>
      <c r="M4466" s="113" t="n"/>
      <c r="N4466" s="113" t="n"/>
      <c r="O4466" s="113" t="n"/>
      <c r="P4466" s="113" t="n"/>
      <c r="Q4466" s="113" t="n"/>
      <c r="R4466" s="113" t="n"/>
      <c r="S4466" s="113" t="n"/>
      <c r="T4466" s="113" t="n"/>
      <c r="U4466" s="113" t="n"/>
      <c r="V4466" s="113" t="n"/>
      <c r="W4466" s="113" t="n"/>
      <c r="X4466" s="113" t="n"/>
      <c r="Y4466" s="113" t="n"/>
      <c r="Z4466" s="117">
        <f>IF($B4466="",0,IF($S4466="EVET",IF($D4466="GELİR",$O4466,-$O4466),0))</f>
        <v/>
      </c>
      <c r="AA4466" s="117">
        <f>IF($B4466="",0,IF(OR($W4466="EVET",$X4466="EVET",$Y4466="EVET"),0,IF($D4466="GELİR",IF($E4466="SATIŞ İADESİ/İSKONTO",-$O4466,$O4466),-$O4466)))</f>
        <v/>
      </c>
      <c r="AB4466" s="117">
        <f>IF($B4466="","",IF(OR($D4466="",$E4466="",$O4466=""),"EKSİK",IF($O4466&lt;=0,"SIFIR/NEGATİF",IF(COUNTIFS($C$6:$C$5000,$C4466,$O$6:$O$5000,$O4466,$B$6:$B$5000,$B4466)&gt;1,"MÜKERRER","OK"))))</f>
        <v/>
      </c>
    </row>
    <row r="4467" ht="16.5" customHeight="1" s="80">
      <c r="A4467" s="113" t="n"/>
      <c r="B4467" s="113" t="n"/>
      <c r="C4467" s="113" t="n"/>
      <c r="D4467" s="113" t="n"/>
      <c r="E4467" s="113" t="n"/>
      <c r="F4467" s="113" t="n"/>
      <c r="G4467" s="113" t="n"/>
      <c r="H4467" s="113" t="n"/>
      <c r="I4467" s="113" t="n"/>
      <c r="J4467" s="113" t="n"/>
      <c r="K4467" s="113" t="n"/>
      <c r="L4467" s="113" t="n"/>
      <c r="M4467" s="113" t="n"/>
      <c r="N4467" s="113" t="n"/>
      <c r="O4467" s="113" t="n"/>
      <c r="P4467" s="113" t="n"/>
      <c r="Q4467" s="113" t="n"/>
      <c r="R4467" s="113" t="n"/>
      <c r="S4467" s="113" t="n"/>
      <c r="T4467" s="113" t="n"/>
      <c r="U4467" s="113" t="n"/>
      <c r="V4467" s="113" t="n"/>
      <c r="W4467" s="113" t="n"/>
      <c r="X4467" s="113" t="n"/>
      <c r="Y4467" s="113" t="n"/>
      <c r="Z4467" s="117">
        <f>IF($B4467="",0,IF($S4467="EVET",IF($D4467="GELİR",$O4467,-$O4467),0))</f>
        <v/>
      </c>
      <c r="AA4467" s="117">
        <f>IF($B4467="",0,IF(OR($W4467="EVET",$X4467="EVET",$Y4467="EVET"),0,IF($D4467="GELİR",IF($E4467="SATIŞ İADESİ/İSKONTO",-$O4467,$O4467),-$O4467)))</f>
        <v/>
      </c>
      <c r="AB4467" s="117">
        <f>IF($B4467="","",IF(OR($D4467="",$E4467="",$O4467=""),"EKSİK",IF($O4467&lt;=0,"SIFIR/NEGATİF",IF(COUNTIFS($C$6:$C$5000,$C4467,$O$6:$O$5000,$O4467,$B$6:$B$5000,$B4467)&gt;1,"MÜKERRER","OK"))))</f>
        <v/>
      </c>
    </row>
    <row r="4468" ht="16.5" customHeight="1" s="80">
      <c r="A4468" s="113" t="n"/>
      <c r="B4468" s="113" t="n"/>
      <c r="C4468" s="113" t="n"/>
      <c r="D4468" s="113" t="n"/>
      <c r="E4468" s="113" t="n"/>
      <c r="F4468" s="113" t="n"/>
      <c r="G4468" s="113" t="n"/>
      <c r="H4468" s="113" t="n"/>
      <c r="I4468" s="113" t="n"/>
      <c r="J4468" s="113" t="n"/>
      <c r="K4468" s="113" t="n"/>
      <c r="L4468" s="113" t="n"/>
      <c r="M4468" s="113" t="n"/>
      <c r="N4468" s="113" t="n"/>
      <c r="O4468" s="113" t="n"/>
      <c r="P4468" s="113" t="n"/>
      <c r="Q4468" s="113" t="n"/>
      <c r="R4468" s="113" t="n"/>
      <c r="S4468" s="113" t="n"/>
      <c r="T4468" s="113" t="n"/>
      <c r="U4468" s="113" t="n"/>
      <c r="V4468" s="113" t="n"/>
      <c r="W4468" s="113" t="n"/>
      <c r="X4468" s="113" t="n"/>
      <c r="Y4468" s="113" t="n"/>
      <c r="Z4468" s="117">
        <f>IF($B4468="",0,IF($S4468="EVET",IF($D4468="GELİR",$O4468,-$O4468),0))</f>
        <v/>
      </c>
      <c r="AA4468" s="117">
        <f>IF($B4468="",0,IF(OR($W4468="EVET",$X4468="EVET",$Y4468="EVET"),0,IF($D4468="GELİR",IF($E4468="SATIŞ İADESİ/İSKONTO",-$O4468,$O4468),-$O4468)))</f>
        <v/>
      </c>
      <c r="AB4468" s="117">
        <f>IF($B4468="","",IF(OR($D4468="",$E4468="",$O4468=""),"EKSİK",IF($O4468&lt;=0,"SIFIR/NEGATİF",IF(COUNTIFS($C$6:$C$5000,$C4468,$O$6:$O$5000,$O4468,$B$6:$B$5000,$B4468)&gt;1,"MÜKERRER","OK"))))</f>
        <v/>
      </c>
    </row>
    <row r="4469" ht="16.5" customHeight="1" s="80">
      <c r="A4469" s="113" t="n"/>
      <c r="B4469" s="113" t="n"/>
      <c r="C4469" s="113" t="n"/>
      <c r="D4469" s="113" t="n"/>
      <c r="E4469" s="113" t="n"/>
      <c r="F4469" s="113" t="n"/>
      <c r="G4469" s="113" t="n"/>
      <c r="H4469" s="113" t="n"/>
      <c r="I4469" s="113" t="n"/>
      <c r="J4469" s="113" t="n"/>
      <c r="K4469" s="113" t="n"/>
      <c r="L4469" s="113" t="n"/>
      <c r="M4469" s="113" t="n"/>
      <c r="N4469" s="113" t="n"/>
      <c r="O4469" s="113" t="n"/>
      <c r="P4469" s="113" t="n"/>
      <c r="Q4469" s="113" t="n"/>
      <c r="R4469" s="113" t="n"/>
      <c r="S4469" s="113" t="n"/>
      <c r="T4469" s="113" t="n"/>
      <c r="U4469" s="113" t="n"/>
      <c r="V4469" s="113" t="n"/>
      <c r="W4469" s="113" t="n"/>
      <c r="X4469" s="113" t="n"/>
      <c r="Y4469" s="113" t="n"/>
      <c r="Z4469" s="117">
        <f>IF($B4469="",0,IF($S4469="EVET",IF($D4469="GELİR",$O4469,-$O4469),0))</f>
        <v/>
      </c>
      <c r="AA4469" s="117">
        <f>IF($B4469="",0,IF(OR($W4469="EVET",$X4469="EVET",$Y4469="EVET"),0,IF($D4469="GELİR",IF($E4469="SATIŞ İADESİ/İSKONTO",-$O4469,$O4469),-$O4469)))</f>
        <v/>
      </c>
      <c r="AB4469" s="117">
        <f>IF($B4469="","",IF(OR($D4469="",$E4469="",$O4469=""),"EKSİK",IF($O4469&lt;=0,"SIFIR/NEGATİF",IF(COUNTIFS($C$6:$C$5000,$C4469,$O$6:$O$5000,$O4469,$B$6:$B$5000,$B4469)&gt;1,"MÜKERRER","OK"))))</f>
        <v/>
      </c>
    </row>
    <row r="4470" ht="16.5" customHeight="1" s="80">
      <c r="A4470" s="113" t="n"/>
      <c r="B4470" s="113" t="n"/>
      <c r="C4470" s="113" t="n"/>
      <c r="D4470" s="113" t="n"/>
      <c r="E4470" s="113" t="n"/>
      <c r="F4470" s="113" t="n"/>
      <c r="G4470" s="113" t="n"/>
      <c r="H4470" s="113" t="n"/>
      <c r="I4470" s="113" t="n"/>
      <c r="J4470" s="113" t="n"/>
      <c r="K4470" s="113" t="n"/>
      <c r="L4470" s="113" t="n"/>
      <c r="M4470" s="113" t="n"/>
      <c r="N4470" s="113" t="n"/>
      <c r="O4470" s="113" t="n"/>
      <c r="P4470" s="113" t="n"/>
      <c r="Q4470" s="113" t="n"/>
      <c r="R4470" s="113" t="n"/>
      <c r="S4470" s="113" t="n"/>
      <c r="T4470" s="113" t="n"/>
      <c r="U4470" s="113" t="n"/>
      <c r="V4470" s="113" t="n"/>
      <c r="W4470" s="113" t="n"/>
      <c r="X4470" s="113" t="n"/>
      <c r="Y4470" s="113" t="n"/>
      <c r="Z4470" s="117">
        <f>IF($B4470="",0,IF($S4470="EVET",IF($D4470="GELİR",$O4470,-$O4470),0))</f>
        <v/>
      </c>
      <c r="AA4470" s="117">
        <f>IF($B4470="",0,IF(OR($W4470="EVET",$X4470="EVET",$Y4470="EVET"),0,IF($D4470="GELİR",IF($E4470="SATIŞ İADESİ/İSKONTO",-$O4470,$O4470),-$O4470)))</f>
        <v/>
      </c>
      <c r="AB4470" s="117">
        <f>IF($B4470="","",IF(OR($D4470="",$E4470="",$O4470=""),"EKSİK",IF($O4470&lt;=0,"SIFIR/NEGATİF",IF(COUNTIFS($C$6:$C$5000,$C4470,$O$6:$O$5000,$O4470,$B$6:$B$5000,$B4470)&gt;1,"MÜKERRER","OK"))))</f>
        <v/>
      </c>
    </row>
    <row r="4471" ht="16.5" customHeight="1" s="80">
      <c r="A4471" s="113" t="n"/>
      <c r="B4471" s="113" t="n"/>
      <c r="C4471" s="113" t="n"/>
      <c r="D4471" s="113" t="n"/>
      <c r="E4471" s="113" t="n"/>
      <c r="F4471" s="113" t="n"/>
      <c r="G4471" s="113" t="n"/>
      <c r="H4471" s="113" t="n"/>
      <c r="I4471" s="113" t="n"/>
      <c r="J4471" s="113" t="n"/>
      <c r="K4471" s="113" t="n"/>
      <c r="L4471" s="113" t="n"/>
      <c r="M4471" s="113" t="n"/>
      <c r="N4471" s="113" t="n"/>
      <c r="O4471" s="113" t="n"/>
      <c r="P4471" s="113" t="n"/>
      <c r="Q4471" s="113" t="n"/>
      <c r="R4471" s="113" t="n"/>
      <c r="S4471" s="113" t="n"/>
      <c r="T4471" s="113" t="n"/>
      <c r="U4471" s="113" t="n"/>
      <c r="V4471" s="113" t="n"/>
      <c r="W4471" s="113" t="n"/>
      <c r="X4471" s="113" t="n"/>
      <c r="Y4471" s="113" t="n"/>
      <c r="Z4471" s="117">
        <f>IF($B4471="",0,IF($S4471="EVET",IF($D4471="GELİR",$O4471,-$O4471),0))</f>
        <v/>
      </c>
      <c r="AA4471" s="117">
        <f>IF($B4471="",0,IF(OR($W4471="EVET",$X4471="EVET",$Y4471="EVET"),0,IF($D4471="GELİR",IF($E4471="SATIŞ İADESİ/İSKONTO",-$O4471,$O4471),-$O4471)))</f>
        <v/>
      </c>
      <c r="AB4471" s="117">
        <f>IF($B4471="","",IF(OR($D4471="",$E4471="",$O4471=""),"EKSİK",IF($O4471&lt;=0,"SIFIR/NEGATİF",IF(COUNTIFS($C$6:$C$5000,$C4471,$O$6:$O$5000,$O4471,$B$6:$B$5000,$B4471)&gt;1,"MÜKERRER","OK"))))</f>
        <v/>
      </c>
    </row>
    <row r="4472" ht="16.5" customHeight="1" s="80">
      <c r="A4472" s="113" t="n"/>
      <c r="B4472" s="113" t="n"/>
      <c r="C4472" s="113" t="n"/>
      <c r="D4472" s="113" t="n"/>
      <c r="E4472" s="113" t="n"/>
      <c r="F4472" s="113" t="n"/>
      <c r="G4472" s="113" t="n"/>
      <c r="H4472" s="113" t="n"/>
      <c r="I4472" s="113" t="n"/>
      <c r="J4472" s="113" t="n"/>
      <c r="K4472" s="113" t="n"/>
      <c r="L4472" s="113" t="n"/>
      <c r="M4472" s="113" t="n"/>
      <c r="N4472" s="113" t="n"/>
      <c r="O4472" s="113" t="n"/>
      <c r="P4472" s="113" t="n"/>
      <c r="Q4472" s="113" t="n"/>
      <c r="R4472" s="113" t="n"/>
      <c r="S4472" s="113" t="n"/>
      <c r="T4472" s="113" t="n"/>
      <c r="U4472" s="113" t="n"/>
      <c r="V4472" s="113" t="n"/>
      <c r="W4472" s="113" t="n"/>
      <c r="X4472" s="113" t="n"/>
      <c r="Y4472" s="113" t="n"/>
      <c r="Z4472" s="117">
        <f>IF($B4472="",0,IF($S4472="EVET",IF($D4472="GELİR",$O4472,-$O4472),0))</f>
        <v/>
      </c>
      <c r="AA4472" s="117">
        <f>IF($B4472="",0,IF(OR($W4472="EVET",$X4472="EVET",$Y4472="EVET"),0,IF($D4472="GELİR",IF($E4472="SATIŞ İADESİ/İSKONTO",-$O4472,$O4472),-$O4472)))</f>
        <v/>
      </c>
      <c r="AB4472" s="117">
        <f>IF($B4472="","",IF(OR($D4472="",$E4472="",$O4472=""),"EKSİK",IF($O4472&lt;=0,"SIFIR/NEGATİF",IF(COUNTIFS($C$6:$C$5000,$C4472,$O$6:$O$5000,$O4472,$B$6:$B$5000,$B4472)&gt;1,"MÜKERRER","OK"))))</f>
        <v/>
      </c>
    </row>
    <row r="4473" ht="16.5" customHeight="1" s="80">
      <c r="A4473" s="113" t="n"/>
      <c r="B4473" s="113" t="n"/>
      <c r="C4473" s="113" t="n"/>
      <c r="D4473" s="113" t="n"/>
      <c r="E4473" s="113" t="n"/>
      <c r="F4473" s="113" t="n"/>
      <c r="G4473" s="113" t="n"/>
      <c r="H4473" s="113" t="n"/>
      <c r="I4473" s="113" t="n"/>
      <c r="J4473" s="113" t="n"/>
      <c r="K4473" s="113" t="n"/>
      <c r="L4473" s="113" t="n"/>
      <c r="M4473" s="113" t="n"/>
      <c r="N4473" s="113" t="n"/>
      <c r="O4473" s="113" t="n"/>
      <c r="P4473" s="113" t="n"/>
      <c r="Q4473" s="113" t="n"/>
      <c r="R4473" s="113" t="n"/>
      <c r="S4473" s="113" t="n"/>
      <c r="T4473" s="113" t="n"/>
      <c r="U4473" s="113" t="n"/>
      <c r="V4473" s="113" t="n"/>
      <c r="W4473" s="113" t="n"/>
      <c r="X4473" s="113" t="n"/>
      <c r="Y4473" s="113" t="n"/>
      <c r="Z4473" s="117">
        <f>IF($B4473="",0,IF($S4473="EVET",IF($D4473="GELİR",$O4473,-$O4473),0))</f>
        <v/>
      </c>
      <c r="AA4473" s="117">
        <f>IF($B4473="",0,IF(OR($W4473="EVET",$X4473="EVET",$Y4473="EVET"),0,IF($D4473="GELİR",IF($E4473="SATIŞ İADESİ/İSKONTO",-$O4473,$O4473),-$O4473)))</f>
        <v/>
      </c>
      <c r="AB4473" s="117">
        <f>IF($B4473="","",IF(OR($D4473="",$E4473="",$O4473=""),"EKSİK",IF($O4473&lt;=0,"SIFIR/NEGATİF",IF(COUNTIFS($C$6:$C$5000,$C4473,$O$6:$O$5000,$O4473,$B$6:$B$5000,$B4473)&gt;1,"MÜKERRER","OK"))))</f>
        <v/>
      </c>
    </row>
    <row r="4474" ht="16.5" customHeight="1" s="80">
      <c r="A4474" s="113" t="n"/>
      <c r="B4474" s="113" t="n"/>
      <c r="C4474" s="113" t="n"/>
      <c r="D4474" s="113" t="n"/>
      <c r="E4474" s="113" t="n"/>
      <c r="F4474" s="113" t="n"/>
      <c r="G4474" s="113" t="n"/>
      <c r="H4474" s="113" t="n"/>
      <c r="I4474" s="113" t="n"/>
      <c r="J4474" s="113" t="n"/>
      <c r="K4474" s="113" t="n"/>
      <c r="L4474" s="113" t="n"/>
      <c r="M4474" s="113" t="n"/>
      <c r="N4474" s="113" t="n"/>
      <c r="O4474" s="113" t="n"/>
      <c r="P4474" s="113" t="n"/>
      <c r="Q4474" s="113" t="n"/>
      <c r="R4474" s="113" t="n"/>
      <c r="S4474" s="113" t="n"/>
      <c r="T4474" s="113" t="n"/>
      <c r="U4474" s="113" t="n"/>
      <c r="V4474" s="113" t="n"/>
      <c r="W4474" s="113" t="n"/>
      <c r="X4474" s="113" t="n"/>
      <c r="Y4474" s="113" t="n"/>
      <c r="Z4474" s="117">
        <f>IF($B4474="",0,IF($S4474="EVET",IF($D4474="GELİR",$O4474,-$O4474),0))</f>
        <v/>
      </c>
      <c r="AA4474" s="117">
        <f>IF($B4474="",0,IF(OR($W4474="EVET",$X4474="EVET",$Y4474="EVET"),0,IF($D4474="GELİR",IF($E4474="SATIŞ İADESİ/İSKONTO",-$O4474,$O4474),-$O4474)))</f>
        <v/>
      </c>
      <c r="AB4474" s="117">
        <f>IF($B4474="","",IF(OR($D4474="",$E4474="",$O4474=""),"EKSİK",IF($O4474&lt;=0,"SIFIR/NEGATİF",IF(COUNTIFS($C$6:$C$5000,$C4474,$O$6:$O$5000,$O4474,$B$6:$B$5000,$B4474)&gt;1,"MÜKERRER","OK"))))</f>
        <v/>
      </c>
    </row>
    <row r="4475" ht="16.5" customHeight="1" s="80">
      <c r="A4475" s="113" t="n"/>
      <c r="B4475" s="113" t="n"/>
      <c r="C4475" s="113" t="n"/>
      <c r="D4475" s="113" t="n"/>
      <c r="E4475" s="113" t="n"/>
      <c r="F4475" s="113" t="n"/>
      <c r="G4475" s="113" t="n"/>
      <c r="H4475" s="113" t="n"/>
      <c r="I4475" s="113" t="n"/>
      <c r="J4475" s="113" t="n"/>
      <c r="K4475" s="113" t="n"/>
      <c r="L4475" s="113" t="n"/>
      <c r="M4475" s="113" t="n"/>
      <c r="N4475" s="113" t="n"/>
      <c r="O4475" s="113" t="n"/>
      <c r="P4475" s="113" t="n"/>
      <c r="Q4475" s="113" t="n"/>
      <c r="R4475" s="113" t="n"/>
      <c r="S4475" s="113" t="n"/>
      <c r="T4475" s="113" t="n"/>
      <c r="U4475" s="113" t="n"/>
      <c r="V4475" s="113" t="n"/>
      <c r="W4475" s="113" t="n"/>
      <c r="X4475" s="113" t="n"/>
      <c r="Y4475" s="113" t="n"/>
      <c r="Z4475" s="117">
        <f>IF($B4475="",0,IF($S4475="EVET",IF($D4475="GELİR",$O4475,-$O4475),0))</f>
        <v/>
      </c>
      <c r="AA4475" s="117">
        <f>IF($B4475="",0,IF(OR($W4475="EVET",$X4475="EVET",$Y4475="EVET"),0,IF($D4475="GELİR",IF($E4475="SATIŞ İADESİ/İSKONTO",-$O4475,$O4475),-$O4475)))</f>
        <v/>
      </c>
      <c r="AB4475" s="117">
        <f>IF($B4475="","",IF(OR($D4475="",$E4475="",$O4475=""),"EKSİK",IF($O4475&lt;=0,"SIFIR/NEGATİF",IF(COUNTIFS($C$6:$C$5000,$C4475,$O$6:$O$5000,$O4475,$B$6:$B$5000,$B4475)&gt;1,"MÜKERRER","OK"))))</f>
        <v/>
      </c>
    </row>
    <row r="4476" ht="16.5" customHeight="1" s="80">
      <c r="A4476" s="113" t="n"/>
      <c r="B4476" s="113" t="n"/>
      <c r="C4476" s="113" t="n"/>
      <c r="D4476" s="113" t="n"/>
      <c r="E4476" s="113" t="n"/>
      <c r="F4476" s="113" t="n"/>
      <c r="G4476" s="113" t="n"/>
      <c r="H4476" s="113" t="n"/>
      <c r="I4476" s="113" t="n"/>
      <c r="J4476" s="113" t="n"/>
      <c r="K4476" s="113" t="n"/>
      <c r="L4476" s="113" t="n"/>
      <c r="M4476" s="113" t="n"/>
      <c r="N4476" s="113" t="n"/>
      <c r="O4476" s="113" t="n"/>
      <c r="P4476" s="113" t="n"/>
      <c r="Q4476" s="113" t="n"/>
      <c r="R4476" s="113" t="n"/>
      <c r="S4476" s="113" t="n"/>
      <c r="T4476" s="113" t="n"/>
      <c r="U4476" s="113" t="n"/>
      <c r="V4476" s="113" t="n"/>
      <c r="W4476" s="113" t="n"/>
      <c r="X4476" s="113" t="n"/>
      <c r="Y4476" s="113" t="n"/>
      <c r="Z4476" s="117">
        <f>IF($B4476="",0,IF($S4476="EVET",IF($D4476="GELİR",$O4476,-$O4476),0))</f>
        <v/>
      </c>
      <c r="AA4476" s="117">
        <f>IF($B4476="",0,IF(OR($W4476="EVET",$X4476="EVET",$Y4476="EVET"),0,IF($D4476="GELİR",IF($E4476="SATIŞ İADESİ/İSKONTO",-$O4476,$O4476),-$O4476)))</f>
        <v/>
      </c>
      <c r="AB4476" s="117">
        <f>IF($B4476="","",IF(OR($D4476="",$E4476="",$O4476=""),"EKSİK",IF($O4476&lt;=0,"SIFIR/NEGATİF",IF(COUNTIFS($C$6:$C$5000,$C4476,$O$6:$O$5000,$O4476,$B$6:$B$5000,$B4476)&gt;1,"MÜKERRER","OK"))))</f>
        <v/>
      </c>
    </row>
    <row r="4477" ht="16.5" customHeight="1" s="80">
      <c r="A4477" s="113" t="n"/>
      <c r="B4477" s="113" t="n"/>
      <c r="C4477" s="113" t="n"/>
      <c r="D4477" s="113" t="n"/>
      <c r="E4477" s="113" t="n"/>
      <c r="F4477" s="113" t="n"/>
      <c r="G4477" s="113" t="n"/>
      <c r="H4477" s="113" t="n"/>
      <c r="I4477" s="113" t="n"/>
      <c r="J4477" s="113" t="n"/>
      <c r="K4477" s="113" t="n"/>
      <c r="L4477" s="113" t="n"/>
      <c r="M4477" s="113" t="n"/>
      <c r="N4477" s="113" t="n"/>
      <c r="O4477" s="113" t="n"/>
      <c r="P4477" s="113" t="n"/>
      <c r="Q4477" s="113" t="n"/>
      <c r="R4477" s="113" t="n"/>
      <c r="S4477" s="113" t="n"/>
      <c r="T4477" s="113" t="n"/>
      <c r="U4477" s="113" t="n"/>
      <c r="V4477" s="113" t="n"/>
      <c r="W4477" s="113" t="n"/>
      <c r="X4477" s="113" t="n"/>
      <c r="Y4477" s="113" t="n"/>
      <c r="Z4477" s="117">
        <f>IF($B4477="",0,IF($S4477="EVET",IF($D4477="GELİR",$O4477,-$O4477),0))</f>
        <v/>
      </c>
      <c r="AA4477" s="117">
        <f>IF($B4477="",0,IF(OR($W4477="EVET",$X4477="EVET",$Y4477="EVET"),0,IF($D4477="GELİR",IF($E4477="SATIŞ İADESİ/İSKONTO",-$O4477,$O4477),-$O4477)))</f>
        <v/>
      </c>
      <c r="AB4477" s="117">
        <f>IF($B4477="","",IF(OR($D4477="",$E4477="",$O4477=""),"EKSİK",IF($O4477&lt;=0,"SIFIR/NEGATİF",IF(COUNTIFS($C$6:$C$5000,$C4477,$O$6:$O$5000,$O4477,$B$6:$B$5000,$B4477)&gt;1,"MÜKERRER","OK"))))</f>
        <v/>
      </c>
    </row>
    <row r="4478" ht="16.5" customHeight="1" s="80">
      <c r="A4478" s="113" t="n"/>
      <c r="B4478" s="113" t="n"/>
      <c r="C4478" s="113" t="n"/>
      <c r="D4478" s="113" t="n"/>
      <c r="E4478" s="113" t="n"/>
      <c r="F4478" s="113" t="n"/>
      <c r="G4478" s="113" t="n"/>
      <c r="H4478" s="113" t="n"/>
      <c r="I4478" s="113" t="n"/>
      <c r="J4478" s="113" t="n"/>
      <c r="K4478" s="113" t="n"/>
      <c r="L4478" s="113" t="n"/>
      <c r="M4478" s="113" t="n"/>
      <c r="N4478" s="113" t="n"/>
      <c r="O4478" s="113" t="n"/>
      <c r="P4478" s="113" t="n"/>
      <c r="Q4478" s="113" t="n"/>
      <c r="R4478" s="113" t="n"/>
      <c r="S4478" s="113" t="n"/>
      <c r="T4478" s="113" t="n"/>
      <c r="U4478" s="113" t="n"/>
      <c r="V4478" s="113" t="n"/>
      <c r="W4478" s="113" t="n"/>
      <c r="X4478" s="113" t="n"/>
      <c r="Y4478" s="113" t="n"/>
      <c r="Z4478" s="117">
        <f>IF($B4478="",0,IF($S4478="EVET",IF($D4478="GELİR",$O4478,-$O4478),0))</f>
        <v/>
      </c>
      <c r="AA4478" s="117">
        <f>IF($B4478="",0,IF(OR($W4478="EVET",$X4478="EVET",$Y4478="EVET"),0,IF($D4478="GELİR",IF($E4478="SATIŞ İADESİ/İSKONTO",-$O4478,$O4478),-$O4478)))</f>
        <v/>
      </c>
      <c r="AB4478" s="117">
        <f>IF($B4478="","",IF(OR($D4478="",$E4478="",$O4478=""),"EKSİK",IF($O4478&lt;=0,"SIFIR/NEGATİF",IF(COUNTIFS($C$6:$C$5000,$C4478,$O$6:$O$5000,$O4478,$B$6:$B$5000,$B4478)&gt;1,"MÜKERRER","OK"))))</f>
        <v/>
      </c>
    </row>
    <row r="4479" ht="16.5" customHeight="1" s="80">
      <c r="A4479" s="113" t="n"/>
      <c r="B4479" s="113" t="n"/>
      <c r="C4479" s="113" t="n"/>
      <c r="D4479" s="113" t="n"/>
      <c r="E4479" s="113" t="n"/>
      <c r="F4479" s="113" t="n"/>
      <c r="G4479" s="113" t="n"/>
      <c r="H4479" s="113" t="n"/>
      <c r="I4479" s="113" t="n"/>
      <c r="J4479" s="113" t="n"/>
      <c r="K4479" s="113" t="n"/>
      <c r="L4479" s="113" t="n"/>
      <c r="M4479" s="113" t="n"/>
      <c r="N4479" s="113" t="n"/>
      <c r="O4479" s="113" t="n"/>
      <c r="P4479" s="113" t="n"/>
      <c r="Q4479" s="113" t="n"/>
      <c r="R4479" s="113" t="n"/>
      <c r="S4479" s="113" t="n"/>
      <c r="T4479" s="113" t="n"/>
      <c r="U4479" s="113" t="n"/>
      <c r="V4479" s="113" t="n"/>
      <c r="W4479" s="113" t="n"/>
      <c r="X4479" s="113" t="n"/>
      <c r="Y4479" s="113" t="n"/>
      <c r="Z4479" s="117">
        <f>IF($B4479="",0,IF($S4479="EVET",IF($D4479="GELİR",$O4479,-$O4479),0))</f>
        <v/>
      </c>
      <c r="AA4479" s="117">
        <f>IF($B4479="",0,IF(OR($W4479="EVET",$X4479="EVET",$Y4479="EVET"),0,IF($D4479="GELİR",IF($E4479="SATIŞ İADESİ/İSKONTO",-$O4479,$O4479),-$O4479)))</f>
        <v/>
      </c>
      <c r="AB4479" s="117">
        <f>IF($B4479="","",IF(OR($D4479="",$E4479="",$O4479=""),"EKSİK",IF($O4479&lt;=0,"SIFIR/NEGATİF",IF(COUNTIFS($C$6:$C$5000,$C4479,$O$6:$O$5000,$O4479,$B$6:$B$5000,$B4479)&gt;1,"MÜKERRER","OK"))))</f>
        <v/>
      </c>
    </row>
    <row r="4480" ht="16.5" customHeight="1" s="80">
      <c r="A4480" s="113" t="n"/>
      <c r="B4480" s="113" t="n"/>
      <c r="C4480" s="113" t="n"/>
      <c r="D4480" s="113" t="n"/>
      <c r="E4480" s="113" t="n"/>
      <c r="F4480" s="113" t="n"/>
      <c r="G4480" s="113" t="n"/>
      <c r="H4480" s="113" t="n"/>
      <c r="I4480" s="113" t="n"/>
      <c r="J4480" s="113" t="n"/>
      <c r="K4480" s="113" t="n"/>
      <c r="L4480" s="113" t="n"/>
      <c r="M4480" s="113" t="n"/>
      <c r="N4480" s="113" t="n"/>
      <c r="O4480" s="113" t="n"/>
      <c r="P4480" s="113" t="n"/>
      <c r="Q4480" s="113" t="n"/>
      <c r="R4480" s="113" t="n"/>
      <c r="S4480" s="113" t="n"/>
      <c r="T4480" s="113" t="n"/>
      <c r="U4480" s="113" t="n"/>
      <c r="V4480" s="113" t="n"/>
      <c r="W4480" s="113" t="n"/>
      <c r="X4480" s="113" t="n"/>
      <c r="Y4480" s="113" t="n"/>
      <c r="Z4480" s="117">
        <f>IF($B4480="",0,IF($S4480="EVET",IF($D4480="GELİR",$O4480,-$O4480),0))</f>
        <v/>
      </c>
      <c r="AA4480" s="117">
        <f>IF($B4480="",0,IF(OR($W4480="EVET",$X4480="EVET",$Y4480="EVET"),0,IF($D4480="GELİR",IF($E4480="SATIŞ İADESİ/İSKONTO",-$O4480,$O4480),-$O4480)))</f>
        <v/>
      </c>
      <c r="AB4480" s="117">
        <f>IF($B4480="","",IF(OR($D4480="",$E4480="",$O4480=""),"EKSİK",IF($O4480&lt;=0,"SIFIR/NEGATİF",IF(COUNTIFS($C$6:$C$5000,$C4480,$O$6:$O$5000,$O4480,$B$6:$B$5000,$B4480)&gt;1,"MÜKERRER","OK"))))</f>
        <v/>
      </c>
    </row>
    <row r="4481" ht="16.5" customHeight="1" s="80">
      <c r="A4481" s="113" t="n"/>
      <c r="B4481" s="113" t="n"/>
      <c r="C4481" s="113" t="n"/>
      <c r="D4481" s="113" t="n"/>
      <c r="E4481" s="113" t="n"/>
      <c r="F4481" s="113" t="n"/>
      <c r="G4481" s="113" t="n"/>
      <c r="H4481" s="113" t="n"/>
      <c r="I4481" s="113" t="n"/>
      <c r="J4481" s="113" t="n"/>
      <c r="K4481" s="113" t="n"/>
      <c r="L4481" s="113" t="n"/>
      <c r="M4481" s="113" t="n"/>
      <c r="N4481" s="113" t="n"/>
      <c r="O4481" s="113" t="n"/>
      <c r="P4481" s="113" t="n"/>
      <c r="Q4481" s="113" t="n"/>
      <c r="R4481" s="113" t="n"/>
      <c r="S4481" s="113" t="n"/>
      <c r="T4481" s="113" t="n"/>
      <c r="U4481" s="113" t="n"/>
      <c r="V4481" s="113" t="n"/>
      <c r="W4481" s="113" t="n"/>
      <c r="X4481" s="113" t="n"/>
      <c r="Y4481" s="113" t="n"/>
      <c r="Z4481" s="117">
        <f>IF($B4481="",0,IF($S4481="EVET",IF($D4481="GELİR",$O4481,-$O4481),0))</f>
        <v/>
      </c>
      <c r="AA4481" s="117">
        <f>IF($B4481="",0,IF(OR($W4481="EVET",$X4481="EVET",$Y4481="EVET"),0,IF($D4481="GELİR",IF($E4481="SATIŞ İADESİ/İSKONTO",-$O4481,$O4481),-$O4481)))</f>
        <v/>
      </c>
      <c r="AB4481" s="117">
        <f>IF($B4481="","",IF(OR($D4481="",$E4481="",$O4481=""),"EKSİK",IF($O4481&lt;=0,"SIFIR/NEGATİF",IF(COUNTIFS($C$6:$C$5000,$C4481,$O$6:$O$5000,$O4481,$B$6:$B$5000,$B4481)&gt;1,"MÜKERRER","OK"))))</f>
        <v/>
      </c>
    </row>
    <row r="4482" ht="16.5" customHeight="1" s="80">
      <c r="A4482" s="113" t="n"/>
      <c r="B4482" s="113" t="n"/>
      <c r="C4482" s="113" t="n"/>
      <c r="D4482" s="113" t="n"/>
      <c r="E4482" s="113" t="n"/>
      <c r="F4482" s="113" t="n"/>
      <c r="G4482" s="113" t="n"/>
      <c r="H4482" s="113" t="n"/>
      <c r="I4482" s="113" t="n"/>
      <c r="J4482" s="113" t="n"/>
      <c r="K4482" s="113" t="n"/>
      <c r="L4482" s="113" t="n"/>
      <c r="M4482" s="113" t="n"/>
      <c r="N4482" s="113" t="n"/>
      <c r="O4482" s="113" t="n"/>
      <c r="P4482" s="113" t="n"/>
      <c r="Q4482" s="113" t="n"/>
      <c r="R4482" s="113" t="n"/>
      <c r="S4482" s="113" t="n"/>
      <c r="T4482" s="113" t="n"/>
      <c r="U4482" s="113" t="n"/>
      <c r="V4482" s="113" t="n"/>
      <c r="W4482" s="113" t="n"/>
      <c r="X4482" s="113" t="n"/>
      <c r="Y4482" s="113" t="n"/>
      <c r="Z4482" s="117">
        <f>IF($B4482="",0,IF($S4482="EVET",IF($D4482="GELİR",$O4482,-$O4482),0))</f>
        <v/>
      </c>
      <c r="AA4482" s="117">
        <f>IF($B4482="",0,IF(OR($W4482="EVET",$X4482="EVET",$Y4482="EVET"),0,IF($D4482="GELİR",IF($E4482="SATIŞ İADESİ/İSKONTO",-$O4482,$O4482),-$O4482)))</f>
        <v/>
      </c>
      <c r="AB4482" s="117">
        <f>IF($B4482="","",IF(OR($D4482="",$E4482="",$O4482=""),"EKSİK",IF($O4482&lt;=0,"SIFIR/NEGATİF",IF(COUNTIFS($C$6:$C$5000,$C4482,$O$6:$O$5000,$O4482,$B$6:$B$5000,$B4482)&gt;1,"MÜKERRER","OK"))))</f>
        <v/>
      </c>
    </row>
    <row r="4483" ht="16.5" customHeight="1" s="80">
      <c r="A4483" s="113" t="n"/>
      <c r="B4483" s="113" t="n"/>
      <c r="C4483" s="113" t="n"/>
      <c r="D4483" s="113" t="n"/>
      <c r="E4483" s="113" t="n"/>
      <c r="F4483" s="113" t="n"/>
      <c r="G4483" s="113" t="n"/>
      <c r="H4483" s="113" t="n"/>
      <c r="I4483" s="113" t="n"/>
      <c r="J4483" s="113" t="n"/>
      <c r="K4483" s="113" t="n"/>
      <c r="L4483" s="113" t="n"/>
      <c r="M4483" s="113" t="n"/>
      <c r="N4483" s="113" t="n"/>
      <c r="O4483" s="113" t="n"/>
      <c r="P4483" s="113" t="n"/>
      <c r="Q4483" s="113" t="n"/>
      <c r="R4483" s="113" t="n"/>
      <c r="S4483" s="113" t="n"/>
      <c r="T4483" s="113" t="n"/>
      <c r="U4483" s="113" t="n"/>
      <c r="V4483" s="113" t="n"/>
      <c r="W4483" s="113" t="n"/>
      <c r="X4483" s="113" t="n"/>
      <c r="Y4483" s="113" t="n"/>
      <c r="Z4483" s="117">
        <f>IF($B4483="",0,IF($S4483="EVET",IF($D4483="GELİR",$O4483,-$O4483),0))</f>
        <v/>
      </c>
      <c r="AA4483" s="117">
        <f>IF($B4483="",0,IF(OR($W4483="EVET",$X4483="EVET",$Y4483="EVET"),0,IF($D4483="GELİR",IF($E4483="SATIŞ İADESİ/İSKONTO",-$O4483,$O4483),-$O4483)))</f>
        <v/>
      </c>
      <c r="AB4483" s="117">
        <f>IF($B4483="","",IF(OR($D4483="",$E4483="",$O4483=""),"EKSİK",IF($O4483&lt;=0,"SIFIR/NEGATİF",IF(COUNTIFS($C$6:$C$5000,$C4483,$O$6:$O$5000,$O4483,$B$6:$B$5000,$B4483)&gt;1,"MÜKERRER","OK"))))</f>
        <v/>
      </c>
    </row>
    <row r="4484" ht="16.5" customHeight="1" s="80">
      <c r="A4484" s="113" t="n"/>
      <c r="B4484" s="113" t="n"/>
      <c r="C4484" s="113" t="n"/>
      <c r="D4484" s="113" t="n"/>
      <c r="E4484" s="113" t="n"/>
      <c r="F4484" s="113" t="n"/>
      <c r="G4484" s="113" t="n"/>
      <c r="H4484" s="113" t="n"/>
      <c r="I4484" s="113" t="n"/>
      <c r="J4484" s="113" t="n"/>
      <c r="K4484" s="113" t="n"/>
      <c r="L4484" s="113" t="n"/>
      <c r="M4484" s="113" t="n"/>
      <c r="N4484" s="113" t="n"/>
      <c r="O4484" s="113" t="n"/>
      <c r="P4484" s="113" t="n"/>
      <c r="Q4484" s="113" t="n"/>
      <c r="R4484" s="113" t="n"/>
      <c r="S4484" s="113" t="n"/>
      <c r="T4484" s="113" t="n"/>
      <c r="U4484" s="113" t="n"/>
      <c r="V4484" s="113" t="n"/>
      <c r="W4484" s="113" t="n"/>
      <c r="X4484" s="113" t="n"/>
      <c r="Y4484" s="113" t="n"/>
      <c r="Z4484" s="117">
        <f>IF($B4484="",0,IF($S4484="EVET",IF($D4484="GELİR",$O4484,-$O4484),0))</f>
        <v/>
      </c>
      <c r="AA4484" s="117">
        <f>IF($B4484="",0,IF(OR($W4484="EVET",$X4484="EVET",$Y4484="EVET"),0,IF($D4484="GELİR",IF($E4484="SATIŞ İADESİ/İSKONTO",-$O4484,$O4484),-$O4484)))</f>
        <v/>
      </c>
      <c r="AB4484" s="117">
        <f>IF($B4484="","",IF(OR($D4484="",$E4484="",$O4484=""),"EKSİK",IF($O4484&lt;=0,"SIFIR/NEGATİF",IF(COUNTIFS($C$6:$C$5000,$C4484,$O$6:$O$5000,$O4484,$B$6:$B$5000,$B4484)&gt;1,"MÜKERRER","OK"))))</f>
        <v/>
      </c>
    </row>
    <row r="4485" ht="16.5" customHeight="1" s="80">
      <c r="A4485" s="113" t="n"/>
      <c r="B4485" s="113" t="n"/>
      <c r="C4485" s="113" t="n"/>
      <c r="D4485" s="113" t="n"/>
      <c r="E4485" s="113" t="n"/>
      <c r="F4485" s="113" t="n"/>
      <c r="G4485" s="113" t="n"/>
      <c r="H4485" s="113" t="n"/>
      <c r="I4485" s="113" t="n"/>
      <c r="J4485" s="113" t="n"/>
      <c r="K4485" s="113" t="n"/>
      <c r="L4485" s="113" t="n"/>
      <c r="M4485" s="113" t="n"/>
      <c r="N4485" s="113" t="n"/>
      <c r="O4485" s="113" t="n"/>
      <c r="P4485" s="113" t="n"/>
      <c r="Q4485" s="113" t="n"/>
      <c r="R4485" s="113" t="n"/>
      <c r="S4485" s="113" t="n"/>
      <c r="T4485" s="113" t="n"/>
      <c r="U4485" s="113" t="n"/>
      <c r="V4485" s="113" t="n"/>
      <c r="W4485" s="113" t="n"/>
      <c r="X4485" s="113" t="n"/>
      <c r="Y4485" s="113" t="n"/>
      <c r="Z4485" s="117">
        <f>IF($B4485="",0,IF($S4485="EVET",IF($D4485="GELİR",$O4485,-$O4485),0))</f>
        <v/>
      </c>
      <c r="AA4485" s="117">
        <f>IF($B4485="",0,IF(OR($W4485="EVET",$X4485="EVET",$Y4485="EVET"),0,IF($D4485="GELİR",IF($E4485="SATIŞ İADESİ/İSKONTO",-$O4485,$O4485),-$O4485)))</f>
        <v/>
      </c>
      <c r="AB4485" s="117">
        <f>IF($B4485="","",IF(OR($D4485="",$E4485="",$O4485=""),"EKSİK",IF($O4485&lt;=0,"SIFIR/NEGATİF",IF(COUNTIFS($C$6:$C$5000,$C4485,$O$6:$O$5000,$O4485,$B$6:$B$5000,$B4485)&gt;1,"MÜKERRER","OK"))))</f>
        <v/>
      </c>
    </row>
    <row r="4486" ht="16.5" customHeight="1" s="80">
      <c r="A4486" s="113" t="n"/>
      <c r="B4486" s="113" t="n"/>
      <c r="C4486" s="113" t="n"/>
      <c r="D4486" s="113" t="n"/>
      <c r="E4486" s="113" t="n"/>
      <c r="F4486" s="113" t="n"/>
      <c r="G4486" s="113" t="n"/>
      <c r="H4486" s="113" t="n"/>
      <c r="I4486" s="113" t="n"/>
      <c r="J4486" s="113" t="n"/>
      <c r="K4486" s="113" t="n"/>
      <c r="L4486" s="113" t="n"/>
      <c r="M4486" s="113" t="n"/>
      <c r="N4486" s="113" t="n"/>
      <c r="O4486" s="113" t="n"/>
      <c r="P4486" s="113" t="n"/>
      <c r="Q4486" s="113" t="n"/>
      <c r="R4486" s="113" t="n"/>
      <c r="S4486" s="113" t="n"/>
      <c r="T4486" s="113" t="n"/>
      <c r="U4486" s="113" t="n"/>
      <c r="V4486" s="113" t="n"/>
      <c r="W4486" s="113" t="n"/>
      <c r="X4486" s="113" t="n"/>
      <c r="Y4486" s="113" t="n"/>
      <c r="Z4486" s="117">
        <f>IF($B4486="",0,IF($S4486="EVET",IF($D4486="GELİR",$O4486,-$O4486),0))</f>
        <v/>
      </c>
      <c r="AA4486" s="117">
        <f>IF($B4486="",0,IF(OR($W4486="EVET",$X4486="EVET",$Y4486="EVET"),0,IF($D4486="GELİR",IF($E4486="SATIŞ İADESİ/İSKONTO",-$O4486,$O4486),-$O4486)))</f>
        <v/>
      </c>
      <c r="AB4486" s="117">
        <f>IF($B4486="","",IF(OR($D4486="",$E4486="",$O4486=""),"EKSİK",IF($O4486&lt;=0,"SIFIR/NEGATİF",IF(COUNTIFS($C$6:$C$5000,$C4486,$O$6:$O$5000,$O4486,$B$6:$B$5000,$B4486)&gt;1,"MÜKERRER","OK"))))</f>
        <v/>
      </c>
    </row>
    <row r="4487" ht="16.5" customHeight="1" s="80">
      <c r="A4487" s="113" t="n"/>
      <c r="B4487" s="113" t="n"/>
      <c r="C4487" s="113" t="n"/>
      <c r="D4487" s="113" t="n"/>
      <c r="E4487" s="113" t="n"/>
      <c r="F4487" s="113" t="n"/>
      <c r="G4487" s="113" t="n"/>
      <c r="H4487" s="113" t="n"/>
      <c r="I4487" s="113" t="n"/>
      <c r="J4487" s="113" t="n"/>
      <c r="K4487" s="113" t="n"/>
      <c r="L4487" s="113" t="n"/>
      <c r="M4487" s="113" t="n"/>
      <c r="N4487" s="113" t="n"/>
      <c r="O4487" s="113" t="n"/>
      <c r="P4487" s="113" t="n"/>
      <c r="Q4487" s="113" t="n"/>
      <c r="R4487" s="113" t="n"/>
      <c r="S4487" s="113" t="n"/>
      <c r="T4487" s="113" t="n"/>
      <c r="U4487" s="113" t="n"/>
      <c r="V4487" s="113" t="n"/>
      <c r="W4487" s="113" t="n"/>
      <c r="X4487" s="113" t="n"/>
      <c r="Y4487" s="113" t="n"/>
      <c r="Z4487" s="117">
        <f>IF($B4487="",0,IF($S4487="EVET",IF($D4487="GELİR",$O4487,-$O4487),0))</f>
        <v/>
      </c>
      <c r="AA4487" s="117">
        <f>IF($B4487="",0,IF(OR($W4487="EVET",$X4487="EVET",$Y4487="EVET"),0,IF($D4487="GELİR",IF($E4487="SATIŞ İADESİ/İSKONTO",-$O4487,$O4487),-$O4487)))</f>
        <v/>
      </c>
      <c r="AB4487" s="117">
        <f>IF($B4487="","",IF(OR($D4487="",$E4487="",$O4487=""),"EKSİK",IF($O4487&lt;=0,"SIFIR/NEGATİF",IF(COUNTIFS($C$6:$C$5000,$C4487,$O$6:$O$5000,$O4487,$B$6:$B$5000,$B4487)&gt;1,"MÜKERRER","OK"))))</f>
        <v/>
      </c>
    </row>
    <row r="4488" ht="16.5" customHeight="1" s="80">
      <c r="A4488" s="113" t="n"/>
      <c r="B4488" s="113" t="n"/>
      <c r="C4488" s="113" t="n"/>
      <c r="D4488" s="113" t="n"/>
      <c r="E4488" s="113" t="n"/>
      <c r="F4488" s="113" t="n"/>
      <c r="G4488" s="113" t="n"/>
      <c r="H4488" s="113" t="n"/>
      <c r="I4488" s="113" t="n"/>
      <c r="J4488" s="113" t="n"/>
      <c r="K4488" s="113" t="n"/>
      <c r="L4488" s="113" t="n"/>
      <c r="M4488" s="113" t="n"/>
      <c r="N4488" s="113" t="n"/>
      <c r="O4488" s="113" t="n"/>
      <c r="P4488" s="113" t="n"/>
      <c r="Q4488" s="113" t="n"/>
      <c r="R4488" s="113" t="n"/>
      <c r="S4488" s="113" t="n"/>
      <c r="T4488" s="113" t="n"/>
      <c r="U4488" s="113" t="n"/>
      <c r="V4488" s="113" t="n"/>
      <c r="W4488" s="113" t="n"/>
      <c r="X4488" s="113" t="n"/>
      <c r="Y4488" s="113" t="n"/>
      <c r="Z4488" s="117">
        <f>IF($B4488="",0,IF($S4488="EVET",IF($D4488="GELİR",$O4488,-$O4488),0))</f>
        <v/>
      </c>
      <c r="AA4488" s="117">
        <f>IF($B4488="",0,IF(OR($W4488="EVET",$X4488="EVET",$Y4488="EVET"),0,IF($D4488="GELİR",IF($E4488="SATIŞ İADESİ/İSKONTO",-$O4488,$O4488),-$O4488)))</f>
        <v/>
      </c>
      <c r="AB4488" s="117">
        <f>IF($B4488="","",IF(OR($D4488="",$E4488="",$O4488=""),"EKSİK",IF($O4488&lt;=0,"SIFIR/NEGATİF",IF(COUNTIFS($C$6:$C$5000,$C4488,$O$6:$O$5000,$O4488,$B$6:$B$5000,$B4488)&gt;1,"MÜKERRER","OK"))))</f>
        <v/>
      </c>
    </row>
    <row r="4489" ht="16.5" customHeight="1" s="80">
      <c r="A4489" s="113" t="n"/>
      <c r="B4489" s="113" t="n"/>
      <c r="C4489" s="113" t="n"/>
      <c r="D4489" s="113" t="n"/>
      <c r="E4489" s="113" t="n"/>
      <c r="F4489" s="113" t="n"/>
      <c r="G4489" s="113" t="n"/>
      <c r="H4489" s="113" t="n"/>
      <c r="I4489" s="113" t="n"/>
      <c r="J4489" s="113" t="n"/>
      <c r="K4489" s="113" t="n"/>
      <c r="L4489" s="113" t="n"/>
      <c r="M4489" s="113" t="n"/>
      <c r="N4489" s="113" t="n"/>
      <c r="O4489" s="113" t="n"/>
      <c r="P4489" s="113" t="n"/>
      <c r="Q4489" s="113" t="n"/>
      <c r="R4489" s="113" t="n"/>
      <c r="S4489" s="113" t="n"/>
      <c r="T4489" s="113" t="n"/>
      <c r="U4489" s="113" t="n"/>
      <c r="V4489" s="113" t="n"/>
      <c r="W4489" s="113" t="n"/>
      <c r="X4489" s="113" t="n"/>
      <c r="Y4489" s="113" t="n"/>
      <c r="Z4489" s="117">
        <f>IF($B4489="",0,IF($S4489="EVET",IF($D4489="GELİR",$O4489,-$O4489),0))</f>
        <v/>
      </c>
      <c r="AA4489" s="117">
        <f>IF($B4489="",0,IF(OR($W4489="EVET",$X4489="EVET",$Y4489="EVET"),0,IF($D4489="GELİR",IF($E4489="SATIŞ İADESİ/İSKONTO",-$O4489,$O4489),-$O4489)))</f>
        <v/>
      </c>
      <c r="AB4489" s="117">
        <f>IF($B4489="","",IF(OR($D4489="",$E4489="",$O4489=""),"EKSİK",IF($O4489&lt;=0,"SIFIR/NEGATİF",IF(COUNTIFS($C$6:$C$5000,$C4489,$O$6:$O$5000,$O4489,$B$6:$B$5000,$B4489)&gt;1,"MÜKERRER","OK"))))</f>
        <v/>
      </c>
    </row>
    <row r="4490" ht="16.5" customHeight="1" s="80">
      <c r="A4490" s="113" t="n"/>
      <c r="B4490" s="113" t="n"/>
      <c r="C4490" s="113" t="n"/>
      <c r="D4490" s="113" t="n"/>
      <c r="E4490" s="113" t="n"/>
      <c r="F4490" s="113" t="n"/>
      <c r="G4490" s="113" t="n"/>
      <c r="H4490" s="113" t="n"/>
      <c r="I4490" s="113" t="n"/>
      <c r="J4490" s="113" t="n"/>
      <c r="K4490" s="113" t="n"/>
      <c r="L4490" s="113" t="n"/>
      <c r="M4490" s="113" t="n"/>
      <c r="N4490" s="113" t="n"/>
      <c r="O4490" s="113" t="n"/>
      <c r="P4490" s="113" t="n"/>
      <c r="Q4490" s="113" t="n"/>
      <c r="R4490" s="113" t="n"/>
      <c r="S4490" s="113" t="n"/>
      <c r="T4490" s="113" t="n"/>
      <c r="U4490" s="113" t="n"/>
      <c r="V4490" s="113" t="n"/>
      <c r="W4490" s="113" t="n"/>
      <c r="X4490" s="113" t="n"/>
      <c r="Y4490" s="113" t="n"/>
      <c r="Z4490" s="117">
        <f>IF($B4490="",0,IF($S4490="EVET",IF($D4490="GELİR",$O4490,-$O4490),0))</f>
        <v/>
      </c>
      <c r="AA4490" s="117">
        <f>IF($B4490="",0,IF(OR($W4490="EVET",$X4490="EVET",$Y4490="EVET"),0,IF($D4490="GELİR",IF($E4490="SATIŞ İADESİ/İSKONTO",-$O4490,$O4490),-$O4490)))</f>
        <v/>
      </c>
      <c r="AB4490" s="117">
        <f>IF($B4490="","",IF(OR($D4490="",$E4490="",$O4490=""),"EKSİK",IF($O4490&lt;=0,"SIFIR/NEGATİF",IF(COUNTIFS($C$6:$C$5000,$C4490,$O$6:$O$5000,$O4490,$B$6:$B$5000,$B4490)&gt;1,"MÜKERRER","OK"))))</f>
        <v/>
      </c>
    </row>
    <row r="4491" ht="16.5" customHeight="1" s="80">
      <c r="A4491" s="113" t="n"/>
      <c r="B4491" s="113" t="n"/>
      <c r="C4491" s="113" t="n"/>
      <c r="D4491" s="113" t="n"/>
      <c r="E4491" s="113" t="n"/>
      <c r="F4491" s="113" t="n"/>
      <c r="G4491" s="113" t="n"/>
      <c r="H4491" s="113" t="n"/>
      <c r="I4491" s="113" t="n"/>
      <c r="J4491" s="113" t="n"/>
      <c r="K4491" s="113" t="n"/>
      <c r="L4491" s="113" t="n"/>
      <c r="M4491" s="113" t="n"/>
      <c r="N4491" s="113" t="n"/>
      <c r="O4491" s="113" t="n"/>
      <c r="P4491" s="113" t="n"/>
      <c r="Q4491" s="113" t="n"/>
      <c r="R4491" s="113" t="n"/>
      <c r="S4491" s="113" t="n"/>
      <c r="T4491" s="113" t="n"/>
      <c r="U4491" s="113" t="n"/>
      <c r="V4491" s="113" t="n"/>
      <c r="W4491" s="113" t="n"/>
      <c r="X4491" s="113" t="n"/>
      <c r="Y4491" s="113" t="n"/>
      <c r="Z4491" s="117">
        <f>IF($B4491="",0,IF($S4491="EVET",IF($D4491="GELİR",$O4491,-$O4491),0))</f>
        <v/>
      </c>
      <c r="AA4491" s="117">
        <f>IF($B4491="",0,IF(OR($W4491="EVET",$X4491="EVET",$Y4491="EVET"),0,IF($D4491="GELİR",IF($E4491="SATIŞ İADESİ/İSKONTO",-$O4491,$O4491),-$O4491)))</f>
        <v/>
      </c>
      <c r="AB4491" s="117">
        <f>IF($B4491="","",IF(OR($D4491="",$E4491="",$O4491=""),"EKSİK",IF($O4491&lt;=0,"SIFIR/NEGATİF",IF(COUNTIFS($C$6:$C$5000,$C4491,$O$6:$O$5000,$O4491,$B$6:$B$5000,$B4491)&gt;1,"MÜKERRER","OK"))))</f>
        <v/>
      </c>
    </row>
    <row r="4492" ht="16.5" customHeight="1" s="80">
      <c r="A4492" s="113" t="n"/>
      <c r="B4492" s="113" t="n"/>
      <c r="C4492" s="113" t="n"/>
      <c r="D4492" s="113" t="n"/>
      <c r="E4492" s="113" t="n"/>
      <c r="F4492" s="113" t="n"/>
      <c r="G4492" s="113" t="n"/>
      <c r="H4492" s="113" t="n"/>
      <c r="I4492" s="113" t="n"/>
      <c r="J4492" s="113" t="n"/>
      <c r="K4492" s="113" t="n"/>
      <c r="L4492" s="113" t="n"/>
      <c r="M4492" s="113" t="n"/>
      <c r="N4492" s="113" t="n"/>
      <c r="O4492" s="113" t="n"/>
      <c r="P4492" s="113" t="n"/>
      <c r="Q4492" s="113" t="n"/>
      <c r="R4492" s="113" t="n"/>
      <c r="S4492" s="113" t="n"/>
      <c r="T4492" s="113" t="n"/>
      <c r="U4492" s="113" t="n"/>
      <c r="V4492" s="113" t="n"/>
      <c r="W4492" s="113" t="n"/>
      <c r="X4492" s="113" t="n"/>
      <c r="Y4492" s="113" t="n"/>
      <c r="Z4492" s="117">
        <f>IF($B4492="",0,IF($S4492="EVET",IF($D4492="GELİR",$O4492,-$O4492),0))</f>
        <v/>
      </c>
      <c r="AA4492" s="117">
        <f>IF($B4492="",0,IF(OR($W4492="EVET",$X4492="EVET",$Y4492="EVET"),0,IF($D4492="GELİR",IF($E4492="SATIŞ İADESİ/İSKONTO",-$O4492,$O4492),-$O4492)))</f>
        <v/>
      </c>
      <c r="AB4492" s="117">
        <f>IF($B4492="","",IF(OR($D4492="",$E4492="",$O4492=""),"EKSİK",IF($O4492&lt;=0,"SIFIR/NEGATİF",IF(COUNTIFS($C$6:$C$5000,$C4492,$O$6:$O$5000,$O4492,$B$6:$B$5000,$B4492)&gt;1,"MÜKERRER","OK"))))</f>
        <v/>
      </c>
    </row>
    <row r="4493" ht="16.5" customHeight="1" s="80">
      <c r="A4493" s="113" t="n"/>
      <c r="B4493" s="113" t="n"/>
      <c r="C4493" s="113" t="n"/>
      <c r="D4493" s="113" t="n"/>
      <c r="E4493" s="113" t="n"/>
      <c r="F4493" s="113" t="n"/>
      <c r="G4493" s="113" t="n"/>
      <c r="H4493" s="113" t="n"/>
      <c r="I4493" s="113" t="n"/>
      <c r="J4493" s="113" t="n"/>
      <c r="K4493" s="113" t="n"/>
      <c r="L4493" s="113" t="n"/>
      <c r="M4493" s="113" t="n"/>
      <c r="N4493" s="113" t="n"/>
      <c r="O4493" s="113" t="n"/>
      <c r="P4493" s="113" t="n"/>
      <c r="Q4493" s="113" t="n"/>
      <c r="R4493" s="113" t="n"/>
      <c r="S4493" s="113" t="n"/>
      <c r="T4493" s="113" t="n"/>
      <c r="U4493" s="113" t="n"/>
      <c r="V4493" s="113" t="n"/>
      <c r="W4493" s="113" t="n"/>
      <c r="X4493" s="113" t="n"/>
      <c r="Y4493" s="113" t="n"/>
      <c r="Z4493" s="117">
        <f>IF($B4493="",0,IF($S4493="EVET",IF($D4493="GELİR",$O4493,-$O4493),0))</f>
        <v/>
      </c>
      <c r="AA4493" s="117">
        <f>IF($B4493="",0,IF(OR($W4493="EVET",$X4493="EVET",$Y4493="EVET"),0,IF($D4493="GELİR",IF($E4493="SATIŞ İADESİ/İSKONTO",-$O4493,$O4493),-$O4493)))</f>
        <v/>
      </c>
      <c r="AB4493" s="117">
        <f>IF($B4493="","",IF(OR($D4493="",$E4493="",$O4493=""),"EKSİK",IF($O4493&lt;=0,"SIFIR/NEGATİF",IF(COUNTIFS($C$6:$C$5000,$C4493,$O$6:$O$5000,$O4493,$B$6:$B$5000,$B4493)&gt;1,"MÜKERRER","OK"))))</f>
        <v/>
      </c>
    </row>
    <row r="4494" ht="16.5" customHeight="1" s="80">
      <c r="A4494" s="113" t="n"/>
      <c r="B4494" s="113" t="n"/>
      <c r="C4494" s="113" t="n"/>
      <c r="D4494" s="113" t="n"/>
      <c r="E4494" s="113" t="n"/>
      <c r="F4494" s="113" t="n"/>
      <c r="G4494" s="113" t="n"/>
      <c r="H4494" s="113" t="n"/>
      <c r="I4494" s="113" t="n"/>
      <c r="J4494" s="113" t="n"/>
      <c r="K4494" s="113" t="n"/>
      <c r="L4494" s="113" t="n"/>
      <c r="M4494" s="113" t="n"/>
      <c r="N4494" s="113" t="n"/>
      <c r="O4494" s="113" t="n"/>
      <c r="P4494" s="113" t="n"/>
      <c r="Q4494" s="113" t="n"/>
      <c r="R4494" s="113" t="n"/>
      <c r="S4494" s="113" t="n"/>
      <c r="T4494" s="113" t="n"/>
      <c r="U4494" s="113" t="n"/>
      <c r="V4494" s="113" t="n"/>
      <c r="W4494" s="113" t="n"/>
      <c r="X4494" s="113" t="n"/>
      <c r="Y4494" s="113" t="n"/>
      <c r="Z4494" s="117">
        <f>IF($B4494="",0,IF($S4494="EVET",IF($D4494="GELİR",$O4494,-$O4494),0))</f>
        <v/>
      </c>
      <c r="AA4494" s="117">
        <f>IF($B4494="",0,IF(OR($W4494="EVET",$X4494="EVET",$Y4494="EVET"),0,IF($D4494="GELİR",IF($E4494="SATIŞ İADESİ/İSKONTO",-$O4494,$O4494),-$O4494)))</f>
        <v/>
      </c>
      <c r="AB4494" s="117">
        <f>IF($B4494="","",IF(OR($D4494="",$E4494="",$O4494=""),"EKSİK",IF($O4494&lt;=0,"SIFIR/NEGATİF",IF(COUNTIFS($C$6:$C$5000,$C4494,$O$6:$O$5000,$O4494,$B$6:$B$5000,$B4494)&gt;1,"MÜKERRER","OK"))))</f>
        <v/>
      </c>
    </row>
    <row r="4495" ht="16.5" customHeight="1" s="80">
      <c r="A4495" s="113" t="n"/>
      <c r="B4495" s="113" t="n"/>
      <c r="C4495" s="113" t="n"/>
      <c r="D4495" s="113" t="n"/>
      <c r="E4495" s="113" t="n"/>
      <c r="F4495" s="113" t="n"/>
      <c r="G4495" s="113" t="n"/>
      <c r="H4495" s="113" t="n"/>
      <c r="I4495" s="113" t="n"/>
      <c r="J4495" s="113" t="n"/>
      <c r="K4495" s="113" t="n"/>
      <c r="L4495" s="113" t="n"/>
      <c r="M4495" s="113" t="n"/>
      <c r="N4495" s="113" t="n"/>
      <c r="O4495" s="113" t="n"/>
      <c r="P4495" s="113" t="n"/>
      <c r="Q4495" s="113" t="n"/>
      <c r="R4495" s="113" t="n"/>
      <c r="S4495" s="113" t="n"/>
      <c r="T4495" s="113" t="n"/>
      <c r="U4495" s="113" t="n"/>
      <c r="V4495" s="113" t="n"/>
      <c r="W4495" s="113" t="n"/>
      <c r="X4495" s="113" t="n"/>
      <c r="Y4495" s="113" t="n"/>
      <c r="Z4495" s="117">
        <f>IF($B4495="",0,IF($S4495="EVET",IF($D4495="GELİR",$O4495,-$O4495),0))</f>
        <v/>
      </c>
      <c r="AA4495" s="117">
        <f>IF($B4495="",0,IF(OR($W4495="EVET",$X4495="EVET",$Y4495="EVET"),0,IF($D4495="GELİR",IF($E4495="SATIŞ İADESİ/İSKONTO",-$O4495,$O4495),-$O4495)))</f>
        <v/>
      </c>
      <c r="AB4495" s="117">
        <f>IF($B4495="","",IF(OR($D4495="",$E4495="",$O4495=""),"EKSİK",IF($O4495&lt;=0,"SIFIR/NEGATİF",IF(COUNTIFS($C$6:$C$5000,$C4495,$O$6:$O$5000,$O4495,$B$6:$B$5000,$B4495)&gt;1,"MÜKERRER","OK"))))</f>
        <v/>
      </c>
    </row>
    <row r="4496" ht="16.5" customHeight="1" s="80">
      <c r="A4496" s="113" t="n"/>
      <c r="B4496" s="113" t="n"/>
      <c r="C4496" s="113" t="n"/>
      <c r="D4496" s="113" t="n"/>
      <c r="E4496" s="113" t="n"/>
      <c r="F4496" s="113" t="n"/>
      <c r="G4496" s="113" t="n"/>
      <c r="H4496" s="113" t="n"/>
      <c r="I4496" s="113" t="n"/>
      <c r="J4496" s="113" t="n"/>
      <c r="K4496" s="113" t="n"/>
      <c r="L4496" s="113" t="n"/>
      <c r="M4496" s="113" t="n"/>
      <c r="N4496" s="113" t="n"/>
      <c r="O4496" s="113" t="n"/>
      <c r="P4496" s="113" t="n"/>
      <c r="Q4496" s="113" t="n"/>
      <c r="R4496" s="113" t="n"/>
      <c r="S4496" s="113" t="n"/>
      <c r="T4496" s="113" t="n"/>
      <c r="U4496" s="113" t="n"/>
      <c r="V4496" s="113" t="n"/>
      <c r="W4496" s="113" t="n"/>
      <c r="X4496" s="113" t="n"/>
      <c r="Y4496" s="113" t="n"/>
      <c r="Z4496" s="117">
        <f>IF($B4496="",0,IF($S4496="EVET",IF($D4496="GELİR",$O4496,-$O4496),0))</f>
        <v/>
      </c>
      <c r="AA4496" s="117">
        <f>IF($B4496="",0,IF(OR($W4496="EVET",$X4496="EVET",$Y4496="EVET"),0,IF($D4496="GELİR",IF($E4496="SATIŞ İADESİ/İSKONTO",-$O4496,$O4496),-$O4496)))</f>
        <v/>
      </c>
      <c r="AB4496" s="117">
        <f>IF($B4496="","",IF(OR($D4496="",$E4496="",$O4496=""),"EKSİK",IF($O4496&lt;=0,"SIFIR/NEGATİF",IF(COUNTIFS($C$6:$C$5000,$C4496,$O$6:$O$5000,$O4496,$B$6:$B$5000,$B4496)&gt;1,"MÜKERRER","OK"))))</f>
        <v/>
      </c>
    </row>
    <row r="4497" ht="16.5" customHeight="1" s="80">
      <c r="A4497" s="113" t="n"/>
      <c r="B4497" s="113" t="n"/>
      <c r="C4497" s="113" t="n"/>
      <c r="D4497" s="113" t="n"/>
      <c r="E4497" s="113" t="n"/>
      <c r="F4497" s="113" t="n"/>
      <c r="G4497" s="113" t="n"/>
      <c r="H4497" s="113" t="n"/>
      <c r="I4497" s="113" t="n"/>
      <c r="J4497" s="113" t="n"/>
      <c r="K4497" s="113" t="n"/>
      <c r="L4497" s="113" t="n"/>
      <c r="M4497" s="113" t="n"/>
      <c r="N4497" s="113" t="n"/>
      <c r="O4497" s="113" t="n"/>
      <c r="P4497" s="113" t="n"/>
      <c r="Q4497" s="113" t="n"/>
      <c r="R4497" s="113" t="n"/>
      <c r="S4497" s="113" t="n"/>
      <c r="T4497" s="113" t="n"/>
      <c r="U4497" s="113" t="n"/>
      <c r="V4497" s="113" t="n"/>
      <c r="W4497" s="113" t="n"/>
      <c r="X4497" s="113" t="n"/>
      <c r="Y4497" s="113" t="n"/>
      <c r="Z4497" s="117">
        <f>IF($B4497="",0,IF($S4497="EVET",IF($D4497="GELİR",$O4497,-$O4497),0))</f>
        <v/>
      </c>
      <c r="AA4497" s="117">
        <f>IF($B4497="",0,IF(OR($W4497="EVET",$X4497="EVET",$Y4497="EVET"),0,IF($D4497="GELİR",IF($E4497="SATIŞ İADESİ/İSKONTO",-$O4497,$O4497),-$O4497)))</f>
        <v/>
      </c>
      <c r="AB4497" s="117">
        <f>IF($B4497="","",IF(OR($D4497="",$E4497="",$O4497=""),"EKSİK",IF($O4497&lt;=0,"SIFIR/NEGATİF",IF(COUNTIFS($C$6:$C$5000,$C4497,$O$6:$O$5000,$O4497,$B$6:$B$5000,$B4497)&gt;1,"MÜKERRER","OK"))))</f>
        <v/>
      </c>
    </row>
    <row r="4498" ht="16.5" customHeight="1" s="80">
      <c r="A4498" s="113" t="n"/>
      <c r="B4498" s="113" t="n"/>
      <c r="C4498" s="113" t="n"/>
      <c r="D4498" s="113" t="n"/>
      <c r="E4498" s="113" t="n"/>
      <c r="F4498" s="113" t="n"/>
      <c r="G4498" s="113" t="n"/>
      <c r="H4498" s="113" t="n"/>
      <c r="I4498" s="113" t="n"/>
      <c r="J4498" s="113" t="n"/>
      <c r="K4498" s="113" t="n"/>
      <c r="L4498" s="113" t="n"/>
      <c r="M4498" s="113" t="n"/>
      <c r="N4498" s="113" t="n"/>
      <c r="O4498" s="113" t="n"/>
      <c r="P4498" s="113" t="n"/>
      <c r="Q4498" s="113" t="n"/>
      <c r="R4498" s="113" t="n"/>
      <c r="S4498" s="113" t="n"/>
      <c r="T4498" s="113" t="n"/>
      <c r="U4498" s="113" t="n"/>
      <c r="V4498" s="113" t="n"/>
      <c r="W4498" s="113" t="n"/>
      <c r="X4498" s="113" t="n"/>
      <c r="Y4498" s="113" t="n"/>
      <c r="Z4498" s="117">
        <f>IF($B4498="",0,IF($S4498="EVET",IF($D4498="GELİR",$O4498,-$O4498),0))</f>
        <v/>
      </c>
      <c r="AA4498" s="117">
        <f>IF($B4498="",0,IF(OR($W4498="EVET",$X4498="EVET",$Y4498="EVET"),0,IF($D4498="GELİR",IF($E4498="SATIŞ İADESİ/İSKONTO",-$O4498,$O4498),-$O4498)))</f>
        <v/>
      </c>
      <c r="AB4498" s="117">
        <f>IF($B4498="","",IF(OR($D4498="",$E4498="",$O4498=""),"EKSİK",IF($O4498&lt;=0,"SIFIR/NEGATİF",IF(COUNTIFS($C$6:$C$5000,$C4498,$O$6:$O$5000,$O4498,$B$6:$B$5000,$B4498)&gt;1,"MÜKERRER","OK"))))</f>
        <v/>
      </c>
    </row>
    <row r="4499" ht="16.5" customHeight="1" s="80">
      <c r="A4499" s="113" t="n"/>
      <c r="B4499" s="113" t="n"/>
      <c r="C4499" s="113" t="n"/>
      <c r="D4499" s="113" t="n"/>
      <c r="E4499" s="113" t="n"/>
      <c r="F4499" s="113" t="n"/>
      <c r="G4499" s="113" t="n"/>
      <c r="H4499" s="113" t="n"/>
      <c r="I4499" s="113" t="n"/>
      <c r="J4499" s="113" t="n"/>
      <c r="K4499" s="113" t="n"/>
      <c r="L4499" s="113" t="n"/>
      <c r="M4499" s="113" t="n"/>
      <c r="N4499" s="113" t="n"/>
      <c r="O4499" s="113" t="n"/>
      <c r="P4499" s="113" t="n"/>
      <c r="Q4499" s="113" t="n"/>
      <c r="R4499" s="113" t="n"/>
      <c r="S4499" s="113" t="n"/>
      <c r="T4499" s="113" t="n"/>
      <c r="U4499" s="113" t="n"/>
      <c r="V4499" s="113" t="n"/>
      <c r="W4499" s="113" t="n"/>
      <c r="X4499" s="113" t="n"/>
      <c r="Y4499" s="113" t="n"/>
      <c r="Z4499" s="117">
        <f>IF($B4499="",0,IF($S4499="EVET",IF($D4499="GELİR",$O4499,-$O4499),0))</f>
        <v/>
      </c>
      <c r="AA4499" s="117">
        <f>IF($B4499="",0,IF(OR($W4499="EVET",$X4499="EVET",$Y4499="EVET"),0,IF($D4499="GELİR",IF($E4499="SATIŞ İADESİ/İSKONTO",-$O4499,$O4499),-$O4499)))</f>
        <v/>
      </c>
      <c r="AB4499" s="117">
        <f>IF($B4499="","",IF(OR($D4499="",$E4499="",$O4499=""),"EKSİK",IF($O4499&lt;=0,"SIFIR/NEGATİF",IF(COUNTIFS($C$6:$C$5000,$C4499,$O$6:$O$5000,$O4499,$B$6:$B$5000,$B4499)&gt;1,"MÜKERRER","OK"))))</f>
        <v/>
      </c>
    </row>
    <row r="4500" ht="16.5" customHeight="1" s="80">
      <c r="A4500" s="113" t="n"/>
      <c r="B4500" s="113" t="n"/>
      <c r="C4500" s="113" t="n"/>
      <c r="D4500" s="113" t="n"/>
      <c r="E4500" s="113" t="n"/>
      <c r="F4500" s="113" t="n"/>
      <c r="G4500" s="113" t="n"/>
      <c r="H4500" s="113" t="n"/>
      <c r="I4500" s="113" t="n"/>
      <c r="J4500" s="113" t="n"/>
      <c r="K4500" s="113" t="n"/>
      <c r="L4500" s="113" t="n"/>
      <c r="M4500" s="113" t="n"/>
      <c r="N4500" s="113" t="n"/>
      <c r="O4500" s="113" t="n"/>
      <c r="P4500" s="113" t="n"/>
      <c r="Q4500" s="113" t="n"/>
      <c r="R4500" s="113" t="n"/>
      <c r="S4500" s="113" t="n"/>
      <c r="T4500" s="113" t="n"/>
      <c r="U4500" s="113" t="n"/>
      <c r="V4500" s="113" t="n"/>
      <c r="W4500" s="113" t="n"/>
      <c r="X4500" s="113" t="n"/>
      <c r="Y4500" s="113" t="n"/>
      <c r="Z4500" s="117">
        <f>IF($B4500="",0,IF($S4500="EVET",IF($D4500="GELİR",$O4500,-$O4500),0))</f>
        <v/>
      </c>
      <c r="AA4500" s="117">
        <f>IF($B4500="",0,IF(OR($W4500="EVET",$X4500="EVET",$Y4500="EVET"),0,IF($D4500="GELİR",IF($E4500="SATIŞ İADESİ/İSKONTO",-$O4500,$O4500),-$O4500)))</f>
        <v/>
      </c>
      <c r="AB4500" s="117">
        <f>IF($B4500="","",IF(OR($D4500="",$E4500="",$O4500=""),"EKSİK",IF($O4500&lt;=0,"SIFIR/NEGATİF",IF(COUNTIFS($C$6:$C$5000,$C4500,$O$6:$O$5000,$O4500,$B$6:$B$5000,$B4500)&gt;1,"MÜKERRER","OK"))))</f>
        <v/>
      </c>
    </row>
    <row r="4501" ht="16.5" customHeight="1" s="80">
      <c r="A4501" s="113" t="n"/>
      <c r="B4501" s="113" t="n"/>
      <c r="C4501" s="113" t="n"/>
      <c r="D4501" s="113" t="n"/>
      <c r="E4501" s="113" t="n"/>
      <c r="F4501" s="113" t="n"/>
      <c r="G4501" s="113" t="n"/>
      <c r="H4501" s="113" t="n"/>
      <c r="I4501" s="113" t="n"/>
      <c r="J4501" s="113" t="n"/>
      <c r="K4501" s="113" t="n"/>
      <c r="L4501" s="113" t="n"/>
      <c r="M4501" s="113" t="n"/>
      <c r="N4501" s="113" t="n"/>
      <c r="O4501" s="113" t="n"/>
      <c r="P4501" s="113" t="n"/>
      <c r="Q4501" s="113" t="n"/>
      <c r="R4501" s="113" t="n"/>
      <c r="S4501" s="113" t="n"/>
      <c r="T4501" s="113" t="n"/>
      <c r="U4501" s="113" t="n"/>
      <c r="V4501" s="113" t="n"/>
      <c r="W4501" s="113" t="n"/>
      <c r="X4501" s="113" t="n"/>
      <c r="Y4501" s="113" t="n"/>
      <c r="Z4501" s="117">
        <f>IF($B4501="",0,IF($S4501="EVET",IF($D4501="GELİR",$O4501,-$O4501),0))</f>
        <v/>
      </c>
      <c r="AA4501" s="117">
        <f>IF($B4501="",0,IF(OR($W4501="EVET",$X4501="EVET",$Y4501="EVET"),0,IF($D4501="GELİR",IF($E4501="SATIŞ İADESİ/İSKONTO",-$O4501,$O4501),-$O4501)))</f>
        <v/>
      </c>
      <c r="AB4501" s="117">
        <f>IF($B4501="","",IF(OR($D4501="",$E4501="",$O4501=""),"EKSİK",IF($O4501&lt;=0,"SIFIR/NEGATİF",IF(COUNTIFS($C$6:$C$5000,$C4501,$O$6:$O$5000,$O4501,$B$6:$B$5000,$B4501)&gt;1,"MÜKERRER","OK"))))</f>
        <v/>
      </c>
    </row>
    <row r="4502" ht="16.5" customHeight="1" s="80">
      <c r="A4502" s="113" t="n"/>
      <c r="B4502" s="113" t="n"/>
      <c r="C4502" s="113" t="n"/>
      <c r="D4502" s="113" t="n"/>
      <c r="E4502" s="113" t="n"/>
      <c r="F4502" s="113" t="n"/>
      <c r="G4502" s="113" t="n"/>
      <c r="H4502" s="113" t="n"/>
      <c r="I4502" s="113" t="n"/>
      <c r="J4502" s="113" t="n"/>
      <c r="K4502" s="113" t="n"/>
      <c r="L4502" s="113" t="n"/>
      <c r="M4502" s="113" t="n"/>
      <c r="N4502" s="113" t="n"/>
      <c r="O4502" s="113" t="n"/>
      <c r="P4502" s="113" t="n"/>
      <c r="Q4502" s="113" t="n"/>
      <c r="R4502" s="113" t="n"/>
      <c r="S4502" s="113" t="n"/>
      <c r="T4502" s="113" t="n"/>
      <c r="U4502" s="113" t="n"/>
      <c r="V4502" s="113" t="n"/>
      <c r="W4502" s="113" t="n"/>
      <c r="X4502" s="113" t="n"/>
      <c r="Y4502" s="113" t="n"/>
      <c r="Z4502" s="117">
        <f>IF($B4502="",0,IF($S4502="EVET",IF($D4502="GELİR",$O4502,-$O4502),0))</f>
        <v/>
      </c>
      <c r="AA4502" s="117">
        <f>IF($B4502="",0,IF(OR($W4502="EVET",$X4502="EVET",$Y4502="EVET"),0,IF($D4502="GELİR",IF($E4502="SATIŞ İADESİ/İSKONTO",-$O4502,$O4502),-$O4502)))</f>
        <v/>
      </c>
      <c r="AB4502" s="117">
        <f>IF($B4502="","",IF(OR($D4502="",$E4502="",$O4502=""),"EKSİK",IF($O4502&lt;=0,"SIFIR/NEGATİF",IF(COUNTIFS($C$6:$C$5000,$C4502,$O$6:$O$5000,$O4502,$B$6:$B$5000,$B4502)&gt;1,"MÜKERRER","OK"))))</f>
        <v/>
      </c>
    </row>
    <row r="4503" ht="16.5" customHeight="1" s="80">
      <c r="A4503" s="113" t="n"/>
      <c r="B4503" s="113" t="n"/>
      <c r="C4503" s="113" t="n"/>
      <c r="D4503" s="113" t="n"/>
      <c r="E4503" s="113" t="n"/>
      <c r="F4503" s="113" t="n"/>
      <c r="G4503" s="113" t="n"/>
      <c r="H4503" s="113" t="n"/>
      <c r="I4503" s="113" t="n"/>
      <c r="J4503" s="113" t="n"/>
      <c r="K4503" s="113" t="n"/>
      <c r="L4503" s="113" t="n"/>
      <c r="M4503" s="113" t="n"/>
      <c r="N4503" s="113" t="n"/>
      <c r="O4503" s="113" t="n"/>
      <c r="P4503" s="113" t="n"/>
      <c r="Q4503" s="113" t="n"/>
      <c r="R4503" s="113" t="n"/>
      <c r="S4503" s="113" t="n"/>
      <c r="T4503" s="113" t="n"/>
      <c r="U4503" s="113" t="n"/>
      <c r="V4503" s="113" t="n"/>
      <c r="W4503" s="113" t="n"/>
      <c r="X4503" s="113" t="n"/>
      <c r="Y4503" s="113" t="n"/>
      <c r="Z4503" s="117">
        <f>IF($B4503="",0,IF($S4503="EVET",IF($D4503="GELİR",$O4503,-$O4503),0))</f>
        <v/>
      </c>
      <c r="AA4503" s="117">
        <f>IF($B4503="",0,IF(OR($W4503="EVET",$X4503="EVET",$Y4503="EVET"),0,IF($D4503="GELİR",IF($E4503="SATIŞ İADESİ/İSKONTO",-$O4503,$O4503),-$O4503)))</f>
        <v/>
      </c>
      <c r="AB4503" s="117">
        <f>IF($B4503="","",IF(OR($D4503="",$E4503="",$O4503=""),"EKSİK",IF($O4503&lt;=0,"SIFIR/NEGATİF",IF(COUNTIFS($C$6:$C$5000,$C4503,$O$6:$O$5000,$O4503,$B$6:$B$5000,$B4503)&gt;1,"MÜKERRER","OK"))))</f>
        <v/>
      </c>
    </row>
    <row r="4504" ht="16.5" customHeight="1" s="80">
      <c r="A4504" s="113" t="n"/>
      <c r="B4504" s="113" t="n"/>
      <c r="C4504" s="113" t="n"/>
      <c r="D4504" s="113" t="n"/>
      <c r="E4504" s="113" t="n"/>
      <c r="F4504" s="113" t="n"/>
      <c r="G4504" s="113" t="n"/>
      <c r="H4504" s="113" t="n"/>
      <c r="I4504" s="113" t="n"/>
      <c r="J4504" s="113" t="n"/>
      <c r="K4504" s="113" t="n"/>
      <c r="L4504" s="113" t="n"/>
      <c r="M4504" s="113" t="n"/>
      <c r="N4504" s="113" t="n"/>
      <c r="O4504" s="113" t="n"/>
      <c r="P4504" s="113" t="n"/>
      <c r="Q4504" s="113" t="n"/>
      <c r="R4504" s="113" t="n"/>
      <c r="S4504" s="113" t="n"/>
      <c r="T4504" s="113" t="n"/>
      <c r="U4504" s="113" t="n"/>
      <c r="V4504" s="113" t="n"/>
      <c r="W4504" s="113" t="n"/>
      <c r="X4504" s="113" t="n"/>
      <c r="Y4504" s="113" t="n"/>
      <c r="Z4504" s="117">
        <f>IF($B4504="",0,IF($S4504="EVET",IF($D4504="GELİR",$O4504,-$O4504),0))</f>
        <v/>
      </c>
      <c r="AA4504" s="117">
        <f>IF($B4504="",0,IF(OR($W4504="EVET",$X4504="EVET",$Y4504="EVET"),0,IF($D4504="GELİR",IF($E4504="SATIŞ İADESİ/İSKONTO",-$O4504,$O4504),-$O4504)))</f>
        <v/>
      </c>
      <c r="AB4504" s="117">
        <f>IF($B4504="","",IF(OR($D4504="",$E4504="",$O4504=""),"EKSİK",IF($O4504&lt;=0,"SIFIR/NEGATİF",IF(COUNTIFS($C$6:$C$5000,$C4504,$O$6:$O$5000,$O4504,$B$6:$B$5000,$B4504)&gt;1,"MÜKERRER","OK"))))</f>
        <v/>
      </c>
    </row>
    <row r="4505" ht="16.5" customHeight="1" s="80">
      <c r="A4505" s="113" t="n"/>
      <c r="B4505" s="113" t="n"/>
      <c r="C4505" s="113" t="n"/>
      <c r="D4505" s="113" t="n"/>
      <c r="E4505" s="113" t="n"/>
      <c r="F4505" s="113" t="n"/>
      <c r="G4505" s="113" t="n"/>
      <c r="H4505" s="113" t="n"/>
      <c r="I4505" s="113" t="n"/>
      <c r="J4505" s="113" t="n"/>
      <c r="K4505" s="113" t="n"/>
      <c r="L4505" s="113" t="n"/>
      <c r="M4505" s="113" t="n"/>
      <c r="N4505" s="113" t="n"/>
      <c r="O4505" s="113" t="n"/>
      <c r="P4505" s="113" t="n"/>
      <c r="Q4505" s="113" t="n"/>
      <c r="R4505" s="113" t="n"/>
      <c r="S4505" s="113" t="n"/>
      <c r="T4505" s="113" t="n"/>
      <c r="U4505" s="113" t="n"/>
      <c r="V4505" s="113" t="n"/>
      <c r="W4505" s="113" t="n"/>
      <c r="X4505" s="113" t="n"/>
      <c r="Y4505" s="113" t="n"/>
      <c r="Z4505" s="117">
        <f>IF($B4505="",0,IF($S4505="EVET",IF($D4505="GELİR",$O4505,-$O4505),0))</f>
        <v/>
      </c>
      <c r="AA4505" s="117">
        <f>IF($B4505="",0,IF(OR($W4505="EVET",$X4505="EVET",$Y4505="EVET"),0,IF($D4505="GELİR",IF($E4505="SATIŞ İADESİ/İSKONTO",-$O4505,$O4505),-$O4505)))</f>
        <v/>
      </c>
      <c r="AB4505" s="117">
        <f>IF($B4505="","",IF(OR($D4505="",$E4505="",$O4505=""),"EKSİK",IF($O4505&lt;=0,"SIFIR/NEGATİF",IF(COUNTIFS($C$6:$C$5000,$C4505,$O$6:$O$5000,$O4505,$B$6:$B$5000,$B4505)&gt;1,"MÜKERRER","OK"))))</f>
        <v/>
      </c>
    </row>
    <row r="4506" ht="16.5" customHeight="1" s="80">
      <c r="A4506" s="113" t="n"/>
      <c r="B4506" s="113" t="n"/>
      <c r="C4506" s="113" t="n"/>
      <c r="D4506" s="113" t="n"/>
      <c r="E4506" s="113" t="n"/>
      <c r="F4506" s="113" t="n"/>
      <c r="G4506" s="113" t="n"/>
      <c r="H4506" s="113" t="n"/>
      <c r="I4506" s="113" t="n"/>
      <c r="J4506" s="113" t="n"/>
      <c r="K4506" s="113" t="n"/>
      <c r="L4506" s="113" t="n"/>
      <c r="M4506" s="113" t="n"/>
      <c r="N4506" s="113" t="n"/>
      <c r="O4506" s="113" t="n"/>
      <c r="P4506" s="113" t="n"/>
      <c r="Q4506" s="113" t="n"/>
      <c r="R4506" s="113" t="n"/>
      <c r="S4506" s="113" t="n"/>
      <c r="T4506" s="113" t="n"/>
      <c r="U4506" s="113" t="n"/>
      <c r="V4506" s="113" t="n"/>
      <c r="W4506" s="113" t="n"/>
      <c r="X4506" s="113" t="n"/>
      <c r="Y4506" s="113" t="n"/>
      <c r="Z4506" s="117">
        <f>IF($B4506="",0,IF($S4506="EVET",IF($D4506="GELİR",$O4506,-$O4506),0))</f>
        <v/>
      </c>
      <c r="AA4506" s="117">
        <f>IF($B4506="",0,IF(OR($W4506="EVET",$X4506="EVET",$Y4506="EVET"),0,IF($D4506="GELİR",IF($E4506="SATIŞ İADESİ/İSKONTO",-$O4506,$O4506),-$O4506)))</f>
        <v/>
      </c>
      <c r="AB4506" s="117">
        <f>IF($B4506="","",IF(OR($D4506="",$E4506="",$O4506=""),"EKSİK",IF($O4506&lt;=0,"SIFIR/NEGATİF",IF(COUNTIFS($C$6:$C$5000,$C4506,$O$6:$O$5000,$O4506,$B$6:$B$5000,$B4506)&gt;1,"MÜKERRER","OK"))))</f>
        <v/>
      </c>
    </row>
    <row r="4507" ht="16.5" customHeight="1" s="80">
      <c r="A4507" s="113" t="n"/>
      <c r="B4507" s="113" t="n"/>
      <c r="C4507" s="113" t="n"/>
      <c r="D4507" s="113" t="n"/>
      <c r="E4507" s="113" t="n"/>
      <c r="F4507" s="113" t="n"/>
      <c r="G4507" s="113" t="n"/>
      <c r="H4507" s="113" t="n"/>
      <c r="I4507" s="113" t="n"/>
      <c r="J4507" s="113" t="n"/>
      <c r="K4507" s="113" t="n"/>
      <c r="L4507" s="113" t="n"/>
      <c r="M4507" s="113" t="n"/>
      <c r="N4507" s="113" t="n"/>
      <c r="O4507" s="113" t="n"/>
      <c r="P4507" s="113" t="n"/>
      <c r="Q4507" s="113" t="n"/>
      <c r="R4507" s="113" t="n"/>
      <c r="S4507" s="113" t="n"/>
      <c r="T4507" s="113" t="n"/>
      <c r="U4507" s="113" t="n"/>
      <c r="V4507" s="113" t="n"/>
      <c r="W4507" s="113" t="n"/>
      <c r="X4507" s="113" t="n"/>
      <c r="Y4507" s="113" t="n"/>
      <c r="Z4507" s="117">
        <f>IF($B4507="",0,IF($S4507="EVET",IF($D4507="GELİR",$O4507,-$O4507),0))</f>
        <v/>
      </c>
      <c r="AA4507" s="117">
        <f>IF($B4507="",0,IF(OR($W4507="EVET",$X4507="EVET",$Y4507="EVET"),0,IF($D4507="GELİR",IF($E4507="SATIŞ İADESİ/İSKONTO",-$O4507,$O4507),-$O4507)))</f>
        <v/>
      </c>
      <c r="AB4507" s="117">
        <f>IF($B4507="","",IF(OR($D4507="",$E4507="",$O4507=""),"EKSİK",IF($O4507&lt;=0,"SIFIR/NEGATİF",IF(COUNTIFS($C$6:$C$5000,$C4507,$O$6:$O$5000,$O4507,$B$6:$B$5000,$B4507)&gt;1,"MÜKERRER","OK"))))</f>
        <v/>
      </c>
    </row>
    <row r="4508" ht="16.5" customHeight="1" s="80">
      <c r="A4508" s="113" t="n"/>
      <c r="B4508" s="113" t="n"/>
      <c r="C4508" s="113" t="n"/>
      <c r="D4508" s="113" t="n"/>
      <c r="E4508" s="113" t="n"/>
      <c r="F4508" s="113" t="n"/>
      <c r="G4508" s="113" t="n"/>
      <c r="H4508" s="113" t="n"/>
      <c r="I4508" s="113" t="n"/>
      <c r="J4508" s="113" t="n"/>
      <c r="K4508" s="113" t="n"/>
      <c r="L4508" s="113" t="n"/>
      <c r="M4508" s="113" t="n"/>
      <c r="N4508" s="113" t="n"/>
      <c r="O4508" s="113" t="n"/>
      <c r="P4508" s="113" t="n"/>
      <c r="Q4508" s="113" t="n"/>
      <c r="R4508" s="113" t="n"/>
      <c r="S4508" s="113" t="n"/>
      <c r="T4508" s="113" t="n"/>
      <c r="U4508" s="113" t="n"/>
      <c r="V4508" s="113" t="n"/>
      <c r="W4508" s="113" t="n"/>
      <c r="X4508" s="113" t="n"/>
      <c r="Y4508" s="113" t="n"/>
      <c r="Z4508" s="117">
        <f>IF($B4508="",0,IF($S4508="EVET",IF($D4508="GELİR",$O4508,-$O4508),0))</f>
        <v/>
      </c>
      <c r="AA4508" s="117">
        <f>IF($B4508="",0,IF(OR($W4508="EVET",$X4508="EVET",$Y4508="EVET"),0,IF($D4508="GELİR",IF($E4508="SATIŞ İADESİ/İSKONTO",-$O4508,$O4508),-$O4508)))</f>
        <v/>
      </c>
      <c r="AB4508" s="117">
        <f>IF($B4508="","",IF(OR($D4508="",$E4508="",$O4508=""),"EKSİK",IF($O4508&lt;=0,"SIFIR/NEGATİF",IF(COUNTIFS($C$6:$C$5000,$C4508,$O$6:$O$5000,$O4508,$B$6:$B$5000,$B4508)&gt;1,"MÜKERRER","OK"))))</f>
        <v/>
      </c>
    </row>
    <row r="4509" ht="16.5" customHeight="1" s="80">
      <c r="A4509" s="113" t="n"/>
      <c r="B4509" s="113" t="n"/>
      <c r="C4509" s="113" t="n"/>
      <c r="D4509" s="113" t="n"/>
      <c r="E4509" s="113" t="n"/>
      <c r="F4509" s="113" t="n"/>
      <c r="G4509" s="113" t="n"/>
      <c r="H4509" s="113" t="n"/>
      <c r="I4509" s="113" t="n"/>
      <c r="J4509" s="113" t="n"/>
      <c r="K4509" s="113" t="n"/>
      <c r="L4509" s="113" t="n"/>
      <c r="M4509" s="113" t="n"/>
      <c r="N4509" s="113" t="n"/>
      <c r="O4509" s="113" t="n"/>
      <c r="P4509" s="113" t="n"/>
      <c r="Q4509" s="113" t="n"/>
      <c r="R4509" s="113" t="n"/>
      <c r="S4509" s="113" t="n"/>
      <c r="T4509" s="113" t="n"/>
      <c r="U4509" s="113" t="n"/>
      <c r="V4509" s="113" t="n"/>
      <c r="W4509" s="113" t="n"/>
      <c r="X4509" s="113" t="n"/>
      <c r="Y4509" s="113" t="n"/>
      <c r="Z4509" s="117">
        <f>IF($B4509="",0,IF($S4509="EVET",IF($D4509="GELİR",$O4509,-$O4509),0))</f>
        <v/>
      </c>
      <c r="AA4509" s="117">
        <f>IF($B4509="",0,IF(OR($W4509="EVET",$X4509="EVET",$Y4509="EVET"),0,IF($D4509="GELİR",IF($E4509="SATIŞ İADESİ/İSKONTO",-$O4509,$O4509),-$O4509)))</f>
        <v/>
      </c>
      <c r="AB4509" s="117">
        <f>IF($B4509="","",IF(OR($D4509="",$E4509="",$O4509=""),"EKSİK",IF($O4509&lt;=0,"SIFIR/NEGATİF",IF(COUNTIFS($C$6:$C$5000,$C4509,$O$6:$O$5000,$O4509,$B$6:$B$5000,$B4509)&gt;1,"MÜKERRER","OK"))))</f>
        <v/>
      </c>
    </row>
    <row r="4510" ht="16.5" customHeight="1" s="80">
      <c r="A4510" s="113" t="n"/>
      <c r="B4510" s="113" t="n"/>
      <c r="C4510" s="113" t="n"/>
      <c r="D4510" s="113" t="n"/>
      <c r="E4510" s="113" t="n"/>
      <c r="F4510" s="113" t="n"/>
      <c r="G4510" s="113" t="n"/>
      <c r="H4510" s="113" t="n"/>
      <c r="I4510" s="113" t="n"/>
      <c r="J4510" s="113" t="n"/>
      <c r="K4510" s="113" t="n"/>
      <c r="L4510" s="113" t="n"/>
      <c r="M4510" s="113" t="n"/>
      <c r="N4510" s="113" t="n"/>
      <c r="O4510" s="113" t="n"/>
      <c r="P4510" s="113" t="n"/>
      <c r="Q4510" s="113" t="n"/>
      <c r="R4510" s="113" t="n"/>
      <c r="S4510" s="113" t="n"/>
      <c r="T4510" s="113" t="n"/>
      <c r="U4510" s="113" t="n"/>
      <c r="V4510" s="113" t="n"/>
      <c r="W4510" s="113" t="n"/>
      <c r="X4510" s="113" t="n"/>
      <c r="Y4510" s="113" t="n"/>
      <c r="Z4510" s="117">
        <f>IF($B4510="",0,IF($S4510="EVET",IF($D4510="GELİR",$O4510,-$O4510),0))</f>
        <v/>
      </c>
      <c r="AA4510" s="117">
        <f>IF($B4510="",0,IF(OR($W4510="EVET",$X4510="EVET",$Y4510="EVET"),0,IF($D4510="GELİR",IF($E4510="SATIŞ İADESİ/İSKONTO",-$O4510,$O4510),-$O4510)))</f>
        <v/>
      </c>
      <c r="AB4510" s="117">
        <f>IF($B4510="","",IF(OR($D4510="",$E4510="",$O4510=""),"EKSİK",IF($O4510&lt;=0,"SIFIR/NEGATİF",IF(COUNTIFS($C$6:$C$5000,$C4510,$O$6:$O$5000,$O4510,$B$6:$B$5000,$B4510)&gt;1,"MÜKERRER","OK"))))</f>
        <v/>
      </c>
    </row>
    <row r="4511" ht="16.5" customHeight="1" s="80">
      <c r="A4511" s="113" t="n"/>
      <c r="B4511" s="113" t="n"/>
      <c r="C4511" s="113" t="n"/>
      <c r="D4511" s="113" t="n"/>
      <c r="E4511" s="113" t="n"/>
      <c r="F4511" s="113" t="n"/>
      <c r="G4511" s="113" t="n"/>
      <c r="H4511" s="113" t="n"/>
      <c r="I4511" s="113" t="n"/>
      <c r="J4511" s="113" t="n"/>
      <c r="K4511" s="113" t="n"/>
      <c r="L4511" s="113" t="n"/>
      <c r="M4511" s="113" t="n"/>
      <c r="N4511" s="113" t="n"/>
      <c r="O4511" s="113" t="n"/>
      <c r="P4511" s="113" t="n"/>
      <c r="Q4511" s="113" t="n"/>
      <c r="R4511" s="113" t="n"/>
      <c r="S4511" s="113" t="n"/>
      <c r="T4511" s="113" t="n"/>
      <c r="U4511" s="113" t="n"/>
      <c r="V4511" s="113" t="n"/>
      <c r="W4511" s="113" t="n"/>
      <c r="X4511" s="113" t="n"/>
      <c r="Y4511" s="113" t="n"/>
      <c r="Z4511" s="117">
        <f>IF($B4511="",0,IF($S4511="EVET",IF($D4511="GELİR",$O4511,-$O4511),0))</f>
        <v/>
      </c>
      <c r="AA4511" s="117">
        <f>IF($B4511="",0,IF(OR($W4511="EVET",$X4511="EVET",$Y4511="EVET"),0,IF($D4511="GELİR",IF($E4511="SATIŞ İADESİ/İSKONTO",-$O4511,$O4511),-$O4511)))</f>
        <v/>
      </c>
      <c r="AB4511" s="117">
        <f>IF($B4511="","",IF(OR($D4511="",$E4511="",$O4511=""),"EKSİK",IF($O4511&lt;=0,"SIFIR/NEGATİF",IF(COUNTIFS($C$6:$C$5000,$C4511,$O$6:$O$5000,$O4511,$B$6:$B$5000,$B4511)&gt;1,"MÜKERRER","OK"))))</f>
        <v/>
      </c>
    </row>
    <row r="4512" ht="16.5" customHeight="1" s="80">
      <c r="A4512" s="113" t="n"/>
      <c r="B4512" s="113" t="n"/>
      <c r="C4512" s="113" t="n"/>
      <c r="D4512" s="113" t="n"/>
      <c r="E4512" s="113" t="n"/>
      <c r="F4512" s="113" t="n"/>
      <c r="G4512" s="113" t="n"/>
      <c r="H4512" s="113" t="n"/>
      <c r="I4512" s="113" t="n"/>
      <c r="J4512" s="113" t="n"/>
      <c r="K4512" s="113" t="n"/>
      <c r="L4512" s="113" t="n"/>
      <c r="M4512" s="113" t="n"/>
      <c r="N4512" s="113" t="n"/>
      <c r="O4512" s="113" t="n"/>
      <c r="P4512" s="113" t="n"/>
      <c r="Q4512" s="113" t="n"/>
      <c r="R4512" s="113" t="n"/>
      <c r="S4512" s="113" t="n"/>
      <c r="T4512" s="113" t="n"/>
      <c r="U4512" s="113" t="n"/>
      <c r="V4512" s="113" t="n"/>
      <c r="W4512" s="113" t="n"/>
      <c r="X4512" s="113" t="n"/>
      <c r="Y4512" s="113" t="n"/>
      <c r="Z4512" s="117">
        <f>IF($B4512="",0,IF($S4512="EVET",IF($D4512="GELİR",$O4512,-$O4512),0))</f>
        <v/>
      </c>
      <c r="AA4512" s="117">
        <f>IF($B4512="",0,IF(OR($W4512="EVET",$X4512="EVET",$Y4512="EVET"),0,IF($D4512="GELİR",IF($E4512="SATIŞ İADESİ/İSKONTO",-$O4512,$O4512),-$O4512)))</f>
        <v/>
      </c>
      <c r="AB4512" s="117">
        <f>IF($B4512="","",IF(OR($D4512="",$E4512="",$O4512=""),"EKSİK",IF($O4512&lt;=0,"SIFIR/NEGATİF",IF(COUNTIFS($C$6:$C$5000,$C4512,$O$6:$O$5000,$O4512,$B$6:$B$5000,$B4512)&gt;1,"MÜKERRER","OK"))))</f>
        <v/>
      </c>
    </row>
    <row r="4513" ht="16.5" customHeight="1" s="80">
      <c r="A4513" s="113" t="n"/>
      <c r="B4513" s="113" t="n"/>
      <c r="C4513" s="113" t="n"/>
      <c r="D4513" s="113" t="n"/>
      <c r="E4513" s="113" t="n"/>
      <c r="F4513" s="113" t="n"/>
      <c r="G4513" s="113" t="n"/>
      <c r="H4513" s="113" t="n"/>
      <c r="I4513" s="113" t="n"/>
      <c r="J4513" s="113" t="n"/>
      <c r="K4513" s="113" t="n"/>
      <c r="L4513" s="113" t="n"/>
      <c r="M4513" s="113" t="n"/>
      <c r="N4513" s="113" t="n"/>
      <c r="O4513" s="113" t="n"/>
      <c r="P4513" s="113" t="n"/>
      <c r="Q4513" s="113" t="n"/>
      <c r="R4513" s="113" t="n"/>
      <c r="S4513" s="113" t="n"/>
      <c r="T4513" s="113" t="n"/>
      <c r="U4513" s="113" t="n"/>
      <c r="V4513" s="113" t="n"/>
      <c r="W4513" s="113" t="n"/>
      <c r="X4513" s="113" t="n"/>
      <c r="Y4513" s="113" t="n"/>
      <c r="Z4513" s="117">
        <f>IF($B4513="",0,IF($S4513="EVET",IF($D4513="GELİR",$O4513,-$O4513),0))</f>
        <v/>
      </c>
      <c r="AA4513" s="117">
        <f>IF($B4513="",0,IF(OR($W4513="EVET",$X4513="EVET",$Y4513="EVET"),0,IF($D4513="GELİR",IF($E4513="SATIŞ İADESİ/İSKONTO",-$O4513,$O4513),-$O4513)))</f>
        <v/>
      </c>
      <c r="AB4513" s="117">
        <f>IF($B4513="","",IF(OR($D4513="",$E4513="",$O4513=""),"EKSİK",IF($O4513&lt;=0,"SIFIR/NEGATİF",IF(COUNTIFS($C$6:$C$5000,$C4513,$O$6:$O$5000,$O4513,$B$6:$B$5000,$B4513)&gt;1,"MÜKERRER","OK"))))</f>
        <v/>
      </c>
    </row>
    <row r="4514" ht="16.5" customHeight="1" s="80">
      <c r="A4514" s="113" t="n"/>
      <c r="B4514" s="113" t="n"/>
      <c r="C4514" s="113" t="n"/>
      <c r="D4514" s="113" t="n"/>
      <c r="E4514" s="113" t="n"/>
      <c r="F4514" s="113" t="n"/>
      <c r="G4514" s="113" t="n"/>
      <c r="H4514" s="113" t="n"/>
      <c r="I4514" s="113" t="n"/>
      <c r="J4514" s="113" t="n"/>
      <c r="K4514" s="113" t="n"/>
      <c r="L4514" s="113" t="n"/>
      <c r="M4514" s="113" t="n"/>
      <c r="N4514" s="113" t="n"/>
      <c r="O4514" s="113" t="n"/>
      <c r="P4514" s="113" t="n"/>
      <c r="Q4514" s="113" t="n"/>
      <c r="R4514" s="113" t="n"/>
      <c r="S4514" s="113" t="n"/>
      <c r="T4514" s="113" t="n"/>
      <c r="U4514" s="113" t="n"/>
      <c r="V4514" s="113" t="n"/>
      <c r="W4514" s="113" t="n"/>
      <c r="X4514" s="113" t="n"/>
      <c r="Y4514" s="113" t="n"/>
      <c r="Z4514" s="117">
        <f>IF($B4514="",0,IF($S4514="EVET",IF($D4514="GELİR",$O4514,-$O4514),0))</f>
        <v/>
      </c>
      <c r="AA4514" s="117">
        <f>IF($B4514="",0,IF(OR($W4514="EVET",$X4514="EVET",$Y4514="EVET"),0,IF($D4514="GELİR",IF($E4514="SATIŞ İADESİ/İSKONTO",-$O4514,$O4514),-$O4514)))</f>
        <v/>
      </c>
      <c r="AB4514" s="117">
        <f>IF($B4514="","",IF(OR($D4514="",$E4514="",$O4514=""),"EKSİK",IF($O4514&lt;=0,"SIFIR/NEGATİF",IF(COUNTIFS($C$6:$C$5000,$C4514,$O$6:$O$5000,$O4514,$B$6:$B$5000,$B4514)&gt;1,"MÜKERRER","OK"))))</f>
        <v/>
      </c>
    </row>
    <row r="4515" ht="16.5" customHeight="1" s="80">
      <c r="A4515" s="113" t="n"/>
      <c r="B4515" s="113" t="n"/>
      <c r="C4515" s="113" t="n"/>
      <c r="D4515" s="113" t="n"/>
      <c r="E4515" s="113" t="n"/>
      <c r="F4515" s="113" t="n"/>
      <c r="G4515" s="113" t="n"/>
      <c r="H4515" s="113" t="n"/>
      <c r="I4515" s="113" t="n"/>
      <c r="J4515" s="113" t="n"/>
      <c r="K4515" s="113" t="n"/>
      <c r="L4515" s="113" t="n"/>
      <c r="M4515" s="113" t="n"/>
      <c r="N4515" s="113" t="n"/>
      <c r="O4515" s="113" t="n"/>
      <c r="P4515" s="113" t="n"/>
      <c r="Q4515" s="113" t="n"/>
      <c r="R4515" s="113" t="n"/>
      <c r="S4515" s="113" t="n"/>
      <c r="T4515" s="113" t="n"/>
      <c r="U4515" s="113" t="n"/>
      <c r="V4515" s="113" t="n"/>
      <c r="W4515" s="113" t="n"/>
      <c r="X4515" s="113" t="n"/>
      <c r="Y4515" s="113" t="n"/>
      <c r="Z4515" s="117">
        <f>IF($B4515="",0,IF($S4515="EVET",IF($D4515="GELİR",$O4515,-$O4515),0))</f>
        <v/>
      </c>
      <c r="AA4515" s="117">
        <f>IF($B4515="",0,IF(OR($W4515="EVET",$X4515="EVET",$Y4515="EVET"),0,IF($D4515="GELİR",IF($E4515="SATIŞ İADESİ/İSKONTO",-$O4515,$O4515),-$O4515)))</f>
        <v/>
      </c>
      <c r="AB4515" s="117">
        <f>IF($B4515="","",IF(OR($D4515="",$E4515="",$O4515=""),"EKSİK",IF($O4515&lt;=0,"SIFIR/NEGATİF",IF(COUNTIFS($C$6:$C$5000,$C4515,$O$6:$O$5000,$O4515,$B$6:$B$5000,$B4515)&gt;1,"MÜKERRER","OK"))))</f>
        <v/>
      </c>
    </row>
    <row r="4516" ht="16.5" customHeight="1" s="80">
      <c r="A4516" s="113" t="n"/>
      <c r="B4516" s="113" t="n"/>
      <c r="C4516" s="113" t="n"/>
      <c r="D4516" s="113" t="n"/>
      <c r="E4516" s="113" t="n"/>
      <c r="F4516" s="113" t="n"/>
      <c r="G4516" s="113" t="n"/>
      <c r="H4516" s="113" t="n"/>
      <c r="I4516" s="113" t="n"/>
      <c r="J4516" s="113" t="n"/>
      <c r="K4516" s="113" t="n"/>
      <c r="L4516" s="113" t="n"/>
      <c r="M4516" s="113" t="n"/>
      <c r="N4516" s="113" t="n"/>
      <c r="O4516" s="113" t="n"/>
      <c r="P4516" s="113" t="n"/>
      <c r="Q4516" s="113" t="n"/>
      <c r="R4516" s="113" t="n"/>
      <c r="S4516" s="113" t="n"/>
      <c r="T4516" s="113" t="n"/>
      <c r="U4516" s="113" t="n"/>
      <c r="V4516" s="113" t="n"/>
      <c r="W4516" s="113" t="n"/>
      <c r="X4516" s="113" t="n"/>
      <c r="Y4516" s="113" t="n"/>
      <c r="Z4516" s="117">
        <f>IF($B4516="",0,IF($S4516="EVET",IF($D4516="GELİR",$O4516,-$O4516),0))</f>
        <v/>
      </c>
      <c r="AA4516" s="117">
        <f>IF($B4516="",0,IF(OR($W4516="EVET",$X4516="EVET",$Y4516="EVET"),0,IF($D4516="GELİR",IF($E4516="SATIŞ İADESİ/İSKONTO",-$O4516,$O4516),-$O4516)))</f>
        <v/>
      </c>
      <c r="AB4516" s="117">
        <f>IF($B4516="","",IF(OR($D4516="",$E4516="",$O4516=""),"EKSİK",IF($O4516&lt;=0,"SIFIR/NEGATİF",IF(COUNTIFS($C$6:$C$5000,$C4516,$O$6:$O$5000,$O4516,$B$6:$B$5000,$B4516)&gt;1,"MÜKERRER","OK"))))</f>
        <v/>
      </c>
    </row>
    <row r="4517" ht="16.5" customHeight="1" s="80">
      <c r="A4517" s="113" t="n"/>
      <c r="B4517" s="113" t="n"/>
      <c r="C4517" s="113" t="n"/>
      <c r="D4517" s="113" t="n"/>
      <c r="E4517" s="113" t="n"/>
      <c r="F4517" s="113" t="n"/>
      <c r="G4517" s="113" t="n"/>
      <c r="H4517" s="113" t="n"/>
      <c r="I4517" s="113" t="n"/>
      <c r="J4517" s="113" t="n"/>
      <c r="K4517" s="113" t="n"/>
      <c r="L4517" s="113" t="n"/>
      <c r="M4517" s="113" t="n"/>
      <c r="N4517" s="113" t="n"/>
      <c r="O4517" s="113" t="n"/>
      <c r="P4517" s="113" t="n"/>
      <c r="Q4517" s="113" t="n"/>
      <c r="R4517" s="113" t="n"/>
      <c r="S4517" s="113" t="n"/>
      <c r="T4517" s="113" t="n"/>
      <c r="U4517" s="113" t="n"/>
      <c r="V4517" s="113" t="n"/>
      <c r="W4517" s="113" t="n"/>
      <c r="X4517" s="113" t="n"/>
      <c r="Y4517" s="113" t="n"/>
      <c r="Z4517" s="117">
        <f>IF($B4517="",0,IF($S4517="EVET",IF($D4517="GELİR",$O4517,-$O4517),0))</f>
        <v/>
      </c>
      <c r="AA4517" s="117">
        <f>IF($B4517="",0,IF(OR($W4517="EVET",$X4517="EVET",$Y4517="EVET"),0,IF($D4517="GELİR",IF($E4517="SATIŞ İADESİ/İSKONTO",-$O4517,$O4517),-$O4517)))</f>
        <v/>
      </c>
      <c r="AB4517" s="117">
        <f>IF($B4517="","",IF(OR($D4517="",$E4517="",$O4517=""),"EKSİK",IF($O4517&lt;=0,"SIFIR/NEGATİF",IF(COUNTIFS($C$6:$C$5000,$C4517,$O$6:$O$5000,$O4517,$B$6:$B$5000,$B4517)&gt;1,"MÜKERRER","OK"))))</f>
        <v/>
      </c>
    </row>
    <row r="4518" ht="16.5" customHeight="1" s="80">
      <c r="A4518" s="113" t="n"/>
      <c r="B4518" s="113" t="n"/>
      <c r="C4518" s="113" t="n"/>
      <c r="D4518" s="113" t="n"/>
      <c r="E4518" s="113" t="n"/>
      <c r="F4518" s="113" t="n"/>
      <c r="G4518" s="113" t="n"/>
      <c r="H4518" s="113" t="n"/>
      <c r="I4518" s="113" t="n"/>
      <c r="J4518" s="113" t="n"/>
      <c r="K4518" s="113" t="n"/>
      <c r="L4518" s="113" t="n"/>
      <c r="M4518" s="113" t="n"/>
      <c r="N4518" s="113" t="n"/>
      <c r="O4518" s="113" t="n"/>
      <c r="P4518" s="113" t="n"/>
      <c r="Q4518" s="113" t="n"/>
      <c r="R4518" s="113" t="n"/>
      <c r="S4518" s="113" t="n"/>
      <c r="T4518" s="113" t="n"/>
      <c r="U4518" s="113" t="n"/>
      <c r="V4518" s="113" t="n"/>
      <c r="W4518" s="113" t="n"/>
      <c r="X4518" s="113" t="n"/>
      <c r="Y4518" s="113" t="n"/>
      <c r="Z4518" s="117">
        <f>IF($B4518="",0,IF($S4518="EVET",IF($D4518="GELİR",$O4518,-$O4518),0))</f>
        <v/>
      </c>
      <c r="AA4518" s="117">
        <f>IF($B4518="",0,IF(OR($W4518="EVET",$X4518="EVET",$Y4518="EVET"),0,IF($D4518="GELİR",IF($E4518="SATIŞ İADESİ/İSKONTO",-$O4518,$O4518),-$O4518)))</f>
        <v/>
      </c>
      <c r="AB4518" s="117">
        <f>IF($B4518="","",IF(OR($D4518="",$E4518="",$O4518=""),"EKSİK",IF($O4518&lt;=0,"SIFIR/NEGATİF",IF(COUNTIFS($C$6:$C$5000,$C4518,$O$6:$O$5000,$O4518,$B$6:$B$5000,$B4518)&gt;1,"MÜKERRER","OK"))))</f>
        <v/>
      </c>
    </row>
    <row r="4519" ht="16.5" customHeight="1" s="80">
      <c r="A4519" s="113" t="n"/>
      <c r="B4519" s="113" t="n"/>
      <c r="C4519" s="113" t="n"/>
      <c r="D4519" s="113" t="n"/>
      <c r="E4519" s="113" t="n"/>
      <c r="F4519" s="113" t="n"/>
      <c r="G4519" s="113" t="n"/>
      <c r="H4519" s="113" t="n"/>
      <c r="I4519" s="113" t="n"/>
      <c r="J4519" s="113" t="n"/>
      <c r="K4519" s="113" t="n"/>
      <c r="L4519" s="113" t="n"/>
      <c r="M4519" s="113" t="n"/>
      <c r="N4519" s="113" t="n"/>
      <c r="O4519" s="113" t="n"/>
      <c r="P4519" s="113" t="n"/>
      <c r="Q4519" s="113" t="n"/>
      <c r="R4519" s="113" t="n"/>
      <c r="S4519" s="113" t="n"/>
      <c r="T4519" s="113" t="n"/>
      <c r="U4519" s="113" t="n"/>
      <c r="V4519" s="113" t="n"/>
      <c r="W4519" s="113" t="n"/>
      <c r="X4519" s="113" t="n"/>
      <c r="Y4519" s="113" t="n"/>
      <c r="Z4519" s="117">
        <f>IF($B4519="",0,IF($S4519="EVET",IF($D4519="GELİR",$O4519,-$O4519),0))</f>
        <v/>
      </c>
      <c r="AA4519" s="117">
        <f>IF($B4519="",0,IF(OR($W4519="EVET",$X4519="EVET",$Y4519="EVET"),0,IF($D4519="GELİR",IF($E4519="SATIŞ İADESİ/İSKONTO",-$O4519,$O4519),-$O4519)))</f>
        <v/>
      </c>
      <c r="AB4519" s="117">
        <f>IF($B4519="","",IF(OR($D4519="",$E4519="",$O4519=""),"EKSİK",IF($O4519&lt;=0,"SIFIR/NEGATİF",IF(COUNTIFS($C$6:$C$5000,$C4519,$O$6:$O$5000,$O4519,$B$6:$B$5000,$B4519)&gt;1,"MÜKERRER","OK"))))</f>
        <v/>
      </c>
    </row>
    <row r="4520" ht="16.5" customHeight="1" s="80">
      <c r="A4520" s="113" t="n"/>
      <c r="B4520" s="113" t="n"/>
      <c r="C4520" s="113" t="n"/>
      <c r="D4520" s="113" t="n"/>
      <c r="E4520" s="113" t="n"/>
      <c r="F4520" s="113" t="n"/>
      <c r="G4520" s="113" t="n"/>
      <c r="H4520" s="113" t="n"/>
      <c r="I4520" s="113" t="n"/>
      <c r="J4520" s="113" t="n"/>
      <c r="K4520" s="113" t="n"/>
      <c r="L4520" s="113" t="n"/>
      <c r="M4520" s="113" t="n"/>
      <c r="N4520" s="113" t="n"/>
      <c r="O4520" s="113" t="n"/>
      <c r="P4520" s="113" t="n"/>
      <c r="Q4520" s="113" t="n"/>
      <c r="R4520" s="113" t="n"/>
      <c r="S4520" s="113" t="n"/>
      <c r="T4520" s="113" t="n"/>
      <c r="U4520" s="113" t="n"/>
      <c r="V4520" s="113" t="n"/>
      <c r="W4520" s="113" t="n"/>
      <c r="X4520" s="113" t="n"/>
      <c r="Y4520" s="113" t="n"/>
      <c r="Z4520" s="117">
        <f>IF($B4520="",0,IF($S4520="EVET",IF($D4520="GELİR",$O4520,-$O4520),0))</f>
        <v/>
      </c>
      <c r="AA4520" s="117">
        <f>IF($B4520="",0,IF(OR($W4520="EVET",$X4520="EVET",$Y4520="EVET"),0,IF($D4520="GELİR",IF($E4520="SATIŞ İADESİ/İSKONTO",-$O4520,$O4520),-$O4520)))</f>
        <v/>
      </c>
      <c r="AB4520" s="117">
        <f>IF($B4520="","",IF(OR($D4520="",$E4520="",$O4520=""),"EKSİK",IF($O4520&lt;=0,"SIFIR/NEGATİF",IF(COUNTIFS($C$6:$C$5000,$C4520,$O$6:$O$5000,$O4520,$B$6:$B$5000,$B4520)&gt;1,"MÜKERRER","OK"))))</f>
        <v/>
      </c>
    </row>
    <row r="4521" ht="16.5" customHeight="1" s="80">
      <c r="A4521" s="113" t="n"/>
      <c r="B4521" s="113" t="n"/>
      <c r="C4521" s="113" t="n"/>
      <c r="D4521" s="113" t="n"/>
      <c r="E4521" s="113" t="n"/>
      <c r="F4521" s="113" t="n"/>
      <c r="G4521" s="113" t="n"/>
      <c r="H4521" s="113" t="n"/>
      <c r="I4521" s="113" t="n"/>
      <c r="J4521" s="113" t="n"/>
      <c r="K4521" s="113" t="n"/>
      <c r="L4521" s="113" t="n"/>
      <c r="M4521" s="113" t="n"/>
      <c r="N4521" s="113" t="n"/>
      <c r="O4521" s="113" t="n"/>
      <c r="P4521" s="113" t="n"/>
      <c r="Q4521" s="113" t="n"/>
      <c r="R4521" s="113" t="n"/>
      <c r="S4521" s="113" t="n"/>
      <c r="T4521" s="113" t="n"/>
      <c r="U4521" s="113" t="n"/>
      <c r="V4521" s="113" t="n"/>
      <c r="W4521" s="113" t="n"/>
      <c r="X4521" s="113" t="n"/>
      <c r="Y4521" s="113" t="n"/>
      <c r="Z4521" s="117">
        <f>IF($B4521="",0,IF($S4521="EVET",IF($D4521="GELİR",$O4521,-$O4521),0))</f>
        <v/>
      </c>
      <c r="AA4521" s="117">
        <f>IF($B4521="",0,IF(OR($W4521="EVET",$X4521="EVET",$Y4521="EVET"),0,IF($D4521="GELİR",IF($E4521="SATIŞ İADESİ/İSKONTO",-$O4521,$O4521),-$O4521)))</f>
        <v/>
      </c>
      <c r="AB4521" s="117">
        <f>IF($B4521="","",IF(OR($D4521="",$E4521="",$O4521=""),"EKSİK",IF($O4521&lt;=0,"SIFIR/NEGATİF",IF(COUNTIFS($C$6:$C$5000,$C4521,$O$6:$O$5000,$O4521,$B$6:$B$5000,$B4521)&gt;1,"MÜKERRER","OK"))))</f>
        <v/>
      </c>
    </row>
    <row r="4522" ht="16.5" customHeight="1" s="80">
      <c r="A4522" s="113" t="n"/>
      <c r="B4522" s="113" t="n"/>
      <c r="C4522" s="113" t="n"/>
      <c r="D4522" s="113" t="n"/>
      <c r="E4522" s="113" t="n"/>
      <c r="F4522" s="113" t="n"/>
      <c r="G4522" s="113" t="n"/>
      <c r="H4522" s="113" t="n"/>
      <c r="I4522" s="113" t="n"/>
      <c r="J4522" s="113" t="n"/>
      <c r="K4522" s="113" t="n"/>
      <c r="L4522" s="113" t="n"/>
      <c r="M4522" s="113" t="n"/>
      <c r="N4522" s="113" t="n"/>
      <c r="O4522" s="113" t="n"/>
      <c r="P4522" s="113" t="n"/>
      <c r="Q4522" s="113" t="n"/>
      <c r="R4522" s="113" t="n"/>
      <c r="S4522" s="113" t="n"/>
      <c r="T4522" s="113" t="n"/>
      <c r="U4522" s="113" t="n"/>
      <c r="V4522" s="113" t="n"/>
      <c r="W4522" s="113" t="n"/>
      <c r="X4522" s="113" t="n"/>
      <c r="Y4522" s="113" t="n"/>
      <c r="Z4522" s="117">
        <f>IF($B4522="",0,IF($S4522="EVET",IF($D4522="GELİR",$O4522,-$O4522),0))</f>
        <v/>
      </c>
      <c r="AA4522" s="117">
        <f>IF($B4522="",0,IF(OR($W4522="EVET",$X4522="EVET",$Y4522="EVET"),0,IF($D4522="GELİR",IF($E4522="SATIŞ İADESİ/İSKONTO",-$O4522,$O4522),-$O4522)))</f>
        <v/>
      </c>
      <c r="AB4522" s="117">
        <f>IF($B4522="","",IF(OR($D4522="",$E4522="",$O4522=""),"EKSİK",IF($O4522&lt;=0,"SIFIR/NEGATİF",IF(COUNTIFS($C$6:$C$5000,$C4522,$O$6:$O$5000,$O4522,$B$6:$B$5000,$B4522)&gt;1,"MÜKERRER","OK"))))</f>
        <v/>
      </c>
    </row>
    <row r="4523" ht="16.5" customHeight="1" s="80">
      <c r="A4523" s="113" t="n"/>
      <c r="B4523" s="113" t="n"/>
      <c r="C4523" s="113" t="n"/>
      <c r="D4523" s="113" t="n"/>
      <c r="E4523" s="113" t="n"/>
      <c r="F4523" s="113" t="n"/>
      <c r="G4523" s="113" t="n"/>
      <c r="H4523" s="113" t="n"/>
      <c r="I4523" s="113" t="n"/>
      <c r="J4523" s="113" t="n"/>
      <c r="K4523" s="113" t="n"/>
      <c r="L4523" s="113" t="n"/>
      <c r="M4523" s="113" t="n"/>
      <c r="N4523" s="113" t="n"/>
      <c r="O4523" s="113" t="n"/>
      <c r="P4523" s="113" t="n"/>
      <c r="Q4523" s="113" t="n"/>
      <c r="R4523" s="113" t="n"/>
      <c r="S4523" s="113" t="n"/>
      <c r="T4523" s="113" t="n"/>
      <c r="U4523" s="113" t="n"/>
      <c r="V4523" s="113" t="n"/>
      <c r="W4523" s="113" t="n"/>
      <c r="X4523" s="113" t="n"/>
      <c r="Y4523" s="113" t="n"/>
      <c r="Z4523" s="117">
        <f>IF($B4523="",0,IF($S4523="EVET",IF($D4523="GELİR",$O4523,-$O4523),0))</f>
        <v/>
      </c>
      <c r="AA4523" s="117">
        <f>IF($B4523="",0,IF(OR($W4523="EVET",$X4523="EVET",$Y4523="EVET"),0,IF($D4523="GELİR",IF($E4523="SATIŞ İADESİ/İSKONTO",-$O4523,$O4523),-$O4523)))</f>
        <v/>
      </c>
      <c r="AB4523" s="117">
        <f>IF($B4523="","",IF(OR($D4523="",$E4523="",$O4523=""),"EKSİK",IF($O4523&lt;=0,"SIFIR/NEGATİF",IF(COUNTIFS($C$6:$C$5000,$C4523,$O$6:$O$5000,$O4523,$B$6:$B$5000,$B4523)&gt;1,"MÜKERRER","OK"))))</f>
        <v/>
      </c>
    </row>
    <row r="4524" ht="16.5" customHeight="1" s="80">
      <c r="A4524" s="113" t="n"/>
      <c r="B4524" s="113" t="n"/>
      <c r="C4524" s="113" t="n"/>
      <c r="D4524" s="113" t="n"/>
      <c r="E4524" s="113" t="n"/>
      <c r="F4524" s="113" t="n"/>
      <c r="G4524" s="113" t="n"/>
      <c r="H4524" s="113" t="n"/>
      <c r="I4524" s="113" t="n"/>
      <c r="J4524" s="113" t="n"/>
      <c r="K4524" s="113" t="n"/>
      <c r="L4524" s="113" t="n"/>
      <c r="M4524" s="113" t="n"/>
      <c r="N4524" s="113" t="n"/>
      <c r="O4524" s="113" t="n"/>
      <c r="P4524" s="113" t="n"/>
      <c r="Q4524" s="113" t="n"/>
      <c r="R4524" s="113" t="n"/>
      <c r="S4524" s="113" t="n"/>
      <c r="T4524" s="113" t="n"/>
      <c r="U4524" s="113" t="n"/>
      <c r="V4524" s="113" t="n"/>
      <c r="W4524" s="113" t="n"/>
      <c r="X4524" s="113" t="n"/>
      <c r="Y4524" s="113" t="n"/>
      <c r="Z4524" s="117">
        <f>IF($B4524="",0,IF($S4524="EVET",IF($D4524="GELİR",$O4524,-$O4524),0))</f>
        <v/>
      </c>
      <c r="AA4524" s="117">
        <f>IF($B4524="",0,IF(OR($W4524="EVET",$X4524="EVET",$Y4524="EVET"),0,IF($D4524="GELİR",IF($E4524="SATIŞ İADESİ/İSKONTO",-$O4524,$O4524),-$O4524)))</f>
        <v/>
      </c>
      <c r="AB4524" s="117">
        <f>IF($B4524="","",IF(OR($D4524="",$E4524="",$O4524=""),"EKSİK",IF($O4524&lt;=0,"SIFIR/NEGATİF",IF(COUNTIFS($C$6:$C$5000,$C4524,$O$6:$O$5000,$O4524,$B$6:$B$5000,$B4524)&gt;1,"MÜKERRER","OK"))))</f>
        <v/>
      </c>
    </row>
    <row r="4525" ht="16.5" customHeight="1" s="80">
      <c r="A4525" s="113" t="n"/>
      <c r="B4525" s="113" t="n"/>
      <c r="C4525" s="113" t="n"/>
      <c r="D4525" s="113" t="n"/>
      <c r="E4525" s="113" t="n"/>
      <c r="F4525" s="113" t="n"/>
      <c r="G4525" s="113" t="n"/>
      <c r="H4525" s="113" t="n"/>
      <c r="I4525" s="113" t="n"/>
      <c r="J4525" s="113" t="n"/>
      <c r="K4525" s="113" t="n"/>
      <c r="L4525" s="113" t="n"/>
      <c r="M4525" s="113" t="n"/>
      <c r="N4525" s="113" t="n"/>
      <c r="O4525" s="113" t="n"/>
      <c r="P4525" s="113" t="n"/>
      <c r="Q4525" s="113" t="n"/>
      <c r="R4525" s="113" t="n"/>
      <c r="S4525" s="113" t="n"/>
      <c r="T4525" s="113" t="n"/>
      <c r="U4525" s="113" t="n"/>
      <c r="V4525" s="113" t="n"/>
      <c r="W4525" s="113" t="n"/>
      <c r="X4525" s="113" t="n"/>
      <c r="Y4525" s="113" t="n"/>
      <c r="Z4525" s="117">
        <f>IF($B4525="",0,IF($S4525="EVET",IF($D4525="GELİR",$O4525,-$O4525),0))</f>
        <v/>
      </c>
      <c r="AA4525" s="117">
        <f>IF($B4525="",0,IF(OR($W4525="EVET",$X4525="EVET",$Y4525="EVET"),0,IF($D4525="GELİR",IF($E4525="SATIŞ İADESİ/İSKONTO",-$O4525,$O4525),-$O4525)))</f>
        <v/>
      </c>
      <c r="AB4525" s="117">
        <f>IF($B4525="","",IF(OR($D4525="",$E4525="",$O4525=""),"EKSİK",IF($O4525&lt;=0,"SIFIR/NEGATİF",IF(COUNTIFS($C$6:$C$5000,$C4525,$O$6:$O$5000,$O4525,$B$6:$B$5000,$B4525)&gt;1,"MÜKERRER","OK"))))</f>
        <v/>
      </c>
    </row>
    <row r="4526" ht="16.5" customHeight="1" s="80">
      <c r="A4526" s="113" t="n"/>
      <c r="B4526" s="113" t="n"/>
      <c r="C4526" s="113" t="n"/>
      <c r="D4526" s="113" t="n"/>
      <c r="E4526" s="113" t="n"/>
      <c r="F4526" s="113" t="n"/>
      <c r="G4526" s="113" t="n"/>
      <c r="H4526" s="113" t="n"/>
      <c r="I4526" s="113" t="n"/>
      <c r="J4526" s="113" t="n"/>
      <c r="K4526" s="113" t="n"/>
      <c r="L4526" s="113" t="n"/>
      <c r="M4526" s="113" t="n"/>
      <c r="N4526" s="113" t="n"/>
      <c r="O4526" s="113" t="n"/>
      <c r="P4526" s="113" t="n"/>
      <c r="Q4526" s="113" t="n"/>
      <c r="R4526" s="113" t="n"/>
      <c r="S4526" s="113" t="n"/>
      <c r="T4526" s="113" t="n"/>
      <c r="U4526" s="113" t="n"/>
      <c r="V4526" s="113" t="n"/>
      <c r="W4526" s="113" t="n"/>
      <c r="X4526" s="113" t="n"/>
      <c r="Y4526" s="113" t="n"/>
      <c r="Z4526" s="117">
        <f>IF($B4526="",0,IF($S4526="EVET",IF($D4526="GELİR",$O4526,-$O4526),0))</f>
        <v/>
      </c>
      <c r="AA4526" s="117">
        <f>IF($B4526="",0,IF(OR($W4526="EVET",$X4526="EVET",$Y4526="EVET"),0,IF($D4526="GELİR",IF($E4526="SATIŞ İADESİ/İSKONTO",-$O4526,$O4526),-$O4526)))</f>
        <v/>
      </c>
      <c r="AB4526" s="117">
        <f>IF($B4526="","",IF(OR($D4526="",$E4526="",$O4526=""),"EKSİK",IF($O4526&lt;=0,"SIFIR/NEGATİF",IF(COUNTIFS($C$6:$C$5000,$C4526,$O$6:$O$5000,$O4526,$B$6:$B$5000,$B4526)&gt;1,"MÜKERRER","OK"))))</f>
        <v/>
      </c>
    </row>
    <row r="4527" ht="16.5" customHeight="1" s="80">
      <c r="A4527" s="113" t="n"/>
      <c r="B4527" s="113" t="n"/>
      <c r="C4527" s="113" t="n"/>
      <c r="D4527" s="113" t="n"/>
      <c r="E4527" s="113" t="n"/>
      <c r="F4527" s="113" t="n"/>
      <c r="G4527" s="113" t="n"/>
      <c r="H4527" s="113" t="n"/>
      <c r="I4527" s="113" t="n"/>
      <c r="J4527" s="113" t="n"/>
      <c r="K4527" s="113" t="n"/>
      <c r="L4527" s="113" t="n"/>
      <c r="M4527" s="113" t="n"/>
      <c r="N4527" s="113" t="n"/>
      <c r="O4527" s="113" t="n"/>
      <c r="P4527" s="113" t="n"/>
      <c r="Q4527" s="113" t="n"/>
      <c r="R4527" s="113" t="n"/>
      <c r="S4527" s="113" t="n"/>
      <c r="T4527" s="113" t="n"/>
      <c r="U4527" s="113" t="n"/>
      <c r="V4527" s="113" t="n"/>
      <c r="W4527" s="113" t="n"/>
      <c r="X4527" s="113" t="n"/>
      <c r="Y4527" s="113" t="n"/>
      <c r="Z4527" s="117">
        <f>IF($B4527="",0,IF($S4527="EVET",IF($D4527="GELİR",$O4527,-$O4527),0))</f>
        <v/>
      </c>
      <c r="AA4527" s="117">
        <f>IF($B4527="",0,IF(OR($W4527="EVET",$X4527="EVET",$Y4527="EVET"),0,IF($D4527="GELİR",IF($E4527="SATIŞ İADESİ/İSKONTO",-$O4527,$O4527),-$O4527)))</f>
        <v/>
      </c>
      <c r="AB4527" s="117">
        <f>IF($B4527="","",IF(OR($D4527="",$E4527="",$O4527=""),"EKSİK",IF($O4527&lt;=0,"SIFIR/NEGATİF",IF(COUNTIFS($C$6:$C$5000,$C4527,$O$6:$O$5000,$O4527,$B$6:$B$5000,$B4527)&gt;1,"MÜKERRER","OK"))))</f>
        <v/>
      </c>
    </row>
    <row r="4528" ht="16.5" customHeight="1" s="80">
      <c r="A4528" s="113" t="n"/>
      <c r="B4528" s="113" t="n"/>
      <c r="C4528" s="113" t="n"/>
      <c r="D4528" s="113" t="n"/>
      <c r="E4528" s="113" t="n"/>
      <c r="F4528" s="113" t="n"/>
      <c r="G4528" s="113" t="n"/>
      <c r="H4528" s="113" t="n"/>
      <c r="I4528" s="113" t="n"/>
      <c r="J4528" s="113" t="n"/>
      <c r="K4528" s="113" t="n"/>
      <c r="L4528" s="113" t="n"/>
      <c r="M4528" s="113" t="n"/>
      <c r="N4528" s="113" t="n"/>
      <c r="O4528" s="113" t="n"/>
      <c r="P4528" s="113" t="n"/>
      <c r="Q4528" s="113" t="n"/>
      <c r="R4528" s="113" t="n"/>
      <c r="S4528" s="113" t="n"/>
      <c r="T4528" s="113" t="n"/>
      <c r="U4528" s="113" t="n"/>
      <c r="V4528" s="113" t="n"/>
      <c r="W4528" s="113" t="n"/>
      <c r="X4528" s="113" t="n"/>
      <c r="Y4528" s="113" t="n"/>
      <c r="Z4528" s="117">
        <f>IF($B4528="",0,IF($S4528="EVET",IF($D4528="GELİR",$O4528,-$O4528),0))</f>
        <v/>
      </c>
      <c r="AA4528" s="117">
        <f>IF($B4528="",0,IF(OR($W4528="EVET",$X4528="EVET",$Y4528="EVET"),0,IF($D4528="GELİR",IF($E4528="SATIŞ İADESİ/İSKONTO",-$O4528,$O4528),-$O4528)))</f>
        <v/>
      </c>
      <c r="AB4528" s="117">
        <f>IF($B4528="","",IF(OR($D4528="",$E4528="",$O4528=""),"EKSİK",IF($O4528&lt;=0,"SIFIR/NEGATİF",IF(COUNTIFS($C$6:$C$5000,$C4528,$O$6:$O$5000,$O4528,$B$6:$B$5000,$B4528)&gt;1,"MÜKERRER","OK"))))</f>
        <v/>
      </c>
    </row>
    <row r="4529" ht="16.5" customHeight="1" s="80">
      <c r="A4529" s="113" t="n"/>
      <c r="B4529" s="113" t="n"/>
      <c r="C4529" s="113" t="n"/>
      <c r="D4529" s="113" t="n"/>
      <c r="E4529" s="113" t="n"/>
      <c r="F4529" s="113" t="n"/>
      <c r="G4529" s="113" t="n"/>
      <c r="H4529" s="113" t="n"/>
      <c r="I4529" s="113" t="n"/>
      <c r="J4529" s="113" t="n"/>
      <c r="K4529" s="113" t="n"/>
      <c r="L4529" s="113" t="n"/>
      <c r="M4529" s="113" t="n"/>
      <c r="N4529" s="113" t="n"/>
      <c r="O4529" s="113" t="n"/>
      <c r="P4529" s="113" t="n"/>
      <c r="Q4529" s="113" t="n"/>
      <c r="R4529" s="113" t="n"/>
      <c r="S4529" s="113" t="n"/>
      <c r="T4529" s="113" t="n"/>
      <c r="U4529" s="113" t="n"/>
      <c r="V4529" s="113" t="n"/>
      <c r="W4529" s="113" t="n"/>
      <c r="X4529" s="113" t="n"/>
      <c r="Y4529" s="113" t="n"/>
      <c r="Z4529" s="117">
        <f>IF($B4529="",0,IF($S4529="EVET",IF($D4529="GELİR",$O4529,-$O4529),0))</f>
        <v/>
      </c>
      <c r="AA4529" s="117">
        <f>IF($B4529="",0,IF(OR($W4529="EVET",$X4529="EVET",$Y4529="EVET"),0,IF($D4529="GELİR",IF($E4529="SATIŞ İADESİ/İSKONTO",-$O4529,$O4529),-$O4529)))</f>
        <v/>
      </c>
      <c r="AB4529" s="117">
        <f>IF($B4529="","",IF(OR($D4529="",$E4529="",$O4529=""),"EKSİK",IF($O4529&lt;=0,"SIFIR/NEGATİF",IF(COUNTIFS($C$6:$C$5000,$C4529,$O$6:$O$5000,$O4529,$B$6:$B$5000,$B4529)&gt;1,"MÜKERRER","OK"))))</f>
        <v/>
      </c>
    </row>
    <row r="4530" ht="16.5" customHeight="1" s="80">
      <c r="A4530" s="113" t="n"/>
      <c r="B4530" s="113" t="n"/>
      <c r="C4530" s="113" t="n"/>
      <c r="D4530" s="113" t="n"/>
      <c r="E4530" s="113" t="n"/>
      <c r="F4530" s="113" t="n"/>
      <c r="G4530" s="113" t="n"/>
      <c r="H4530" s="113" t="n"/>
      <c r="I4530" s="113" t="n"/>
      <c r="J4530" s="113" t="n"/>
      <c r="K4530" s="113" t="n"/>
      <c r="L4530" s="113" t="n"/>
      <c r="M4530" s="113" t="n"/>
      <c r="N4530" s="113" t="n"/>
      <c r="O4530" s="113" t="n"/>
      <c r="P4530" s="113" t="n"/>
      <c r="Q4530" s="113" t="n"/>
      <c r="R4530" s="113" t="n"/>
      <c r="S4530" s="113" t="n"/>
      <c r="T4530" s="113" t="n"/>
      <c r="U4530" s="113" t="n"/>
      <c r="V4530" s="113" t="n"/>
      <c r="W4530" s="113" t="n"/>
      <c r="X4530" s="113" t="n"/>
      <c r="Y4530" s="113" t="n"/>
      <c r="Z4530" s="117">
        <f>IF($B4530="",0,IF($S4530="EVET",IF($D4530="GELİR",$O4530,-$O4530),0))</f>
        <v/>
      </c>
      <c r="AA4530" s="117">
        <f>IF($B4530="",0,IF(OR($W4530="EVET",$X4530="EVET",$Y4530="EVET"),0,IF($D4530="GELİR",IF($E4530="SATIŞ İADESİ/İSKONTO",-$O4530,$O4530),-$O4530)))</f>
        <v/>
      </c>
      <c r="AB4530" s="117">
        <f>IF($B4530="","",IF(OR($D4530="",$E4530="",$O4530=""),"EKSİK",IF($O4530&lt;=0,"SIFIR/NEGATİF",IF(COUNTIFS($C$6:$C$5000,$C4530,$O$6:$O$5000,$O4530,$B$6:$B$5000,$B4530)&gt;1,"MÜKERRER","OK"))))</f>
        <v/>
      </c>
    </row>
    <row r="4531" ht="16.5" customHeight="1" s="80">
      <c r="A4531" s="113" t="n"/>
      <c r="B4531" s="113" t="n"/>
      <c r="C4531" s="113" t="n"/>
      <c r="D4531" s="113" t="n"/>
      <c r="E4531" s="113" t="n"/>
      <c r="F4531" s="113" t="n"/>
      <c r="G4531" s="113" t="n"/>
      <c r="H4531" s="113" t="n"/>
      <c r="I4531" s="113" t="n"/>
      <c r="J4531" s="113" t="n"/>
      <c r="K4531" s="113" t="n"/>
      <c r="L4531" s="113" t="n"/>
      <c r="M4531" s="113" t="n"/>
      <c r="N4531" s="113" t="n"/>
      <c r="O4531" s="113" t="n"/>
      <c r="P4531" s="113" t="n"/>
      <c r="Q4531" s="113" t="n"/>
      <c r="R4531" s="113" t="n"/>
      <c r="S4531" s="113" t="n"/>
      <c r="T4531" s="113" t="n"/>
      <c r="U4531" s="113" t="n"/>
      <c r="V4531" s="113" t="n"/>
      <c r="W4531" s="113" t="n"/>
      <c r="X4531" s="113" t="n"/>
      <c r="Y4531" s="113" t="n"/>
      <c r="Z4531" s="117">
        <f>IF($B4531="",0,IF($S4531="EVET",IF($D4531="GELİR",$O4531,-$O4531),0))</f>
        <v/>
      </c>
      <c r="AA4531" s="117">
        <f>IF($B4531="",0,IF(OR($W4531="EVET",$X4531="EVET",$Y4531="EVET"),0,IF($D4531="GELİR",IF($E4531="SATIŞ İADESİ/İSKONTO",-$O4531,$O4531),-$O4531)))</f>
        <v/>
      </c>
      <c r="AB4531" s="117">
        <f>IF($B4531="","",IF(OR($D4531="",$E4531="",$O4531=""),"EKSİK",IF($O4531&lt;=0,"SIFIR/NEGATİF",IF(COUNTIFS($C$6:$C$5000,$C4531,$O$6:$O$5000,$O4531,$B$6:$B$5000,$B4531)&gt;1,"MÜKERRER","OK"))))</f>
        <v/>
      </c>
    </row>
    <row r="4532" ht="16.5" customHeight="1" s="80">
      <c r="A4532" s="113" t="n"/>
      <c r="B4532" s="113" t="n"/>
      <c r="C4532" s="113" t="n"/>
      <c r="D4532" s="113" t="n"/>
      <c r="E4532" s="113" t="n"/>
      <c r="F4532" s="113" t="n"/>
      <c r="G4532" s="113" t="n"/>
      <c r="H4532" s="113" t="n"/>
      <c r="I4532" s="113" t="n"/>
      <c r="J4532" s="113" t="n"/>
      <c r="K4532" s="113" t="n"/>
      <c r="L4532" s="113" t="n"/>
      <c r="M4532" s="113" t="n"/>
      <c r="N4532" s="113" t="n"/>
      <c r="O4532" s="113" t="n"/>
      <c r="P4532" s="113" t="n"/>
      <c r="Q4532" s="113" t="n"/>
      <c r="R4532" s="113" t="n"/>
      <c r="S4532" s="113" t="n"/>
      <c r="T4532" s="113" t="n"/>
      <c r="U4532" s="113" t="n"/>
      <c r="V4532" s="113" t="n"/>
      <c r="W4532" s="113" t="n"/>
      <c r="X4532" s="113" t="n"/>
      <c r="Y4532" s="113" t="n"/>
      <c r="Z4532" s="117">
        <f>IF($B4532="",0,IF($S4532="EVET",IF($D4532="GELİR",$O4532,-$O4532),0))</f>
        <v/>
      </c>
      <c r="AA4532" s="117">
        <f>IF($B4532="",0,IF(OR($W4532="EVET",$X4532="EVET",$Y4532="EVET"),0,IF($D4532="GELİR",IF($E4532="SATIŞ İADESİ/İSKONTO",-$O4532,$O4532),-$O4532)))</f>
        <v/>
      </c>
      <c r="AB4532" s="117">
        <f>IF($B4532="","",IF(OR($D4532="",$E4532="",$O4532=""),"EKSİK",IF($O4532&lt;=0,"SIFIR/NEGATİF",IF(COUNTIFS($C$6:$C$5000,$C4532,$O$6:$O$5000,$O4532,$B$6:$B$5000,$B4532)&gt;1,"MÜKERRER","OK"))))</f>
        <v/>
      </c>
    </row>
    <row r="4533" ht="16.5" customHeight="1" s="80">
      <c r="A4533" s="113" t="n"/>
      <c r="B4533" s="113" t="n"/>
      <c r="C4533" s="113" t="n"/>
      <c r="D4533" s="113" t="n"/>
      <c r="E4533" s="113" t="n"/>
      <c r="F4533" s="113" t="n"/>
      <c r="G4533" s="113" t="n"/>
      <c r="H4533" s="113" t="n"/>
      <c r="I4533" s="113" t="n"/>
      <c r="J4533" s="113" t="n"/>
      <c r="K4533" s="113" t="n"/>
      <c r="L4533" s="113" t="n"/>
      <c r="M4533" s="113" t="n"/>
      <c r="N4533" s="113" t="n"/>
      <c r="O4533" s="113" t="n"/>
      <c r="P4533" s="113" t="n"/>
      <c r="Q4533" s="113" t="n"/>
      <c r="R4533" s="113" t="n"/>
      <c r="S4533" s="113" t="n"/>
      <c r="T4533" s="113" t="n"/>
      <c r="U4533" s="113" t="n"/>
      <c r="V4533" s="113" t="n"/>
      <c r="W4533" s="113" t="n"/>
      <c r="X4533" s="113" t="n"/>
      <c r="Y4533" s="113" t="n"/>
      <c r="Z4533" s="117">
        <f>IF($B4533="",0,IF($S4533="EVET",IF($D4533="GELİR",$O4533,-$O4533),0))</f>
        <v/>
      </c>
      <c r="AA4533" s="117">
        <f>IF($B4533="",0,IF(OR($W4533="EVET",$X4533="EVET",$Y4533="EVET"),0,IF($D4533="GELİR",IF($E4533="SATIŞ İADESİ/İSKONTO",-$O4533,$O4533),-$O4533)))</f>
        <v/>
      </c>
      <c r="AB4533" s="117">
        <f>IF($B4533="","",IF(OR($D4533="",$E4533="",$O4533=""),"EKSİK",IF($O4533&lt;=0,"SIFIR/NEGATİF",IF(COUNTIFS($C$6:$C$5000,$C4533,$O$6:$O$5000,$O4533,$B$6:$B$5000,$B4533)&gt;1,"MÜKERRER","OK"))))</f>
        <v/>
      </c>
    </row>
    <row r="4534" ht="16.5" customHeight="1" s="80">
      <c r="A4534" s="113" t="n"/>
      <c r="B4534" s="113" t="n"/>
      <c r="C4534" s="113" t="n"/>
      <c r="D4534" s="113" t="n"/>
      <c r="E4534" s="113" t="n"/>
      <c r="F4534" s="113" t="n"/>
      <c r="G4534" s="113" t="n"/>
      <c r="H4534" s="113" t="n"/>
      <c r="I4534" s="113" t="n"/>
      <c r="J4534" s="113" t="n"/>
      <c r="K4534" s="113" t="n"/>
      <c r="L4534" s="113" t="n"/>
      <c r="M4534" s="113" t="n"/>
      <c r="N4534" s="113" t="n"/>
      <c r="O4534" s="113" t="n"/>
      <c r="P4534" s="113" t="n"/>
      <c r="Q4534" s="113" t="n"/>
      <c r="R4534" s="113" t="n"/>
      <c r="S4534" s="113" t="n"/>
      <c r="T4534" s="113" t="n"/>
      <c r="U4534" s="113" t="n"/>
      <c r="V4534" s="113" t="n"/>
      <c r="W4534" s="113" t="n"/>
      <c r="X4534" s="113" t="n"/>
      <c r="Y4534" s="113" t="n"/>
      <c r="Z4534" s="117">
        <f>IF($B4534="",0,IF($S4534="EVET",IF($D4534="GELİR",$O4534,-$O4534),0))</f>
        <v/>
      </c>
      <c r="AA4534" s="117">
        <f>IF($B4534="",0,IF(OR($W4534="EVET",$X4534="EVET",$Y4534="EVET"),0,IF($D4534="GELİR",IF($E4534="SATIŞ İADESİ/İSKONTO",-$O4534,$O4534),-$O4534)))</f>
        <v/>
      </c>
      <c r="AB4534" s="117">
        <f>IF($B4534="","",IF(OR($D4534="",$E4534="",$O4534=""),"EKSİK",IF($O4534&lt;=0,"SIFIR/NEGATİF",IF(COUNTIFS($C$6:$C$5000,$C4534,$O$6:$O$5000,$O4534,$B$6:$B$5000,$B4534)&gt;1,"MÜKERRER","OK"))))</f>
        <v/>
      </c>
    </row>
    <row r="4535" ht="16.5" customHeight="1" s="80">
      <c r="A4535" s="113" t="n"/>
      <c r="B4535" s="113" t="n"/>
      <c r="C4535" s="113" t="n"/>
      <c r="D4535" s="113" t="n"/>
      <c r="E4535" s="113" t="n"/>
      <c r="F4535" s="113" t="n"/>
      <c r="G4535" s="113" t="n"/>
      <c r="H4535" s="113" t="n"/>
      <c r="I4535" s="113" t="n"/>
      <c r="J4535" s="113" t="n"/>
      <c r="K4535" s="113" t="n"/>
      <c r="L4535" s="113" t="n"/>
      <c r="M4535" s="113" t="n"/>
      <c r="N4535" s="113" t="n"/>
      <c r="O4535" s="113" t="n"/>
      <c r="P4535" s="113" t="n"/>
      <c r="Q4535" s="113" t="n"/>
      <c r="R4535" s="113" t="n"/>
      <c r="S4535" s="113" t="n"/>
      <c r="T4535" s="113" t="n"/>
      <c r="U4535" s="113" t="n"/>
      <c r="V4535" s="113" t="n"/>
      <c r="W4535" s="113" t="n"/>
      <c r="X4535" s="113" t="n"/>
      <c r="Y4535" s="113" t="n"/>
      <c r="Z4535" s="117">
        <f>IF($B4535="",0,IF($S4535="EVET",IF($D4535="GELİR",$O4535,-$O4535),0))</f>
        <v/>
      </c>
      <c r="AA4535" s="117">
        <f>IF($B4535="",0,IF(OR($W4535="EVET",$X4535="EVET",$Y4535="EVET"),0,IF($D4535="GELİR",IF($E4535="SATIŞ İADESİ/İSKONTO",-$O4535,$O4535),-$O4535)))</f>
        <v/>
      </c>
      <c r="AB4535" s="117">
        <f>IF($B4535="","",IF(OR($D4535="",$E4535="",$O4535=""),"EKSİK",IF($O4535&lt;=0,"SIFIR/NEGATİF",IF(COUNTIFS($C$6:$C$5000,$C4535,$O$6:$O$5000,$O4535,$B$6:$B$5000,$B4535)&gt;1,"MÜKERRER","OK"))))</f>
        <v/>
      </c>
    </row>
    <row r="4536" ht="16.5" customHeight="1" s="80">
      <c r="A4536" s="113" t="n"/>
      <c r="B4536" s="113" t="n"/>
      <c r="C4536" s="113" t="n"/>
      <c r="D4536" s="113" t="n"/>
      <c r="E4536" s="113" t="n"/>
      <c r="F4536" s="113" t="n"/>
      <c r="G4536" s="113" t="n"/>
      <c r="H4536" s="113" t="n"/>
      <c r="I4536" s="113" t="n"/>
      <c r="J4536" s="113" t="n"/>
      <c r="K4536" s="113" t="n"/>
      <c r="L4536" s="113" t="n"/>
      <c r="M4536" s="113" t="n"/>
      <c r="N4536" s="113" t="n"/>
      <c r="O4536" s="113" t="n"/>
      <c r="P4536" s="113" t="n"/>
      <c r="Q4536" s="113" t="n"/>
      <c r="R4536" s="113" t="n"/>
      <c r="S4536" s="113" t="n"/>
      <c r="T4536" s="113" t="n"/>
      <c r="U4536" s="113" t="n"/>
      <c r="V4536" s="113" t="n"/>
      <c r="W4536" s="113" t="n"/>
      <c r="X4536" s="113" t="n"/>
      <c r="Y4536" s="113" t="n"/>
      <c r="Z4536" s="117">
        <f>IF($B4536="",0,IF($S4536="EVET",IF($D4536="GELİR",$O4536,-$O4536),0))</f>
        <v/>
      </c>
      <c r="AA4536" s="117">
        <f>IF($B4536="",0,IF(OR($W4536="EVET",$X4536="EVET",$Y4536="EVET"),0,IF($D4536="GELİR",IF($E4536="SATIŞ İADESİ/İSKONTO",-$O4536,$O4536),-$O4536)))</f>
        <v/>
      </c>
      <c r="AB4536" s="117">
        <f>IF($B4536="","",IF(OR($D4536="",$E4536="",$O4536=""),"EKSİK",IF($O4536&lt;=0,"SIFIR/NEGATİF",IF(COUNTIFS($C$6:$C$5000,$C4536,$O$6:$O$5000,$O4536,$B$6:$B$5000,$B4536)&gt;1,"MÜKERRER","OK"))))</f>
        <v/>
      </c>
    </row>
    <row r="4537" ht="16.5" customHeight="1" s="80">
      <c r="A4537" s="113" t="n"/>
      <c r="B4537" s="113" t="n"/>
      <c r="C4537" s="113" t="n"/>
      <c r="D4537" s="113" t="n"/>
      <c r="E4537" s="113" t="n"/>
      <c r="F4537" s="113" t="n"/>
      <c r="G4537" s="113" t="n"/>
      <c r="H4537" s="113" t="n"/>
      <c r="I4537" s="113" t="n"/>
      <c r="J4537" s="113" t="n"/>
      <c r="K4537" s="113" t="n"/>
      <c r="L4537" s="113" t="n"/>
      <c r="M4537" s="113" t="n"/>
      <c r="N4537" s="113" t="n"/>
      <c r="O4537" s="113" t="n"/>
      <c r="P4537" s="113" t="n"/>
      <c r="Q4537" s="113" t="n"/>
      <c r="R4537" s="113" t="n"/>
      <c r="S4537" s="113" t="n"/>
      <c r="T4537" s="113" t="n"/>
      <c r="U4537" s="113" t="n"/>
      <c r="V4537" s="113" t="n"/>
      <c r="W4537" s="113" t="n"/>
      <c r="X4537" s="113" t="n"/>
      <c r="Y4537" s="113" t="n"/>
      <c r="Z4537" s="117">
        <f>IF($B4537="",0,IF($S4537="EVET",IF($D4537="GELİR",$O4537,-$O4537),0))</f>
        <v/>
      </c>
      <c r="AA4537" s="117">
        <f>IF($B4537="",0,IF(OR($W4537="EVET",$X4537="EVET",$Y4537="EVET"),0,IF($D4537="GELİR",IF($E4537="SATIŞ İADESİ/İSKONTO",-$O4537,$O4537),-$O4537)))</f>
        <v/>
      </c>
      <c r="AB4537" s="117">
        <f>IF($B4537="","",IF(OR($D4537="",$E4537="",$O4537=""),"EKSİK",IF($O4537&lt;=0,"SIFIR/NEGATİF",IF(COUNTIFS($C$6:$C$5000,$C4537,$O$6:$O$5000,$O4537,$B$6:$B$5000,$B4537)&gt;1,"MÜKERRER","OK"))))</f>
        <v/>
      </c>
    </row>
    <row r="4538" ht="16.5" customHeight="1" s="80">
      <c r="A4538" s="113" t="n"/>
      <c r="B4538" s="113" t="n"/>
      <c r="C4538" s="113" t="n"/>
      <c r="D4538" s="113" t="n"/>
      <c r="E4538" s="113" t="n"/>
      <c r="F4538" s="113" t="n"/>
      <c r="G4538" s="113" t="n"/>
      <c r="H4538" s="113" t="n"/>
      <c r="I4538" s="113" t="n"/>
      <c r="J4538" s="113" t="n"/>
      <c r="K4538" s="113" t="n"/>
      <c r="L4538" s="113" t="n"/>
      <c r="M4538" s="113" t="n"/>
      <c r="N4538" s="113" t="n"/>
      <c r="O4538" s="113" t="n"/>
      <c r="P4538" s="113" t="n"/>
      <c r="Q4538" s="113" t="n"/>
      <c r="R4538" s="113" t="n"/>
      <c r="S4538" s="113" t="n"/>
      <c r="T4538" s="113" t="n"/>
      <c r="U4538" s="113" t="n"/>
      <c r="V4538" s="113" t="n"/>
      <c r="W4538" s="113" t="n"/>
      <c r="X4538" s="113" t="n"/>
      <c r="Y4538" s="113" t="n"/>
      <c r="Z4538" s="117">
        <f>IF($B4538="",0,IF($S4538="EVET",IF($D4538="GELİR",$O4538,-$O4538),0))</f>
        <v/>
      </c>
      <c r="AA4538" s="117">
        <f>IF($B4538="",0,IF(OR($W4538="EVET",$X4538="EVET",$Y4538="EVET"),0,IF($D4538="GELİR",IF($E4538="SATIŞ İADESİ/İSKONTO",-$O4538,$O4538),-$O4538)))</f>
        <v/>
      </c>
      <c r="AB4538" s="117">
        <f>IF($B4538="","",IF(OR($D4538="",$E4538="",$O4538=""),"EKSİK",IF($O4538&lt;=0,"SIFIR/NEGATİF",IF(COUNTIFS($C$6:$C$5000,$C4538,$O$6:$O$5000,$O4538,$B$6:$B$5000,$B4538)&gt;1,"MÜKERRER","OK"))))</f>
        <v/>
      </c>
    </row>
    <row r="4539" ht="16.5" customHeight="1" s="80">
      <c r="A4539" s="113" t="n"/>
      <c r="B4539" s="113" t="n"/>
      <c r="C4539" s="113" t="n"/>
      <c r="D4539" s="113" t="n"/>
      <c r="E4539" s="113" t="n"/>
      <c r="F4539" s="113" t="n"/>
      <c r="G4539" s="113" t="n"/>
      <c r="H4539" s="113" t="n"/>
      <c r="I4539" s="113" t="n"/>
      <c r="J4539" s="113" t="n"/>
      <c r="K4539" s="113" t="n"/>
      <c r="L4539" s="113" t="n"/>
      <c r="M4539" s="113" t="n"/>
      <c r="N4539" s="113" t="n"/>
      <c r="O4539" s="113" t="n"/>
      <c r="P4539" s="113" t="n"/>
      <c r="Q4539" s="113" t="n"/>
      <c r="R4539" s="113" t="n"/>
      <c r="S4539" s="113" t="n"/>
      <c r="T4539" s="113" t="n"/>
      <c r="U4539" s="113" t="n"/>
      <c r="V4539" s="113" t="n"/>
      <c r="W4539" s="113" t="n"/>
      <c r="X4539" s="113" t="n"/>
      <c r="Y4539" s="113" t="n"/>
      <c r="Z4539" s="117">
        <f>IF($B4539="",0,IF($S4539="EVET",IF($D4539="GELİR",$O4539,-$O4539),0))</f>
        <v/>
      </c>
      <c r="AA4539" s="117">
        <f>IF($B4539="",0,IF(OR($W4539="EVET",$X4539="EVET",$Y4539="EVET"),0,IF($D4539="GELİR",IF($E4539="SATIŞ İADESİ/İSKONTO",-$O4539,$O4539),-$O4539)))</f>
        <v/>
      </c>
      <c r="AB4539" s="117">
        <f>IF($B4539="","",IF(OR($D4539="",$E4539="",$O4539=""),"EKSİK",IF($O4539&lt;=0,"SIFIR/NEGATİF",IF(COUNTIFS($C$6:$C$5000,$C4539,$O$6:$O$5000,$O4539,$B$6:$B$5000,$B4539)&gt;1,"MÜKERRER","OK"))))</f>
        <v/>
      </c>
    </row>
    <row r="4540" ht="16.5" customHeight="1" s="80">
      <c r="A4540" s="113" t="n"/>
      <c r="B4540" s="113" t="n"/>
      <c r="C4540" s="113" t="n"/>
      <c r="D4540" s="113" t="n"/>
      <c r="E4540" s="113" t="n"/>
      <c r="F4540" s="113" t="n"/>
      <c r="G4540" s="113" t="n"/>
      <c r="H4540" s="113" t="n"/>
      <c r="I4540" s="113" t="n"/>
      <c r="J4540" s="113" t="n"/>
      <c r="K4540" s="113" t="n"/>
      <c r="L4540" s="113" t="n"/>
      <c r="M4540" s="113" t="n"/>
      <c r="N4540" s="113" t="n"/>
      <c r="O4540" s="113" t="n"/>
      <c r="P4540" s="113" t="n"/>
      <c r="Q4540" s="113" t="n"/>
      <c r="R4540" s="113" t="n"/>
      <c r="S4540" s="113" t="n"/>
      <c r="T4540" s="113" t="n"/>
      <c r="U4540" s="113" t="n"/>
      <c r="V4540" s="113" t="n"/>
      <c r="W4540" s="113" t="n"/>
      <c r="X4540" s="113" t="n"/>
      <c r="Y4540" s="113" t="n"/>
      <c r="Z4540" s="117">
        <f>IF($B4540="",0,IF($S4540="EVET",IF($D4540="GELİR",$O4540,-$O4540),0))</f>
        <v/>
      </c>
      <c r="AA4540" s="117">
        <f>IF($B4540="",0,IF(OR($W4540="EVET",$X4540="EVET",$Y4540="EVET"),0,IF($D4540="GELİR",IF($E4540="SATIŞ İADESİ/İSKONTO",-$O4540,$O4540),-$O4540)))</f>
        <v/>
      </c>
      <c r="AB4540" s="117">
        <f>IF($B4540="","",IF(OR($D4540="",$E4540="",$O4540=""),"EKSİK",IF($O4540&lt;=0,"SIFIR/NEGATİF",IF(COUNTIFS($C$6:$C$5000,$C4540,$O$6:$O$5000,$O4540,$B$6:$B$5000,$B4540)&gt;1,"MÜKERRER","OK"))))</f>
        <v/>
      </c>
    </row>
    <row r="4541" ht="16.5" customHeight="1" s="80">
      <c r="A4541" s="113" t="n"/>
      <c r="B4541" s="113" t="n"/>
      <c r="C4541" s="113" t="n"/>
      <c r="D4541" s="113" t="n"/>
      <c r="E4541" s="113" t="n"/>
      <c r="F4541" s="113" t="n"/>
      <c r="G4541" s="113" t="n"/>
      <c r="H4541" s="113" t="n"/>
      <c r="I4541" s="113" t="n"/>
      <c r="J4541" s="113" t="n"/>
      <c r="K4541" s="113" t="n"/>
      <c r="L4541" s="113" t="n"/>
      <c r="M4541" s="113" t="n"/>
      <c r="N4541" s="113" t="n"/>
      <c r="O4541" s="113" t="n"/>
      <c r="P4541" s="113" t="n"/>
      <c r="Q4541" s="113" t="n"/>
      <c r="R4541" s="113" t="n"/>
      <c r="S4541" s="113" t="n"/>
      <c r="T4541" s="113" t="n"/>
      <c r="U4541" s="113" t="n"/>
      <c r="V4541" s="113" t="n"/>
      <c r="W4541" s="113" t="n"/>
      <c r="X4541" s="113" t="n"/>
      <c r="Y4541" s="113" t="n"/>
      <c r="Z4541" s="117">
        <f>IF($B4541="",0,IF($S4541="EVET",IF($D4541="GELİR",$O4541,-$O4541),0))</f>
        <v/>
      </c>
      <c r="AA4541" s="117">
        <f>IF($B4541="",0,IF(OR($W4541="EVET",$X4541="EVET",$Y4541="EVET"),0,IF($D4541="GELİR",IF($E4541="SATIŞ İADESİ/İSKONTO",-$O4541,$O4541),-$O4541)))</f>
        <v/>
      </c>
      <c r="AB4541" s="117">
        <f>IF($B4541="","",IF(OR($D4541="",$E4541="",$O4541=""),"EKSİK",IF($O4541&lt;=0,"SIFIR/NEGATİF",IF(COUNTIFS($C$6:$C$5000,$C4541,$O$6:$O$5000,$O4541,$B$6:$B$5000,$B4541)&gt;1,"MÜKERRER","OK"))))</f>
        <v/>
      </c>
    </row>
    <row r="4542" ht="16.5" customHeight="1" s="80">
      <c r="A4542" s="113" t="n"/>
      <c r="B4542" s="113" t="n"/>
      <c r="C4542" s="113" t="n"/>
      <c r="D4542" s="113" t="n"/>
      <c r="E4542" s="113" t="n"/>
      <c r="F4542" s="113" t="n"/>
      <c r="G4542" s="113" t="n"/>
      <c r="H4542" s="113" t="n"/>
      <c r="I4542" s="113" t="n"/>
      <c r="J4542" s="113" t="n"/>
      <c r="K4542" s="113" t="n"/>
      <c r="L4542" s="113" t="n"/>
      <c r="M4542" s="113" t="n"/>
      <c r="N4542" s="113" t="n"/>
      <c r="O4542" s="113" t="n"/>
      <c r="P4542" s="113" t="n"/>
      <c r="Q4542" s="113" t="n"/>
      <c r="R4542" s="113" t="n"/>
      <c r="S4542" s="113" t="n"/>
      <c r="T4542" s="113" t="n"/>
      <c r="U4542" s="113" t="n"/>
      <c r="V4542" s="113" t="n"/>
      <c r="W4542" s="113" t="n"/>
      <c r="X4542" s="113" t="n"/>
      <c r="Y4542" s="113" t="n"/>
      <c r="Z4542" s="117">
        <f>IF($B4542="",0,IF($S4542="EVET",IF($D4542="GELİR",$O4542,-$O4542),0))</f>
        <v/>
      </c>
      <c r="AA4542" s="117">
        <f>IF($B4542="",0,IF(OR($W4542="EVET",$X4542="EVET",$Y4542="EVET"),0,IF($D4542="GELİR",IF($E4542="SATIŞ İADESİ/İSKONTO",-$O4542,$O4542),-$O4542)))</f>
        <v/>
      </c>
      <c r="AB4542" s="117">
        <f>IF($B4542="","",IF(OR($D4542="",$E4542="",$O4542=""),"EKSİK",IF($O4542&lt;=0,"SIFIR/NEGATİF",IF(COUNTIFS($C$6:$C$5000,$C4542,$O$6:$O$5000,$O4542,$B$6:$B$5000,$B4542)&gt;1,"MÜKERRER","OK"))))</f>
        <v/>
      </c>
    </row>
    <row r="4543" ht="16.5" customHeight="1" s="80">
      <c r="A4543" s="113" t="n"/>
      <c r="B4543" s="113" t="n"/>
      <c r="C4543" s="113" t="n"/>
      <c r="D4543" s="113" t="n"/>
      <c r="E4543" s="113" t="n"/>
      <c r="F4543" s="113" t="n"/>
      <c r="G4543" s="113" t="n"/>
      <c r="H4543" s="113" t="n"/>
      <c r="I4543" s="113" t="n"/>
      <c r="J4543" s="113" t="n"/>
      <c r="K4543" s="113" t="n"/>
      <c r="L4543" s="113" t="n"/>
      <c r="M4543" s="113" t="n"/>
      <c r="N4543" s="113" t="n"/>
      <c r="O4543" s="113" t="n"/>
      <c r="P4543" s="113" t="n"/>
      <c r="Q4543" s="113" t="n"/>
      <c r="R4543" s="113" t="n"/>
      <c r="S4543" s="113" t="n"/>
      <c r="T4543" s="113" t="n"/>
      <c r="U4543" s="113" t="n"/>
      <c r="V4543" s="113" t="n"/>
      <c r="W4543" s="113" t="n"/>
      <c r="X4543" s="113" t="n"/>
      <c r="Y4543" s="113" t="n"/>
      <c r="Z4543" s="117">
        <f>IF($B4543="",0,IF($S4543="EVET",IF($D4543="GELİR",$O4543,-$O4543),0))</f>
        <v/>
      </c>
      <c r="AA4543" s="117">
        <f>IF($B4543="",0,IF(OR($W4543="EVET",$X4543="EVET",$Y4543="EVET"),0,IF($D4543="GELİR",IF($E4543="SATIŞ İADESİ/İSKONTO",-$O4543,$O4543),-$O4543)))</f>
        <v/>
      </c>
      <c r="AB4543" s="117">
        <f>IF($B4543="","",IF(OR($D4543="",$E4543="",$O4543=""),"EKSİK",IF($O4543&lt;=0,"SIFIR/NEGATİF",IF(COUNTIFS($C$6:$C$5000,$C4543,$O$6:$O$5000,$O4543,$B$6:$B$5000,$B4543)&gt;1,"MÜKERRER","OK"))))</f>
        <v/>
      </c>
    </row>
    <row r="4544" ht="16.5" customHeight="1" s="80">
      <c r="A4544" s="113" t="n"/>
      <c r="B4544" s="113" t="n"/>
      <c r="C4544" s="113" t="n"/>
      <c r="D4544" s="113" t="n"/>
      <c r="E4544" s="113" t="n"/>
      <c r="F4544" s="113" t="n"/>
      <c r="G4544" s="113" t="n"/>
      <c r="H4544" s="113" t="n"/>
      <c r="I4544" s="113" t="n"/>
      <c r="J4544" s="113" t="n"/>
      <c r="K4544" s="113" t="n"/>
      <c r="L4544" s="113" t="n"/>
      <c r="M4544" s="113" t="n"/>
      <c r="N4544" s="113" t="n"/>
      <c r="O4544" s="113" t="n"/>
      <c r="P4544" s="113" t="n"/>
      <c r="Q4544" s="113" t="n"/>
      <c r="R4544" s="113" t="n"/>
      <c r="S4544" s="113" t="n"/>
      <c r="T4544" s="113" t="n"/>
      <c r="U4544" s="113" t="n"/>
      <c r="V4544" s="113" t="n"/>
      <c r="W4544" s="113" t="n"/>
      <c r="X4544" s="113" t="n"/>
      <c r="Y4544" s="113" t="n"/>
      <c r="Z4544" s="117">
        <f>IF($B4544="",0,IF($S4544="EVET",IF($D4544="GELİR",$O4544,-$O4544),0))</f>
        <v/>
      </c>
      <c r="AA4544" s="117">
        <f>IF($B4544="",0,IF(OR($W4544="EVET",$X4544="EVET",$Y4544="EVET"),0,IF($D4544="GELİR",IF($E4544="SATIŞ İADESİ/İSKONTO",-$O4544,$O4544),-$O4544)))</f>
        <v/>
      </c>
      <c r="AB4544" s="117">
        <f>IF($B4544="","",IF(OR($D4544="",$E4544="",$O4544=""),"EKSİK",IF($O4544&lt;=0,"SIFIR/NEGATİF",IF(COUNTIFS($C$6:$C$5000,$C4544,$O$6:$O$5000,$O4544,$B$6:$B$5000,$B4544)&gt;1,"MÜKERRER","OK"))))</f>
        <v/>
      </c>
    </row>
    <row r="4545" ht="16.5" customHeight="1" s="80">
      <c r="A4545" s="113" t="n"/>
      <c r="B4545" s="113" t="n"/>
      <c r="C4545" s="113" t="n"/>
      <c r="D4545" s="113" t="n"/>
      <c r="E4545" s="113" t="n"/>
      <c r="F4545" s="113" t="n"/>
      <c r="G4545" s="113" t="n"/>
      <c r="H4545" s="113" t="n"/>
      <c r="I4545" s="113" t="n"/>
      <c r="J4545" s="113" t="n"/>
      <c r="K4545" s="113" t="n"/>
      <c r="L4545" s="113" t="n"/>
      <c r="M4545" s="113" t="n"/>
      <c r="N4545" s="113" t="n"/>
      <c r="O4545" s="113" t="n"/>
      <c r="P4545" s="113" t="n"/>
      <c r="Q4545" s="113" t="n"/>
      <c r="R4545" s="113" t="n"/>
      <c r="S4545" s="113" t="n"/>
      <c r="T4545" s="113" t="n"/>
      <c r="U4545" s="113" t="n"/>
      <c r="V4545" s="113" t="n"/>
      <c r="W4545" s="113" t="n"/>
      <c r="X4545" s="113" t="n"/>
      <c r="Y4545" s="113" t="n"/>
      <c r="Z4545" s="117">
        <f>IF($B4545="",0,IF($S4545="EVET",IF($D4545="GELİR",$O4545,-$O4545),0))</f>
        <v/>
      </c>
      <c r="AA4545" s="117">
        <f>IF($B4545="",0,IF(OR($W4545="EVET",$X4545="EVET",$Y4545="EVET"),0,IF($D4545="GELİR",IF($E4545="SATIŞ İADESİ/İSKONTO",-$O4545,$O4545),-$O4545)))</f>
        <v/>
      </c>
      <c r="AB4545" s="117">
        <f>IF($B4545="","",IF(OR($D4545="",$E4545="",$O4545=""),"EKSİK",IF($O4545&lt;=0,"SIFIR/NEGATİF",IF(COUNTIFS($C$6:$C$5000,$C4545,$O$6:$O$5000,$O4545,$B$6:$B$5000,$B4545)&gt;1,"MÜKERRER","OK"))))</f>
        <v/>
      </c>
    </row>
    <row r="4546" ht="16.5" customHeight="1" s="80">
      <c r="A4546" s="113" t="n"/>
      <c r="B4546" s="113" t="n"/>
      <c r="C4546" s="113" t="n"/>
      <c r="D4546" s="113" t="n"/>
      <c r="E4546" s="113" t="n"/>
      <c r="F4546" s="113" t="n"/>
      <c r="G4546" s="113" t="n"/>
      <c r="H4546" s="113" t="n"/>
      <c r="I4546" s="113" t="n"/>
      <c r="J4546" s="113" t="n"/>
      <c r="K4546" s="113" t="n"/>
      <c r="L4546" s="113" t="n"/>
      <c r="M4546" s="113" t="n"/>
      <c r="N4546" s="113" t="n"/>
      <c r="O4546" s="113" t="n"/>
      <c r="P4546" s="113" t="n"/>
      <c r="Q4546" s="113" t="n"/>
      <c r="R4546" s="113" t="n"/>
      <c r="S4546" s="113" t="n"/>
      <c r="T4546" s="113" t="n"/>
      <c r="U4546" s="113" t="n"/>
      <c r="V4546" s="113" t="n"/>
      <c r="W4546" s="113" t="n"/>
      <c r="X4546" s="113" t="n"/>
      <c r="Y4546" s="113" t="n"/>
      <c r="Z4546" s="117">
        <f>IF($B4546="",0,IF($S4546="EVET",IF($D4546="GELİR",$O4546,-$O4546),0))</f>
        <v/>
      </c>
      <c r="AA4546" s="117">
        <f>IF($B4546="",0,IF(OR($W4546="EVET",$X4546="EVET",$Y4546="EVET"),0,IF($D4546="GELİR",IF($E4546="SATIŞ İADESİ/İSKONTO",-$O4546,$O4546),-$O4546)))</f>
        <v/>
      </c>
      <c r="AB4546" s="117">
        <f>IF($B4546="","",IF(OR($D4546="",$E4546="",$O4546=""),"EKSİK",IF($O4546&lt;=0,"SIFIR/NEGATİF",IF(COUNTIFS($C$6:$C$5000,$C4546,$O$6:$O$5000,$O4546,$B$6:$B$5000,$B4546)&gt;1,"MÜKERRER","OK"))))</f>
        <v/>
      </c>
    </row>
    <row r="4547" ht="16.5" customHeight="1" s="80">
      <c r="A4547" s="113" t="n"/>
      <c r="B4547" s="113" t="n"/>
      <c r="C4547" s="113" t="n"/>
      <c r="D4547" s="113" t="n"/>
      <c r="E4547" s="113" t="n"/>
      <c r="F4547" s="113" t="n"/>
      <c r="G4547" s="113" t="n"/>
      <c r="H4547" s="113" t="n"/>
      <c r="I4547" s="113" t="n"/>
      <c r="J4547" s="113" t="n"/>
      <c r="K4547" s="113" t="n"/>
      <c r="L4547" s="113" t="n"/>
      <c r="M4547" s="113" t="n"/>
      <c r="N4547" s="113" t="n"/>
      <c r="O4547" s="113" t="n"/>
      <c r="P4547" s="113" t="n"/>
      <c r="Q4547" s="113" t="n"/>
      <c r="R4547" s="113" t="n"/>
      <c r="S4547" s="113" t="n"/>
      <c r="T4547" s="113" t="n"/>
      <c r="U4547" s="113" t="n"/>
      <c r="V4547" s="113" t="n"/>
      <c r="W4547" s="113" t="n"/>
      <c r="X4547" s="113" t="n"/>
      <c r="Y4547" s="113" t="n"/>
      <c r="Z4547" s="117">
        <f>IF($B4547="",0,IF($S4547="EVET",IF($D4547="GELİR",$O4547,-$O4547),0))</f>
        <v/>
      </c>
      <c r="AA4547" s="117">
        <f>IF($B4547="",0,IF(OR($W4547="EVET",$X4547="EVET",$Y4547="EVET"),0,IF($D4547="GELİR",IF($E4547="SATIŞ İADESİ/İSKONTO",-$O4547,$O4547),-$O4547)))</f>
        <v/>
      </c>
      <c r="AB4547" s="117">
        <f>IF($B4547="","",IF(OR($D4547="",$E4547="",$O4547=""),"EKSİK",IF($O4547&lt;=0,"SIFIR/NEGATİF",IF(COUNTIFS($C$6:$C$5000,$C4547,$O$6:$O$5000,$O4547,$B$6:$B$5000,$B4547)&gt;1,"MÜKERRER","OK"))))</f>
        <v/>
      </c>
    </row>
    <row r="4548" ht="16.5" customHeight="1" s="80">
      <c r="A4548" s="113" t="n"/>
      <c r="B4548" s="113" t="n"/>
      <c r="C4548" s="113" t="n"/>
      <c r="D4548" s="113" t="n"/>
      <c r="E4548" s="113" t="n"/>
      <c r="F4548" s="113" t="n"/>
      <c r="G4548" s="113" t="n"/>
      <c r="H4548" s="113" t="n"/>
      <c r="I4548" s="113" t="n"/>
      <c r="J4548" s="113" t="n"/>
      <c r="K4548" s="113" t="n"/>
      <c r="L4548" s="113" t="n"/>
      <c r="M4548" s="113" t="n"/>
      <c r="N4548" s="113" t="n"/>
      <c r="O4548" s="113" t="n"/>
      <c r="P4548" s="113" t="n"/>
      <c r="Q4548" s="113" t="n"/>
      <c r="R4548" s="113" t="n"/>
      <c r="S4548" s="113" t="n"/>
      <c r="T4548" s="113" t="n"/>
      <c r="U4548" s="113" t="n"/>
      <c r="V4548" s="113" t="n"/>
      <c r="W4548" s="113" t="n"/>
      <c r="X4548" s="113" t="n"/>
      <c r="Y4548" s="113" t="n"/>
      <c r="Z4548" s="117">
        <f>IF($B4548="",0,IF($S4548="EVET",IF($D4548="GELİR",$O4548,-$O4548),0))</f>
        <v/>
      </c>
      <c r="AA4548" s="117">
        <f>IF($B4548="",0,IF(OR($W4548="EVET",$X4548="EVET",$Y4548="EVET"),0,IF($D4548="GELİR",IF($E4548="SATIŞ İADESİ/İSKONTO",-$O4548,$O4548),-$O4548)))</f>
        <v/>
      </c>
      <c r="AB4548" s="117">
        <f>IF($B4548="","",IF(OR($D4548="",$E4548="",$O4548=""),"EKSİK",IF($O4548&lt;=0,"SIFIR/NEGATİF",IF(COUNTIFS($C$6:$C$5000,$C4548,$O$6:$O$5000,$O4548,$B$6:$B$5000,$B4548)&gt;1,"MÜKERRER","OK"))))</f>
        <v/>
      </c>
    </row>
    <row r="4549" ht="16.5" customHeight="1" s="80">
      <c r="A4549" s="113" t="n"/>
      <c r="B4549" s="113" t="n"/>
      <c r="C4549" s="113" t="n"/>
      <c r="D4549" s="113" t="n"/>
      <c r="E4549" s="113" t="n"/>
      <c r="F4549" s="113" t="n"/>
      <c r="G4549" s="113" t="n"/>
      <c r="H4549" s="113" t="n"/>
      <c r="I4549" s="113" t="n"/>
      <c r="J4549" s="113" t="n"/>
      <c r="K4549" s="113" t="n"/>
      <c r="L4549" s="113" t="n"/>
      <c r="M4549" s="113" t="n"/>
      <c r="N4549" s="113" t="n"/>
      <c r="O4549" s="113" t="n"/>
      <c r="P4549" s="113" t="n"/>
      <c r="Q4549" s="113" t="n"/>
      <c r="R4549" s="113" t="n"/>
      <c r="S4549" s="113" t="n"/>
      <c r="T4549" s="113" t="n"/>
      <c r="U4549" s="113" t="n"/>
      <c r="V4549" s="113" t="n"/>
      <c r="W4549" s="113" t="n"/>
      <c r="X4549" s="113" t="n"/>
      <c r="Y4549" s="113" t="n"/>
      <c r="Z4549" s="117">
        <f>IF($B4549="",0,IF($S4549="EVET",IF($D4549="GELİR",$O4549,-$O4549),0))</f>
        <v/>
      </c>
      <c r="AA4549" s="117">
        <f>IF($B4549="",0,IF(OR($W4549="EVET",$X4549="EVET",$Y4549="EVET"),0,IF($D4549="GELİR",IF($E4549="SATIŞ İADESİ/İSKONTO",-$O4549,$O4549),-$O4549)))</f>
        <v/>
      </c>
      <c r="AB4549" s="117">
        <f>IF($B4549="","",IF(OR($D4549="",$E4549="",$O4549=""),"EKSİK",IF($O4549&lt;=0,"SIFIR/NEGATİF",IF(COUNTIFS($C$6:$C$5000,$C4549,$O$6:$O$5000,$O4549,$B$6:$B$5000,$B4549)&gt;1,"MÜKERRER","OK"))))</f>
        <v/>
      </c>
    </row>
    <row r="4550" ht="16.5" customHeight="1" s="80">
      <c r="A4550" s="113" t="n"/>
      <c r="B4550" s="113" t="n"/>
      <c r="C4550" s="113" t="n"/>
      <c r="D4550" s="113" t="n"/>
      <c r="E4550" s="113" t="n"/>
      <c r="F4550" s="113" t="n"/>
      <c r="G4550" s="113" t="n"/>
      <c r="H4550" s="113" t="n"/>
      <c r="I4550" s="113" t="n"/>
      <c r="J4550" s="113" t="n"/>
      <c r="K4550" s="113" t="n"/>
      <c r="L4550" s="113" t="n"/>
      <c r="M4550" s="113" t="n"/>
      <c r="N4550" s="113" t="n"/>
      <c r="O4550" s="113" t="n"/>
      <c r="P4550" s="113" t="n"/>
      <c r="Q4550" s="113" t="n"/>
      <c r="R4550" s="113" t="n"/>
      <c r="S4550" s="113" t="n"/>
      <c r="T4550" s="113" t="n"/>
      <c r="U4550" s="113" t="n"/>
      <c r="V4550" s="113" t="n"/>
      <c r="W4550" s="113" t="n"/>
      <c r="X4550" s="113" t="n"/>
      <c r="Y4550" s="113" t="n"/>
      <c r="Z4550" s="117">
        <f>IF($B4550="",0,IF($S4550="EVET",IF($D4550="GELİR",$O4550,-$O4550),0))</f>
        <v/>
      </c>
      <c r="AA4550" s="117">
        <f>IF($B4550="",0,IF(OR($W4550="EVET",$X4550="EVET",$Y4550="EVET"),0,IF($D4550="GELİR",IF($E4550="SATIŞ İADESİ/İSKONTO",-$O4550,$O4550),-$O4550)))</f>
        <v/>
      </c>
      <c r="AB4550" s="117">
        <f>IF($B4550="","",IF(OR($D4550="",$E4550="",$O4550=""),"EKSİK",IF($O4550&lt;=0,"SIFIR/NEGATİF",IF(COUNTIFS($C$6:$C$5000,$C4550,$O$6:$O$5000,$O4550,$B$6:$B$5000,$B4550)&gt;1,"MÜKERRER","OK"))))</f>
        <v/>
      </c>
    </row>
    <row r="4551" ht="16.5" customHeight="1" s="80">
      <c r="A4551" s="113" t="n"/>
      <c r="B4551" s="113" t="n"/>
      <c r="C4551" s="113" t="n"/>
      <c r="D4551" s="113" t="n"/>
      <c r="E4551" s="113" t="n"/>
      <c r="F4551" s="113" t="n"/>
      <c r="G4551" s="113" t="n"/>
      <c r="H4551" s="113" t="n"/>
      <c r="I4551" s="113" t="n"/>
      <c r="J4551" s="113" t="n"/>
      <c r="K4551" s="113" t="n"/>
      <c r="L4551" s="113" t="n"/>
      <c r="M4551" s="113" t="n"/>
      <c r="N4551" s="113" t="n"/>
      <c r="O4551" s="113" t="n"/>
      <c r="P4551" s="113" t="n"/>
      <c r="Q4551" s="113" t="n"/>
      <c r="R4551" s="113" t="n"/>
      <c r="S4551" s="113" t="n"/>
      <c r="T4551" s="113" t="n"/>
      <c r="U4551" s="113" t="n"/>
      <c r="V4551" s="113" t="n"/>
      <c r="W4551" s="113" t="n"/>
      <c r="X4551" s="113" t="n"/>
      <c r="Y4551" s="113" t="n"/>
      <c r="Z4551" s="117">
        <f>IF($B4551="",0,IF($S4551="EVET",IF($D4551="GELİR",$O4551,-$O4551),0))</f>
        <v/>
      </c>
      <c r="AA4551" s="117">
        <f>IF($B4551="",0,IF(OR($W4551="EVET",$X4551="EVET",$Y4551="EVET"),0,IF($D4551="GELİR",IF($E4551="SATIŞ İADESİ/İSKONTO",-$O4551,$O4551),-$O4551)))</f>
        <v/>
      </c>
      <c r="AB4551" s="117">
        <f>IF($B4551="","",IF(OR($D4551="",$E4551="",$O4551=""),"EKSİK",IF($O4551&lt;=0,"SIFIR/NEGATİF",IF(COUNTIFS($C$6:$C$5000,$C4551,$O$6:$O$5000,$O4551,$B$6:$B$5000,$B4551)&gt;1,"MÜKERRER","OK"))))</f>
        <v/>
      </c>
    </row>
    <row r="4552" ht="16.5" customHeight="1" s="80">
      <c r="A4552" s="113" t="n"/>
      <c r="B4552" s="113" t="n"/>
      <c r="C4552" s="113" t="n"/>
      <c r="D4552" s="113" t="n"/>
      <c r="E4552" s="113" t="n"/>
      <c r="F4552" s="113" t="n"/>
      <c r="G4552" s="113" t="n"/>
      <c r="H4552" s="113" t="n"/>
      <c r="I4552" s="113" t="n"/>
      <c r="J4552" s="113" t="n"/>
      <c r="K4552" s="113" t="n"/>
      <c r="L4552" s="113" t="n"/>
      <c r="M4552" s="113" t="n"/>
      <c r="N4552" s="113" t="n"/>
      <c r="O4552" s="113" t="n"/>
      <c r="P4552" s="113" t="n"/>
      <c r="Q4552" s="113" t="n"/>
      <c r="R4552" s="113" t="n"/>
      <c r="S4552" s="113" t="n"/>
      <c r="T4552" s="113" t="n"/>
      <c r="U4552" s="113" t="n"/>
      <c r="V4552" s="113" t="n"/>
      <c r="W4552" s="113" t="n"/>
      <c r="X4552" s="113" t="n"/>
      <c r="Y4552" s="113" t="n"/>
      <c r="Z4552" s="117">
        <f>IF($B4552="",0,IF($S4552="EVET",IF($D4552="GELİR",$O4552,-$O4552),0))</f>
        <v/>
      </c>
      <c r="AA4552" s="117">
        <f>IF($B4552="",0,IF(OR($W4552="EVET",$X4552="EVET",$Y4552="EVET"),0,IF($D4552="GELİR",IF($E4552="SATIŞ İADESİ/İSKONTO",-$O4552,$O4552),-$O4552)))</f>
        <v/>
      </c>
      <c r="AB4552" s="117">
        <f>IF($B4552="","",IF(OR($D4552="",$E4552="",$O4552=""),"EKSİK",IF($O4552&lt;=0,"SIFIR/NEGATİF",IF(COUNTIFS($C$6:$C$5000,$C4552,$O$6:$O$5000,$O4552,$B$6:$B$5000,$B4552)&gt;1,"MÜKERRER","OK"))))</f>
        <v/>
      </c>
    </row>
    <row r="4553" ht="16.5" customHeight="1" s="80">
      <c r="A4553" s="113" t="n"/>
      <c r="B4553" s="113" t="n"/>
      <c r="C4553" s="113" t="n"/>
      <c r="D4553" s="113" t="n"/>
      <c r="E4553" s="113" t="n"/>
      <c r="F4553" s="113" t="n"/>
      <c r="G4553" s="113" t="n"/>
      <c r="H4553" s="113" t="n"/>
      <c r="I4553" s="113" t="n"/>
      <c r="J4553" s="113" t="n"/>
      <c r="K4553" s="113" t="n"/>
      <c r="L4553" s="113" t="n"/>
      <c r="M4553" s="113" t="n"/>
      <c r="N4553" s="113" t="n"/>
      <c r="O4553" s="113" t="n"/>
      <c r="P4553" s="113" t="n"/>
      <c r="Q4553" s="113" t="n"/>
      <c r="R4553" s="113" t="n"/>
      <c r="S4553" s="113" t="n"/>
      <c r="T4553" s="113" t="n"/>
      <c r="U4553" s="113" t="n"/>
      <c r="V4553" s="113" t="n"/>
      <c r="W4553" s="113" t="n"/>
      <c r="X4553" s="113" t="n"/>
      <c r="Y4553" s="113" t="n"/>
      <c r="Z4553" s="117">
        <f>IF($B4553="",0,IF($S4553="EVET",IF($D4553="GELİR",$O4553,-$O4553),0))</f>
        <v/>
      </c>
      <c r="AA4553" s="117">
        <f>IF($B4553="",0,IF(OR($W4553="EVET",$X4553="EVET",$Y4553="EVET"),0,IF($D4553="GELİR",IF($E4553="SATIŞ İADESİ/İSKONTO",-$O4553,$O4553),-$O4553)))</f>
        <v/>
      </c>
      <c r="AB4553" s="117">
        <f>IF($B4553="","",IF(OR($D4553="",$E4553="",$O4553=""),"EKSİK",IF($O4553&lt;=0,"SIFIR/NEGATİF",IF(COUNTIFS($C$6:$C$5000,$C4553,$O$6:$O$5000,$O4553,$B$6:$B$5000,$B4553)&gt;1,"MÜKERRER","OK"))))</f>
        <v/>
      </c>
    </row>
    <row r="4554" ht="16.5" customHeight="1" s="80">
      <c r="A4554" s="113" t="n"/>
      <c r="B4554" s="113" t="n"/>
      <c r="C4554" s="113" t="n"/>
      <c r="D4554" s="113" t="n"/>
      <c r="E4554" s="113" t="n"/>
      <c r="F4554" s="113" t="n"/>
      <c r="G4554" s="113" t="n"/>
      <c r="H4554" s="113" t="n"/>
      <c r="I4554" s="113" t="n"/>
      <c r="J4554" s="113" t="n"/>
      <c r="K4554" s="113" t="n"/>
      <c r="L4554" s="113" t="n"/>
      <c r="M4554" s="113" t="n"/>
      <c r="N4554" s="113" t="n"/>
      <c r="O4554" s="113" t="n"/>
      <c r="P4554" s="113" t="n"/>
      <c r="Q4554" s="113" t="n"/>
      <c r="R4554" s="113" t="n"/>
      <c r="S4554" s="113" t="n"/>
      <c r="T4554" s="113" t="n"/>
      <c r="U4554" s="113" t="n"/>
      <c r="V4554" s="113" t="n"/>
      <c r="W4554" s="113" t="n"/>
      <c r="X4554" s="113" t="n"/>
      <c r="Y4554" s="113" t="n"/>
      <c r="Z4554" s="117">
        <f>IF($B4554="",0,IF($S4554="EVET",IF($D4554="GELİR",$O4554,-$O4554),0))</f>
        <v/>
      </c>
      <c r="AA4554" s="117">
        <f>IF($B4554="",0,IF(OR($W4554="EVET",$X4554="EVET",$Y4554="EVET"),0,IF($D4554="GELİR",IF($E4554="SATIŞ İADESİ/İSKONTO",-$O4554,$O4554),-$O4554)))</f>
        <v/>
      </c>
      <c r="AB4554" s="117">
        <f>IF($B4554="","",IF(OR($D4554="",$E4554="",$O4554=""),"EKSİK",IF($O4554&lt;=0,"SIFIR/NEGATİF",IF(COUNTIFS($C$6:$C$5000,$C4554,$O$6:$O$5000,$O4554,$B$6:$B$5000,$B4554)&gt;1,"MÜKERRER","OK"))))</f>
        <v/>
      </c>
    </row>
    <row r="4555" ht="16.5" customHeight="1" s="80">
      <c r="A4555" s="113" t="n"/>
      <c r="B4555" s="113" t="n"/>
      <c r="C4555" s="113" t="n"/>
      <c r="D4555" s="113" t="n"/>
      <c r="E4555" s="113" t="n"/>
      <c r="F4555" s="113" t="n"/>
      <c r="G4555" s="113" t="n"/>
      <c r="H4555" s="113" t="n"/>
      <c r="I4555" s="113" t="n"/>
      <c r="J4555" s="113" t="n"/>
      <c r="K4555" s="113" t="n"/>
      <c r="L4555" s="113" t="n"/>
      <c r="M4555" s="113" t="n"/>
      <c r="N4555" s="113" t="n"/>
      <c r="O4555" s="113" t="n"/>
      <c r="P4555" s="113" t="n"/>
      <c r="Q4555" s="113" t="n"/>
      <c r="R4555" s="113" t="n"/>
      <c r="S4555" s="113" t="n"/>
      <c r="T4555" s="113" t="n"/>
      <c r="U4555" s="113" t="n"/>
      <c r="V4555" s="113" t="n"/>
      <c r="W4555" s="113" t="n"/>
      <c r="X4555" s="113" t="n"/>
      <c r="Y4555" s="113" t="n"/>
      <c r="Z4555" s="117">
        <f>IF($B4555="",0,IF($S4555="EVET",IF($D4555="GELİR",$O4555,-$O4555),0))</f>
        <v/>
      </c>
      <c r="AA4555" s="117">
        <f>IF($B4555="",0,IF(OR($W4555="EVET",$X4555="EVET",$Y4555="EVET"),0,IF($D4555="GELİR",IF($E4555="SATIŞ İADESİ/İSKONTO",-$O4555,$O4555),-$O4555)))</f>
        <v/>
      </c>
      <c r="AB4555" s="117">
        <f>IF($B4555="","",IF(OR($D4555="",$E4555="",$O4555=""),"EKSİK",IF($O4555&lt;=0,"SIFIR/NEGATİF",IF(COUNTIFS($C$6:$C$5000,$C4555,$O$6:$O$5000,$O4555,$B$6:$B$5000,$B4555)&gt;1,"MÜKERRER","OK"))))</f>
        <v/>
      </c>
    </row>
    <row r="4556" ht="16.5" customHeight="1" s="80">
      <c r="A4556" s="113" t="n"/>
      <c r="B4556" s="113" t="n"/>
      <c r="C4556" s="113" t="n"/>
      <c r="D4556" s="113" t="n"/>
      <c r="E4556" s="113" t="n"/>
      <c r="F4556" s="113" t="n"/>
      <c r="G4556" s="113" t="n"/>
      <c r="H4556" s="113" t="n"/>
      <c r="I4556" s="113" t="n"/>
      <c r="J4556" s="113" t="n"/>
      <c r="K4556" s="113" t="n"/>
      <c r="L4556" s="113" t="n"/>
      <c r="M4556" s="113" t="n"/>
      <c r="N4556" s="113" t="n"/>
      <c r="O4556" s="113" t="n"/>
      <c r="P4556" s="113" t="n"/>
      <c r="Q4556" s="113" t="n"/>
      <c r="R4556" s="113" t="n"/>
      <c r="S4556" s="113" t="n"/>
      <c r="T4556" s="113" t="n"/>
      <c r="U4556" s="113" t="n"/>
      <c r="V4556" s="113" t="n"/>
      <c r="W4556" s="113" t="n"/>
      <c r="X4556" s="113" t="n"/>
      <c r="Y4556" s="113" t="n"/>
      <c r="Z4556" s="117">
        <f>IF($B4556="",0,IF($S4556="EVET",IF($D4556="GELİR",$O4556,-$O4556),0))</f>
        <v/>
      </c>
      <c r="AA4556" s="117">
        <f>IF($B4556="",0,IF(OR($W4556="EVET",$X4556="EVET",$Y4556="EVET"),0,IF($D4556="GELİR",IF($E4556="SATIŞ İADESİ/İSKONTO",-$O4556,$O4556),-$O4556)))</f>
        <v/>
      </c>
      <c r="AB4556" s="117">
        <f>IF($B4556="","",IF(OR($D4556="",$E4556="",$O4556=""),"EKSİK",IF($O4556&lt;=0,"SIFIR/NEGATİF",IF(COUNTIFS($C$6:$C$5000,$C4556,$O$6:$O$5000,$O4556,$B$6:$B$5000,$B4556)&gt;1,"MÜKERRER","OK"))))</f>
        <v/>
      </c>
    </row>
    <row r="4557" ht="16.5" customHeight="1" s="80">
      <c r="A4557" s="113" t="n"/>
      <c r="B4557" s="113" t="n"/>
      <c r="C4557" s="113" t="n"/>
      <c r="D4557" s="113" t="n"/>
      <c r="E4557" s="113" t="n"/>
      <c r="F4557" s="113" t="n"/>
      <c r="G4557" s="113" t="n"/>
      <c r="H4557" s="113" t="n"/>
      <c r="I4557" s="113" t="n"/>
      <c r="J4557" s="113" t="n"/>
      <c r="K4557" s="113" t="n"/>
      <c r="L4557" s="113" t="n"/>
      <c r="M4557" s="113" t="n"/>
      <c r="N4557" s="113" t="n"/>
      <c r="O4557" s="113" t="n"/>
      <c r="P4557" s="113" t="n"/>
      <c r="Q4557" s="113" t="n"/>
      <c r="R4557" s="113" t="n"/>
      <c r="S4557" s="113" t="n"/>
      <c r="T4557" s="113" t="n"/>
      <c r="U4557" s="113" t="n"/>
      <c r="V4557" s="113" t="n"/>
      <c r="W4557" s="113" t="n"/>
      <c r="X4557" s="113" t="n"/>
      <c r="Y4557" s="113" t="n"/>
      <c r="Z4557" s="117">
        <f>IF($B4557="",0,IF($S4557="EVET",IF($D4557="GELİR",$O4557,-$O4557),0))</f>
        <v/>
      </c>
      <c r="AA4557" s="117">
        <f>IF($B4557="",0,IF(OR($W4557="EVET",$X4557="EVET",$Y4557="EVET"),0,IF($D4557="GELİR",IF($E4557="SATIŞ İADESİ/İSKONTO",-$O4557,$O4557),-$O4557)))</f>
        <v/>
      </c>
      <c r="AB4557" s="117">
        <f>IF($B4557="","",IF(OR($D4557="",$E4557="",$O4557=""),"EKSİK",IF($O4557&lt;=0,"SIFIR/NEGATİF",IF(COUNTIFS($C$6:$C$5000,$C4557,$O$6:$O$5000,$O4557,$B$6:$B$5000,$B4557)&gt;1,"MÜKERRER","OK"))))</f>
        <v/>
      </c>
    </row>
    <row r="4558" ht="16.5" customHeight="1" s="80">
      <c r="A4558" s="113" t="n"/>
      <c r="B4558" s="113" t="n"/>
      <c r="C4558" s="113" t="n"/>
      <c r="D4558" s="113" t="n"/>
      <c r="E4558" s="113" t="n"/>
      <c r="F4558" s="113" t="n"/>
      <c r="G4558" s="113" t="n"/>
      <c r="H4558" s="113" t="n"/>
      <c r="I4558" s="113" t="n"/>
      <c r="J4558" s="113" t="n"/>
      <c r="K4558" s="113" t="n"/>
      <c r="L4558" s="113" t="n"/>
      <c r="M4558" s="113" t="n"/>
      <c r="N4558" s="113" t="n"/>
      <c r="O4558" s="113" t="n"/>
      <c r="P4558" s="113" t="n"/>
      <c r="Q4558" s="113" t="n"/>
      <c r="R4558" s="113" t="n"/>
      <c r="S4558" s="113" t="n"/>
      <c r="T4558" s="113" t="n"/>
      <c r="U4558" s="113" t="n"/>
      <c r="V4558" s="113" t="n"/>
      <c r="W4558" s="113" t="n"/>
      <c r="X4558" s="113" t="n"/>
      <c r="Y4558" s="113" t="n"/>
      <c r="Z4558" s="117">
        <f>IF($B4558="",0,IF($S4558="EVET",IF($D4558="GELİR",$O4558,-$O4558),0))</f>
        <v/>
      </c>
      <c r="AA4558" s="117">
        <f>IF($B4558="",0,IF(OR($W4558="EVET",$X4558="EVET",$Y4558="EVET"),0,IF($D4558="GELİR",IF($E4558="SATIŞ İADESİ/İSKONTO",-$O4558,$O4558),-$O4558)))</f>
        <v/>
      </c>
      <c r="AB4558" s="117">
        <f>IF($B4558="","",IF(OR($D4558="",$E4558="",$O4558=""),"EKSİK",IF($O4558&lt;=0,"SIFIR/NEGATİF",IF(COUNTIFS($C$6:$C$5000,$C4558,$O$6:$O$5000,$O4558,$B$6:$B$5000,$B4558)&gt;1,"MÜKERRER","OK"))))</f>
        <v/>
      </c>
    </row>
    <row r="4559" ht="16.5" customHeight="1" s="80">
      <c r="A4559" s="113" t="n"/>
      <c r="B4559" s="113" t="n"/>
      <c r="C4559" s="113" t="n"/>
      <c r="D4559" s="113" t="n"/>
      <c r="E4559" s="113" t="n"/>
      <c r="F4559" s="113" t="n"/>
      <c r="G4559" s="113" t="n"/>
      <c r="H4559" s="113" t="n"/>
      <c r="I4559" s="113" t="n"/>
      <c r="J4559" s="113" t="n"/>
      <c r="K4559" s="113" t="n"/>
      <c r="L4559" s="113" t="n"/>
      <c r="M4559" s="113" t="n"/>
      <c r="N4559" s="113" t="n"/>
      <c r="O4559" s="113" t="n"/>
      <c r="P4559" s="113" t="n"/>
      <c r="Q4559" s="113" t="n"/>
      <c r="R4559" s="113" t="n"/>
      <c r="S4559" s="113" t="n"/>
      <c r="T4559" s="113" t="n"/>
      <c r="U4559" s="113" t="n"/>
      <c r="V4559" s="113" t="n"/>
      <c r="W4559" s="113" t="n"/>
      <c r="X4559" s="113" t="n"/>
      <c r="Y4559" s="113" t="n"/>
      <c r="Z4559" s="117">
        <f>IF($B4559="",0,IF($S4559="EVET",IF($D4559="GELİR",$O4559,-$O4559),0))</f>
        <v/>
      </c>
      <c r="AA4559" s="117">
        <f>IF($B4559="",0,IF(OR($W4559="EVET",$X4559="EVET",$Y4559="EVET"),0,IF($D4559="GELİR",IF($E4559="SATIŞ İADESİ/İSKONTO",-$O4559,$O4559),-$O4559)))</f>
        <v/>
      </c>
      <c r="AB4559" s="117">
        <f>IF($B4559="","",IF(OR($D4559="",$E4559="",$O4559=""),"EKSİK",IF($O4559&lt;=0,"SIFIR/NEGATİF",IF(COUNTIFS($C$6:$C$5000,$C4559,$O$6:$O$5000,$O4559,$B$6:$B$5000,$B4559)&gt;1,"MÜKERRER","OK"))))</f>
        <v/>
      </c>
    </row>
    <row r="4560" ht="16.5" customHeight="1" s="80">
      <c r="A4560" s="113" t="n"/>
      <c r="B4560" s="113" t="n"/>
      <c r="C4560" s="113" t="n"/>
      <c r="D4560" s="113" t="n"/>
      <c r="E4560" s="113" t="n"/>
      <c r="F4560" s="113" t="n"/>
      <c r="G4560" s="113" t="n"/>
      <c r="H4560" s="113" t="n"/>
      <c r="I4560" s="113" t="n"/>
      <c r="J4560" s="113" t="n"/>
      <c r="K4560" s="113" t="n"/>
      <c r="L4560" s="113" t="n"/>
      <c r="M4560" s="113" t="n"/>
      <c r="N4560" s="113" t="n"/>
      <c r="O4560" s="113" t="n"/>
      <c r="P4560" s="113" t="n"/>
      <c r="Q4560" s="113" t="n"/>
      <c r="R4560" s="113" t="n"/>
      <c r="S4560" s="113" t="n"/>
      <c r="T4560" s="113" t="n"/>
      <c r="U4560" s="113" t="n"/>
      <c r="V4560" s="113" t="n"/>
      <c r="W4560" s="113" t="n"/>
      <c r="X4560" s="113" t="n"/>
      <c r="Y4560" s="113" t="n"/>
      <c r="Z4560" s="117">
        <f>IF($B4560="",0,IF($S4560="EVET",IF($D4560="GELİR",$O4560,-$O4560),0))</f>
        <v/>
      </c>
      <c r="AA4560" s="117">
        <f>IF($B4560="",0,IF(OR($W4560="EVET",$X4560="EVET",$Y4560="EVET"),0,IF($D4560="GELİR",IF($E4560="SATIŞ İADESİ/İSKONTO",-$O4560,$O4560),-$O4560)))</f>
        <v/>
      </c>
      <c r="AB4560" s="117">
        <f>IF($B4560="","",IF(OR($D4560="",$E4560="",$O4560=""),"EKSİK",IF($O4560&lt;=0,"SIFIR/NEGATİF",IF(COUNTIFS($C$6:$C$5000,$C4560,$O$6:$O$5000,$O4560,$B$6:$B$5000,$B4560)&gt;1,"MÜKERRER","OK"))))</f>
        <v/>
      </c>
    </row>
    <row r="4561" ht="16.5" customHeight="1" s="80">
      <c r="A4561" s="113" t="n"/>
      <c r="B4561" s="113" t="n"/>
      <c r="C4561" s="113" t="n"/>
      <c r="D4561" s="113" t="n"/>
      <c r="E4561" s="113" t="n"/>
      <c r="F4561" s="113" t="n"/>
      <c r="G4561" s="113" t="n"/>
      <c r="H4561" s="113" t="n"/>
      <c r="I4561" s="113" t="n"/>
      <c r="J4561" s="113" t="n"/>
      <c r="K4561" s="113" t="n"/>
      <c r="L4561" s="113" t="n"/>
      <c r="M4561" s="113" t="n"/>
      <c r="N4561" s="113" t="n"/>
      <c r="O4561" s="113" t="n"/>
      <c r="P4561" s="113" t="n"/>
      <c r="Q4561" s="113" t="n"/>
      <c r="R4561" s="113" t="n"/>
      <c r="S4561" s="113" t="n"/>
      <c r="T4561" s="113" t="n"/>
      <c r="U4561" s="113" t="n"/>
      <c r="V4561" s="113" t="n"/>
      <c r="W4561" s="113" t="n"/>
      <c r="X4561" s="113" t="n"/>
      <c r="Y4561" s="113" t="n"/>
      <c r="Z4561" s="117">
        <f>IF($B4561="",0,IF($S4561="EVET",IF($D4561="GELİR",$O4561,-$O4561),0))</f>
        <v/>
      </c>
      <c r="AA4561" s="117">
        <f>IF($B4561="",0,IF(OR($W4561="EVET",$X4561="EVET",$Y4561="EVET"),0,IF($D4561="GELİR",IF($E4561="SATIŞ İADESİ/İSKONTO",-$O4561,$O4561),-$O4561)))</f>
        <v/>
      </c>
      <c r="AB4561" s="117">
        <f>IF($B4561="","",IF(OR($D4561="",$E4561="",$O4561=""),"EKSİK",IF($O4561&lt;=0,"SIFIR/NEGATİF",IF(COUNTIFS($C$6:$C$5000,$C4561,$O$6:$O$5000,$O4561,$B$6:$B$5000,$B4561)&gt;1,"MÜKERRER","OK"))))</f>
        <v/>
      </c>
    </row>
    <row r="4562" ht="16.5" customHeight="1" s="80">
      <c r="A4562" s="113" t="n"/>
      <c r="B4562" s="113" t="n"/>
      <c r="C4562" s="113" t="n"/>
      <c r="D4562" s="113" t="n"/>
      <c r="E4562" s="113" t="n"/>
      <c r="F4562" s="113" t="n"/>
      <c r="G4562" s="113" t="n"/>
      <c r="H4562" s="113" t="n"/>
      <c r="I4562" s="113" t="n"/>
      <c r="J4562" s="113" t="n"/>
      <c r="K4562" s="113" t="n"/>
      <c r="L4562" s="113" t="n"/>
      <c r="M4562" s="113" t="n"/>
      <c r="N4562" s="113" t="n"/>
      <c r="O4562" s="113" t="n"/>
      <c r="P4562" s="113" t="n"/>
      <c r="Q4562" s="113" t="n"/>
      <c r="R4562" s="113" t="n"/>
      <c r="S4562" s="113" t="n"/>
      <c r="T4562" s="113" t="n"/>
      <c r="U4562" s="113" t="n"/>
      <c r="V4562" s="113" t="n"/>
      <c r="W4562" s="113" t="n"/>
      <c r="X4562" s="113" t="n"/>
      <c r="Y4562" s="113" t="n"/>
      <c r="Z4562" s="117">
        <f>IF($B4562="",0,IF($S4562="EVET",IF($D4562="GELİR",$O4562,-$O4562),0))</f>
        <v/>
      </c>
      <c r="AA4562" s="117">
        <f>IF($B4562="",0,IF(OR($W4562="EVET",$X4562="EVET",$Y4562="EVET"),0,IF($D4562="GELİR",IF($E4562="SATIŞ İADESİ/İSKONTO",-$O4562,$O4562),-$O4562)))</f>
        <v/>
      </c>
      <c r="AB4562" s="117">
        <f>IF($B4562="","",IF(OR($D4562="",$E4562="",$O4562=""),"EKSİK",IF($O4562&lt;=0,"SIFIR/NEGATİF",IF(COUNTIFS($C$6:$C$5000,$C4562,$O$6:$O$5000,$O4562,$B$6:$B$5000,$B4562)&gt;1,"MÜKERRER","OK"))))</f>
        <v/>
      </c>
    </row>
    <row r="4563" ht="16.5" customHeight="1" s="80">
      <c r="A4563" s="113" t="n"/>
      <c r="B4563" s="113" t="n"/>
      <c r="C4563" s="113" t="n"/>
      <c r="D4563" s="113" t="n"/>
      <c r="E4563" s="113" t="n"/>
      <c r="F4563" s="113" t="n"/>
      <c r="G4563" s="113" t="n"/>
      <c r="H4563" s="113" t="n"/>
      <c r="I4563" s="113" t="n"/>
      <c r="J4563" s="113" t="n"/>
      <c r="K4563" s="113" t="n"/>
      <c r="L4563" s="113" t="n"/>
      <c r="M4563" s="113" t="n"/>
      <c r="N4563" s="113" t="n"/>
      <c r="O4563" s="113" t="n"/>
      <c r="P4563" s="113" t="n"/>
      <c r="Q4563" s="113" t="n"/>
      <c r="R4563" s="113" t="n"/>
      <c r="S4563" s="113" t="n"/>
      <c r="T4563" s="113" t="n"/>
      <c r="U4563" s="113" t="n"/>
      <c r="V4563" s="113" t="n"/>
      <c r="W4563" s="113" t="n"/>
      <c r="X4563" s="113" t="n"/>
      <c r="Y4563" s="113" t="n"/>
      <c r="Z4563" s="117">
        <f>IF($B4563="",0,IF($S4563="EVET",IF($D4563="GELİR",$O4563,-$O4563),0))</f>
        <v/>
      </c>
      <c r="AA4563" s="117">
        <f>IF($B4563="",0,IF(OR($W4563="EVET",$X4563="EVET",$Y4563="EVET"),0,IF($D4563="GELİR",IF($E4563="SATIŞ İADESİ/İSKONTO",-$O4563,$O4563),-$O4563)))</f>
        <v/>
      </c>
      <c r="AB4563" s="117">
        <f>IF($B4563="","",IF(OR($D4563="",$E4563="",$O4563=""),"EKSİK",IF($O4563&lt;=0,"SIFIR/NEGATİF",IF(COUNTIFS($C$6:$C$5000,$C4563,$O$6:$O$5000,$O4563,$B$6:$B$5000,$B4563)&gt;1,"MÜKERRER","OK"))))</f>
        <v/>
      </c>
    </row>
    <row r="4564" ht="16.5" customHeight="1" s="80">
      <c r="A4564" s="113" t="n"/>
      <c r="B4564" s="113" t="n"/>
      <c r="C4564" s="113" t="n"/>
      <c r="D4564" s="113" t="n"/>
      <c r="E4564" s="113" t="n"/>
      <c r="F4564" s="113" t="n"/>
      <c r="G4564" s="113" t="n"/>
      <c r="H4564" s="113" t="n"/>
      <c r="I4564" s="113" t="n"/>
      <c r="J4564" s="113" t="n"/>
      <c r="K4564" s="113" t="n"/>
      <c r="L4564" s="113" t="n"/>
      <c r="M4564" s="113" t="n"/>
      <c r="N4564" s="113" t="n"/>
      <c r="O4564" s="113" t="n"/>
      <c r="P4564" s="113" t="n"/>
      <c r="Q4564" s="113" t="n"/>
      <c r="R4564" s="113" t="n"/>
      <c r="S4564" s="113" t="n"/>
      <c r="T4564" s="113" t="n"/>
      <c r="U4564" s="113" t="n"/>
      <c r="V4564" s="113" t="n"/>
      <c r="W4564" s="113" t="n"/>
      <c r="X4564" s="113" t="n"/>
      <c r="Y4564" s="113" t="n"/>
      <c r="Z4564" s="117">
        <f>IF($B4564="",0,IF($S4564="EVET",IF($D4564="GELİR",$O4564,-$O4564),0))</f>
        <v/>
      </c>
      <c r="AA4564" s="117">
        <f>IF($B4564="",0,IF(OR($W4564="EVET",$X4564="EVET",$Y4564="EVET"),0,IF($D4564="GELİR",IF($E4564="SATIŞ İADESİ/İSKONTO",-$O4564,$O4564),-$O4564)))</f>
        <v/>
      </c>
      <c r="AB4564" s="117">
        <f>IF($B4564="","",IF(OR($D4564="",$E4564="",$O4564=""),"EKSİK",IF($O4564&lt;=0,"SIFIR/NEGATİF",IF(COUNTIFS($C$6:$C$5000,$C4564,$O$6:$O$5000,$O4564,$B$6:$B$5000,$B4564)&gt;1,"MÜKERRER","OK"))))</f>
        <v/>
      </c>
    </row>
    <row r="4565" ht="16.5" customHeight="1" s="80">
      <c r="A4565" s="113" t="n"/>
      <c r="B4565" s="113" t="n"/>
      <c r="C4565" s="113" t="n"/>
      <c r="D4565" s="113" t="n"/>
      <c r="E4565" s="113" t="n"/>
      <c r="F4565" s="113" t="n"/>
      <c r="G4565" s="113" t="n"/>
      <c r="H4565" s="113" t="n"/>
      <c r="I4565" s="113" t="n"/>
      <c r="J4565" s="113" t="n"/>
      <c r="K4565" s="113" t="n"/>
      <c r="L4565" s="113" t="n"/>
      <c r="M4565" s="113" t="n"/>
      <c r="N4565" s="113" t="n"/>
      <c r="O4565" s="113" t="n"/>
      <c r="P4565" s="113" t="n"/>
      <c r="Q4565" s="113" t="n"/>
      <c r="R4565" s="113" t="n"/>
      <c r="S4565" s="113" t="n"/>
      <c r="T4565" s="113" t="n"/>
      <c r="U4565" s="113" t="n"/>
      <c r="V4565" s="113" t="n"/>
      <c r="W4565" s="113" t="n"/>
      <c r="X4565" s="113" t="n"/>
      <c r="Y4565" s="113" t="n"/>
      <c r="Z4565" s="117">
        <f>IF($B4565="",0,IF($S4565="EVET",IF($D4565="GELİR",$O4565,-$O4565),0))</f>
        <v/>
      </c>
      <c r="AA4565" s="117">
        <f>IF($B4565="",0,IF(OR($W4565="EVET",$X4565="EVET",$Y4565="EVET"),0,IF($D4565="GELİR",IF($E4565="SATIŞ İADESİ/İSKONTO",-$O4565,$O4565),-$O4565)))</f>
        <v/>
      </c>
      <c r="AB4565" s="117">
        <f>IF($B4565="","",IF(OR($D4565="",$E4565="",$O4565=""),"EKSİK",IF($O4565&lt;=0,"SIFIR/NEGATİF",IF(COUNTIFS($C$6:$C$5000,$C4565,$O$6:$O$5000,$O4565,$B$6:$B$5000,$B4565)&gt;1,"MÜKERRER","OK"))))</f>
        <v/>
      </c>
    </row>
    <row r="4566" ht="16.5" customHeight="1" s="80">
      <c r="A4566" s="113" t="n"/>
      <c r="B4566" s="113" t="n"/>
      <c r="C4566" s="113" t="n"/>
      <c r="D4566" s="113" t="n"/>
      <c r="E4566" s="113" t="n"/>
      <c r="F4566" s="113" t="n"/>
      <c r="G4566" s="113" t="n"/>
      <c r="H4566" s="113" t="n"/>
      <c r="I4566" s="113" t="n"/>
      <c r="J4566" s="113" t="n"/>
      <c r="K4566" s="113" t="n"/>
      <c r="L4566" s="113" t="n"/>
      <c r="M4566" s="113" t="n"/>
      <c r="N4566" s="113" t="n"/>
      <c r="O4566" s="113" t="n"/>
      <c r="P4566" s="113" t="n"/>
      <c r="Q4566" s="113" t="n"/>
      <c r="R4566" s="113" t="n"/>
      <c r="S4566" s="113" t="n"/>
      <c r="T4566" s="113" t="n"/>
      <c r="U4566" s="113" t="n"/>
      <c r="V4566" s="113" t="n"/>
      <c r="W4566" s="113" t="n"/>
      <c r="X4566" s="113" t="n"/>
      <c r="Y4566" s="113" t="n"/>
      <c r="Z4566" s="117">
        <f>IF($B4566="",0,IF($S4566="EVET",IF($D4566="GELİR",$O4566,-$O4566),0))</f>
        <v/>
      </c>
      <c r="AA4566" s="117">
        <f>IF($B4566="",0,IF(OR($W4566="EVET",$X4566="EVET",$Y4566="EVET"),0,IF($D4566="GELİR",IF($E4566="SATIŞ İADESİ/İSKONTO",-$O4566,$O4566),-$O4566)))</f>
        <v/>
      </c>
      <c r="AB4566" s="117">
        <f>IF($B4566="","",IF(OR($D4566="",$E4566="",$O4566=""),"EKSİK",IF($O4566&lt;=0,"SIFIR/NEGATİF",IF(COUNTIFS($C$6:$C$5000,$C4566,$O$6:$O$5000,$O4566,$B$6:$B$5000,$B4566)&gt;1,"MÜKERRER","OK"))))</f>
        <v/>
      </c>
    </row>
    <row r="4567" ht="16.5" customHeight="1" s="80">
      <c r="A4567" s="113" t="n"/>
      <c r="B4567" s="113" t="n"/>
      <c r="C4567" s="113" t="n"/>
      <c r="D4567" s="113" t="n"/>
      <c r="E4567" s="113" t="n"/>
      <c r="F4567" s="113" t="n"/>
      <c r="G4567" s="113" t="n"/>
      <c r="H4567" s="113" t="n"/>
      <c r="I4567" s="113" t="n"/>
      <c r="J4567" s="113" t="n"/>
      <c r="K4567" s="113" t="n"/>
      <c r="L4567" s="113" t="n"/>
      <c r="M4567" s="113" t="n"/>
      <c r="N4567" s="113" t="n"/>
      <c r="O4567" s="113" t="n"/>
      <c r="P4567" s="113" t="n"/>
      <c r="Q4567" s="113" t="n"/>
      <c r="R4567" s="113" t="n"/>
      <c r="S4567" s="113" t="n"/>
      <c r="T4567" s="113" t="n"/>
      <c r="U4567" s="113" t="n"/>
      <c r="V4567" s="113" t="n"/>
      <c r="W4567" s="113" t="n"/>
      <c r="X4567" s="113" t="n"/>
      <c r="Y4567" s="113" t="n"/>
      <c r="Z4567" s="117">
        <f>IF($B4567="",0,IF($S4567="EVET",IF($D4567="GELİR",$O4567,-$O4567),0))</f>
        <v/>
      </c>
      <c r="AA4567" s="117">
        <f>IF($B4567="",0,IF(OR($W4567="EVET",$X4567="EVET",$Y4567="EVET"),0,IF($D4567="GELİR",IF($E4567="SATIŞ İADESİ/İSKONTO",-$O4567,$O4567),-$O4567)))</f>
        <v/>
      </c>
      <c r="AB4567" s="117">
        <f>IF($B4567="","",IF(OR($D4567="",$E4567="",$O4567=""),"EKSİK",IF($O4567&lt;=0,"SIFIR/NEGATİF",IF(COUNTIFS($C$6:$C$5000,$C4567,$O$6:$O$5000,$O4567,$B$6:$B$5000,$B4567)&gt;1,"MÜKERRER","OK"))))</f>
        <v/>
      </c>
    </row>
    <row r="4568" ht="16.5" customHeight="1" s="80">
      <c r="A4568" s="113" t="n"/>
      <c r="B4568" s="113" t="n"/>
      <c r="C4568" s="113" t="n"/>
      <c r="D4568" s="113" t="n"/>
      <c r="E4568" s="113" t="n"/>
      <c r="F4568" s="113" t="n"/>
      <c r="G4568" s="113" t="n"/>
      <c r="H4568" s="113" t="n"/>
      <c r="I4568" s="113" t="n"/>
      <c r="J4568" s="113" t="n"/>
      <c r="K4568" s="113" t="n"/>
      <c r="L4568" s="113" t="n"/>
      <c r="M4568" s="113" t="n"/>
      <c r="N4568" s="113" t="n"/>
      <c r="O4568" s="113" t="n"/>
      <c r="P4568" s="113" t="n"/>
      <c r="Q4568" s="113" t="n"/>
      <c r="R4568" s="113" t="n"/>
      <c r="S4568" s="113" t="n"/>
      <c r="T4568" s="113" t="n"/>
      <c r="U4568" s="113" t="n"/>
      <c r="V4568" s="113" t="n"/>
      <c r="W4568" s="113" t="n"/>
      <c r="X4568" s="113" t="n"/>
      <c r="Y4568" s="113" t="n"/>
      <c r="Z4568" s="117">
        <f>IF($B4568="",0,IF($S4568="EVET",IF($D4568="GELİR",$O4568,-$O4568),0))</f>
        <v/>
      </c>
      <c r="AA4568" s="117">
        <f>IF($B4568="",0,IF(OR($W4568="EVET",$X4568="EVET",$Y4568="EVET"),0,IF($D4568="GELİR",IF($E4568="SATIŞ İADESİ/İSKONTO",-$O4568,$O4568),-$O4568)))</f>
        <v/>
      </c>
      <c r="AB4568" s="117">
        <f>IF($B4568="","",IF(OR($D4568="",$E4568="",$O4568=""),"EKSİK",IF($O4568&lt;=0,"SIFIR/NEGATİF",IF(COUNTIFS($C$6:$C$5000,$C4568,$O$6:$O$5000,$O4568,$B$6:$B$5000,$B4568)&gt;1,"MÜKERRER","OK"))))</f>
        <v/>
      </c>
    </row>
    <row r="4569" ht="16.5" customHeight="1" s="80">
      <c r="A4569" s="113" t="n"/>
      <c r="B4569" s="113" t="n"/>
      <c r="C4569" s="113" t="n"/>
      <c r="D4569" s="113" t="n"/>
      <c r="E4569" s="113" t="n"/>
      <c r="F4569" s="113" t="n"/>
      <c r="G4569" s="113" t="n"/>
      <c r="H4569" s="113" t="n"/>
      <c r="I4569" s="113" t="n"/>
      <c r="J4569" s="113" t="n"/>
      <c r="K4569" s="113" t="n"/>
      <c r="L4569" s="113" t="n"/>
      <c r="M4569" s="113" t="n"/>
      <c r="N4569" s="113" t="n"/>
      <c r="O4569" s="113" t="n"/>
      <c r="P4569" s="113" t="n"/>
      <c r="Q4569" s="113" t="n"/>
      <c r="R4569" s="113" t="n"/>
      <c r="S4569" s="113" t="n"/>
      <c r="T4569" s="113" t="n"/>
      <c r="U4569" s="113" t="n"/>
      <c r="V4569" s="113" t="n"/>
      <c r="W4569" s="113" t="n"/>
      <c r="X4569" s="113" t="n"/>
      <c r="Y4569" s="113" t="n"/>
      <c r="Z4569" s="117">
        <f>IF($B4569="",0,IF($S4569="EVET",IF($D4569="GELİR",$O4569,-$O4569),0))</f>
        <v/>
      </c>
      <c r="AA4569" s="117">
        <f>IF($B4569="",0,IF(OR($W4569="EVET",$X4569="EVET",$Y4569="EVET"),0,IF($D4569="GELİR",IF($E4569="SATIŞ İADESİ/İSKONTO",-$O4569,$O4569),-$O4569)))</f>
        <v/>
      </c>
      <c r="AB4569" s="117">
        <f>IF($B4569="","",IF(OR($D4569="",$E4569="",$O4569=""),"EKSİK",IF($O4569&lt;=0,"SIFIR/NEGATİF",IF(COUNTIFS($C$6:$C$5000,$C4569,$O$6:$O$5000,$O4569,$B$6:$B$5000,$B4569)&gt;1,"MÜKERRER","OK"))))</f>
        <v/>
      </c>
    </row>
    <row r="4570" ht="16.5" customHeight="1" s="80">
      <c r="A4570" s="113" t="n"/>
      <c r="B4570" s="113" t="n"/>
      <c r="C4570" s="113" t="n"/>
      <c r="D4570" s="113" t="n"/>
      <c r="E4570" s="113" t="n"/>
      <c r="F4570" s="113" t="n"/>
      <c r="G4570" s="113" t="n"/>
      <c r="H4570" s="113" t="n"/>
      <c r="I4570" s="113" t="n"/>
      <c r="J4570" s="113" t="n"/>
      <c r="K4570" s="113" t="n"/>
      <c r="L4570" s="113" t="n"/>
      <c r="M4570" s="113" t="n"/>
      <c r="N4570" s="113" t="n"/>
      <c r="O4570" s="113" t="n"/>
      <c r="P4570" s="113" t="n"/>
      <c r="Q4570" s="113" t="n"/>
      <c r="R4570" s="113" t="n"/>
      <c r="S4570" s="113" t="n"/>
      <c r="T4570" s="113" t="n"/>
      <c r="U4570" s="113" t="n"/>
      <c r="V4570" s="113" t="n"/>
      <c r="W4570" s="113" t="n"/>
      <c r="X4570" s="113" t="n"/>
      <c r="Y4570" s="113" t="n"/>
      <c r="Z4570" s="117">
        <f>IF($B4570="",0,IF($S4570="EVET",IF($D4570="GELİR",$O4570,-$O4570),0))</f>
        <v/>
      </c>
      <c r="AA4570" s="117">
        <f>IF($B4570="",0,IF(OR($W4570="EVET",$X4570="EVET",$Y4570="EVET"),0,IF($D4570="GELİR",IF($E4570="SATIŞ İADESİ/İSKONTO",-$O4570,$O4570),-$O4570)))</f>
        <v/>
      </c>
      <c r="AB4570" s="117">
        <f>IF($B4570="","",IF(OR($D4570="",$E4570="",$O4570=""),"EKSİK",IF($O4570&lt;=0,"SIFIR/NEGATİF",IF(COUNTIFS($C$6:$C$5000,$C4570,$O$6:$O$5000,$O4570,$B$6:$B$5000,$B4570)&gt;1,"MÜKERRER","OK"))))</f>
        <v/>
      </c>
    </row>
    <row r="4571" ht="16.5" customHeight="1" s="80">
      <c r="A4571" s="113" t="n"/>
      <c r="B4571" s="113" t="n"/>
      <c r="C4571" s="113" t="n"/>
      <c r="D4571" s="113" t="n"/>
      <c r="E4571" s="113" t="n"/>
      <c r="F4571" s="113" t="n"/>
      <c r="G4571" s="113" t="n"/>
      <c r="H4571" s="113" t="n"/>
      <c r="I4571" s="113" t="n"/>
      <c r="J4571" s="113" t="n"/>
      <c r="K4571" s="113" t="n"/>
      <c r="L4571" s="113" t="n"/>
      <c r="M4571" s="113" t="n"/>
      <c r="N4571" s="113" t="n"/>
      <c r="O4571" s="113" t="n"/>
      <c r="P4571" s="113" t="n"/>
      <c r="Q4571" s="113" t="n"/>
      <c r="R4571" s="113" t="n"/>
      <c r="S4571" s="113" t="n"/>
      <c r="T4571" s="113" t="n"/>
      <c r="U4571" s="113" t="n"/>
      <c r="V4571" s="113" t="n"/>
      <c r="W4571" s="113" t="n"/>
      <c r="X4571" s="113" t="n"/>
      <c r="Y4571" s="113" t="n"/>
      <c r="Z4571" s="117">
        <f>IF($B4571="",0,IF($S4571="EVET",IF($D4571="GELİR",$O4571,-$O4571),0))</f>
        <v/>
      </c>
      <c r="AA4571" s="117">
        <f>IF($B4571="",0,IF(OR($W4571="EVET",$X4571="EVET",$Y4571="EVET"),0,IF($D4571="GELİR",IF($E4571="SATIŞ İADESİ/İSKONTO",-$O4571,$O4571),-$O4571)))</f>
        <v/>
      </c>
      <c r="AB4571" s="117">
        <f>IF($B4571="","",IF(OR($D4571="",$E4571="",$O4571=""),"EKSİK",IF($O4571&lt;=0,"SIFIR/NEGATİF",IF(COUNTIFS($C$6:$C$5000,$C4571,$O$6:$O$5000,$O4571,$B$6:$B$5000,$B4571)&gt;1,"MÜKERRER","OK"))))</f>
        <v/>
      </c>
    </row>
    <row r="4572" ht="16.5" customHeight="1" s="80">
      <c r="A4572" s="113" t="n"/>
      <c r="B4572" s="113" t="n"/>
      <c r="C4572" s="113" t="n"/>
      <c r="D4572" s="113" t="n"/>
      <c r="E4572" s="113" t="n"/>
      <c r="F4572" s="113" t="n"/>
      <c r="G4572" s="113" t="n"/>
      <c r="H4572" s="113" t="n"/>
      <c r="I4572" s="113" t="n"/>
      <c r="J4572" s="113" t="n"/>
      <c r="K4572" s="113" t="n"/>
      <c r="L4572" s="113" t="n"/>
      <c r="M4572" s="113" t="n"/>
      <c r="N4572" s="113" t="n"/>
      <c r="O4572" s="113" t="n"/>
      <c r="P4572" s="113" t="n"/>
      <c r="Q4572" s="113" t="n"/>
      <c r="R4572" s="113" t="n"/>
      <c r="S4572" s="113" t="n"/>
      <c r="T4572" s="113" t="n"/>
      <c r="U4572" s="113" t="n"/>
      <c r="V4572" s="113" t="n"/>
      <c r="W4572" s="113" t="n"/>
      <c r="X4572" s="113" t="n"/>
      <c r="Y4572" s="113" t="n"/>
      <c r="Z4572" s="117">
        <f>IF($B4572="",0,IF($S4572="EVET",IF($D4572="GELİR",$O4572,-$O4572),0))</f>
        <v/>
      </c>
      <c r="AA4572" s="117">
        <f>IF($B4572="",0,IF(OR($W4572="EVET",$X4572="EVET",$Y4572="EVET"),0,IF($D4572="GELİR",IF($E4572="SATIŞ İADESİ/İSKONTO",-$O4572,$O4572),-$O4572)))</f>
        <v/>
      </c>
      <c r="AB4572" s="117">
        <f>IF($B4572="","",IF(OR($D4572="",$E4572="",$O4572=""),"EKSİK",IF($O4572&lt;=0,"SIFIR/NEGATİF",IF(COUNTIFS($C$6:$C$5000,$C4572,$O$6:$O$5000,$O4572,$B$6:$B$5000,$B4572)&gt;1,"MÜKERRER","OK"))))</f>
        <v/>
      </c>
    </row>
    <row r="4573" ht="16.5" customHeight="1" s="80">
      <c r="A4573" s="113" t="n"/>
      <c r="B4573" s="113" t="n"/>
      <c r="C4573" s="113" t="n"/>
      <c r="D4573" s="113" t="n"/>
      <c r="E4573" s="113" t="n"/>
      <c r="F4573" s="113" t="n"/>
      <c r="G4573" s="113" t="n"/>
      <c r="H4573" s="113" t="n"/>
      <c r="I4573" s="113" t="n"/>
      <c r="J4573" s="113" t="n"/>
      <c r="K4573" s="113" t="n"/>
      <c r="L4573" s="113" t="n"/>
      <c r="M4573" s="113" t="n"/>
      <c r="N4573" s="113" t="n"/>
      <c r="O4573" s="113" t="n"/>
      <c r="P4573" s="113" t="n"/>
      <c r="Q4573" s="113" t="n"/>
      <c r="R4573" s="113" t="n"/>
      <c r="S4573" s="113" t="n"/>
      <c r="T4573" s="113" t="n"/>
      <c r="U4573" s="113" t="n"/>
      <c r="V4573" s="113" t="n"/>
      <c r="W4573" s="113" t="n"/>
      <c r="X4573" s="113" t="n"/>
      <c r="Y4573" s="113" t="n"/>
      <c r="Z4573" s="117">
        <f>IF($B4573="",0,IF($S4573="EVET",IF($D4573="GELİR",$O4573,-$O4573),0))</f>
        <v/>
      </c>
      <c r="AA4573" s="117">
        <f>IF($B4573="",0,IF(OR($W4573="EVET",$X4573="EVET",$Y4573="EVET"),0,IF($D4573="GELİR",IF($E4573="SATIŞ İADESİ/İSKONTO",-$O4573,$O4573),-$O4573)))</f>
        <v/>
      </c>
      <c r="AB4573" s="117">
        <f>IF($B4573="","",IF(OR($D4573="",$E4573="",$O4573=""),"EKSİK",IF($O4573&lt;=0,"SIFIR/NEGATİF",IF(COUNTIFS($C$6:$C$5000,$C4573,$O$6:$O$5000,$O4573,$B$6:$B$5000,$B4573)&gt;1,"MÜKERRER","OK"))))</f>
        <v/>
      </c>
    </row>
    <row r="4574" ht="16.5" customHeight="1" s="80">
      <c r="A4574" s="113" t="n"/>
      <c r="B4574" s="113" t="n"/>
      <c r="C4574" s="113" t="n"/>
      <c r="D4574" s="113" t="n"/>
      <c r="E4574" s="113" t="n"/>
      <c r="F4574" s="113" t="n"/>
      <c r="G4574" s="113" t="n"/>
      <c r="H4574" s="113" t="n"/>
      <c r="I4574" s="113" t="n"/>
      <c r="J4574" s="113" t="n"/>
      <c r="K4574" s="113" t="n"/>
      <c r="L4574" s="113" t="n"/>
      <c r="M4574" s="113" t="n"/>
      <c r="N4574" s="113" t="n"/>
      <c r="O4574" s="113" t="n"/>
      <c r="P4574" s="113" t="n"/>
      <c r="Q4574" s="113" t="n"/>
      <c r="R4574" s="113" t="n"/>
      <c r="S4574" s="113" t="n"/>
      <c r="T4574" s="113" t="n"/>
      <c r="U4574" s="113" t="n"/>
      <c r="V4574" s="113" t="n"/>
      <c r="W4574" s="113" t="n"/>
      <c r="X4574" s="113" t="n"/>
      <c r="Y4574" s="113" t="n"/>
      <c r="Z4574" s="117">
        <f>IF($B4574="",0,IF($S4574="EVET",IF($D4574="GELİR",$O4574,-$O4574),0))</f>
        <v/>
      </c>
      <c r="AA4574" s="117">
        <f>IF($B4574="",0,IF(OR($W4574="EVET",$X4574="EVET",$Y4574="EVET"),0,IF($D4574="GELİR",IF($E4574="SATIŞ İADESİ/İSKONTO",-$O4574,$O4574),-$O4574)))</f>
        <v/>
      </c>
      <c r="AB4574" s="117">
        <f>IF($B4574="","",IF(OR($D4574="",$E4574="",$O4574=""),"EKSİK",IF($O4574&lt;=0,"SIFIR/NEGATİF",IF(COUNTIFS($C$6:$C$5000,$C4574,$O$6:$O$5000,$O4574,$B$6:$B$5000,$B4574)&gt;1,"MÜKERRER","OK"))))</f>
        <v/>
      </c>
    </row>
    <row r="4575" ht="16.5" customHeight="1" s="80">
      <c r="A4575" s="113" t="n"/>
      <c r="B4575" s="113" t="n"/>
      <c r="C4575" s="113" t="n"/>
      <c r="D4575" s="113" t="n"/>
      <c r="E4575" s="113" t="n"/>
      <c r="F4575" s="113" t="n"/>
      <c r="G4575" s="113" t="n"/>
      <c r="H4575" s="113" t="n"/>
      <c r="I4575" s="113" t="n"/>
      <c r="J4575" s="113" t="n"/>
      <c r="K4575" s="113" t="n"/>
      <c r="L4575" s="113" t="n"/>
      <c r="M4575" s="113" t="n"/>
      <c r="N4575" s="113" t="n"/>
      <c r="O4575" s="113" t="n"/>
      <c r="P4575" s="113" t="n"/>
      <c r="Q4575" s="113" t="n"/>
      <c r="R4575" s="113" t="n"/>
      <c r="S4575" s="113" t="n"/>
      <c r="T4575" s="113" t="n"/>
      <c r="U4575" s="113" t="n"/>
      <c r="V4575" s="113" t="n"/>
      <c r="W4575" s="113" t="n"/>
      <c r="X4575" s="113" t="n"/>
      <c r="Y4575" s="113" t="n"/>
      <c r="Z4575" s="117">
        <f>IF($B4575="",0,IF($S4575="EVET",IF($D4575="GELİR",$O4575,-$O4575),0))</f>
        <v/>
      </c>
      <c r="AA4575" s="117">
        <f>IF($B4575="",0,IF(OR($W4575="EVET",$X4575="EVET",$Y4575="EVET"),0,IF($D4575="GELİR",IF($E4575="SATIŞ İADESİ/İSKONTO",-$O4575,$O4575),-$O4575)))</f>
        <v/>
      </c>
      <c r="AB4575" s="117">
        <f>IF($B4575="","",IF(OR($D4575="",$E4575="",$O4575=""),"EKSİK",IF($O4575&lt;=0,"SIFIR/NEGATİF",IF(COUNTIFS($C$6:$C$5000,$C4575,$O$6:$O$5000,$O4575,$B$6:$B$5000,$B4575)&gt;1,"MÜKERRER","OK"))))</f>
        <v/>
      </c>
    </row>
    <row r="4576" ht="16.5" customHeight="1" s="80">
      <c r="A4576" s="113" t="n"/>
      <c r="B4576" s="113" t="n"/>
      <c r="C4576" s="113" t="n"/>
      <c r="D4576" s="113" t="n"/>
      <c r="E4576" s="113" t="n"/>
      <c r="F4576" s="113" t="n"/>
      <c r="G4576" s="113" t="n"/>
      <c r="H4576" s="113" t="n"/>
      <c r="I4576" s="113" t="n"/>
      <c r="J4576" s="113" t="n"/>
      <c r="K4576" s="113" t="n"/>
      <c r="L4576" s="113" t="n"/>
      <c r="M4576" s="113" t="n"/>
      <c r="N4576" s="113" t="n"/>
      <c r="O4576" s="113" t="n"/>
      <c r="P4576" s="113" t="n"/>
      <c r="Q4576" s="113" t="n"/>
      <c r="R4576" s="113" t="n"/>
      <c r="S4576" s="113" t="n"/>
      <c r="T4576" s="113" t="n"/>
      <c r="U4576" s="113" t="n"/>
      <c r="V4576" s="113" t="n"/>
      <c r="W4576" s="113" t="n"/>
      <c r="X4576" s="113" t="n"/>
      <c r="Y4576" s="113" t="n"/>
      <c r="Z4576" s="117">
        <f>IF($B4576="",0,IF($S4576="EVET",IF($D4576="GELİR",$O4576,-$O4576),0))</f>
        <v/>
      </c>
      <c r="AA4576" s="117">
        <f>IF($B4576="",0,IF(OR($W4576="EVET",$X4576="EVET",$Y4576="EVET"),0,IF($D4576="GELİR",IF($E4576="SATIŞ İADESİ/İSKONTO",-$O4576,$O4576),-$O4576)))</f>
        <v/>
      </c>
      <c r="AB4576" s="117">
        <f>IF($B4576="","",IF(OR($D4576="",$E4576="",$O4576=""),"EKSİK",IF($O4576&lt;=0,"SIFIR/NEGATİF",IF(COUNTIFS($C$6:$C$5000,$C4576,$O$6:$O$5000,$O4576,$B$6:$B$5000,$B4576)&gt;1,"MÜKERRER","OK"))))</f>
        <v/>
      </c>
    </row>
    <row r="4577" ht="16.5" customHeight="1" s="80">
      <c r="A4577" s="113" t="n"/>
      <c r="B4577" s="113" t="n"/>
      <c r="C4577" s="113" t="n"/>
      <c r="D4577" s="113" t="n"/>
      <c r="E4577" s="113" t="n"/>
      <c r="F4577" s="113" t="n"/>
      <c r="G4577" s="113" t="n"/>
      <c r="H4577" s="113" t="n"/>
      <c r="I4577" s="113" t="n"/>
      <c r="J4577" s="113" t="n"/>
      <c r="K4577" s="113" t="n"/>
      <c r="L4577" s="113" t="n"/>
      <c r="M4577" s="113" t="n"/>
      <c r="N4577" s="113" t="n"/>
      <c r="O4577" s="113" t="n"/>
      <c r="P4577" s="113" t="n"/>
      <c r="Q4577" s="113" t="n"/>
      <c r="R4577" s="113" t="n"/>
      <c r="S4577" s="113" t="n"/>
      <c r="T4577" s="113" t="n"/>
      <c r="U4577" s="113" t="n"/>
      <c r="V4577" s="113" t="n"/>
      <c r="W4577" s="113" t="n"/>
      <c r="X4577" s="113" t="n"/>
      <c r="Y4577" s="113" t="n"/>
      <c r="Z4577" s="117">
        <f>IF($B4577="",0,IF($S4577="EVET",IF($D4577="GELİR",$O4577,-$O4577),0))</f>
        <v/>
      </c>
      <c r="AA4577" s="117">
        <f>IF($B4577="",0,IF(OR($W4577="EVET",$X4577="EVET",$Y4577="EVET"),0,IF($D4577="GELİR",IF($E4577="SATIŞ İADESİ/İSKONTO",-$O4577,$O4577),-$O4577)))</f>
        <v/>
      </c>
      <c r="AB4577" s="117">
        <f>IF($B4577="","",IF(OR($D4577="",$E4577="",$O4577=""),"EKSİK",IF($O4577&lt;=0,"SIFIR/NEGATİF",IF(COUNTIFS($C$6:$C$5000,$C4577,$O$6:$O$5000,$O4577,$B$6:$B$5000,$B4577)&gt;1,"MÜKERRER","OK"))))</f>
        <v/>
      </c>
    </row>
    <row r="4578" ht="16.5" customHeight="1" s="80">
      <c r="A4578" s="113" t="n"/>
      <c r="B4578" s="113" t="n"/>
      <c r="C4578" s="113" t="n"/>
      <c r="D4578" s="113" t="n"/>
      <c r="E4578" s="113" t="n"/>
      <c r="F4578" s="113" t="n"/>
      <c r="G4578" s="113" t="n"/>
      <c r="H4578" s="113" t="n"/>
      <c r="I4578" s="113" t="n"/>
      <c r="J4578" s="113" t="n"/>
      <c r="K4578" s="113" t="n"/>
      <c r="L4578" s="113" t="n"/>
      <c r="M4578" s="113" t="n"/>
      <c r="N4578" s="113" t="n"/>
      <c r="O4578" s="113" t="n"/>
      <c r="P4578" s="113" t="n"/>
      <c r="Q4578" s="113" t="n"/>
      <c r="R4578" s="113" t="n"/>
      <c r="S4578" s="113" t="n"/>
      <c r="T4578" s="113" t="n"/>
      <c r="U4578" s="113" t="n"/>
      <c r="V4578" s="113" t="n"/>
      <c r="W4578" s="113" t="n"/>
      <c r="X4578" s="113" t="n"/>
      <c r="Y4578" s="113" t="n"/>
      <c r="Z4578" s="117">
        <f>IF($B4578="",0,IF($S4578="EVET",IF($D4578="GELİR",$O4578,-$O4578),0))</f>
        <v/>
      </c>
      <c r="AA4578" s="117">
        <f>IF($B4578="",0,IF(OR($W4578="EVET",$X4578="EVET",$Y4578="EVET"),0,IF($D4578="GELİR",IF($E4578="SATIŞ İADESİ/İSKONTO",-$O4578,$O4578),-$O4578)))</f>
        <v/>
      </c>
      <c r="AB4578" s="117">
        <f>IF($B4578="","",IF(OR($D4578="",$E4578="",$O4578=""),"EKSİK",IF($O4578&lt;=0,"SIFIR/NEGATİF",IF(COUNTIFS($C$6:$C$5000,$C4578,$O$6:$O$5000,$O4578,$B$6:$B$5000,$B4578)&gt;1,"MÜKERRER","OK"))))</f>
        <v/>
      </c>
    </row>
    <row r="4579" ht="16.5" customHeight="1" s="80">
      <c r="A4579" s="113" t="n"/>
      <c r="B4579" s="113" t="n"/>
      <c r="C4579" s="113" t="n"/>
      <c r="D4579" s="113" t="n"/>
      <c r="E4579" s="113" t="n"/>
      <c r="F4579" s="113" t="n"/>
      <c r="G4579" s="113" t="n"/>
      <c r="H4579" s="113" t="n"/>
      <c r="I4579" s="113" t="n"/>
      <c r="J4579" s="113" t="n"/>
      <c r="K4579" s="113" t="n"/>
      <c r="L4579" s="113" t="n"/>
      <c r="M4579" s="113" t="n"/>
      <c r="N4579" s="113" t="n"/>
      <c r="O4579" s="113" t="n"/>
      <c r="P4579" s="113" t="n"/>
      <c r="Q4579" s="113" t="n"/>
      <c r="R4579" s="113" t="n"/>
      <c r="S4579" s="113" t="n"/>
      <c r="T4579" s="113" t="n"/>
      <c r="U4579" s="113" t="n"/>
      <c r="V4579" s="113" t="n"/>
      <c r="W4579" s="113" t="n"/>
      <c r="X4579" s="113" t="n"/>
      <c r="Y4579" s="113" t="n"/>
      <c r="Z4579" s="117">
        <f>IF($B4579="",0,IF($S4579="EVET",IF($D4579="GELİR",$O4579,-$O4579),0))</f>
        <v/>
      </c>
      <c r="AA4579" s="117">
        <f>IF($B4579="",0,IF(OR($W4579="EVET",$X4579="EVET",$Y4579="EVET"),0,IF($D4579="GELİR",IF($E4579="SATIŞ İADESİ/İSKONTO",-$O4579,$O4579),-$O4579)))</f>
        <v/>
      </c>
      <c r="AB4579" s="117">
        <f>IF($B4579="","",IF(OR($D4579="",$E4579="",$O4579=""),"EKSİK",IF($O4579&lt;=0,"SIFIR/NEGATİF",IF(COUNTIFS($C$6:$C$5000,$C4579,$O$6:$O$5000,$O4579,$B$6:$B$5000,$B4579)&gt;1,"MÜKERRER","OK"))))</f>
        <v/>
      </c>
    </row>
    <row r="4580" ht="16.5" customHeight="1" s="80">
      <c r="A4580" s="113" t="n"/>
      <c r="B4580" s="113" t="n"/>
      <c r="C4580" s="113" t="n"/>
      <c r="D4580" s="113" t="n"/>
      <c r="E4580" s="113" t="n"/>
      <c r="F4580" s="113" t="n"/>
      <c r="G4580" s="113" t="n"/>
      <c r="H4580" s="113" t="n"/>
      <c r="I4580" s="113" t="n"/>
      <c r="J4580" s="113" t="n"/>
      <c r="K4580" s="113" t="n"/>
      <c r="L4580" s="113" t="n"/>
      <c r="M4580" s="113" t="n"/>
      <c r="N4580" s="113" t="n"/>
      <c r="O4580" s="113" t="n"/>
      <c r="P4580" s="113" t="n"/>
      <c r="Q4580" s="113" t="n"/>
      <c r="R4580" s="113" t="n"/>
      <c r="S4580" s="113" t="n"/>
      <c r="T4580" s="113" t="n"/>
      <c r="U4580" s="113" t="n"/>
      <c r="V4580" s="113" t="n"/>
      <c r="W4580" s="113" t="n"/>
      <c r="X4580" s="113" t="n"/>
      <c r="Y4580" s="113" t="n"/>
      <c r="Z4580" s="117">
        <f>IF($B4580="",0,IF($S4580="EVET",IF($D4580="GELİR",$O4580,-$O4580),0))</f>
        <v/>
      </c>
      <c r="AA4580" s="117">
        <f>IF($B4580="",0,IF(OR($W4580="EVET",$X4580="EVET",$Y4580="EVET"),0,IF($D4580="GELİR",IF($E4580="SATIŞ İADESİ/İSKONTO",-$O4580,$O4580),-$O4580)))</f>
        <v/>
      </c>
      <c r="AB4580" s="117">
        <f>IF($B4580="","",IF(OR($D4580="",$E4580="",$O4580=""),"EKSİK",IF($O4580&lt;=0,"SIFIR/NEGATİF",IF(COUNTIFS($C$6:$C$5000,$C4580,$O$6:$O$5000,$O4580,$B$6:$B$5000,$B4580)&gt;1,"MÜKERRER","OK"))))</f>
        <v/>
      </c>
    </row>
    <row r="4581" ht="16.5" customHeight="1" s="80">
      <c r="A4581" s="113" t="n"/>
      <c r="B4581" s="113" t="n"/>
      <c r="C4581" s="113" t="n"/>
      <c r="D4581" s="113" t="n"/>
      <c r="E4581" s="113" t="n"/>
      <c r="F4581" s="113" t="n"/>
      <c r="G4581" s="113" t="n"/>
      <c r="H4581" s="113" t="n"/>
      <c r="I4581" s="113" t="n"/>
      <c r="J4581" s="113" t="n"/>
      <c r="K4581" s="113" t="n"/>
      <c r="L4581" s="113" t="n"/>
      <c r="M4581" s="113" t="n"/>
      <c r="N4581" s="113" t="n"/>
      <c r="O4581" s="113" t="n"/>
      <c r="P4581" s="113" t="n"/>
      <c r="Q4581" s="113" t="n"/>
      <c r="R4581" s="113" t="n"/>
      <c r="S4581" s="113" t="n"/>
      <c r="T4581" s="113" t="n"/>
      <c r="U4581" s="113" t="n"/>
      <c r="V4581" s="113" t="n"/>
      <c r="W4581" s="113" t="n"/>
      <c r="X4581" s="113" t="n"/>
      <c r="Y4581" s="113" t="n"/>
      <c r="Z4581" s="117">
        <f>IF($B4581="",0,IF($S4581="EVET",IF($D4581="GELİR",$O4581,-$O4581),0))</f>
        <v/>
      </c>
      <c r="AA4581" s="117">
        <f>IF($B4581="",0,IF(OR($W4581="EVET",$X4581="EVET",$Y4581="EVET"),0,IF($D4581="GELİR",IF($E4581="SATIŞ İADESİ/İSKONTO",-$O4581,$O4581),-$O4581)))</f>
        <v/>
      </c>
      <c r="AB4581" s="117">
        <f>IF($B4581="","",IF(OR($D4581="",$E4581="",$O4581=""),"EKSİK",IF($O4581&lt;=0,"SIFIR/NEGATİF",IF(COUNTIFS($C$6:$C$5000,$C4581,$O$6:$O$5000,$O4581,$B$6:$B$5000,$B4581)&gt;1,"MÜKERRER","OK"))))</f>
        <v/>
      </c>
    </row>
    <row r="4582" ht="16.5" customHeight="1" s="80">
      <c r="A4582" s="113" t="n"/>
      <c r="B4582" s="113" t="n"/>
      <c r="C4582" s="113" t="n"/>
      <c r="D4582" s="113" t="n"/>
      <c r="E4582" s="113" t="n"/>
      <c r="F4582" s="113" t="n"/>
      <c r="G4582" s="113" t="n"/>
      <c r="H4582" s="113" t="n"/>
      <c r="I4582" s="113" t="n"/>
      <c r="J4582" s="113" t="n"/>
      <c r="K4582" s="113" t="n"/>
      <c r="L4582" s="113" t="n"/>
      <c r="M4582" s="113" t="n"/>
      <c r="N4582" s="113" t="n"/>
      <c r="O4582" s="113" t="n"/>
      <c r="P4582" s="113" t="n"/>
      <c r="Q4582" s="113" t="n"/>
      <c r="R4582" s="113" t="n"/>
      <c r="S4582" s="113" t="n"/>
      <c r="T4582" s="113" t="n"/>
      <c r="U4582" s="113" t="n"/>
      <c r="V4582" s="113" t="n"/>
      <c r="W4582" s="113" t="n"/>
      <c r="X4582" s="113" t="n"/>
      <c r="Y4582" s="113" t="n"/>
      <c r="Z4582" s="117">
        <f>IF($B4582="",0,IF($S4582="EVET",IF($D4582="GELİR",$O4582,-$O4582),0))</f>
        <v/>
      </c>
      <c r="AA4582" s="117">
        <f>IF($B4582="",0,IF(OR($W4582="EVET",$X4582="EVET",$Y4582="EVET"),0,IF($D4582="GELİR",IF($E4582="SATIŞ İADESİ/İSKONTO",-$O4582,$O4582),-$O4582)))</f>
        <v/>
      </c>
      <c r="AB4582" s="117">
        <f>IF($B4582="","",IF(OR($D4582="",$E4582="",$O4582=""),"EKSİK",IF($O4582&lt;=0,"SIFIR/NEGATİF",IF(COUNTIFS($C$6:$C$5000,$C4582,$O$6:$O$5000,$O4582,$B$6:$B$5000,$B4582)&gt;1,"MÜKERRER","OK"))))</f>
        <v/>
      </c>
    </row>
    <row r="4583" ht="16.5" customHeight="1" s="80">
      <c r="A4583" s="113" t="n"/>
      <c r="B4583" s="113" t="n"/>
      <c r="C4583" s="113" t="n"/>
      <c r="D4583" s="113" t="n"/>
      <c r="E4583" s="113" t="n"/>
      <c r="F4583" s="113" t="n"/>
      <c r="G4583" s="113" t="n"/>
      <c r="H4583" s="113" t="n"/>
      <c r="I4583" s="113" t="n"/>
      <c r="J4583" s="113" t="n"/>
      <c r="K4583" s="113" t="n"/>
      <c r="L4583" s="113" t="n"/>
      <c r="M4583" s="113" t="n"/>
      <c r="N4583" s="113" t="n"/>
      <c r="O4583" s="113" t="n"/>
      <c r="P4583" s="113" t="n"/>
      <c r="Q4583" s="113" t="n"/>
      <c r="R4583" s="113" t="n"/>
      <c r="S4583" s="113" t="n"/>
      <c r="T4583" s="113" t="n"/>
      <c r="U4583" s="113" t="n"/>
      <c r="V4583" s="113" t="n"/>
      <c r="W4583" s="113" t="n"/>
      <c r="X4583" s="113" t="n"/>
      <c r="Y4583" s="113" t="n"/>
      <c r="Z4583" s="117">
        <f>IF($B4583="",0,IF($S4583="EVET",IF($D4583="GELİR",$O4583,-$O4583),0))</f>
        <v/>
      </c>
      <c r="AA4583" s="117">
        <f>IF($B4583="",0,IF(OR($W4583="EVET",$X4583="EVET",$Y4583="EVET"),0,IF($D4583="GELİR",IF($E4583="SATIŞ İADESİ/İSKONTO",-$O4583,$O4583),-$O4583)))</f>
        <v/>
      </c>
      <c r="AB4583" s="117">
        <f>IF($B4583="","",IF(OR($D4583="",$E4583="",$O4583=""),"EKSİK",IF($O4583&lt;=0,"SIFIR/NEGATİF",IF(COUNTIFS($C$6:$C$5000,$C4583,$O$6:$O$5000,$O4583,$B$6:$B$5000,$B4583)&gt;1,"MÜKERRER","OK"))))</f>
        <v/>
      </c>
    </row>
    <row r="4584" ht="16.5" customHeight="1" s="80">
      <c r="A4584" s="113" t="n"/>
      <c r="B4584" s="113" t="n"/>
      <c r="C4584" s="113" t="n"/>
      <c r="D4584" s="113" t="n"/>
      <c r="E4584" s="113" t="n"/>
      <c r="F4584" s="113" t="n"/>
      <c r="G4584" s="113" t="n"/>
      <c r="H4584" s="113" t="n"/>
      <c r="I4584" s="113" t="n"/>
      <c r="J4584" s="113" t="n"/>
      <c r="K4584" s="113" t="n"/>
      <c r="L4584" s="113" t="n"/>
      <c r="M4584" s="113" t="n"/>
      <c r="N4584" s="113" t="n"/>
      <c r="O4584" s="113" t="n"/>
      <c r="P4584" s="113" t="n"/>
      <c r="Q4584" s="113" t="n"/>
      <c r="R4584" s="113" t="n"/>
      <c r="S4584" s="113" t="n"/>
      <c r="T4584" s="113" t="n"/>
      <c r="U4584" s="113" t="n"/>
      <c r="V4584" s="113" t="n"/>
      <c r="W4584" s="113" t="n"/>
      <c r="X4584" s="113" t="n"/>
      <c r="Y4584" s="113" t="n"/>
      <c r="Z4584" s="117">
        <f>IF($B4584="",0,IF($S4584="EVET",IF($D4584="GELİR",$O4584,-$O4584),0))</f>
        <v/>
      </c>
      <c r="AA4584" s="117">
        <f>IF($B4584="",0,IF(OR($W4584="EVET",$X4584="EVET",$Y4584="EVET"),0,IF($D4584="GELİR",IF($E4584="SATIŞ İADESİ/İSKONTO",-$O4584,$O4584),-$O4584)))</f>
        <v/>
      </c>
      <c r="AB4584" s="117">
        <f>IF($B4584="","",IF(OR($D4584="",$E4584="",$O4584=""),"EKSİK",IF($O4584&lt;=0,"SIFIR/NEGATİF",IF(COUNTIFS($C$6:$C$5000,$C4584,$O$6:$O$5000,$O4584,$B$6:$B$5000,$B4584)&gt;1,"MÜKERRER","OK"))))</f>
        <v/>
      </c>
    </row>
    <row r="4585" ht="16.5" customHeight="1" s="80">
      <c r="A4585" s="113" t="n"/>
      <c r="B4585" s="113" t="n"/>
      <c r="C4585" s="113" t="n"/>
      <c r="D4585" s="113" t="n"/>
      <c r="E4585" s="113" t="n"/>
      <c r="F4585" s="113" t="n"/>
      <c r="G4585" s="113" t="n"/>
      <c r="H4585" s="113" t="n"/>
      <c r="I4585" s="113" t="n"/>
      <c r="J4585" s="113" t="n"/>
      <c r="K4585" s="113" t="n"/>
      <c r="L4585" s="113" t="n"/>
      <c r="M4585" s="113" t="n"/>
      <c r="N4585" s="113" t="n"/>
      <c r="O4585" s="113" t="n"/>
      <c r="P4585" s="113" t="n"/>
      <c r="Q4585" s="113" t="n"/>
      <c r="R4585" s="113" t="n"/>
      <c r="S4585" s="113" t="n"/>
      <c r="T4585" s="113" t="n"/>
      <c r="U4585" s="113" t="n"/>
      <c r="V4585" s="113" t="n"/>
      <c r="W4585" s="113" t="n"/>
      <c r="X4585" s="113" t="n"/>
      <c r="Y4585" s="113" t="n"/>
      <c r="Z4585" s="117">
        <f>IF($B4585="",0,IF($S4585="EVET",IF($D4585="GELİR",$O4585,-$O4585),0))</f>
        <v/>
      </c>
      <c r="AA4585" s="117">
        <f>IF($B4585="",0,IF(OR($W4585="EVET",$X4585="EVET",$Y4585="EVET"),0,IF($D4585="GELİR",IF($E4585="SATIŞ İADESİ/İSKONTO",-$O4585,$O4585),-$O4585)))</f>
        <v/>
      </c>
      <c r="AB4585" s="117">
        <f>IF($B4585="","",IF(OR($D4585="",$E4585="",$O4585=""),"EKSİK",IF($O4585&lt;=0,"SIFIR/NEGATİF",IF(COUNTIFS($C$6:$C$5000,$C4585,$O$6:$O$5000,$O4585,$B$6:$B$5000,$B4585)&gt;1,"MÜKERRER","OK"))))</f>
        <v/>
      </c>
    </row>
    <row r="4586" ht="16.5" customHeight="1" s="80">
      <c r="A4586" s="113" t="n"/>
      <c r="B4586" s="113" t="n"/>
      <c r="C4586" s="113" t="n"/>
      <c r="D4586" s="113" t="n"/>
      <c r="E4586" s="113" t="n"/>
      <c r="F4586" s="113" t="n"/>
      <c r="G4586" s="113" t="n"/>
      <c r="H4586" s="113" t="n"/>
      <c r="I4586" s="113" t="n"/>
      <c r="J4586" s="113" t="n"/>
      <c r="K4586" s="113" t="n"/>
      <c r="L4586" s="113" t="n"/>
      <c r="M4586" s="113" t="n"/>
      <c r="N4586" s="113" t="n"/>
      <c r="O4586" s="113" t="n"/>
      <c r="P4586" s="113" t="n"/>
      <c r="Q4586" s="113" t="n"/>
      <c r="R4586" s="113" t="n"/>
      <c r="S4586" s="113" t="n"/>
      <c r="T4586" s="113" t="n"/>
      <c r="U4586" s="113" t="n"/>
      <c r="V4586" s="113" t="n"/>
      <c r="W4586" s="113" t="n"/>
      <c r="X4586" s="113" t="n"/>
      <c r="Y4586" s="113" t="n"/>
      <c r="Z4586" s="117">
        <f>IF($B4586="",0,IF($S4586="EVET",IF($D4586="GELİR",$O4586,-$O4586),0))</f>
        <v/>
      </c>
      <c r="AA4586" s="117">
        <f>IF($B4586="",0,IF(OR($W4586="EVET",$X4586="EVET",$Y4586="EVET"),0,IF($D4586="GELİR",IF($E4586="SATIŞ İADESİ/İSKONTO",-$O4586,$O4586),-$O4586)))</f>
        <v/>
      </c>
      <c r="AB4586" s="117">
        <f>IF($B4586="","",IF(OR($D4586="",$E4586="",$O4586=""),"EKSİK",IF($O4586&lt;=0,"SIFIR/NEGATİF",IF(COUNTIFS($C$6:$C$5000,$C4586,$O$6:$O$5000,$O4586,$B$6:$B$5000,$B4586)&gt;1,"MÜKERRER","OK"))))</f>
        <v/>
      </c>
    </row>
    <row r="4587" ht="16.5" customHeight="1" s="80">
      <c r="A4587" s="113" t="n"/>
      <c r="B4587" s="113" t="n"/>
      <c r="C4587" s="113" t="n"/>
      <c r="D4587" s="113" t="n"/>
      <c r="E4587" s="113" t="n"/>
      <c r="F4587" s="113" t="n"/>
      <c r="G4587" s="113" t="n"/>
      <c r="H4587" s="113" t="n"/>
      <c r="I4587" s="113" t="n"/>
      <c r="J4587" s="113" t="n"/>
      <c r="K4587" s="113" t="n"/>
      <c r="L4587" s="113" t="n"/>
      <c r="M4587" s="113" t="n"/>
      <c r="N4587" s="113" t="n"/>
      <c r="O4587" s="113" t="n"/>
      <c r="P4587" s="113" t="n"/>
      <c r="Q4587" s="113" t="n"/>
      <c r="R4587" s="113" t="n"/>
      <c r="S4587" s="113" t="n"/>
      <c r="T4587" s="113" t="n"/>
      <c r="U4587" s="113" t="n"/>
      <c r="V4587" s="113" t="n"/>
      <c r="W4587" s="113" t="n"/>
      <c r="X4587" s="113" t="n"/>
      <c r="Y4587" s="113" t="n"/>
      <c r="Z4587" s="117">
        <f>IF($B4587="",0,IF($S4587="EVET",IF($D4587="GELİR",$O4587,-$O4587),0))</f>
        <v/>
      </c>
      <c r="AA4587" s="117">
        <f>IF($B4587="",0,IF(OR($W4587="EVET",$X4587="EVET",$Y4587="EVET"),0,IF($D4587="GELİR",IF($E4587="SATIŞ İADESİ/İSKONTO",-$O4587,$O4587),-$O4587)))</f>
        <v/>
      </c>
      <c r="AB4587" s="117">
        <f>IF($B4587="","",IF(OR($D4587="",$E4587="",$O4587=""),"EKSİK",IF($O4587&lt;=0,"SIFIR/NEGATİF",IF(COUNTIFS($C$6:$C$5000,$C4587,$O$6:$O$5000,$O4587,$B$6:$B$5000,$B4587)&gt;1,"MÜKERRER","OK"))))</f>
        <v/>
      </c>
    </row>
    <row r="4588" ht="16.5" customHeight="1" s="80">
      <c r="A4588" s="113" t="n"/>
      <c r="B4588" s="113" t="n"/>
      <c r="C4588" s="113" t="n"/>
      <c r="D4588" s="113" t="n"/>
      <c r="E4588" s="113" t="n"/>
      <c r="F4588" s="113" t="n"/>
      <c r="G4588" s="113" t="n"/>
      <c r="H4588" s="113" t="n"/>
      <c r="I4588" s="113" t="n"/>
      <c r="J4588" s="113" t="n"/>
      <c r="K4588" s="113" t="n"/>
      <c r="L4588" s="113" t="n"/>
      <c r="M4588" s="113" t="n"/>
      <c r="N4588" s="113" t="n"/>
      <c r="O4588" s="113" t="n"/>
      <c r="P4588" s="113" t="n"/>
      <c r="Q4588" s="113" t="n"/>
      <c r="R4588" s="113" t="n"/>
      <c r="S4588" s="113" t="n"/>
      <c r="T4588" s="113" t="n"/>
      <c r="U4588" s="113" t="n"/>
      <c r="V4588" s="113" t="n"/>
      <c r="W4588" s="113" t="n"/>
      <c r="X4588" s="113" t="n"/>
      <c r="Y4588" s="113" t="n"/>
      <c r="Z4588" s="117">
        <f>IF($B4588="",0,IF($S4588="EVET",IF($D4588="GELİR",$O4588,-$O4588),0))</f>
        <v/>
      </c>
      <c r="AA4588" s="117">
        <f>IF($B4588="",0,IF(OR($W4588="EVET",$X4588="EVET",$Y4588="EVET"),0,IF($D4588="GELİR",IF($E4588="SATIŞ İADESİ/İSKONTO",-$O4588,$O4588),-$O4588)))</f>
        <v/>
      </c>
      <c r="AB4588" s="117">
        <f>IF($B4588="","",IF(OR($D4588="",$E4588="",$O4588=""),"EKSİK",IF($O4588&lt;=0,"SIFIR/NEGATİF",IF(COUNTIFS($C$6:$C$5000,$C4588,$O$6:$O$5000,$O4588,$B$6:$B$5000,$B4588)&gt;1,"MÜKERRER","OK"))))</f>
        <v/>
      </c>
    </row>
    <row r="4589" ht="16.5" customHeight="1" s="80">
      <c r="A4589" s="113" t="n"/>
      <c r="B4589" s="113" t="n"/>
      <c r="C4589" s="113" t="n"/>
      <c r="D4589" s="113" t="n"/>
      <c r="E4589" s="113" t="n"/>
      <c r="F4589" s="113" t="n"/>
      <c r="G4589" s="113" t="n"/>
      <c r="H4589" s="113" t="n"/>
      <c r="I4589" s="113" t="n"/>
      <c r="J4589" s="113" t="n"/>
      <c r="K4589" s="113" t="n"/>
      <c r="L4589" s="113" t="n"/>
      <c r="M4589" s="113" t="n"/>
      <c r="N4589" s="113" t="n"/>
      <c r="O4589" s="113" t="n"/>
      <c r="P4589" s="113" t="n"/>
      <c r="Q4589" s="113" t="n"/>
      <c r="R4589" s="113" t="n"/>
      <c r="S4589" s="113" t="n"/>
      <c r="T4589" s="113" t="n"/>
      <c r="U4589" s="113" t="n"/>
      <c r="V4589" s="113" t="n"/>
      <c r="W4589" s="113" t="n"/>
      <c r="X4589" s="113" t="n"/>
      <c r="Y4589" s="113" t="n"/>
      <c r="Z4589" s="117">
        <f>IF($B4589="",0,IF($S4589="EVET",IF($D4589="GELİR",$O4589,-$O4589),0))</f>
        <v/>
      </c>
      <c r="AA4589" s="117">
        <f>IF($B4589="",0,IF(OR($W4589="EVET",$X4589="EVET",$Y4589="EVET"),0,IF($D4589="GELİR",IF($E4589="SATIŞ İADESİ/İSKONTO",-$O4589,$O4589),-$O4589)))</f>
        <v/>
      </c>
      <c r="AB4589" s="117">
        <f>IF($B4589="","",IF(OR($D4589="",$E4589="",$O4589=""),"EKSİK",IF($O4589&lt;=0,"SIFIR/NEGATİF",IF(COUNTIFS($C$6:$C$5000,$C4589,$O$6:$O$5000,$O4589,$B$6:$B$5000,$B4589)&gt;1,"MÜKERRER","OK"))))</f>
        <v/>
      </c>
    </row>
    <row r="4590" ht="16.5" customHeight="1" s="80">
      <c r="A4590" s="113" t="n"/>
      <c r="B4590" s="113" t="n"/>
      <c r="C4590" s="113" t="n"/>
      <c r="D4590" s="113" t="n"/>
      <c r="E4590" s="113" t="n"/>
      <c r="F4590" s="113" t="n"/>
      <c r="G4590" s="113" t="n"/>
      <c r="H4590" s="113" t="n"/>
      <c r="I4590" s="113" t="n"/>
      <c r="J4590" s="113" t="n"/>
      <c r="K4590" s="113" t="n"/>
      <c r="L4590" s="113" t="n"/>
      <c r="M4590" s="113" t="n"/>
      <c r="N4590" s="113" t="n"/>
      <c r="O4590" s="113" t="n"/>
      <c r="P4590" s="113" t="n"/>
      <c r="Q4590" s="113" t="n"/>
      <c r="R4590" s="113" t="n"/>
      <c r="S4590" s="113" t="n"/>
      <c r="T4590" s="113" t="n"/>
      <c r="U4590" s="113" t="n"/>
      <c r="V4590" s="113" t="n"/>
      <c r="W4590" s="113" t="n"/>
      <c r="X4590" s="113" t="n"/>
      <c r="Y4590" s="113" t="n"/>
      <c r="Z4590" s="117">
        <f>IF($B4590="",0,IF($S4590="EVET",IF($D4590="GELİR",$O4590,-$O4590),0))</f>
        <v/>
      </c>
      <c r="AA4590" s="117">
        <f>IF($B4590="",0,IF(OR($W4590="EVET",$X4590="EVET",$Y4590="EVET"),0,IF($D4590="GELİR",IF($E4590="SATIŞ İADESİ/İSKONTO",-$O4590,$O4590),-$O4590)))</f>
        <v/>
      </c>
      <c r="AB4590" s="117">
        <f>IF($B4590="","",IF(OR($D4590="",$E4590="",$O4590=""),"EKSİK",IF($O4590&lt;=0,"SIFIR/NEGATİF",IF(COUNTIFS($C$6:$C$5000,$C4590,$O$6:$O$5000,$O4590,$B$6:$B$5000,$B4590)&gt;1,"MÜKERRER","OK"))))</f>
        <v/>
      </c>
    </row>
    <row r="4591" ht="16.5" customHeight="1" s="80">
      <c r="A4591" s="113" t="n"/>
      <c r="B4591" s="113" t="n"/>
      <c r="C4591" s="113" t="n"/>
      <c r="D4591" s="113" t="n"/>
      <c r="E4591" s="113" t="n"/>
      <c r="F4591" s="113" t="n"/>
      <c r="G4591" s="113" t="n"/>
      <c r="H4591" s="113" t="n"/>
      <c r="I4591" s="113" t="n"/>
      <c r="J4591" s="113" t="n"/>
      <c r="K4591" s="113" t="n"/>
      <c r="L4591" s="113" t="n"/>
      <c r="M4591" s="113" t="n"/>
      <c r="N4591" s="113" t="n"/>
      <c r="O4591" s="113" t="n"/>
      <c r="P4591" s="113" t="n"/>
      <c r="Q4591" s="113" t="n"/>
      <c r="R4591" s="113" t="n"/>
      <c r="S4591" s="113" t="n"/>
      <c r="T4591" s="113" t="n"/>
      <c r="U4591" s="113" t="n"/>
      <c r="V4591" s="113" t="n"/>
      <c r="W4591" s="113" t="n"/>
      <c r="X4591" s="113" t="n"/>
      <c r="Y4591" s="113" t="n"/>
      <c r="Z4591" s="117">
        <f>IF($B4591="",0,IF($S4591="EVET",IF($D4591="GELİR",$O4591,-$O4591),0))</f>
        <v/>
      </c>
      <c r="AA4591" s="117">
        <f>IF($B4591="",0,IF(OR($W4591="EVET",$X4591="EVET",$Y4591="EVET"),0,IF($D4591="GELİR",IF($E4591="SATIŞ İADESİ/İSKONTO",-$O4591,$O4591),-$O4591)))</f>
        <v/>
      </c>
      <c r="AB4591" s="117">
        <f>IF($B4591="","",IF(OR($D4591="",$E4591="",$O4591=""),"EKSİK",IF($O4591&lt;=0,"SIFIR/NEGATİF",IF(COUNTIFS($C$6:$C$5000,$C4591,$O$6:$O$5000,$O4591,$B$6:$B$5000,$B4591)&gt;1,"MÜKERRER","OK"))))</f>
        <v/>
      </c>
    </row>
    <row r="4592" ht="16.5" customHeight="1" s="80">
      <c r="A4592" s="113" t="n"/>
      <c r="B4592" s="113" t="n"/>
      <c r="C4592" s="113" t="n"/>
      <c r="D4592" s="113" t="n"/>
      <c r="E4592" s="113" t="n"/>
      <c r="F4592" s="113" t="n"/>
      <c r="G4592" s="113" t="n"/>
      <c r="H4592" s="113" t="n"/>
      <c r="I4592" s="113" t="n"/>
      <c r="J4592" s="113" t="n"/>
      <c r="K4592" s="113" t="n"/>
      <c r="L4592" s="113" t="n"/>
      <c r="M4592" s="113" t="n"/>
      <c r="N4592" s="113" t="n"/>
      <c r="O4592" s="113" t="n"/>
      <c r="P4592" s="113" t="n"/>
      <c r="Q4592" s="113" t="n"/>
      <c r="R4592" s="113" t="n"/>
      <c r="S4592" s="113" t="n"/>
      <c r="T4592" s="113" t="n"/>
      <c r="U4592" s="113" t="n"/>
      <c r="V4592" s="113" t="n"/>
      <c r="W4592" s="113" t="n"/>
      <c r="X4592" s="113" t="n"/>
      <c r="Y4592" s="113" t="n"/>
      <c r="Z4592" s="117">
        <f>IF($B4592="",0,IF($S4592="EVET",IF($D4592="GELİR",$O4592,-$O4592),0))</f>
        <v/>
      </c>
      <c r="AA4592" s="117">
        <f>IF($B4592="",0,IF(OR($W4592="EVET",$X4592="EVET",$Y4592="EVET"),0,IF($D4592="GELİR",IF($E4592="SATIŞ İADESİ/İSKONTO",-$O4592,$O4592),-$O4592)))</f>
        <v/>
      </c>
      <c r="AB4592" s="117">
        <f>IF($B4592="","",IF(OR($D4592="",$E4592="",$O4592=""),"EKSİK",IF($O4592&lt;=0,"SIFIR/NEGATİF",IF(COUNTIFS($C$6:$C$5000,$C4592,$O$6:$O$5000,$O4592,$B$6:$B$5000,$B4592)&gt;1,"MÜKERRER","OK"))))</f>
        <v/>
      </c>
    </row>
    <row r="4593" ht="16.5" customHeight="1" s="80">
      <c r="A4593" s="113" t="n"/>
      <c r="B4593" s="113" t="n"/>
      <c r="C4593" s="113" t="n"/>
      <c r="D4593" s="113" t="n"/>
      <c r="E4593" s="113" t="n"/>
      <c r="F4593" s="113" t="n"/>
      <c r="G4593" s="113" t="n"/>
      <c r="H4593" s="113" t="n"/>
      <c r="I4593" s="113" t="n"/>
      <c r="J4593" s="113" t="n"/>
      <c r="K4593" s="113" t="n"/>
      <c r="L4593" s="113" t="n"/>
      <c r="M4593" s="113" t="n"/>
      <c r="N4593" s="113" t="n"/>
      <c r="O4593" s="113" t="n"/>
      <c r="P4593" s="113" t="n"/>
      <c r="Q4593" s="113" t="n"/>
      <c r="R4593" s="113" t="n"/>
      <c r="S4593" s="113" t="n"/>
      <c r="T4593" s="113" t="n"/>
      <c r="U4593" s="113" t="n"/>
      <c r="V4593" s="113" t="n"/>
      <c r="W4593" s="113" t="n"/>
      <c r="X4593" s="113" t="n"/>
      <c r="Y4593" s="113" t="n"/>
      <c r="Z4593" s="117">
        <f>IF($B4593="",0,IF($S4593="EVET",IF($D4593="GELİR",$O4593,-$O4593),0))</f>
        <v/>
      </c>
      <c r="AA4593" s="117">
        <f>IF($B4593="",0,IF(OR($W4593="EVET",$X4593="EVET",$Y4593="EVET"),0,IF($D4593="GELİR",IF($E4593="SATIŞ İADESİ/İSKONTO",-$O4593,$O4593),-$O4593)))</f>
        <v/>
      </c>
      <c r="AB4593" s="117">
        <f>IF($B4593="","",IF(OR($D4593="",$E4593="",$O4593=""),"EKSİK",IF($O4593&lt;=0,"SIFIR/NEGATİF",IF(COUNTIFS($C$6:$C$5000,$C4593,$O$6:$O$5000,$O4593,$B$6:$B$5000,$B4593)&gt;1,"MÜKERRER","OK"))))</f>
        <v/>
      </c>
    </row>
    <row r="4594" ht="16.5" customHeight="1" s="80">
      <c r="A4594" s="113" t="n"/>
      <c r="B4594" s="113" t="n"/>
      <c r="C4594" s="113" t="n"/>
      <c r="D4594" s="113" t="n"/>
      <c r="E4594" s="113" t="n"/>
      <c r="F4594" s="113" t="n"/>
      <c r="G4594" s="113" t="n"/>
      <c r="H4594" s="113" t="n"/>
      <c r="I4594" s="113" t="n"/>
      <c r="J4594" s="113" t="n"/>
      <c r="K4594" s="113" t="n"/>
      <c r="L4594" s="113" t="n"/>
      <c r="M4594" s="113" t="n"/>
      <c r="N4594" s="113" t="n"/>
      <c r="O4594" s="113" t="n"/>
      <c r="P4594" s="113" t="n"/>
      <c r="Q4594" s="113" t="n"/>
      <c r="R4594" s="113" t="n"/>
      <c r="S4594" s="113" t="n"/>
      <c r="T4594" s="113" t="n"/>
      <c r="U4594" s="113" t="n"/>
      <c r="V4594" s="113" t="n"/>
      <c r="W4594" s="113" t="n"/>
      <c r="X4594" s="113" t="n"/>
      <c r="Y4594" s="113" t="n"/>
      <c r="Z4594" s="117">
        <f>IF($B4594="",0,IF($S4594="EVET",IF($D4594="GELİR",$O4594,-$O4594),0))</f>
        <v/>
      </c>
      <c r="AA4594" s="117">
        <f>IF($B4594="",0,IF(OR($W4594="EVET",$X4594="EVET",$Y4594="EVET"),0,IF($D4594="GELİR",IF($E4594="SATIŞ İADESİ/İSKONTO",-$O4594,$O4594),-$O4594)))</f>
        <v/>
      </c>
      <c r="AB4594" s="117">
        <f>IF($B4594="","",IF(OR($D4594="",$E4594="",$O4594=""),"EKSİK",IF($O4594&lt;=0,"SIFIR/NEGATİF",IF(COUNTIFS($C$6:$C$5000,$C4594,$O$6:$O$5000,$O4594,$B$6:$B$5000,$B4594)&gt;1,"MÜKERRER","OK"))))</f>
        <v/>
      </c>
    </row>
    <row r="4595" ht="16.5" customHeight="1" s="80">
      <c r="A4595" s="113" t="n"/>
      <c r="B4595" s="113" t="n"/>
      <c r="C4595" s="113" t="n"/>
      <c r="D4595" s="113" t="n"/>
      <c r="E4595" s="113" t="n"/>
      <c r="F4595" s="113" t="n"/>
      <c r="G4595" s="113" t="n"/>
      <c r="H4595" s="113" t="n"/>
      <c r="I4595" s="113" t="n"/>
      <c r="J4595" s="113" t="n"/>
      <c r="K4595" s="113" t="n"/>
      <c r="L4595" s="113" t="n"/>
      <c r="M4595" s="113" t="n"/>
      <c r="N4595" s="113" t="n"/>
      <c r="O4595" s="113" t="n"/>
      <c r="P4595" s="113" t="n"/>
      <c r="Q4595" s="113" t="n"/>
      <c r="R4595" s="113" t="n"/>
      <c r="S4595" s="113" t="n"/>
      <c r="T4595" s="113" t="n"/>
      <c r="U4595" s="113" t="n"/>
      <c r="V4595" s="113" t="n"/>
      <c r="W4595" s="113" t="n"/>
      <c r="X4595" s="113" t="n"/>
      <c r="Y4595" s="113" t="n"/>
      <c r="Z4595" s="117">
        <f>IF($B4595="",0,IF($S4595="EVET",IF($D4595="GELİR",$O4595,-$O4595),0))</f>
        <v/>
      </c>
      <c r="AA4595" s="117">
        <f>IF($B4595="",0,IF(OR($W4595="EVET",$X4595="EVET",$Y4595="EVET"),0,IF($D4595="GELİR",IF($E4595="SATIŞ İADESİ/İSKONTO",-$O4595,$O4595),-$O4595)))</f>
        <v/>
      </c>
      <c r="AB4595" s="117">
        <f>IF($B4595="","",IF(OR($D4595="",$E4595="",$O4595=""),"EKSİK",IF($O4595&lt;=0,"SIFIR/NEGATİF",IF(COUNTIFS($C$6:$C$5000,$C4595,$O$6:$O$5000,$O4595,$B$6:$B$5000,$B4595)&gt;1,"MÜKERRER","OK"))))</f>
        <v/>
      </c>
    </row>
    <row r="4596" ht="16.5" customHeight="1" s="80">
      <c r="A4596" s="113" t="n"/>
      <c r="B4596" s="113" t="n"/>
      <c r="C4596" s="113" t="n"/>
      <c r="D4596" s="113" t="n"/>
      <c r="E4596" s="113" t="n"/>
      <c r="F4596" s="113" t="n"/>
      <c r="G4596" s="113" t="n"/>
      <c r="H4596" s="113" t="n"/>
      <c r="I4596" s="113" t="n"/>
      <c r="J4596" s="113" t="n"/>
      <c r="K4596" s="113" t="n"/>
      <c r="L4596" s="113" t="n"/>
      <c r="M4596" s="113" t="n"/>
      <c r="N4596" s="113" t="n"/>
      <c r="O4596" s="113" t="n"/>
      <c r="P4596" s="113" t="n"/>
      <c r="Q4596" s="113" t="n"/>
      <c r="R4596" s="113" t="n"/>
      <c r="S4596" s="113" t="n"/>
      <c r="T4596" s="113" t="n"/>
      <c r="U4596" s="113" t="n"/>
      <c r="V4596" s="113" t="n"/>
      <c r="W4596" s="113" t="n"/>
      <c r="X4596" s="113" t="n"/>
      <c r="Y4596" s="113" t="n"/>
      <c r="Z4596" s="117">
        <f>IF($B4596="",0,IF($S4596="EVET",IF($D4596="GELİR",$O4596,-$O4596),0))</f>
        <v/>
      </c>
      <c r="AA4596" s="117">
        <f>IF($B4596="",0,IF(OR($W4596="EVET",$X4596="EVET",$Y4596="EVET"),0,IF($D4596="GELİR",IF($E4596="SATIŞ İADESİ/İSKONTO",-$O4596,$O4596),-$O4596)))</f>
        <v/>
      </c>
      <c r="AB4596" s="117">
        <f>IF($B4596="","",IF(OR($D4596="",$E4596="",$O4596=""),"EKSİK",IF($O4596&lt;=0,"SIFIR/NEGATİF",IF(COUNTIFS($C$6:$C$5000,$C4596,$O$6:$O$5000,$O4596,$B$6:$B$5000,$B4596)&gt;1,"MÜKERRER","OK"))))</f>
        <v/>
      </c>
    </row>
    <row r="4597" ht="16.5" customHeight="1" s="80">
      <c r="A4597" s="113" t="n"/>
      <c r="B4597" s="113" t="n"/>
      <c r="C4597" s="113" t="n"/>
      <c r="D4597" s="113" t="n"/>
      <c r="E4597" s="113" t="n"/>
      <c r="F4597" s="113" t="n"/>
      <c r="G4597" s="113" t="n"/>
      <c r="H4597" s="113" t="n"/>
      <c r="I4597" s="113" t="n"/>
      <c r="J4597" s="113" t="n"/>
      <c r="K4597" s="113" t="n"/>
      <c r="L4597" s="113" t="n"/>
      <c r="M4597" s="113" t="n"/>
      <c r="N4597" s="113" t="n"/>
      <c r="O4597" s="113" t="n"/>
      <c r="P4597" s="113" t="n"/>
      <c r="Q4597" s="113" t="n"/>
      <c r="R4597" s="113" t="n"/>
      <c r="S4597" s="113" t="n"/>
      <c r="T4597" s="113" t="n"/>
      <c r="U4597" s="113" t="n"/>
      <c r="V4597" s="113" t="n"/>
      <c r="W4597" s="113" t="n"/>
      <c r="X4597" s="113" t="n"/>
      <c r="Y4597" s="113" t="n"/>
      <c r="Z4597" s="117">
        <f>IF($B4597="",0,IF($S4597="EVET",IF($D4597="GELİR",$O4597,-$O4597),0))</f>
        <v/>
      </c>
      <c r="AA4597" s="117">
        <f>IF($B4597="",0,IF(OR($W4597="EVET",$X4597="EVET",$Y4597="EVET"),0,IF($D4597="GELİR",IF($E4597="SATIŞ İADESİ/İSKONTO",-$O4597,$O4597),-$O4597)))</f>
        <v/>
      </c>
      <c r="AB4597" s="117">
        <f>IF($B4597="","",IF(OR($D4597="",$E4597="",$O4597=""),"EKSİK",IF($O4597&lt;=0,"SIFIR/NEGATİF",IF(COUNTIFS($C$6:$C$5000,$C4597,$O$6:$O$5000,$O4597,$B$6:$B$5000,$B4597)&gt;1,"MÜKERRER","OK"))))</f>
        <v/>
      </c>
    </row>
    <row r="4598" ht="16.5" customHeight="1" s="80">
      <c r="A4598" s="113" t="n"/>
      <c r="B4598" s="113" t="n"/>
      <c r="C4598" s="113" t="n"/>
      <c r="D4598" s="113" t="n"/>
      <c r="E4598" s="113" t="n"/>
      <c r="F4598" s="113" t="n"/>
      <c r="G4598" s="113" t="n"/>
      <c r="H4598" s="113" t="n"/>
      <c r="I4598" s="113" t="n"/>
      <c r="J4598" s="113" t="n"/>
      <c r="K4598" s="113" t="n"/>
      <c r="L4598" s="113" t="n"/>
      <c r="M4598" s="113" t="n"/>
      <c r="N4598" s="113" t="n"/>
      <c r="O4598" s="113" t="n"/>
      <c r="P4598" s="113" t="n"/>
      <c r="Q4598" s="113" t="n"/>
      <c r="R4598" s="113" t="n"/>
      <c r="S4598" s="113" t="n"/>
      <c r="T4598" s="113" t="n"/>
      <c r="U4598" s="113" t="n"/>
      <c r="V4598" s="113" t="n"/>
      <c r="W4598" s="113" t="n"/>
      <c r="X4598" s="113" t="n"/>
      <c r="Y4598" s="113" t="n"/>
      <c r="Z4598" s="117">
        <f>IF($B4598="",0,IF($S4598="EVET",IF($D4598="GELİR",$O4598,-$O4598),0))</f>
        <v/>
      </c>
      <c r="AA4598" s="117">
        <f>IF($B4598="",0,IF(OR($W4598="EVET",$X4598="EVET",$Y4598="EVET"),0,IF($D4598="GELİR",IF($E4598="SATIŞ İADESİ/İSKONTO",-$O4598,$O4598),-$O4598)))</f>
        <v/>
      </c>
      <c r="AB4598" s="117">
        <f>IF($B4598="","",IF(OR($D4598="",$E4598="",$O4598=""),"EKSİK",IF($O4598&lt;=0,"SIFIR/NEGATİF",IF(COUNTIFS($C$6:$C$5000,$C4598,$O$6:$O$5000,$O4598,$B$6:$B$5000,$B4598)&gt;1,"MÜKERRER","OK"))))</f>
        <v/>
      </c>
    </row>
    <row r="4599" ht="16.5" customHeight="1" s="80">
      <c r="A4599" s="113" t="n"/>
      <c r="B4599" s="113" t="n"/>
      <c r="C4599" s="113" t="n"/>
      <c r="D4599" s="113" t="n"/>
      <c r="E4599" s="113" t="n"/>
      <c r="F4599" s="113" t="n"/>
      <c r="G4599" s="113" t="n"/>
      <c r="H4599" s="113" t="n"/>
      <c r="I4599" s="113" t="n"/>
      <c r="J4599" s="113" t="n"/>
      <c r="K4599" s="113" t="n"/>
      <c r="L4599" s="113" t="n"/>
      <c r="M4599" s="113" t="n"/>
      <c r="N4599" s="113" t="n"/>
      <c r="O4599" s="113" t="n"/>
      <c r="P4599" s="113" t="n"/>
      <c r="Q4599" s="113" t="n"/>
      <c r="R4599" s="113" t="n"/>
      <c r="S4599" s="113" t="n"/>
      <c r="T4599" s="113" t="n"/>
      <c r="U4599" s="113" t="n"/>
      <c r="V4599" s="113" t="n"/>
      <c r="W4599" s="113" t="n"/>
      <c r="X4599" s="113" t="n"/>
      <c r="Y4599" s="113" t="n"/>
      <c r="Z4599" s="117">
        <f>IF($B4599="",0,IF($S4599="EVET",IF($D4599="GELİR",$O4599,-$O4599),0))</f>
        <v/>
      </c>
      <c r="AA4599" s="117">
        <f>IF($B4599="",0,IF(OR($W4599="EVET",$X4599="EVET",$Y4599="EVET"),0,IF($D4599="GELİR",IF($E4599="SATIŞ İADESİ/İSKONTO",-$O4599,$O4599),-$O4599)))</f>
        <v/>
      </c>
      <c r="AB4599" s="117">
        <f>IF($B4599="","",IF(OR($D4599="",$E4599="",$O4599=""),"EKSİK",IF($O4599&lt;=0,"SIFIR/NEGATİF",IF(COUNTIFS($C$6:$C$5000,$C4599,$O$6:$O$5000,$O4599,$B$6:$B$5000,$B4599)&gt;1,"MÜKERRER","OK"))))</f>
        <v/>
      </c>
    </row>
    <row r="4600" ht="16.5" customHeight="1" s="80">
      <c r="A4600" s="113" t="n"/>
      <c r="B4600" s="113" t="n"/>
      <c r="C4600" s="113" t="n"/>
      <c r="D4600" s="113" t="n"/>
      <c r="E4600" s="113" t="n"/>
      <c r="F4600" s="113" t="n"/>
      <c r="G4600" s="113" t="n"/>
      <c r="H4600" s="113" t="n"/>
      <c r="I4600" s="113" t="n"/>
      <c r="J4600" s="113" t="n"/>
      <c r="K4600" s="113" t="n"/>
      <c r="L4600" s="113" t="n"/>
      <c r="M4600" s="113" t="n"/>
      <c r="N4600" s="113" t="n"/>
      <c r="O4600" s="113" t="n"/>
      <c r="P4600" s="113" t="n"/>
      <c r="Q4600" s="113" t="n"/>
      <c r="R4600" s="113" t="n"/>
      <c r="S4600" s="113" t="n"/>
      <c r="T4600" s="113" t="n"/>
      <c r="U4600" s="113" t="n"/>
      <c r="V4600" s="113" t="n"/>
      <c r="W4600" s="113" t="n"/>
      <c r="X4600" s="113" t="n"/>
      <c r="Y4600" s="113" t="n"/>
      <c r="Z4600" s="117">
        <f>IF($B4600="",0,IF($S4600="EVET",IF($D4600="GELİR",$O4600,-$O4600),0))</f>
        <v/>
      </c>
      <c r="AA4600" s="117">
        <f>IF($B4600="",0,IF(OR($W4600="EVET",$X4600="EVET",$Y4600="EVET"),0,IF($D4600="GELİR",IF($E4600="SATIŞ İADESİ/İSKONTO",-$O4600,$O4600),-$O4600)))</f>
        <v/>
      </c>
      <c r="AB4600" s="117">
        <f>IF($B4600="","",IF(OR($D4600="",$E4600="",$O4600=""),"EKSİK",IF($O4600&lt;=0,"SIFIR/NEGATİF",IF(COUNTIFS($C$6:$C$5000,$C4600,$O$6:$O$5000,$O4600,$B$6:$B$5000,$B4600)&gt;1,"MÜKERRER","OK"))))</f>
        <v/>
      </c>
    </row>
    <row r="4601" ht="16.5" customHeight="1" s="80">
      <c r="A4601" s="113" t="n"/>
      <c r="B4601" s="113" t="n"/>
      <c r="C4601" s="113" t="n"/>
      <c r="D4601" s="113" t="n"/>
      <c r="E4601" s="113" t="n"/>
      <c r="F4601" s="113" t="n"/>
      <c r="G4601" s="113" t="n"/>
      <c r="H4601" s="113" t="n"/>
      <c r="I4601" s="113" t="n"/>
      <c r="J4601" s="113" t="n"/>
      <c r="K4601" s="113" t="n"/>
      <c r="L4601" s="113" t="n"/>
      <c r="M4601" s="113" t="n"/>
      <c r="N4601" s="113" t="n"/>
      <c r="O4601" s="113" t="n"/>
      <c r="P4601" s="113" t="n"/>
      <c r="Q4601" s="113" t="n"/>
      <c r="R4601" s="113" t="n"/>
      <c r="S4601" s="113" t="n"/>
      <c r="T4601" s="113" t="n"/>
      <c r="U4601" s="113" t="n"/>
      <c r="V4601" s="113" t="n"/>
      <c r="W4601" s="113" t="n"/>
      <c r="X4601" s="113" t="n"/>
      <c r="Y4601" s="113" t="n"/>
      <c r="Z4601" s="117">
        <f>IF($B4601="",0,IF($S4601="EVET",IF($D4601="GELİR",$O4601,-$O4601),0))</f>
        <v/>
      </c>
      <c r="AA4601" s="117">
        <f>IF($B4601="",0,IF(OR($W4601="EVET",$X4601="EVET",$Y4601="EVET"),0,IF($D4601="GELİR",IF($E4601="SATIŞ İADESİ/İSKONTO",-$O4601,$O4601),-$O4601)))</f>
        <v/>
      </c>
      <c r="AB4601" s="117">
        <f>IF($B4601="","",IF(OR($D4601="",$E4601="",$O4601=""),"EKSİK",IF($O4601&lt;=0,"SIFIR/NEGATİF",IF(COUNTIFS($C$6:$C$5000,$C4601,$O$6:$O$5000,$O4601,$B$6:$B$5000,$B4601)&gt;1,"MÜKERRER","OK"))))</f>
        <v/>
      </c>
    </row>
    <row r="4602" ht="16.5" customHeight="1" s="80">
      <c r="A4602" s="113" t="n"/>
      <c r="B4602" s="113" t="n"/>
      <c r="C4602" s="113" t="n"/>
      <c r="D4602" s="113" t="n"/>
      <c r="E4602" s="113" t="n"/>
      <c r="F4602" s="113" t="n"/>
      <c r="G4602" s="113" t="n"/>
      <c r="H4602" s="113" t="n"/>
      <c r="I4602" s="113" t="n"/>
      <c r="J4602" s="113" t="n"/>
      <c r="K4602" s="113" t="n"/>
      <c r="L4602" s="113" t="n"/>
      <c r="M4602" s="113" t="n"/>
      <c r="N4602" s="113" t="n"/>
      <c r="O4602" s="113" t="n"/>
      <c r="P4602" s="113" t="n"/>
      <c r="Q4602" s="113" t="n"/>
      <c r="R4602" s="113" t="n"/>
      <c r="S4602" s="113" t="n"/>
      <c r="T4602" s="113" t="n"/>
      <c r="U4602" s="113" t="n"/>
      <c r="V4602" s="113" t="n"/>
      <c r="W4602" s="113" t="n"/>
      <c r="X4602" s="113" t="n"/>
      <c r="Y4602" s="113" t="n"/>
      <c r="Z4602" s="117">
        <f>IF($B4602="",0,IF($S4602="EVET",IF($D4602="GELİR",$O4602,-$O4602),0))</f>
        <v/>
      </c>
      <c r="AA4602" s="117">
        <f>IF($B4602="",0,IF(OR($W4602="EVET",$X4602="EVET",$Y4602="EVET"),0,IF($D4602="GELİR",IF($E4602="SATIŞ İADESİ/İSKONTO",-$O4602,$O4602),-$O4602)))</f>
        <v/>
      </c>
      <c r="AB4602" s="117">
        <f>IF($B4602="","",IF(OR($D4602="",$E4602="",$O4602=""),"EKSİK",IF($O4602&lt;=0,"SIFIR/NEGATİF",IF(COUNTIFS($C$6:$C$5000,$C4602,$O$6:$O$5000,$O4602,$B$6:$B$5000,$B4602)&gt;1,"MÜKERRER","OK"))))</f>
        <v/>
      </c>
    </row>
    <row r="4603" ht="16.5" customHeight="1" s="80">
      <c r="A4603" s="113" t="n"/>
      <c r="B4603" s="113" t="n"/>
      <c r="C4603" s="113" t="n"/>
      <c r="D4603" s="113" t="n"/>
      <c r="E4603" s="113" t="n"/>
      <c r="F4603" s="113" t="n"/>
      <c r="G4603" s="113" t="n"/>
      <c r="H4603" s="113" t="n"/>
      <c r="I4603" s="113" t="n"/>
      <c r="J4603" s="113" t="n"/>
      <c r="K4603" s="113" t="n"/>
      <c r="L4603" s="113" t="n"/>
      <c r="M4603" s="113" t="n"/>
      <c r="N4603" s="113" t="n"/>
      <c r="O4603" s="113" t="n"/>
      <c r="P4603" s="113" t="n"/>
      <c r="Q4603" s="113" t="n"/>
      <c r="R4603" s="113" t="n"/>
      <c r="S4603" s="113" t="n"/>
      <c r="T4603" s="113" t="n"/>
      <c r="U4603" s="113" t="n"/>
      <c r="V4603" s="113" t="n"/>
      <c r="W4603" s="113" t="n"/>
      <c r="X4603" s="113" t="n"/>
      <c r="Y4603" s="113" t="n"/>
      <c r="Z4603" s="117">
        <f>IF($B4603="",0,IF($S4603="EVET",IF($D4603="GELİR",$O4603,-$O4603),0))</f>
        <v/>
      </c>
      <c r="AA4603" s="117">
        <f>IF($B4603="",0,IF(OR($W4603="EVET",$X4603="EVET",$Y4603="EVET"),0,IF($D4603="GELİR",IF($E4603="SATIŞ İADESİ/İSKONTO",-$O4603,$O4603),-$O4603)))</f>
        <v/>
      </c>
      <c r="AB4603" s="117">
        <f>IF($B4603="","",IF(OR($D4603="",$E4603="",$O4603=""),"EKSİK",IF($O4603&lt;=0,"SIFIR/NEGATİF",IF(COUNTIFS($C$6:$C$5000,$C4603,$O$6:$O$5000,$O4603,$B$6:$B$5000,$B4603)&gt;1,"MÜKERRER","OK"))))</f>
        <v/>
      </c>
    </row>
    <row r="4604" ht="16.5" customHeight="1" s="80">
      <c r="A4604" s="113" t="n"/>
      <c r="B4604" s="113" t="n"/>
      <c r="C4604" s="113" t="n"/>
      <c r="D4604" s="113" t="n"/>
      <c r="E4604" s="113" t="n"/>
      <c r="F4604" s="113" t="n"/>
      <c r="G4604" s="113" t="n"/>
      <c r="H4604" s="113" t="n"/>
      <c r="I4604" s="113" t="n"/>
      <c r="J4604" s="113" t="n"/>
      <c r="K4604" s="113" t="n"/>
      <c r="L4604" s="113" t="n"/>
      <c r="M4604" s="113" t="n"/>
      <c r="N4604" s="113" t="n"/>
      <c r="O4604" s="113" t="n"/>
      <c r="P4604" s="113" t="n"/>
      <c r="Q4604" s="113" t="n"/>
      <c r="R4604" s="113" t="n"/>
      <c r="S4604" s="113" t="n"/>
      <c r="T4604" s="113" t="n"/>
      <c r="U4604" s="113" t="n"/>
      <c r="V4604" s="113" t="n"/>
      <c r="W4604" s="113" t="n"/>
      <c r="X4604" s="113" t="n"/>
      <c r="Y4604" s="113" t="n"/>
      <c r="Z4604" s="117">
        <f>IF($B4604="",0,IF($S4604="EVET",IF($D4604="GELİR",$O4604,-$O4604),0))</f>
        <v/>
      </c>
      <c r="AA4604" s="117">
        <f>IF($B4604="",0,IF(OR($W4604="EVET",$X4604="EVET",$Y4604="EVET"),0,IF($D4604="GELİR",IF($E4604="SATIŞ İADESİ/İSKONTO",-$O4604,$O4604),-$O4604)))</f>
        <v/>
      </c>
      <c r="AB4604" s="117">
        <f>IF($B4604="","",IF(OR($D4604="",$E4604="",$O4604=""),"EKSİK",IF($O4604&lt;=0,"SIFIR/NEGATİF",IF(COUNTIFS($C$6:$C$5000,$C4604,$O$6:$O$5000,$O4604,$B$6:$B$5000,$B4604)&gt;1,"MÜKERRER","OK"))))</f>
        <v/>
      </c>
    </row>
    <row r="4605" ht="16.5" customHeight="1" s="80">
      <c r="A4605" s="113" t="n"/>
      <c r="B4605" s="113" t="n"/>
      <c r="C4605" s="113" t="n"/>
      <c r="D4605" s="113" t="n"/>
      <c r="E4605" s="113" t="n"/>
      <c r="F4605" s="113" t="n"/>
      <c r="G4605" s="113" t="n"/>
      <c r="H4605" s="113" t="n"/>
      <c r="I4605" s="113" t="n"/>
      <c r="J4605" s="113" t="n"/>
      <c r="K4605" s="113" t="n"/>
      <c r="L4605" s="113" t="n"/>
      <c r="M4605" s="113" t="n"/>
      <c r="N4605" s="113" t="n"/>
      <c r="O4605" s="113" t="n"/>
      <c r="P4605" s="113" t="n"/>
      <c r="Q4605" s="113" t="n"/>
      <c r="R4605" s="113" t="n"/>
      <c r="S4605" s="113" t="n"/>
      <c r="T4605" s="113" t="n"/>
      <c r="U4605" s="113" t="n"/>
      <c r="V4605" s="113" t="n"/>
      <c r="W4605" s="113" t="n"/>
      <c r="X4605" s="113" t="n"/>
      <c r="Y4605" s="113" t="n"/>
      <c r="Z4605" s="117">
        <f>IF($B4605="",0,IF($S4605="EVET",IF($D4605="GELİR",$O4605,-$O4605),0))</f>
        <v/>
      </c>
      <c r="AA4605" s="117">
        <f>IF($B4605="",0,IF(OR($W4605="EVET",$X4605="EVET",$Y4605="EVET"),0,IF($D4605="GELİR",IF($E4605="SATIŞ İADESİ/İSKONTO",-$O4605,$O4605),-$O4605)))</f>
        <v/>
      </c>
      <c r="AB4605" s="117">
        <f>IF($B4605="","",IF(OR($D4605="",$E4605="",$O4605=""),"EKSİK",IF($O4605&lt;=0,"SIFIR/NEGATİF",IF(COUNTIFS($C$6:$C$5000,$C4605,$O$6:$O$5000,$O4605,$B$6:$B$5000,$B4605)&gt;1,"MÜKERRER","OK"))))</f>
        <v/>
      </c>
    </row>
    <row r="4606" ht="16.5" customHeight="1" s="80">
      <c r="A4606" s="113" t="n"/>
      <c r="B4606" s="113" t="n"/>
      <c r="C4606" s="113" t="n"/>
      <c r="D4606" s="113" t="n"/>
      <c r="E4606" s="113" t="n"/>
      <c r="F4606" s="113" t="n"/>
      <c r="G4606" s="113" t="n"/>
      <c r="H4606" s="113" t="n"/>
      <c r="I4606" s="113" t="n"/>
      <c r="J4606" s="113" t="n"/>
      <c r="K4606" s="113" t="n"/>
      <c r="L4606" s="113" t="n"/>
      <c r="M4606" s="113" t="n"/>
      <c r="N4606" s="113" t="n"/>
      <c r="O4606" s="113" t="n"/>
      <c r="P4606" s="113" t="n"/>
      <c r="Q4606" s="113" t="n"/>
      <c r="R4606" s="113" t="n"/>
      <c r="S4606" s="113" t="n"/>
      <c r="T4606" s="113" t="n"/>
      <c r="U4606" s="113" t="n"/>
      <c r="V4606" s="113" t="n"/>
      <c r="W4606" s="113" t="n"/>
      <c r="X4606" s="113" t="n"/>
      <c r="Y4606" s="113" t="n"/>
      <c r="Z4606" s="117">
        <f>IF($B4606="",0,IF($S4606="EVET",IF($D4606="GELİR",$O4606,-$O4606),0))</f>
        <v/>
      </c>
      <c r="AA4606" s="117">
        <f>IF($B4606="",0,IF(OR($W4606="EVET",$X4606="EVET",$Y4606="EVET"),0,IF($D4606="GELİR",IF($E4606="SATIŞ İADESİ/İSKONTO",-$O4606,$O4606),-$O4606)))</f>
        <v/>
      </c>
      <c r="AB4606" s="117">
        <f>IF($B4606="","",IF(OR($D4606="",$E4606="",$O4606=""),"EKSİK",IF($O4606&lt;=0,"SIFIR/NEGATİF",IF(COUNTIFS($C$6:$C$5000,$C4606,$O$6:$O$5000,$O4606,$B$6:$B$5000,$B4606)&gt;1,"MÜKERRER","OK"))))</f>
        <v/>
      </c>
    </row>
    <row r="4607" ht="16.5" customHeight="1" s="80">
      <c r="A4607" s="113" t="n"/>
      <c r="B4607" s="113" t="n"/>
      <c r="C4607" s="113" t="n"/>
      <c r="D4607" s="113" t="n"/>
      <c r="E4607" s="113" t="n"/>
      <c r="F4607" s="113" t="n"/>
      <c r="G4607" s="113" t="n"/>
      <c r="H4607" s="113" t="n"/>
      <c r="I4607" s="113" t="n"/>
      <c r="J4607" s="113" t="n"/>
      <c r="K4607" s="113" t="n"/>
      <c r="L4607" s="113" t="n"/>
      <c r="M4607" s="113" t="n"/>
      <c r="N4607" s="113" t="n"/>
      <c r="O4607" s="113" t="n"/>
      <c r="P4607" s="113" t="n"/>
      <c r="Q4607" s="113" t="n"/>
      <c r="R4607" s="113" t="n"/>
      <c r="S4607" s="113" t="n"/>
      <c r="T4607" s="113" t="n"/>
      <c r="U4607" s="113" t="n"/>
      <c r="V4607" s="113" t="n"/>
      <c r="W4607" s="113" t="n"/>
      <c r="X4607" s="113" t="n"/>
      <c r="Y4607" s="113" t="n"/>
      <c r="Z4607" s="117">
        <f>IF($B4607="",0,IF($S4607="EVET",IF($D4607="GELİR",$O4607,-$O4607),0))</f>
        <v/>
      </c>
      <c r="AA4607" s="117">
        <f>IF($B4607="",0,IF(OR($W4607="EVET",$X4607="EVET",$Y4607="EVET"),0,IF($D4607="GELİR",IF($E4607="SATIŞ İADESİ/İSKONTO",-$O4607,$O4607),-$O4607)))</f>
        <v/>
      </c>
      <c r="AB4607" s="117">
        <f>IF($B4607="","",IF(OR($D4607="",$E4607="",$O4607=""),"EKSİK",IF($O4607&lt;=0,"SIFIR/NEGATİF",IF(COUNTIFS($C$6:$C$5000,$C4607,$O$6:$O$5000,$O4607,$B$6:$B$5000,$B4607)&gt;1,"MÜKERRER","OK"))))</f>
        <v/>
      </c>
    </row>
    <row r="4608" ht="16.5" customHeight="1" s="80">
      <c r="A4608" s="113" t="n"/>
      <c r="B4608" s="113" t="n"/>
      <c r="C4608" s="113" t="n"/>
      <c r="D4608" s="113" t="n"/>
      <c r="E4608" s="113" t="n"/>
      <c r="F4608" s="113" t="n"/>
      <c r="G4608" s="113" t="n"/>
      <c r="H4608" s="113" t="n"/>
      <c r="I4608" s="113" t="n"/>
      <c r="J4608" s="113" t="n"/>
      <c r="K4608" s="113" t="n"/>
      <c r="L4608" s="113" t="n"/>
      <c r="M4608" s="113" t="n"/>
      <c r="N4608" s="113" t="n"/>
      <c r="O4608" s="113" t="n"/>
      <c r="P4608" s="113" t="n"/>
      <c r="Q4608" s="113" t="n"/>
      <c r="R4608" s="113" t="n"/>
      <c r="S4608" s="113" t="n"/>
      <c r="T4608" s="113" t="n"/>
      <c r="U4608" s="113" t="n"/>
      <c r="V4608" s="113" t="n"/>
      <c r="W4608" s="113" t="n"/>
      <c r="X4608" s="113" t="n"/>
      <c r="Y4608" s="113" t="n"/>
      <c r="Z4608" s="117">
        <f>IF($B4608="",0,IF($S4608="EVET",IF($D4608="GELİR",$O4608,-$O4608),0))</f>
        <v/>
      </c>
      <c r="AA4608" s="117">
        <f>IF($B4608="",0,IF(OR($W4608="EVET",$X4608="EVET",$Y4608="EVET"),0,IF($D4608="GELİR",IF($E4608="SATIŞ İADESİ/İSKONTO",-$O4608,$O4608),-$O4608)))</f>
        <v/>
      </c>
      <c r="AB4608" s="117">
        <f>IF($B4608="","",IF(OR($D4608="",$E4608="",$O4608=""),"EKSİK",IF($O4608&lt;=0,"SIFIR/NEGATİF",IF(COUNTIFS($C$6:$C$5000,$C4608,$O$6:$O$5000,$O4608,$B$6:$B$5000,$B4608)&gt;1,"MÜKERRER","OK"))))</f>
        <v/>
      </c>
    </row>
    <row r="4609" ht="16.5" customHeight="1" s="80">
      <c r="A4609" s="113" t="n"/>
      <c r="B4609" s="113" t="n"/>
      <c r="C4609" s="113" t="n"/>
      <c r="D4609" s="113" t="n"/>
      <c r="E4609" s="113" t="n"/>
      <c r="F4609" s="113" t="n"/>
      <c r="G4609" s="113" t="n"/>
      <c r="H4609" s="113" t="n"/>
      <c r="I4609" s="113" t="n"/>
      <c r="J4609" s="113" t="n"/>
      <c r="K4609" s="113" t="n"/>
      <c r="L4609" s="113" t="n"/>
      <c r="M4609" s="113" t="n"/>
      <c r="N4609" s="113" t="n"/>
      <c r="O4609" s="113" t="n"/>
      <c r="P4609" s="113" t="n"/>
      <c r="Q4609" s="113" t="n"/>
      <c r="R4609" s="113" t="n"/>
      <c r="S4609" s="113" t="n"/>
      <c r="T4609" s="113" t="n"/>
      <c r="U4609" s="113" t="n"/>
      <c r="V4609" s="113" t="n"/>
      <c r="W4609" s="113" t="n"/>
      <c r="X4609" s="113" t="n"/>
      <c r="Y4609" s="113" t="n"/>
      <c r="Z4609" s="117">
        <f>IF($B4609="",0,IF($S4609="EVET",IF($D4609="GELİR",$O4609,-$O4609),0))</f>
        <v/>
      </c>
      <c r="AA4609" s="117">
        <f>IF($B4609="",0,IF(OR($W4609="EVET",$X4609="EVET",$Y4609="EVET"),0,IF($D4609="GELİR",IF($E4609="SATIŞ İADESİ/İSKONTO",-$O4609,$O4609),-$O4609)))</f>
        <v/>
      </c>
      <c r="AB4609" s="117">
        <f>IF($B4609="","",IF(OR($D4609="",$E4609="",$O4609=""),"EKSİK",IF($O4609&lt;=0,"SIFIR/NEGATİF",IF(COUNTIFS($C$6:$C$5000,$C4609,$O$6:$O$5000,$O4609,$B$6:$B$5000,$B4609)&gt;1,"MÜKERRER","OK"))))</f>
        <v/>
      </c>
    </row>
    <row r="4610" ht="16.5" customHeight="1" s="80">
      <c r="A4610" s="113" t="n"/>
      <c r="B4610" s="113" t="n"/>
      <c r="C4610" s="113" t="n"/>
      <c r="D4610" s="113" t="n"/>
      <c r="E4610" s="113" t="n"/>
      <c r="F4610" s="113" t="n"/>
      <c r="G4610" s="113" t="n"/>
      <c r="H4610" s="113" t="n"/>
      <c r="I4610" s="113" t="n"/>
      <c r="J4610" s="113" t="n"/>
      <c r="K4610" s="113" t="n"/>
      <c r="L4610" s="113" t="n"/>
      <c r="M4610" s="113" t="n"/>
      <c r="N4610" s="113" t="n"/>
      <c r="O4610" s="113" t="n"/>
      <c r="P4610" s="113" t="n"/>
      <c r="Q4610" s="113" t="n"/>
      <c r="R4610" s="113" t="n"/>
      <c r="S4610" s="113" t="n"/>
      <c r="T4610" s="113" t="n"/>
      <c r="U4610" s="113" t="n"/>
      <c r="V4610" s="113" t="n"/>
      <c r="W4610" s="113" t="n"/>
      <c r="X4610" s="113" t="n"/>
      <c r="Y4610" s="113" t="n"/>
      <c r="Z4610" s="117">
        <f>IF($B4610="",0,IF($S4610="EVET",IF($D4610="GELİR",$O4610,-$O4610),0))</f>
        <v/>
      </c>
      <c r="AA4610" s="117">
        <f>IF($B4610="",0,IF(OR($W4610="EVET",$X4610="EVET",$Y4610="EVET"),0,IF($D4610="GELİR",IF($E4610="SATIŞ İADESİ/İSKONTO",-$O4610,$O4610),-$O4610)))</f>
        <v/>
      </c>
      <c r="AB4610" s="117">
        <f>IF($B4610="","",IF(OR($D4610="",$E4610="",$O4610=""),"EKSİK",IF($O4610&lt;=0,"SIFIR/NEGATİF",IF(COUNTIFS($C$6:$C$5000,$C4610,$O$6:$O$5000,$O4610,$B$6:$B$5000,$B4610)&gt;1,"MÜKERRER","OK"))))</f>
        <v/>
      </c>
    </row>
    <row r="4611" ht="16.5" customHeight="1" s="80">
      <c r="A4611" s="113" t="n"/>
      <c r="B4611" s="113" t="n"/>
      <c r="C4611" s="113" t="n"/>
      <c r="D4611" s="113" t="n"/>
      <c r="E4611" s="113" t="n"/>
      <c r="F4611" s="113" t="n"/>
      <c r="G4611" s="113" t="n"/>
      <c r="H4611" s="113" t="n"/>
      <c r="I4611" s="113" t="n"/>
      <c r="J4611" s="113" t="n"/>
      <c r="K4611" s="113" t="n"/>
      <c r="L4611" s="113" t="n"/>
      <c r="M4611" s="113" t="n"/>
      <c r="N4611" s="113" t="n"/>
      <c r="O4611" s="113" t="n"/>
      <c r="P4611" s="113" t="n"/>
      <c r="Q4611" s="113" t="n"/>
      <c r="R4611" s="113" t="n"/>
      <c r="S4611" s="113" t="n"/>
      <c r="T4611" s="113" t="n"/>
      <c r="U4611" s="113" t="n"/>
      <c r="V4611" s="113" t="n"/>
      <c r="W4611" s="113" t="n"/>
      <c r="X4611" s="113" t="n"/>
      <c r="Y4611" s="113" t="n"/>
      <c r="Z4611" s="117">
        <f>IF($B4611="",0,IF($S4611="EVET",IF($D4611="GELİR",$O4611,-$O4611),0))</f>
        <v/>
      </c>
      <c r="AA4611" s="117">
        <f>IF($B4611="",0,IF(OR($W4611="EVET",$X4611="EVET",$Y4611="EVET"),0,IF($D4611="GELİR",IF($E4611="SATIŞ İADESİ/İSKONTO",-$O4611,$O4611),-$O4611)))</f>
        <v/>
      </c>
      <c r="AB4611" s="117">
        <f>IF($B4611="","",IF(OR($D4611="",$E4611="",$O4611=""),"EKSİK",IF($O4611&lt;=0,"SIFIR/NEGATİF",IF(COUNTIFS($C$6:$C$5000,$C4611,$O$6:$O$5000,$O4611,$B$6:$B$5000,$B4611)&gt;1,"MÜKERRER","OK"))))</f>
        <v/>
      </c>
    </row>
    <row r="4612" ht="16.5" customHeight="1" s="80">
      <c r="A4612" s="113" t="n"/>
      <c r="B4612" s="113" t="n"/>
      <c r="C4612" s="113" t="n"/>
      <c r="D4612" s="113" t="n"/>
      <c r="E4612" s="113" t="n"/>
      <c r="F4612" s="113" t="n"/>
      <c r="G4612" s="113" t="n"/>
      <c r="H4612" s="113" t="n"/>
      <c r="I4612" s="113" t="n"/>
      <c r="J4612" s="113" t="n"/>
      <c r="K4612" s="113" t="n"/>
      <c r="L4612" s="113" t="n"/>
      <c r="M4612" s="113" t="n"/>
      <c r="N4612" s="113" t="n"/>
      <c r="O4612" s="113" t="n"/>
      <c r="P4612" s="113" t="n"/>
      <c r="Q4612" s="113" t="n"/>
      <c r="R4612" s="113" t="n"/>
      <c r="S4612" s="113" t="n"/>
      <c r="T4612" s="113" t="n"/>
      <c r="U4612" s="113" t="n"/>
      <c r="V4612" s="113" t="n"/>
      <c r="W4612" s="113" t="n"/>
      <c r="X4612" s="113" t="n"/>
      <c r="Y4612" s="113" t="n"/>
      <c r="Z4612" s="117">
        <f>IF($B4612="",0,IF($S4612="EVET",IF($D4612="GELİR",$O4612,-$O4612),0))</f>
        <v/>
      </c>
      <c r="AA4612" s="117">
        <f>IF($B4612="",0,IF(OR($W4612="EVET",$X4612="EVET",$Y4612="EVET"),0,IF($D4612="GELİR",IF($E4612="SATIŞ İADESİ/İSKONTO",-$O4612,$O4612),-$O4612)))</f>
        <v/>
      </c>
      <c r="AB4612" s="117">
        <f>IF($B4612="","",IF(OR($D4612="",$E4612="",$O4612=""),"EKSİK",IF($O4612&lt;=0,"SIFIR/NEGATİF",IF(COUNTIFS($C$6:$C$5000,$C4612,$O$6:$O$5000,$O4612,$B$6:$B$5000,$B4612)&gt;1,"MÜKERRER","OK"))))</f>
        <v/>
      </c>
    </row>
    <row r="4613" ht="16.5" customHeight="1" s="80">
      <c r="A4613" s="113" t="n"/>
      <c r="B4613" s="113" t="n"/>
      <c r="C4613" s="113" t="n"/>
      <c r="D4613" s="113" t="n"/>
      <c r="E4613" s="113" t="n"/>
      <c r="F4613" s="113" t="n"/>
      <c r="G4613" s="113" t="n"/>
      <c r="H4613" s="113" t="n"/>
      <c r="I4613" s="113" t="n"/>
      <c r="J4613" s="113" t="n"/>
      <c r="K4613" s="113" t="n"/>
      <c r="L4613" s="113" t="n"/>
      <c r="M4613" s="113" t="n"/>
      <c r="N4613" s="113" t="n"/>
      <c r="O4613" s="113" t="n"/>
      <c r="P4613" s="113" t="n"/>
      <c r="Q4613" s="113" t="n"/>
      <c r="R4613" s="113" t="n"/>
      <c r="S4613" s="113" t="n"/>
      <c r="T4613" s="113" t="n"/>
      <c r="U4613" s="113" t="n"/>
      <c r="V4613" s="113" t="n"/>
      <c r="W4613" s="113" t="n"/>
      <c r="X4613" s="113" t="n"/>
      <c r="Y4613" s="113" t="n"/>
      <c r="Z4613" s="117">
        <f>IF($B4613="",0,IF($S4613="EVET",IF($D4613="GELİR",$O4613,-$O4613),0))</f>
        <v/>
      </c>
      <c r="AA4613" s="117">
        <f>IF($B4613="",0,IF(OR($W4613="EVET",$X4613="EVET",$Y4613="EVET"),0,IF($D4613="GELİR",IF($E4613="SATIŞ İADESİ/İSKONTO",-$O4613,$O4613),-$O4613)))</f>
        <v/>
      </c>
      <c r="AB4613" s="117">
        <f>IF($B4613="","",IF(OR($D4613="",$E4613="",$O4613=""),"EKSİK",IF($O4613&lt;=0,"SIFIR/NEGATİF",IF(COUNTIFS($C$6:$C$5000,$C4613,$O$6:$O$5000,$O4613,$B$6:$B$5000,$B4613)&gt;1,"MÜKERRER","OK"))))</f>
        <v/>
      </c>
    </row>
    <row r="4614" ht="16.5" customHeight="1" s="80">
      <c r="A4614" s="113" t="n"/>
      <c r="B4614" s="113" t="n"/>
      <c r="C4614" s="113" t="n"/>
      <c r="D4614" s="113" t="n"/>
      <c r="E4614" s="113" t="n"/>
      <c r="F4614" s="113" t="n"/>
      <c r="G4614" s="113" t="n"/>
      <c r="H4614" s="113" t="n"/>
      <c r="I4614" s="113" t="n"/>
      <c r="J4614" s="113" t="n"/>
      <c r="K4614" s="113" t="n"/>
      <c r="L4614" s="113" t="n"/>
      <c r="M4614" s="113" t="n"/>
      <c r="N4614" s="113" t="n"/>
      <c r="O4614" s="113" t="n"/>
      <c r="P4614" s="113" t="n"/>
      <c r="Q4614" s="113" t="n"/>
      <c r="R4614" s="113" t="n"/>
      <c r="S4614" s="113" t="n"/>
      <c r="T4614" s="113" t="n"/>
      <c r="U4614" s="113" t="n"/>
      <c r="V4614" s="113" t="n"/>
      <c r="W4614" s="113" t="n"/>
      <c r="X4614" s="113" t="n"/>
      <c r="Y4614" s="113" t="n"/>
      <c r="Z4614" s="117">
        <f>IF($B4614="",0,IF($S4614="EVET",IF($D4614="GELİR",$O4614,-$O4614),0))</f>
        <v/>
      </c>
      <c r="AA4614" s="117">
        <f>IF($B4614="",0,IF(OR($W4614="EVET",$X4614="EVET",$Y4614="EVET"),0,IF($D4614="GELİR",IF($E4614="SATIŞ İADESİ/İSKONTO",-$O4614,$O4614),-$O4614)))</f>
        <v/>
      </c>
      <c r="AB4614" s="117">
        <f>IF($B4614="","",IF(OR($D4614="",$E4614="",$O4614=""),"EKSİK",IF($O4614&lt;=0,"SIFIR/NEGATİF",IF(COUNTIFS($C$6:$C$5000,$C4614,$O$6:$O$5000,$O4614,$B$6:$B$5000,$B4614)&gt;1,"MÜKERRER","OK"))))</f>
        <v/>
      </c>
    </row>
    <row r="4615" ht="16.5" customHeight="1" s="80">
      <c r="A4615" s="113" t="n"/>
      <c r="B4615" s="113" t="n"/>
      <c r="C4615" s="113" t="n"/>
      <c r="D4615" s="113" t="n"/>
      <c r="E4615" s="113" t="n"/>
      <c r="F4615" s="113" t="n"/>
      <c r="G4615" s="113" t="n"/>
      <c r="H4615" s="113" t="n"/>
      <c r="I4615" s="113" t="n"/>
      <c r="J4615" s="113" t="n"/>
      <c r="K4615" s="113" t="n"/>
      <c r="L4615" s="113" t="n"/>
      <c r="M4615" s="113" t="n"/>
      <c r="N4615" s="113" t="n"/>
      <c r="O4615" s="113" t="n"/>
      <c r="P4615" s="113" t="n"/>
      <c r="Q4615" s="113" t="n"/>
      <c r="R4615" s="113" t="n"/>
      <c r="S4615" s="113" t="n"/>
      <c r="T4615" s="113" t="n"/>
      <c r="U4615" s="113" t="n"/>
      <c r="V4615" s="113" t="n"/>
      <c r="W4615" s="113" t="n"/>
      <c r="X4615" s="113" t="n"/>
      <c r="Y4615" s="113" t="n"/>
      <c r="Z4615" s="117">
        <f>IF($B4615="",0,IF($S4615="EVET",IF($D4615="GELİR",$O4615,-$O4615),0))</f>
        <v/>
      </c>
      <c r="AA4615" s="117">
        <f>IF($B4615="",0,IF(OR($W4615="EVET",$X4615="EVET",$Y4615="EVET"),0,IF($D4615="GELİR",IF($E4615="SATIŞ İADESİ/İSKONTO",-$O4615,$O4615),-$O4615)))</f>
        <v/>
      </c>
      <c r="AB4615" s="117">
        <f>IF($B4615="","",IF(OR($D4615="",$E4615="",$O4615=""),"EKSİK",IF($O4615&lt;=0,"SIFIR/NEGATİF",IF(COUNTIFS($C$6:$C$5000,$C4615,$O$6:$O$5000,$O4615,$B$6:$B$5000,$B4615)&gt;1,"MÜKERRER","OK"))))</f>
        <v/>
      </c>
    </row>
    <row r="4616" ht="16.5" customHeight="1" s="80">
      <c r="A4616" s="113" t="n"/>
      <c r="B4616" s="113" t="n"/>
      <c r="C4616" s="113" t="n"/>
      <c r="D4616" s="113" t="n"/>
      <c r="E4616" s="113" t="n"/>
      <c r="F4616" s="113" t="n"/>
      <c r="G4616" s="113" t="n"/>
      <c r="H4616" s="113" t="n"/>
      <c r="I4616" s="113" t="n"/>
      <c r="J4616" s="113" t="n"/>
      <c r="K4616" s="113" t="n"/>
      <c r="L4616" s="113" t="n"/>
      <c r="M4616" s="113" t="n"/>
      <c r="N4616" s="113" t="n"/>
      <c r="O4616" s="113" t="n"/>
      <c r="P4616" s="113" t="n"/>
      <c r="Q4616" s="113" t="n"/>
      <c r="R4616" s="113" t="n"/>
      <c r="S4616" s="113" t="n"/>
      <c r="T4616" s="113" t="n"/>
      <c r="U4616" s="113" t="n"/>
      <c r="V4616" s="113" t="n"/>
      <c r="W4616" s="113" t="n"/>
      <c r="X4616" s="113" t="n"/>
      <c r="Y4616" s="113" t="n"/>
      <c r="Z4616" s="117">
        <f>IF($B4616="",0,IF($S4616="EVET",IF($D4616="GELİR",$O4616,-$O4616),0))</f>
        <v/>
      </c>
      <c r="AA4616" s="117">
        <f>IF($B4616="",0,IF(OR($W4616="EVET",$X4616="EVET",$Y4616="EVET"),0,IF($D4616="GELİR",IF($E4616="SATIŞ İADESİ/İSKONTO",-$O4616,$O4616),-$O4616)))</f>
        <v/>
      </c>
      <c r="AB4616" s="117">
        <f>IF($B4616="","",IF(OR($D4616="",$E4616="",$O4616=""),"EKSİK",IF($O4616&lt;=0,"SIFIR/NEGATİF",IF(COUNTIFS($C$6:$C$5000,$C4616,$O$6:$O$5000,$O4616,$B$6:$B$5000,$B4616)&gt;1,"MÜKERRER","OK"))))</f>
        <v/>
      </c>
    </row>
    <row r="4617" ht="16.5" customHeight="1" s="80">
      <c r="A4617" s="113" t="n"/>
      <c r="B4617" s="113" t="n"/>
      <c r="C4617" s="113" t="n"/>
      <c r="D4617" s="113" t="n"/>
      <c r="E4617" s="113" t="n"/>
      <c r="F4617" s="113" t="n"/>
      <c r="G4617" s="113" t="n"/>
      <c r="H4617" s="113" t="n"/>
      <c r="I4617" s="113" t="n"/>
      <c r="J4617" s="113" t="n"/>
      <c r="K4617" s="113" t="n"/>
      <c r="L4617" s="113" t="n"/>
      <c r="M4617" s="113" t="n"/>
      <c r="N4617" s="113" t="n"/>
      <c r="O4617" s="113" t="n"/>
      <c r="P4617" s="113" t="n"/>
      <c r="Q4617" s="113" t="n"/>
      <c r="R4617" s="113" t="n"/>
      <c r="S4617" s="113" t="n"/>
      <c r="T4617" s="113" t="n"/>
      <c r="U4617" s="113" t="n"/>
      <c r="V4617" s="113" t="n"/>
      <c r="W4617" s="113" t="n"/>
      <c r="X4617" s="113" t="n"/>
      <c r="Y4617" s="113" t="n"/>
      <c r="Z4617" s="117">
        <f>IF($B4617="",0,IF($S4617="EVET",IF($D4617="GELİR",$O4617,-$O4617),0))</f>
        <v/>
      </c>
      <c r="AA4617" s="117">
        <f>IF($B4617="",0,IF(OR($W4617="EVET",$X4617="EVET",$Y4617="EVET"),0,IF($D4617="GELİR",IF($E4617="SATIŞ İADESİ/İSKONTO",-$O4617,$O4617),-$O4617)))</f>
        <v/>
      </c>
      <c r="AB4617" s="117">
        <f>IF($B4617="","",IF(OR($D4617="",$E4617="",$O4617=""),"EKSİK",IF($O4617&lt;=0,"SIFIR/NEGATİF",IF(COUNTIFS($C$6:$C$5000,$C4617,$O$6:$O$5000,$O4617,$B$6:$B$5000,$B4617)&gt;1,"MÜKERRER","OK"))))</f>
        <v/>
      </c>
    </row>
    <row r="4618" ht="16.5" customHeight="1" s="80">
      <c r="A4618" s="113" t="n"/>
      <c r="B4618" s="113" t="n"/>
      <c r="C4618" s="113" t="n"/>
      <c r="D4618" s="113" t="n"/>
      <c r="E4618" s="113" t="n"/>
      <c r="F4618" s="113" t="n"/>
      <c r="G4618" s="113" t="n"/>
      <c r="H4618" s="113" t="n"/>
      <c r="I4618" s="113" t="n"/>
      <c r="J4618" s="113" t="n"/>
      <c r="K4618" s="113" t="n"/>
      <c r="L4618" s="113" t="n"/>
      <c r="M4618" s="113" t="n"/>
      <c r="N4618" s="113" t="n"/>
      <c r="O4618" s="113" t="n"/>
      <c r="P4618" s="113" t="n"/>
      <c r="Q4618" s="113" t="n"/>
      <c r="R4618" s="113" t="n"/>
      <c r="S4618" s="113" t="n"/>
      <c r="T4618" s="113" t="n"/>
      <c r="U4618" s="113" t="n"/>
      <c r="V4618" s="113" t="n"/>
      <c r="W4618" s="113" t="n"/>
      <c r="X4618" s="113" t="n"/>
      <c r="Y4618" s="113" t="n"/>
      <c r="Z4618" s="117">
        <f>IF($B4618="",0,IF($S4618="EVET",IF($D4618="GELİR",$O4618,-$O4618),0))</f>
        <v/>
      </c>
      <c r="AA4618" s="117">
        <f>IF($B4618="",0,IF(OR($W4618="EVET",$X4618="EVET",$Y4618="EVET"),0,IF($D4618="GELİR",IF($E4618="SATIŞ İADESİ/İSKONTO",-$O4618,$O4618),-$O4618)))</f>
        <v/>
      </c>
      <c r="AB4618" s="117">
        <f>IF($B4618="","",IF(OR($D4618="",$E4618="",$O4618=""),"EKSİK",IF($O4618&lt;=0,"SIFIR/NEGATİF",IF(COUNTIFS($C$6:$C$5000,$C4618,$O$6:$O$5000,$O4618,$B$6:$B$5000,$B4618)&gt;1,"MÜKERRER","OK"))))</f>
        <v/>
      </c>
    </row>
    <row r="4619" ht="16.5" customHeight="1" s="80">
      <c r="A4619" s="113" t="n"/>
      <c r="B4619" s="113" t="n"/>
      <c r="C4619" s="113" t="n"/>
      <c r="D4619" s="113" t="n"/>
      <c r="E4619" s="113" t="n"/>
      <c r="F4619" s="113" t="n"/>
      <c r="G4619" s="113" t="n"/>
      <c r="H4619" s="113" t="n"/>
      <c r="I4619" s="113" t="n"/>
      <c r="J4619" s="113" t="n"/>
      <c r="K4619" s="113" t="n"/>
      <c r="L4619" s="113" t="n"/>
      <c r="M4619" s="113" t="n"/>
      <c r="N4619" s="113" t="n"/>
      <c r="O4619" s="113" t="n"/>
      <c r="P4619" s="113" t="n"/>
      <c r="Q4619" s="113" t="n"/>
      <c r="R4619" s="113" t="n"/>
      <c r="S4619" s="113" t="n"/>
      <c r="T4619" s="113" t="n"/>
      <c r="U4619" s="113" t="n"/>
      <c r="V4619" s="113" t="n"/>
      <c r="W4619" s="113" t="n"/>
      <c r="X4619" s="113" t="n"/>
      <c r="Y4619" s="113" t="n"/>
      <c r="Z4619" s="117">
        <f>IF($B4619="",0,IF($S4619="EVET",IF($D4619="GELİR",$O4619,-$O4619),0))</f>
        <v/>
      </c>
      <c r="AA4619" s="117">
        <f>IF($B4619="",0,IF(OR($W4619="EVET",$X4619="EVET",$Y4619="EVET"),0,IF($D4619="GELİR",IF($E4619="SATIŞ İADESİ/İSKONTO",-$O4619,$O4619),-$O4619)))</f>
        <v/>
      </c>
      <c r="AB4619" s="117">
        <f>IF($B4619="","",IF(OR($D4619="",$E4619="",$O4619=""),"EKSİK",IF($O4619&lt;=0,"SIFIR/NEGATİF",IF(COUNTIFS($C$6:$C$5000,$C4619,$O$6:$O$5000,$O4619,$B$6:$B$5000,$B4619)&gt;1,"MÜKERRER","OK"))))</f>
        <v/>
      </c>
    </row>
    <row r="4620" ht="16.5" customHeight="1" s="80">
      <c r="A4620" s="113" t="n"/>
      <c r="B4620" s="113" t="n"/>
      <c r="C4620" s="113" t="n"/>
      <c r="D4620" s="113" t="n"/>
      <c r="E4620" s="113" t="n"/>
      <c r="F4620" s="113" t="n"/>
      <c r="G4620" s="113" t="n"/>
      <c r="H4620" s="113" t="n"/>
      <c r="I4620" s="113" t="n"/>
      <c r="J4620" s="113" t="n"/>
      <c r="K4620" s="113" t="n"/>
      <c r="L4620" s="113" t="n"/>
      <c r="M4620" s="113" t="n"/>
      <c r="N4620" s="113" t="n"/>
      <c r="O4620" s="113" t="n"/>
      <c r="P4620" s="113" t="n"/>
      <c r="Q4620" s="113" t="n"/>
      <c r="R4620" s="113" t="n"/>
      <c r="S4620" s="113" t="n"/>
      <c r="T4620" s="113" t="n"/>
      <c r="U4620" s="113" t="n"/>
      <c r="V4620" s="113" t="n"/>
      <c r="W4620" s="113" t="n"/>
      <c r="X4620" s="113" t="n"/>
      <c r="Y4620" s="113" t="n"/>
      <c r="Z4620" s="117">
        <f>IF($B4620="",0,IF($S4620="EVET",IF($D4620="GELİR",$O4620,-$O4620),0))</f>
        <v/>
      </c>
      <c r="AA4620" s="117">
        <f>IF($B4620="",0,IF(OR($W4620="EVET",$X4620="EVET",$Y4620="EVET"),0,IF($D4620="GELİR",IF($E4620="SATIŞ İADESİ/İSKONTO",-$O4620,$O4620),-$O4620)))</f>
        <v/>
      </c>
      <c r="AB4620" s="117">
        <f>IF($B4620="","",IF(OR($D4620="",$E4620="",$O4620=""),"EKSİK",IF($O4620&lt;=0,"SIFIR/NEGATİF",IF(COUNTIFS($C$6:$C$5000,$C4620,$O$6:$O$5000,$O4620,$B$6:$B$5000,$B4620)&gt;1,"MÜKERRER","OK"))))</f>
        <v/>
      </c>
    </row>
    <row r="4621" ht="16.5" customHeight="1" s="80">
      <c r="A4621" s="113" t="n"/>
      <c r="B4621" s="113" t="n"/>
      <c r="C4621" s="113" t="n"/>
      <c r="D4621" s="113" t="n"/>
      <c r="E4621" s="113" t="n"/>
      <c r="F4621" s="113" t="n"/>
      <c r="G4621" s="113" t="n"/>
      <c r="H4621" s="113" t="n"/>
      <c r="I4621" s="113" t="n"/>
      <c r="J4621" s="113" t="n"/>
      <c r="K4621" s="113" t="n"/>
      <c r="L4621" s="113" t="n"/>
      <c r="M4621" s="113" t="n"/>
      <c r="N4621" s="113" t="n"/>
      <c r="O4621" s="113" t="n"/>
      <c r="P4621" s="113" t="n"/>
      <c r="Q4621" s="113" t="n"/>
      <c r="R4621" s="113" t="n"/>
      <c r="S4621" s="113" t="n"/>
      <c r="T4621" s="113" t="n"/>
      <c r="U4621" s="113" t="n"/>
      <c r="V4621" s="113" t="n"/>
      <c r="W4621" s="113" t="n"/>
      <c r="X4621" s="113" t="n"/>
      <c r="Y4621" s="113" t="n"/>
      <c r="Z4621" s="117">
        <f>IF($B4621="",0,IF($S4621="EVET",IF($D4621="GELİR",$O4621,-$O4621),0))</f>
        <v/>
      </c>
      <c r="AA4621" s="117">
        <f>IF($B4621="",0,IF(OR($W4621="EVET",$X4621="EVET",$Y4621="EVET"),0,IF($D4621="GELİR",IF($E4621="SATIŞ İADESİ/İSKONTO",-$O4621,$O4621),-$O4621)))</f>
        <v/>
      </c>
      <c r="AB4621" s="117">
        <f>IF($B4621="","",IF(OR($D4621="",$E4621="",$O4621=""),"EKSİK",IF($O4621&lt;=0,"SIFIR/NEGATİF",IF(COUNTIFS($C$6:$C$5000,$C4621,$O$6:$O$5000,$O4621,$B$6:$B$5000,$B4621)&gt;1,"MÜKERRER","OK"))))</f>
        <v/>
      </c>
    </row>
    <row r="4622" ht="16.5" customHeight="1" s="80">
      <c r="A4622" s="113" t="n"/>
      <c r="B4622" s="113" t="n"/>
      <c r="C4622" s="113" t="n"/>
      <c r="D4622" s="113" t="n"/>
      <c r="E4622" s="113" t="n"/>
      <c r="F4622" s="113" t="n"/>
      <c r="G4622" s="113" t="n"/>
      <c r="H4622" s="113" t="n"/>
      <c r="I4622" s="113" t="n"/>
      <c r="J4622" s="113" t="n"/>
      <c r="K4622" s="113" t="n"/>
      <c r="L4622" s="113" t="n"/>
      <c r="M4622" s="113" t="n"/>
      <c r="N4622" s="113" t="n"/>
      <c r="O4622" s="113" t="n"/>
      <c r="P4622" s="113" t="n"/>
      <c r="Q4622" s="113" t="n"/>
      <c r="R4622" s="113" t="n"/>
      <c r="S4622" s="113" t="n"/>
      <c r="T4622" s="113" t="n"/>
      <c r="U4622" s="113" t="n"/>
      <c r="V4622" s="113" t="n"/>
      <c r="W4622" s="113" t="n"/>
      <c r="X4622" s="113" t="n"/>
      <c r="Y4622" s="113" t="n"/>
      <c r="Z4622" s="117">
        <f>IF($B4622="",0,IF($S4622="EVET",IF($D4622="GELİR",$O4622,-$O4622),0))</f>
        <v/>
      </c>
      <c r="AA4622" s="117">
        <f>IF($B4622="",0,IF(OR($W4622="EVET",$X4622="EVET",$Y4622="EVET"),0,IF($D4622="GELİR",IF($E4622="SATIŞ İADESİ/İSKONTO",-$O4622,$O4622),-$O4622)))</f>
        <v/>
      </c>
      <c r="AB4622" s="117">
        <f>IF($B4622="","",IF(OR($D4622="",$E4622="",$O4622=""),"EKSİK",IF($O4622&lt;=0,"SIFIR/NEGATİF",IF(COUNTIFS($C$6:$C$5000,$C4622,$O$6:$O$5000,$O4622,$B$6:$B$5000,$B4622)&gt;1,"MÜKERRER","OK"))))</f>
        <v/>
      </c>
    </row>
    <row r="4623" ht="16.5" customHeight="1" s="80">
      <c r="A4623" s="113" t="n"/>
      <c r="B4623" s="113" t="n"/>
      <c r="C4623" s="113" t="n"/>
      <c r="D4623" s="113" t="n"/>
      <c r="E4623" s="113" t="n"/>
      <c r="F4623" s="113" t="n"/>
      <c r="G4623" s="113" t="n"/>
      <c r="H4623" s="113" t="n"/>
      <c r="I4623" s="113" t="n"/>
      <c r="J4623" s="113" t="n"/>
      <c r="K4623" s="113" t="n"/>
      <c r="L4623" s="113" t="n"/>
      <c r="M4623" s="113" t="n"/>
      <c r="N4623" s="113" t="n"/>
      <c r="O4623" s="113" t="n"/>
      <c r="P4623" s="113" t="n"/>
      <c r="Q4623" s="113" t="n"/>
      <c r="R4623" s="113" t="n"/>
      <c r="S4623" s="113" t="n"/>
      <c r="T4623" s="113" t="n"/>
      <c r="U4623" s="113" t="n"/>
      <c r="V4623" s="113" t="n"/>
      <c r="W4623" s="113" t="n"/>
      <c r="X4623" s="113" t="n"/>
      <c r="Y4623" s="113" t="n"/>
      <c r="Z4623" s="117">
        <f>IF($B4623="",0,IF($S4623="EVET",IF($D4623="GELİR",$O4623,-$O4623),0))</f>
        <v/>
      </c>
      <c r="AA4623" s="117">
        <f>IF($B4623="",0,IF(OR($W4623="EVET",$X4623="EVET",$Y4623="EVET"),0,IF($D4623="GELİR",IF($E4623="SATIŞ İADESİ/İSKONTO",-$O4623,$O4623),-$O4623)))</f>
        <v/>
      </c>
      <c r="AB4623" s="117">
        <f>IF($B4623="","",IF(OR($D4623="",$E4623="",$O4623=""),"EKSİK",IF($O4623&lt;=0,"SIFIR/NEGATİF",IF(COUNTIFS($C$6:$C$5000,$C4623,$O$6:$O$5000,$O4623,$B$6:$B$5000,$B4623)&gt;1,"MÜKERRER","OK"))))</f>
        <v/>
      </c>
    </row>
    <row r="4624" ht="16.5" customHeight="1" s="80">
      <c r="A4624" s="113" t="n"/>
      <c r="B4624" s="113" t="n"/>
      <c r="C4624" s="113" t="n"/>
      <c r="D4624" s="113" t="n"/>
      <c r="E4624" s="113" t="n"/>
      <c r="F4624" s="113" t="n"/>
      <c r="G4624" s="113" t="n"/>
      <c r="H4624" s="113" t="n"/>
      <c r="I4624" s="113" t="n"/>
      <c r="J4624" s="113" t="n"/>
      <c r="K4624" s="113" t="n"/>
      <c r="L4624" s="113" t="n"/>
      <c r="M4624" s="113" t="n"/>
      <c r="N4624" s="113" t="n"/>
      <c r="O4624" s="113" t="n"/>
      <c r="P4624" s="113" t="n"/>
      <c r="Q4624" s="113" t="n"/>
      <c r="R4624" s="113" t="n"/>
      <c r="S4624" s="113" t="n"/>
      <c r="T4624" s="113" t="n"/>
      <c r="U4624" s="113" t="n"/>
      <c r="V4624" s="113" t="n"/>
      <c r="W4624" s="113" t="n"/>
      <c r="X4624" s="113" t="n"/>
      <c r="Y4624" s="113" t="n"/>
      <c r="Z4624" s="117">
        <f>IF($B4624="",0,IF($S4624="EVET",IF($D4624="GELİR",$O4624,-$O4624),0))</f>
        <v/>
      </c>
      <c r="AA4624" s="117">
        <f>IF($B4624="",0,IF(OR($W4624="EVET",$X4624="EVET",$Y4624="EVET"),0,IF($D4624="GELİR",IF($E4624="SATIŞ İADESİ/İSKONTO",-$O4624,$O4624),-$O4624)))</f>
        <v/>
      </c>
      <c r="AB4624" s="117">
        <f>IF($B4624="","",IF(OR($D4624="",$E4624="",$O4624=""),"EKSİK",IF($O4624&lt;=0,"SIFIR/NEGATİF",IF(COUNTIFS($C$6:$C$5000,$C4624,$O$6:$O$5000,$O4624,$B$6:$B$5000,$B4624)&gt;1,"MÜKERRER","OK"))))</f>
        <v/>
      </c>
    </row>
    <row r="4625" ht="16.5" customHeight="1" s="80">
      <c r="A4625" s="113" t="n"/>
      <c r="B4625" s="113" t="n"/>
      <c r="C4625" s="113" t="n"/>
      <c r="D4625" s="113" t="n"/>
      <c r="E4625" s="113" t="n"/>
      <c r="F4625" s="113" t="n"/>
      <c r="G4625" s="113" t="n"/>
      <c r="H4625" s="113" t="n"/>
      <c r="I4625" s="113" t="n"/>
      <c r="J4625" s="113" t="n"/>
      <c r="K4625" s="113" t="n"/>
      <c r="L4625" s="113" t="n"/>
      <c r="M4625" s="113" t="n"/>
      <c r="N4625" s="113" t="n"/>
      <c r="O4625" s="113" t="n"/>
      <c r="P4625" s="113" t="n"/>
      <c r="Q4625" s="113" t="n"/>
      <c r="R4625" s="113" t="n"/>
      <c r="S4625" s="113" t="n"/>
      <c r="T4625" s="113" t="n"/>
      <c r="U4625" s="113" t="n"/>
      <c r="V4625" s="113" t="n"/>
      <c r="W4625" s="113" t="n"/>
      <c r="X4625" s="113" t="n"/>
      <c r="Y4625" s="113" t="n"/>
      <c r="Z4625" s="117">
        <f>IF($B4625="",0,IF($S4625="EVET",IF($D4625="GELİR",$O4625,-$O4625),0))</f>
        <v/>
      </c>
      <c r="AA4625" s="117">
        <f>IF($B4625="",0,IF(OR($W4625="EVET",$X4625="EVET",$Y4625="EVET"),0,IF($D4625="GELİR",IF($E4625="SATIŞ İADESİ/İSKONTO",-$O4625,$O4625),-$O4625)))</f>
        <v/>
      </c>
      <c r="AB4625" s="117">
        <f>IF($B4625="","",IF(OR($D4625="",$E4625="",$O4625=""),"EKSİK",IF($O4625&lt;=0,"SIFIR/NEGATİF",IF(COUNTIFS($C$6:$C$5000,$C4625,$O$6:$O$5000,$O4625,$B$6:$B$5000,$B4625)&gt;1,"MÜKERRER","OK"))))</f>
        <v/>
      </c>
    </row>
    <row r="4626" ht="16.5" customHeight="1" s="80">
      <c r="A4626" s="113" t="n"/>
      <c r="B4626" s="113" t="n"/>
      <c r="C4626" s="113" t="n"/>
      <c r="D4626" s="113" t="n"/>
      <c r="E4626" s="113" t="n"/>
      <c r="F4626" s="113" t="n"/>
      <c r="G4626" s="113" t="n"/>
      <c r="H4626" s="113" t="n"/>
      <c r="I4626" s="113" t="n"/>
      <c r="J4626" s="113" t="n"/>
      <c r="K4626" s="113" t="n"/>
      <c r="L4626" s="113" t="n"/>
      <c r="M4626" s="113" t="n"/>
      <c r="N4626" s="113" t="n"/>
      <c r="O4626" s="113" t="n"/>
      <c r="P4626" s="113" t="n"/>
      <c r="Q4626" s="113" t="n"/>
      <c r="R4626" s="113" t="n"/>
      <c r="S4626" s="113" t="n"/>
      <c r="T4626" s="113" t="n"/>
      <c r="U4626" s="113" t="n"/>
      <c r="V4626" s="113" t="n"/>
      <c r="W4626" s="113" t="n"/>
      <c r="X4626" s="113" t="n"/>
      <c r="Y4626" s="113" t="n"/>
      <c r="Z4626" s="117">
        <f>IF($B4626="",0,IF($S4626="EVET",IF($D4626="GELİR",$O4626,-$O4626),0))</f>
        <v/>
      </c>
      <c r="AA4626" s="117">
        <f>IF($B4626="",0,IF(OR($W4626="EVET",$X4626="EVET",$Y4626="EVET"),0,IF($D4626="GELİR",IF($E4626="SATIŞ İADESİ/İSKONTO",-$O4626,$O4626),-$O4626)))</f>
        <v/>
      </c>
      <c r="AB4626" s="117">
        <f>IF($B4626="","",IF(OR($D4626="",$E4626="",$O4626=""),"EKSİK",IF($O4626&lt;=0,"SIFIR/NEGATİF",IF(COUNTIFS($C$6:$C$5000,$C4626,$O$6:$O$5000,$O4626,$B$6:$B$5000,$B4626)&gt;1,"MÜKERRER","OK"))))</f>
        <v/>
      </c>
    </row>
    <row r="4627" ht="16.5" customHeight="1" s="80">
      <c r="A4627" s="113" t="n"/>
      <c r="B4627" s="113" t="n"/>
      <c r="C4627" s="113" t="n"/>
      <c r="D4627" s="113" t="n"/>
      <c r="E4627" s="113" t="n"/>
      <c r="F4627" s="113" t="n"/>
      <c r="G4627" s="113" t="n"/>
      <c r="H4627" s="113" t="n"/>
      <c r="I4627" s="113" t="n"/>
      <c r="J4627" s="113" t="n"/>
      <c r="K4627" s="113" t="n"/>
      <c r="L4627" s="113" t="n"/>
      <c r="M4627" s="113" t="n"/>
      <c r="N4627" s="113" t="n"/>
      <c r="O4627" s="113" t="n"/>
      <c r="P4627" s="113" t="n"/>
      <c r="Q4627" s="113" t="n"/>
      <c r="R4627" s="113" t="n"/>
      <c r="S4627" s="113" t="n"/>
      <c r="T4627" s="113" t="n"/>
      <c r="U4627" s="113" t="n"/>
      <c r="V4627" s="113" t="n"/>
      <c r="W4627" s="113" t="n"/>
      <c r="X4627" s="113" t="n"/>
      <c r="Y4627" s="113" t="n"/>
      <c r="Z4627" s="117">
        <f>IF($B4627="",0,IF($S4627="EVET",IF($D4627="GELİR",$O4627,-$O4627),0))</f>
        <v/>
      </c>
      <c r="AA4627" s="117">
        <f>IF($B4627="",0,IF(OR($W4627="EVET",$X4627="EVET",$Y4627="EVET"),0,IF($D4627="GELİR",IF($E4627="SATIŞ İADESİ/İSKONTO",-$O4627,$O4627),-$O4627)))</f>
        <v/>
      </c>
      <c r="AB4627" s="117">
        <f>IF($B4627="","",IF(OR($D4627="",$E4627="",$O4627=""),"EKSİK",IF($O4627&lt;=0,"SIFIR/NEGATİF",IF(COUNTIFS($C$6:$C$5000,$C4627,$O$6:$O$5000,$O4627,$B$6:$B$5000,$B4627)&gt;1,"MÜKERRER","OK"))))</f>
        <v/>
      </c>
    </row>
    <row r="4628" ht="16.5" customHeight="1" s="80">
      <c r="A4628" s="113" t="n"/>
      <c r="B4628" s="113" t="n"/>
      <c r="C4628" s="113" t="n"/>
      <c r="D4628" s="113" t="n"/>
      <c r="E4628" s="113" t="n"/>
      <c r="F4628" s="113" t="n"/>
      <c r="G4628" s="113" t="n"/>
      <c r="H4628" s="113" t="n"/>
      <c r="I4628" s="113" t="n"/>
      <c r="J4628" s="113" t="n"/>
      <c r="K4628" s="113" t="n"/>
      <c r="L4628" s="113" t="n"/>
      <c r="M4628" s="113" t="n"/>
      <c r="N4628" s="113" t="n"/>
      <c r="O4628" s="113" t="n"/>
      <c r="P4628" s="113" t="n"/>
      <c r="Q4628" s="113" t="n"/>
      <c r="R4628" s="113" t="n"/>
      <c r="S4628" s="113" t="n"/>
      <c r="T4628" s="113" t="n"/>
      <c r="U4628" s="113" t="n"/>
      <c r="V4628" s="113" t="n"/>
      <c r="W4628" s="113" t="n"/>
      <c r="X4628" s="113" t="n"/>
      <c r="Y4628" s="113" t="n"/>
      <c r="Z4628" s="117">
        <f>IF($B4628="",0,IF($S4628="EVET",IF($D4628="GELİR",$O4628,-$O4628),0))</f>
        <v/>
      </c>
      <c r="AA4628" s="117">
        <f>IF($B4628="",0,IF(OR($W4628="EVET",$X4628="EVET",$Y4628="EVET"),0,IF($D4628="GELİR",IF($E4628="SATIŞ İADESİ/İSKONTO",-$O4628,$O4628),-$O4628)))</f>
        <v/>
      </c>
      <c r="AB4628" s="117">
        <f>IF($B4628="","",IF(OR($D4628="",$E4628="",$O4628=""),"EKSİK",IF($O4628&lt;=0,"SIFIR/NEGATİF",IF(COUNTIFS($C$6:$C$5000,$C4628,$O$6:$O$5000,$O4628,$B$6:$B$5000,$B4628)&gt;1,"MÜKERRER","OK"))))</f>
        <v/>
      </c>
    </row>
    <row r="4629" ht="16.5" customHeight="1" s="80">
      <c r="A4629" s="113" t="n"/>
      <c r="B4629" s="113" t="n"/>
      <c r="C4629" s="113" t="n"/>
      <c r="D4629" s="113" t="n"/>
      <c r="E4629" s="113" t="n"/>
      <c r="F4629" s="113" t="n"/>
      <c r="G4629" s="113" t="n"/>
      <c r="H4629" s="113" t="n"/>
      <c r="I4629" s="113" t="n"/>
      <c r="J4629" s="113" t="n"/>
      <c r="K4629" s="113" t="n"/>
      <c r="L4629" s="113" t="n"/>
      <c r="M4629" s="113" t="n"/>
      <c r="N4629" s="113" t="n"/>
      <c r="O4629" s="113" t="n"/>
      <c r="P4629" s="113" t="n"/>
      <c r="Q4629" s="113" t="n"/>
      <c r="R4629" s="113" t="n"/>
      <c r="S4629" s="113" t="n"/>
      <c r="T4629" s="113" t="n"/>
      <c r="U4629" s="113" t="n"/>
      <c r="V4629" s="113" t="n"/>
      <c r="W4629" s="113" t="n"/>
      <c r="X4629" s="113" t="n"/>
      <c r="Y4629" s="113" t="n"/>
      <c r="Z4629" s="117">
        <f>IF($B4629="",0,IF($S4629="EVET",IF($D4629="GELİR",$O4629,-$O4629),0))</f>
        <v/>
      </c>
      <c r="AA4629" s="117">
        <f>IF($B4629="",0,IF(OR($W4629="EVET",$X4629="EVET",$Y4629="EVET"),0,IF($D4629="GELİR",IF($E4629="SATIŞ İADESİ/İSKONTO",-$O4629,$O4629),-$O4629)))</f>
        <v/>
      </c>
      <c r="AB4629" s="117">
        <f>IF($B4629="","",IF(OR($D4629="",$E4629="",$O4629=""),"EKSİK",IF($O4629&lt;=0,"SIFIR/NEGATİF",IF(COUNTIFS($C$6:$C$5000,$C4629,$O$6:$O$5000,$O4629,$B$6:$B$5000,$B4629)&gt;1,"MÜKERRER","OK"))))</f>
        <v/>
      </c>
    </row>
    <row r="4630" ht="16.5" customHeight="1" s="80">
      <c r="A4630" s="113" t="n"/>
      <c r="B4630" s="113" t="n"/>
      <c r="C4630" s="113" t="n"/>
      <c r="D4630" s="113" t="n"/>
      <c r="E4630" s="113" t="n"/>
      <c r="F4630" s="113" t="n"/>
      <c r="G4630" s="113" t="n"/>
      <c r="H4630" s="113" t="n"/>
      <c r="I4630" s="113" t="n"/>
      <c r="J4630" s="113" t="n"/>
      <c r="K4630" s="113" t="n"/>
      <c r="L4630" s="113" t="n"/>
      <c r="M4630" s="113" t="n"/>
      <c r="N4630" s="113" t="n"/>
      <c r="O4630" s="113" t="n"/>
      <c r="P4630" s="113" t="n"/>
      <c r="Q4630" s="113" t="n"/>
      <c r="R4630" s="113" t="n"/>
      <c r="S4630" s="113" t="n"/>
      <c r="T4630" s="113" t="n"/>
      <c r="U4630" s="113" t="n"/>
      <c r="V4630" s="113" t="n"/>
      <c r="W4630" s="113" t="n"/>
      <c r="X4630" s="113" t="n"/>
      <c r="Y4630" s="113" t="n"/>
      <c r="Z4630" s="117">
        <f>IF($B4630="",0,IF($S4630="EVET",IF($D4630="GELİR",$O4630,-$O4630),0))</f>
        <v/>
      </c>
      <c r="AA4630" s="117">
        <f>IF($B4630="",0,IF(OR($W4630="EVET",$X4630="EVET",$Y4630="EVET"),0,IF($D4630="GELİR",IF($E4630="SATIŞ İADESİ/İSKONTO",-$O4630,$O4630),-$O4630)))</f>
        <v/>
      </c>
      <c r="AB4630" s="117">
        <f>IF($B4630="","",IF(OR($D4630="",$E4630="",$O4630=""),"EKSİK",IF($O4630&lt;=0,"SIFIR/NEGATİF",IF(COUNTIFS($C$6:$C$5000,$C4630,$O$6:$O$5000,$O4630,$B$6:$B$5000,$B4630)&gt;1,"MÜKERRER","OK"))))</f>
        <v/>
      </c>
    </row>
    <row r="4631" ht="16.5" customHeight="1" s="80">
      <c r="A4631" s="113" t="n"/>
      <c r="B4631" s="113" t="n"/>
      <c r="C4631" s="113" t="n"/>
      <c r="D4631" s="113" t="n"/>
      <c r="E4631" s="113" t="n"/>
      <c r="F4631" s="113" t="n"/>
      <c r="G4631" s="113" t="n"/>
      <c r="H4631" s="113" t="n"/>
      <c r="I4631" s="113" t="n"/>
      <c r="J4631" s="113" t="n"/>
      <c r="K4631" s="113" t="n"/>
      <c r="L4631" s="113" t="n"/>
      <c r="M4631" s="113" t="n"/>
      <c r="N4631" s="113" t="n"/>
      <c r="O4631" s="113" t="n"/>
      <c r="P4631" s="113" t="n"/>
      <c r="Q4631" s="113" t="n"/>
      <c r="R4631" s="113" t="n"/>
      <c r="S4631" s="113" t="n"/>
      <c r="T4631" s="113" t="n"/>
      <c r="U4631" s="113" t="n"/>
      <c r="V4631" s="113" t="n"/>
      <c r="W4631" s="113" t="n"/>
      <c r="X4631" s="113" t="n"/>
      <c r="Y4631" s="113" t="n"/>
      <c r="Z4631" s="117">
        <f>IF($B4631="",0,IF($S4631="EVET",IF($D4631="GELİR",$O4631,-$O4631),0))</f>
        <v/>
      </c>
      <c r="AA4631" s="117">
        <f>IF($B4631="",0,IF(OR($W4631="EVET",$X4631="EVET",$Y4631="EVET"),0,IF($D4631="GELİR",IF($E4631="SATIŞ İADESİ/İSKONTO",-$O4631,$O4631),-$O4631)))</f>
        <v/>
      </c>
      <c r="AB4631" s="117">
        <f>IF($B4631="","",IF(OR($D4631="",$E4631="",$O4631=""),"EKSİK",IF($O4631&lt;=0,"SIFIR/NEGATİF",IF(COUNTIFS($C$6:$C$5000,$C4631,$O$6:$O$5000,$O4631,$B$6:$B$5000,$B4631)&gt;1,"MÜKERRER","OK"))))</f>
        <v/>
      </c>
    </row>
    <row r="4632" ht="16.5" customHeight="1" s="80">
      <c r="A4632" s="113" t="n"/>
      <c r="B4632" s="113" t="n"/>
      <c r="C4632" s="113" t="n"/>
      <c r="D4632" s="113" t="n"/>
      <c r="E4632" s="113" t="n"/>
      <c r="F4632" s="113" t="n"/>
      <c r="G4632" s="113" t="n"/>
      <c r="H4632" s="113" t="n"/>
      <c r="I4632" s="113" t="n"/>
      <c r="J4632" s="113" t="n"/>
      <c r="K4632" s="113" t="n"/>
      <c r="L4632" s="113" t="n"/>
      <c r="M4632" s="113" t="n"/>
      <c r="N4632" s="113" t="n"/>
      <c r="O4632" s="113" t="n"/>
      <c r="P4632" s="113" t="n"/>
      <c r="Q4632" s="113" t="n"/>
      <c r="R4632" s="113" t="n"/>
      <c r="S4632" s="113" t="n"/>
      <c r="T4632" s="113" t="n"/>
      <c r="U4632" s="113" t="n"/>
      <c r="V4632" s="113" t="n"/>
      <c r="W4632" s="113" t="n"/>
      <c r="X4632" s="113" t="n"/>
      <c r="Y4632" s="113" t="n"/>
      <c r="Z4632" s="117">
        <f>IF($B4632="",0,IF($S4632="EVET",IF($D4632="GELİR",$O4632,-$O4632),0))</f>
        <v/>
      </c>
      <c r="AA4632" s="117">
        <f>IF($B4632="",0,IF(OR($W4632="EVET",$X4632="EVET",$Y4632="EVET"),0,IF($D4632="GELİR",IF($E4632="SATIŞ İADESİ/İSKONTO",-$O4632,$O4632),-$O4632)))</f>
        <v/>
      </c>
      <c r="AB4632" s="117">
        <f>IF($B4632="","",IF(OR($D4632="",$E4632="",$O4632=""),"EKSİK",IF($O4632&lt;=0,"SIFIR/NEGATİF",IF(COUNTIFS($C$6:$C$5000,$C4632,$O$6:$O$5000,$O4632,$B$6:$B$5000,$B4632)&gt;1,"MÜKERRER","OK"))))</f>
        <v/>
      </c>
    </row>
    <row r="4633" ht="16.5" customHeight="1" s="80">
      <c r="A4633" s="113" t="n"/>
      <c r="B4633" s="113" t="n"/>
      <c r="C4633" s="113" t="n"/>
      <c r="D4633" s="113" t="n"/>
      <c r="E4633" s="113" t="n"/>
      <c r="F4633" s="113" t="n"/>
      <c r="G4633" s="113" t="n"/>
      <c r="H4633" s="113" t="n"/>
      <c r="I4633" s="113" t="n"/>
      <c r="J4633" s="113" t="n"/>
      <c r="K4633" s="113" t="n"/>
      <c r="L4633" s="113" t="n"/>
      <c r="M4633" s="113" t="n"/>
      <c r="N4633" s="113" t="n"/>
      <c r="O4633" s="113" t="n"/>
      <c r="P4633" s="113" t="n"/>
      <c r="Q4633" s="113" t="n"/>
      <c r="R4633" s="113" t="n"/>
      <c r="S4633" s="113" t="n"/>
      <c r="T4633" s="113" t="n"/>
      <c r="U4633" s="113" t="n"/>
      <c r="V4633" s="113" t="n"/>
      <c r="W4633" s="113" t="n"/>
      <c r="X4633" s="113" t="n"/>
      <c r="Y4633" s="113" t="n"/>
      <c r="Z4633" s="117">
        <f>IF($B4633="",0,IF($S4633="EVET",IF($D4633="GELİR",$O4633,-$O4633),0))</f>
        <v/>
      </c>
      <c r="AA4633" s="117">
        <f>IF($B4633="",0,IF(OR($W4633="EVET",$X4633="EVET",$Y4633="EVET"),0,IF($D4633="GELİR",IF($E4633="SATIŞ İADESİ/İSKONTO",-$O4633,$O4633),-$O4633)))</f>
        <v/>
      </c>
      <c r="AB4633" s="117">
        <f>IF($B4633="","",IF(OR($D4633="",$E4633="",$O4633=""),"EKSİK",IF($O4633&lt;=0,"SIFIR/NEGATİF",IF(COUNTIFS($C$6:$C$5000,$C4633,$O$6:$O$5000,$O4633,$B$6:$B$5000,$B4633)&gt;1,"MÜKERRER","OK"))))</f>
        <v/>
      </c>
    </row>
    <row r="4634" ht="16.5" customHeight="1" s="80">
      <c r="A4634" s="113" t="n"/>
      <c r="B4634" s="113" t="n"/>
      <c r="C4634" s="113" t="n"/>
      <c r="D4634" s="113" t="n"/>
      <c r="E4634" s="113" t="n"/>
      <c r="F4634" s="113" t="n"/>
      <c r="G4634" s="113" t="n"/>
      <c r="H4634" s="113" t="n"/>
      <c r="I4634" s="113" t="n"/>
      <c r="J4634" s="113" t="n"/>
      <c r="K4634" s="113" t="n"/>
      <c r="L4634" s="113" t="n"/>
      <c r="M4634" s="113" t="n"/>
      <c r="N4634" s="113" t="n"/>
      <c r="O4634" s="113" t="n"/>
      <c r="P4634" s="113" t="n"/>
      <c r="Q4634" s="113" t="n"/>
      <c r="R4634" s="113" t="n"/>
      <c r="S4634" s="113" t="n"/>
      <c r="T4634" s="113" t="n"/>
      <c r="U4634" s="113" t="n"/>
      <c r="V4634" s="113" t="n"/>
      <c r="W4634" s="113" t="n"/>
      <c r="X4634" s="113" t="n"/>
      <c r="Y4634" s="113" t="n"/>
      <c r="Z4634" s="117">
        <f>IF($B4634="",0,IF($S4634="EVET",IF($D4634="GELİR",$O4634,-$O4634),0))</f>
        <v/>
      </c>
      <c r="AA4634" s="117">
        <f>IF($B4634="",0,IF(OR($W4634="EVET",$X4634="EVET",$Y4634="EVET"),0,IF($D4634="GELİR",IF($E4634="SATIŞ İADESİ/İSKONTO",-$O4634,$O4634),-$O4634)))</f>
        <v/>
      </c>
      <c r="AB4634" s="117">
        <f>IF($B4634="","",IF(OR($D4634="",$E4634="",$O4634=""),"EKSİK",IF($O4634&lt;=0,"SIFIR/NEGATİF",IF(COUNTIFS($C$6:$C$5000,$C4634,$O$6:$O$5000,$O4634,$B$6:$B$5000,$B4634)&gt;1,"MÜKERRER","OK"))))</f>
        <v/>
      </c>
    </row>
    <row r="4635" ht="16.5" customHeight="1" s="80">
      <c r="A4635" s="113" t="n"/>
      <c r="B4635" s="113" t="n"/>
      <c r="C4635" s="113" t="n"/>
      <c r="D4635" s="113" t="n"/>
      <c r="E4635" s="113" t="n"/>
      <c r="F4635" s="113" t="n"/>
      <c r="G4635" s="113" t="n"/>
      <c r="H4635" s="113" t="n"/>
      <c r="I4635" s="113" t="n"/>
      <c r="J4635" s="113" t="n"/>
      <c r="K4635" s="113" t="n"/>
      <c r="L4635" s="113" t="n"/>
      <c r="M4635" s="113" t="n"/>
      <c r="N4635" s="113" t="n"/>
      <c r="O4635" s="113" t="n"/>
      <c r="P4635" s="113" t="n"/>
      <c r="Q4635" s="113" t="n"/>
      <c r="R4635" s="113" t="n"/>
      <c r="S4635" s="113" t="n"/>
      <c r="T4635" s="113" t="n"/>
      <c r="U4635" s="113" t="n"/>
      <c r="V4635" s="113" t="n"/>
      <c r="W4635" s="113" t="n"/>
      <c r="X4635" s="113" t="n"/>
      <c r="Y4635" s="113" t="n"/>
      <c r="Z4635" s="117">
        <f>IF($B4635="",0,IF($S4635="EVET",IF($D4635="GELİR",$O4635,-$O4635),0))</f>
        <v/>
      </c>
      <c r="AA4635" s="117">
        <f>IF($B4635="",0,IF(OR($W4635="EVET",$X4635="EVET",$Y4635="EVET"),0,IF($D4635="GELİR",IF($E4635="SATIŞ İADESİ/İSKONTO",-$O4635,$O4635),-$O4635)))</f>
        <v/>
      </c>
      <c r="AB4635" s="117">
        <f>IF($B4635="","",IF(OR($D4635="",$E4635="",$O4635=""),"EKSİK",IF($O4635&lt;=0,"SIFIR/NEGATİF",IF(COUNTIFS($C$6:$C$5000,$C4635,$O$6:$O$5000,$O4635,$B$6:$B$5000,$B4635)&gt;1,"MÜKERRER","OK"))))</f>
        <v/>
      </c>
    </row>
    <row r="4636" ht="16.5" customHeight="1" s="80">
      <c r="A4636" s="113" t="n"/>
      <c r="B4636" s="113" t="n"/>
      <c r="C4636" s="113" t="n"/>
      <c r="D4636" s="113" t="n"/>
      <c r="E4636" s="113" t="n"/>
      <c r="F4636" s="113" t="n"/>
      <c r="G4636" s="113" t="n"/>
      <c r="H4636" s="113" t="n"/>
      <c r="I4636" s="113" t="n"/>
      <c r="J4636" s="113" t="n"/>
      <c r="K4636" s="113" t="n"/>
      <c r="L4636" s="113" t="n"/>
      <c r="M4636" s="113" t="n"/>
      <c r="N4636" s="113" t="n"/>
      <c r="O4636" s="113" t="n"/>
      <c r="P4636" s="113" t="n"/>
      <c r="Q4636" s="113" t="n"/>
      <c r="R4636" s="113" t="n"/>
      <c r="S4636" s="113" t="n"/>
      <c r="T4636" s="113" t="n"/>
      <c r="U4636" s="113" t="n"/>
      <c r="V4636" s="113" t="n"/>
      <c r="W4636" s="113" t="n"/>
      <c r="X4636" s="113" t="n"/>
      <c r="Y4636" s="113" t="n"/>
      <c r="Z4636" s="117">
        <f>IF($B4636="",0,IF($S4636="EVET",IF($D4636="GELİR",$O4636,-$O4636),0))</f>
        <v/>
      </c>
      <c r="AA4636" s="117">
        <f>IF($B4636="",0,IF(OR($W4636="EVET",$X4636="EVET",$Y4636="EVET"),0,IF($D4636="GELİR",IF($E4636="SATIŞ İADESİ/İSKONTO",-$O4636,$O4636),-$O4636)))</f>
        <v/>
      </c>
      <c r="AB4636" s="117">
        <f>IF($B4636="","",IF(OR($D4636="",$E4636="",$O4636=""),"EKSİK",IF($O4636&lt;=0,"SIFIR/NEGATİF",IF(COUNTIFS($C$6:$C$5000,$C4636,$O$6:$O$5000,$O4636,$B$6:$B$5000,$B4636)&gt;1,"MÜKERRER","OK"))))</f>
        <v/>
      </c>
    </row>
    <row r="4637" ht="16.5" customHeight="1" s="80">
      <c r="A4637" s="113" t="n"/>
      <c r="B4637" s="113" t="n"/>
      <c r="C4637" s="113" t="n"/>
      <c r="D4637" s="113" t="n"/>
      <c r="E4637" s="113" t="n"/>
      <c r="F4637" s="113" t="n"/>
      <c r="G4637" s="113" t="n"/>
      <c r="H4637" s="113" t="n"/>
      <c r="I4637" s="113" t="n"/>
      <c r="J4637" s="113" t="n"/>
      <c r="K4637" s="113" t="n"/>
      <c r="L4637" s="113" t="n"/>
      <c r="M4637" s="113" t="n"/>
      <c r="N4637" s="113" t="n"/>
      <c r="O4637" s="113" t="n"/>
      <c r="P4637" s="113" t="n"/>
      <c r="Q4637" s="113" t="n"/>
      <c r="R4637" s="113" t="n"/>
      <c r="S4637" s="113" t="n"/>
      <c r="T4637" s="113" t="n"/>
      <c r="U4637" s="113" t="n"/>
      <c r="V4637" s="113" t="n"/>
      <c r="W4637" s="113" t="n"/>
      <c r="X4637" s="113" t="n"/>
      <c r="Y4637" s="113" t="n"/>
      <c r="Z4637" s="117">
        <f>IF($B4637="",0,IF($S4637="EVET",IF($D4637="GELİR",$O4637,-$O4637),0))</f>
        <v/>
      </c>
      <c r="AA4637" s="117">
        <f>IF($B4637="",0,IF(OR($W4637="EVET",$X4637="EVET",$Y4637="EVET"),0,IF($D4637="GELİR",IF($E4637="SATIŞ İADESİ/İSKONTO",-$O4637,$O4637),-$O4637)))</f>
        <v/>
      </c>
      <c r="AB4637" s="117">
        <f>IF($B4637="","",IF(OR($D4637="",$E4637="",$O4637=""),"EKSİK",IF($O4637&lt;=0,"SIFIR/NEGATİF",IF(COUNTIFS($C$6:$C$5000,$C4637,$O$6:$O$5000,$O4637,$B$6:$B$5000,$B4637)&gt;1,"MÜKERRER","OK"))))</f>
        <v/>
      </c>
    </row>
    <row r="4638" ht="16.5" customHeight="1" s="80">
      <c r="A4638" s="113" t="n"/>
      <c r="B4638" s="113" t="n"/>
      <c r="C4638" s="113" t="n"/>
      <c r="D4638" s="113" t="n"/>
      <c r="E4638" s="113" t="n"/>
      <c r="F4638" s="113" t="n"/>
      <c r="G4638" s="113" t="n"/>
      <c r="H4638" s="113" t="n"/>
      <c r="I4638" s="113" t="n"/>
      <c r="J4638" s="113" t="n"/>
      <c r="K4638" s="113" t="n"/>
      <c r="L4638" s="113" t="n"/>
      <c r="M4638" s="113" t="n"/>
      <c r="N4638" s="113" t="n"/>
      <c r="O4638" s="113" t="n"/>
      <c r="P4638" s="113" t="n"/>
      <c r="Q4638" s="113" t="n"/>
      <c r="R4638" s="113" t="n"/>
      <c r="S4638" s="113" t="n"/>
      <c r="T4638" s="113" t="n"/>
      <c r="U4638" s="113" t="n"/>
      <c r="V4638" s="113" t="n"/>
      <c r="W4638" s="113" t="n"/>
      <c r="X4638" s="113" t="n"/>
      <c r="Y4638" s="113" t="n"/>
      <c r="Z4638" s="117">
        <f>IF($B4638="",0,IF($S4638="EVET",IF($D4638="GELİR",$O4638,-$O4638),0))</f>
        <v/>
      </c>
      <c r="AA4638" s="117">
        <f>IF($B4638="",0,IF(OR($W4638="EVET",$X4638="EVET",$Y4638="EVET"),0,IF($D4638="GELİR",IF($E4638="SATIŞ İADESİ/İSKONTO",-$O4638,$O4638),-$O4638)))</f>
        <v/>
      </c>
      <c r="AB4638" s="117">
        <f>IF($B4638="","",IF(OR($D4638="",$E4638="",$O4638=""),"EKSİK",IF($O4638&lt;=0,"SIFIR/NEGATİF",IF(COUNTIFS($C$6:$C$5000,$C4638,$O$6:$O$5000,$O4638,$B$6:$B$5000,$B4638)&gt;1,"MÜKERRER","OK"))))</f>
        <v/>
      </c>
    </row>
    <row r="4639" ht="16.5" customHeight="1" s="80">
      <c r="A4639" s="113" t="n"/>
      <c r="B4639" s="113" t="n"/>
      <c r="C4639" s="113" t="n"/>
      <c r="D4639" s="113" t="n"/>
      <c r="E4639" s="113" t="n"/>
      <c r="F4639" s="113" t="n"/>
      <c r="G4639" s="113" t="n"/>
      <c r="H4639" s="113" t="n"/>
      <c r="I4639" s="113" t="n"/>
      <c r="J4639" s="113" t="n"/>
      <c r="K4639" s="113" t="n"/>
      <c r="L4639" s="113" t="n"/>
      <c r="M4639" s="113" t="n"/>
      <c r="N4639" s="113" t="n"/>
      <c r="O4639" s="113" t="n"/>
      <c r="P4639" s="113" t="n"/>
      <c r="Q4639" s="113" t="n"/>
      <c r="R4639" s="113" t="n"/>
      <c r="S4639" s="113" t="n"/>
      <c r="T4639" s="113" t="n"/>
      <c r="U4639" s="113" t="n"/>
      <c r="V4639" s="113" t="n"/>
      <c r="W4639" s="113" t="n"/>
      <c r="X4639" s="113" t="n"/>
      <c r="Y4639" s="113" t="n"/>
      <c r="Z4639" s="117">
        <f>IF($B4639="",0,IF($S4639="EVET",IF($D4639="GELİR",$O4639,-$O4639),0))</f>
        <v/>
      </c>
      <c r="AA4639" s="117">
        <f>IF($B4639="",0,IF(OR($W4639="EVET",$X4639="EVET",$Y4639="EVET"),0,IF($D4639="GELİR",IF($E4639="SATIŞ İADESİ/İSKONTO",-$O4639,$O4639),-$O4639)))</f>
        <v/>
      </c>
      <c r="AB4639" s="117">
        <f>IF($B4639="","",IF(OR($D4639="",$E4639="",$O4639=""),"EKSİK",IF($O4639&lt;=0,"SIFIR/NEGATİF",IF(COUNTIFS($C$6:$C$5000,$C4639,$O$6:$O$5000,$O4639,$B$6:$B$5000,$B4639)&gt;1,"MÜKERRER","OK"))))</f>
        <v/>
      </c>
    </row>
    <row r="4640" ht="16.5" customHeight="1" s="80">
      <c r="A4640" s="113" t="n"/>
      <c r="B4640" s="113" t="n"/>
      <c r="C4640" s="113" t="n"/>
      <c r="D4640" s="113" t="n"/>
      <c r="E4640" s="113" t="n"/>
      <c r="F4640" s="113" t="n"/>
      <c r="G4640" s="113" t="n"/>
      <c r="H4640" s="113" t="n"/>
      <c r="I4640" s="113" t="n"/>
      <c r="J4640" s="113" t="n"/>
      <c r="K4640" s="113" t="n"/>
      <c r="L4640" s="113" t="n"/>
      <c r="M4640" s="113" t="n"/>
      <c r="N4640" s="113" t="n"/>
      <c r="O4640" s="113" t="n"/>
      <c r="P4640" s="113" t="n"/>
      <c r="Q4640" s="113" t="n"/>
      <c r="R4640" s="113" t="n"/>
      <c r="S4640" s="113" t="n"/>
      <c r="T4640" s="113" t="n"/>
      <c r="U4640" s="113" t="n"/>
      <c r="V4640" s="113" t="n"/>
      <c r="W4640" s="113" t="n"/>
      <c r="X4640" s="113" t="n"/>
      <c r="Y4640" s="113" t="n"/>
      <c r="Z4640" s="117">
        <f>IF($B4640="",0,IF($S4640="EVET",IF($D4640="GELİR",$O4640,-$O4640),0))</f>
        <v/>
      </c>
      <c r="AA4640" s="117">
        <f>IF($B4640="",0,IF(OR($W4640="EVET",$X4640="EVET",$Y4640="EVET"),0,IF($D4640="GELİR",IF($E4640="SATIŞ İADESİ/İSKONTO",-$O4640,$O4640),-$O4640)))</f>
        <v/>
      </c>
      <c r="AB4640" s="117">
        <f>IF($B4640="","",IF(OR($D4640="",$E4640="",$O4640=""),"EKSİK",IF($O4640&lt;=0,"SIFIR/NEGATİF",IF(COUNTIFS($C$6:$C$5000,$C4640,$O$6:$O$5000,$O4640,$B$6:$B$5000,$B4640)&gt;1,"MÜKERRER","OK"))))</f>
        <v/>
      </c>
    </row>
    <row r="4641" ht="16.5" customHeight="1" s="80">
      <c r="A4641" s="113" t="n"/>
      <c r="B4641" s="113" t="n"/>
      <c r="C4641" s="113" t="n"/>
      <c r="D4641" s="113" t="n"/>
      <c r="E4641" s="113" t="n"/>
      <c r="F4641" s="113" t="n"/>
      <c r="G4641" s="113" t="n"/>
      <c r="H4641" s="113" t="n"/>
      <c r="I4641" s="113" t="n"/>
      <c r="J4641" s="113" t="n"/>
      <c r="K4641" s="113" t="n"/>
      <c r="L4641" s="113" t="n"/>
      <c r="M4641" s="113" t="n"/>
      <c r="N4641" s="113" t="n"/>
      <c r="O4641" s="113" t="n"/>
      <c r="P4641" s="113" t="n"/>
      <c r="Q4641" s="113" t="n"/>
      <c r="R4641" s="113" t="n"/>
      <c r="S4641" s="113" t="n"/>
      <c r="T4641" s="113" t="n"/>
      <c r="U4641" s="113" t="n"/>
      <c r="V4641" s="113" t="n"/>
      <c r="W4641" s="113" t="n"/>
      <c r="X4641" s="113" t="n"/>
      <c r="Y4641" s="113" t="n"/>
      <c r="Z4641" s="117">
        <f>IF($B4641="",0,IF($S4641="EVET",IF($D4641="GELİR",$O4641,-$O4641),0))</f>
        <v/>
      </c>
      <c r="AA4641" s="117">
        <f>IF($B4641="",0,IF(OR($W4641="EVET",$X4641="EVET",$Y4641="EVET"),0,IF($D4641="GELİR",IF($E4641="SATIŞ İADESİ/İSKONTO",-$O4641,$O4641),-$O4641)))</f>
        <v/>
      </c>
      <c r="AB4641" s="117">
        <f>IF($B4641="","",IF(OR($D4641="",$E4641="",$O4641=""),"EKSİK",IF($O4641&lt;=0,"SIFIR/NEGATİF",IF(COUNTIFS($C$6:$C$5000,$C4641,$O$6:$O$5000,$O4641,$B$6:$B$5000,$B4641)&gt;1,"MÜKERRER","OK"))))</f>
        <v/>
      </c>
    </row>
    <row r="4642" ht="16.5" customHeight="1" s="80">
      <c r="A4642" s="113" t="n"/>
      <c r="B4642" s="113" t="n"/>
      <c r="C4642" s="113" t="n"/>
      <c r="D4642" s="113" t="n"/>
      <c r="E4642" s="113" t="n"/>
      <c r="F4642" s="113" t="n"/>
      <c r="G4642" s="113" t="n"/>
      <c r="H4642" s="113" t="n"/>
      <c r="I4642" s="113" t="n"/>
      <c r="J4642" s="113" t="n"/>
      <c r="K4642" s="113" t="n"/>
      <c r="L4642" s="113" t="n"/>
      <c r="M4642" s="113" t="n"/>
      <c r="N4642" s="113" t="n"/>
      <c r="O4642" s="113" t="n"/>
      <c r="P4642" s="113" t="n"/>
      <c r="Q4642" s="113" t="n"/>
      <c r="R4642" s="113" t="n"/>
      <c r="S4642" s="113" t="n"/>
      <c r="T4642" s="113" t="n"/>
      <c r="U4642" s="113" t="n"/>
      <c r="V4642" s="113" t="n"/>
      <c r="W4642" s="113" t="n"/>
      <c r="X4642" s="113" t="n"/>
      <c r="Y4642" s="113" t="n"/>
      <c r="Z4642" s="117">
        <f>IF($B4642="",0,IF($S4642="EVET",IF($D4642="GELİR",$O4642,-$O4642),0))</f>
        <v/>
      </c>
      <c r="AA4642" s="117">
        <f>IF($B4642="",0,IF(OR($W4642="EVET",$X4642="EVET",$Y4642="EVET"),0,IF($D4642="GELİR",IF($E4642="SATIŞ İADESİ/İSKONTO",-$O4642,$O4642),-$O4642)))</f>
        <v/>
      </c>
      <c r="AB4642" s="117">
        <f>IF($B4642="","",IF(OR($D4642="",$E4642="",$O4642=""),"EKSİK",IF($O4642&lt;=0,"SIFIR/NEGATİF",IF(COUNTIFS($C$6:$C$5000,$C4642,$O$6:$O$5000,$O4642,$B$6:$B$5000,$B4642)&gt;1,"MÜKERRER","OK"))))</f>
        <v/>
      </c>
    </row>
    <row r="4643" ht="16.5" customHeight="1" s="80">
      <c r="A4643" s="113" t="n"/>
      <c r="B4643" s="113" t="n"/>
      <c r="C4643" s="113" t="n"/>
      <c r="D4643" s="113" t="n"/>
      <c r="E4643" s="113" t="n"/>
      <c r="F4643" s="113" t="n"/>
      <c r="G4643" s="113" t="n"/>
      <c r="H4643" s="113" t="n"/>
      <c r="I4643" s="113" t="n"/>
      <c r="J4643" s="113" t="n"/>
      <c r="K4643" s="113" t="n"/>
      <c r="L4643" s="113" t="n"/>
      <c r="M4643" s="113" t="n"/>
      <c r="N4643" s="113" t="n"/>
      <c r="O4643" s="113" t="n"/>
      <c r="P4643" s="113" t="n"/>
      <c r="Q4643" s="113" t="n"/>
      <c r="R4643" s="113" t="n"/>
      <c r="S4643" s="113" t="n"/>
      <c r="T4643" s="113" t="n"/>
      <c r="U4643" s="113" t="n"/>
      <c r="V4643" s="113" t="n"/>
      <c r="W4643" s="113" t="n"/>
      <c r="X4643" s="113" t="n"/>
      <c r="Y4643" s="113" t="n"/>
      <c r="Z4643" s="117">
        <f>IF($B4643="",0,IF($S4643="EVET",IF($D4643="GELİR",$O4643,-$O4643),0))</f>
        <v/>
      </c>
      <c r="AA4643" s="117">
        <f>IF($B4643="",0,IF(OR($W4643="EVET",$X4643="EVET",$Y4643="EVET"),0,IF($D4643="GELİR",IF($E4643="SATIŞ İADESİ/İSKONTO",-$O4643,$O4643),-$O4643)))</f>
        <v/>
      </c>
      <c r="AB4643" s="117">
        <f>IF($B4643="","",IF(OR($D4643="",$E4643="",$O4643=""),"EKSİK",IF($O4643&lt;=0,"SIFIR/NEGATİF",IF(COUNTIFS($C$6:$C$5000,$C4643,$O$6:$O$5000,$O4643,$B$6:$B$5000,$B4643)&gt;1,"MÜKERRER","OK"))))</f>
        <v/>
      </c>
    </row>
    <row r="4644" ht="16.5" customHeight="1" s="80">
      <c r="A4644" s="113" t="n"/>
      <c r="B4644" s="113" t="n"/>
      <c r="C4644" s="113" t="n"/>
      <c r="D4644" s="113" t="n"/>
      <c r="E4644" s="113" t="n"/>
      <c r="F4644" s="113" t="n"/>
      <c r="G4644" s="113" t="n"/>
      <c r="H4644" s="113" t="n"/>
      <c r="I4644" s="113" t="n"/>
      <c r="J4644" s="113" t="n"/>
      <c r="K4644" s="113" t="n"/>
      <c r="L4644" s="113" t="n"/>
      <c r="M4644" s="113" t="n"/>
      <c r="N4644" s="113" t="n"/>
      <c r="O4644" s="113" t="n"/>
      <c r="P4644" s="113" t="n"/>
      <c r="Q4644" s="113" t="n"/>
      <c r="R4644" s="113" t="n"/>
      <c r="S4644" s="113" t="n"/>
      <c r="T4644" s="113" t="n"/>
      <c r="U4644" s="113" t="n"/>
      <c r="V4644" s="113" t="n"/>
      <c r="W4644" s="113" t="n"/>
      <c r="X4644" s="113" t="n"/>
      <c r="Y4644" s="113" t="n"/>
      <c r="Z4644" s="117">
        <f>IF($B4644="",0,IF($S4644="EVET",IF($D4644="GELİR",$O4644,-$O4644),0))</f>
        <v/>
      </c>
      <c r="AA4644" s="117">
        <f>IF($B4644="",0,IF(OR($W4644="EVET",$X4644="EVET",$Y4644="EVET"),0,IF($D4644="GELİR",IF($E4644="SATIŞ İADESİ/İSKONTO",-$O4644,$O4644),-$O4644)))</f>
        <v/>
      </c>
      <c r="AB4644" s="117">
        <f>IF($B4644="","",IF(OR($D4644="",$E4644="",$O4644=""),"EKSİK",IF($O4644&lt;=0,"SIFIR/NEGATİF",IF(COUNTIFS($C$6:$C$5000,$C4644,$O$6:$O$5000,$O4644,$B$6:$B$5000,$B4644)&gt;1,"MÜKERRER","OK"))))</f>
        <v/>
      </c>
    </row>
    <row r="4645" ht="16.5" customHeight="1" s="80">
      <c r="A4645" s="113" t="n"/>
      <c r="B4645" s="113" t="n"/>
      <c r="C4645" s="113" t="n"/>
      <c r="D4645" s="113" t="n"/>
      <c r="E4645" s="113" t="n"/>
      <c r="F4645" s="113" t="n"/>
      <c r="G4645" s="113" t="n"/>
      <c r="H4645" s="113" t="n"/>
      <c r="I4645" s="113" t="n"/>
      <c r="J4645" s="113" t="n"/>
      <c r="K4645" s="113" t="n"/>
      <c r="L4645" s="113" t="n"/>
      <c r="M4645" s="113" t="n"/>
      <c r="N4645" s="113" t="n"/>
      <c r="O4645" s="113" t="n"/>
      <c r="P4645" s="113" t="n"/>
      <c r="Q4645" s="113" t="n"/>
      <c r="R4645" s="113" t="n"/>
      <c r="S4645" s="113" t="n"/>
      <c r="T4645" s="113" t="n"/>
      <c r="U4645" s="113" t="n"/>
      <c r="V4645" s="113" t="n"/>
      <c r="W4645" s="113" t="n"/>
      <c r="X4645" s="113" t="n"/>
      <c r="Y4645" s="113" t="n"/>
      <c r="Z4645" s="117">
        <f>IF($B4645="",0,IF($S4645="EVET",IF($D4645="GELİR",$O4645,-$O4645),0))</f>
        <v/>
      </c>
      <c r="AA4645" s="117">
        <f>IF($B4645="",0,IF(OR($W4645="EVET",$X4645="EVET",$Y4645="EVET"),0,IF($D4645="GELİR",IF($E4645="SATIŞ İADESİ/İSKONTO",-$O4645,$O4645),-$O4645)))</f>
        <v/>
      </c>
      <c r="AB4645" s="117">
        <f>IF($B4645="","",IF(OR($D4645="",$E4645="",$O4645=""),"EKSİK",IF($O4645&lt;=0,"SIFIR/NEGATİF",IF(COUNTIFS($C$6:$C$5000,$C4645,$O$6:$O$5000,$O4645,$B$6:$B$5000,$B4645)&gt;1,"MÜKERRER","OK"))))</f>
        <v/>
      </c>
    </row>
    <row r="4646" ht="16.5" customHeight="1" s="80">
      <c r="A4646" s="113" t="n"/>
      <c r="B4646" s="113" t="n"/>
      <c r="C4646" s="113" t="n"/>
      <c r="D4646" s="113" t="n"/>
      <c r="E4646" s="113" t="n"/>
      <c r="F4646" s="113" t="n"/>
      <c r="G4646" s="113" t="n"/>
      <c r="H4646" s="113" t="n"/>
      <c r="I4646" s="113" t="n"/>
      <c r="J4646" s="113" t="n"/>
      <c r="K4646" s="113" t="n"/>
      <c r="L4646" s="113" t="n"/>
      <c r="M4646" s="113" t="n"/>
      <c r="N4646" s="113" t="n"/>
      <c r="O4646" s="113" t="n"/>
      <c r="P4646" s="113" t="n"/>
      <c r="Q4646" s="113" t="n"/>
      <c r="R4646" s="113" t="n"/>
      <c r="S4646" s="113" t="n"/>
      <c r="T4646" s="113" t="n"/>
      <c r="U4646" s="113" t="n"/>
      <c r="V4646" s="113" t="n"/>
      <c r="W4646" s="113" t="n"/>
      <c r="X4646" s="113" t="n"/>
      <c r="Y4646" s="113" t="n"/>
      <c r="Z4646" s="117">
        <f>IF($B4646="",0,IF($S4646="EVET",IF($D4646="GELİR",$O4646,-$O4646),0))</f>
        <v/>
      </c>
      <c r="AA4646" s="117">
        <f>IF($B4646="",0,IF(OR($W4646="EVET",$X4646="EVET",$Y4646="EVET"),0,IF($D4646="GELİR",IF($E4646="SATIŞ İADESİ/İSKONTO",-$O4646,$O4646),-$O4646)))</f>
        <v/>
      </c>
      <c r="AB4646" s="117">
        <f>IF($B4646="","",IF(OR($D4646="",$E4646="",$O4646=""),"EKSİK",IF($O4646&lt;=0,"SIFIR/NEGATİF",IF(COUNTIFS($C$6:$C$5000,$C4646,$O$6:$O$5000,$O4646,$B$6:$B$5000,$B4646)&gt;1,"MÜKERRER","OK"))))</f>
        <v/>
      </c>
    </row>
    <row r="4647" ht="16.5" customHeight="1" s="80">
      <c r="A4647" s="113" t="n"/>
      <c r="B4647" s="113" t="n"/>
      <c r="C4647" s="113" t="n"/>
      <c r="D4647" s="113" t="n"/>
      <c r="E4647" s="113" t="n"/>
      <c r="F4647" s="113" t="n"/>
      <c r="G4647" s="113" t="n"/>
      <c r="H4647" s="113" t="n"/>
      <c r="I4647" s="113" t="n"/>
      <c r="J4647" s="113" t="n"/>
      <c r="K4647" s="113" t="n"/>
      <c r="L4647" s="113" t="n"/>
      <c r="M4647" s="113" t="n"/>
      <c r="N4647" s="113" t="n"/>
      <c r="O4647" s="113" t="n"/>
      <c r="P4647" s="113" t="n"/>
      <c r="Q4647" s="113" t="n"/>
      <c r="R4647" s="113" t="n"/>
      <c r="S4647" s="113" t="n"/>
      <c r="T4647" s="113" t="n"/>
      <c r="U4647" s="113" t="n"/>
      <c r="V4647" s="113" t="n"/>
      <c r="W4647" s="113" t="n"/>
      <c r="X4647" s="113" t="n"/>
      <c r="Y4647" s="113" t="n"/>
      <c r="Z4647" s="117">
        <f>IF($B4647="",0,IF($S4647="EVET",IF($D4647="GELİR",$O4647,-$O4647),0))</f>
        <v/>
      </c>
      <c r="AA4647" s="117">
        <f>IF($B4647="",0,IF(OR($W4647="EVET",$X4647="EVET",$Y4647="EVET"),0,IF($D4647="GELİR",IF($E4647="SATIŞ İADESİ/İSKONTO",-$O4647,$O4647),-$O4647)))</f>
        <v/>
      </c>
      <c r="AB4647" s="117">
        <f>IF($B4647="","",IF(OR($D4647="",$E4647="",$O4647=""),"EKSİK",IF($O4647&lt;=0,"SIFIR/NEGATİF",IF(COUNTIFS($C$6:$C$5000,$C4647,$O$6:$O$5000,$O4647,$B$6:$B$5000,$B4647)&gt;1,"MÜKERRER","OK"))))</f>
        <v/>
      </c>
    </row>
    <row r="4648" ht="16.5" customHeight="1" s="80">
      <c r="A4648" s="113" t="n"/>
      <c r="B4648" s="113" t="n"/>
      <c r="C4648" s="113" t="n"/>
      <c r="D4648" s="113" t="n"/>
      <c r="E4648" s="113" t="n"/>
      <c r="F4648" s="113" t="n"/>
      <c r="G4648" s="113" t="n"/>
      <c r="H4648" s="113" t="n"/>
      <c r="I4648" s="113" t="n"/>
      <c r="J4648" s="113" t="n"/>
      <c r="K4648" s="113" t="n"/>
      <c r="L4648" s="113" t="n"/>
      <c r="M4648" s="113" t="n"/>
      <c r="N4648" s="113" t="n"/>
      <c r="O4648" s="113" t="n"/>
      <c r="P4648" s="113" t="n"/>
      <c r="Q4648" s="113" t="n"/>
      <c r="R4648" s="113" t="n"/>
      <c r="S4648" s="113" t="n"/>
      <c r="T4648" s="113" t="n"/>
      <c r="U4648" s="113" t="n"/>
      <c r="V4648" s="113" t="n"/>
      <c r="W4648" s="113" t="n"/>
      <c r="X4648" s="113" t="n"/>
      <c r="Y4648" s="113" t="n"/>
      <c r="Z4648" s="117">
        <f>IF($B4648="",0,IF($S4648="EVET",IF($D4648="GELİR",$O4648,-$O4648),0))</f>
        <v/>
      </c>
      <c r="AA4648" s="117">
        <f>IF($B4648="",0,IF(OR($W4648="EVET",$X4648="EVET",$Y4648="EVET"),0,IF($D4648="GELİR",IF($E4648="SATIŞ İADESİ/İSKONTO",-$O4648,$O4648),-$O4648)))</f>
        <v/>
      </c>
      <c r="AB4648" s="117">
        <f>IF($B4648="","",IF(OR($D4648="",$E4648="",$O4648=""),"EKSİK",IF($O4648&lt;=0,"SIFIR/NEGATİF",IF(COUNTIFS($C$6:$C$5000,$C4648,$O$6:$O$5000,$O4648,$B$6:$B$5000,$B4648)&gt;1,"MÜKERRER","OK"))))</f>
        <v/>
      </c>
    </row>
    <row r="4649" ht="16.5" customHeight="1" s="80">
      <c r="A4649" s="113" t="n"/>
      <c r="B4649" s="113" t="n"/>
      <c r="C4649" s="113" t="n"/>
      <c r="D4649" s="113" t="n"/>
      <c r="E4649" s="113" t="n"/>
      <c r="F4649" s="113" t="n"/>
      <c r="G4649" s="113" t="n"/>
      <c r="H4649" s="113" t="n"/>
      <c r="I4649" s="113" t="n"/>
      <c r="J4649" s="113" t="n"/>
      <c r="K4649" s="113" t="n"/>
      <c r="L4649" s="113" t="n"/>
      <c r="M4649" s="113" t="n"/>
      <c r="N4649" s="113" t="n"/>
      <c r="O4649" s="113" t="n"/>
      <c r="P4649" s="113" t="n"/>
      <c r="Q4649" s="113" t="n"/>
      <c r="R4649" s="113" t="n"/>
      <c r="S4649" s="113" t="n"/>
      <c r="T4649" s="113" t="n"/>
      <c r="U4649" s="113" t="n"/>
      <c r="V4649" s="113" t="n"/>
      <c r="W4649" s="113" t="n"/>
      <c r="X4649" s="113" t="n"/>
      <c r="Y4649" s="113" t="n"/>
      <c r="Z4649" s="117">
        <f>IF($B4649="",0,IF($S4649="EVET",IF($D4649="GELİR",$O4649,-$O4649),0))</f>
        <v/>
      </c>
      <c r="AA4649" s="117">
        <f>IF($B4649="",0,IF(OR($W4649="EVET",$X4649="EVET",$Y4649="EVET"),0,IF($D4649="GELİR",IF($E4649="SATIŞ İADESİ/İSKONTO",-$O4649,$O4649),-$O4649)))</f>
        <v/>
      </c>
      <c r="AB4649" s="117">
        <f>IF($B4649="","",IF(OR($D4649="",$E4649="",$O4649=""),"EKSİK",IF($O4649&lt;=0,"SIFIR/NEGATİF",IF(COUNTIFS($C$6:$C$5000,$C4649,$O$6:$O$5000,$O4649,$B$6:$B$5000,$B4649)&gt;1,"MÜKERRER","OK"))))</f>
        <v/>
      </c>
    </row>
    <row r="4650" ht="16.5" customHeight="1" s="80">
      <c r="A4650" s="113" t="n"/>
      <c r="B4650" s="113" t="n"/>
      <c r="C4650" s="113" t="n"/>
      <c r="D4650" s="113" t="n"/>
      <c r="E4650" s="113" t="n"/>
      <c r="F4650" s="113" t="n"/>
      <c r="G4650" s="113" t="n"/>
      <c r="H4650" s="113" t="n"/>
      <c r="I4650" s="113" t="n"/>
      <c r="J4650" s="113" t="n"/>
      <c r="K4650" s="113" t="n"/>
      <c r="L4650" s="113" t="n"/>
      <c r="M4650" s="113" t="n"/>
      <c r="N4650" s="113" t="n"/>
      <c r="O4650" s="113" t="n"/>
      <c r="P4650" s="113" t="n"/>
      <c r="Q4650" s="113" t="n"/>
      <c r="R4650" s="113" t="n"/>
      <c r="S4650" s="113" t="n"/>
      <c r="T4650" s="113" t="n"/>
      <c r="U4650" s="113" t="n"/>
      <c r="V4650" s="113" t="n"/>
      <c r="W4650" s="113" t="n"/>
      <c r="X4650" s="113" t="n"/>
      <c r="Y4650" s="113" t="n"/>
      <c r="Z4650" s="117">
        <f>IF($B4650="",0,IF($S4650="EVET",IF($D4650="GELİR",$O4650,-$O4650),0))</f>
        <v/>
      </c>
      <c r="AA4650" s="117">
        <f>IF($B4650="",0,IF(OR($W4650="EVET",$X4650="EVET",$Y4650="EVET"),0,IF($D4650="GELİR",IF($E4650="SATIŞ İADESİ/İSKONTO",-$O4650,$O4650),-$O4650)))</f>
        <v/>
      </c>
      <c r="AB4650" s="117">
        <f>IF($B4650="","",IF(OR($D4650="",$E4650="",$O4650=""),"EKSİK",IF($O4650&lt;=0,"SIFIR/NEGATİF",IF(COUNTIFS($C$6:$C$5000,$C4650,$O$6:$O$5000,$O4650,$B$6:$B$5000,$B4650)&gt;1,"MÜKERRER","OK"))))</f>
        <v/>
      </c>
    </row>
    <row r="4651" ht="16.5" customHeight="1" s="80">
      <c r="A4651" s="113" t="n"/>
      <c r="B4651" s="113" t="n"/>
      <c r="C4651" s="113" t="n"/>
      <c r="D4651" s="113" t="n"/>
      <c r="E4651" s="113" t="n"/>
      <c r="F4651" s="113" t="n"/>
      <c r="G4651" s="113" t="n"/>
      <c r="H4651" s="113" t="n"/>
      <c r="I4651" s="113" t="n"/>
      <c r="J4651" s="113" t="n"/>
      <c r="K4651" s="113" t="n"/>
      <c r="L4651" s="113" t="n"/>
      <c r="M4651" s="113" t="n"/>
      <c r="N4651" s="113" t="n"/>
      <c r="O4651" s="113" t="n"/>
      <c r="P4651" s="113" t="n"/>
      <c r="Q4651" s="113" t="n"/>
      <c r="R4651" s="113" t="n"/>
      <c r="S4651" s="113" t="n"/>
      <c r="T4651" s="113" t="n"/>
      <c r="U4651" s="113" t="n"/>
      <c r="V4651" s="113" t="n"/>
      <c r="W4651" s="113" t="n"/>
      <c r="X4651" s="113" t="n"/>
      <c r="Y4651" s="113" t="n"/>
      <c r="Z4651" s="117">
        <f>IF($B4651="",0,IF($S4651="EVET",IF($D4651="GELİR",$O4651,-$O4651),0))</f>
        <v/>
      </c>
      <c r="AA4651" s="117">
        <f>IF($B4651="",0,IF(OR($W4651="EVET",$X4651="EVET",$Y4651="EVET"),0,IF($D4651="GELİR",IF($E4651="SATIŞ İADESİ/İSKONTO",-$O4651,$O4651),-$O4651)))</f>
        <v/>
      </c>
      <c r="AB4651" s="117">
        <f>IF($B4651="","",IF(OR($D4651="",$E4651="",$O4651=""),"EKSİK",IF($O4651&lt;=0,"SIFIR/NEGATİF",IF(COUNTIFS($C$6:$C$5000,$C4651,$O$6:$O$5000,$O4651,$B$6:$B$5000,$B4651)&gt;1,"MÜKERRER","OK"))))</f>
        <v/>
      </c>
    </row>
    <row r="4652" ht="16.5" customHeight="1" s="80">
      <c r="A4652" s="113" t="n"/>
      <c r="B4652" s="113" t="n"/>
      <c r="C4652" s="113" t="n"/>
      <c r="D4652" s="113" t="n"/>
      <c r="E4652" s="113" t="n"/>
      <c r="F4652" s="113" t="n"/>
      <c r="G4652" s="113" t="n"/>
      <c r="H4652" s="113" t="n"/>
      <c r="I4652" s="113" t="n"/>
      <c r="J4652" s="113" t="n"/>
      <c r="K4652" s="113" t="n"/>
      <c r="L4652" s="113" t="n"/>
      <c r="M4652" s="113" t="n"/>
      <c r="N4652" s="113" t="n"/>
      <c r="O4652" s="113" t="n"/>
      <c r="P4652" s="113" t="n"/>
      <c r="Q4652" s="113" t="n"/>
      <c r="R4652" s="113" t="n"/>
      <c r="S4652" s="113" t="n"/>
      <c r="T4652" s="113" t="n"/>
      <c r="U4652" s="113" t="n"/>
      <c r="V4652" s="113" t="n"/>
      <c r="W4652" s="113" t="n"/>
      <c r="X4652" s="113" t="n"/>
      <c r="Y4652" s="113" t="n"/>
      <c r="Z4652" s="117">
        <f>IF($B4652="",0,IF($S4652="EVET",IF($D4652="GELİR",$O4652,-$O4652),0))</f>
        <v/>
      </c>
      <c r="AA4652" s="117">
        <f>IF($B4652="",0,IF(OR($W4652="EVET",$X4652="EVET",$Y4652="EVET"),0,IF($D4652="GELİR",IF($E4652="SATIŞ İADESİ/İSKONTO",-$O4652,$O4652),-$O4652)))</f>
        <v/>
      </c>
      <c r="AB4652" s="117">
        <f>IF($B4652="","",IF(OR($D4652="",$E4652="",$O4652=""),"EKSİK",IF($O4652&lt;=0,"SIFIR/NEGATİF",IF(COUNTIFS($C$6:$C$5000,$C4652,$O$6:$O$5000,$O4652,$B$6:$B$5000,$B4652)&gt;1,"MÜKERRER","OK"))))</f>
        <v/>
      </c>
    </row>
    <row r="4653" ht="16.5" customHeight="1" s="80">
      <c r="A4653" s="113" t="n"/>
      <c r="B4653" s="113" t="n"/>
      <c r="C4653" s="113" t="n"/>
      <c r="D4653" s="113" t="n"/>
      <c r="E4653" s="113" t="n"/>
      <c r="F4653" s="113" t="n"/>
      <c r="G4653" s="113" t="n"/>
      <c r="H4653" s="113" t="n"/>
      <c r="I4653" s="113" t="n"/>
      <c r="J4653" s="113" t="n"/>
      <c r="K4653" s="113" t="n"/>
      <c r="L4653" s="113" t="n"/>
      <c r="M4653" s="113" t="n"/>
      <c r="N4653" s="113" t="n"/>
      <c r="O4653" s="113" t="n"/>
      <c r="P4653" s="113" t="n"/>
      <c r="Q4653" s="113" t="n"/>
      <c r="R4653" s="113" t="n"/>
      <c r="S4653" s="113" t="n"/>
      <c r="T4653" s="113" t="n"/>
      <c r="U4653" s="113" t="n"/>
      <c r="V4653" s="113" t="n"/>
      <c r="W4653" s="113" t="n"/>
      <c r="X4653" s="113" t="n"/>
      <c r="Y4653" s="113" t="n"/>
      <c r="Z4653" s="117">
        <f>IF($B4653="",0,IF($S4653="EVET",IF($D4653="GELİR",$O4653,-$O4653),0))</f>
        <v/>
      </c>
      <c r="AA4653" s="117">
        <f>IF($B4653="",0,IF(OR($W4653="EVET",$X4653="EVET",$Y4653="EVET"),0,IF($D4653="GELİR",IF($E4653="SATIŞ İADESİ/İSKONTO",-$O4653,$O4653),-$O4653)))</f>
        <v/>
      </c>
      <c r="AB4653" s="117">
        <f>IF($B4653="","",IF(OR($D4653="",$E4653="",$O4653=""),"EKSİK",IF($O4653&lt;=0,"SIFIR/NEGATİF",IF(COUNTIFS($C$6:$C$5000,$C4653,$O$6:$O$5000,$O4653,$B$6:$B$5000,$B4653)&gt;1,"MÜKERRER","OK"))))</f>
        <v/>
      </c>
    </row>
    <row r="4654" ht="16.5" customHeight="1" s="80">
      <c r="A4654" s="113" t="n"/>
      <c r="B4654" s="113" t="n"/>
      <c r="C4654" s="113" t="n"/>
      <c r="D4654" s="113" t="n"/>
      <c r="E4654" s="113" t="n"/>
      <c r="F4654" s="113" t="n"/>
      <c r="G4654" s="113" t="n"/>
      <c r="H4654" s="113" t="n"/>
      <c r="I4654" s="113" t="n"/>
      <c r="J4654" s="113" t="n"/>
      <c r="K4654" s="113" t="n"/>
      <c r="L4654" s="113" t="n"/>
      <c r="M4654" s="113" t="n"/>
      <c r="N4654" s="113" t="n"/>
      <c r="O4654" s="113" t="n"/>
      <c r="P4654" s="113" t="n"/>
      <c r="Q4654" s="113" t="n"/>
      <c r="R4654" s="113" t="n"/>
      <c r="S4654" s="113" t="n"/>
      <c r="T4654" s="113" t="n"/>
      <c r="U4654" s="113" t="n"/>
      <c r="V4654" s="113" t="n"/>
      <c r="W4654" s="113" t="n"/>
      <c r="X4654" s="113" t="n"/>
      <c r="Y4654" s="113" t="n"/>
      <c r="Z4654" s="117">
        <f>IF($B4654="",0,IF($S4654="EVET",IF($D4654="GELİR",$O4654,-$O4654),0))</f>
        <v/>
      </c>
      <c r="AA4654" s="117">
        <f>IF($B4654="",0,IF(OR($W4654="EVET",$X4654="EVET",$Y4654="EVET"),0,IF($D4654="GELİR",IF($E4654="SATIŞ İADESİ/İSKONTO",-$O4654,$O4654),-$O4654)))</f>
        <v/>
      </c>
      <c r="AB4654" s="117">
        <f>IF($B4654="","",IF(OR($D4654="",$E4654="",$O4654=""),"EKSİK",IF($O4654&lt;=0,"SIFIR/NEGATİF",IF(COUNTIFS($C$6:$C$5000,$C4654,$O$6:$O$5000,$O4654,$B$6:$B$5000,$B4654)&gt;1,"MÜKERRER","OK"))))</f>
        <v/>
      </c>
    </row>
    <row r="4655" ht="16.5" customHeight="1" s="80">
      <c r="A4655" s="113" t="n"/>
      <c r="B4655" s="113" t="n"/>
      <c r="C4655" s="113" t="n"/>
      <c r="D4655" s="113" t="n"/>
      <c r="E4655" s="113" t="n"/>
      <c r="F4655" s="113" t="n"/>
      <c r="G4655" s="113" t="n"/>
      <c r="H4655" s="113" t="n"/>
      <c r="I4655" s="113" t="n"/>
      <c r="J4655" s="113" t="n"/>
      <c r="K4655" s="113" t="n"/>
      <c r="L4655" s="113" t="n"/>
      <c r="M4655" s="113" t="n"/>
      <c r="N4655" s="113" t="n"/>
      <c r="O4655" s="113" t="n"/>
      <c r="P4655" s="113" t="n"/>
      <c r="Q4655" s="113" t="n"/>
      <c r="R4655" s="113" t="n"/>
      <c r="S4655" s="113" t="n"/>
      <c r="T4655" s="113" t="n"/>
      <c r="U4655" s="113" t="n"/>
      <c r="V4655" s="113" t="n"/>
      <c r="W4655" s="113" t="n"/>
      <c r="X4655" s="113" t="n"/>
      <c r="Y4655" s="113" t="n"/>
      <c r="Z4655" s="117">
        <f>IF($B4655="",0,IF($S4655="EVET",IF($D4655="GELİR",$O4655,-$O4655),0))</f>
        <v/>
      </c>
      <c r="AA4655" s="117">
        <f>IF($B4655="",0,IF(OR($W4655="EVET",$X4655="EVET",$Y4655="EVET"),0,IF($D4655="GELİR",IF($E4655="SATIŞ İADESİ/İSKONTO",-$O4655,$O4655),-$O4655)))</f>
        <v/>
      </c>
      <c r="AB4655" s="117">
        <f>IF($B4655="","",IF(OR($D4655="",$E4655="",$O4655=""),"EKSİK",IF($O4655&lt;=0,"SIFIR/NEGATİF",IF(COUNTIFS($C$6:$C$5000,$C4655,$O$6:$O$5000,$O4655,$B$6:$B$5000,$B4655)&gt;1,"MÜKERRER","OK"))))</f>
        <v/>
      </c>
    </row>
    <row r="4656" ht="16.5" customHeight="1" s="80">
      <c r="A4656" s="113" t="n"/>
      <c r="B4656" s="113" t="n"/>
      <c r="C4656" s="113" t="n"/>
      <c r="D4656" s="113" t="n"/>
      <c r="E4656" s="113" t="n"/>
      <c r="F4656" s="113" t="n"/>
      <c r="G4656" s="113" t="n"/>
      <c r="H4656" s="113" t="n"/>
      <c r="I4656" s="113" t="n"/>
      <c r="J4656" s="113" t="n"/>
      <c r="K4656" s="113" t="n"/>
      <c r="L4656" s="113" t="n"/>
      <c r="M4656" s="113" t="n"/>
      <c r="N4656" s="113" t="n"/>
      <c r="O4656" s="113" t="n"/>
      <c r="P4656" s="113" t="n"/>
      <c r="Q4656" s="113" t="n"/>
      <c r="R4656" s="113" t="n"/>
      <c r="S4656" s="113" t="n"/>
      <c r="T4656" s="113" t="n"/>
      <c r="U4656" s="113" t="n"/>
      <c r="V4656" s="113" t="n"/>
      <c r="W4656" s="113" t="n"/>
      <c r="X4656" s="113" t="n"/>
      <c r="Y4656" s="113" t="n"/>
      <c r="Z4656" s="117">
        <f>IF($B4656="",0,IF($S4656="EVET",IF($D4656="GELİR",$O4656,-$O4656),0))</f>
        <v/>
      </c>
      <c r="AA4656" s="117">
        <f>IF($B4656="",0,IF(OR($W4656="EVET",$X4656="EVET",$Y4656="EVET"),0,IF($D4656="GELİR",IF($E4656="SATIŞ İADESİ/İSKONTO",-$O4656,$O4656),-$O4656)))</f>
        <v/>
      </c>
      <c r="AB4656" s="117">
        <f>IF($B4656="","",IF(OR($D4656="",$E4656="",$O4656=""),"EKSİK",IF($O4656&lt;=0,"SIFIR/NEGATİF",IF(COUNTIFS($C$6:$C$5000,$C4656,$O$6:$O$5000,$O4656,$B$6:$B$5000,$B4656)&gt;1,"MÜKERRER","OK"))))</f>
        <v/>
      </c>
    </row>
    <row r="4657" ht="16.5" customHeight="1" s="80">
      <c r="A4657" s="113" t="n"/>
      <c r="B4657" s="113" t="n"/>
      <c r="C4657" s="113" t="n"/>
      <c r="D4657" s="113" t="n"/>
      <c r="E4657" s="113" t="n"/>
      <c r="F4657" s="113" t="n"/>
      <c r="G4657" s="113" t="n"/>
      <c r="H4657" s="113" t="n"/>
      <c r="I4657" s="113" t="n"/>
      <c r="J4657" s="113" t="n"/>
      <c r="K4657" s="113" t="n"/>
      <c r="L4657" s="113" t="n"/>
      <c r="M4657" s="113" t="n"/>
      <c r="N4657" s="113" t="n"/>
      <c r="O4657" s="113" t="n"/>
      <c r="P4657" s="113" t="n"/>
      <c r="Q4657" s="113" t="n"/>
      <c r="R4657" s="113" t="n"/>
      <c r="S4657" s="113" t="n"/>
      <c r="T4657" s="113" t="n"/>
      <c r="U4657" s="113" t="n"/>
      <c r="V4657" s="113" t="n"/>
      <c r="W4657" s="113" t="n"/>
      <c r="X4657" s="113" t="n"/>
      <c r="Y4657" s="113" t="n"/>
      <c r="Z4657" s="117">
        <f>IF($B4657="",0,IF($S4657="EVET",IF($D4657="GELİR",$O4657,-$O4657),0))</f>
        <v/>
      </c>
      <c r="AA4657" s="117">
        <f>IF($B4657="",0,IF(OR($W4657="EVET",$X4657="EVET",$Y4657="EVET"),0,IF($D4657="GELİR",IF($E4657="SATIŞ İADESİ/İSKONTO",-$O4657,$O4657),-$O4657)))</f>
        <v/>
      </c>
      <c r="AB4657" s="117">
        <f>IF($B4657="","",IF(OR($D4657="",$E4657="",$O4657=""),"EKSİK",IF($O4657&lt;=0,"SIFIR/NEGATİF",IF(COUNTIFS($C$6:$C$5000,$C4657,$O$6:$O$5000,$O4657,$B$6:$B$5000,$B4657)&gt;1,"MÜKERRER","OK"))))</f>
        <v/>
      </c>
    </row>
    <row r="4658" ht="16.5" customHeight="1" s="80">
      <c r="A4658" s="113" t="n"/>
      <c r="B4658" s="113" t="n"/>
      <c r="C4658" s="113" t="n"/>
      <c r="D4658" s="113" t="n"/>
      <c r="E4658" s="113" t="n"/>
      <c r="F4658" s="113" t="n"/>
      <c r="G4658" s="113" t="n"/>
      <c r="H4658" s="113" t="n"/>
      <c r="I4658" s="113" t="n"/>
      <c r="J4658" s="113" t="n"/>
      <c r="K4658" s="113" t="n"/>
      <c r="L4658" s="113" t="n"/>
      <c r="M4658" s="113" t="n"/>
      <c r="N4658" s="113" t="n"/>
      <c r="O4658" s="113" t="n"/>
      <c r="P4658" s="113" t="n"/>
      <c r="Q4658" s="113" t="n"/>
      <c r="R4658" s="113" t="n"/>
      <c r="S4658" s="113" t="n"/>
      <c r="T4658" s="113" t="n"/>
      <c r="U4658" s="113" t="n"/>
      <c r="V4658" s="113" t="n"/>
      <c r="W4658" s="113" t="n"/>
      <c r="X4658" s="113" t="n"/>
      <c r="Y4658" s="113" t="n"/>
      <c r="Z4658" s="117">
        <f>IF($B4658="",0,IF($S4658="EVET",IF($D4658="GELİR",$O4658,-$O4658),0))</f>
        <v/>
      </c>
      <c r="AA4658" s="117">
        <f>IF($B4658="",0,IF(OR($W4658="EVET",$X4658="EVET",$Y4658="EVET"),0,IF($D4658="GELİR",IF($E4658="SATIŞ İADESİ/İSKONTO",-$O4658,$O4658),-$O4658)))</f>
        <v/>
      </c>
      <c r="AB4658" s="117">
        <f>IF($B4658="","",IF(OR($D4658="",$E4658="",$O4658=""),"EKSİK",IF($O4658&lt;=0,"SIFIR/NEGATİF",IF(COUNTIFS($C$6:$C$5000,$C4658,$O$6:$O$5000,$O4658,$B$6:$B$5000,$B4658)&gt;1,"MÜKERRER","OK"))))</f>
        <v/>
      </c>
    </row>
    <row r="4659" ht="16.5" customHeight="1" s="80">
      <c r="A4659" s="113" t="n"/>
      <c r="B4659" s="113" t="n"/>
      <c r="C4659" s="113" t="n"/>
      <c r="D4659" s="113" t="n"/>
      <c r="E4659" s="113" t="n"/>
      <c r="F4659" s="113" t="n"/>
      <c r="G4659" s="113" t="n"/>
      <c r="H4659" s="113" t="n"/>
      <c r="I4659" s="113" t="n"/>
      <c r="J4659" s="113" t="n"/>
      <c r="K4659" s="113" t="n"/>
      <c r="L4659" s="113" t="n"/>
      <c r="M4659" s="113" t="n"/>
      <c r="N4659" s="113" t="n"/>
      <c r="O4659" s="113" t="n"/>
      <c r="P4659" s="113" t="n"/>
      <c r="Q4659" s="113" t="n"/>
      <c r="R4659" s="113" t="n"/>
      <c r="S4659" s="113" t="n"/>
      <c r="T4659" s="113" t="n"/>
      <c r="U4659" s="113" t="n"/>
      <c r="V4659" s="113" t="n"/>
      <c r="W4659" s="113" t="n"/>
      <c r="X4659" s="113" t="n"/>
      <c r="Y4659" s="113" t="n"/>
      <c r="Z4659" s="117">
        <f>IF($B4659="",0,IF($S4659="EVET",IF($D4659="GELİR",$O4659,-$O4659),0))</f>
        <v/>
      </c>
      <c r="AA4659" s="117">
        <f>IF($B4659="",0,IF(OR($W4659="EVET",$X4659="EVET",$Y4659="EVET"),0,IF($D4659="GELİR",IF($E4659="SATIŞ İADESİ/İSKONTO",-$O4659,$O4659),-$O4659)))</f>
        <v/>
      </c>
      <c r="AB4659" s="117">
        <f>IF($B4659="","",IF(OR($D4659="",$E4659="",$O4659=""),"EKSİK",IF($O4659&lt;=0,"SIFIR/NEGATİF",IF(COUNTIFS($C$6:$C$5000,$C4659,$O$6:$O$5000,$O4659,$B$6:$B$5000,$B4659)&gt;1,"MÜKERRER","OK"))))</f>
        <v/>
      </c>
    </row>
    <row r="4660" ht="16.5" customHeight="1" s="80">
      <c r="A4660" s="113" t="n"/>
      <c r="B4660" s="113" t="n"/>
      <c r="C4660" s="113" t="n"/>
      <c r="D4660" s="113" t="n"/>
      <c r="E4660" s="113" t="n"/>
      <c r="F4660" s="113" t="n"/>
      <c r="G4660" s="113" t="n"/>
      <c r="H4660" s="113" t="n"/>
      <c r="I4660" s="113" t="n"/>
      <c r="J4660" s="113" t="n"/>
      <c r="K4660" s="113" t="n"/>
      <c r="L4660" s="113" t="n"/>
      <c r="M4660" s="113" t="n"/>
      <c r="N4660" s="113" t="n"/>
      <c r="O4660" s="113" t="n"/>
      <c r="P4660" s="113" t="n"/>
      <c r="Q4660" s="113" t="n"/>
      <c r="R4660" s="113" t="n"/>
      <c r="S4660" s="113" t="n"/>
      <c r="T4660" s="113" t="n"/>
      <c r="U4660" s="113" t="n"/>
      <c r="V4660" s="113" t="n"/>
      <c r="W4660" s="113" t="n"/>
      <c r="X4660" s="113" t="n"/>
      <c r="Y4660" s="113" t="n"/>
      <c r="Z4660" s="117">
        <f>IF($B4660="",0,IF($S4660="EVET",IF($D4660="GELİR",$O4660,-$O4660),0))</f>
        <v/>
      </c>
      <c r="AA4660" s="117">
        <f>IF($B4660="",0,IF(OR($W4660="EVET",$X4660="EVET",$Y4660="EVET"),0,IF($D4660="GELİR",IF($E4660="SATIŞ İADESİ/İSKONTO",-$O4660,$O4660),-$O4660)))</f>
        <v/>
      </c>
      <c r="AB4660" s="117">
        <f>IF($B4660="","",IF(OR($D4660="",$E4660="",$O4660=""),"EKSİK",IF($O4660&lt;=0,"SIFIR/NEGATİF",IF(COUNTIFS($C$6:$C$5000,$C4660,$O$6:$O$5000,$O4660,$B$6:$B$5000,$B4660)&gt;1,"MÜKERRER","OK"))))</f>
        <v/>
      </c>
    </row>
    <row r="4661" ht="16.5" customHeight="1" s="80">
      <c r="A4661" s="113" t="n"/>
      <c r="B4661" s="113" t="n"/>
      <c r="C4661" s="113" t="n"/>
      <c r="D4661" s="113" t="n"/>
      <c r="E4661" s="113" t="n"/>
      <c r="F4661" s="113" t="n"/>
      <c r="G4661" s="113" t="n"/>
      <c r="H4661" s="113" t="n"/>
      <c r="I4661" s="113" t="n"/>
      <c r="J4661" s="113" t="n"/>
      <c r="K4661" s="113" t="n"/>
      <c r="L4661" s="113" t="n"/>
      <c r="M4661" s="113" t="n"/>
      <c r="N4661" s="113" t="n"/>
      <c r="O4661" s="113" t="n"/>
      <c r="P4661" s="113" t="n"/>
      <c r="Q4661" s="113" t="n"/>
      <c r="R4661" s="113" t="n"/>
      <c r="S4661" s="113" t="n"/>
      <c r="T4661" s="113" t="n"/>
      <c r="U4661" s="113" t="n"/>
      <c r="V4661" s="113" t="n"/>
      <c r="W4661" s="113" t="n"/>
      <c r="X4661" s="113" t="n"/>
      <c r="Y4661" s="113" t="n"/>
      <c r="Z4661" s="117">
        <f>IF($B4661="",0,IF($S4661="EVET",IF($D4661="GELİR",$O4661,-$O4661),0))</f>
        <v/>
      </c>
      <c r="AA4661" s="117">
        <f>IF($B4661="",0,IF(OR($W4661="EVET",$X4661="EVET",$Y4661="EVET"),0,IF($D4661="GELİR",IF($E4661="SATIŞ İADESİ/İSKONTO",-$O4661,$O4661),-$O4661)))</f>
        <v/>
      </c>
      <c r="AB4661" s="117">
        <f>IF($B4661="","",IF(OR($D4661="",$E4661="",$O4661=""),"EKSİK",IF($O4661&lt;=0,"SIFIR/NEGATİF",IF(COUNTIFS($C$6:$C$5000,$C4661,$O$6:$O$5000,$O4661,$B$6:$B$5000,$B4661)&gt;1,"MÜKERRER","OK"))))</f>
        <v/>
      </c>
    </row>
    <row r="4662" ht="16.5" customHeight="1" s="80">
      <c r="A4662" s="113" t="n"/>
      <c r="B4662" s="113" t="n"/>
      <c r="C4662" s="113" t="n"/>
      <c r="D4662" s="113" t="n"/>
      <c r="E4662" s="113" t="n"/>
      <c r="F4662" s="113" t="n"/>
      <c r="G4662" s="113" t="n"/>
      <c r="H4662" s="113" t="n"/>
      <c r="I4662" s="113" t="n"/>
      <c r="J4662" s="113" t="n"/>
      <c r="K4662" s="113" t="n"/>
      <c r="L4662" s="113" t="n"/>
      <c r="M4662" s="113" t="n"/>
      <c r="N4662" s="113" t="n"/>
      <c r="O4662" s="113" t="n"/>
      <c r="P4662" s="113" t="n"/>
      <c r="Q4662" s="113" t="n"/>
      <c r="R4662" s="113" t="n"/>
      <c r="S4662" s="113" t="n"/>
      <c r="T4662" s="113" t="n"/>
      <c r="U4662" s="113" t="n"/>
      <c r="V4662" s="113" t="n"/>
      <c r="W4662" s="113" t="n"/>
      <c r="X4662" s="113" t="n"/>
      <c r="Y4662" s="113" t="n"/>
      <c r="Z4662" s="117">
        <f>IF($B4662="",0,IF($S4662="EVET",IF($D4662="GELİR",$O4662,-$O4662),0))</f>
        <v/>
      </c>
      <c r="AA4662" s="117">
        <f>IF($B4662="",0,IF(OR($W4662="EVET",$X4662="EVET",$Y4662="EVET"),0,IF($D4662="GELİR",IF($E4662="SATIŞ İADESİ/İSKONTO",-$O4662,$O4662),-$O4662)))</f>
        <v/>
      </c>
      <c r="AB4662" s="117">
        <f>IF($B4662="","",IF(OR($D4662="",$E4662="",$O4662=""),"EKSİK",IF($O4662&lt;=0,"SIFIR/NEGATİF",IF(COUNTIFS($C$6:$C$5000,$C4662,$O$6:$O$5000,$O4662,$B$6:$B$5000,$B4662)&gt;1,"MÜKERRER","OK"))))</f>
        <v/>
      </c>
    </row>
    <row r="4663" ht="16.5" customHeight="1" s="80">
      <c r="A4663" s="113" t="n"/>
      <c r="B4663" s="113" t="n"/>
      <c r="C4663" s="113" t="n"/>
      <c r="D4663" s="113" t="n"/>
      <c r="E4663" s="113" t="n"/>
      <c r="F4663" s="113" t="n"/>
      <c r="G4663" s="113" t="n"/>
      <c r="H4663" s="113" t="n"/>
      <c r="I4663" s="113" t="n"/>
      <c r="J4663" s="113" t="n"/>
      <c r="K4663" s="113" t="n"/>
      <c r="L4663" s="113" t="n"/>
      <c r="M4663" s="113" t="n"/>
      <c r="N4663" s="113" t="n"/>
      <c r="O4663" s="113" t="n"/>
      <c r="P4663" s="113" t="n"/>
      <c r="Q4663" s="113" t="n"/>
      <c r="R4663" s="113" t="n"/>
      <c r="S4663" s="113" t="n"/>
      <c r="T4663" s="113" t="n"/>
      <c r="U4663" s="113" t="n"/>
      <c r="V4663" s="113" t="n"/>
      <c r="W4663" s="113" t="n"/>
      <c r="X4663" s="113" t="n"/>
      <c r="Y4663" s="113" t="n"/>
      <c r="Z4663" s="117">
        <f>IF($B4663="",0,IF($S4663="EVET",IF($D4663="GELİR",$O4663,-$O4663),0))</f>
        <v/>
      </c>
      <c r="AA4663" s="117">
        <f>IF($B4663="",0,IF(OR($W4663="EVET",$X4663="EVET",$Y4663="EVET"),0,IF($D4663="GELİR",IF($E4663="SATIŞ İADESİ/İSKONTO",-$O4663,$O4663),-$O4663)))</f>
        <v/>
      </c>
      <c r="AB4663" s="117">
        <f>IF($B4663="","",IF(OR($D4663="",$E4663="",$O4663=""),"EKSİK",IF($O4663&lt;=0,"SIFIR/NEGATİF",IF(COUNTIFS($C$6:$C$5000,$C4663,$O$6:$O$5000,$O4663,$B$6:$B$5000,$B4663)&gt;1,"MÜKERRER","OK"))))</f>
        <v/>
      </c>
    </row>
    <row r="4664" ht="16.5" customHeight="1" s="80">
      <c r="A4664" s="113" t="n"/>
      <c r="B4664" s="113" t="n"/>
      <c r="C4664" s="113" t="n"/>
      <c r="D4664" s="113" t="n"/>
      <c r="E4664" s="113" t="n"/>
      <c r="F4664" s="113" t="n"/>
      <c r="G4664" s="113" t="n"/>
      <c r="H4664" s="113" t="n"/>
      <c r="I4664" s="113" t="n"/>
      <c r="J4664" s="113" t="n"/>
      <c r="K4664" s="113" t="n"/>
      <c r="L4664" s="113" t="n"/>
      <c r="M4664" s="113" t="n"/>
      <c r="N4664" s="113" t="n"/>
      <c r="O4664" s="113" t="n"/>
      <c r="P4664" s="113" t="n"/>
      <c r="Q4664" s="113" t="n"/>
      <c r="R4664" s="113" t="n"/>
      <c r="S4664" s="113" t="n"/>
      <c r="T4664" s="113" t="n"/>
      <c r="U4664" s="113" t="n"/>
      <c r="V4664" s="113" t="n"/>
      <c r="W4664" s="113" t="n"/>
      <c r="X4664" s="113" t="n"/>
      <c r="Y4664" s="113" t="n"/>
      <c r="Z4664" s="117">
        <f>IF($B4664="",0,IF($S4664="EVET",IF($D4664="GELİR",$O4664,-$O4664),0))</f>
        <v/>
      </c>
      <c r="AA4664" s="117">
        <f>IF($B4664="",0,IF(OR($W4664="EVET",$X4664="EVET",$Y4664="EVET"),0,IF($D4664="GELİR",IF($E4664="SATIŞ İADESİ/İSKONTO",-$O4664,$O4664),-$O4664)))</f>
        <v/>
      </c>
      <c r="AB4664" s="117">
        <f>IF($B4664="","",IF(OR($D4664="",$E4664="",$O4664=""),"EKSİK",IF($O4664&lt;=0,"SIFIR/NEGATİF",IF(COUNTIFS($C$6:$C$5000,$C4664,$O$6:$O$5000,$O4664,$B$6:$B$5000,$B4664)&gt;1,"MÜKERRER","OK"))))</f>
        <v/>
      </c>
    </row>
    <row r="4665" ht="16.5" customHeight="1" s="80">
      <c r="A4665" s="113" t="n"/>
      <c r="B4665" s="113" t="n"/>
      <c r="C4665" s="113" t="n"/>
      <c r="D4665" s="113" t="n"/>
      <c r="E4665" s="113" t="n"/>
      <c r="F4665" s="113" t="n"/>
      <c r="G4665" s="113" t="n"/>
      <c r="H4665" s="113" t="n"/>
      <c r="I4665" s="113" t="n"/>
      <c r="J4665" s="113" t="n"/>
      <c r="K4665" s="113" t="n"/>
      <c r="L4665" s="113" t="n"/>
      <c r="M4665" s="113" t="n"/>
      <c r="N4665" s="113" t="n"/>
      <c r="O4665" s="113" t="n"/>
      <c r="P4665" s="113" t="n"/>
      <c r="Q4665" s="113" t="n"/>
      <c r="R4665" s="113" t="n"/>
      <c r="S4665" s="113" t="n"/>
      <c r="T4665" s="113" t="n"/>
      <c r="U4665" s="113" t="n"/>
      <c r="V4665" s="113" t="n"/>
      <c r="W4665" s="113" t="n"/>
      <c r="X4665" s="113" t="n"/>
      <c r="Y4665" s="113" t="n"/>
      <c r="Z4665" s="117">
        <f>IF($B4665="",0,IF($S4665="EVET",IF($D4665="GELİR",$O4665,-$O4665),0))</f>
        <v/>
      </c>
      <c r="AA4665" s="117">
        <f>IF($B4665="",0,IF(OR($W4665="EVET",$X4665="EVET",$Y4665="EVET"),0,IF($D4665="GELİR",IF($E4665="SATIŞ İADESİ/İSKONTO",-$O4665,$O4665),-$O4665)))</f>
        <v/>
      </c>
      <c r="AB4665" s="117">
        <f>IF($B4665="","",IF(OR($D4665="",$E4665="",$O4665=""),"EKSİK",IF($O4665&lt;=0,"SIFIR/NEGATİF",IF(COUNTIFS($C$6:$C$5000,$C4665,$O$6:$O$5000,$O4665,$B$6:$B$5000,$B4665)&gt;1,"MÜKERRER","OK"))))</f>
        <v/>
      </c>
    </row>
    <row r="4666" ht="16.5" customHeight="1" s="80">
      <c r="A4666" s="113" t="n"/>
      <c r="B4666" s="113" t="n"/>
      <c r="C4666" s="113" t="n"/>
      <c r="D4666" s="113" t="n"/>
      <c r="E4666" s="113" t="n"/>
      <c r="F4666" s="113" t="n"/>
      <c r="G4666" s="113" t="n"/>
      <c r="H4666" s="113" t="n"/>
      <c r="I4666" s="113" t="n"/>
      <c r="J4666" s="113" t="n"/>
      <c r="K4666" s="113" t="n"/>
      <c r="L4666" s="113" t="n"/>
      <c r="M4666" s="113" t="n"/>
      <c r="N4666" s="113" t="n"/>
      <c r="O4666" s="113" t="n"/>
      <c r="P4666" s="113" t="n"/>
      <c r="Q4666" s="113" t="n"/>
      <c r="R4666" s="113" t="n"/>
      <c r="S4666" s="113" t="n"/>
      <c r="T4666" s="113" t="n"/>
      <c r="U4666" s="113" t="n"/>
      <c r="V4666" s="113" t="n"/>
      <c r="W4666" s="113" t="n"/>
      <c r="X4666" s="113" t="n"/>
      <c r="Y4666" s="113" t="n"/>
      <c r="Z4666" s="117">
        <f>IF($B4666="",0,IF($S4666="EVET",IF($D4666="GELİR",$O4666,-$O4666),0))</f>
        <v/>
      </c>
      <c r="AA4666" s="117">
        <f>IF($B4666="",0,IF(OR($W4666="EVET",$X4666="EVET",$Y4666="EVET"),0,IF($D4666="GELİR",IF($E4666="SATIŞ İADESİ/İSKONTO",-$O4666,$O4666),-$O4666)))</f>
        <v/>
      </c>
      <c r="AB4666" s="117">
        <f>IF($B4666="","",IF(OR($D4666="",$E4666="",$O4666=""),"EKSİK",IF($O4666&lt;=0,"SIFIR/NEGATİF",IF(COUNTIFS($C$6:$C$5000,$C4666,$O$6:$O$5000,$O4666,$B$6:$B$5000,$B4666)&gt;1,"MÜKERRER","OK"))))</f>
        <v/>
      </c>
    </row>
    <row r="4667" ht="16.5" customHeight="1" s="80">
      <c r="A4667" s="113" t="n"/>
      <c r="B4667" s="113" t="n"/>
      <c r="C4667" s="113" t="n"/>
      <c r="D4667" s="113" t="n"/>
      <c r="E4667" s="113" t="n"/>
      <c r="F4667" s="113" t="n"/>
      <c r="G4667" s="113" t="n"/>
      <c r="H4667" s="113" t="n"/>
      <c r="I4667" s="113" t="n"/>
      <c r="J4667" s="113" t="n"/>
      <c r="K4667" s="113" t="n"/>
      <c r="L4667" s="113" t="n"/>
      <c r="M4667" s="113" t="n"/>
      <c r="N4667" s="113" t="n"/>
      <c r="O4667" s="113" t="n"/>
      <c r="P4667" s="113" t="n"/>
      <c r="Q4667" s="113" t="n"/>
      <c r="R4667" s="113" t="n"/>
      <c r="S4667" s="113" t="n"/>
      <c r="T4667" s="113" t="n"/>
      <c r="U4667" s="113" t="n"/>
      <c r="V4667" s="113" t="n"/>
      <c r="W4667" s="113" t="n"/>
      <c r="X4667" s="113" t="n"/>
      <c r="Y4667" s="113" t="n"/>
      <c r="Z4667" s="117">
        <f>IF($B4667="",0,IF($S4667="EVET",IF($D4667="GELİR",$O4667,-$O4667),0))</f>
        <v/>
      </c>
      <c r="AA4667" s="117">
        <f>IF($B4667="",0,IF(OR($W4667="EVET",$X4667="EVET",$Y4667="EVET"),0,IF($D4667="GELİR",IF($E4667="SATIŞ İADESİ/İSKONTO",-$O4667,$O4667),-$O4667)))</f>
        <v/>
      </c>
      <c r="AB4667" s="117">
        <f>IF($B4667="","",IF(OR($D4667="",$E4667="",$O4667=""),"EKSİK",IF($O4667&lt;=0,"SIFIR/NEGATİF",IF(COUNTIFS($C$6:$C$5000,$C4667,$O$6:$O$5000,$O4667,$B$6:$B$5000,$B4667)&gt;1,"MÜKERRER","OK"))))</f>
        <v/>
      </c>
    </row>
    <row r="4668" ht="16.5" customHeight="1" s="80">
      <c r="A4668" s="113" t="n"/>
      <c r="B4668" s="113" t="n"/>
      <c r="C4668" s="113" t="n"/>
      <c r="D4668" s="113" t="n"/>
      <c r="E4668" s="113" t="n"/>
      <c r="F4668" s="113" t="n"/>
      <c r="G4668" s="113" t="n"/>
      <c r="H4668" s="113" t="n"/>
      <c r="I4668" s="113" t="n"/>
      <c r="J4668" s="113" t="n"/>
      <c r="K4668" s="113" t="n"/>
      <c r="L4668" s="113" t="n"/>
      <c r="M4668" s="113" t="n"/>
      <c r="N4668" s="113" t="n"/>
      <c r="O4668" s="113" t="n"/>
      <c r="P4668" s="113" t="n"/>
      <c r="Q4668" s="113" t="n"/>
      <c r="R4668" s="113" t="n"/>
      <c r="S4668" s="113" t="n"/>
      <c r="T4668" s="113" t="n"/>
      <c r="U4668" s="113" t="n"/>
      <c r="V4668" s="113" t="n"/>
      <c r="W4668" s="113" t="n"/>
      <c r="X4668" s="113" t="n"/>
      <c r="Y4668" s="113" t="n"/>
      <c r="Z4668" s="117">
        <f>IF($B4668="",0,IF($S4668="EVET",IF($D4668="GELİR",$O4668,-$O4668),0))</f>
        <v/>
      </c>
      <c r="AA4668" s="117">
        <f>IF($B4668="",0,IF(OR($W4668="EVET",$X4668="EVET",$Y4668="EVET"),0,IF($D4668="GELİR",IF($E4668="SATIŞ İADESİ/İSKONTO",-$O4668,$O4668),-$O4668)))</f>
        <v/>
      </c>
      <c r="AB4668" s="117">
        <f>IF($B4668="","",IF(OR($D4668="",$E4668="",$O4668=""),"EKSİK",IF($O4668&lt;=0,"SIFIR/NEGATİF",IF(COUNTIFS($C$6:$C$5000,$C4668,$O$6:$O$5000,$O4668,$B$6:$B$5000,$B4668)&gt;1,"MÜKERRER","OK"))))</f>
        <v/>
      </c>
    </row>
    <row r="4669" ht="16.5" customHeight="1" s="80">
      <c r="A4669" s="113" t="n"/>
      <c r="B4669" s="113" t="n"/>
      <c r="C4669" s="113" t="n"/>
      <c r="D4669" s="113" t="n"/>
      <c r="E4669" s="113" t="n"/>
      <c r="F4669" s="113" t="n"/>
      <c r="G4669" s="113" t="n"/>
      <c r="H4669" s="113" t="n"/>
      <c r="I4669" s="113" t="n"/>
      <c r="J4669" s="113" t="n"/>
      <c r="K4669" s="113" t="n"/>
      <c r="L4669" s="113" t="n"/>
      <c r="M4669" s="113" t="n"/>
      <c r="N4669" s="113" t="n"/>
      <c r="O4669" s="113" t="n"/>
      <c r="P4669" s="113" t="n"/>
      <c r="Q4669" s="113" t="n"/>
      <c r="R4669" s="113" t="n"/>
      <c r="S4669" s="113" t="n"/>
      <c r="T4669" s="113" t="n"/>
      <c r="U4669" s="113" t="n"/>
      <c r="V4669" s="113" t="n"/>
      <c r="W4669" s="113" t="n"/>
      <c r="X4669" s="113" t="n"/>
      <c r="Y4669" s="113" t="n"/>
      <c r="Z4669" s="117">
        <f>IF($B4669="",0,IF($S4669="EVET",IF($D4669="GELİR",$O4669,-$O4669),0))</f>
        <v/>
      </c>
      <c r="AA4669" s="117">
        <f>IF($B4669="",0,IF(OR($W4669="EVET",$X4669="EVET",$Y4669="EVET"),0,IF($D4669="GELİR",IF($E4669="SATIŞ İADESİ/İSKONTO",-$O4669,$O4669),-$O4669)))</f>
        <v/>
      </c>
      <c r="AB4669" s="117">
        <f>IF($B4669="","",IF(OR($D4669="",$E4669="",$O4669=""),"EKSİK",IF($O4669&lt;=0,"SIFIR/NEGATİF",IF(COUNTIFS($C$6:$C$5000,$C4669,$O$6:$O$5000,$O4669,$B$6:$B$5000,$B4669)&gt;1,"MÜKERRER","OK"))))</f>
        <v/>
      </c>
    </row>
    <row r="4670" ht="16.5" customHeight="1" s="80">
      <c r="A4670" s="113" t="n"/>
      <c r="B4670" s="113" t="n"/>
      <c r="C4670" s="113" t="n"/>
      <c r="D4670" s="113" t="n"/>
      <c r="E4670" s="113" t="n"/>
      <c r="F4670" s="113" t="n"/>
      <c r="G4670" s="113" t="n"/>
      <c r="H4670" s="113" t="n"/>
      <c r="I4670" s="113" t="n"/>
      <c r="J4670" s="113" t="n"/>
      <c r="K4670" s="113" t="n"/>
      <c r="L4670" s="113" t="n"/>
      <c r="M4670" s="113" t="n"/>
      <c r="N4670" s="113" t="n"/>
      <c r="O4670" s="113" t="n"/>
      <c r="P4670" s="113" t="n"/>
      <c r="Q4670" s="113" t="n"/>
      <c r="R4670" s="113" t="n"/>
      <c r="S4670" s="113" t="n"/>
      <c r="T4670" s="113" t="n"/>
      <c r="U4670" s="113" t="n"/>
      <c r="V4670" s="113" t="n"/>
      <c r="W4670" s="113" t="n"/>
      <c r="X4670" s="113" t="n"/>
      <c r="Y4670" s="113" t="n"/>
      <c r="Z4670" s="117">
        <f>IF($B4670="",0,IF($S4670="EVET",IF($D4670="GELİR",$O4670,-$O4670),0))</f>
        <v/>
      </c>
      <c r="AA4670" s="117">
        <f>IF($B4670="",0,IF(OR($W4670="EVET",$X4670="EVET",$Y4670="EVET"),0,IF($D4670="GELİR",IF($E4670="SATIŞ İADESİ/İSKONTO",-$O4670,$O4670),-$O4670)))</f>
        <v/>
      </c>
      <c r="AB4670" s="117">
        <f>IF($B4670="","",IF(OR($D4670="",$E4670="",$O4670=""),"EKSİK",IF($O4670&lt;=0,"SIFIR/NEGATİF",IF(COUNTIFS($C$6:$C$5000,$C4670,$O$6:$O$5000,$O4670,$B$6:$B$5000,$B4670)&gt;1,"MÜKERRER","OK"))))</f>
        <v/>
      </c>
    </row>
    <row r="4671" ht="16.5" customHeight="1" s="80">
      <c r="A4671" s="113" t="n"/>
      <c r="B4671" s="113" t="n"/>
      <c r="C4671" s="113" t="n"/>
      <c r="D4671" s="113" t="n"/>
      <c r="E4671" s="113" t="n"/>
      <c r="F4671" s="113" t="n"/>
      <c r="G4671" s="113" t="n"/>
      <c r="H4671" s="113" t="n"/>
      <c r="I4671" s="113" t="n"/>
      <c r="J4671" s="113" t="n"/>
      <c r="K4671" s="113" t="n"/>
      <c r="L4671" s="113" t="n"/>
      <c r="M4671" s="113" t="n"/>
      <c r="N4671" s="113" t="n"/>
      <c r="O4671" s="113" t="n"/>
      <c r="P4671" s="113" t="n"/>
      <c r="Q4671" s="113" t="n"/>
      <c r="R4671" s="113" t="n"/>
      <c r="S4671" s="113" t="n"/>
      <c r="T4671" s="113" t="n"/>
      <c r="U4671" s="113" t="n"/>
      <c r="V4671" s="113" t="n"/>
      <c r="W4671" s="113" t="n"/>
      <c r="X4671" s="113" t="n"/>
      <c r="Y4671" s="113" t="n"/>
      <c r="Z4671" s="117">
        <f>IF($B4671="",0,IF($S4671="EVET",IF($D4671="GELİR",$O4671,-$O4671),0))</f>
        <v/>
      </c>
      <c r="AA4671" s="117">
        <f>IF($B4671="",0,IF(OR($W4671="EVET",$X4671="EVET",$Y4671="EVET"),0,IF($D4671="GELİR",IF($E4671="SATIŞ İADESİ/İSKONTO",-$O4671,$O4671),-$O4671)))</f>
        <v/>
      </c>
      <c r="AB4671" s="117">
        <f>IF($B4671="","",IF(OR($D4671="",$E4671="",$O4671=""),"EKSİK",IF($O4671&lt;=0,"SIFIR/NEGATİF",IF(COUNTIFS($C$6:$C$5000,$C4671,$O$6:$O$5000,$O4671,$B$6:$B$5000,$B4671)&gt;1,"MÜKERRER","OK"))))</f>
        <v/>
      </c>
    </row>
    <row r="4672" ht="16.5" customHeight="1" s="80">
      <c r="A4672" s="113" t="n"/>
      <c r="B4672" s="113" t="n"/>
      <c r="C4672" s="113" t="n"/>
      <c r="D4672" s="113" t="n"/>
      <c r="E4672" s="113" t="n"/>
      <c r="F4672" s="113" t="n"/>
      <c r="G4672" s="113" t="n"/>
      <c r="H4672" s="113" t="n"/>
      <c r="I4672" s="113" t="n"/>
      <c r="J4672" s="113" t="n"/>
      <c r="K4672" s="113" t="n"/>
      <c r="L4672" s="113" t="n"/>
      <c r="M4672" s="113" t="n"/>
      <c r="N4672" s="113" t="n"/>
      <c r="O4672" s="113" t="n"/>
      <c r="P4672" s="113" t="n"/>
      <c r="Q4672" s="113" t="n"/>
      <c r="R4672" s="113" t="n"/>
      <c r="S4672" s="113" t="n"/>
      <c r="T4672" s="113" t="n"/>
      <c r="U4672" s="113" t="n"/>
      <c r="V4672" s="113" t="n"/>
      <c r="W4672" s="113" t="n"/>
      <c r="X4672" s="113" t="n"/>
      <c r="Y4672" s="113" t="n"/>
      <c r="Z4672" s="117">
        <f>IF($B4672="",0,IF($S4672="EVET",IF($D4672="GELİR",$O4672,-$O4672),0))</f>
        <v/>
      </c>
      <c r="AA4672" s="117">
        <f>IF($B4672="",0,IF(OR($W4672="EVET",$X4672="EVET",$Y4672="EVET"),0,IF($D4672="GELİR",IF($E4672="SATIŞ İADESİ/İSKONTO",-$O4672,$O4672),-$O4672)))</f>
        <v/>
      </c>
      <c r="AB4672" s="117">
        <f>IF($B4672="","",IF(OR($D4672="",$E4672="",$O4672=""),"EKSİK",IF($O4672&lt;=0,"SIFIR/NEGATİF",IF(COUNTIFS($C$6:$C$5000,$C4672,$O$6:$O$5000,$O4672,$B$6:$B$5000,$B4672)&gt;1,"MÜKERRER","OK"))))</f>
        <v/>
      </c>
    </row>
    <row r="4673" ht="16.5" customHeight="1" s="80">
      <c r="A4673" s="113" t="n"/>
      <c r="B4673" s="113" t="n"/>
      <c r="C4673" s="113" t="n"/>
      <c r="D4673" s="113" t="n"/>
      <c r="E4673" s="113" t="n"/>
      <c r="F4673" s="113" t="n"/>
      <c r="G4673" s="113" t="n"/>
      <c r="H4673" s="113" t="n"/>
      <c r="I4673" s="113" t="n"/>
      <c r="J4673" s="113" t="n"/>
      <c r="K4673" s="113" t="n"/>
      <c r="L4673" s="113" t="n"/>
      <c r="M4673" s="113" t="n"/>
      <c r="N4673" s="113" t="n"/>
      <c r="O4673" s="113" t="n"/>
      <c r="P4673" s="113" t="n"/>
      <c r="Q4673" s="113" t="n"/>
      <c r="R4673" s="113" t="n"/>
      <c r="S4673" s="113" t="n"/>
      <c r="T4673" s="113" t="n"/>
      <c r="U4673" s="113" t="n"/>
      <c r="V4673" s="113" t="n"/>
      <c r="W4673" s="113" t="n"/>
      <c r="X4673" s="113" t="n"/>
      <c r="Y4673" s="113" t="n"/>
      <c r="Z4673" s="117">
        <f>IF($B4673="",0,IF($S4673="EVET",IF($D4673="GELİR",$O4673,-$O4673),0))</f>
        <v/>
      </c>
      <c r="AA4673" s="117">
        <f>IF($B4673="",0,IF(OR($W4673="EVET",$X4673="EVET",$Y4673="EVET"),0,IF($D4673="GELİR",IF($E4673="SATIŞ İADESİ/İSKONTO",-$O4673,$O4673),-$O4673)))</f>
        <v/>
      </c>
      <c r="AB4673" s="117">
        <f>IF($B4673="","",IF(OR($D4673="",$E4673="",$O4673=""),"EKSİK",IF($O4673&lt;=0,"SIFIR/NEGATİF",IF(COUNTIFS($C$6:$C$5000,$C4673,$O$6:$O$5000,$O4673,$B$6:$B$5000,$B4673)&gt;1,"MÜKERRER","OK"))))</f>
        <v/>
      </c>
    </row>
    <row r="4674" ht="16.5" customHeight="1" s="80">
      <c r="A4674" s="113" t="n"/>
      <c r="B4674" s="113" t="n"/>
      <c r="C4674" s="113" t="n"/>
      <c r="D4674" s="113" t="n"/>
      <c r="E4674" s="113" t="n"/>
      <c r="F4674" s="113" t="n"/>
      <c r="G4674" s="113" t="n"/>
      <c r="H4674" s="113" t="n"/>
      <c r="I4674" s="113" t="n"/>
      <c r="J4674" s="113" t="n"/>
      <c r="K4674" s="113" t="n"/>
      <c r="L4674" s="113" t="n"/>
      <c r="M4674" s="113" t="n"/>
      <c r="N4674" s="113" t="n"/>
      <c r="O4674" s="113" t="n"/>
      <c r="P4674" s="113" t="n"/>
      <c r="Q4674" s="113" t="n"/>
      <c r="R4674" s="113" t="n"/>
      <c r="S4674" s="113" t="n"/>
      <c r="T4674" s="113" t="n"/>
      <c r="U4674" s="113" t="n"/>
      <c r="V4674" s="113" t="n"/>
      <c r="W4674" s="113" t="n"/>
      <c r="X4674" s="113" t="n"/>
      <c r="Y4674" s="113" t="n"/>
      <c r="Z4674" s="117">
        <f>IF($B4674="",0,IF($S4674="EVET",IF($D4674="GELİR",$O4674,-$O4674),0))</f>
        <v/>
      </c>
      <c r="AA4674" s="117">
        <f>IF($B4674="",0,IF(OR($W4674="EVET",$X4674="EVET",$Y4674="EVET"),0,IF($D4674="GELİR",IF($E4674="SATIŞ İADESİ/İSKONTO",-$O4674,$O4674),-$O4674)))</f>
        <v/>
      </c>
      <c r="AB4674" s="117">
        <f>IF($B4674="","",IF(OR($D4674="",$E4674="",$O4674=""),"EKSİK",IF($O4674&lt;=0,"SIFIR/NEGATİF",IF(COUNTIFS($C$6:$C$5000,$C4674,$O$6:$O$5000,$O4674,$B$6:$B$5000,$B4674)&gt;1,"MÜKERRER","OK"))))</f>
        <v/>
      </c>
    </row>
    <row r="4675" ht="16.5" customHeight="1" s="80">
      <c r="A4675" s="113" t="n"/>
      <c r="B4675" s="113" t="n"/>
      <c r="C4675" s="113" t="n"/>
      <c r="D4675" s="113" t="n"/>
      <c r="E4675" s="113" t="n"/>
      <c r="F4675" s="113" t="n"/>
      <c r="G4675" s="113" t="n"/>
      <c r="H4675" s="113" t="n"/>
      <c r="I4675" s="113" t="n"/>
      <c r="J4675" s="113" t="n"/>
      <c r="K4675" s="113" t="n"/>
      <c r="L4675" s="113" t="n"/>
      <c r="M4675" s="113" t="n"/>
      <c r="N4675" s="113" t="n"/>
      <c r="O4675" s="113" t="n"/>
      <c r="P4675" s="113" t="n"/>
      <c r="Q4675" s="113" t="n"/>
      <c r="R4675" s="113" t="n"/>
      <c r="S4675" s="113" t="n"/>
      <c r="T4675" s="113" t="n"/>
      <c r="U4675" s="113" t="n"/>
      <c r="V4675" s="113" t="n"/>
      <c r="W4675" s="113" t="n"/>
      <c r="X4675" s="113" t="n"/>
      <c r="Y4675" s="113" t="n"/>
      <c r="Z4675" s="117">
        <f>IF($B4675="",0,IF($S4675="EVET",IF($D4675="GELİR",$O4675,-$O4675),0))</f>
        <v/>
      </c>
      <c r="AA4675" s="117">
        <f>IF($B4675="",0,IF(OR($W4675="EVET",$X4675="EVET",$Y4675="EVET"),0,IF($D4675="GELİR",IF($E4675="SATIŞ İADESİ/İSKONTO",-$O4675,$O4675),-$O4675)))</f>
        <v/>
      </c>
      <c r="AB4675" s="117">
        <f>IF($B4675="","",IF(OR($D4675="",$E4675="",$O4675=""),"EKSİK",IF($O4675&lt;=0,"SIFIR/NEGATİF",IF(COUNTIFS($C$6:$C$5000,$C4675,$O$6:$O$5000,$O4675,$B$6:$B$5000,$B4675)&gt;1,"MÜKERRER","OK"))))</f>
        <v/>
      </c>
    </row>
    <row r="4676" ht="16.5" customHeight="1" s="80">
      <c r="A4676" s="113" t="n"/>
      <c r="B4676" s="113" t="n"/>
      <c r="C4676" s="113" t="n"/>
      <c r="D4676" s="113" t="n"/>
      <c r="E4676" s="113" t="n"/>
      <c r="F4676" s="113" t="n"/>
      <c r="G4676" s="113" t="n"/>
      <c r="H4676" s="113" t="n"/>
      <c r="I4676" s="113" t="n"/>
      <c r="J4676" s="113" t="n"/>
      <c r="K4676" s="113" t="n"/>
      <c r="L4676" s="113" t="n"/>
      <c r="M4676" s="113" t="n"/>
      <c r="N4676" s="113" t="n"/>
      <c r="O4676" s="113" t="n"/>
      <c r="P4676" s="113" t="n"/>
      <c r="Q4676" s="113" t="n"/>
      <c r="R4676" s="113" t="n"/>
      <c r="S4676" s="113" t="n"/>
      <c r="T4676" s="113" t="n"/>
      <c r="U4676" s="113" t="n"/>
      <c r="V4676" s="113" t="n"/>
      <c r="W4676" s="113" t="n"/>
      <c r="X4676" s="113" t="n"/>
      <c r="Y4676" s="113" t="n"/>
      <c r="Z4676" s="117">
        <f>IF($B4676="",0,IF($S4676="EVET",IF($D4676="GELİR",$O4676,-$O4676),0))</f>
        <v/>
      </c>
      <c r="AA4676" s="117">
        <f>IF($B4676="",0,IF(OR($W4676="EVET",$X4676="EVET",$Y4676="EVET"),0,IF($D4676="GELİR",IF($E4676="SATIŞ İADESİ/İSKONTO",-$O4676,$O4676),-$O4676)))</f>
        <v/>
      </c>
      <c r="AB4676" s="117">
        <f>IF($B4676="","",IF(OR($D4676="",$E4676="",$O4676=""),"EKSİK",IF($O4676&lt;=0,"SIFIR/NEGATİF",IF(COUNTIFS($C$6:$C$5000,$C4676,$O$6:$O$5000,$O4676,$B$6:$B$5000,$B4676)&gt;1,"MÜKERRER","OK"))))</f>
        <v/>
      </c>
    </row>
    <row r="4677" ht="16.5" customHeight="1" s="80">
      <c r="A4677" s="113" t="n"/>
      <c r="B4677" s="113" t="n"/>
      <c r="C4677" s="113" t="n"/>
      <c r="D4677" s="113" t="n"/>
      <c r="E4677" s="113" t="n"/>
      <c r="F4677" s="113" t="n"/>
      <c r="G4677" s="113" t="n"/>
      <c r="H4677" s="113" t="n"/>
      <c r="I4677" s="113" t="n"/>
      <c r="J4677" s="113" t="n"/>
      <c r="K4677" s="113" t="n"/>
      <c r="L4677" s="113" t="n"/>
      <c r="M4677" s="113" t="n"/>
      <c r="N4677" s="113" t="n"/>
      <c r="O4677" s="113" t="n"/>
      <c r="P4677" s="113" t="n"/>
      <c r="Q4677" s="113" t="n"/>
      <c r="R4677" s="113" t="n"/>
      <c r="S4677" s="113" t="n"/>
      <c r="T4677" s="113" t="n"/>
      <c r="U4677" s="113" t="n"/>
      <c r="V4677" s="113" t="n"/>
      <c r="W4677" s="113" t="n"/>
      <c r="X4677" s="113" t="n"/>
      <c r="Y4677" s="113" t="n"/>
      <c r="Z4677" s="117">
        <f>IF($B4677="",0,IF($S4677="EVET",IF($D4677="GELİR",$O4677,-$O4677),0))</f>
        <v/>
      </c>
      <c r="AA4677" s="117">
        <f>IF($B4677="",0,IF(OR($W4677="EVET",$X4677="EVET",$Y4677="EVET"),0,IF($D4677="GELİR",IF($E4677="SATIŞ İADESİ/İSKONTO",-$O4677,$O4677),-$O4677)))</f>
        <v/>
      </c>
      <c r="AB4677" s="117">
        <f>IF($B4677="","",IF(OR($D4677="",$E4677="",$O4677=""),"EKSİK",IF($O4677&lt;=0,"SIFIR/NEGATİF",IF(COUNTIFS($C$6:$C$5000,$C4677,$O$6:$O$5000,$O4677,$B$6:$B$5000,$B4677)&gt;1,"MÜKERRER","OK"))))</f>
        <v/>
      </c>
    </row>
    <row r="4678" ht="16.5" customHeight="1" s="80">
      <c r="A4678" s="113" t="n"/>
      <c r="B4678" s="113" t="n"/>
      <c r="C4678" s="113" t="n"/>
      <c r="D4678" s="113" t="n"/>
      <c r="E4678" s="113" t="n"/>
      <c r="F4678" s="113" t="n"/>
      <c r="G4678" s="113" t="n"/>
      <c r="H4678" s="113" t="n"/>
      <c r="I4678" s="113" t="n"/>
      <c r="J4678" s="113" t="n"/>
      <c r="K4678" s="113" t="n"/>
      <c r="L4678" s="113" t="n"/>
      <c r="M4678" s="113" t="n"/>
      <c r="N4678" s="113" t="n"/>
      <c r="O4678" s="113" t="n"/>
      <c r="P4678" s="113" t="n"/>
      <c r="Q4678" s="113" t="n"/>
      <c r="R4678" s="113" t="n"/>
      <c r="S4678" s="113" t="n"/>
      <c r="T4678" s="113" t="n"/>
      <c r="U4678" s="113" t="n"/>
      <c r="V4678" s="113" t="n"/>
      <c r="W4678" s="113" t="n"/>
      <c r="X4678" s="113" t="n"/>
      <c r="Y4678" s="113" t="n"/>
      <c r="Z4678" s="117">
        <f>IF($B4678="",0,IF($S4678="EVET",IF($D4678="GELİR",$O4678,-$O4678),0))</f>
        <v/>
      </c>
      <c r="AA4678" s="117">
        <f>IF($B4678="",0,IF(OR($W4678="EVET",$X4678="EVET",$Y4678="EVET"),0,IF($D4678="GELİR",IF($E4678="SATIŞ İADESİ/İSKONTO",-$O4678,$O4678),-$O4678)))</f>
        <v/>
      </c>
      <c r="AB4678" s="117">
        <f>IF($B4678="","",IF(OR($D4678="",$E4678="",$O4678=""),"EKSİK",IF($O4678&lt;=0,"SIFIR/NEGATİF",IF(COUNTIFS($C$6:$C$5000,$C4678,$O$6:$O$5000,$O4678,$B$6:$B$5000,$B4678)&gt;1,"MÜKERRER","OK"))))</f>
        <v/>
      </c>
    </row>
    <row r="4679" ht="16.5" customHeight="1" s="80">
      <c r="A4679" s="113" t="n"/>
      <c r="B4679" s="113" t="n"/>
      <c r="C4679" s="113" t="n"/>
      <c r="D4679" s="113" t="n"/>
      <c r="E4679" s="113" t="n"/>
      <c r="F4679" s="113" t="n"/>
      <c r="G4679" s="113" t="n"/>
      <c r="H4679" s="113" t="n"/>
      <c r="I4679" s="113" t="n"/>
      <c r="J4679" s="113" t="n"/>
      <c r="K4679" s="113" t="n"/>
      <c r="L4679" s="113" t="n"/>
      <c r="M4679" s="113" t="n"/>
      <c r="N4679" s="113" t="n"/>
      <c r="O4679" s="113" t="n"/>
      <c r="P4679" s="113" t="n"/>
      <c r="Q4679" s="113" t="n"/>
      <c r="R4679" s="113" t="n"/>
      <c r="S4679" s="113" t="n"/>
      <c r="T4679" s="113" t="n"/>
      <c r="U4679" s="113" t="n"/>
      <c r="V4679" s="113" t="n"/>
      <c r="W4679" s="113" t="n"/>
      <c r="X4679" s="113" t="n"/>
      <c r="Y4679" s="113" t="n"/>
      <c r="Z4679" s="117">
        <f>IF($B4679="",0,IF($S4679="EVET",IF($D4679="GELİR",$O4679,-$O4679),0))</f>
        <v/>
      </c>
      <c r="AA4679" s="117">
        <f>IF($B4679="",0,IF(OR($W4679="EVET",$X4679="EVET",$Y4679="EVET"),0,IF($D4679="GELİR",IF($E4679="SATIŞ İADESİ/İSKONTO",-$O4679,$O4679),-$O4679)))</f>
        <v/>
      </c>
      <c r="AB4679" s="117">
        <f>IF($B4679="","",IF(OR($D4679="",$E4679="",$O4679=""),"EKSİK",IF($O4679&lt;=0,"SIFIR/NEGATİF",IF(COUNTIFS($C$6:$C$5000,$C4679,$O$6:$O$5000,$O4679,$B$6:$B$5000,$B4679)&gt;1,"MÜKERRER","OK"))))</f>
        <v/>
      </c>
    </row>
    <row r="4680" ht="16.5" customHeight="1" s="80">
      <c r="A4680" s="113" t="n"/>
      <c r="B4680" s="113" t="n"/>
      <c r="C4680" s="113" t="n"/>
      <c r="D4680" s="113" t="n"/>
      <c r="E4680" s="113" t="n"/>
      <c r="F4680" s="113" t="n"/>
      <c r="G4680" s="113" t="n"/>
      <c r="H4680" s="113" t="n"/>
      <c r="I4680" s="113" t="n"/>
      <c r="J4680" s="113" t="n"/>
      <c r="K4680" s="113" t="n"/>
      <c r="L4680" s="113" t="n"/>
      <c r="M4680" s="113" t="n"/>
      <c r="N4680" s="113" t="n"/>
      <c r="O4680" s="113" t="n"/>
      <c r="P4680" s="113" t="n"/>
      <c r="Q4680" s="113" t="n"/>
      <c r="R4680" s="113" t="n"/>
      <c r="S4680" s="113" t="n"/>
      <c r="T4680" s="113" t="n"/>
      <c r="U4680" s="113" t="n"/>
      <c r="V4680" s="113" t="n"/>
      <c r="W4680" s="113" t="n"/>
      <c r="X4680" s="113" t="n"/>
      <c r="Y4680" s="113" t="n"/>
      <c r="Z4680" s="117">
        <f>IF($B4680="",0,IF($S4680="EVET",IF($D4680="GELİR",$O4680,-$O4680),0))</f>
        <v/>
      </c>
      <c r="AA4680" s="117">
        <f>IF($B4680="",0,IF(OR($W4680="EVET",$X4680="EVET",$Y4680="EVET"),0,IF($D4680="GELİR",IF($E4680="SATIŞ İADESİ/İSKONTO",-$O4680,$O4680),-$O4680)))</f>
        <v/>
      </c>
      <c r="AB4680" s="117">
        <f>IF($B4680="","",IF(OR($D4680="",$E4680="",$O4680=""),"EKSİK",IF($O4680&lt;=0,"SIFIR/NEGATİF",IF(COUNTIFS($C$6:$C$5000,$C4680,$O$6:$O$5000,$O4680,$B$6:$B$5000,$B4680)&gt;1,"MÜKERRER","OK"))))</f>
        <v/>
      </c>
    </row>
    <row r="4681" ht="16.5" customHeight="1" s="80">
      <c r="A4681" s="113" t="n"/>
      <c r="B4681" s="113" t="n"/>
      <c r="C4681" s="113" t="n"/>
      <c r="D4681" s="113" t="n"/>
      <c r="E4681" s="113" t="n"/>
      <c r="F4681" s="113" t="n"/>
      <c r="G4681" s="113" t="n"/>
      <c r="H4681" s="113" t="n"/>
      <c r="I4681" s="113" t="n"/>
      <c r="J4681" s="113" t="n"/>
      <c r="K4681" s="113" t="n"/>
      <c r="L4681" s="113" t="n"/>
      <c r="M4681" s="113" t="n"/>
      <c r="N4681" s="113" t="n"/>
      <c r="O4681" s="113" t="n"/>
      <c r="P4681" s="113" t="n"/>
      <c r="Q4681" s="113" t="n"/>
      <c r="R4681" s="113" t="n"/>
      <c r="S4681" s="113" t="n"/>
      <c r="T4681" s="113" t="n"/>
      <c r="U4681" s="113" t="n"/>
      <c r="V4681" s="113" t="n"/>
      <c r="W4681" s="113" t="n"/>
      <c r="X4681" s="113" t="n"/>
      <c r="Y4681" s="113" t="n"/>
      <c r="Z4681" s="117">
        <f>IF($B4681="",0,IF($S4681="EVET",IF($D4681="GELİR",$O4681,-$O4681),0))</f>
        <v/>
      </c>
      <c r="AA4681" s="117">
        <f>IF($B4681="",0,IF(OR($W4681="EVET",$X4681="EVET",$Y4681="EVET"),0,IF($D4681="GELİR",IF($E4681="SATIŞ İADESİ/İSKONTO",-$O4681,$O4681),-$O4681)))</f>
        <v/>
      </c>
      <c r="AB4681" s="117">
        <f>IF($B4681="","",IF(OR($D4681="",$E4681="",$O4681=""),"EKSİK",IF($O4681&lt;=0,"SIFIR/NEGATİF",IF(COUNTIFS($C$6:$C$5000,$C4681,$O$6:$O$5000,$O4681,$B$6:$B$5000,$B4681)&gt;1,"MÜKERRER","OK"))))</f>
        <v/>
      </c>
    </row>
    <row r="4682" ht="16.5" customHeight="1" s="80">
      <c r="A4682" s="113" t="n"/>
      <c r="B4682" s="113" t="n"/>
      <c r="C4682" s="113" t="n"/>
      <c r="D4682" s="113" t="n"/>
      <c r="E4682" s="113" t="n"/>
      <c r="F4682" s="113" t="n"/>
      <c r="G4682" s="113" t="n"/>
      <c r="H4682" s="113" t="n"/>
      <c r="I4682" s="113" t="n"/>
      <c r="J4682" s="113" t="n"/>
      <c r="K4682" s="113" t="n"/>
      <c r="L4682" s="113" t="n"/>
      <c r="M4682" s="113" t="n"/>
      <c r="N4682" s="113" t="n"/>
      <c r="O4682" s="113" t="n"/>
      <c r="P4682" s="113" t="n"/>
      <c r="Q4682" s="113" t="n"/>
      <c r="R4682" s="113" t="n"/>
      <c r="S4682" s="113" t="n"/>
      <c r="T4682" s="113" t="n"/>
      <c r="U4682" s="113" t="n"/>
      <c r="V4682" s="113" t="n"/>
      <c r="W4682" s="113" t="n"/>
      <c r="X4682" s="113" t="n"/>
      <c r="Y4682" s="113" t="n"/>
      <c r="Z4682" s="117">
        <f>IF($B4682="",0,IF($S4682="EVET",IF($D4682="GELİR",$O4682,-$O4682),0))</f>
        <v/>
      </c>
      <c r="AA4682" s="117">
        <f>IF($B4682="",0,IF(OR($W4682="EVET",$X4682="EVET",$Y4682="EVET"),0,IF($D4682="GELİR",IF($E4682="SATIŞ İADESİ/İSKONTO",-$O4682,$O4682),-$O4682)))</f>
        <v/>
      </c>
      <c r="AB4682" s="117">
        <f>IF($B4682="","",IF(OR($D4682="",$E4682="",$O4682=""),"EKSİK",IF($O4682&lt;=0,"SIFIR/NEGATİF",IF(COUNTIFS($C$6:$C$5000,$C4682,$O$6:$O$5000,$O4682,$B$6:$B$5000,$B4682)&gt;1,"MÜKERRER","OK"))))</f>
        <v/>
      </c>
    </row>
    <row r="4683" ht="16.5" customHeight="1" s="80">
      <c r="A4683" s="113" t="n"/>
      <c r="B4683" s="113" t="n"/>
      <c r="C4683" s="113" t="n"/>
      <c r="D4683" s="113" t="n"/>
      <c r="E4683" s="113" t="n"/>
      <c r="F4683" s="113" t="n"/>
      <c r="G4683" s="113" t="n"/>
      <c r="H4683" s="113" t="n"/>
      <c r="I4683" s="113" t="n"/>
      <c r="J4683" s="113" t="n"/>
      <c r="K4683" s="113" t="n"/>
      <c r="L4683" s="113" t="n"/>
      <c r="M4683" s="113" t="n"/>
      <c r="N4683" s="113" t="n"/>
      <c r="O4683" s="113" t="n"/>
      <c r="P4683" s="113" t="n"/>
      <c r="Q4683" s="113" t="n"/>
      <c r="R4683" s="113" t="n"/>
      <c r="S4683" s="113" t="n"/>
      <c r="T4683" s="113" t="n"/>
      <c r="U4683" s="113" t="n"/>
      <c r="V4683" s="113" t="n"/>
      <c r="W4683" s="113" t="n"/>
      <c r="X4683" s="113" t="n"/>
      <c r="Y4683" s="113" t="n"/>
      <c r="Z4683" s="117">
        <f>IF($B4683="",0,IF($S4683="EVET",IF($D4683="GELİR",$O4683,-$O4683),0))</f>
        <v/>
      </c>
      <c r="AA4683" s="117">
        <f>IF($B4683="",0,IF(OR($W4683="EVET",$X4683="EVET",$Y4683="EVET"),0,IF($D4683="GELİR",IF($E4683="SATIŞ İADESİ/İSKONTO",-$O4683,$O4683),-$O4683)))</f>
        <v/>
      </c>
      <c r="AB4683" s="117">
        <f>IF($B4683="","",IF(OR($D4683="",$E4683="",$O4683=""),"EKSİK",IF($O4683&lt;=0,"SIFIR/NEGATİF",IF(COUNTIFS($C$6:$C$5000,$C4683,$O$6:$O$5000,$O4683,$B$6:$B$5000,$B4683)&gt;1,"MÜKERRER","OK"))))</f>
        <v/>
      </c>
    </row>
    <row r="4684" ht="16.5" customHeight="1" s="80">
      <c r="A4684" s="113" t="n"/>
      <c r="B4684" s="113" t="n"/>
      <c r="C4684" s="113" t="n"/>
      <c r="D4684" s="113" t="n"/>
      <c r="E4684" s="113" t="n"/>
      <c r="F4684" s="113" t="n"/>
      <c r="G4684" s="113" t="n"/>
      <c r="H4684" s="113" t="n"/>
      <c r="I4684" s="113" t="n"/>
      <c r="J4684" s="113" t="n"/>
      <c r="K4684" s="113" t="n"/>
      <c r="L4684" s="113" t="n"/>
      <c r="M4684" s="113" t="n"/>
      <c r="N4684" s="113" t="n"/>
      <c r="O4684" s="113" t="n"/>
      <c r="P4684" s="113" t="n"/>
      <c r="Q4684" s="113" t="n"/>
      <c r="R4684" s="113" t="n"/>
      <c r="S4684" s="113" t="n"/>
      <c r="T4684" s="113" t="n"/>
      <c r="U4684" s="113" t="n"/>
      <c r="V4684" s="113" t="n"/>
      <c r="W4684" s="113" t="n"/>
      <c r="X4684" s="113" t="n"/>
      <c r="Y4684" s="113" t="n"/>
      <c r="Z4684" s="117">
        <f>IF($B4684="",0,IF($S4684="EVET",IF($D4684="GELİR",$O4684,-$O4684),0))</f>
        <v/>
      </c>
      <c r="AA4684" s="117">
        <f>IF($B4684="",0,IF(OR($W4684="EVET",$X4684="EVET",$Y4684="EVET"),0,IF($D4684="GELİR",IF($E4684="SATIŞ İADESİ/İSKONTO",-$O4684,$O4684),-$O4684)))</f>
        <v/>
      </c>
      <c r="AB4684" s="117">
        <f>IF($B4684="","",IF(OR($D4684="",$E4684="",$O4684=""),"EKSİK",IF($O4684&lt;=0,"SIFIR/NEGATİF",IF(COUNTIFS($C$6:$C$5000,$C4684,$O$6:$O$5000,$O4684,$B$6:$B$5000,$B4684)&gt;1,"MÜKERRER","OK"))))</f>
        <v/>
      </c>
    </row>
    <row r="4685" ht="16.5" customHeight="1" s="80">
      <c r="A4685" s="113" t="n"/>
      <c r="B4685" s="113" t="n"/>
      <c r="C4685" s="113" t="n"/>
      <c r="D4685" s="113" t="n"/>
      <c r="E4685" s="113" t="n"/>
      <c r="F4685" s="113" t="n"/>
      <c r="G4685" s="113" t="n"/>
      <c r="H4685" s="113" t="n"/>
      <c r="I4685" s="113" t="n"/>
      <c r="J4685" s="113" t="n"/>
      <c r="K4685" s="113" t="n"/>
      <c r="L4685" s="113" t="n"/>
      <c r="M4685" s="113" t="n"/>
      <c r="N4685" s="113" t="n"/>
      <c r="O4685" s="113" t="n"/>
      <c r="P4685" s="113" t="n"/>
      <c r="Q4685" s="113" t="n"/>
      <c r="R4685" s="113" t="n"/>
      <c r="S4685" s="113" t="n"/>
      <c r="T4685" s="113" t="n"/>
      <c r="U4685" s="113" t="n"/>
      <c r="V4685" s="113" t="n"/>
      <c r="W4685" s="113" t="n"/>
      <c r="X4685" s="113" t="n"/>
      <c r="Y4685" s="113" t="n"/>
      <c r="Z4685" s="117">
        <f>IF($B4685="",0,IF($S4685="EVET",IF($D4685="GELİR",$O4685,-$O4685),0))</f>
        <v/>
      </c>
      <c r="AA4685" s="117">
        <f>IF($B4685="",0,IF(OR($W4685="EVET",$X4685="EVET",$Y4685="EVET"),0,IF($D4685="GELİR",IF($E4685="SATIŞ İADESİ/İSKONTO",-$O4685,$O4685),-$O4685)))</f>
        <v/>
      </c>
      <c r="AB4685" s="117">
        <f>IF($B4685="","",IF(OR($D4685="",$E4685="",$O4685=""),"EKSİK",IF($O4685&lt;=0,"SIFIR/NEGATİF",IF(COUNTIFS($C$6:$C$5000,$C4685,$O$6:$O$5000,$O4685,$B$6:$B$5000,$B4685)&gt;1,"MÜKERRER","OK"))))</f>
        <v/>
      </c>
    </row>
    <row r="4686" ht="16.5" customHeight="1" s="80">
      <c r="A4686" s="113" t="n"/>
      <c r="B4686" s="113" t="n"/>
      <c r="C4686" s="113" t="n"/>
      <c r="D4686" s="113" t="n"/>
      <c r="E4686" s="113" t="n"/>
      <c r="F4686" s="113" t="n"/>
      <c r="G4686" s="113" t="n"/>
      <c r="H4686" s="113" t="n"/>
      <c r="I4686" s="113" t="n"/>
      <c r="J4686" s="113" t="n"/>
      <c r="K4686" s="113" t="n"/>
      <c r="L4686" s="113" t="n"/>
      <c r="M4686" s="113" t="n"/>
      <c r="N4686" s="113" t="n"/>
      <c r="O4686" s="113" t="n"/>
      <c r="P4686" s="113" t="n"/>
      <c r="Q4686" s="113" t="n"/>
      <c r="R4686" s="113" t="n"/>
      <c r="S4686" s="113" t="n"/>
      <c r="T4686" s="113" t="n"/>
      <c r="U4686" s="113" t="n"/>
      <c r="V4686" s="113" t="n"/>
      <c r="W4686" s="113" t="n"/>
      <c r="X4686" s="113" t="n"/>
      <c r="Y4686" s="113" t="n"/>
      <c r="Z4686" s="117">
        <f>IF($B4686="",0,IF($S4686="EVET",IF($D4686="GELİR",$O4686,-$O4686),0))</f>
        <v/>
      </c>
      <c r="AA4686" s="117">
        <f>IF($B4686="",0,IF(OR($W4686="EVET",$X4686="EVET",$Y4686="EVET"),0,IF($D4686="GELİR",IF($E4686="SATIŞ İADESİ/İSKONTO",-$O4686,$O4686),-$O4686)))</f>
        <v/>
      </c>
      <c r="AB4686" s="117">
        <f>IF($B4686="","",IF(OR($D4686="",$E4686="",$O4686=""),"EKSİK",IF($O4686&lt;=0,"SIFIR/NEGATİF",IF(COUNTIFS($C$6:$C$5000,$C4686,$O$6:$O$5000,$O4686,$B$6:$B$5000,$B4686)&gt;1,"MÜKERRER","OK"))))</f>
        <v/>
      </c>
    </row>
    <row r="4687" ht="16.5" customHeight="1" s="80">
      <c r="A4687" s="113" t="n"/>
      <c r="B4687" s="113" t="n"/>
      <c r="C4687" s="113" t="n"/>
      <c r="D4687" s="113" t="n"/>
      <c r="E4687" s="113" t="n"/>
      <c r="F4687" s="113" t="n"/>
      <c r="G4687" s="113" t="n"/>
      <c r="H4687" s="113" t="n"/>
      <c r="I4687" s="113" t="n"/>
      <c r="J4687" s="113" t="n"/>
      <c r="K4687" s="113" t="n"/>
      <c r="L4687" s="113" t="n"/>
      <c r="M4687" s="113" t="n"/>
      <c r="N4687" s="113" t="n"/>
      <c r="O4687" s="113" t="n"/>
      <c r="P4687" s="113" t="n"/>
      <c r="Q4687" s="113" t="n"/>
      <c r="R4687" s="113" t="n"/>
      <c r="S4687" s="113" t="n"/>
      <c r="T4687" s="113" t="n"/>
      <c r="U4687" s="113" t="n"/>
      <c r="V4687" s="113" t="n"/>
      <c r="W4687" s="113" t="n"/>
      <c r="X4687" s="113" t="n"/>
      <c r="Y4687" s="113" t="n"/>
      <c r="Z4687" s="117">
        <f>IF($B4687="",0,IF($S4687="EVET",IF($D4687="GELİR",$O4687,-$O4687),0))</f>
        <v/>
      </c>
      <c r="AA4687" s="117">
        <f>IF($B4687="",0,IF(OR($W4687="EVET",$X4687="EVET",$Y4687="EVET"),0,IF($D4687="GELİR",IF($E4687="SATIŞ İADESİ/İSKONTO",-$O4687,$O4687),-$O4687)))</f>
        <v/>
      </c>
      <c r="AB4687" s="117">
        <f>IF($B4687="","",IF(OR($D4687="",$E4687="",$O4687=""),"EKSİK",IF($O4687&lt;=0,"SIFIR/NEGATİF",IF(COUNTIFS($C$6:$C$5000,$C4687,$O$6:$O$5000,$O4687,$B$6:$B$5000,$B4687)&gt;1,"MÜKERRER","OK"))))</f>
        <v/>
      </c>
    </row>
    <row r="4688" ht="16.5" customHeight="1" s="80">
      <c r="A4688" s="113" t="n"/>
      <c r="B4688" s="113" t="n"/>
      <c r="C4688" s="113" t="n"/>
      <c r="D4688" s="113" t="n"/>
      <c r="E4688" s="113" t="n"/>
      <c r="F4688" s="113" t="n"/>
      <c r="G4688" s="113" t="n"/>
      <c r="H4688" s="113" t="n"/>
      <c r="I4688" s="113" t="n"/>
      <c r="J4688" s="113" t="n"/>
      <c r="K4688" s="113" t="n"/>
      <c r="L4688" s="113" t="n"/>
      <c r="M4688" s="113" t="n"/>
      <c r="N4688" s="113" t="n"/>
      <c r="O4688" s="113" t="n"/>
      <c r="P4688" s="113" t="n"/>
      <c r="Q4688" s="113" t="n"/>
      <c r="R4688" s="113" t="n"/>
      <c r="S4688" s="113" t="n"/>
      <c r="T4688" s="113" t="n"/>
      <c r="U4688" s="113" t="n"/>
      <c r="V4688" s="113" t="n"/>
      <c r="W4688" s="113" t="n"/>
      <c r="X4688" s="113" t="n"/>
      <c r="Y4688" s="113" t="n"/>
      <c r="Z4688" s="117">
        <f>IF($B4688="",0,IF($S4688="EVET",IF($D4688="GELİR",$O4688,-$O4688),0))</f>
        <v/>
      </c>
      <c r="AA4688" s="117">
        <f>IF($B4688="",0,IF(OR($W4688="EVET",$X4688="EVET",$Y4688="EVET"),0,IF($D4688="GELİR",IF($E4688="SATIŞ İADESİ/İSKONTO",-$O4688,$O4688),-$O4688)))</f>
        <v/>
      </c>
      <c r="AB4688" s="117">
        <f>IF($B4688="","",IF(OR($D4688="",$E4688="",$O4688=""),"EKSİK",IF($O4688&lt;=0,"SIFIR/NEGATİF",IF(COUNTIFS($C$6:$C$5000,$C4688,$O$6:$O$5000,$O4688,$B$6:$B$5000,$B4688)&gt;1,"MÜKERRER","OK"))))</f>
        <v/>
      </c>
    </row>
    <row r="4689" ht="16.5" customHeight="1" s="80">
      <c r="A4689" s="113" t="n"/>
      <c r="B4689" s="113" t="n"/>
      <c r="C4689" s="113" t="n"/>
      <c r="D4689" s="113" t="n"/>
      <c r="E4689" s="113" t="n"/>
      <c r="F4689" s="113" t="n"/>
      <c r="G4689" s="113" t="n"/>
      <c r="H4689" s="113" t="n"/>
      <c r="I4689" s="113" t="n"/>
      <c r="J4689" s="113" t="n"/>
      <c r="K4689" s="113" t="n"/>
      <c r="L4689" s="113" t="n"/>
      <c r="M4689" s="113" t="n"/>
      <c r="N4689" s="113" t="n"/>
      <c r="O4689" s="113" t="n"/>
      <c r="P4689" s="113" t="n"/>
      <c r="Q4689" s="113" t="n"/>
      <c r="R4689" s="113" t="n"/>
      <c r="S4689" s="113" t="n"/>
      <c r="T4689" s="113" t="n"/>
      <c r="U4689" s="113" t="n"/>
      <c r="V4689" s="113" t="n"/>
      <c r="W4689" s="113" t="n"/>
      <c r="X4689" s="113" t="n"/>
      <c r="Y4689" s="113" t="n"/>
      <c r="Z4689" s="117">
        <f>IF($B4689="",0,IF($S4689="EVET",IF($D4689="GELİR",$O4689,-$O4689),0))</f>
        <v/>
      </c>
      <c r="AA4689" s="117">
        <f>IF($B4689="",0,IF(OR($W4689="EVET",$X4689="EVET",$Y4689="EVET"),0,IF($D4689="GELİR",IF($E4689="SATIŞ İADESİ/İSKONTO",-$O4689,$O4689),-$O4689)))</f>
        <v/>
      </c>
      <c r="AB4689" s="117">
        <f>IF($B4689="","",IF(OR($D4689="",$E4689="",$O4689=""),"EKSİK",IF($O4689&lt;=0,"SIFIR/NEGATİF",IF(COUNTIFS($C$6:$C$5000,$C4689,$O$6:$O$5000,$O4689,$B$6:$B$5000,$B4689)&gt;1,"MÜKERRER","OK"))))</f>
        <v/>
      </c>
    </row>
    <row r="4690" ht="16.5" customHeight="1" s="80">
      <c r="A4690" s="113" t="n"/>
      <c r="B4690" s="113" t="n"/>
      <c r="C4690" s="113" t="n"/>
      <c r="D4690" s="113" t="n"/>
      <c r="E4690" s="113" t="n"/>
      <c r="F4690" s="113" t="n"/>
      <c r="G4690" s="113" t="n"/>
      <c r="H4690" s="113" t="n"/>
      <c r="I4690" s="113" t="n"/>
      <c r="J4690" s="113" t="n"/>
      <c r="K4690" s="113" t="n"/>
      <c r="L4690" s="113" t="n"/>
      <c r="M4690" s="113" t="n"/>
      <c r="N4690" s="113" t="n"/>
      <c r="O4690" s="113" t="n"/>
      <c r="P4690" s="113" t="n"/>
      <c r="Q4690" s="113" t="n"/>
      <c r="R4690" s="113" t="n"/>
      <c r="S4690" s="113" t="n"/>
      <c r="T4690" s="113" t="n"/>
      <c r="U4690" s="113" t="n"/>
      <c r="V4690" s="113" t="n"/>
      <c r="W4690" s="113" t="n"/>
      <c r="X4690" s="113" t="n"/>
      <c r="Y4690" s="113" t="n"/>
      <c r="Z4690" s="117">
        <f>IF($B4690="",0,IF($S4690="EVET",IF($D4690="GELİR",$O4690,-$O4690),0))</f>
        <v/>
      </c>
      <c r="AA4690" s="117">
        <f>IF($B4690="",0,IF(OR($W4690="EVET",$X4690="EVET",$Y4690="EVET"),0,IF($D4690="GELİR",IF($E4690="SATIŞ İADESİ/İSKONTO",-$O4690,$O4690),-$O4690)))</f>
        <v/>
      </c>
      <c r="AB4690" s="117">
        <f>IF($B4690="","",IF(OR($D4690="",$E4690="",$O4690=""),"EKSİK",IF($O4690&lt;=0,"SIFIR/NEGATİF",IF(COUNTIFS($C$6:$C$5000,$C4690,$O$6:$O$5000,$O4690,$B$6:$B$5000,$B4690)&gt;1,"MÜKERRER","OK"))))</f>
        <v/>
      </c>
    </row>
    <row r="4691" ht="16.5" customHeight="1" s="80">
      <c r="A4691" s="113" t="n"/>
      <c r="B4691" s="113" t="n"/>
      <c r="C4691" s="113" t="n"/>
      <c r="D4691" s="113" t="n"/>
      <c r="E4691" s="113" t="n"/>
      <c r="F4691" s="113" t="n"/>
      <c r="G4691" s="113" t="n"/>
      <c r="H4691" s="113" t="n"/>
      <c r="I4691" s="113" t="n"/>
      <c r="J4691" s="113" t="n"/>
      <c r="K4691" s="113" t="n"/>
      <c r="L4691" s="113" t="n"/>
      <c r="M4691" s="113" t="n"/>
      <c r="N4691" s="113" t="n"/>
      <c r="O4691" s="113" t="n"/>
      <c r="P4691" s="113" t="n"/>
      <c r="Q4691" s="113" t="n"/>
      <c r="R4691" s="113" t="n"/>
      <c r="S4691" s="113" t="n"/>
      <c r="T4691" s="113" t="n"/>
      <c r="U4691" s="113" t="n"/>
      <c r="V4691" s="113" t="n"/>
      <c r="W4691" s="113" t="n"/>
      <c r="X4691" s="113" t="n"/>
      <c r="Y4691" s="113" t="n"/>
      <c r="Z4691" s="117">
        <f>IF($B4691="",0,IF($S4691="EVET",IF($D4691="GELİR",$O4691,-$O4691),0))</f>
        <v/>
      </c>
      <c r="AA4691" s="117">
        <f>IF($B4691="",0,IF(OR($W4691="EVET",$X4691="EVET",$Y4691="EVET"),0,IF($D4691="GELİR",IF($E4691="SATIŞ İADESİ/İSKONTO",-$O4691,$O4691),-$O4691)))</f>
        <v/>
      </c>
      <c r="AB4691" s="117">
        <f>IF($B4691="","",IF(OR($D4691="",$E4691="",$O4691=""),"EKSİK",IF($O4691&lt;=0,"SIFIR/NEGATİF",IF(COUNTIFS($C$6:$C$5000,$C4691,$O$6:$O$5000,$O4691,$B$6:$B$5000,$B4691)&gt;1,"MÜKERRER","OK"))))</f>
        <v/>
      </c>
    </row>
    <row r="4692" ht="16.5" customHeight="1" s="80">
      <c r="A4692" s="113" t="n"/>
      <c r="B4692" s="113" t="n"/>
      <c r="C4692" s="113" t="n"/>
      <c r="D4692" s="113" t="n"/>
      <c r="E4692" s="113" t="n"/>
      <c r="F4692" s="113" t="n"/>
      <c r="G4692" s="113" t="n"/>
      <c r="H4692" s="113" t="n"/>
      <c r="I4692" s="113" t="n"/>
      <c r="J4692" s="113" t="n"/>
      <c r="K4692" s="113" t="n"/>
      <c r="L4692" s="113" t="n"/>
      <c r="M4692" s="113" t="n"/>
      <c r="N4692" s="113" t="n"/>
      <c r="O4692" s="113" t="n"/>
      <c r="P4692" s="113" t="n"/>
      <c r="Q4692" s="113" t="n"/>
      <c r="R4692" s="113" t="n"/>
      <c r="S4692" s="113" t="n"/>
      <c r="T4692" s="113" t="n"/>
      <c r="U4692" s="113" t="n"/>
      <c r="V4692" s="113" t="n"/>
      <c r="W4692" s="113" t="n"/>
      <c r="X4692" s="113" t="n"/>
      <c r="Y4692" s="113" t="n"/>
      <c r="Z4692" s="117">
        <f>IF($B4692="",0,IF($S4692="EVET",IF($D4692="GELİR",$O4692,-$O4692),0))</f>
        <v/>
      </c>
      <c r="AA4692" s="117">
        <f>IF($B4692="",0,IF(OR($W4692="EVET",$X4692="EVET",$Y4692="EVET"),0,IF($D4692="GELİR",IF($E4692="SATIŞ İADESİ/İSKONTO",-$O4692,$O4692),-$O4692)))</f>
        <v/>
      </c>
      <c r="AB4692" s="117">
        <f>IF($B4692="","",IF(OR($D4692="",$E4692="",$O4692=""),"EKSİK",IF($O4692&lt;=0,"SIFIR/NEGATİF",IF(COUNTIFS($C$6:$C$5000,$C4692,$O$6:$O$5000,$O4692,$B$6:$B$5000,$B4692)&gt;1,"MÜKERRER","OK"))))</f>
        <v/>
      </c>
    </row>
    <row r="4693" ht="16.5" customHeight="1" s="80">
      <c r="A4693" s="113" t="n"/>
      <c r="B4693" s="113" t="n"/>
      <c r="C4693" s="113" t="n"/>
      <c r="D4693" s="113" t="n"/>
      <c r="E4693" s="113" t="n"/>
      <c r="F4693" s="113" t="n"/>
      <c r="G4693" s="113" t="n"/>
      <c r="H4693" s="113" t="n"/>
      <c r="I4693" s="113" t="n"/>
      <c r="J4693" s="113" t="n"/>
      <c r="K4693" s="113" t="n"/>
      <c r="L4693" s="113" t="n"/>
      <c r="M4693" s="113" t="n"/>
      <c r="N4693" s="113" t="n"/>
      <c r="O4693" s="113" t="n"/>
      <c r="P4693" s="113" t="n"/>
      <c r="Q4693" s="113" t="n"/>
      <c r="R4693" s="113" t="n"/>
      <c r="S4693" s="113" t="n"/>
      <c r="T4693" s="113" t="n"/>
      <c r="U4693" s="113" t="n"/>
      <c r="V4693" s="113" t="n"/>
      <c r="W4693" s="113" t="n"/>
      <c r="X4693" s="113" t="n"/>
      <c r="Y4693" s="113" t="n"/>
      <c r="Z4693" s="117">
        <f>IF($B4693="",0,IF($S4693="EVET",IF($D4693="GELİR",$O4693,-$O4693),0))</f>
        <v/>
      </c>
      <c r="AA4693" s="117">
        <f>IF($B4693="",0,IF(OR($W4693="EVET",$X4693="EVET",$Y4693="EVET"),0,IF($D4693="GELİR",IF($E4693="SATIŞ İADESİ/İSKONTO",-$O4693,$O4693),-$O4693)))</f>
        <v/>
      </c>
      <c r="AB4693" s="117">
        <f>IF($B4693="","",IF(OR($D4693="",$E4693="",$O4693=""),"EKSİK",IF($O4693&lt;=0,"SIFIR/NEGATİF",IF(COUNTIFS($C$6:$C$5000,$C4693,$O$6:$O$5000,$O4693,$B$6:$B$5000,$B4693)&gt;1,"MÜKERRER","OK"))))</f>
        <v/>
      </c>
    </row>
    <row r="4694" ht="16.5" customHeight="1" s="80">
      <c r="A4694" s="113" t="n"/>
      <c r="B4694" s="113" t="n"/>
      <c r="C4694" s="113" t="n"/>
      <c r="D4694" s="113" t="n"/>
      <c r="E4694" s="113" t="n"/>
      <c r="F4694" s="113" t="n"/>
      <c r="G4694" s="113" t="n"/>
      <c r="H4694" s="113" t="n"/>
      <c r="I4694" s="113" t="n"/>
      <c r="J4694" s="113" t="n"/>
      <c r="K4694" s="113" t="n"/>
      <c r="L4694" s="113" t="n"/>
      <c r="M4694" s="113" t="n"/>
      <c r="N4694" s="113" t="n"/>
      <c r="O4694" s="113" t="n"/>
      <c r="P4694" s="113" t="n"/>
      <c r="Q4694" s="113" t="n"/>
      <c r="R4694" s="113" t="n"/>
      <c r="S4694" s="113" t="n"/>
      <c r="T4694" s="113" t="n"/>
      <c r="U4694" s="113" t="n"/>
      <c r="V4694" s="113" t="n"/>
      <c r="W4694" s="113" t="n"/>
      <c r="X4694" s="113" t="n"/>
      <c r="Y4694" s="113" t="n"/>
      <c r="Z4694" s="117">
        <f>IF($B4694="",0,IF($S4694="EVET",IF($D4694="GELİR",$O4694,-$O4694),0))</f>
        <v/>
      </c>
      <c r="AA4694" s="117">
        <f>IF($B4694="",0,IF(OR($W4694="EVET",$X4694="EVET",$Y4694="EVET"),0,IF($D4694="GELİR",IF($E4694="SATIŞ İADESİ/İSKONTO",-$O4694,$O4694),-$O4694)))</f>
        <v/>
      </c>
      <c r="AB4694" s="117">
        <f>IF($B4694="","",IF(OR($D4694="",$E4694="",$O4694=""),"EKSİK",IF($O4694&lt;=0,"SIFIR/NEGATİF",IF(COUNTIFS($C$6:$C$5000,$C4694,$O$6:$O$5000,$O4694,$B$6:$B$5000,$B4694)&gt;1,"MÜKERRER","OK"))))</f>
        <v/>
      </c>
    </row>
    <row r="4695" ht="16.5" customHeight="1" s="80">
      <c r="A4695" s="113" t="n"/>
      <c r="B4695" s="113" t="n"/>
      <c r="C4695" s="113" t="n"/>
      <c r="D4695" s="113" t="n"/>
      <c r="E4695" s="113" t="n"/>
      <c r="F4695" s="113" t="n"/>
      <c r="G4695" s="113" t="n"/>
      <c r="H4695" s="113" t="n"/>
      <c r="I4695" s="113" t="n"/>
      <c r="J4695" s="113" t="n"/>
      <c r="K4695" s="113" t="n"/>
      <c r="L4695" s="113" t="n"/>
      <c r="M4695" s="113" t="n"/>
      <c r="N4695" s="113" t="n"/>
      <c r="O4695" s="113" t="n"/>
      <c r="P4695" s="113" t="n"/>
      <c r="Q4695" s="113" t="n"/>
      <c r="R4695" s="113" t="n"/>
      <c r="S4695" s="113" t="n"/>
      <c r="T4695" s="113" t="n"/>
      <c r="U4695" s="113" t="n"/>
      <c r="V4695" s="113" t="n"/>
      <c r="W4695" s="113" t="n"/>
      <c r="X4695" s="113" t="n"/>
      <c r="Y4695" s="113" t="n"/>
      <c r="Z4695" s="117">
        <f>IF($B4695="",0,IF($S4695="EVET",IF($D4695="GELİR",$O4695,-$O4695),0))</f>
        <v/>
      </c>
      <c r="AA4695" s="117">
        <f>IF($B4695="",0,IF(OR($W4695="EVET",$X4695="EVET",$Y4695="EVET"),0,IF($D4695="GELİR",IF($E4695="SATIŞ İADESİ/İSKONTO",-$O4695,$O4695),-$O4695)))</f>
        <v/>
      </c>
      <c r="AB4695" s="117">
        <f>IF($B4695="","",IF(OR($D4695="",$E4695="",$O4695=""),"EKSİK",IF($O4695&lt;=0,"SIFIR/NEGATİF",IF(COUNTIFS($C$6:$C$5000,$C4695,$O$6:$O$5000,$O4695,$B$6:$B$5000,$B4695)&gt;1,"MÜKERRER","OK"))))</f>
        <v/>
      </c>
    </row>
    <row r="4696" ht="16.5" customHeight="1" s="80">
      <c r="A4696" s="113" t="n"/>
      <c r="B4696" s="113" t="n"/>
      <c r="C4696" s="113" t="n"/>
      <c r="D4696" s="113" t="n"/>
      <c r="E4696" s="113" t="n"/>
      <c r="F4696" s="113" t="n"/>
      <c r="G4696" s="113" t="n"/>
      <c r="H4696" s="113" t="n"/>
      <c r="I4696" s="113" t="n"/>
      <c r="J4696" s="113" t="n"/>
      <c r="K4696" s="113" t="n"/>
      <c r="L4696" s="113" t="n"/>
      <c r="M4696" s="113" t="n"/>
      <c r="N4696" s="113" t="n"/>
      <c r="O4696" s="113" t="n"/>
      <c r="P4696" s="113" t="n"/>
      <c r="Q4696" s="113" t="n"/>
      <c r="R4696" s="113" t="n"/>
      <c r="S4696" s="113" t="n"/>
      <c r="T4696" s="113" t="n"/>
      <c r="U4696" s="113" t="n"/>
      <c r="V4696" s="113" t="n"/>
      <c r="W4696" s="113" t="n"/>
      <c r="X4696" s="113" t="n"/>
      <c r="Y4696" s="113" t="n"/>
      <c r="Z4696" s="117">
        <f>IF($B4696="",0,IF($S4696="EVET",IF($D4696="GELİR",$O4696,-$O4696),0))</f>
        <v/>
      </c>
      <c r="AA4696" s="117">
        <f>IF($B4696="",0,IF(OR($W4696="EVET",$X4696="EVET",$Y4696="EVET"),0,IF($D4696="GELİR",IF($E4696="SATIŞ İADESİ/İSKONTO",-$O4696,$O4696),-$O4696)))</f>
        <v/>
      </c>
      <c r="AB4696" s="117">
        <f>IF($B4696="","",IF(OR($D4696="",$E4696="",$O4696=""),"EKSİK",IF($O4696&lt;=0,"SIFIR/NEGATİF",IF(COUNTIFS($C$6:$C$5000,$C4696,$O$6:$O$5000,$O4696,$B$6:$B$5000,$B4696)&gt;1,"MÜKERRER","OK"))))</f>
        <v/>
      </c>
    </row>
    <row r="4697" ht="16.5" customHeight="1" s="80">
      <c r="A4697" s="113" t="n"/>
      <c r="B4697" s="113" t="n"/>
      <c r="C4697" s="113" t="n"/>
      <c r="D4697" s="113" t="n"/>
      <c r="E4697" s="113" t="n"/>
      <c r="F4697" s="113" t="n"/>
      <c r="G4697" s="113" t="n"/>
      <c r="H4697" s="113" t="n"/>
      <c r="I4697" s="113" t="n"/>
      <c r="J4697" s="113" t="n"/>
      <c r="K4697" s="113" t="n"/>
      <c r="L4697" s="113" t="n"/>
      <c r="M4697" s="113" t="n"/>
      <c r="N4697" s="113" t="n"/>
      <c r="O4697" s="113" t="n"/>
      <c r="P4697" s="113" t="n"/>
      <c r="Q4697" s="113" t="n"/>
      <c r="R4697" s="113" t="n"/>
      <c r="S4697" s="113" t="n"/>
      <c r="T4697" s="113" t="n"/>
      <c r="U4697" s="113" t="n"/>
      <c r="V4697" s="113" t="n"/>
      <c r="W4697" s="113" t="n"/>
      <c r="X4697" s="113" t="n"/>
      <c r="Y4697" s="113" t="n"/>
      <c r="Z4697" s="117">
        <f>IF($B4697="",0,IF($S4697="EVET",IF($D4697="GELİR",$O4697,-$O4697),0))</f>
        <v/>
      </c>
      <c r="AA4697" s="117">
        <f>IF($B4697="",0,IF(OR($W4697="EVET",$X4697="EVET",$Y4697="EVET"),0,IF($D4697="GELİR",IF($E4697="SATIŞ İADESİ/İSKONTO",-$O4697,$O4697),-$O4697)))</f>
        <v/>
      </c>
      <c r="AB4697" s="117">
        <f>IF($B4697="","",IF(OR($D4697="",$E4697="",$O4697=""),"EKSİK",IF($O4697&lt;=0,"SIFIR/NEGATİF",IF(COUNTIFS($C$6:$C$5000,$C4697,$O$6:$O$5000,$O4697,$B$6:$B$5000,$B4697)&gt;1,"MÜKERRER","OK"))))</f>
        <v/>
      </c>
    </row>
    <row r="4698" ht="16.5" customHeight="1" s="80">
      <c r="A4698" s="113" t="n"/>
      <c r="B4698" s="113" t="n"/>
      <c r="C4698" s="113" t="n"/>
      <c r="D4698" s="113" t="n"/>
      <c r="E4698" s="113" t="n"/>
      <c r="F4698" s="113" t="n"/>
      <c r="G4698" s="113" t="n"/>
      <c r="H4698" s="113" t="n"/>
      <c r="I4698" s="113" t="n"/>
      <c r="J4698" s="113" t="n"/>
      <c r="K4698" s="113" t="n"/>
      <c r="L4698" s="113" t="n"/>
      <c r="M4698" s="113" t="n"/>
      <c r="N4698" s="113" t="n"/>
      <c r="O4698" s="113" t="n"/>
      <c r="P4698" s="113" t="n"/>
      <c r="Q4698" s="113" t="n"/>
      <c r="R4698" s="113" t="n"/>
      <c r="S4698" s="113" t="n"/>
      <c r="T4698" s="113" t="n"/>
      <c r="U4698" s="113" t="n"/>
      <c r="V4698" s="113" t="n"/>
      <c r="W4698" s="113" t="n"/>
      <c r="X4698" s="113" t="n"/>
      <c r="Y4698" s="113" t="n"/>
      <c r="Z4698" s="117">
        <f>IF($B4698="",0,IF($S4698="EVET",IF($D4698="GELİR",$O4698,-$O4698),0))</f>
        <v/>
      </c>
      <c r="AA4698" s="117">
        <f>IF($B4698="",0,IF(OR($W4698="EVET",$X4698="EVET",$Y4698="EVET"),0,IF($D4698="GELİR",IF($E4698="SATIŞ İADESİ/İSKONTO",-$O4698,$O4698),-$O4698)))</f>
        <v/>
      </c>
      <c r="AB4698" s="117">
        <f>IF($B4698="","",IF(OR($D4698="",$E4698="",$O4698=""),"EKSİK",IF($O4698&lt;=0,"SIFIR/NEGATİF",IF(COUNTIFS($C$6:$C$5000,$C4698,$O$6:$O$5000,$O4698,$B$6:$B$5000,$B4698)&gt;1,"MÜKERRER","OK"))))</f>
        <v/>
      </c>
    </row>
    <row r="4699" ht="16.5" customHeight="1" s="80">
      <c r="A4699" s="113" t="n"/>
      <c r="B4699" s="113" t="n"/>
      <c r="C4699" s="113" t="n"/>
      <c r="D4699" s="113" t="n"/>
      <c r="E4699" s="113" t="n"/>
      <c r="F4699" s="113" t="n"/>
      <c r="G4699" s="113" t="n"/>
      <c r="H4699" s="113" t="n"/>
      <c r="I4699" s="113" t="n"/>
      <c r="J4699" s="113" t="n"/>
      <c r="K4699" s="113" t="n"/>
      <c r="L4699" s="113" t="n"/>
      <c r="M4699" s="113" t="n"/>
      <c r="N4699" s="113" t="n"/>
      <c r="O4699" s="113" t="n"/>
      <c r="P4699" s="113" t="n"/>
      <c r="Q4699" s="113" t="n"/>
      <c r="R4699" s="113" t="n"/>
      <c r="S4699" s="113" t="n"/>
      <c r="T4699" s="113" t="n"/>
      <c r="U4699" s="113" t="n"/>
      <c r="V4699" s="113" t="n"/>
      <c r="W4699" s="113" t="n"/>
      <c r="X4699" s="113" t="n"/>
      <c r="Y4699" s="113" t="n"/>
      <c r="Z4699" s="117">
        <f>IF($B4699="",0,IF($S4699="EVET",IF($D4699="GELİR",$O4699,-$O4699),0))</f>
        <v/>
      </c>
      <c r="AA4699" s="117">
        <f>IF($B4699="",0,IF(OR($W4699="EVET",$X4699="EVET",$Y4699="EVET"),0,IF($D4699="GELİR",IF($E4699="SATIŞ İADESİ/İSKONTO",-$O4699,$O4699),-$O4699)))</f>
        <v/>
      </c>
      <c r="AB4699" s="117">
        <f>IF($B4699="","",IF(OR($D4699="",$E4699="",$O4699=""),"EKSİK",IF($O4699&lt;=0,"SIFIR/NEGATİF",IF(COUNTIFS($C$6:$C$5000,$C4699,$O$6:$O$5000,$O4699,$B$6:$B$5000,$B4699)&gt;1,"MÜKERRER","OK"))))</f>
        <v/>
      </c>
    </row>
    <row r="4700" ht="16.5" customHeight="1" s="80">
      <c r="A4700" s="113" t="n"/>
      <c r="B4700" s="113" t="n"/>
      <c r="C4700" s="113" t="n"/>
      <c r="D4700" s="113" t="n"/>
      <c r="E4700" s="113" t="n"/>
      <c r="F4700" s="113" t="n"/>
      <c r="G4700" s="113" t="n"/>
      <c r="H4700" s="113" t="n"/>
      <c r="I4700" s="113" t="n"/>
      <c r="J4700" s="113" t="n"/>
      <c r="K4700" s="113" t="n"/>
      <c r="L4700" s="113" t="n"/>
      <c r="M4700" s="113" t="n"/>
      <c r="N4700" s="113" t="n"/>
      <c r="O4700" s="113" t="n"/>
      <c r="P4700" s="113" t="n"/>
      <c r="Q4700" s="113" t="n"/>
      <c r="R4700" s="113" t="n"/>
      <c r="S4700" s="113" t="n"/>
      <c r="T4700" s="113" t="n"/>
      <c r="U4700" s="113" t="n"/>
      <c r="V4700" s="113" t="n"/>
      <c r="W4700" s="113" t="n"/>
      <c r="X4700" s="113" t="n"/>
      <c r="Y4700" s="113" t="n"/>
      <c r="Z4700" s="117">
        <f>IF($B4700="",0,IF($S4700="EVET",IF($D4700="GELİR",$O4700,-$O4700),0))</f>
        <v/>
      </c>
      <c r="AA4700" s="117">
        <f>IF($B4700="",0,IF(OR($W4700="EVET",$X4700="EVET",$Y4700="EVET"),0,IF($D4700="GELİR",IF($E4700="SATIŞ İADESİ/İSKONTO",-$O4700,$O4700),-$O4700)))</f>
        <v/>
      </c>
      <c r="AB4700" s="117">
        <f>IF($B4700="","",IF(OR($D4700="",$E4700="",$O4700=""),"EKSİK",IF($O4700&lt;=0,"SIFIR/NEGATİF",IF(COUNTIFS($C$6:$C$5000,$C4700,$O$6:$O$5000,$O4700,$B$6:$B$5000,$B4700)&gt;1,"MÜKERRER","OK"))))</f>
        <v/>
      </c>
    </row>
    <row r="4701" ht="16.5" customHeight="1" s="80">
      <c r="A4701" s="113" t="n"/>
      <c r="B4701" s="113" t="n"/>
      <c r="C4701" s="113" t="n"/>
      <c r="D4701" s="113" t="n"/>
      <c r="E4701" s="113" t="n"/>
      <c r="F4701" s="113" t="n"/>
      <c r="G4701" s="113" t="n"/>
      <c r="H4701" s="113" t="n"/>
      <c r="I4701" s="113" t="n"/>
      <c r="J4701" s="113" t="n"/>
      <c r="K4701" s="113" t="n"/>
      <c r="L4701" s="113" t="n"/>
      <c r="M4701" s="113" t="n"/>
      <c r="N4701" s="113" t="n"/>
      <c r="O4701" s="113" t="n"/>
      <c r="P4701" s="113" t="n"/>
      <c r="Q4701" s="113" t="n"/>
      <c r="R4701" s="113" t="n"/>
      <c r="S4701" s="113" t="n"/>
      <c r="T4701" s="113" t="n"/>
      <c r="U4701" s="113" t="n"/>
      <c r="V4701" s="113" t="n"/>
      <c r="W4701" s="113" t="n"/>
      <c r="X4701" s="113" t="n"/>
      <c r="Y4701" s="113" t="n"/>
      <c r="Z4701" s="117">
        <f>IF($B4701="",0,IF($S4701="EVET",IF($D4701="GELİR",$O4701,-$O4701),0))</f>
        <v/>
      </c>
      <c r="AA4701" s="117">
        <f>IF($B4701="",0,IF(OR($W4701="EVET",$X4701="EVET",$Y4701="EVET"),0,IF($D4701="GELİR",IF($E4701="SATIŞ İADESİ/İSKONTO",-$O4701,$O4701),-$O4701)))</f>
        <v/>
      </c>
      <c r="AB4701" s="117">
        <f>IF($B4701="","",IF(OR($D4701="",$E4701="",$O4701=""),"EKSİK",IF($O4701&lt;=0,"SIFIR/NEGATİF",IF(COUNTIFS($C$6:$C$5000,$C4701,$O$6:$O$5000,$O4701,$B$6:$B$5000,$B4701)&gt;1,"MÜKERRER","OK"))))</f>
        <v/>
      </c>
    </row>
    <row r="4702" ht="16.5" customHeight="1" s="80">
      <c r="A4702" s="113" t="n"/>
      <c r="B4702" s="113" t="n"/>
      <c r="C4702" s="113" t="n"/>
      <c r="D4702" s="113" t="n"/>
      <c r="E4702" s="113" t="n"/>
      <c r="F4702" s="113" t="n"/>
      <c r="G4702" s="113" t="n"/>
      <c r="H4702" s="113" t="n"/>
      <c r="I4702" s="113" t="n"/>
      <c r="J4702" s="113" t="n"/>
      <c r="K4702" s="113" t="n"/>
      <c r="L4702" s="113" t="n"/>
      <c r="M4702" s="113" t="n"/>
      <c r="N4702" s="113" t="n"/>
      <c r="O4702" s="113" t="n"/>
      <c r="P4702" s="113" t="n"/>
      <c r="Q4702" s="113" t="n"/>
      <c r="R4702" s="113" t="n"/>
      <c r="S4702" s="113" t="n"/>
      <c r="T4702" s="113" t="n"/>
      <c r="U4702" s="113" t="n"/>
      <c r="V4702" s="113" t="n"/>
      <c r="W4702" s="113" t="n"/>
      <c r="X4702" s="113" t="n"/>
      <c r="Y4702" s="113" t="n"/>
      <c r="Z4702" s="117">
        <f>IF($B4702="",0,IF($S4702="EVET",IF($D4702="GELİR",$O4702,-$O4702),0))</f>
        <v/>
      </c>
      <c r="AA4702" s="117">
        <f>IF($B4702="",0,IF(OR($W4702="EVET",$X4702="EVET",$Y4702="EVET"),0,IF($D4702="GELİR",IF($E4702="SATIŞ İADESİ/İSKONTO",-$O4702,$O4702),-$O4702)))</f>
        <v/>
      </c>
      <c r="AB4702" s="117">
        <f>IF($B4702="","",IF(OR($D4702="",$E4702="",$O4702=""),"EKSİK",IF($O4702&lt;=0,"SIFIR/NEGATİF",IF(COUNTIFS($C$6:$C$5000,$C4702,$O$6:$O$5000,$O4702,$B$6:$B$5000,$B4702)&gt;1,"MÜKERRER","OK"))))</f>
        <v/>
      </c>
    </row>
    <row r="4703" ht="16.5" customHeight="1" s="80">
      <c r="A4703" s="113" t="n"/>
      <c r="B4703" s="113" t="n"/>
      <c r="C4703" s="113" t="n"/>
      <c r="D4703" s="113" t="n"/>
      <c r="E4703" s="113" t="n"/>
      <c r="F4703" s="113" t="n"/>
      <c r="G4703" s="113" t="n"/>
      <c r="H4703" s="113" t="n"/>
      <c r="I4703" s="113" t="n"/>
      <c r="J4703" s="113" t="n"/>
      <c r="K4703" s="113" t="n"/>
      <c r="L4703" s="113" t="n"/>
      <c r="M4703" s="113" t="n"/>
      <c r="N4703" s="113" t="n"/>
      <c r="O4703" s="113" t="n"/>
      <c r="P4703" s="113" t="n"/>
      <c r="Q4703" s="113" t="n"/>
      <c r="R4703" s="113" t="n"/>
      <c r="S4703" s="113" t="n"/>
      <c r="T4703" s="113" t="n"/>
      <c r="U4703" s="113" t="n"/>
      <c r="V4703" s="113" t="n"/>
      <c r="W4703" s="113" t="n"/>
      <c r="X4703" s="113" t="n"/>
      <c r="Y4703" s="113" t="n"/>
      <c r="Z4703" s="117">
        <f>IF($B4703="",0,IF($S4703="EVET",IF($D4703="GELİR",$O4703,-$O4703),0))</f>
        <v/>
      </c>
      <c r="AA4703" s="117">
        <f>IF($B4703="",0,IF(OR($W4703="EVET",$X4703="EVET",$Y4703="EVET"),0,IF($D4703="GELİR",IF($E4703="SATIŞ İADESİ/İSKONTO",-$O4703,$O4703),-$O4703)))</f>
        <v/>
      </c>
      <c r="AB4703" s="117">
        <f>IF($B4703="","",IF(OR($D4703="",$E4703="",$O4703=""),"EKSİK",IF($O4703&lt;=0,"SIFIR/NEGATİF",IF(COUNTIFS($C$6:$C$5000,$C4703,$O$6:$O$5000,$O4703,$B$6:$B$5000,$B4703)&gt;1,"MÜKERRER","OK"))))</f>
        <v/>
      </c>
    </row>
    <row r="4704" ht="16.5" customHeight="1" s="80">
      <c r="A4704" s="113" t="n"/>
      <c r="B4704" s="113" t="n"/>
      <c r="C4704" s="113" t="n"/>
      <c r="D4704" s="113" t="n"/>
      <c r="E4704" s="113" t="n"/>
      <c r="F4704" s="113" t="n"/>
      <c r="G4704" s="113" t="n"/>
      <c r="H4704" s="113" t="n"/>
      <c r="I4704" s="113" t="n"/>
      <c r="J4704" s="113" t="n"/>
      <c r="K4704" s="113" t="n"/>
      <c r="L4704" s="113" t="n"/>
      <c r="M4704" s="113" t="n"/>
      <c r="N4704" s="113" t="n"/>
      <c r="O4704" s="113" t="n"/>
      <c r="P4704" s="113" t="n"/>
      <c r="Q4704" s="113" t="n"/>
      <c r="R4704" s="113" t="n"/>
      <c r="S4704" s="113" t="n"/>
      <c r="T4704" s="113" t="n"/>
      <c r="U4704" s="113" t="n"/>
      <c r="V4704" s="113" t="n"/>
      <c r="W4704" s="113" t="n"/>
      <c r="X4704" s="113" t="n"/>
      <c r="Y4704" s="113" t="n"/>
      <c r="Z4704" s="117">
        <f>IF($B4704="",0,IF($S4704="EVET",IF($D4704="GELİR",$O4704,-$O4704),0))</f>
        <v/>
      </c>
      <c r="AA4704" s="117">
        <f>IF($B4704="",0,IF(OR($W4704="EVET",$X4704="EVET",$Y4704="EVET"),0,IF($D4704="GELİR",IF($E4704="SATIŞ İADESİ/İSKONTO",-$O4704,$O4704),-$O4704)))</f>
        <v/>
      </c>
      <c r="AB4704" s="117">
        <f>IF($B4704="","",IF(OR($D4704="",$E4704="",$O4704=""),"EKSİK",IF($O4704&lt;=0,"SIFIR/NEGATİF",IF(COUNTIFS($C$6:$C$5000,$C4704,$O$6:$O$5000,$O4704,$B$6:$B$5000,$B4704)&gt;1,"MÜKERRER","OK"))))</f>
        <v/>
      </c>
    </row>
    <row r="4705" ht="16.5" customHeight="1" s="80">
      <c r="A4705" s="113" t="n"/>
      <c r="B4705" s="113" t="n"/>
      <c r="C4705" s="113" t="n"/>
      <c r="D4705" s="113" t="n"/>
      <c r="E4705" s="113" t="n"/>
      <c r="F4705" s="113" t="n"/>
      <c r="G4705" s="113" t="n"/>
      <c r="H4705" s="113" t="n"/>
      <c r="I4705" s="113" t="n"/>
      <c r="J4705" s="113" t="n"/>
      <c r="K4705" s="113" t="n"/>
      <c r="L4705" s="113" t="n"/>
      <c r="M4705" s="113" t="n"/>
      <c r="N4705" s="113" t="n"/>
      <c r="O4705" s="113" t="n"/>
      <c r="P4705" s="113" t="n"/>
      <c r="Q4705" s="113" t="n"/>
      <c r="R4705" s="113" t="n"/>
      <c r="S4705" s="113" t="n"/>
      <c r="T4705" s="113" t="n"/>
      <c r="U4705" s="113" t="n"/>
      <c r="V4705" s="113" t="n"/>
      <c r="W4705" s="113" t="n"/>
      <c r="X4705" s="113" t="n"/>
      <c r="Y4705" s="113" t="n"/>
      <c r="Z4705" s="117">
        <f>IF($B4705="",0,IF($S4705="EVET",IF($D4705="GELİR",$O4705,-$O4705),0))</f>
        <v/>
      </c>
      <c r="AA4705" s="117">
        <f>IF($B4705="",0,IF(OR($W4705="EVET",$X4705="EVET",$Y4705="EVET"),0,IF($D4705="GELİR",IF($E4705="SATIŞ İADESİ/İSKONTO",-$O4705,$O4705),-$O4705)))</f>
        <v/>
      </c>
      <c r="AB4705" s="117">
        <f>IF($B4705="","",IF(OR($D4705="",$E4705="",$O4705=""),"EKSİK",IF($O4705&lt;=0,"SIFIR/NEGATİF",IF(COUNTIFS($C$6:$C$5000,$C4705,$O$6:$O$5000,$O4705,$B$6:$B$5000,$B4705)&gt;1,"MÜKERRER","OK"))))</f>
        <v/>
      </c>
    </row>
    <row r="4706" ht="16.5" customHeight="1" s="80">
      <c r="A4706" s="113" t="n"/>
      <c r="B4706" s="113" t="n"/>
      <c r="C4706" s="113" t="n"/>
      <c r="D4706" s="113" t="n"/>
      <c r="E4706" s="113" t="n"/>
      <c r="F4706" s="113" t="n"/>
      <c r="G4706" s="113" t="n"/>
      <c r="H4706" s="113" t="n"/>
      <c r="I4706" s="113" t="n"/>
      <c r="J4706" s="113" t="n"/>
      <c r="K4706" s="113" t="n"/>
      <c r="L4706" s="113" t="n"/>
      <c r="M4706" s="113" t="n"/>
      <c r="N4706" s="113" t="n"/>
      <c r="O4706" s="113" t="n"/>
      <c r="P4706" s="113" t="n"/>
      <c r="Q4706" s="113" t="n"/>
      <c r="R4706" s="113" t="n"/>
      <c r="S4706" s="113" t="n"/>
      <c r="T4706" s="113" t="n"/>
      <c r="U4706" s="113" t="n"/>
      <c r="V4706" s="113" t="n"/>
      <c r="W4706" s="113" t="n"/>
      <c r="X4706" s="113" t="n"/>
      <c r="Y4706" s="113" t="n"/>
      <c r="Z4706" s="117">
        <f>IF($B4706="",0,IF($S4706="EVET",IF($D4706="GELİR",$O4706,-$O4706),0))</f>
        <v/>
      </c>
      <c r="AA4706" s="117">
        <f>IF($B4706="",0,IF(OR($W4706="EVET",$X4706="EVET",$Y4706="EVET"),0,IF($D4706="GELİR",IF($E4706="SATIŞ İADESİ/İSKONTO",-$O4706,$O4706),-$O4706)))</f>
        <v/>
      </c>
      <c r="AB4706" s="117">
        <f>IF($B4706="","",IF(OR($D4706="",$E4706="",$O4706=""),"EKSİK",IF($O4706&lt;=0,"SIFIR/NEGATİF",IF(COUNTIFS($C$6:$C$5000,$C4706,$O$6:$O$5000,$O4706,$B$6:$B$5000,$B4706)&gt;1,"MÜKERRER","OK"))))</f>
        <v/>
      </c>
    </row>
    <row r="4707" ht="16.5" customHeight="1" s="80">
      <c r="A4707" s="113" t="n"/>
      <c r="B4707" s="113" t="n"/>
      <c r="C4707" s="113" t="n"/>
      <c r="D4707" s="113" t="n"/>
      <c r="E4707" s="113" t="n"/>
      <c r="F4707" s="113" t="n"/>
      <c r="G4707" s="113" t="n"/>
      <c r="H4707" s="113" t="n"/>
      <c r="I4707" s="113" t="n"/>
      <c r="J4707" s="113" t="n"/>
      <c r="K4707" s="113" t="n"/>
      <c r="L4707" s="113" t="n"/>
      <c r="M4707" s="113" t="n"/>
      <c r="N4707" s="113" t="n"/>
      <c r="O4707" s="113" t="n"/>
      <c r="P4707" s="113" t="n"/>
      <c r="Q4707" s="113" t="n"/>
      <c r="R4707" s="113" t="n"/>
      <c r="S4707" s="113" t="n"/>
      <c r="T4707" s="113" t="n"/>
      <c r="U4707" s="113" t="n"/>
      <c r="V4707" s="113" t="n"/>
      <c r="W4707" s="113" t="n"/>
      <c r="X4707" s="113" t="n"/>
      <c r="Y4707" s="113" t="n"/>
      <c r="Z4707" s="117">
        <f>IF($B4707="",0,IF($S4707="EVET",IF($D4707="GELİR",$O4707,-$O4707),0))</f>
        <v/>
      </c>
      <c r="AA4707" s="117">
        <f>IF($B4707="",0,IF(OR($W4707="EVET",$X4707="EVET",$Y4707="EVET"),0,IF($D4707="GELİR",IF($E4707="SATIŞ İADESİ/İSKONTO",-$O4707,$O4707),-$O4707)))</f>
        <v/>
      </c>
      <c r="AB4707" s="117">
        <f>IF($B4707="","",IF(OR($D4707="",$E4707="",$O4707=""),"EKSİK",IF($O4707&lt;=0,"SIFIR/NEGATİF",IF(COUNTIFS($C$6:$C$5000,$C4707,$O$6:$O$5000,$O4707,$B$6:$B$5000,$B4707)&gt;1,"MÜKERRER","OK"))))</f>
        <v/>
      </c>
    </row>
    <row r="4708" ht="16.5" customHeight="1" s="80">
      <c r="A4708" s="113" t="n"/>
      <c r="B4708" s="113" t="n"/>
      <c r="C4708" s="113" t="n"/>
      <c r="D4708" s="113" t="n"/>
      <c r="E4708" s="113" t="n"/>
      <c r="F4708" s="113" t="n"/>
      <c r="G4708" s="113" t="n"/>
      <c r="H4708" s="113" t="n"/>
      <c r="I4708" s="113" t="n"/>
      <c r="J4708" s="113" t="n"/>
      <c r="K4708" s="113" t="n"/>
      <c r="L4708" s="113" t="n"/>
      <c r="M4708" s="113" t="n"/>
      <c r="N4708" s="113" t="n"/>
      <c r="O4708" s="113" t="n"/>
      <c r="P4708" s="113" t="n"/>
      <c r="Q4708" s="113" t="n"/>
      <c r="R4708" s="113" t="n"/>
      <c r="S4708" s="113" t="n"/>
      <c r="T4708" s="113" t="n"/>
      <c r="U4708" s="113" t="n"/>
      <c r="V4708" s="113" t="n"/>
      <c r="W4708" s="113" t="n"/>
      <c r="X4708" s="113" t="n"/>
      <c r="Y4708" s="113" t="n"/>
      <c r="Z4708" s="117">
        <f>IF($B4708="",0,IF($S4708="EVET",IF($D4708="GELİR",$O4708,-$O4708),0))</f>
        <v/>
      </c>
      <c r="AA4708" s="117">
        <f>IF($B4708="",0,IF(OR($W4708="EVET",$X4708="EVET",$Y4708="EVET"),0,IF($D4708="GELİR",IF($E4708="SATIŞ İADESİ/İSKONTO",-$O4708,$O4708),-$O4708)))</f>
        <v/>
      </c>
      <c r="AB4708" s="117">
        <f>IF($B4708="","",IF(OR($D4708="",$E4708="",$O4708=""),"EKSİK",IF($O4708&lt;=0,"SIFIR/NEGATİF",IF(COUNTIFS($C$6:$C$5000,$C4708,$O$6:$O$5000,$O4708,$B$6:$B$5000,$B4708)&gt;1,"MÜKERRER","OK"))))</f>
        <v/>
      </c>
    </row>
    <row r="4709" ht="16.5" customHeight="1" s="80">
      <c r="A4709" s="113" t="n"/>
      <c r="B4709" s="113" t="n"/>
      <c r="C4709" s="113" t="n"/>
      <c r="D4709" s="113" t="n"/>
      <c r="E4709" s="113" t="n"/>
      <c r="F4709" s="113" t="n"/>
      <c r="G4709" s="113" t="n"/>
      <c r="H4709" s="113" t="n"/>
      <c r="I4709" s="113" t="n"/>
      <c r="J4709" s="113" t="n"/>
      <c r="K4709" s="113" t="n"/>
      <c r="L4709" s="113" t="n"/>
      <c r="M4709" s="113" t="n"/>
      <c r="N4709" s="113" t="n"/>
      <c r="O4709" s="113" t="n"/>
      <c r="P4709" s="113" t="n"/>
      <c r="Q4709" s="113" t="n"/>
      <c r="R4709" s="113" t="n"/>
      <c r="S4709" s="113" t="n"/>
      <c r="T4709" s="113" t="n"/>
      <c r="U4709" s="113" t="n"/>
      <c r="V4709" s="113" t="n"/>
      <c r="W4709" s="113" t="n"/>
      <c r="X4709" s="113" t="n"/>
      <c r="Y4709" s="113" t="n"/>
      <c r="Z4709" s="117">
        <f>IF($B4709="",0,IF($S4709="EVET",IF($D4709="GELİR",$O4709,-$O4709),0))</f>
        <v/>
      </c>
      <c r="AA4709" s="117">
        <f>IF($B4709="",0,IF(OR($W4709="EVET",$X4709="EVET",$Y4709="EVET"),0,IF($D4709="GELİR",IF($E4709="SATIŞ İADESİ/İSKONTO",-$O4709,$O4709),-$O4709)))</f>
        <v/>
      </c>
      <c r="AB4709" s="117">
        <f>IF($B4709="","",IF(OR($D4709="",$E4709="",$O4709=""),"EKSİK",IF($O4709&lt;=0,"SIFIR/NEGATİF",IF(COUNTIFS($C$6:$C$5000,$C4709,$O$6:$O$5000,$O4709,$B$6:$B$5000,$B4709)&gt;1,"MÜKERRER","OK"))))</f>
        <v/>
      </c>
    </row>
    <row r="4710" ht="16.5" customHeight="1" s="80">
      <c r="A4710" s="113" t="n"/>
      <c r="B4710" s="113" t="n"/>
      <c r="C4710" s="113" t="n"/>
      <c r="D4710" s="113" t="n"/>
      <c r="E4710" s="113" t="n"/>
      <c r="F4710" s="113" t="n"/>
      <c r="G4710" s="113" t="n"/>
      <c r="H4710" s="113" t="n"/>
      <c r="I4710" s="113" t="n"/>
      <c r="J4710" s="113" t="n"/>
      <c r="K4710" s="113" t="n"/>
      <c r="L4710" s="113" t="n"/>
      <c r="M4710" s="113" t="n"/>
      <c r="N4710" s="113" t="n"/>
      <c r="O4710" s="113" t="n"/>
      <c r="P4710" s="113" t="n"/>
      <c r="Q4710" s="113" t="n"/>
      <c r="R4710" s="113" t="n"/>
      <c r="S4710" s="113" t="n"/>
      <c r="T4710" s="113" t="n"/>
      <c r="U4710" s="113" t="n"/>
      <c r="V4710" s="113" t="n"/>
      <c r="W4710" s="113" t="n"/>
      <c r="X4710" s="113" t="n"/>
      <c r="Y4710" s="113" t="n"/>
      <c r="Z4710" s="117">
        <f>IF($B4710="",0,IF($S4710="EVET",IF($D4710="GELİR",$O4710,-$O4710),0))</f>
        <v/>
      </c>
      <c r="AA4710" s="117">
        <f>IF($B4710="",0,IF(OR($W4710="EVET",$X4710="EVET",$Y4710="EVET"),0,IF($D4710="GELİR",IF($E4710="SATIŞ İADESİ/İSKONTO",-$O4710,$O4710),-$O4710)))</f>
        <v/>
      </c>
      <c r="AB4710" s="117">
        <f>IF($B4710="","",IF(OR($D4710="",$E4710="",$O4710=""),"EKSİK",IF($O4710&lt;=0,"SIFIR/NEGATİF",IF(COUNTIFS($C$6:$C$5000,$C4710,$O$6:$O$5000,$O4710,$B$6:$B$5000,$B4710)&gt;1,"MÜKERRER","OK"))))</f>
        <v/>
      </c>
    </row>
    <row r="4711" ht="16.5" customHeight="1" s="80">
      <c r="A4711" s="113" t="n"/>
      <c r="B4711" s="113" t="n"/>
      <c r="C4711" s="113" t="n"/>
      <c r="D4711" s="113" t="n"/>
      <c r="E4711" s="113" t="n"/>
      <c r="F4711" s="113" t="n"/>
      <c r="G4711" s="113" t="n"/>
      <c r="H4711" s="113" t="n"/>
      <c r="I4711" s="113" t="n"/>
      <c r="J4711" s="113" t="n"/>
      <c r="K4711" s="113" t="n"/>
      <c r="L4711" s="113" t="n"/>
      <c r="M4711" s="113" t="n"/>
      <c r="N4711" s="113" t="n"/>
      <c r="O4711" s="113" t="n"/>
      <c r="P4711" s="113" t="n"/>
      <c r="Q4711" s="113" t="n"/>
      <c r="R4711" s="113" t="n"/>
      <c r="S4711" s="113" t="n"/>
      <c r="T4711" s="113" t="n"/>
      <c r="U4711" s="113" t="n"/>
      <c r="V4711" s="113" t="n"/>
      <c r="W4711" s="113" t="n"/>
      <c r="X4711" s="113" t="n"/>
      <c r="Y4711" s="113" t="n"/>
      <c r="Z4711" s="117">
        <f>IF($B4711="",0,IF($S4711="EVET",IF($D4711="GELİR",$O4711,-$O4711),0))</f>
        <v/>
      </c>
      <c r="AA4711" s="117">
        <f>IF($B4711="",0,IF(OR($W4711="EVET",$X4711="EVET",$Y4711="EVET"),0,IF($D4711="GELİR",IF($E4711="SATIŞ İADESİ/İSKONTO",-$O4711,$O4711),-$O4711)))</f>
        <v/>
      </c>
      <c r="AB4711" s="117">
        <f>IF($B4711="","",IF(OR($D4711="",$E4711="",$O4711=""),"EKSİK",IF($O4711&lt;=0,"SIFIR/NEGATİF",IF(COUNTIFS($C$6:$C$5000,$C4711,$O$6:$O$5000,$O4711,$B$6:$B$5000,$B4711)&gt;1,"MÜKERRER","OK"))))</f>
        <v/>
      </c>
    </row>
    <row r="4712" ht="16.5" customHeight="1" s="80">
      <c r="A4712" s="113" t="n"/>
      <c r="B4712" s="113" t="n"/>
      <c r="C4712" s="113" t="n"/>
      <c r="D4712" s="113" t="n"/>
      <c r="E4712" s="113" t="n"/>
      <c r="F4712" s="113" t="n"/>
      <c r="G4712" s="113" t="n"/>
      <c r="H4712" s="113" t="n"/>
      <c r="I4712" s="113" t="n"/>
      <c r="J4712" s="113" t="n"/>
      <c r="K4712" s="113" t="n"/>
      <c r="L4712" s="113" t="n"/>
      <c r="M4712" s="113" t="n"/>
      <c r="N4712" s="113" t="n"/>
      <c r="O4712" s="113" t="n"/>
      <c r="P4712" s="113" t="n"/>
      <c r="Q4712" s="113" t="n"/>
      <c r="R4712" s="113" t="n"/>
      <c r="S4712" s="113" t="n"/>
      <c r="T4712" s="113" t="n"/>
      <c r="U4712" s="113" t="n"/>
      <c r="V4712" s="113" t="n"/>
      <c r="W4712" s="113" t="n"/>
      <c r="X4712" s="113" t="n"/>
      <c r="Y4712" s="113" t="n"/>
      <c r="Z4712" s="117">
        <f>IF($B4712="",0,IF($S4712="EVET",IF($D4712="GELİR",$O4712,-$O4712),0))</f>
        <v/>
      </c>
      <c r="AA4712" s="117">
        <f>IF($B4712="",0,IF(OR($W4712="EVET",$X4712="EVET",$Y4712="EVET"),0,IF($D4712="GELİR",IF($E4712="SATIŞ İADESİ/İSKONTO",-$O4712,$O4712),-$O4712)))</f>
        <v/>
      </c>
      <c r="AB4712" s="117">
        <f>IF($B4712="","",IF(OR($D4712="",$E4712="",$O4712=""),"EKSİK",IF($O4712&lt;=0,"SIFIR/NEGATİF",IF(COUNTIFS($C$6:$C$5000,$C4712,$O$6:$O$5000,$O4712,$B$6:$B$5000,$B4712)&gt;1,"MÜKERRER","OK"))))</f>
        <v/>
      </c>
    </row>
    <row r="4713" ht="16.5" customHeight="1" s="80">
      <c r="A4713" s="113" t="n"/>
      <c r="B4713" s="113" t="n"/>
      <c r="C4713" s="113" t="n"/>
      <c r="D4713" s="113" t="n"/>
      <c r="E4713" s="113" t="n"/>
      <c r="F4713" s="113" t="n"/>
      <c r="G4713" s="113" t="n"/>
      <c r="H4713" s="113" t="n"/>
      <c r="I4713" s="113" t="n"/>
      <c r="J4713" s="113" t="n"/>
      <c r="K4713" s="113" t="n"/>
      <c r="L4713" s="113" t="n"/>
      <c r="M4713" s="113" t="n"/>
      <c r="N4713" s="113" t="n"/>
      <c r="O4713" s="113" t="n"/>
      <c r="P4713" s="113" t="n"/>
      <c r="Q4713" s="113" t="n"/>
      <c r="R4713" s="113" t="n"/>
      <c r="S4713" s="113" t="n"/>
      <c r="T4713" s="113" t="n"/>
      <c r="U4713" s="113" t="n"/>
      <c r="V4713" s="113" t="n"/>
      <c r="W4713" s="113" t="n"/>
      <c r="X4713" s="113" t="n"/>
      <c r="Y4713" s="113" t="n"/>
      <c r="Z4713" s="117">
        <f>IF($B4713="",0,IF($S4713="EVET",IF($D4713="GELİR",$O4713,-$O4713),0))</f>
        <v/>
      </c>
      <c r="AA4713" s="117">
        <f>IF($B4713="",0,IF(OR($W4713="EVET",$X4713="EVET",$Y4713="EVET"),0,IF($D4713="GELİR",IF($E4713="SATIŞ İADESİ/İSKONTO",-$O4713,$O4713),-$O4713)))</f>
        <v/>
      </c>
      <c r="AB4713" s="117">
        <f>IF($B4713="","",IF(OR($D4713="",$E4713="",$O4713=""),"EKSİK",IF($O4713&lt;=0,"SIFIR/NEGATİF",IF(COUNTIFS($C$6:$C$5000,$C4713,$O$6:$O$5000,$O4713,$B$6:$B$5000,$B4713)&gt;1,"MÜKERRER","OK"))))</f>
        <v/>
      </c>
    </row>
    <row r="4714" ht="16.5" customHeight="1" s="80">
      <c r="A4714" s="113" t="n"/>
      <c r="B4714" s="113" t="n"/>
      <c r="C4714" s="113" t="n"/>
      <c r="D4714" s="113" t="n"/>
      <c r="E4714" s="113" t="n"/>
      <c r="F4714" s="113" t="n"/>
      <c r="G4714" s="113" t="n"/>
      <c r="H4714" s="113" t="n"/>
      <c r="I4714" s="113" t="n"/>
      <c r="J4714" s="113" t="n"/>
      <c r="K4714" s="113" t="n"/>
      <c r="L4714" s="113" t="n"/>
      <c r="M4714" s="113" t="n"/>
      <c r="N4714" s="113" t="n"/>
      <c r="O4714" s="113" t="n"/>
      <c r="P4714" s="113" t="n"/>
      <c r="Q4714" s="113" t="n"/>
      <c r="R4714" s="113" t="n"/>
      <c r="S4714" s="113" t="n"/>
      <c r="T4714" s="113" t="n"/>
      <c r="U4714" s="113" t="n"/>
      <c r="V4714" s="113" t="n"/>
      <c r="W4714" s="113" t="n"/>
      <c r="X4714" s="113" t="n"/>
      <c r="Y4714" s="113" t="n"/>
      <c r="Z4714" s="117">
        <f>IF($B4714="",0,IF($S4714="EVET",IF($D4714="GELİR",$O4714,-$O4714),0))</f>
        <v/>
      </c>
      <c r="AA4714" s="117">
        <f>IF($B4714="",0,IF(OR($W4714="EVET",$X4714="EVET",$Y4714="EVET"),0,IF($D4714="GELİR",IF($E4714="SATIŞ İADESİ/İSKONTO",-$O4714,$O4714),-$O4714)))</f>
        <v/>
      </c>
      <c r="AB4714" s="117">
        <f>IF($B4714="","",IF(OR($D4714="",$E4714="",$O4714=""),"EKSİK",IF($O4714&lt;=0,"SIFIR/NEGATİF",IF(COUNTIFS($C$6:$C$5000,$C4714,$O$6:$O$5000,$O4714,$B$6:$B$5000,$B4714)&gt;1,"MÜKERRER","OK"))))</f>
        <v/>
      </c>
    </row>
    <row r="4715" ht="16.5" customHeight="1" s="80">
      <c r="A4715" s="113" t="n"/>
      <c r="B4715" s="113" t="n"/>
      <c r="C4715" s="113" t="n"/>
      <c r="D4715" s="113" t="n"/>
      <c r="E4715" s="113" t="n"/>
      <c r="F4715" s="113" t="n"/>
      <c r="G4715" s="113" t="n"/>
      <c r="H4715" s="113" t="n"/>
      <c r="I4715" s="113" t="n"/>
      <c r="J4715" s="113" t="n"/>
      <c r="K4715" s="113" t="n"/>
      <c r="L4715" s="113" t="n"/>
      <c r="M4715" s="113" t="n"/>
      <c r="N4715" s="113" t="n"/>
      <c r="O4715" s="113" t="n"/>
      <c r="P4715" s="113" t="n"/>
      <c r="Q4715" s="113" t="n"/>
      <c r="R4715" s="113" t="n"/>
      <c r="S4715" s="113" t="n"/>
      <c r="T4715" s="113" t="n"/>
      <c r="U4715" s="113" t="n"/>
      <c r="V4715" s="113" t="n"/>
      <c r="W4715" s="113" t="n"/>
      <c r="X4715" s="113" t="n"/>
      <c r="Y4715" s="113" t="n"/>
      <c r="Z4715" s="117">
        <f>IF($B4715="",0,IF($S4715="EVET",IF($D4715="GELİR",$O4715,-$O4715),0))</f>
        <v/>
      </c>
      <c r="AA4715" s="117">
        <f>IF($B4715="",0,IF(OR($W4715="EVET",$X4715="EVET",$Y4715="EVET"),0,IF($D4715="GELİR",IF($E4715="SATIŞ İADESİ/İSKONTO",-$O4715,$O4715),-$O4715)))</f>
        <v/>
      </c>
      <c r="AB4715" s="117">
        <f>IF($B4715="","",IF(OR($D4715="",$E4715="",$O4715=""),"EKSİK",IF($O4715&lt;=0,"SIFIR/NEGATİF",IF(COUNTIFS($C$6:$C$5000,$C4715,$O$6:$O$5000,$O4715,$B$6:$B$5000,$B4715)&gt;1,"MÜKERRER","OK"))))</f>
        <v/>
      </c>
    </row>
    <row r="4716" ht="16.5" customHeight="1" s="80">
      <c r="A4716" s="113" t="n"/>
      <c r="B4716" s="113" t="n"/>
      <c r="C4716" s="113" t="n"/>
      <c r="D4716" s="113" t="n"/>
      <c r="E4716" s="113" t="n"/>
      <c r="F4716" s="113" t="n"/>
      <c r="G4716" s="113" t="n"/>
      <c r="H4716" s="113" t="n"/>
      <c r="I4716" s="113" t="n"/>
      <c r="J4716" s="113" t="n"/>
      <c r="K4716" s="113" t="n"/>
      <c r="L4716" s="113" t="n"/>
      <c r="M4716" s="113" t="n"/>
      <c r="N4716" s="113" t="n"/>
      <c r="O4716" s="113" t="n"/>
      <c r="P4716" s="113" t="n"/>
      <c r="Q4716" s="113" t="n"/>
      <c r="R4716" s="113" t="n"/>
      <c r="S4716" s="113" t="n"/>
      <c r="T4716" s="113" t="n"/>
      <c r="U4716" s="113" t="n"/>
      <c r="V4716" s="113" t="n"/>
      <c r="W4716" s="113" t="n"/>
      <c r="X4716" s="113" t="n"/>
      <c r="Y4716" s="113" t="n"/>
      <c r="Z4716" s="117">
        <f>IF($B4716="",0,IF($S4716="EVET",IF($D4716="GELİR",$O4716,-$O4716),0))</f>
        <v/>
      </c>
      <c r="AA4716" s="117">
        <f>IF($B4716="",0,IF(OR($W4716="EVET",$X4716="EVET",$Y4716="EVET"),0,IF($D4716="GELİR",IF($E4716="SATIŞ İADESİ/İSKONTO",-$O4716,$O4716),-$O4716)))</f>
        <v/>
      </c>
      <c r="AB4716" s="117">
        <f>IF($B4716="","",IF(OR($D4716="",$E4716="",$O4716=""),"EKSİK",IF($O4716&lt;=0,"SIFIR/NEGATİF",IF(COUNTIFS($C$6:$C$5000,$C4716,$O$6:$O$5000,$O4716,$B$6:$B$5000,$B4716)&gt;1,"MÜKERRER","OK"))))</f>
        <v/>
      </c>
    </row>
    <row r="4717" ht="16.5" customHeight="1" s="80">
      <c r="A4717" s="113" t="n"/>
      <c r="B4717" s="113" t="n"/>
      <c r="C4717" s="113" t="n"/>
      <c r="D4717" s="113" t="n"/>
      <c r="E4717" s="113" t="n"/>
      <c r="F4717" s="113" t="n"/>
      <c r="G4717" s="113" t="n"/>
      <c r="H4717" s="113" t="n"/>
      <c r="I4717" s="113" t="n"/>
      <c r="J4717" s="113" t="n"/>
      <c r="K4717" s="113" t="n"/>
      <c r="L4717" s="113" t="n"/>
      <c r="M4717" s="113" t="n"/>
      <c r="N4717" s="113" t="n"/>
      <c r="O4717" s="113" t="n"/>
      <c r="P4717" s="113" t="n"/>
      <c r="Q4717" s="113" t="n"/>
      <c r="R4717" s="113" t="n"/>
      <c r="S4717" s="113" t="n"/>
      <c r="T4717" s="113" t="n"/>
      <c r="U4717" s="113" t="n"/>
      <c r="V4717" s="113" t="n"/>
      <c r="W4717" s="113" t="n"/>
      <c r="X4717" s="113" t="n"/>
      <c r="Y4717" s="113" t="n"/>
      <c r="Z4717" s="117">
        <f>IF($B4717="",0,IF($S4717="EVET",IF($D4717="GELİR",$O4717,-$O4717),0))</f>
        <v/>
      </c>
      <c r="AA4717" s="117">
        <f>IF($B4717="",0,IF(OR($W4717="EVET",$X4717="EVET",$Y4717="EVET"),0,IF($D4717="GELİR",IF($E4717="SATIŞ İADESİ/İSKONTO",-$O4717,$O4717),-$O4717)))</f>
        <v/>
      </c>
      <c r="AB4717" s="117">
        <f>IF($B4717="","",IF(OR($D4717="",$E4717="",$O4717=""),"EKSİK",IF($O4717&lt;=0,"SIFIR/NEGATİF",IF(COUNTIFS($C$6:$C$5000,$C4717,$O$6:$O$5000,$O4717,$B$6:$B$5000,$B4717)&gt;1,"MÜKERRER","OK"))))</f>
        <v/>
      </c>
    </row>
    <row r="4718" ht="16.5" customHeight="1" s="80">
      <c r="A4718" s="113" t="n"/>
      <c r="B4718" s="113" t="n"/>
      <c r="C4718" s="113" t="n"/>
      <c r="D4718" s="113" t="n"/>
      <c r="E4718" s="113" t="n"/>
      <c r="F4718" s="113" t="n"/>
      <c r="G4718" s="113" t="n"/>
      <c r="H4718" s="113" t="n"/>
      <c r="I4718" s="113" t="n"/>
      <c r="J4718" s="113" t="n"/>
      <c r="K4718" s="113" t="n"/>
      <c r="L4718" s="113" t="n"/>
      <c r="M4718" s="113" t="n"/>
      <c r="N4718" s="113" t="n"/>
      <c r="O4718" s="113" t="n"/>
      <c r="P4718" s="113" t="n"/>
      <c r="Q4718" s="113" t="n"/>
      <c r="R4718" s="113" t="n"/>
      <c r="S4718" s="113" t="n"/>
      <c r="T4718" s="113" t="n"/>
      <c r="U4718" s="113" t="n"/>
      <c r="V4718" s="113" t="n"/>
      <c r="W4718" s="113" t="n"/>
      <c r="X4718" s="113" t="n"/>
      <c r="Y4718" s="113" t="n"/>
      <c r="Z4718" s="117">
        <f>IF($B4718="",0,IF($S4718="EVET",IF($D4718="GELİR",$O4718,-$O4718),0))</f>
        <v/>
      </c>
      <c r="AA4718" s="117">
        <f>IF($B4718="",0,IF(OR($W4718="EVET",$X4718="EVET",$Y4718="EVET"),0,IF($D4718="GELİR",IF($E4718="SATIŞ İADESİ/İSKONTO",-$O4718,$O4718),-$O4718)))</f>
        <v/>
      </c>
      <c r="AB4718" s="117">
        <f>IF($B4718="","",IF(OR($D4718="",$E4718="",$O4718=""),"EKSİK",IF($O4718&lt;=0,"SIFIR/NEGATİF",IF(COUNTIFS($C$6:$C$5000,$C4718,$O$6:$O$5000,$O4718,$B$6:$B$5000,$B4718)&gt;1,"MÜKERRER","OK"))))</f>
        <v/>
      </c>
    </row>
    <row r="4719" ht="16.5" customHeight="1" s="80">
      <c r="A4719" s="113" t="n"/>
      <c r="B4719" s="113" t="n"/>
      <c r="C4719" s="113" t="n"/>
      <c r="D4719" s="113" t="n"/>
      <c r="E4719" s="113" t="n"/>
      <c r="F4719" s="113" t="n"/>
      <c r="G4719" s="113" t="n"/>
      <c r="H4719" s="113" t="n"/>
      <c r="I4719" s="113" t="n"/>
      <c r="J4719" s="113" t="n"/>
      <c r="K4719" s="113" t="n"/>
      <c r="L4719" s="113" t="n"/>
      <c r="M4719" s="113" t="n"/>
      <c r="N4719" s="113" t="n"/>
      <c r="O4719" s="113" t="n"/>
      <c r="P4719" s="113" t="n"/>
      <c r="Q4719" s="113" t="n"/>
      <c r="R4719" s="113" t="n"/>
      <c r="S4719" s="113" t="n"/>
      <c r="T4719" s="113" t="n"/>
      <c r="U4719" s="113" t="n"/>
      <c r="V4719" s="113" t="n"/>
      <c r="W4719" s="113" t="n"/>
      <c r="X4719" s="113" t="n"/>
      <c r="Y4719" s="113" t="n"/>
      <c r="Z4719" s="117">
        <f>IF($B4719="",0,IF($S4719="EVET",IF($D4719="GELİR",$O4719,-$O4719),0))</f>
        <v/>
      </c>
      <c r="AA4719" s="117">
        <f>IF($B4719="",0,IF(OR($W4719="EVET",$X4719="EVET",$Y4719="EVET"),0,IF($D4719="GELİR",IF($E4719="SATIŞ İADESİ/İSKONTO",-$O4719,$O4719),-$O4719)))</f>
        <v/>
      </c>
      <c r="AB4719" s="117">
        <f>IF($B4719="","",IF(OR($D4719="",$E4719="",$O4719=""),"EKSİK",IF($O4719&lt;=0,"SIFIR/NEGATİF",IF(COUNTIFS($C$6:$C$5000,$C4719,$O$6:$O$5000,$O4719,$B$6:$B$5000,$B4719)&gt;1,"MÜKERRER","OK"))))</f>
        <v/>
      </c>
    </row>
    <row r="4720" ht="16.5" customHeight="1" s="80">
      <c r="A4720" s="113" t="n"/>
      <c r="B4720" s="113" t="n"/>
      <c r="C4720" s="113" t="n"/>
      <c r="D4720" s="113" t="n"/>
      <c r="E4720" s="113" t="n"/>
      <c r="F4720" s="113" t="n"/>
      <c r="G4720" s="113" t="n"/>
      <c r="H4720" s="113" t="n"/>
      <c r="I4720" s="113" t="n"/>
      <c r="J4720" s="113" t="n"/>
      <c r="K4720" s="113" t="n"/>
      <c r="L4720" s="113" t="n"/>
      <c r="M4720" s="113" t="n"/>
      <c r="N4720" s="113" t="n"/>
      <c r="O4720" s="113" t="n"/>
      <c r="P4720" s="113" t="n"/>
      <c r="Q4720" s="113" t="n"/>
      <c r="R4720" s="113" t="n"/>
      <c r="S4720" s="113" t="n"/>
      <c r="T4720" s="113" t="n"/>
      <c r="U4720" s="113" t="n"/>
      <c r="V4720" s="113" t="n"/>
      <c r="W4720" s="113" t="n"/>
      <c r="X4720" s="113" t="n"/>
      <c r="Y4720" s="113" t="n"/>
      <c r="Z4720" s="117">
        <f>IF($B4720="",0,IF($S4720="EVET",IF($D4720="GELİR",$O4720,-$O4720),0))</f>
        <v/>
      </c>
      <c r="AA4720" s="117">
        <f>IF($B4720="",0,IF(OR($W4720="EVET",$X4720="EVET",$Y4720="EVET"),0,IF($D4720="GELİR",IF($E4720="SATIŞ İADESİ/İSKONTO",-$O4720,$O4720),-$O4720)))</f>
        <v/>
      </c>
      <c r="AB4720" s="117">
        <f>IF($B4720="","",IF(OR($D4720="",$E4720="",$O4720=""),"EKSİK",IF($O4720&lt;=0,"SIFIR/NEGATİF",IF(COUNTIFS($C$6:$C$5000,$C4720,$O$6:$O$5000,$O4720,$B$6:$B$5000,$B4720)&gt;1,"MÜKERRER","OK"))))</f>
        <v/>
      </c>
    </row>
    <row r="4721" ht="16.5" customHeight="1" s="80">
      <c r="A4721" s="113" t="n"/>
      <c r="B4721" s="113" t="n"/>
      <c r="C4721" s="113" t="n"/>
      <c r="D4721" s="113" t="n"/>
      <c r="E4721" s="113" t="n"/>
      <c r="F4721" s="113" t="n"/>
      <c r="G4721" s="113" t="n"/>
      <c r="H4721" s="113" t="n"/>
      <c r="I4721" s="113" t="n"/>
      <c r="J4721" s="113" t="n"/>
      <c r="K4721" s="113" t="n"/>
      <c r="L4721" s="113" t="n"/>
      <c r="M4721" s="113" t="n"/>
      <c r="N4721" s="113" t="n"/>
      <c r="O4721" s="113" t="n"/>
      <c r="P4721" s="113" t="n"/>
      <c r="Q4721" s="113" t="n"/>
      <c r="R4721" s="113" t="n"/>
      <c r="S4721" s="113" t="n"/>
      <c r="T4721" s="113" t="n"/>
      <c r="U4721" s="113" t="n"/>
      <c r="V4721" s="113" t="n"/>
      <c r="W4721" s="113" t="n"/>
      <c r="X4721" s="113" t="n"/>
      <c r="Y4721" s="113" t="n"/>
      <c r="Z4721" s="117">
        <f>IF($B4721="",0,IF($S4721="EVET",IF($D4721="GELİR",$O4721,-$O4721),0))</f>
        <v/>
      </c>
      <c r="AA4721" s="117">
        <f>IF($B4721="",0,IF(OR($W4721="EVET",$X4721="EVET",$Y4721="EVET"),0,IF($D4721="GELİR",IF($E4721="SATIŞ İADESİ/İSKONTO",-$O4721,$O4721),-$O4721)))</f>
        <v/>
      </c>
      <c r="AB4721" s="117">
        <f>IF($B4721="","",IF(OR($D4721="",$E4721="",$O4721=""),"EKSİK",IF($O4721&lt;=0,"SIFIR/NEGATİF",IF(COUNTIFS($C$6:$C$5000,$C4721,$O$6:$O$5000,$O4721,$B$6:$B$5000,$B4721)&gt;1,"MÜKERRER","OK"))))</f>
        <v/>
      </c>
    </row>
    <row r="4722" ht="16.5" customHeight="1" s="80">
      <c r="A4722" s="113" t="n"/>
      <c r="B4722" s="113" t="n"/>
      <c r="C4722" s="113" t="n"/>
      <c r="D4722" s="113" t="n"/>
      <c r="E4722" s="113" t="n"/>
      <c r="F4722" s="113" t="n"/>
      <c r="G4722" s="113" t="n"/>
      <c r="H4722" s="113" t="n"/>
      <c r="I4722" s="113" t="n"/>
      <c r="J4722" s="113" t="n"/>
      <c r="K4722" s="113" t="n"/>
      <c r="L4722" s="113" t="n"/>
      <c r="M4722" s="113" t="n"/>
      <c r="N4722" s="113" t="n"/>
      <c r="O4722" s="113" t="n"/>
      <c r="P4722" s="113" t="n"/>
      <c r="Q4722" s="113" t="n"/>
      <c r="R4722" s="113" t="n"/>
      <c r="S4722" s="113" t="n"/>
      <c r="T4722" s="113" t="n"/>
      <c r="U4722" s="113" t="n"/>
      <c r="V4722" s="113" t="n"/>
      <c r="W4722" s="113" t="n"/>
      <c r="X4722" s="113" t="n"/>
      <c r="Y4722" s="113" t="n"/>
      <c r="Z4722" s="117">
        <f>IF($B4722="",0,IF($S4722="EVET",IF($D4722="GELİR",$O4722,-$O4722),0))</f>
        <v/>
      </c>
      <c r="AA4722" s="117">
        <f>IF($B4722="",0,IF(OR($W4722="EVET",$X4722="EVET",$Y4722="EVET"),0,IF($D4722="GELİR",IF($E4722="SATIŞ İADESİ/İSKONTO",-$O4722,$O4722),-$O4722)))</f>
        <v/>
      </c>
      <c r="AB4722" s="117">
        <f>IF($B4722="","",IF(OR($D4722="",$E4722="",$O4722=""),"EKSİK",IF($O4722&lt;=0,"SIFIR/NEGATİF",IF(COUNTIFS($C$6:$C$5000,$C4722,$O$6:$O$5000,$O4722,$B$6:$B$5000,$B4722)&gt;1,"MÜKERRER","OK"))))</f>
        <v/>
      </c>
    </row>
    <row r="4723" ht="16.5" customHeight="1" s="80">
      <c r="A4723" s="113" t="n"/>
      <c r="B4723" s="113" t="n"/>
      <c r="C4723" s="113" t="n"/>
      <c r="D4723" s="113" t="n"/>
      <c r="E4723" s="113" t="n"/>
      <c r="F4723" s="113" t="n"/>
      <c r="G4723" s="113" t="n"/>
      <c r="H4723" s="113" t="n"/>
      <c r="I4723" s="113" t="n"/>
      <c r="J4723" s="113" t="n"/>
      <c r="K4723" s="113" t="n"/>
      <c r="L4723" s="113" t="n"/>
      <c r="M4723" s="113" t="n"/>
      <c r="N4723" s="113" t="n"/>
      <c r="O4723" s="113" t="n"/>
      <c r="P4723" s="113" t="n"/>
      <c r="Q4723" s="113" t="n"/>
      <c r="R4723" s="113" t="n"/>
      <c r="S4723" s="113" t="n"/>
      <c r="T4723" s="113" t="n"/>
      <c r="U4723" s="113" t="n"/>
      <c r="V4723" s="113" t="n"/>
      <c r="W4723" s="113" t="n"/>
      <c r="X4723" s="113" t="n"/>
      <c r="Y4723" s="113" t="n"/>
      <c r="Z4723" s="117">
        <f>IF($B4723="",0,IF($S4723="EVET",IF($D4723="GELİR",$O4723,-$O4723),0))</f>
        <v/>
      </c>
      <c r="AA4723" s="117">
        <f>IF($B4723="",0,IF(OR($W4723="EVET",$X4723="EVET",$Y4723="EVET"),0,IF($D4723="GELİR",IF($E4723="SATIŞ İADESİ/İSKONTO",-$O4723,$O4723),-$O4723)))</f>
        <v/>
      </c>
      <c r="AB4723" s="117">
        <f>IF($B4723="","",IF(OR($D4723="",$E4723="",$O4723=""),"EKSİK",IF($O4723&lt;=0,"SIFIR/NEGATİF",IF(COUNTIFS($C$6:$C$5000,$C4723,$O$6:$O$5000,$O4723,$B$6:$B$5000,$B4723)&gt;1,"MÜKERRER","OK"))))</f>
        <v/>
      </c>
    </row>
    <row r="4724" ht="16.5" customHeight="1" s="80">
      <c r="A4724" s="113" t="n"/>
      <c r="B4724" s="113" t="n"/>
      <c r="C4724" s="113" t="n"/>
      <c r="D4724" s="113" t="n"/>
      <c r="E4724" s="113" t="n"/>
      <c r="F4724" s="113" t="n"/>
      <c r="G4724" s="113" t="n"/>
      <c r="H4724" s="113" t="n"/>
      <c r="I4724" s="113" t="n"/>
      <c r="J4724" s="113" t="n"/>
      <c r="K4724" s="113" t="n"/>
      <c r="L4724" s="113" t="n"/>
      <c r="M4724" s="113" t="n"/>
      <c r="N4724" s="113" t="n"/>
      <c r="O4724" s="113" t="n"/>
      <c r="P4724" s="113" t="n"/>
      <c r="Q4724" s="113" t="n"/>
      <c r="R4724" s="113" t="n"/>
      <c r="S4724" s="113" t="n"/>
      <c r="T4724" s="113" t="n"/>
      <c r="U4724" s="113" t="n"/>
      <c r="V4724" s="113" t="n"/>
      <c r="W4724" s="113" t="n"/>
      <c r="X4724" s="113" t="n"/>
      <c r="Y4724" s="113" t="n"/>
      <c r="Z4724" s="117">
        <f>IF($B4724="",0,IF($S4724="EVET",IF($D4724="GELİR",$O4724,-$O4724),0))</f>
        <v/>
      </c>
      <c r="AA4724" s="117">
        <f>IF($B4724="",0,IF(OR($W4724="EVET",$X4724="EVET",$Y4724="EVET"),0,IF($D4724="GELİR",IF($E4724="SATIŞ İADESİ/İSKONTO",-$O4724,$O4724),-$O4724)))</f>
        <v/>
      </c>
      <c r="AB4724" s="117">
        <f>IF($B4724="","",IF(OR($D4724="",$E4724="",$O4724=""),"EKSİK",IF($O4724&lt;=0,"SIFIR/NEGATİF",IF(COUNTIFS($C$6:$C$5000,$C4724,$O$6:$O$5000,$O4724,$B$6:$B$5000,$B4724)&gt;1,"MÜKERRER","OK"))))</f>
        <v/>
      </c>
    </row>
    <row r="4725" ht="16.5" customHeight="1" s="80">
      <c r="A4725" s="113" t="n"/>
      <c r="B4725" s="113" t="n"/>
      <c r="C4725" s="113" t="n"/>
      <c r="D4725" s="113" t="n"/>
      <c r="E4725" s="113" t="n"/>
      <c r="F4725" s="113" t="n"/>
      <c r="G4725" s="113" t="n"/>
      <c r="H4725" s="113" t="n"/>
      <c r="I4725" s="113" t="n"/>
      <c r="J4725" s="113" t="n"/>
      <c r="K4725" s="113" t="n"/>
      <c r="L4725" s="113" t="n"/>
      <c r="M4725" s="113" t="n"/>
      <c r="N4725" s="113" t="n"/>
      <c r="O4725" s="113" t="n"/>
      <c r="P4725" s="113" t="n"/>
      <c r="Q4725" s="113" t="n"/>
      <c r="R4725" s="113" t="n"/>
      <c r="S4725" s="113" t="n"/>
      <c r="T4725" s="113" t="n"/>
      <c r="U4725" s="113" t="n"/>
      <c r="V4725" s="113" t="n"/>
      <c r="W4725" s="113" t="n"/>
      <c r="X4725" s="113" t="n"/>
      <c r="Y4725" s="113" t="n"/>
      <c r="Z4725" s="117">
        <f>IF($B4725="",0,IF($S4725="EVET",IF($D4725="GELİR",$O4725,-$O4725),0))</f>
        <v/>
      </c>
      <c r="AA4725" s="117">
        <f>IF($B4725="",0,IF(OR($W4725="EVET",$X4725="EVET",$Y4725="EVET"),0,IF($D4725="GELİR",IF($E4725="SATIŞ İADESİ/İSKONTO",-$O4725,$O4725),-$O4725)))</f>
        <v/>
      </c>
      <c r="AB4725" s="117">
        <f>IF($B4725="","",IF(OR($D4725="",$E4725="",$O4725=""),"EKSİK",IF($O4725&lt;=0,"SIFIR/NEGATİF",IF(COUNTIFS($C$6:$C$5000,$C4725,$O$6:$O$5000,$O4725,$B$6:$B$5000,$B4725)&gt;1,"MÜKERRER","OK"))))</f>
        <v/>
      </c>
    </row>
    <row r="4726" ht="16.5" customHeight="1" s="80">
      <c r="A4726" s="113" t="n"/>
      <c r="B4726" s="113" t="n"/>
      <c r="C4726" s="113" t="n"/>
      <c r="D4726" s="113" t="n"/>
      <c r="E4726" s="113" t="n"/>
      <c r="F4726" s="113" t="n"/>
      <c r="G4726" s="113" t="n"/>
      <c r="H4726" s="113" t="n"/>
      <c r="I4726" s="113" t="n"/>
      <c r="J4726" s="113" t="n"/>
      <c r="K4726" s="113" t="n"/>
      <c r="L4726" s="113" t="n"/>
      <c r="M4726" s="113" t="n"/>
      <c r="N4726" s="113" t="n"/>
      <c r="O4726" s="113" t="n"/>
      <c r="P4726" s="113" t="n"/>
      <c r="Q4726" s="113" t="n"/>
      <c r="R4726" s="113" t="n"/>
      <c r="S4726" s="113" t="n"/>
      <c r="T4726" s="113" t="n"/>
      <c r="U4726" s="113" t="n"/>
      <c r="V4726" s="113" t="n"/>
      <c r="W4726" s="113" t="n"/>
      <c r="X4726" s="113" t="n"/>
      <c r="Y4726" s="113" t="n"/>
      <c r="Z4726" s="117">
        <f>IF($B4726="",0,IF($S4726="EVET",IF($D4726="GELİR",$O4726,-$O4726),0))</f>
        <v/>
      </c>
      <c r="AA4726" s="117">
        <f>IF($B4726="",0,IF(OR($W4726="EVET",$X4726="EVET",$Y4726="EVET"),0,IF($D4726="GELİR",IF($E4726="SATIŞ İADESİ/İSKONTO",-$O4726,$O4726),-$O4726)))</f>
        <v/>
      </c>
      <c r="AB4726" s="117">
        <f>IF($B4726="","",IF(OR($D4726="",$E4726="",$O4726=""),"EKSİK",IF($O4726&lt;=0,"SIFIR/NEGATİF",IF(COUNTIFS($C$6:$C$5000,$C4726,$O$6:$O$5000,$O4726,$B$6:$B$5000,$B4726)&gt;1,"MÜKERRER","OK"))))</f>
        <v/>
      </c>
    </row>
    <row r="4727" ht="16.5" customHeight="1" s="80">
      <c r="A4727" s="113" t="n"/>
      <c r="B4727" s="113" t="n"/>
      <c r="C4727" s="113" t="n"/>
      <c r="D4727" s="113" t="n"/>
      <c r="E4727" s="113" t="n"/>
      <c r="F4727" s="113" t="n"/>
      <c r="G4727" s="113" t="n"/>
      <c r="H4727" s="113" t="n"/>
      <c r="I4727" s="113" t="n"/>
      <c r="J4727" s="113" t="n"/>
      <c r="K4727" s="113" t="n"/>
      <c r="L4727" s="113" t="n"/>
      <c r="M4727" s="113" t="n"/>
      <c r="N4727" s="113" t="n"/>
      <c r="O4727" s="113" t="n"/>
      <c r="P4727" s="113" t="n"/>
      <c r="Q4727" s="113" t="n"/>
      <c r="R4727" s="113" t="n"/>
      <c r="S4727" s="113" t="n"/>
      <c r="T4727" s="113" t="n"/>
      <c r="U4727" s="113" t="n"/>
      <c r="V4727" s="113" t="n"/>
      <c r="W4727" s="113" t="n"/>
      <c r="X4727" s="113" t="n"/>
      <c r="Y4727" s="113" t="n"/>
      <c r="Z4727" s="117">
        <f>IF($B4727="",0,IF($S4727="EVET",IF($D4727="GELİR",$O4727,-$O4727),0))</f>
        <v/>
      </c>
      <c r="AA4727" s="117">
        <f>IF($B4727="",0,IF(OR($W4727="EVET",$X4727="EVET",$Y4727="EVET"),0,IF($D4727="GELİR",IF($E4727="SATIŞ İADESİ/İSKONTO",-$O4727,$O4727),-$O4727)))</f>
        <v/>
      </c>
      <c r="AB4727" s="117">
        <f>IF($B4727="","",IF(OR($D4727="",$E4727="",$O4727=""),"EKSİK",IF($O4727&lt;=0,"SIFIR/NEGATİF",IF(COUNTIFS($C$6:$C$5000,$C4727,$O$6:$O$5000,$O4727,$B$6:$B$5000,$B4727)&gt;1,"MÜKERRER","OK"))))</f>
        <v/>
      </c>
    </row>
    <row r="4728" ht="16.5" customHeight="1" s="80">
      <c r="A4728" s="113" t="n"/>
      <c r="B4728" s="113" t="n"/>
      <c r="C4728" s="113" t="n"/>
      <c r="D4728" s="113" t="n"/>
      <c r="E4728" s="113" t="n"/>
      <c r="F4728" s="113" t="n"/>
      <c r="G4728" s="113" t="n"/>
      <c r="H4728" s="113" t="n"/>
      <c r="I4728" s="113" t="n"/>
      <c r="J4728" s="113" t="n"/>
      <c r="K4728" s="113" t="n"/>
      <c r="L4728" s="113" t="n"/>
      <c r="M4728" s="113" t="n"/>
      <c r="N4728" s="113" t="n"/>
      <c r="O4728" s="113" t="n"/>
      <c r="P4728" s="113" t="n"/>
      <c r="Q4728" s="113" t="n"/>
      <c r="R4728" s="113" t="n"/>
      <c r="S4728" s="113" t="n"/>
      <c r="T4728" s="113" t="n"/>
      <c r="U4728" s="113" t="n"/>
      <c r="V4728" s="113" t="n"/>
      <c r="W4728" s="113" t="n"/>
      <c r="X4728" s="113" t="n"/>
      <c r="Y4728" s="113" t="n"/>
      <c r="Z4728" s="117">
        <f>IF($B4728="",0,IF($S4728="EVET",IF($D4728="GELİR",$O4728,-$O4728),0))</f>
        <v/>
      </c>
      <c r="AA4728" s="117">
        <f>IF($B4728="",0,IF(OR($W4728="EVET",$X4728="EVET",$Y4728="EVET"),0,IF($D4728="GELİR",IF($E4728="SATIŞ İADESİ/İSKONTO",-$O4728,$O4728),-$O4728)))</f>
        <v/>
      </c>
      <c r="AB4728" s="117">
        <f>IF($B4728="","",IF(OR($D4728="",$E4728="",$O4728=""),"EKSİK",IF($O4728&lt;=0,"SIFIR/NEGATİF",IF(COUNTIFS($C$6:$C$5000,$C4728,$O$6:$O$5000,$O4728,$B$6:$B$5000,$B4728)&gt;1,"MÜKERRER","OK"))))</f>
        <v/>
      </c>
    </row>
    <row r="4729" ht="16.5" customHeight="1" s="80">
      <c r="A4729" s="113" t="n"/>
      <c r="B4729" s="113" t="n"/>
      <c r="C4729" s="113" t="n"/>
      <c r="D4729" s="113" t="n"/>
      <c r="E4729" s="113" t="n"/>
      <c r="F4729" s="113" t="n"/>
      <c r="G4729" s="113" t="n"/>
      <c r="H4729" s="113" t="n"/>
      <c r="I4729" s="113" t="n"/>
      <c r="J4729" s="113" t="n"/>
      <c r="K4729" s="113" t="n"/>
      <c r="L4729" s="113" t="n"/>
      <c r="M4729" s="113" t="n"/>
      <c r="N4729" s="113" t="n"/>
      <c r="O4729" s="113" t="n"/>
      <c r="P4729" s="113" t="n"/>
      <c r="Q4729" s="113" t="n"/>
      <c r="R4729" s="113" t="n"/>
      <c r="S4729" s="113" t="n"/>
      <c r="T4729" s="113" t="n"/>
      <c r="U4729" s="113" t="n"/>
      <c r="V4729" s="113" t="n"/>
      <c r="W4729" s="113" t="n"/>
      <c r="X4729" s="113" t="n"/>
      <c r="Y4729" s="113" t="n"/>
      <c r="Z4729" s="117">
        <f>IF($B4729="",0,IF($S4729="EVET",IF($D4729="GELİR",$O4729,-$O4729),0))</f>
        <v/>
      </c>
      <c r="AA4729" s="117">
        <f>IF($B4729="",0,IF(OR($W4729="EVET",$X4729="EVET",$Y4729="EVET"),0,IF($D4729="GELİR",IF($E4729="SATIŞ İADESİ/İSKONTO",-$O4729,$O4729),-$O4729)))</f>
        <v/>
      </c>
      <c r="AB4729" s="117">
        <f>IF($B4729="","",IF(OR($D4729="",$E4729="",$O4729=""),"EKSİK",IF($O4729&lt;=0,"SIFIR/NEGATİF",IF(COUNTIFS($C$6:$C$5000,$C4729,$O$6:$O$5000,$O4729,$B$6:$B$5000,$B4729)&gt;1,"MÜKERRER","OK"))))</f>
        <v/>
      </c>
    </row>
    <row r="4730" ht="16.5" customHeight="1" s="80">
      <c r="A4730" s="113" t="n"/>
      <c r="B4730" s="113" t="n"/>
      <c r="C4730" s="113" t="n"/>
      <c r="D4730" s="113" t="n"/>
      <c r="E4730" s="113" t="n"/>
      <c r="F4730" s="113" t="n"/>
      <c r="G4730" s="113" t="n"/>
      <c r="H4730" s="113" t="n"/>
      <c r="I4730" s="113" t="n"/>
      <c r="J4730" s="113" t="n"/>
      <c r="K4730" s="113" t="n"/>
      <c r="L4730" s="113" t="n"/>
      <c r="M4730" s="113" t="n"/>
      <c r="N4730" s="113" t="n"/>
      <c r="O4730" s="113" t="n"/>
      <c r="P4730" s="113" t="n"/>
      <c r="Q4730" s="113" t="n"/>
      <c r="R4730" s="113" t="n"/>
      <c r="S4730" s="113" t="n"/>
      <c r="T4730" s="113" t="n"/>
      <c r="U4730" s="113" t="n"/>
      <c r="V4730" s="113" t="n"/>
      <c r="W4730" s="113" t="n"/>
      <c r="X4730" s="113" t="n"/>
      <c r="Y4730" s="113" t="n"/>
      <c r="Z4730" s="117">
        <f>IF($B4730="",0,IF($S4730="EVET",IF($D4730="GELİR",$O4730,-$O4730),0))</f>
        <v/>
      </c>
      <c r="AA4730" s="117">
        <f>IF($B4730="",0,IF(OR($W4730="EVET",$X4730="EVET",$Y4730="EVET"),0,IF($D4730="GELİR",IF($E4730="SATIŞ İADESİ/İSKONTO",-$O4730,$O4730),-$O4730)))</f>
        <v/>
      </c>
      <c r="AB4730" s="117">
        <f>IF($B4730="","",IF(OR($D4730="",$E4730="",$O4730=""),"EKSİK",IF($O4730&lt;=0,"SIFIR/NEGATİF",IF(COUNTIFS($C$6:$C$5000,$C4730,$O$6:$O$5000,$O4730,$B$6:$B$5000,$B4730)&gt;1,"MÜKERRER","OK"))))</f>
        <v/>
      </c>
    </row>
    <row r="4731" ht="16.5" customHeight="1" s="80">
      <c r="A4731" s="113" t="n"/>
      <c r="B4731" s="113" t="n"/>
      <c r="C4731" s="113" t="n"/>
      <c r="D4731" s="113" t="n"/>
      <c r="E4731" s="113" t="n"/>
      <c r="F4731" s="113" t="n"/>
      <c r="G4731" s="113" t="n"/>
      <c r="H4731" s="113" t="n"/>
      <c r="I4731" s="113" t="n"/>
      <c r="J4731" s="113" t="n"/>
      <c r="K4731" s="113" t="n"/>
      <c r="L4731" s="113" t="n"/>
      <c r="M4731" s="113" t="n"/>
      <c r="N4731" s="113" t="n"/>
      <c r="O4731" s="113" t="n"/>
      <c r="P4731" s="113" t="n"/>
      <c r="Q4731" s="113" t="n"/>
      <c r="R4731" s="113" t="n"/>
      <c r="S4731" s="113" t="n"/>
      <c r="T4731" s="113" t="n"/>
      <c r="U4731" s="113" t="n"/>
      <c r="V4731" s="113" t="n"/>
      <c r="W4731" s="113" t="n"/>
      <c r="X4731" s="113" t="n"/>
      <c r="Y4731" s="113" t="n"/>
      <c r="Z4731" s="117">
        <f>IF($B4731="",0,IF($S4731="EVET",IF($D4731="GELİR",$O4731,-$O4731),0))</f>
        <v/>
      </c>
      <c r="AA4731" s="117">
        <f>IF($B4731="",0,IF(OR($W4731="EVET",$X4731="EVET",$Y4731="EVET"),0,IF($D4731="GELİR",IF($E4731="SATIŞ İADESİ/İSKONTO",-$O4731,$O4731),-$O4731)))</f>
        <v/>
      </c>
      <c r="AB4731" s="117">
        <f>IF($B4731="","",IF(OR($D4731="",$E4731="",$O4731=""),"EKSİK",IF($O4731&lt;=0,"SIFIR/NEGATİF",IF(COUNTIFS($C$6:$C$5000,$C4731,$O$6:$O$5000,$O4731,$B$6:$B$5000,$B4731)&gt;1,"MÜKERRER","OK"))))</f>
        <v/>
      </c>
    </row>
    <row r="4732" ht="16.5" customHeight="1" s="80">
      <c r="A4732" s="113" t="n"/>
      <c r="B4732" s="113" t="n"/>
      <c r="C4732" s="113" t="n"/>
      <c r="D4732" s="113" t="n"/>
      <c r="E4732" s="113" t="n"/>
      <c r="F4732" s="113" t="n"/>
      <c r="G4732" s="113" t="n"/>
      <c r="H4732" s="113" t="n"/>
      <c r="I4732" s="113" t="n"/>
      <c r="J4732" s="113" t="n"/>
      <c r="K4732" s="113" t="n"/>
      <c r="L4732" s="113" t="n"/>
      <c r="M4732" s="113" t="n"/>
      <c r="N4732" s="113" t="n"/>
      <c r="O4732" s="113" t="n"/>
      <c r="P4732" s="113" t="n"/>
      <c r="Q4732" s="113" t="n"/>
      <c r="R4732" s="113" t="n"/>
      <c r="S4732" s="113" t="n"/>
      <c r="T4732" s="113" t="n"/>
      <c r="U4732" s="113" t="n"/>
      <c r="V4732" s="113" t="n"/>
      <c r="W4732" s="113" t="n"/>
      <c r="X4732" s="113" t="n"/>
      <c r="Y4732" s="113" t="n"/>
      <c r="Z4732" s="117">
        <f>IF($B4732="",0,IF($S4732="EVET",IF($D4732="GELİR",$O4732,-$O4732),0))</f>
        <v/>
      </c>
      <c r="AA4732" s="117">
        <f>IF($B4732="",0,IF(OR($W4732="EVET",$X4732="EVET",$Y4732="EVET"),0,IF($D4732="GELİR",IF($E4732="SATIŞ İADESİ/İSKONTO",-$O4732,$O4732),-$O4732)))</f>
        <v/>
      </c>
      <c r="AB4732" s="117">
        <f>IF($B4732="","",IF(OR($D4732="",$E4732="",$O4732=""),"EKSİK",IF($O4732&lt;=0,"SIFIR/NEGATİF",IF(COUNTIFS($C$6:$C$5000,$C4732,$O$6:$O$5000,$O4732,$B$6:$B$5000,$B4732)&gt;1,"MÜKERRER","OK"))))</f>
        <v/>
      </c>
    </row>
    <row r="4733" ht="16.5" customHeight="1" s="80">
      <c r="A4733" s="113" t="n"/>
      <c r="B4733" s="113" t="n"/>
      <c r="C4733" s="113" t="n"/>
      <c r="D4733" s="113" t="n"/>
      <c r="E4733" s="113" t="n"/>
      <c r="F4733" s="113" t="n"/>
      <c r="G4733" s="113" t="n"/>
      <c r="H4733" s="113" t="n"/>
      <c r="I4733" s="113" t="n"/>
      <c r="J4733" s="113" t="n"/>
      <c r="K4733" s="113" t="n"/>
      <c r="L4733" s="113" t="n"/>
      <c r="M4733" s="113" t="n"/>
      <c r="N4733" s="113" t="n"/>
      <c r="O4733" s="113" t="n"/>
      <c r="P4733" s="113" t="n"/>
      <c r="Q4733" s="113" t="n"/>
      <c r="R4733" s="113" t="n"/>
      <c r="S4733" s="113" t="n"/>
      <c r="T4733" s="113" t="n"/>
      <c r="U4733" s="113" t="n"/>
      <c r="V4733" s="113" t="n"/>
      <c r="W4733" s="113" t="n"/>
      <c r="X4733" s="113" t="n"/>
      <c r="Y4733" s="113" t="n"/>
      <c r="Z4733" s="117">
        <f>IF($B4733="",0,IF($S4733="EVET",IF($D4733="GELİR",$O4733,-$O4733),0))</f>
        <v/>
      </c>
      <c r="AA4733" s="117">
        <f>IF($B4733="",0,IF(OR($W4733="EVET",$X4733="EVET",$Y4733="EVET"),0,IF($D4733="GELİR",IF($E4733="SATIŞ İADESİ/İSKONTO",-$O4733,$O4733),-$O4733)))</f>
        <v/>
      </c>
      <c r="AB4733" s="117">
        <f>IF($B4733="","",IF(OR($D4733="",$E4733="",$O4733=""),"EKSİK",IF($O4733&lt;=0,"SIFIR/NEGATİF",IF(COUNTIFS($C$6:$C$5000,$C4733,$O$6:$O$5000,$O4733,$B$6:$B$5000,$B4733)&gt;1,"MÜKERRER","OK"))))</f>
        <v/>
      </c>
    </row>
    <row r="4734" ht="16.5" customHeight="1" s="80">
      <c r="A4734" s="113" t="n"/>
      <c r="B4734" s="113" t="n"/>
      <c r="C4734" s="113" t="n"/>
      <c r="D4734" s="113" t="n"/>
      <c r="E4734" s="113" t="n"/>
      <c r="F4734" s="113" t="n"/>
      <c r="G4734" s="113" t="n"/>
      <c r="H4734" s="113" t="n"/>
      <c r="I4734" s="113" t="n"/>
      <c r="J4734" s="113" t="n"/>
      <c r="K4734" s="113" t="n"/>
      <c r="L4734" s="113" t="n"/>
      <c r="M4734" s="113" t="n"/>
      <c r="N4734" s="113" t="n"/>
      <c r="O4734" s="113" t="n"/>
      <c r="P4734" s="113" t="n"/>
      <c r="Q4734" s="113" t="n"/>
      <c r="R4734" s="113" t="n"/>
      <c r="S4734" s="113" t="n"/>
      <c r="T4734" s="113" t="n"/>
      <c r="U4734" s="113" t="n"/>
      <c r="V4734" s="113" t="n"/>
      <c r="W4734" s="113" t="n"/>
      <c r="X4734" s="113" t="n"/>
      <c r="Y4734" s="113" t="n"/>
      <c r="Z4734" s="117">
        <f>IF($B4734="",0,IF($S4734="EVET",IF($D4734="GELİR",$O4734,-$O4734),0))</f>
        <v/>
      </c>
      <c r="AA4734" s="117">
        <f>IF($B4734="",0,IF(OR($W4734="EVET",$X4734="EVET",$Y4734="EVET"),0,IF($D4734="GELİR",IF($E4734="SATIŞ İADESİ/İSKONTO",-$O4734,$O4734),-$O4734)))</f>
        <v/>
      </c>
      <c r="AB4734" s="117">
        <f>IF($B4734="","",IF(OR($D4734="",$E4734="",$O4734=""),"EKSİK",IF($O4734&lt;=0,"SIFIR/NEGATİF",IF(COUNTIFS($C$6:$C$5000,$C4734,$O$6:$O$5000,$O4734,$B$6:$B$5000,$B4734)&gt;1,"MÜKERRER","OK"))))</f>
        <v/>
      </c>
    </row>
    <row r="4735" ht="16.5" customHeight="1" s="80">
      <c r="A4735" s="113" t="n"/>
      <c r="B4735" s="113" t="n"/>
      <c r="C4735" s="113" t="n"/>
      <c r="D4735" s="113" t="n"/>
      <c r="E4735" s="113" t="n"/>
      <c r="F4735" s="113" t="n"/>
      <c r="G4735" s="113" t="n"/>
      <c r="H4735" s="113" t="n"/>
      <c r="I4735" s="113" t="n"/>
      <c r="J4735" s="113" t="n"/>
      <c r="K4735" s="113" t="n"/>
      <c r="L4735" s="113" t="n"/>
      <c r="M4735" s="113" t="n"/>
      <c r="N4735" s="113" t="n"/>
      <c r="O4735" s="113" t="n"/>
      <c r="P4735" s="113" t="n"/>
      <c r="Q4735" s="113" t="n"/>
      <c r="R4735" s="113" t="n"/>
      <c r="S4735" s="113" t="n"/>
      <c r="T4735" s="113" t="n"/>
      <c r="U4735" s="113" t="n"/>
      <c r="V4735" s="113" t="n"/>
      <c r="W4735" s="113" t="n"/>
      <c r="X4735" s="113" t="n"/>
      <c r="Y4735" s="113" t="n"/>
      <c r="Z4735" s="117">
        <f>IF($B4735="",0,IF($S4735="EVET",IF($D4735="GELİR",$O4735,-$O4735),0))</f>
        <v/>
      </c>
      <c r="AA4735" s="117">
        <f>IF($B4735="",0,IF(OR($W4735="EVET",$X4735="EVET",$Y4735="EVET"),0,IF($D4735="GELİR",IF($E4735="SATIŞ İADESİ/İSKONTO",-$O4735,$O4735),-$O4735)))</f>
        <v/>
      </c>
      <c r="AB4735" s="117">
        <f>IF($B4735="","",IF(OR($D4735="",$E4735="",$O4735=""),"EKSİK",IF($O4735&lt;=0,"SIFIR/NEGATİF",IF(COUNTIFS($C$6:$C$5000,$C4735,$O$6:$O$5000,$O4735,$B$6:$B$5000,$B4735)&gt;1,"MÜKERRER","OK"))))</f>
        <v/>
      </c>
    </row>
    <row r="4736" ht="16.5" customHeight="1" s="80">
      <c r="A4736" s="113" t="n"/>
      <c r="B4736" s="113" t="n"/>
      <c r="C4736" s="113" t="n"/>
      <c r="D4736" s="113" t="n"/>
      <c r="E4736" s="113" t="n"/>
      <c r="F4736" s="113" t="n"/>
      <c r="G4736" s="113" t="n"/>
      <c r="H4736" s="113" t="n"/>
      <c r="I4736" s="113" t="n"/>
      <c r="J4736" s="113" t="n"/>
      <c r="K4736" s="113" t="n"/>
      <c r="L4736" s="113" t="n"/>
      <c r="M4736" s="113" t="n"/>
      <c r="N4736" s="113" t="n"/>
      <c r="O4736" s="113" t="n"/>
      <c r="P4736" s="113" t="n"/>
      <c r="Q4736" s="113" t="n"/>
      <c r="R4736" s="113" t="n"/>
      <c r="S4736" s="113" t="n"/>
      <c r="T4736" s="113" t="n"/>
      <c r="U4736" s="113" t="n"/>
      <c r="V4736" s="113" t="n"/>
      <c r="W4736" s="113" t="n"/>
      <c r="X4736" s="113" t="n"/>
      <c r="Y4736" s="113" t="n"/>
      <c r="Z4736" s="117">
        <f>IF($B4736="",0,IF($S4736="EVET",IF($D4736="GELİR",$O4736,-$O4736),0))</f>
        <v/>
      </c>
      <c r="AA4736" s="117">
        <f>IF($B4736="",0,IF(OR($W4736="EVET",$X4736="EVET",$Y4736="EVET"),0,IF($D4736="GELİR",IF($E4736="SATIŞ İADESİ/İSKONTO",-$O4736,$O4736),-$O4736)))</f>
        <v/>
      </c>
      <c r="AB4736" s="117">
        <f>IF($B4736="","",IF(OR($D4736="",$E4736="",$O4736=""),"EKSİK",IF($O4736&lt;=0,"SIFIR/NEGATİF",IF(COUNTIFS($C$6:$C$5000,$C4736,$O$6:$O$5000,$O4736,$B$6:$B$5000,$B4736)&gt;1,"MÜKERRER","OK"))))</f>
        <v/>
      </c>
    </row>
    <row r="4737" ht="16.5" customHeight="1" s="80">
      <c r="A4737" s="113" t="n"/>
      <c r="B4737" s="113" t="n"/>
      <c r="C4737" s="113" t="n"/>
      <c r="D4737" s="113" t="n"/>
      <c r="E4737" s="113" t="n"/>
      <c r="F4737" s="113" t="n"/>
      <c r="G4737" s="113" t="n"/>
      <c r="H4737" s="113" t="n"/>
      <c r="I4737" s="113" t="n"/>
      <c r="J4737" s="113" t="n"/>
      <c r="K4737" s="113" t="n"/>
      <c r="L4737" s="113" t="n"/>
      <c r="M4737" s="113" t="n"/>
      <c r="N4737" s="113" t="n"/>
      <c r="O4737" s="113" t="n"/>
      <c r="P4737" s="113" t="n"/>
      <c r="Q4737" s="113" t="n"/>
      <c r="R4737" s="113" t="n"/>
      <c r="S4737" s="113" t="n"/>
      <c r="T4737" s="113" t="n"/>
      <c r="U4737" s="113" t="n"/>
      <c r="V4737" s="113" t="n"/>
      <c r="W4737" s="113" t="n"/>
      <c r="X4737" s="113" t="n"/>
      <c r="Y4737" s="113" t="n"/>
      <c r="Z4737" s="117">
        <f>IF($B4737="",0,IF($S4737="EVET",IF($D4737="GELİR",$O4737,-$O4737),0))</f>
        <v/>
      </c>
      <c r="AA4737" s="117">
        <f>IF($B4737="",0,IF(OR($W4737="EVET",$X4737="EVET",$Y4737="EVET"),0,IF($D4737="GELİR",IF($E4737="SATIŞ İADESİ/İSKONTO",-$O4737,$O4737),-$O4737)))</f>
        <v/>
      </c>
      <c r="AB4737" s="117">
        <f>IF($B4737="","",IF(OR($D4737="",$E4737="",$O4737=""),"EKSİK",IF($O4737&lt;=0,"SIFIR/NEGATİF",IF(COUNTIFS($C$6:$C$5000,$C4737,$O$6:$O$5000,$O4737,$B$6:$B$5000,$B4737)&gt;1,"MÜKERRER","OK"))))</f>
        <v/>
      </c>
    </row>
    <row r="4738" ht="16.5" customHeight="1" s="80">
      <c r="A4738" s="113" t="n"/>
      <c r="B4738" s="113" t="n"/>
      <c r="C4738" s="113" t="n"/>
      <c r="D4738" s="113" t="n"/>
      <c r="E4738" s="113" t="n"/>
      <c r="F4738" s="113" t="n"/>
      <c r="G4738" s="113" t="n"/>
      <c r="H4738" s="113" t="n"/>
      <c r="I4738" s="113" t="n"/>
      <c r="J4738" s="113" t="n"/>
      <c r="K4738" s="113" t="n"/>
      <c r="L4738" s="113" t="n"/>
      <c r="M4738" s="113" t="n"/>
      <c r="N4738" s="113" t="n"/>
      <c r="O4738" s="113" t="n"/>
      <c r="P4738" s="113" t="n"/>
      <c r="Q4738" s="113" t="n"/>
      <c r="R4738" s="113" t="n"/>
      <c r="S4738" s="113" t="n"/>
      <c r="T4738" s="113" t="n"/>
      <c r="U4738" s="113" t="n"/>
      <c r="V4738" s="113" t="n"/>
      <c r="W4738" s="113" t="n"/>
      <c r="X4738" s="113" t="n"/>
      <c r="Y4738" s="113" t="n"/>
      <c r="Z4738" s="117">
        <f>IF($B4738="",0,IF($S4738="EVET",IF($D4738="GELİR",$O4738,-$O4738),0))</f>
        <v/>
      </c>
      <c r="AA4738" s="117">
        <f>IF($B4738="",0,IF(OR($W4738="EVET",$X4738="EVET",$Y4738="EVET"),0,IF($D4738="GELİR",IF($E4738="SATIŞ İADESİ/İSKONTO",-$O4738,$O4738),-$O4738)))</f>
        <v/>
      </c>
      <c r="AB4738" s="117">
        <f>IF($B4738="","",IF(OR($D4738="",$E4738="",$O4738=""),"EKSİK",IF($O4738&lt;=0,"SIFIR/NEGATİF",IF(COUNTIFS($C$6:$C$5000,$C4738,$O$6:$O$5000,$O4738,$B$6:$B$5000,$B4738)&gt;1,"MÜKERRER","OK"))))</f>
        <v/>
      </c>
    </row>
    <row r="4739" ht="16.5" customHeight="1" s="80">
      <c r="A4739" s="113" t="n"/>
      <c r="B4739" s="113" t="n"/>
      <c r="C4739" s="113" t="n"/>
      <c r="D4739" s="113" t="n"/>
      <c r="E4739" s="113" t="n"/>
      <c r="F4739" s="113" t="n"/>
      <c r="G4739" s="113" t="n"/>
      <c r="H4739" s="113" t="n"/>
      <c r="I4739" s="113" t="n"/>
      <c r="J4739" s="113" t="n"/>
      <c r="K4739" s="113" t="n"/>
      <c r="L4739" s="113" t="n"/>
      <c r="M4739" s="113" t="n"/>
      <c r="N4739" s="113" t="n"/>
      <c r="O4739" s="113" t="n"/>
      <c r="P4739" s="113" t="n"/>
      <c r="Q4739" s="113" t="n"/>
      <c r="R4739" s="113" t="n"/>
      <c r="S4739" s="113" t="n"/>
      <c r="T4739" s="113" t="n"/>
      <c r="U4739" s="113" t="n"/>
      <c r="V4739" s="113" t="n"/>
      <c r="W4739" s="113" t="n"/>
      <c r="X4739" s="113" t="n"/>
      <c r="Y4739" s="113" t="n"/>
      <c r="Z4739" s="117">
        <f>IF($B4739="",0,IF($S4739="EVET",IF($D4739="GELİR",$O4739,-$O4739),0))</f>
        <v/>
      </c>
      <c r="AA4739" s="117">
        <f>IF($B4739="",0,IF(OR($W4739="EVET",$X4739="EVET",$Y4739="EVET"),0,IF($D4739="GELİR",IF($E4739="SATIŞ İADESİ/İSKONTO",-$O4739,$O4739),-$O4739)))</f>
        <v/>
      </c>
      <c r="AB4739" s="117">
        <f>IF($B4739="","",IF(OR($D4739="",$E4739="",$O4739=""),"EKSİK",IF($O4739&lt;=0,"SIFIR/NEGATİF",IF(COUNTIFS($C$6:$C$5000,$C4739,$O$6:$O$5000,$O4739,$B$6:$B$5000,$B4739)&gt;1,"MÜKERRER","OK"))))</f>
        <v/>
      </c>
    </row>
    <row r="4740" ht="16.5" customHeight="1" s="80">
      <c r="A4740" s="113" t="n"/>
      <c r="B4740" s="113" t="n"/>
      <c r="C4740" s="113" t="n"/>
      <c r="D4740" s="113" t="n"/>
      <c r="E4740" s="113" t="n"/>
      <c r="F4740" s="113" t="n"/>
      <c r="G4740" s="113" t="n"/>
      <c r="H4740" s="113" t="n"/>
      <c r="I4740" s="113" t="n"/>
      <c r="J4740" s="113" t="n"/>
      <c r="K4740" s="113" t="n"/>
      <c r="L4740" s="113" t="n"/>
      <c r="M4740" s="113" t="n"/>
      <c r="N4740" s="113" t="n"/>
      <c r="O4740" s="113" t="n"/>
      <c r="P4740" s="113" t="n"/>
      <c r="Q4740" s="113" t="n"/>
      <c r="R4740" s="113" t="n"/>
      <c r="S4740" s="113" t="n"/>
      <c r="T4740" s="113" t="n"/>
      <c r="U4740" s="113" t="n"/>
      <c r="V4740" s="113" t="n"/>
      <c r="W4740" s="113" t="n"/>
      <c r="X4740" s="113" t="n"/>
      <c r="Y4740" s="113" t="n"/>
      <c r="Z4740" s="117">
        <f>IF($B4740="",0,IF($S4740="EVET",IF($D4740="GELİR",$O4740,-$O4740),0))</f>
        <v/>
      </c>
      <c r="AA4740" s="117">
        <f>IF($B4740="",0,IF(OR($W4740="EVET",$X4740="EVET",$Y4740="EVET"),0,IF($D4740="GELİR",IF($E4740="SATIŞ İADESİ/İSKONTO",-$O4740,$O4740),-$O4740)))</f>
        <v/>
      </c>
      <c r="AB4740" s="117">
        <f>IF($B4740="","",IF(OR($D4740="",$E4740="",$O4740=""),"EKSİK",IF($O4740&lt;=0,"SIFIR/NEGATİF",IF(COUNTIFS($C$6:$C$5000,$C4740,$O$6:$O$5000,$O4740,$B$6:$B$5000,$B4740)&gt;1,"MÜKERRER","OK"))))</f>
        <v/>
      </c>
    </row>
    <row r="4741" ht="16.5" customHeight="1" s="80">
      <c r="A4741" s="113" t="n"/>
      <c r="B4741" s="113" t="n"/>
      <c r="C4741" s="113" t="n"/>
      <c r="D4741" s="113" t="n"/>
      <c r="E4741" s="113" t="n"/>
      <c r="F4741" s="113" t="n"/>
      <c r="G4741" s="113" t="n"/>
      <c r="H4741" s="113" t="n"/>
      <c r="I4741" s="113" t="n"/>
      <c r="J4741" s="113" t="n"/>
      <c r="K4741" s="113" t="n"/>
      <c r="L4741" s="113" t="n"/>
      <c r="M4741" s="113" t="n"/>
      <c r="N4741" s="113" t="n"/>
      <c r="O4741" s="113" t="n"/>
      <c r="P4741" s="113" t="n"/>
      <c r="Q4741" s="113" t="n"/>
      <c r="R4741" s="113" t="n"/>
      <c r="S4741" s="113" t="n"/>
      <c r="T4741" s="113" t="n"/>
      <c r="U4741" s="113" t="n"/>
      <c r="V4741" s="113" t="n"/>
      <c r="W4741" s="113" t="n"/>
      <c r="X4741" s="113" t="n"/>
      <c r="Y4741" s="113" t="n"/>
      <c r="Z4741" s="117">
        <f>IF($B4741="",0,IF($S4741="EVET",IF($D4741="GELİR",$O4741,-$O4741),0))</f>
        <v/>
      </c>
      <c r="AA4741" s="117">
        <f>IF($B4741="",0,IF(OR($W4741="EVET",$X4741="EVET",$Y4741="EVET"),0,IF($D4741="GELİR",IF($E4741="SATIŞ İADESİ/İSKONTO",-$O4741,$O4741),-$O4741)))</f>
        <v/>
      </c>
      <c r="AB4741" s="117">
        <f>IF($B4741="","",IF(OR($D4741="",$E4741="",$O4741=""),"EKSİK",IF($O4741&lt;=0,"SIFIR/NEGATİF",IF(COUNTIFS($C$6:$C$5000,$C4741,$O$6:$O$5000,$O4741,$B$6:$B$5000,$B4741)&gt;1,"MÜKERRER","OK"))))</f>
        <v/>
      </c>
    </row>
    <row r="4742" ht="16.5" customHeight="1" s="80">
      <c r="A4742" s="113" t="n"/>
      <c r="B4742" s="113" t="n"/>
      <c r="C4742" s="113" t="n"/>
      <c r="D4742" s="113" t="n"/>
      <c r="E4742" s="113" t="n"/>
      <c r="F4742" s="113" t="n"/>
      <c r="G4742" s="113" t="n"/>
      <c r="H4742" s="113" t="n"/>
      <c r="I4742" s="113" t="n"/>
      <c r="J4742" s="113" t="n"/>
      <c r="K4742" s="113" t="n"/>
      <c r="L4742" s="113" t="n"/>
      <c r="M4742" s="113" t="n"/>
      <c r="N4742" s="113" t="n"/>
      <c r="O4742" s="113" t="n"/>
      <c r="P4742" s="113" t="n"/>
      <c r="Q4742" s="113" t="n"/>
      <c r="R4742" s="113" t="n"/>
      <c r="S4742" s="113" t="n"/>
      <c r="T4742" s="113" t="n"/>
      <c r="U4742" s="113" t="n"/>
      <c r="V4742" s="113" t="n"/>
      <c r="W4742" s="113" t="n"/>
      <c r="X4742" s="113" t="n"/>
      <c r="Y4742" s="113" t="n"/>
      <c r="Z4742" s="117">
        <f>IF($B4742="",0,IF($S4742="EVET",IF($D4742="GELİR",$O4742,-$O4742),0))</f>
        <v/>
      </c>
      <c r="AA4742" s="117">
        <f>IF($B4742="",0,IF(OR($W4742="EVET",$X4742="EVET",$Y4742="EVET"),0,IF($D4742="GELİR",IF($E4742="SATIŞ İADESİ/İSKONTO",-$O4742,$O4742),-$O4742)))</f>
        <v/>
      </c>
      <c r="AB4742" s="117">
        <f>IF($B4742="","",IF(OR($D4742="",$E4742="",$O4742=""),"EKSİK",IF($O4742&lt;=0,"SIFIR/NEGATİF",IF(COUNTIFS($C$6:$C$5000,$C4742,$O$6:$O$5000,$O4742,$B$6:$B$5000,$B4742)&gt;1,"MÜKERRER","OK"))))</f>
        <v/>
      </c>
    </row>
    <row r="4743" ht="16.5" customHeight="1" s="80">
      <c r="A4743" s="113" t="n"/>
      <c r="B4743" s="113" t="n"/>
      <c r="C4743" s="113" t="n"/>
      <c r="D4743" s="113" t="n"/>
      <c r="E4743" s="113" t="n"/>
      <c r="F4743" s="113" t="n"/>
      <c r="G4743" s="113" t="n"/>
      <c r="H4743" s="113" t="n"/>
      <c r="I4743" s="113" t="n"/>
      <c r="J4743" s="113" t="n"/>
      <c r="K4743" s="113" t="n"/>
      <c r="L4743" s="113" t="n"/>
      <c r="M4743" s="113" t="n"/>
      <c r="N4743" s="113" t="n"/>
      <c r="O4743" s="113" t="n"/>
      <c r="P4743" s="113" t="n"/>
      <c r="Q4743" s="113" t="n"/>
      <c r="R4743" s="113" t="n"/>
      <c r="S4743" s="113" t="n"/>
      <c r="T4743" s="113" t="n"/>
      <c r="U4743" s="113" t="n"/>
      <c r="V4743" s="113" t="n"/>
      <c r="W4743" s="113" t="n"/>
      <c r="X4743" s="113" t="n"/>
      <c r="Y4743" s="113" t="n"/>
      <c r="Z4743" s="117">
        <f>IF($B4743="",0,IF($S4743="EVET",IF($D4743="GELİR",$O4743,-$O4743),0))</f>
        <v/>
      </c>
      <c r="AA4743" s="117">
        <f>IF($B4743="",0,IF(OR($W4743="EVET",$X4743="EVET",$Y4743="EVET"),0,IF($D4743="GELİR",IF($E4743="SATIŞ İADESİ/İSKONTO",-$O4743,$O4743),-$O4743)))</f>
        <v/>
      </c>
      <c r="AB4743" s="117">
        <f>IF($B4743="","",IF(OR($D4743="",$E4743="",$O4743=""),"EKSİK",IF($O4743&lt;=0,"SIFIR/NEGATİF",IF(COUNTIFS($C$6:$C$5000,$C4743,$O$6:$O$5000,$O4743,$B$6:$B$5000,$B4743)&gt;1,"MÜKERRER","OK"))))</f>
        <v/>
      </c>
    </row>
    <row r="4744" ht="16.5" customHeight="1" s="80">
      <c r="A4744" s="113" t="n"/>
      <c r="B4744" s="113" t="n"/>
      <c r="C4744" s="113" t="n"/>
      <c r="D4744" s="113" t="n"/>
      <c r="E4744" s="113" t="n"/>
      <c r="F4744" s="113" t="n"/>
      <c r="G4744" s="113" t="n"/>
      <c r="H4744" s="113" t="n"/>
      <c r="I4744" s="113" t="n"/>
      <c r="J4744" s="113" t="n"/>
      <c r="K4744" s="113" t="n"/>
      <c r="L4744" s="113" t="n"/>
      <c r="M4744" s="113" t="n"/>
      <c r="N4744" s="113" t="n"/>
      <c r="O4744" s="113" t="n"/>
      <c r="P4744" s="113" t="n"/>
      <c r="Q4744" s="113" t="n"/>
      <c r="R4744" s="113" t="n"/>
      <c r="S4744" s="113" t="n"/>
      <c r="T4744" s="113" t="n"/>
      <c r="U4744" s="113" t="n"/>
      <c r="V4744" s="113" t="n"/>
      <c r="W4744" s="113" t="n"/>
      <c r="X4744" s="113" t="n"/>
      <c r="Y4744" s="113" t="n"/>
      <c r="Z4744" s="117">
        <f>IF($B4744="",0,IF($S4744="EVET",IF($D4744="GELİR",$O4744,-$O4744),0))</f>
        <v/>
      </c>
      <c r="AA4744" s="117">
        <f>IF($B4744="",0,IF(OR($W4744="EVET",$X4744="EVET",$Y4744="EVET"),0,IF($D4744="GELİR",IF($E4744="SATIŞ İADESİ/İSKONTO",-$O4744,$O4744),-$O4744)))</f>
        <v/>
      </c>
      <c r="AB4744" s="117">
        <f>IF($B4744="","",IF(OR($D4744="",$E4744="",$O4744=""),"EKSİK",IF($O4744&lt;=0,"SIFIR/NEGATİF",IF(COUNTIFS($C$6:$C$5000,$C4744,$O$6:$O$5000,$O4744,$B$6:$B$5000,$B4744)&gt;1,"MÜKERRER","OK"))))</f>
        <v/>
      </c>
    </row>
    <row r="4745" ht="16.5" customHeight="1" s="80">
      <c r="A4745" s="113" t="n"/>
      <c r="B4745" s="113" t="n"/>
      <c r="C4745" s="113" t="n"/>
      <c r="D4745" s="113" t="n"/>
      <c r="E4745" s="113" t="n"/>
      <c r="F4745" s="113" t="n"/>
      <c r="G4745" s="113" t="n"/>
      <c r="H4745" s="113" t="n"/>
      <c r="I4745" s="113" t="n"/>
      <c r="J4745" s="113" t="n"/>
      <c r="K4745" s="113" t="n"/>
      <c r="L4745" s="113" t="n"/>
      <c r="M4745" s="113" t="n"/>
      <c r="N4745" s="113" t="n"/>
      <c r="O4745" s="113" t="n"/>
      <c r="P4745" s="113" t="n"/>
      <c r="Q4745" s="113" t="n"/>
      <c r="R4745" s="113" t="n"/>
      <c r="S4745" s="113" t="n"/>
      <c r="T4745" s="113" t="n"/>
      <c r="U4745" s="113" t="n"/>
      <c r="V4745" s="113" t="n"/>
      <c r="W4745" s="113" t="n"/>
      <c r="X4745" s="113" t="n"/>
      <c r="Y4745" s="113" t="n"/>
      <c r="Z4745" s="117">
        <f>IF($B4745="",0,IF($S4745="EVET",IF($D4745="GELİR",$O4745,-$O4745),0))</f>
        <v/>
      </c>
      <c r="AA4745" s="117">
        <f>IF($B4745="",0,IF(OR($W4745="EVET",$X4745="EVET",$Y4745="EVET"),0,IF($D4745="GELİR",IF($E4745="SATIŞ İADESİ/İSKONTO",-$O4745,$O4745),-$O4745)))</f>
        <v/>
      </c>
      <c r="AB4745" s="117">
        <f>IF($B4745="","",IF(OR($D4745="",$E4745="",$O4745=""),"EKSİK",IF($O4745&lt;=0,"SIFIR/NEGATİF",IF(COUNTIFS($C$6:$C$5000,$C4745,$O$6:$O$5000,$O4745,$B$6:$B$5000,$B4745)&gt;1,"MÜKERRER","OK"))))</f>
        <v/>
      </c>
    </row>
    <row r="4746" ht="16.5" customHeight="1" s="80">
      <c r="A4746" s="113" t="n"/>
      <c r="B4746" s="113" t="n"/>
      <c r="C4746" s="113" t="n"/>
      <c r="D4746" s="113" t="n"/>
      <c r="E4746" s="113" t="n"/>
      <c r="F4746" s="113" t="n"/>
      <c r="G4746" s="113" t="n"/>
      <c r="H4746" s="113" t="n"/>
      <c r="I4746" s="113" t="n"/>
      <c r="J4746" s="113" t="n"/>
      <c r="K4746" s="113" t="n"/>
      <c r="L4746" s="113" t="n"/>
      <c r="M4746" s="113" t="n"/>
      <c r="N4746" s="113" t="n"/>
      <c r="O4746" s="113" t="n"/>
      <c r="P4746" s="113" t="n"/>
      <c r="Q4746" s="113" t="n"/>
      <c r="R4746" s="113" t="n"/>
      <c r="S4746" s="113" t="n"/>
      <c r="T4746" s="113" t="n"/>
      <c r="U4746" s="113" t="n"/>
      <c r="V4746" s="113" t="n"/>
      <c r="W4746" s="113" t="n"/>
      <c r="X4746" s="113" t="n"/>
      <c r="Y4746" s="113" t="n"/>
      <c r="Z4746" s="117">
        <f>IF($B4746="",0,IF($S4746="EVET",IF($D4746="GELİR",$O4746,-$O4746),0))</f>
        <v/>
      </c>
      <c r="AA4746" s="117">
        <f>IF($B4746="",0,IF(OR($W4746="EVET",$X4746="EVET",$Y4746="EVET"),0,IF($D4746="GELİR",IF($E4746="SATIŞ İADESİ/İSKONTO",-$O4746,$O4746),-$O4746)))</f>
        <v/>
      </c>
      <c r="AB4746" s="117">
        <f>IF($B4746="","",IF(OR($D4746="",$E4746="",$O4746=""),"EKSİK",IF($O4746&lt;=0,"SIFIR/NEGATİF",IF(COUNTIFS($C$6:$C$5000,$C4746,$O$6:$O$5000,$O4746,$B$6:$B$5000,$B4746)&gt;1,"MÜKERRER","OK"))))</f>
        <v/>
      </c>
    </row>
    <row r="4747" ht="16.5" customHeight="1" s="80">
      <c r="A4747" s="113" t="n"/>
      <c r="B4747" s="113" t="n"/>
      <c r="C4747" s="113" t="n"/>
      <c r="D4747" s="113" t="n"/>
      <c r="E4747" s="113" t="n"/>
      <c r="F4747" s="113" t="n"/>
      <c r="G4747" s="113" t="n"/>
      <c r="H4747" s="113" t="n"/>
      <c r="I4747" s="113" t="n"/>
      <c r="J4747" s="113" t="n"/>
      <c r="K4747" s="113" t="n"/>
      <c r="L4747" s="113" t="n"/>
      <c r="M4747" s="113" t="n"/>
      <c r="N4747" s="113" t="n"/>
      <c r="O4747" s="113" t="n"/>
      <c r="P4747" s="113" t="n"/>
      <c r="Q4747" s="113" t="n"/>
      <c r="R4747" s="113" t="n"/>
      <c r="S4747" s="113" t="n"/>
      <c r="T4747" s="113" t="n"/>
      <c r="U4747" s="113" t="n"/>
      <c r="V4747" s="113" t="n"/>
      <c r="W4747" s="113" t="n"/>
      <c r="X4747" s="113" t="n"/>
      <c r="Y4747" s="113" t="n"/>
      <c r="Z4747" s="117">
        <f>IF($B4747="",0,IF($S4747="EVET",IF($D4747="GELİR",$O4747,-$O4747),0))</f>
        <v/>
      </c>
      <c r="AA4747" s="117">
        <f>IF($B4747="",0,IF(OR($W4747="EVET",$X4747="EVET",$Y4747="EVET"),0,IF($D4747="GELİR",IF($E4747="SATIŞ İADESİ/İSKONTO",-$O4747,$O4747),-$O4747)))</f>
        <v/>
      </c>
      <c r="AB4747" s="117">
        <f>IF($B4747="","",IF(OR($D4747="",$E4747="",$O4747=""),"EKSİK",IF($O4747&lt;=0,"SIFIR/NEGATİF",IF(COUNTIFS($C$6:$C$5000,$C4747,$O$6:$O$5000,$O4747,$B$6:$B$5000,$B4747)&gt;1,"MÜKERRER","OK"))))</f>
        <v/>
      </c>
    </row>
    <row r="4748" ht="16.5" customHeight="1" s="80">
      <c r="A4748" s="113" t="n"/>
      <c r="B4748" s="113" t="n"/>
      <c r="C4748" s="113" t="n"/>
      <c r="D4748" s="113" t="n"/>
      <c r="E4748" s="113" t="n"/>
      <c r="F4748" s="113" t="n"/>
      <c r="G4748" s="113" t="n"/>
      <c r="H4748" s="113" t="n"/>
      <c r="I4748" s="113" t="n"/>
      <c r="J4748" s="113" t="n"/>
      <c r="K4748" s="113" t="n"/>
      <c r="L4748" s="113" t="n"/>
      <c r="M4748" s="113" t="n"/>
      <c r="N4748" s="113" t="n"/>
      <c r="O4748" s="113" t="n"/>
      <c r="P4748" s="113" t="n"/>
      <c r="Q4748" s="113" t="n"/>
      <c r="R4748" s="113" t="n"/>
      <c r="S4748" s="113" t="n"/>
      <c r="T4748" s="113" t="n"/>
      <c r="U4748" s="113" t="n"/>
      <c r="V4748" s="113" t="n"/>
      <c r="W4748" s="113" t="n"/>
      <c r="X4748" s="113" t="n"/>
      <c r="Y4748" s="113" t="n"/>
      <c r="Z4748" s="117">
        <f>IF($B4748="",0,IF($S4748="EVET",IF($D4748="GELİR",$O4748,-$O4748),0))</f>
        <v/>
      </c>
      <c r="AA4748" s="117">
        <f>IF($B4748="",0,IF(OR($W4748="EVET",$X4748="EVET",$Y4748="EVET"),0,IF($D4748="GELİR",IF($E4748="SATIŞ İADESİ/İSKONTO",-$O4748,$O4748),-$O4748)))</f>
        <v/>
      </c>
      <c r="AB4748" s="117">
        <f>IF($B4748="","",IF(OR($D4748="",$E4748="",$O4748=""),"EKSİK",IF($O4748&lt;=0,"SIFIR/NEGATİF",IF(COUNTIFS($C$6:$C$5000,$C4748,$O$6:$O$5000,$O4748,$B$6:$B$5000,$B4748)&gt;1,"MÜKERRER","OK"))))</f>
        <v/>
      </c>
    </row>
    <row r="4749" ht="16.5" customHeight="1" s="80">
      <c r="A4749" s="113" t="n"/>
      <c r="B4749" s="113" t="n"/>
      <c r="C4749" s="113" t="n"/>
      <c r="D4749" s="113" t="n"/>
      <c r="E4749" s="113" t="n"/>
      <c r="F4749" s="113" t="n"/>
      <c r="G4749" s="113" t="n"/>
      <c r="H4749" s="113" t="n"/>
      <c r="I4749" s="113" t="n"/>
      <c r="J4749" s="113" t="n"/>
      <c r="K4749" s="113" t="n"/>
      <c r="L4749" s="113" t="n"/>
      <c r="M4749" s="113" t="n"/>
      <c r="N4749" s="113" t="n"/>
      <c r="O4749" s="113" t="n"/>
      <c r="P4749" s="113" t="n"/>
      <c r="Q4749" s="113" t="n"/>
      <c r="R4749" s="113" t="n"/>
      <c r="S4749" s="113" t="n"/>
      <c r="T4749" s="113" t="n"/>
      <c r="U4749" s="113" t="n"/>
      <c r="V4749" s="113" t="n"/>
      <c r="W4749" s="113" t="n"/>
      <c r="X4749" s="113" t="n"/>
      <c r="Y4749" s="113" t="n"/>
      <c r="Z4749" s="117">
        <f>IF($B4749="",0,IF($S4749="EVET",IF($D4749="GELİR",$O4749,-$O4749),0))</f>
        <v/>
      </c>
      <c r="AA4749" s="117">
        <f>IF($B4749="",0,IF(OR($W4749="EVET",$X4749="EVET",$Y4749="EVET"),0,IF($D4749="GELİR",IF($E4749="SATIŞ İADESİ/İSKONTO",-$O4749,$O4749),-$O4749)))</f>
        <v/>
      </c>
      <c r="AB4749" s="117">
        <f>IF($B4749="","",IF(OR($D4749="",$E4749="",$O4749=""),"EKSİK",IF($O4749&lt;=0,"SIFIR/NEGATİF",IF(COUNTIFS($C$6:$C$5000,$C4749,$O$6:$O$5000,$O4749,$B$6:$B$5000,$B4749)&gt;1,"MÜKERRER","OK"))))</f>
        <v/>
      </c>
    </row>
    <row r="4750" ht="16.5" customHeight="1" s="80">
      <c r="A4750" s="113" t="n"/>
      <c r="B4750" s="113" t="n"/>
      <c r="C4750" s="113" t="n"/>
      <c r="D4750" s="113" t="n"/>
      <c r="E4750" s="113" t="n"/>
      <c r="F4750" s="113" t="n"/>
      <c r="G4750" s="113" t="n"/>
      <c r="H4750" s="113" t="n"/>
      <c r="I4750" s="113" t="n"/>
      <c r="J4750" s="113" t="n"/>
      <c r="K4750" s="113" t="n"/>
      <c r="L4750" s="113" t="n"/>
      <c r="M4750" s="113" t="n"/>
      <c r="N4750" s="113" t="n"/>
      <c r="O4750" s="113" t="n"/>
      <c r="P4750" s="113" t="n"/>
      <c r="Q4750" s="113" t="n"/>
      <c r="R4750" s="113" t="n"/>
      <c r="S4750" s="113" t="n"/>
      <c r="T4750" s="113" t="n"/>
      <c r="U4750" s="113" t="n"/>
      <c r="V4750" s="113" t="n"/>
      <c r="W4750" s="113" t="n"/>
      <c r="X4750" s="113" t="n"/>
      <c r="Y4750" s="113" t="n"/>
      <c r="Z4750" s="117">
        <f>IF($B4750="",0,IF($S4750="EVET",IF($D4750="GELİR",$O4750,-$O4750),0))</f>
        <v/>
      </c>
      <c r="AA4750" s="117">
        <f>IF($B4750="",0,IF(OR($W4750="EVET",$X4750="EVET",$Y4750="EVET"),0,IF($D4750="GELİR",IF($E4750="SATIŞ İADESİ/İSKONTO",-$O4750,$O4750),-$O4750)))</f>
        <v/>
      </c>
      <c r="AB4750" s="117">
        <f>IF($B4750="","",IF(OR($D4750="",$E4750="",$O4750=""),"EKSİK",IF($O4750&lt;=0,"SIFIR/NEGATİF",IF(COUNTIFS($C$6:$C$5000,$C4750,$O$6:$O$5000,$O4750,$B$6:$B$5000,$B4750)&gt;1,"MÜKERRER","OK"))))</f>
        <v/>
      </c>
    </row>
    <row r="4751" ht="16.5" customHeight="1" s="80">
      <c r="A4751" s="113" t="n"/>
      <c r="B4751" s="113" t="n"/>
      <c r="C4751" s="113" t="n"/>
      <c r="D4751" s="113" t="n"/>
      <c r="E4751" s="113" t="n"/>
      <c r="F4751" s="113" t="n"/>
      <c r="G4751" s="113" t="n"/>
      <c r="H4751" s="113" t="n"/>
      <c r="I4751" s="113" t="n"/>
      <c r="J4751" s="113" t="n"/>
      <c r="K4751" s="113" t="n"/>
      <c r="L4751" s="113" t="n"/>
      <c r="M4751" s="113" t="n"/>
      <c r="N4751" s="113" t="n"/>
      <c r="O4751" s="113" t="n"/>
      <c r="P4751" s="113" t="n"/>
      <c r="Q4751" s="113" t="n"/>
      <c r="R4751" s="113" t="n"/>
      <c r="S4751" s="113" t="n"/>
      <c r="T4751" s="113" t="n"/>
      <c r="U4751" s="113" t="n"/>
      <c r="V4751" s="113" t="n"/>
      <c r="W4751" s="113" t="n"/>
      <c r="X4751" s="113" t="n"/>
      <c r="Y4751" s="113" t="n"/>
      <c r="Z4751" s="117">
        <f>IF($B4751="",0,IF($S4751="EVET",IF($D4751="GELİR",$O4751,-$O4751),0))</f>
        <v/>
      </c>
      <c r="AA4751" s="117">
        <f>IF($B4751="",0,IF(OR($W4751="EVET",$X4751="EVET",$Y4751="EVET"),0,IF($D4751="GELİR",IF($E4751="SATIŞ İADESİ/İSKONTO",-$O4751,$O4751),-$O4751)))</f>
        <v/>
      </c>
      <c r="AB4751" s="117">
        <f>IF($B4751="","",IF(OR($D4751="",$E4751="",$O4751=""),"EKSİK",IF($O4751&lt;=0,"SIFIR/NEGATİF",IF(COUNTIFS($C$6:$C$5000,$C4751,$O$6:$O$5000,$O4751,$B$6:$B$5000,$B4751)&gt;1,"MÜKERRER","OK"))))</f>
        <v/>
      </c>
    </row>
    <row r="4752" ht="16.5" customHeight="1" s="80">
      <c r="A4752" s="113" t="n"/>
      <c r="B4752" s="113" t="n"/>
      <c r="C4752" s="113" t="n"/>
      <c r="D4752" s="113" t="n"/>
      <c r="E4752" s="113" t="n"/>
      <c r="F4752" s="113" t="n"/>
      <c r="G4752" s="113" t="n"/>
      <c r="H4752" s="113" t="n"/>
      <c r="I4752" s="113" t="n"/>
      <c r="J4752" s="113" t="n"/>
      <c r="K4752" s="113" t="n"/>
      <c r="L4752" s="113" t="n"/>
      <c r="M4752" s="113" t="n"/>
      <c r="N4752" s="113" t="n"/>
      <c r="O4752" s="113" t="n"/>
      <c r="P4752" s="113" t="n"/>
      <c r="Q4752" s="113" t="n"/>
      <c r="R4752" s="113" t="n"/>
      <c r="S4752" s="113" t="n"/>
      <c r="T4752" s="113" t="n"/>
      <c r="U4752" s="113" t="n"/>
      <c r="V4752" s="113" t="n"/>
      <c r="W4752" s="113" t="n"/>
      <c r="X4752" s="113" t="n"/>
      <c r="Y4752" s="113" t="n"/>
      <c r="Z4752" s="117">
        <f>IF($B4752="",0,IF($S4752="EVET",IF($D4752="GELİR",$O4752,-$O4752),0))</f>
        <v/>
      </c>
      <c r="AA4752" s="117">
        <f>IF($B4752="",0,IF(OR($W4752="EVET",$X4752="EVET",$Y4752="EVET"),0,IF($D4752="GELİR",IF($E4752="SATIŞ İADESİ/İSKONTO",-$O4752,$O4752),-$O4752)))</f>
        <v/>
      </c>
      <c r="AB4752" s="117">
        <f>IF($B4752="","",IF(OR($D4752="",$E4752="",$O4752=""),"EKSİK",IF($O4752&lt;=0,"SIFIR/NEGATİF",IF(COUNTIFS($C$6:$C$5000,$C4752,$O$6:$O$5000,$O4752,$B$6:$B$5000,$B4752)&gt;1,"MÜKERRER","OK"))))</f>
        <v/>
      </c>
    </row>
    <row r="4753" ht="16.5" customHeight="1" s="80">
      <c r="A4753" s="113" t="n"/>
      <c r="B4753" s="113" t="n"/>
      <c r="C4753" s="113" t="n"/>
      <c r="D4753" s="113" t="n"/>
      <c r="E4753" s="113" t="n"/>
      <c r="F4753" s="113" t="n"/>
      <c r="G4753" s="113" t="n"/>
      <c r="H4753" s="113" t="n"/>
      <c r="I4753" s="113" t="n"/>
      <c r="J4753" s="113" t="n"/>
      <c r="K4753" s="113" t="n"/>
      <c r="L4753" s="113" t="n"/>
      <c r="M4753" s="113" t="n"/>
      <c r="N4753" s="113" t="n"/>
      <c r="O4753" s="113" t="n"/>
      <c r="P4753" s="113" t="n"/>
      <c r="Q4753" s="113" t="n"/>
      <c r="R4753" s="113" t="n"/>
      <c r="S4753" s="113" t="n"/>
      <c r="T4753" s="113" t="n"/>
      <c r="U4753" s="113" t="n"/>
      <c r="V4753" s="113" t="n"/>
      <c r="W4753" s="113" t="n"/>
      <c r="X4753" s="113" t="n"/>
      <c r="Y4753" s="113" t="n"/>
      <c r="Z4753" s="117">
        <f>IF($B4753="",0,IF($S4753="EVET",IF($D4753="GELİR",$O4753,-$O4753),0))</f>
        <v/>
      </c>
      <c r="AA4753" s="117">
        <f>IF($B4753="",0,IF(OR($W4753="EVET",$X4753="EVET",$Y4753="EVET"),0,IF($D4753="GELİR",IF($E4753="SATIŞ İADESİ/İSKONTO",-$O4753,$O4753),-$O4753)))</f>
        <v/>
      </c>
      <c r="AB4753" s="117">
        <f>IF($B4753="","",IF(OR($D4753="",$E4753="",$O4753=""),"EKSİK",IF($O4753&lt;=0,"SIFIR/NEGATİF",IF(COUNTIFS($C$6:$C$5000,$C4753,$O$6:$O$5000,$O4753,$B$6:$B$5000,$B4753)&gt;1,"MÜKERRER","OK"))))</f>
        <v/>
      </c>
    </row>
    <row r="4754" ht="16.5" customHeight="1" s="80">
      <c r="A4754" s="113" t="n"/>
      <c r="B4754" s="113" t="n"/>
      <c r="C4754" s="113" t="n"/>
      <c r="D4754" s="113" t="n"/>
      <c r="E4754" s="113" t="n"/>
      <c r="F4754" s="113" t="n"/>
      <c r="G4754" s="113" t="n"/>
      <c r="H4754" s="113" t="n"/>
      <c r="I4754" s="113" t="n"/>
      <c r="J4754" s="113" t="n"/>
      <c r="K4754" s="113" t="n"/>
      <c r="L4754" s="113" t="n"/>
      <c r="M4754" s="113" t="n"/>
      <c r="N4754" s="113" t="n"/>
      <c r="O4754" s="113" t="n"/>
      <c r="P4754" s="113" t="n"/>
      <c r="Q4754" s="113" t="n"/>
      <c r="R4754" s="113" t="n"/>
      <c r="S4754" s="113" t="n"/>
      <c r="T4754" s="113" t="n"/>
      <c r="U4754" s="113" t="n"/>
      <c r="V4754" s="113" t="n"/>
      <c r="W4754" s="113" t="n"/>
      <c r="X4754" s="113" t="n"/>
      <c r="Y4754" s="113" t="n"/>
      <c r="Z4754" s="117">
        <f>IF($B4754="",0,IF($S4754="EVET",IF($D4754="GELİR",$O4754,-$O4754),0))</f>
        <v/>
      </c>
      <c r="AA4754" s="117">
        <f>IF($B4754="",0,IF(OR($W4754="EVET",$X4754="EVET",$Y4754="EVET"),0,IF($D4754="GELİR",IF($E4754="SATIŞ İADESİ/İSKONTO",-$O4754,$O4754),-$O4754)))</f>
        <v/>
      </c>
      <c r="AB4754" s="117">
        <f>IF($B4754="","",IF(OR($D4754="",$E4754="",$O4754=""),"EKSİK",IF($O4754&lt;=0,"SIFIR/NEGATİF",IF(COUNTIFS($C$6:$C$5000,$C4754,$O$6:$O$5000,$O4754,$B$6:$B$5000,$B4754)&gt;1,"MÜKERRER","OK"))))</f>
        <v/>
      </c>
    </row>
    <row r="4755" ht="16.5" customHeight="1" s="80">
      <c r="A4755" s="113" t="n"/>
      <c r="B4755" s="113" t="n"/>
      <c r="C4755" s="113" t="n"/>
      <c r="D4755" s="113" t="n"/>
      <c r="E4755" s="113" t="n"/>
      <c r="F4755" s="113" t="n"/>
      <c r="G4755" s="113" t="n"/>
      <c r="H4755" s="113" t="n"/>
      <c r="I4755" s="113" t="n"/>
      <c r="J4755" s="113" t="n"/>
      <c r="K4755" s="113" t="n"/>
      <c r="L4755" s="113" t="n"/>
      <c r="M4755" s="113" t="n"/>
      <c r="N4755" s="113" t="n"/>
      <c r="O4755" s="113" t="n"/>
      <c r="P4755" s="113" t="n"/>
      <c r="Q4755" s="113" t="n"/>
      <c r="R4755" s="113" t="n"/>
      <c r="S4755" s="113" t="n"/>
      <c r="T4755" s="113" t="n"/>
      <c r="U4755" s="113" t="n"/>
      <c r="V4755" s="113" t="n"/>
      <c r="W4755" s="113" t="n"/>
      <c r="X4755" s="113" t="n"/>
      <c r="Y4755" s="113" t="n"/>
      <c r="Z4755" s="117">
        <f>IF($B4755="",0,IF($S4755="EVET",IF($D4755="GELİR",$O4755,-$O4755),0))</f>
        <v/>
      </c>
      <c r="AA4755" s="117">
        <f>IF($B4755="",0,IF(OR($W4755="EVET",$X4755="EVET",$Y4755="EVET"),0,IF($D4755="GELİR",IF($E4755="SATIŞ İADESİ/İSKONTO",-$O4755,$O4755),-$O4755)))</f>
        <v/>
      </c>
      <c r="AB4755" s="117">
        <f>IF($B4755="","",IF(OR($D4755="",$E4755="",$O4755=""),"EKSİK",IF($O4755&lt;=0,"SIFIR/NEGATİF",IF(COUNTIFS($C$6:$C$5000,$C4755,$O$6:$O$5000,$O4755,$B$6:$B$5000,$B4755)&gt;1,"MÜKERRER","OK"))))</f>
        <v/>
      </c>
    </row>
    <row r="4756" ht="16.5" customHeight="1" s="80">
      <c r="A4756" s="113" t="n"/>
      <c r="B4756" s="113" t="n"/>
      <c r="C4756" s="113" t="n"/>
      <c r="D4756" s="113" t="n"/>
      <c r="E4756" s="113" t="n"/>
      <c r="F4756" s="113" t="n"/>
      <c r="G4756" s="113" t="n"/>
      <c r="H4756" s="113" t="n"/>
      <c r="I4756" s="113" t="n"/>
      <c r="J4756" s="113" t="n"/>
      <c r="K4756" s="113" t="n"/>
      <c r="L4756" s="113" t="n"/>
      <c r="M4756" s="113" t="n"/>
      <c r="N4756" s="113" t="n"/>
      <c r="O4756" s="113" t="n"/>
      <c r="P4756" s="113" t="n"/>
      <c r="Q4756" s="113" t="n"/>
      <c r="R4756" s="113" t="n"/>
      <c r="S4756" s="113" t="n"/>
      <c r="T4756" s="113" t="n"/>
      <c r="U4756" s="113" t="n"/>
      <c r="V4756" s="113" t="n"/>
      <c r="W4756" s="113" t="n"/>
      <c r="X4756" s="113" t="n"/>
      <c r="Y4756" s="113" t="n"/>
      <c r="Z4756" s="117">
        <f>IF($B4756="",0,IF($S4756="EVET",IF($D4756="GELİR",$O4756,-$O4756),0))</f>
        <v/>
      </c>
      <c r="AA4756" s="117">
        <f>IF($B4756="",0,IF(OR($W4756="EVET",$X4756="EVET",$Y4756="EVET"),0,IF($D4756="GELİR",IF($E4756="SATIŞ İADESİ/İSKONTO",-$O4756,$O4756),-$O4756)))</f>
        <v/>
      </c>
      <c r="AB4756" s="117">
        <f>IF($B4756="","",IF(OR($D4756="",$E4756="",$O4756=""),"EKSİK",IF($O4756&lt;=0,"SIFIR/NEGATİF",IF(COUNTIFS($C$6:$C$5000,$C4756,$O$6:$O$5000,$O4756,$B$6:$B$5000,$B4756)&gt;1,"MÜKERRER","OK"))))</f>
        <v/>
      </c>
    </row>
    <row r="4757" ht="16.5" customHeight="1" s="80">
      <c r="A4757" s="113" t="n"/>
      <c r="B4757" s="113" t="n"/>
      <c r="C4757" s="113" t="n"/>
      <c r="D4757" s="113" t="n"/>
      <c r="E4757" s="113" t="n"/>
      <c r="F4757" s="113" t="n"/>
      <c r="G4757" s="113" t="n"/>
      <c r="H4757" s="113" t="n"/>
      <c r="I4757" s="113" t="n"/>
      <c r="J4757" s="113" t="n"/>
      <c r="K4757" s="113" t="n"/>
      <c r="L4757" s="113" t="n"/>
      <c r="M4757" s="113" t="n"/>
      <c r="N4757" s="113" t="n"/>
      <c r="O4757" s="113" t="n"/>
      <c r="P4757" s="113" t="n"/>
      <c r="Q4757" s="113" t="n"/>
      <c r="R4757" s="113" t="n"/>
      <c r="S4757" s="113" t="n"/>
      <c r="T4757" s="113" t="n"/>
      <c r="U4757" s="113" t="n"/>
      <c r="V4757" s="113" t="n"/>
      <c r="W4757" s="113" t="n"/>
      <c r="X4757" s="113" t="n"/>
      <c r="Y4757" s="113" t="n"/>
      <c r="Z4757" s="117">
        <f>IF($B4757="",0,IF($S4757="EVET",IF($D4757="GELİR",$O4757,-$O4757),0))</f>
        <v/>
      </c>
      <c r="AA4757" s="117">
        <f>IF($B4757="",0,IF(OR($W4757="EVET",$X4757="EVET",$Y4757="EVET"),0,IF($D4757="GELİR",IF($E4757="SATIŞ İADESİ/İSKONTO",-$O4757,$O4757),-$O4757)))</f>
        <v/>
      </c>
      <c r="AB4757" s="117">
        <f>IF($B4757="","",IF(OR($D4757="",$E4757="",$O4757=""),"EKSİK",IF($O4757&lt;=0,"SIFIR/NEGATİF",IF(COUNTIFS($C$6:$C$5000,$C4757,$O$6:$O$5000,$O4757,$B$6:$B$5000,$B4757)&gt;1,"MÜKERRER","OK"))))</f>
        <v/>
      </c>
    </row>
    <row r="4758" ht="16.5" customHeight="1" s="80">
      <c r="A4758" s="113" t="n"/>
      <c r="B4758" s="113" t="n"/>
      <c r="C4758" s="113" t="n"/>
      <c r="D4758" s="113" t="n"/>
      <c r="E4758" s="113" t="n"/>
      <c r="F4758" s="113" t="n"/>
      <c r="G4758" s="113" t="n"/>
      <c r="H4758" s="113" t="n"/>
      <c r="I4758" s="113" t="n"/>
      <c r="J4758" s="113" t="n"/>
      <c r="K4758" s="113" t="n"/>
      <c r="L4758" s="113" t="n"/>
      <c r="M4758" s="113" t="n"/>
      <c r="N4758" s="113" t="n"/>
      <c r="O4758" s="113" t="n"/>
      <c r="P4758" s="113" t="n"/>
      <c r="Q4758" s="113" t="n"/>
      <c r="R4758" s="113" t="n"/>
      <c r="S4758" s="113" t="n"/>
      <c r="T4758" s="113" t="n"/>
      <c r="U4758" s="113" t="n"/>
      <c r="V4758" s="113" t="n"/>
      <c r="W4758" s="113" t="n"/>
      <c r="X4758" s="113" t="n"/>
      <c r="Y4758" s="113" t="n"/>
      <c r="Z4758" s="117">
        <f>IF($B4758="",0,IF($S4758="EVET",IF($D4758="GELİR",$O4758,-$O4758),0))</f>
        <v/>
      </c>
      <c r="AA4758" s="117">
        <f>IF($B4758="",0,IF(OR($W4758="EVET",$X4758="EVET",$Y4758="EVET"),0,IF($D4758="GELİR",IF($E4758="SATIŞ İADESİ/İSKONTO",-$O4758,$O4758),-$O4758)))</f>
        <v/>
      </c>
      <c r="AB4758" s="117">
        <f>IF($B4758="","",IF(OR($D4758="",$E4758="",$O4758=""),"EKSİK",IF($O4758&lt;=0,"SIFIR/NEGATİF",IF(COUNTIFS($C$6:$C$5000,$C4758,$O$6:$O$5000,$O4758,$B$6:$B$5000,$B4758)&gt;1,"MÜKERRER","OK"))))</f>
        <v/>
      </c>
    </row>
    <row r="4759" ht="16.5" customHeight="1" s="80">
      <c r="A4759" s="113" t="n"/>
      <c r="B4759" s="113" t="n"/>
      <c r="C4759" s="113" t="n"/>
      <c r="D4759" s="113" t="n"/>
      <c r="E4759" s="113" t="n"/>
      <c r="F4759" s="113" t="n"/>
      <c r="G4759" s="113" t="n"/>
      <c r="H4759" s="113" t="n"/>
      <c r="I4759" s="113" t="n"/>
      <c r="J4759" s="113" t="n"/>
      <c r="K4759" s="113" t="n"/>
      <c r="L4759" s="113" t="n"/>
      <c r="M4759" s="113" t="n"/>
      <c r="N4759" s="113" t="n"/>
      <c r="O4759" s="113" t="n"/>
      <c r="P4759" s="113" t="n"/>
      <c r="Q4759" s="113" t="n"/>
      <c r="R4759" s="113" t="n"/>
      <c r="S4759" s="113" t="n"/>
      <c r="T4759" s="113" t="n"/>
      <c r="U4759" s="113" t="n"/>
      <c r="V4759" s="113" t="n"/>
      <c r="W4759" s="113" t="n"/>
      <c r="X4759" s="113" t="n"/>
      <c r="Y4759" s="113" t="n"/>
      <c r="Z4759" s="117">
        <f>IF($B4759="",0,IF($S4759="EVET",IF($D4759="GELİR",$O4759,-$O4759),0))</f>
        <v/>
      </c>
      <c r="AA4759" s="117">
        <f>IF($B4759="",0,IF(OR($W4759="EVET",$X4759="EVET",$Y4759="EVET"),0,IF($D4759="GELİR",IF($E4759="SATIŞ İADESİ/İSKONTO",-$O4759,$O4759),-$O4759)))</f>
        <v/>
      </c>
      <c r="AB4759" s="117">
        <f>IF($B4759="","",IF(OR($D4759="",$E4759="",$O4759=""),"EKSİK",IF($O4759&lt;=0,"SIFIR/NEGATİF",IF(COUNTIFS($C$6:$C$5000,$C4759,$O$6:$O$5000,$O4759,$B$6:$B$5000,$B4759)&gt;1,"MÜKERRER","OK"))))</f>
        <v/>
      </c>
    </row>
    <row r="4760" ht="16.5" customHeight="1" s="80">
      <c r="A4760" s="113" t="n"/>
      <c r="B4760" s="113" t="n"/>
      <c r="C4760" s="113" t="n"/>
      <c r="D4760" s="113" t="n"/>
      <c r="E4760" s="113" t="n"/>
      <c r="F4760" s="113" t="n"/>
      <c r="G4760" s="113" t="n"/>
      <c r="H4760" s="113" t="n"/>
      <c r="I4760" s="113" t="n"/>
      <c r="J4760" s="113" t="n"/>
      <c r="K4760" s="113" t="n"/>
      <c r="L4760" s="113" t="n"/>
      <c r="M4760" s="113" t="n"/>
      <c r="N4760" s="113" t="n"/>
      <c r="O4760" s="113" t="n"/>
      <c r="P4760" s="113" t="n"/>
      <c r="Q4760" s="113" t="n"/>
      <c r="R4760" s="113" t="n"/>
      <c r="S4760" s="113" t="n"/>
      <c r="T4760" s="113" t="n"/>
      <c r="U4760" s="113" t="n"/>
      <c r="V4760" s="113" t="n"/>
      <c r="W4760" s="113" t="n"/>
      <c r="X4760" s="113" t="n"/>
      <c r="Y4760" s="113" t="n"/>
      <c r="Z4760" s="117">
        <f>IF($B4760="",0,IF($S4760="EVET",IF($D4760="GELİR",$O4760,-$O4760),0))</f>
        <v/>
      </c>
      <c r="AA4760" s="117">
        <f>IF($B4760="",0,IF(OR($W4760="EVET",$X4760="EVET",$Y4760="EVET"),0,IF($D4760="GELİR",IF($E4760="SATIŞ İADESİ/İSKONTO",-$O4760,$O4760),-$O4760)))</f>
        <v/>
      </c>
      <c r="AB4760" s="117">
        <f>IF($B4760="","",IF(OR($D4760="",$E4760="",$O4760=""),"EKSİK",IF($O4760&lt;=0,"SIFIR/NEGATİF",IF(COUNTIFS($C$6:$C$5000,$C4760,$O$6:$O$5000,$O4760,$B$6:$B$5000,$B4760)&gt;1,"MÜKERRER","OK"))))</f>
        <v/>
      </c>
    </row>
    <row r="4761" ht="16.5" customHeight="1" s="80">
      <c r="A4761" s="113" t="n"/>
      <c r="B4761" s="113" t="n"/>
      <c r="C4761" s="113" t="n"/>
      <c r="D4761" s="113" t="n"/>
      <c r="E4761" s="113" t="n"/>
      <c r="F4761" s="113" t="n"/>
      <c r="G4761" s="113" t="n"/>
      <c r="H4761" s="113" t="n"/>
      <c r="I4761" s="113" t="n"/>
      <c r="J4761" s="113" t="n"/>
      <c r="K4761" s="113" t="n"/>
      <c r="L4761" s="113" t="n"/>
      <c r="M4761" s="113" t="n"/>
      <c r="N4761" s="113" t="n"/>
      <c r="O4761" s="113" t="n"/>
      <c r="P4761" s="113" t="n"/>
      <c r="Q4761" s="113" t="n"/>
      <c r="R4761" s="113" t="n"/>
      <c r="S4761" s="113" t="n"/>
      <c r="T4761" s="113" t="n"/>
      <c r="U4761" s="113" t="n"/>
      <c r="V4761" s="113" t="n"/>
      <c r="W4761" s="113" t="n"/>
      <c r="X4761" s="113" t="n"/>
      <c r="Y4761" s="113" t="n"/>
      <c r="Z4761" s="117">
        <f>IF($B4761="",0,IF($S4761="EVET",IF($D4761="GELİR",$O4761,-$O4761),0))</f>
        <v/>
      </c>
      <c r="AA4761" s="117">
        <f>IF($B4761="",0,IF(OR($W4761="EVET",$X4761="EVET",$Y4761="EVET"),0,IF($D4761="GELİR",IF($E4761="SATIŞ İADESİ/İSKONTO",-$O4761,$O4761),-$O4761)))</f>
        <v/>
      </c>
      <c r="AB4761" s="117">
        <f>IF($B4761="","",IF(OR($D4761="",$E4761="",$O4761=""),"EKSİK",IF($O4761&lt;=0,"SIFIR/NEGATİF",IF(COUNTIFS($C$6:$C$5000,$C4761,$O$6:$O$5000,$O4761,$B$6:$B$5000,$B4761)&gt;1,"MÜKERRER","OK"))))</f>
        <v/>
      </c>
    </row>
    <row r="4762" ht="16.5" customHeight="1" s="80">
      <c r="A4762" s="113" t="n"/>
      <c r="B4762" s="113" t="n"/>
      <c r="C4762" s="113" t="n"/>
      <c r="D4762" s="113" t="n"/>
      <c r="E4762" s="113" t="n"/>
      <c r="F4762" s="113" t="n"/>
      <c r="G4762" s="113" t="n"/>
      <c r="H4762" s="113" t="n"/>
      <c r="I4762" s="113" t="n"/>
      <c r="J4762" s="113" t="n"/>
      <c r="K4762" s="113" t="n"/>
      <c r="L4762" s="113" t="n"/>
      <c r="M4762" s="113" t="n"/>
      <c r="N4762" s="113" t="n"/>
      <c r="O4762" s="113" t="n"/>
      <c r="P4762" s="113" t="n"/>
      <c r="Q4762" s="113" t="n"/>
      <c r="R4762" s="113" t="n"/>
      <c r="S4762" s="113" t="n"/>
      <c r="T4762" s="113" t="n"/>
      <c r="U4762" s="113" t="n"/>
      <c r="V4762" s="113" t="n"/>
      <c r="W4762" s="113" t="n"/>
      <c r="X4762" s="113" t="n"/>
      <c r="Y4762" s="113" t="n"/>
      <c r="Z4762" s="117">
        <f>IF($B4762="",0,IF($S4762="EVET",IF($D4762="GELİR",$O4762,-$O4762),0))</f>
        <v/>
      </c>
      <c r="AA4762" s="117">
        <f>IF($B4762="",0,IF(OR($W4762="EVET",$X4762="EVET",$Y4762="EVET"),0,IF($D4762="GELİR",IF($E4762="SATIŞ İADESİ/İSKONTO",-$O4762,$O4762),-$O4762)))</f>
        <v/>
      </c>
      <c r="AB4762" s="117">
        <f>IF($B4762="","",IF(OR($D4762="",$E4762="",$O4762=""),"EKSİK",IF($O4762&lt;=0,"SIFIR/NEGATİF",IF(COUNTIFS($C$6:$C$5000,$C4762,$O$6:$O$5000,$O4762,$B$6:$B$5000,$B4762)&gt;1,"MÜKERRER","OK"))))</f>
        <v/>
      </c>
    </row>
    <row r="4763" ht="16.5" customHeight="1" s="80">
      <c r="A4763" s="113" t="n"/>
      <c r="B4763" s="113" t="n"/>
      <c r="C4763" s="113" t="n"/>
      <c r="D4763" s="113" t="n"/>
      <c r="E4763" s="113" t="n"/>
      <c r="F4763" s="113" t="n"/>
      <c r="G4763" s="113" t="n"/>
      <c r="H4763" s="113" t="n"/>
      <c r="I4763" s="113" t="n"/>
      <c r="J4763" s="113" t="n"/>
      <c r="K4763" s="113" t="n"/>
      <c r="L4763" s="113" t="n"/>
      <c r="M4763" s="113" t="n"/>
      <c r="N4763" s="113" t="n"/>
      <c r="O4763" s="113" t="n"/>
      <c r="P4763" s="113" t="n"/>
      <c r="Q4763" s="113" t="n"/>
      <c r="R4763" s="113" t="n"/>
      <c r="S4763" s="113" t="n"/>
      <c r="T4763" s="113" t="n"/>
      <c r="U4763" s="113" t="n"/>
      <c r="V4763" s="113" t="n"/>
      <c r="W4763" s="113" t="n"/>
      <c r="X4763" s="113" t="n"/>
      <c r="Y4763" s="113" t="n"/>
      <c r="Z4763" s="117">
        <f>IF($B4763="",0,IF($S4763="EVET",IF($D4763="GELİR",$O4763,-$O4763),0))</f>
        <v/>
      </c>
      <c r="AA4763" s="117">
        <f>IF($B4763="",0,IF(OR($W4763="EVET",$X4763="EVET",$Y4763="EVET"),0,IF($D4763="GELİR",IF($E4763="SATIŞ İADESİ/İSKONTO",-$O4763,$O4763),-$O4763)))</f>
        <v/>
      </c>
      <c r="AB4763" s="117">
        <f>IF($B4763="","",IF(OR($D4763="",$E4763="",$O4763=""),"EKSİK",IF($O4763&lt;=0,"SIFIR/NEGATİF",IF(COUNTIFS($C$6:$C$5000,$C4763,$O$6:$O$5000,$O4763,$B$6:$B$5000,$B4763)&gt;1,"MÜKERRER","OK"))))</f>
        <v/>
      </c>
    </row>
    <row r="4764" ht="16.5" customHeight="1" s="80">
      <c r="A4764" s="113" t="n"/>
      <c r="B4764" s="113" t="n"/>
      <c r="C4764" s="113" t="n"/>
      <c r="D4764" s="113" t="n"/>
      <c r="E4764" s="113" t="n"/>
      <c r="F4764" s="113" t="n"/>
      <c r="G4764" s="113" t="n"/>
      <c r="H4764" s="113" t="n"/>
      <c r="I4764" s="113" t="n"/>
      <c r="J4764" s="113" t="n"/>
      <c r="K4764" s="113" t="n"/>
      <c r="L4764" s="113" t="n"/>
      <c r="M4764" s="113" t="n"/>
      <c r="N4764" s="113" t="n"/>
      <c r="O4764" s="113" t="n"/>
      <c r="P4764" s="113" t="n"/>
      <c r="Q4764" s="113" t="n"/>
      <c r="R4764" s="113" t="n"/>
      <c r="S4764" s="113" t="n"/>
      <c r="T4764" s="113" t="n"/>
      <c r="U4764" s="113" t="n"/>
      <c r="V4764" s="113" t="n"/>
      <c r="W4764" s="113" t="n"/>
      <c r="X4764" s="113" t="n"/>
      <c r="Y4764" s="113" t="n"/>
      <c r="Z4764" s="117">
        <f>IF($B4764="",0,IF($S4764="EVET",IF($D4764="GELİR",$O4764,-$O4764),0))</f>
        <v/>
      </c>
      <c r="AA4764" s="117">
        <f>IF($B4764="",0,IF(OR($W4764="EVET",$X4764="EVET",$Y4764="EVET"),0,IF($D4764="GELİR",IF($E4764="SATIŞ İADESİ/İSKONTO",-$O4764,$O4764),-$O4764)))</f>
        <v/>
      </c>
      <c r="AB4764" s="117">
        <f>IF($B4764="","",IF(OR($D4764="",$E4764="",$O4764=""),"EKSİK",IF($O4764&lt;=0,"SIFIR/NEGATİF",IF(COUNTIFS($C$6:$C$5000,$C4764,$O$6:$O$5000,$O4764,$B$6:$B$5000,$B4764)&gt;1,"MÜKERRER","OK"))))</f>
        <v/>
      </c>
    </row>
    <row r="4765" ht="16.5" customHeight="1" s="80">
      <c r="A4765" s="113" t="n"/>
      <c r="B4765" s="113" t="n"/>
      <c r="C4765" s="113" t="n"/>
      <c r="D4765" s="113" t="n"/>
      <c r="E4765" s="113" t="n"/>
      <c r="F4765" s="113" t="n"/>
      <c r="G4765" s="113" t="n"/>
      <c r="H4765" s="113" t="n"/>
      <c r="I4765" s="113" t="n"/>
      <c r="J4765" s="113" t="n"/>
      <c r="K4765" s="113" t="n"/>
      <c r="L4765" s="113" t="n"/>
      <c r="M4765" s="113" t="n"/>
      <c r="N4765" s="113" t="n"/>
      <c r="O4765" s="113" t="n"/>
      <c r="P4765" s="113" t="n"/>
      <c r="Q4765" s="113" t="n"/>
      <c r="R4765" s="113" t="n"/>
      <c r="S4765" s="113" t="n"/>
      <c r="T4765" s="113" t="n"/>
      <c r="U4765" s="113" t="n"/>
      <c r="V4765" s="113" t="n"/>
      <c r="W4765" s="113" t="n"/>
      <c r="X4765" s="113" t="n"/>
      <c r="Y4765" s="113" t="n"/>
      <c r="Z4765" s="117">
        <f>IF($B4765="",0,IF($S4765="EVET",IF($D4765="GELİR",$O4765,-$O4765),0))</f>
        <v/>
      </c>
      <c r="AA4765" s="117">
        <f>IF($B4765="",0,IF(OR($W4765="EVET",$X4765="EVET",$Y4765="EVET"),0,IF($D4765="GELİR",IF($E4765="SATIŞ İADESİ/İSKONTO",-$O4765,$O4765),-$O4765)))</f>
        <v/>
      </c>
      <c r="AB4765" s="117">
        <f>IF($B4765="","",IF(OR($D4765="",$E4765="",$O4765=""),"EKSİK",IF($O4765&lt;=0,"SIFIR/NEGATİF",IF(COUNTIFS($C$6:$C$5000,$C4765,$O$6:$O$5000,$O4765,$B$6:$B$5000,$B4765)&gt;1,"MÜKERRER","OK"))))</f>
        <v/>
      </c>
    </row>
    <row r="4766" ht="16.5" customHeight="1" s="80">
      <c r="A4766" s="113" t="n"/>
      <c r="B4766" s="113" t="n"/>
      <c r="C4766" s="113" t="n"/>
      <c r="D4766" s="113" t="n"/>
      <c r="E4766" s="113" t="n"/>
      <c r="F4766" s="113" t="n"/>
      <c r="G4766" s="113" t="n"/>
      <c r="H4766" s="113" t="n"/>
      <c r="I4766" s="113" t="n"/>
      <c r="J4766" s="113" t="n"/>
      <c r="K4766" s="113" t="n"/>
      <c r="L4766" s="113" t="n"/>
      <c r="M4766" s="113" t="n"/>
      <c r="N4766" s="113" t="n"/>
      <c r="O4766" s="113" t="n"/>
      <c r="P4766" s="113" t="n"/>
      <c r="Q4766" s="113" t="n"/>
      <c r="R4766" s="113" t="n"/>
      <c r="S4766" s="113" t="n"/>
      <c r="T4766" s="113" t="n"/>
      <c r="U4766" s="113" t="n"/>
      <c r="V4766" s="113" t="n"/>
      <c r="W4766" s="113" t="n"/>
      <c r="X4766" s="113" t="n"/>
      <c r="Y4766" s="113" t="n"/>
      <c r="Z4766" s="117">
        <f>IF($B4766="",0,IF($S4766="EVET",IF($D4766="GELİR",$O4766,-$O4766),0))</f>
        <v/>
      </c>
      <c r="AA4766" s="117">
        <f>IF($B4766="",0,IF(OR($W4766="EVET",$X4766="EVET",$Y4766="EVET"),0,IF($D4766="GELİR",IF($E4766="SATIŞ İADESİ/İSKONTO",-$O4766,$O4766),-$O4766)))</f>
        <v/>
      </c>
      <c r="AB4766" s="117">
        <f>IF($B4766="","",IF(OR($D4766="",$E4766="",$O4766=""),"EKSİK",IF($O4766&lt;=0,"SIFIR/NEGATİF",IF(COUNTIFS($C$6:$C$5000,$C4766,$O$6:$O$5000,$O4766,$B$6:$B$5000,$B4766)&gt;1,"MÜKERRER","OK"))))</f>
        <v/>
      </c>
    </row>
    <row r="4767" ht="16.5" customHeight="1" s="80">
      <c r="A4767" s="113" t="n"/>
      <c r="B4767" s="113" t="n"/>
      <c r="C4767" s="113" t="n"/>
      <c r="D4767" s="113" t="n"/>
      <c r="E4767" s="113" t="n"/>
      <c r="F4767" s="113" t="n"/>
      <c r="G4767" s="113" t="n"/>
      <c r="H4767" s="113" t="n"/>
      <c r="I4767" s="113" t="n"/>
      <c r="J4767" s="113" t="n"/>
      <c r="K4767" s="113" t="n"/>
      <c r="L4767" s="113" t="n"/>
      <c r="M4767" s="113" t="n"/>
      <c r="N4767" s="113" t="n"/>
      <c r="O4767" s="113" t="n"/>
      <c r="P4767" s="113" t="n"/>
      <c r="Q4767" s="113" t="n"/>
      <c r="R4767" s="113" t="n"/>
      <c r="S4767" s="113" t="n"/>
      <c r="T4767" s="113" t="n"/>
      <c r="U4767" s="113" t="n"/>
      <c r="V4767" s="113" t="n"/>
      <c r="W4767" s="113" t="n"/>
      <c r="X4767" s="113" t="n"/>
      <c r="Y4767" s="113" t="n"/>
      <c r="Z4767" s="117">
        <f>IF($B4767="",0,IF($S4767="EVET",IF($D4767="GELİR",$O4767,-$O4767),0))</f>
        <v/>
      </c>
      <c r="AA4767" s="117">
        <f>IF($B4767="",0,IF(OR($W4767="EVET",$X4767="EVET",$Y4767="EVET"),0,IF($D4767="GELİR",IF($E4767="SATIŞ İADESİ/İSKONTO",-$O4767,$O4767),-$O4767)))</f>
        <v/>
      </c>
      <c r="AB4767" s="117">
        <f>IF($B4767="","",IF(OR($D4767="",$E4767="",$O4767=""),"EKSİK",IF($O4767&lt;=0,"SIFIR/NEGATİF",IF(COUNTIFS($C$6:$C$5000,$C4767,$O$6:$O$5000,$O4767,$B$6:$B$5000,$B4767)&gt;1,"MÜKERRER","OK"))))</f>
        <v/>
      </c>
    </row>
    <row r="4768" ht="16.5" customHeight="1" s="80">
      <c r="A4768" s="113" t="n"/>
      <c r="B4768" s="113" t="n"/>
      <c r="C4768" s="113" t="n"/>
      <c r="D4768" s="113" t="n"/>
      <c r="E4768" s="113" t="n"/>
      <c r="F4768" s="113" t="n"/>
      <c r="G4768" s="113" t="n"/>
      <c r="H4768" s="113" t="n"/>
      <c r="I4768" s="113" t="n"/>
      <c r="J4768" s="113" t="n"/>
      <c r="K4768" s="113" t="n"/>
      <c r="L4768" s="113" t="n"/>
      <c r="M4768" s="113" t="n"/>
      <c r="N4768" s="113" t="n"/>
      <c r="O4768" s="113" t="n"/>
      <c r="P4768" s="113" t="n"/>
      <c r="Q4768" s="113" t="n"/>
      <c r="R4768" s="113" t="n"/>
      <c r="S4768" s="113" t="n"/>
      <c r="T4768" s="113" t="n"/>
      <c r="U4768" s="113" t="n"/>
      <c r="V4768" s="113" t="n"/>
      <c r="W4768" s="113" t="n"/>
      <c r="X4768" s="113" t="n"/>
      <c r="Y4768" s="113" t="n"/>
      <c r="Z4768" s="117">
        <f>IF($B4768="",0,IF($S4768="EVET",IF($D4768="GELİR",$O4768,-$O4768),0))</f>
        <v/>
      </c>
      <c r="AA4768" s="117">
        <f>IF($B4768="",0,IF(OR($W4768="EVET",$X4768="EVET",$Y4768="EVET"),0,IF($D4768="GELİR",IF($E4768="SATIŞ İADESİ/İSKONTO",-$O4768,$O4768),-$O4768)))</f>
        <v/>
      </c>
      <c r="AB4768" s="117">
        <f>IF($B4768="","",IF(OR($D4768="",$E4768="",$O4768=""),"EKSİK",IF($O4768&lt;=0,"SIFIR/NEGATİF",IF(COUNTIFS($C$6:$C$5000,$C4768,$O$6:$O$5000,$O4768,$B$6:$B$5000,$B4768)&gt;1,"MÜKERRER","OK"))))</f>
        <v/>
      </c>
    </row>
    <row r="4769" ht="16.5" customHeight="1" s="80">
      <c r="A4769" s="113" t="n"/>
      <c r="B4769" s="113" t="n"/>
      <c r="C4769" s="113" t="n"/>
      <c r="D4769" s="113" t="n"/>
      <c r="E4769" s="113" t="n"/>
      <c r="F4769" s="113" t="n"/>
      <c r="G4769" s="113" t="n"/>
      <c r="H4769" s="113" t="n"/>
      <c r="I4769" s="113" t="n"/>
      <c r="J4769" s="113" t="n"/>
      <c r="K4769" s="113" t="n"/>
      <c r="L4769" s="113" t="n"/>
      <c r="M4769" s="113" t="n"/>
      <c r="N4769" s="113" t="n"/>
      <c r="O4769" s="113" t="n"/>
      <c r="P4769" s="113" t="n"/>
      <c r="Q4769" s="113" t="n"/>
      <c r="R4769" s="113" t="n"/>
      <c r="S4769" s="113" t="n"/>
      <c r="T4769" s="113" t="n"/>
      <c r="U4769" s="113" t="n"/>
      <c r="V4769" s="113" t="n"/>
      <c r="W4769" s="113" t="n"/>
      <c r="X4769" s="113" t="n"/>
      <c r="Y4769" s="113" t="n"/>
      <c r="Z4769" s="117">
        <f>IF($B4769="",0,IF($S4769="EVET",IF($D4769="GELİR",$O4769,-$O4769),0))</f>
        <v/>
      </c>
      <c r="AA4769" s="117">
        <f>IF($B4769="",0,IF(OR($W4769="EVET",$X4769="EVET",$Y4769="EVET"),0,IF($D4769="GELİR",IF($E4769="SATIŞ İADESİ/İSKONTO",-$O4769,$O4769),-$O4769)))</f>
        <v/>
      </c>
      <c r="AB4769" s="117">
        <f>IF($B4769="","",IF(OR($D4769="",$E4769="",$O4769=""),"EKSİK",IF($O4769&lt;=0,"SIFIR/NEGATİF",IF(COUNTIFS($C$6:$C$5000,$C4769,$O$6:$O$5000,$O4769,$B$6:$B$5000,$B4769)&gt;1,"MÜKERRER","OK"))))</f>
        <v/>
      </c>
    </row>
    <row r="4770" ht="16.5" customHeight="1" s="80">
      <c r="A4770" s="113" t="n"/>
      <c r="B4770" s="113" t="n"/>
      <c r="C4770" s="113" t="n"/>
      <c r="D4770" s="113" t="n"/>
      <c r="E4770" s="113" t="n"/>
      <c r="F4770" s="113" t="n"/>
      <c r="G4770" s="113" t="n"/>
      <c r="H4770" s="113" t="n"/>
      <c r="I4770" s="113" t="n"/>
      <c r="J4770" s="113" t="n"/>
      <c r="K4770" s="113" t="n"/>
      <c r="L4770" s="113" t="n"/>
      <c r="M4770" s="113" t="n"/>
      <c r="N4770" s="113" t="n"/>
      <c r="O4770" s="113" t="n"/>
      <c r="P4770" s="113" t="n"/>
      <c r="Q4770" s="113" t="n"/>
      <c r="R4770" s="113" t="n"/>
      <c r="S4770" s="113" t="n"/>
      <c r="T4770" s="113" t="n"/>
      <c r="U4770" s="113" t="n"/>
      <c r="V4770" s="113" t="n"/>
      <c r="W4770" s="113" t="n"/>
      <c r="X4770" s="113" t="n"/>
      <c r="Y4770" s="113" t="n"/>
      <c r="Z4770" s="117">
        <f>IF($B4770="",0,IF($S4770="EVET",IF($D4770="GELİR",$O4770,-$O4770),0))</f>
        <v/>
      </c>
      <c r="AA4770" s="117">
        <f>IF($B4770="",0,IF(OR($W4770="EVET",$X4770="EVET",$Y4770="EVET"),0,IF($D4770="GELİR",IF($E4770="SATIŞ İADESİ/İSKONTO",-$O4770,$O4770),-$O4770)))</f>
        <v/>
      </c>
      <c r="AB4770" s="117">
        <f>IF($B4770="","",IF(OR($D4770="",$E4770="",$O4770=""),"EKSİK",IF($O4770&lt;=0,"SIFIR/NEGATİF",IF(COUNTIFS($C$6:$C$5000,$C4770,$O$6:$O$5000,$O4770,$B$6:$B$5000,$B4770)&gt;1,"MÜKERRER","OK"))))</f>
        <v/>
      </c>
    </row>
    <row r="4771" ht="16.5" customHeight="1" s="80">
      <c r="A4771" s="113" t="n"/>
      <c r="B4771" s="113" t="n"/>
      <c r="C4771" s="113" t="n"/>
      <c r="D4771" s="113" t="n"/>
      <c r="E4771" s="113" t="n"/>
      <c r="F4771" s="113" t="n"/>
      <c r="G4771" s="113" t="n"/>
      <c r="H4771" s="113" t="n"/>
      <c r="I4771" s="113" t="n"/>
      <c r="J4771" s="113" t="n"/>
      <c r="K4771" s="113" t="n"/>
      <c r="L4771" s="113" t="n"/>
      <c r="M4771" s="113" t="n"/>
      <c r="N4771" s="113" t="n"/>
      <c r="O4771" s="113" t="n"/>
      <c r="P4771" s="113" t="n"/>
      <c r="Q4771" s="113" t="n"/>
      <c r="R4771" s="113" t="n"/>
      <c r="S4771" s="113" t="n"/>
      <c r="T4771" s="113" t="n"/>
      <c r="U4771" s="113" t="n"/>
      <c r="V4771" s="113" t="n"/>
      <c r="W4771" s="113" t="n"/>
      <c r="X4771" s="113" t="n"/>
      <c r="Y4771" s="113" t="n"/>
      <c r="Z4771" s="117">
        <f>IF($B4771="",0,IF($S4771="EVET",IF($D4771="GELİR",$O4771,-$O4771),0))</f>
        <v/>
      </c>
      <c r="AA4771" s="117">
        <f>IF($B4771="",0,IF(OR($W4771="EVET",$X4771="EVET",$Y4771="EVET"),0,IF($D4771="GELİR",IF($E4771="SATIŞ İADESİ/İSKONTO",-$O4771,$O4771),-$O4771)))</f>
        <v/>
      </c>
      <c r="AB4771" s="117">
        <f>IF($B4771="","",IF(OR($D4771="",$E4771="",$O4771=""),"EKSİK",IF($O4771&lt;=0,"SIFIR/NEGATİF",IF(COUNTIFS($C$6:$C$5000,$C4771,$O$6:$O$5000,$O4771,$B$6:$B$5000,$B4771)&gt;1,"MÜKERRER","OK"))))</f>
        <v/>
      </c>
    </row>
    <row r="4772" ht="16.5" customHeight="1" s="80">
      <c r="A4772" s="113" t="n"/>
      <c r="B4772" s="113" t="n"/>
      <c r="C4772" s="113" t="n"/>
      <c r="D4772" s="113" t="n"/>
      <c r="E4772" s="113" t="n"/>
      <c r="F4772" s="113" t="n"/>
      <c r="G4772" s="113" t="n"/>
      <c r="H4772" s="113" t="n"/>
      <c r="I4772" s="113" t="n"/>
      <c r="J4772" s="113" t="n"/>
      <c r="K4772" s="113" t="n"/>
      <c r="L4772" s="113" t="n"/>
      <c r="M4772" s="113" t="n"/>
      <c r="N4772" s="113" t="n"/>
      <c r="O4772" s="113" t="n"/>
      <c r="P4772" s="113" t="n"/>
      <c r="Q4772" s="113" t="n"/>
      <c r="R4772" s="113" t="n"/>
      <c r="S4772" s="113" t="n"/>
      <c r="T4772" s="113" t="n"/>
      <c r="U4772" s="113" t="n"/>
      <c r="V4772" s="113" t="n"/>
      <c r="W4772" s="113" t="n"/>
      <c r="X4772" s="113" t="n"/>
      <c r="Y4772" s="113" t="n"/>
      <c r="Z4772" s="117">
        <f>IF($B4772="",0,IF($S4772="EVET",IF($D4772="GELİR",$O4772,-$O4772),0))</f>
        <v/>
      </c>
      <c r="AA4772" s="117">
        <f>IF($B4772="",0,IF(OR($W4772="EVET",$X4772="EVET",$Y4772="EVET"),0,IF($D4772="GELİR",IF($E4772="SATIŞ İADESİ/İSKONTO",-$O4772,$O4772),-$O4772)))</f>
        <v/>
      </c>
      <c r="AB4772" s="117">
        <f>IF($B4772="","",IF(OR($D4772="",$E4772="",$O4772=""),"EKSİK",IF($O4772&lt;=0,"SIFIR/NEGATİF",IF(COUNTIFS($C$6:$C$5000,$C4772,$O$6:$O$5000,$O4772,$B$6:$B$5000,$B4772)&gt;1,"MÜKERRER","OK"))))</f>
        <v/>
      </c>
    </row>
    <row r="4773" ht="16.5" customHeight="1" s="80">
      <c r="A4773" s="113" t="n"/>
      <c r="B4773" s="113" t="n"/>
      <c r="C4773" s="113" t="n"/>
      <c r="D4773" s="113" t="n"/>
      <c r="E4773" s="113" t="n"/>
      <c r="F4773" s="113" t="n"/>
      <c r="G4773" s="113" t="n"/>
      <c r="H4773" s="113" t="n"/>
      <c r="I4773" s="113" t="n"/>
      <c r="J4773" s="113" t="n"/>
      <c r="K4773" s="113" t="n"/>
      <c r="L4773" s="113" t="n"/>
      <c r="M4773" s="113" t="n"/>
      <c r="N4773" s="113" t="n"/>
      <c r="O4773" s="113" t="n"/>
      <c r="P4773" s="113" t="n"/>
      <c r="Q4773" s="113" t="n"/>
      <c r="R4773" s="113" t="n"/>
      <c r="S4773" s="113" t="n"/>
      <c r="T4773" s="113" t="n"/>
      <c r="U4773" s="113" t="n"/>
      <c r="V4773" s="113" t="n"/>
      <c r="W4773" s="113" t="n"/>
      <c r="X4773" s="113" t="n"/>
      <c r="Y4773" s="113" t="n"/>
      <c r="Z4773" s="117">
        <f>IF($B4773="",0,IF($S4773="EVET",IF($D4773="GELİR",$O4773,-$O4773),0))</f>
        <v/>
      </c>
      <c r="AA4773" s="117">
        <f>IF($B4773="",0,IF(OR($W4773="EVET",$X4773="EVET",$Y4773="EVET"),0,IF($D4773="GELİR",IF($E4773="SATIŞ İADESİ/İSKONTO",-$O4773,$O4773),-$O4773)))</f>
        <v/>
      </c>
      <c r="AB4773" s="117">
        <f>IF($B4773="","",IF(OR($D4773="",$E4773="",$O4773=""),"EKSİK",IF($O4773&lt;=0,"SIFIR/NEGATİF",IF(COUNTIFS($C$6:$C$5000,$C4773,$O$6:$O$5000,$O4773,$B$6:$B$5000,$B4773)&gt;1,"MÜKERRER","OK"))))</f>
        <v/>
      </c>
    </row>
    <row r="4774" ht="16.5" customHeight="1" s="80">
      <c r="A4774" s="113" t="n"/>
      <c r="B4774" s="113" t="n"/>
      <c r="C4774" s="113" t="n"/>
      <c r="D4774" s="113" t="n"/>
      <c r="E4774" s="113" t="n"/>
      <c r="F4774" s="113" t="n"/>
      <c r="G4774" s="113" t="n"/>
      <c r="H4774" s="113" t="n"/>
      <c r="I4774" s="113" t="n"/>
      <c r="J4774" s="113" t="n"/>
      <c r="K4774" s="113" t="n"/>
      <c r="L4774" s="113" t="n"/>
      <c r="M4774" s="113" t="n"/>
      <c r="N4774" s="113" t="n"/>
      <c r="O4774" s="113" t="n"/>
      <c r="P4774" s="113" t="n"/>
      <c r="Q4774" s="113" t="n"/>
      <c r="R4774" s="113" t="n"/>
      <c r="S4774" s="113" t="n"/>
      <c r="T4774" s="113" t="n"/>
      <c r="U4774" s="113" t="n"/>
      <c r="V4774" s="113" t="n"/>
      <c r="W4774" s="113" t="n"/>
      <c r="X4774" s="113" t="n"/>
      <c r="Y4774" s="113" t="n"/>
      <c r="Z4774" s="117">
        <f>IF($B4774="",0,IF($S4774="EVET",IF($D4774="GELİR",$O4774,-$O4774),0))</f>
        <v/>
      </c>
      <c r="AA4774" s="117">
        <f>IF($B4774="",0,IF(OR($W4774="EVET",$X4774="EVET",$Y4774="EVET"),0,IF($D4774="GELİR",IF($E4774="SATIŞ İADESİ/İSKONTO",-$O4774,$O4774),-$O4774)))</f>
        <v/>
      </c>
      <c r="AB4774" s="117">
        <f>IF($B4774="","",IF(OR($D4774="",$E4774="",$O4774=""),"EKSİK",IF($O4774&lt;=0,"SIFIR/NEGATİF",IF(COUNTIFS($C$6:$C$5000,$C4774,$O$6:$O$5000,$O4774,$B$6:$B$5000,$B4774)&gt;1,"MÜKERRER","OK"))))</f>
        <v/>
      </c>
    </row>
    <row r="4775" ht="16.5" customHeight="1" s="80">
      <c r="A4775" s="113" t="n"/>
      <c r="B4775" s="113" t="n"/>
      <c r="C4775" s="113" t="n"/>
      <c r="D4775" s="113" t="n"/>
      <c r="E4775" s="113" t="n"/>
      <c r="F4775" s="113" t="n"/>
      <c r="G4775" s="113" t="n"/>
      <c r="H4775" s="113" t="n"/>
      <c r="I4775" s="113" t="n"/>
      <c r="J4775" s="113" t="n"/>
      <c r="K4775" s="113" t="n"/>
      <c r="L4775" s="113" t="n"/>
      <c r="M4775" s="113" t="n"/>
      <c r="N4775" s="113" t="n"/>
      <c r="O4775" s="113" t="n"/>
      <c r="P4775" s="113" t="n"/>
      <c r="Q4775" s="113" t="n"/>
      <c r="R4775" s="113" t="n"/>
      <c r="S4775" s="113" t="n"/>
      <c r="T4775" s="113" t="n"/>
      <c r="U4775" s="113" t="n"/>
      <c r="V4775" s="113" t="n"/>
      <c r="W4775" s="113" t="n"/>
      <c r="X4775" s="113" t="n"/>
      <c r="Y4775" s="113" t="n"/>
      <c r="Z4775" s="117">
        <f>IF($B4775="",0,IF($S4775="EVET",IF($D4775="GELİR",$O4775,-$O4775),0))</f>
        <v/>
      </c>
      <c r="AA4775" s="117">
        <f>IF($B4775="",0,IF(OR($W4775="EVET",$X4775="EVET",$Y4775="EVET"),0,IF($D4775="GELİR",IF($E4775="SATIŞ İADESİ/İSKONTO",-$O4775,$O4775),-$O4775)))</f>
        <v/>
      </c>
      <c r="AB4775" s="117">
        <f>IF($B4775="","",IF(OR($D4775="",$E4775="",$O4775=""),"EKSİK",IF($O4775&lt;=0,"SIFIR/NEGATİF",IF(COUNTIFS($C$6:$C$5000,$C4775,$O$6:$O$5000,$O4775,$B$6:$B$5000,$B4775)&gt;1,"MÜKERRER","OK"))))</f>
        <v/>
      </c>
    </row>
    <row r="4776" ht="16.5" customHeight="1" s="80">
      <c r="A4776" s="113" t="n"/>
      <c r="B4776" s="113" t="n"/>
      <c r="C4776" s="113" t="n"/>
      <c r="D4776" s="113" t="n"/>
      <c r="E4776" s="113" t="n"/>
      <c r="F4776" s="113" t="n"/>
      <c r="G4776" s="113" t="n"/>
      <c r="H4776" s="113" t="n"/>
      <c r="I4776" s="113" t="n"/>
      <c r="J4776" s="113" t="n"/>
      <c r="K4776" s="113" t="n"/>
      <c r="L4776" s="113" t="n"/>
      <c r="M4776" s="113" t="n"/>
      <c r="N4776" s="113" t="n"/>
      <c r="O4776" s="113" t="n"/>
      <c r="P4776" s="113" t="n"/>
      <c r="Q4776" s="113" t="n"/>
      <c r="R4776" s="113" t="n"/>
      <c r="S4776" s="113" t="n"/>
      <c r="T4776" s="113" t="n"/>
      <c r="U4776" s="113" t="n"/>
      <c r="V4776" s="113" t="n"/>
      <c r="W4776" s="113" t="n"/>
      <c r="X4776" s="113" t="n"/>
      <c r="Y4776" s="113" t="n"/>
      <c r="Z4776" s="117">
        <f>IF($B4776="",0,IF($S4776="EVET",IF($D4776="GELİR",$O4776,-$O4776),0))</f>
        <v/>
      </c>
      <c r="AA4776" s="117">
        <f>IF($B4776="",0,IF(OR($W4776="EVET",$X4776="EVET",$Y4776="EVET"),0,IF($D4776="GELİR",IF($E4776="SATIŞ İADESİ/İSKONTO",-$O4776,$O4776),-$O4776)))</f>
        <v/>
      </c>
      <c r="AB4776" s="117">
        <f>IF($B4776="","",IF(OR($D4776="",$E4776="",$O4776=""),"EKSİK",IF($O4776&lt;=0,"SIFIR/NEGATİF",IF(COUNTIFS($C$6:$C$5000,$C4776,$O$6:$O$5000,$O4776,$B$6:$B$5000,$B4776)&gt;1,"MÜKERRER","OK"))))</f>
        <v/>
      </c>
    </row>
    <row r="4777" ht="16.5" customHeight="1" s="80">
      <c r="A4777" s="113" t="n"/>
      <c r="B4777" s="113" t="n"/>
      <c r="C4777" s="113" t="n"/>
      <c r="D4777" s="113" t="n"/>
      <c r="E4777" s="113" t="n"/>
      <c r="F4777" s="113" t="n"/>
      <c r="G4777" s="113" t="n"/>
      <c r="H4777" s="113" t="n"/>
      <c r="I4777" s="113" t="n"/>
      <c r="J4777" s="113" t="n"/>
      <c r="K4777" s="113" t="n"/>
      <c r="L4777" s="113" t="n"/>
      <c r="M4777" s="113" t="n"/>
      <c r="N4777" s="113" t="n"/>
      <c r="O4777" s="113" t="n"/>
      <c r="P4777" s="113" t="n"/>
      <c r="Q4777" s="113" t="n"/>
      <c r="R4777" s="113" t="n"/>
      <c r="S4777" s="113" t="n"/>
      <c r="T4777" s="113" t="n"/>
      <c r="U4777" s="113" t="n"/>
      <c r="V4777" s="113" t="n"/>
      <c r="W4777" s="113" t="n"/>
      <c r="X4777" s="113" t="n"/>
      <c r="Y4777" s="113" t="n"/>
      <c r="Z4777" s="117">
        <f>IF($B4777="",0,IF($S4777="EVET",IF($D4777="GELİR",$O4777,-$O4777),0))</f>
        <v/>
      </c>
      <c r="AA4777" s="117">
        <f>IF($B4777="",0,IF(OR($W4777="EVET",$X4777="EVET",$Y4777="EVET"),0,IF($D4777="GELİR",IF($E4777="SATIŞ İADESİ/İSKONTO",-$O4777,$O4777),-$O4777)))</f>
        <v/>
      </c>
      <c r="AB4777" s="117">
        <f>IF($B4777="","",IF(OR($D4777="",$E4777="",$O4777=""),"EKSİK",IF($O4777&lt;=0,"SIFIR/NEGATİF",IF(COUNTIFS($C$6:$C$5000,$C4777,$O$6:$O$5000,$O4777,$B$6:$B$5000,$B4777)&gt;1,"MÜKERRER","OK"))))</f>
        <v/>
      </c>
    </row>
    <row r="4778" ht="16.5" customHeight="1" s="80">
      <c r="A4778" s="113" t="n"/>
      <c r="B4778" s="113" t="n"/>
      <c r="C4778" s="113" t="n"/>
      <c r="D4778" s="113" t="n"/>
      <c r="E4778" s="113" t="n"/>
      <c r="F4778" s="113" t="n"/>
      <c r="G4778" s="113" t="n"/>
      <c r="H4778" s="113" t="n"/>
      <c r="I4778" s="113" t="n"/>
      <c r="J4778" s="113" t="n"/>
      <c r="K4778" s="113" t="n"/>
      <c r="L4778" s="113" t="n"/>
      <c r="M4778" s="113" t="n"/>
      <c r="N4778" s="113" t="n"/>
      <c r="O4778" s="113" t="n"/>
      <c r="P4778" s="113" t="n"/>
      <c r="Q4778" s="113" t="n"/>
      <c r="R4778" s="113" t="n"/>
      <c r="S4778" s="113" t="n"/>
      <c r="T4778" s="113" t="n"/>
      <c r="U4778" s="113" t="n"/>
      <c r="V4778" s="113" t="n"/>
      <c r="W4778" s="113" t="n"/>
      <c r="X4778" s="113" t="n"/>
      <c r="Y4778" s="113" t="n"/>
      <c r="Z4778" s="117">
        <f>IF($B4778="",0,IF($S4778="EVET",IF($D4778="GELİR",$O4778,-$O4778),0))</f>
        <v/>
      </c>
      <c r="AA4778" s="117">
        <f>IF($B4778="",0,IF(OR($W4778="EVET",$X4778="EVET",$Y4778="EVET"),0,IF($D4778="GELİR",IF($E4778="SATIŞ İADESİ/İSKONTO",-$O4778,$O4778),-$O4778)))</f>
        <v/>
      </c>
      <c r="AB4778" s="117">
        <f>IF($B4778="","",IF(OR($D4778="",$E4778="",$O4778=""),"EKSİK",IF($O4778&lt;=0,"SIFIR/NEGATİF",IF(COUNTIFS($C$6:$C$5000,$C4778,$O$6:$O$5000,$O4778,$B$6:$B$5000,$B4778)&gt;1,"MÜKERRER","OK"))))</f>
        <v/>
      </c>
    </row>
    <row r="4779" ht="16.5" customHeight="1" s="80">
      <c r="A4779" s="113" t="n"/>
      <c r="B4779" s="113" t="n"/>
      <c r="C4779" s="113" t="n"/>
      <c r="D4779" s="113" t="n"/>
      <c r="E4779" s="113" t="n"/>
      <c r="F4779" s="113" t="n"/>
      <c r="G4779" s="113" t="n"/>
      <c r="H4779" s="113" t="n"/>
      <c r="I4779" s="113" t="n"/>
      <c r="J4779" s="113" t="n"/>
      <c r="K4779" s="113" t="n"/>
      <c r="L4779" s="113" t="n"/>
      <c r="M4779" s="113" t="n"/>
      <c r="N4779" s="113" t="n"/>
      <c r="O4779" s="113" t="n"/>
      <c r="P4779" s="113" t="n"/>
      <c r="Q4779" s="113" t="n"/>
      <c r="R4779" s="113" t="n"/>
      <c r="S4779" s="113" t="n"/>
      <c r="T4779" s="113" t="n"/>
      <c r="U4779" s="113" t="n"/>
      <c r="V4779" s="113" t="n"/>
      <c r="W4779" s="113" t="n"/>
      <c r="X4779" s="113" t="n"/>
      <c r="Y4779" s="113" t="n"/>
      <c r="Z4779" s="117">
        <f>IF($B4779="",0,IF($S4779="EVET",IF($D4779="GELİR",$O4779,-$O4779),0))</f>
        <v/>
      </c>
      <c r="AA4779" s="117">
        <f>IF($B4779="",0,IF(OR($W4779="EVET",$X4779="EVET",$Y4779="EVET"),0,IF($D4779="GELİR",IF($E4779="SATIŞ İADESİ/İSKONTO",-$O4779,$O4779),-$O4779)))</f>
        <v/>
      </c>
      <c r="AB4779" s="117">
        <f>IF($B4779="","",IF(OR($D4779="",$E4779="",$O4779=""),"EKSİK",IF($O4779&lt;=0,"SIFIR/NEGATİF",IF(COUNTIFS($C$6:$C$5000,$C4779,$O$6:$O$5000,$O4779,$B$6:$B$5000,$B4779)&gt;1,"MÜKERRER","OK"))))</f>
        <v/>
      </c>
    </row>
    <row r="4780" ht="16.5" customHeight="1" s="80">
      <c r="A4780" s="113" t="n"/>
      <c r="B4780" s="113" t="n"/>
      <c r="C4780" s="113" t="n"/>
      <c r="D4780" s="113" t="n"/>
      <c r="E4780" s="113" t="n"/>
      <c r="F4780" s="113" t="n"/>
      <c r="G4780" s="113" t="n"/>
      <c r="H4780" s="113" t="n"/>
      <c r="I4780" s="113" t="n"/>
      <c r="J4780" s="113" t="n"/>
      <c r="K4780" s="113" t="n"/>
      <c r="L4780" s="113" t="n"/>
      <c r="M4780" s="113" t="n"/>
      <c r="N4780" s="113" t="n"/>
      <c r="O4780" s="113" t="n"/>
      <c r="P4780" s="113" t="n"/>
      <c r="Q4780" s="113" t="n"/>
      <c r="R4780" s="113" t="n"/>
      <c r="S4780" s="113" t="n"/>
      <c r="T4780" s="113" t="n"/>
      <c r="U4780" s="113" t="n"/>
      <c r="V4780" s="113" t="n"/>
      <c r="W4780" s="113" t="n"/>
      <c r="X4780" s="113" t="n"/>
      <c r="Y4780" s="113" t="n"/>
      <c r="Z4780" s="117">
        <f>IF($B4780="",0,IF($S4780="EVET",IF($D4780="GELİR",$O4780,-$O4780),0))</f>
        <v/>
      </c>
      <c r="AA4780" s="117">
        <f>IF($B4780="",0,IF(OR($W4780="EVET",$X4780="EVET",$Y4780="EVET"),0,IF($D4780="GELİR",IF($E4780="SATIŞ İADESİ/İSKONTO",-$O4780,$O4780),-$O4780)))</f>
        <v/>
      </c>
      <c r="AB4780" s="117">
        <f>IF($B4780="","",IF(OR($D4780="",$E4780="",$O4780=""),"EKSİK",IF($O4780&lt;=0,"SIFIR/NEGATİF",IF(COUNTIFS($C$6:$C$5000,$C4780,$O$6:$O$5000,$O4780,$B$6:$B$5000,$B4780)&gt;1,"MÜKERRER","OK"))))</f>
        <v/>
      </c>
    </row>
    <row r="4781" ht="16.5" customHeight="1" s="80">
      <c r="A4781" s="113" t="n"/>
      <c r="B4781" s="113" t="n"/>
      <c r="C4781" s="113" t="n"/>
      <c r="D4781" s="113" t="n"/>
      <c r="E4781" s="113" t="n"/>
      <c r="F4781" s="113" t="n"/>
      <c r="G4781" s="113" t="n"/>
      <c r="H4781" s="113" t="n"/>
      <c r="I4781" s="113" t="n"/>
      <c r="J4781" s="113" t="n"/>
      <c r="K4781" s="113" t="n"/>
      <c r="L4781" s="113" t="n"/>
      <c r="M4781" s="113" t="n"/>
      <c r="N4781" s="113" t="n"/>
      <c r="O4781" s="113" t="n"/>
      <c r="P4781" s="113" t="n"/>
      <c r="Q4781" s="113" t="n"/>
      <c r="R4781" s="113" t="n"/>
      <c r="S4781" s="113" t="n"/>
      <c r="T4781" s="113" t="n"/>
      <c r="U4781" s="113" t="n"/>
      <c r="V4781" s="113" t="n"/>
      <c r="W4781" s="113" t="n"/>
      <c r="X4781" s="113" t="n"/>
      <c r="Y4781" s="113" t="n"/>
      <c r="Z4781" s="117">
        <f>IF($B4781="",0,IF($S4781="EVET",IF($D4781="GELİR",$O4781,-$O4781),0))</f>
        <v/>
      </c>
      <c r="AA4781" s="117">
        <f>IF($B4781="",0,IF(OR($W4781="EVET",$X4781="EVET",$Y4781="EVET"),0,IF($D4781="GELİR",IF($E4781="SATIŞ İADESİ/İSKONTO",-$O4781,$O4781),-$O4781)))</f>
        <v/>
      </c>
      <c r="AB4781" s="117">
        <f>IF($B4781="","",IF(OR($D4781="",$E4781="",$O4781=""),"EKSİK",IF($O4781&lt;=0,"SIFIR/NEGATİF",IF(COUNTIFS($C$6:$C$5000,$C4781,$O$6:$O$5000,$O4781,$B$6:$B$5000,$B4781)&gt;1,"MÜKERRER","OK"))))</f>
        <v/>
      </c>
    </row>
    <row r="4782" ht="16.5" customHeight="1" s="80">
      <c r="A4782" s="113" t="n"/>
      <c r="B4782" s="113" t="n"/>
      <c r="C4782" s="113" t="n"/>
      <c r="D4782" s="113" t="n"/>
      <c r="E4782" s="113" t="n"/>
      <c r="F4782" s="113" t="n"/>
      <c r="G4782" s="113" t="n"/>
      <c r="H4782" s="113" t="n"/>
      <c r="I4782" s="113" t="n"/>
      <c r="J4782" s="113" t="n"/>
      <c r="K4782" s="113" t="n"/>
      <c r="L4782" s="113" t="n"/>
      <c r="M4782" s="113" t="n"/>
      <c r="N4782" s="113" t="n"/>
      <c r="O4782" s="113" t="n"/>
      <c r="P4782" s="113" t="n"/>
      <c r="Q4782" s="113" t="n"/>
      <c r="R4782" s="113" t="n"/>
      <c r="S4782" s="113" t="n"/>
      <c r="T4782" s="113" t="n"/>
      <c r="U4782" s="113" t="n"/>
      <c r="V4782" s="113" t="n"/>
      <c r="W4782" s="113" t="n"/>
      <c r="X4782" s="113" t="n"/>
      <c r="Y4782" s="113" t="n"/>
      <c r="Z4782" s="117">
        <f>IF($B4782="",0,IF($S4782="EVET",IF($D4782="GELİR",$O4782,-$O4782),0))</f>
        <v/>
      </c>
      <c r="AA4782" s="117">
        <f>IF($B4782="",0,IF(OR($W4782="EVET",$X4782="EVET",$Y4782="EVET"),0,IF($D4782="GELİR",IF($E4782="SATIŞ İADESİ/İSKONTO",-$O4782,$O4782),-$O4782)))</f>
        <v/>
      </c>
      <c r="AB4782" s="117">
        <f>IF($B4782="","",IF(OR($D4782="",$E4782="",$O4782=""),"EKSİK",IF($O4782&lt;=0,"SIFIR/NEGATİF",IF(COUNTIFS($C$6:$C$5000,$C4782,$O$6:$O$5000,$O4782,$B$6:$B$5000,$B4782)&gt;1,"MÜKERRER","OK"))))</f>
        <v/>
      </c>
    </row>
    <row r="4783" ht="16.5" customHeight="1" s="80">
      <c r="A4783" s="113" t="n"/>
      <c r="B4783" s="113" t="n"/>
      <c r="C4783" s="113" t="n"/>
      <c r="D4783" s="113" t="n"/>
      <c r="E4783" s="113" t="n"/>
      <c r="F4783" s="113" t="n"/>
      <c r="G4783" s="113" t="n"/>
      <c r="H4783" s="113" t="n"/>
      <c r="I4783" s="113" t="n"/>
      <c r="J4783" s="113" t="n"/>
      <c r="K4783" s="113" t="n"/>
      <c r="L4783" s="113" t="n"/>
      <c r="M4783" s="113" t="n"/>
      <c r="N4783" s="113" t="n"/>
      <c r="O4783" s="113" t="n"/>
      <c r="P4783" s="113" t="n"/>
      <c r="Q4783" s="113" t="n"/>
      <c r="R4783" s="113" t="n"/>
      <c r="S4783" s="113" t="n"/>
      <c r="T4783" s="113" t="n"/>
      <c r="U4783" s="113" t="n"/>
      <c r="V4783" s="113" t="n"/>
      <c r="W4783" s="113" t="n"/>
      <c r="X4783" s="113" t="n"/>
      <c r="Y4783" s="113" t="n"/>
      <c r="Z4783" s="117">
        <f>IF($B4783="",0,IF($S4783="EVET",IF($D4783="GELİR",$O4783,-$O4783),0))</f>
        <v/>
      </c>
      <c r="AA4783" s="117">
        <f>IF($B4783="",0,IF(OR($W4783="EVET",$X4783="EVET",$Y4783="EVET"),0,IF($D4783="GELİR",IF($E4783="SATIŞ İADESİ/İSKONTO",-$O4783,$O4783),-$O4783)))</f>
        <v/>
      </c>
      <c r="AB4783" s="117">
        <f>IF($B4783="","",IF(OR($D4783="",$E4783="",$O4783=""),"EKSİK",IF($O4783&lt;=0,"SIFIR/NEGATİF",IF(COUNTIFS($C$6:$C$5000,$C4783,$O$6:$O$5000,$O4783,$B$6:$B$5000,$B4783)&gt;1,"MÜKERRER","OK"))))</f>
        <v/>
      </c>
    </row>
    <row r="4784" ht="16.5" customHeight="1" s="80">
      <c r="A4784" s="113" t="n"/>
      <c r="B4784" s="113" t="n"/>
      <c r="C4784" s="113" t="n"/>
      <c r="D4784" s="113" t="n"/>
      <c r="E4784" s="113" t="n"/>
      <c r="F4784" s="113" t="n"/>
      <c r="G4784" s="113" t="n"/>
      <c r="H4784" s="113" t="n"/>
      <c r="I4784" s="113" t="n"/>
      <c r="J4784" s="113" t="n"/>
      <c r="K4784" s="113" t="n"/>
      <c r="L4784" s="113" t="n"/>
      <c r="M4784" s="113" t="n"/>
      <c r="N4784" s="113" t="n"/>
      <c r="O4784" s="113" t="n"/>
      <c r="P4784" s="113" t="n"/>
      <c r="Q4784" s="113" t="n"/>
      <c r="R4784" s="113" t="n"/>
      <c r="S4784" s="113" t="n"/>
      <c r="T4784" s="113" t="n"/>
      <c r="U4784" s="113" t="n"/>
      <c r="V4784" s="113" t="n"/>
      <c r="W4784" s="113" t="n"/>
      <c r="X4784" s="113" t="n"/>
      <c r="Y4784" s="113" t="n"/>
      <c r="Z4784" s="117">
        <f>IF($B4784="",0,IF($S4784="EVET",IF($D4784="GELİR",$O4784,-$O4784),0))</f>
        <v/>
      </c>
      <c r="AA4784" s="117">
        <f>IF($B4784="",0,IF(OR($W4784="EVET",$X4784="EVET",$Y4784="EVET"),0,IF($D4784="GELİR",IF($E4784="SATIŞ İADESİ/İSKONTO",-$O4784,$O4784),-$O4784)))</f>
        <v/>
      </c>
      <c r="AB4784" s="117">
        <f>IF($B4784="","",IF(OR($D4784="",$E4784="",$O4784=""),"EKSİK",IF($O4784&lt;=0,"SIFIR/NEGATİF",IF(COUNTIFS($C$6:$C$5000,$C4784,$O$6:$O$5000,$O4784,$B$6:$B$5000,$B4784)&gt;1,"MÜKERRER","OK"))))</f>
        <v/>
      </c>
    </row>
    <row r="4785" ht="16.5" customHeight="1" s="80">
      <c r="A4785" s="113" t="n"/>
      <c r="B4785" s="113" t="n"/>
      <c r="C4785" s="113" t="n"/>
      <c r="D4785" s="113" t="n"/>
      <c r="E4785" s="113" t="n"/>
      <c r="F4785" s="113" t="n"/>
      <c r="G4785" s="113" t="n"/>
      <c r="H4785" s="113" t="n"/>
      <c r="I4785" s="113" t="n"/>
      <c r="J4785" s="113" t="n"/>
      <c r="K4785" s="113" t="n"/>
      <c r="L4785" s="113" t="n"/>
      <c r="M4785" s="113" t="n"/>
      <c r="N4785" s="113" t="n"/>
      <c r="O4785" s="113" t="n"/>
      <c r="P4785" s="113" t="n"/>
      <c r="Q4785" s="113" t="n"/>
      <c r="R4785" s="113" t="n"/>
      <c r="S4785" s="113" t="n"/>
      <c r="T4785" s="113" t="n"/>
      <c r="U4785" s="113" t="n"/>
      <c r="V4785" s="113" t="n"/>
      <c r="W4785" s="113" t="n"/>
      <c r="X4785" s="113" t="n"/>
      <c r="Y4785" s="113" t="n"/>
      <c r="Z4785" s="117">
        <f>IF($B4785="",0,IF($S4785="EVET",IF($D4785="GELİR",$O4785,-$O4785),0))</f>
        <v/>
      </c>
      <c r="AA4785" s="117">
        <f>IF($B4785="",0,IF(OR($W4785="EVET",$X4785="EVET",$Y4785="EVET"),0,IF($D4785="GELİR",IF($E4785="SATIŞ İADESİ/İSKONTO",-$O4785,$O4785),-$O4785)))</f>
        <v/>
      </c>
      <c r="AB4785" s="117">
        <f>IF($B4785="","",IF(OR($D4785="",$E4785="",$O4785=""),"EKSİK",IF($O4785&lt;=0,"SIFIR/NEGATİF",IF(COUNTIFS($C$6:$C$5000,$C4785,$O$6:$O$5000,$O4785,$B$6:$B$5000,$B4785)&gt;1,"MÜKERRER","OK"))))</f>
        <v/>
      </c>
    </row>
    <row r="4786" ht="16.5" customHeight="1" s="80">
      <c r="A4786" s="113" t="n"/>
      <c r="B4786" s="113" t="n"/>
      <c r="C4786" s="113" t="n"/>
      <c r="D4786" s="113" t="n"/>
      <c r="E4786" s="113" t="n"/>
      <c r="F4786" s="113" t="n"/>
      <c r="G4786" s="113" t="n"/>
      <c r="H4786" s="113" t="n"/>
      <c r="I4786" s="113" t="n"/>
      <c r="J4786" s="113" t="n"/>
      <c r="K4786" s="113" t="n"/>
      <c r="L4786" s="113" t="n"/>
      <c r="M4786" s="113" t="n"/>
      <c r="N4786" s="113" t="n"/>
      <c r="O4786" s="113" t="n"/>
      <c r="P4786" s="113" t="n"/>
      <c r="Q4786" s="113" t="n"/>
      <c r="R4786" s="113" t="n"/>
      <c r="S4786" s="113" t="n"/>
      <c r="T4786" s="113" t="n"/>
      <c r="U4786" s="113" t="n"/>
      <c r="V4786" s="113" t="n"/>
      <c r="W4786" s="113" t="n"/>
      <c r="X4786" s="113" t="n"/>
      <c r="Y4786" s="113" t="n"/>
      <c r="Z4786" s="117">
        <f>IF($B4786="",0,IF($S4786="EVET",IF($D4786="GELİR",$O4786,-$O4786),0))</f>
        <v/>
      </c>
      <c r="AA4786" s="117">
        <f>IF($B4786="",0,IF(OR($W4786="EVET",$X4786="EVET",$Y4786="EVET"),0,IF($D4786="GELİR",IF($E4786="SATIŞ İADESİ/İSKONTO",-$O4786,$O4786),-$O4786)))</f>
        <v/>
      </c>
      <c r="AB4786" s="117">
        <f>IF($B4786="","",IF(OR($D4786="",$E4786="",$O4786=""),"EKSİK",IF($O4786&lt;=0,"SIFIR/NEGATİF",IF(COUNTIFS($C$6:$C$5000,$C4786,$O$6:$O$5000,$O4786,$B$6:$B$5000,$B4786)&gt;1,"MÜKERRER","OK"))))</f>
        <v/>
      </c>
    </row>
    <row r="4787" ht="16.5" customHeight="1" s="80">
      <c r="A4787" s="113" t="n"/>
      <c r="B4787" s="113" t="n"/>
      <c r="C4787" s="113" t="n"/>
      <c r="D4787" s="113" t="n"/>
      <c r="E4787" s="113" t="n"/>
      <c r="F4787" s="113" t="n"/>
      <c r="G4787" s="113" t="n"/>
      <c r="H4787" s="113" t="n"/>
      <c r="I4787" s="113" t="n"/>
      <c r="J4787" s="113" t="n"/>
      <c r="K4787" s="113" t="n"/>
      <c r="L4787" s="113" t="n"/>
      <c r="M4787" s="113" t="n"/>
      <c r="N4787" s="113" t="n"/>
      <c r="O4787" s="113" t="n"/>
      <c r="P4787" s="113" t="n"/>
      <c r="Q4787" s="113" t="n"/>
      <c r="R4787" s="113" t="n"/>
      <c r="S4787" s="113" t="n"/>
      <c r="T4787" s="113" t="n"/>
      <c r="U4787" s="113" t="n"/>
      <c r="V4787" s="113" t="n"/>
      <c r="W4787" s="113" t="n"/>
      <c r="X4787" s="113" t="n"/>
      <c r="Y4787" s="113" t="n"/>
      <c r="Z4787" s="117">
        <f>IF($B4787="",0,IF($S4787="EVET",IF($D4787="GELİR",$O4787,-$O4787),0))</f>
        <v/>
      </c>
      <c r="AA4787" s="117">
        <f>IF($B4787="",0,IF(OR($W4787="EVET",$X4787="EVET",$Y4787="EVET"),0,IF($D4787="GELİR",IF($E4787="SATIŞ İADESİ/İSKONTO",-$O4787,$O4787),-$O4787)))</f>
        <v/>
      </c>
      <c r="AB4787" s="117">
        <f>IF($B4787="","",IF(OR($D4787="",$E4787="",$O4787=""),"EKSİK",IF($O4787&lt;=0,"SIFIR/NEGATİF",IF(COUNTIFS($C$6:$C$5000,$C4787,$O$6:$O$5000,$O4787,$B$6:$B$5000,$B4787)&gt;1,"MÜKERRER","OK"))))</f>
        <v/>
      </c>
    </row>
    <row r="4788" ht="16.5" customHeight="1" s="80">
      <c r="A4788" s="113" t="n"/>
      <c r="B4788" s="113" t="n"/>
      <c r="C4788" s="113" t="n"/>
      <c r="D4788" s="113" t="n"/>
      <c r="E4788" s="113" t="n"/>
      <c r="F4788" s="113" t="n"/>
      <c r="G4788" s="113" t="n"/>
      <c r="H4788" s="113" t="n"/>
      <c r="I4788" s="113" t="n"/>
      <c r="J4788" s="113" t="n"/>
      <c r="K4788" s="113" t="n"/>
      <c r="L4788" s="113" t="n"/>
      <c r="M4788" s="113" t="n"/>
      <c r="N4788" s="113" t="n"/>
      <c r="O4788" s="113" t="n"/>
      <c r="P4788" s="113" t="n"/>
      <c r="Q4788" s="113" t="n"/>
      <c r="R4788" s="113" t="n"/>
      <c r="S4788" s="113" t="n"/>
      <c r="T4788" s="113" t="n"/>
      <c r="U4788" s="113" t="n"/>
      <c r="V4788" s="113" t="n"/>
      <c r="W4788" s="113" t="n"/>
      <c r="X4788" s="113" t="n"/>
      <c r="Y4788" s="113" t="n"/>
      <c r="Z4788" s="117">
        <f>IF($B4788="",0,IF($S4788="EVET",IF($D4788="GELİR",$O4788,-$O4788),0))</f>
        <v/>
      </c>
      <c r="AA4788" s="117">
        <f>IF($B4788="",0,IF(OR($W4788="EVET",$X4788="EVET",$Y4788="EVET"),0,IF($D4788="GELİR",IF($E4788="SATIŞ İADESİ/İSKONTO",-$O4788,$O4788),-$O4788)))</f>
        <v/>
      </c>
      <c r="AB4788" s="117">
        <f>IF($B4788="","",IF(OR($D4788="",$E4788="",$O4788=""),"EKSİK",IF($O4788&lt;=0,"SIFIR/NEGATİF",IF(COUNTIFS($C$6:$C$5000,$C4788,$O$6:$O$5000,$O4788,$B$6:$B$5000,$B4788)&gt;1,"MÜKERRER","OK"))))</f>
        <v/>
      </c>
    </row>
    <row r="4789" ht="16.5" customHeight="1" s="80">
      <c r="A4789" s="113" t="n"/>
      <c r="B4789" s="113" t="n"/>
      <c r="C4789" s="113" t="n"/>
      <c r="D4789" s="113" t="n"/>
      <c r="E4789" s="113" t="n"/>
      <c r="F4789" s="113" t="n"/>
      <c r="G4789" s="113" t="n"/>
      <c r="H4789" s="113" t="n"/>
      <c r="I4789" s="113" t="n"/>
      <c r="J4789" s="113" t="n"/>
      <c r="K4789" s="113" t="n"/>
      <c r="L4789" s="113" t="n"/>
      <c r="M4789" s="113" t="n"/>
      <c r="N4789" s="113" t="n"/>
      <c r="O4789" s="113" t="n"/>
      <c r="P4789" s="113" t="n"/>
      <c r="Q4789" s="113" t="n"/>
      <c r="R4789" s="113" t="n"/>
      <c r="S4789" s="113" t="n"/>
      <c r="T4789" s="113" t="n"/>
      <c r="U4789" s="113" t="n"/>
      <c r="V4789" s="113" t="n"/>
      <c r="W4789" s="113" t="n"/>
      <c r="X4789" s="113" t="n"/>
      <c r="Y4789" s="113" t="n"/>
      <c r="Z4789" s="117">
        <f>IF($B4789="",0,IF($S4789="EVET",IF($D4789="GELİR",$O4789,-$O4789),0))</f>
        <v/>
      </c>
      <c r="AA4789" s="117">
        <f>IF($B4789="",0,IF(OR($W4789="EVET",$X4789="EVET",$Y4789="EVET"),0,IF($D4789="GELİR",IF($E4789="SATIŞ İADESİ/İSKONTO",-$O4789,$O4789),-$O4789)))</f>
        <v/>
      </c>
      <c r="AB4789" s="117">
        <f>IF($B4789="","",IF(OR($D4789="",$E4789="",$O4789=""),"EKSİK",IF($O4789&lt;=0,"SIFIR/NEGATİF",IF(COUNTIFS($C$6:$C$5000,$C4789,$O$6:$O$5000,$O4789,$B$6:$B$5000,$B4789)&gt;1,"MÜKERRER","OK"))))</f>
        <v/>
      </c>
    </row>
    <row r="4790" ht="16.5" customHeight="1" s="80">
      <c r="A4790" s="113" t="n"/>
      <c r="B4790" s="113" t="n"/>
      <c r="C4790" s="113" t="n"/>
      <c r="D4790" s="113" t="n"/>
      <c r="E4790" s="113" t="n"/>
      <c r="F4790" s="113" t="n"/>
      <c r="G4790" s="113" t="n"/>
      <c r="H4790" s="113" t="n"/>
      <c r="I4790" s="113" t="n"/>
      <c r="J4790" s="113" t="n"/>
      <c r="K4790" s="113" t="n"/>
      <c r="L4790" s="113" t="n"/>
      <c r="M4790" s="113" t="n"/>
      <c r="N4790" s="113" t="n"/>
      <c r="O4790" s="113" t="n"/>
      <c r="P4790" s="113" t="n"/>
      <c r="Q4790" s="113" t="n"/>
      <c r="R4790" s="113" t="n"/>
      <c r="S4790" s="113" t="n"/>
      <c r="T4790" s="113" t="n"/>
      <c r="U4790" s="113" t="n"/>
      <c r="V4790" s="113" t="n"/>
      <c r="W4790" s="113" t="n"/>
      <c r="X4790" s="113" t="n"/>
      <c r="Y4790" s="113" t="n"/>
      <c r="Z4790" s="117">
        <f>IF($B4790="",0,IF($S4790="EVET",IF($D4790="GELİR",$O4790,-$O4790),0))</f>
        <v/>
      </c>
      <c r="AA4790" s="117">
        <f>IF($B4790="",0,IF(OR($W4790="EVET",$X4790="EVET",$Y4790="EVET"),0,IF($D4790="GELİR",IF($E4790="SATIŞ İADESİ/İSKONTO",-$O4790,$O4790),-$O4790)))</f>
        <v/>
      </c>
      <c r="AB4790" s="117">
        <f>IF($B4790="","",IF(OR($D4790="",$E4790="",$O4790=""),"EKSİK",IF($O4790&lt;=0,"SIFIR/NEGATİF",IF(COUNTIFS($C$6:$C$5000,$C4790,$O$6:$O$5000,$O4790,$B$6:$B$5000,$B4790)&gt;1,"MÜKERRER","OK"))))</f>
        <v/>
      </c>
    </row>
    <row r="4791" ht="16.5" customHeight="1" s="80">
      <c r="A4791" s="113" t="n"/>
      <c r="B4791" s="113" t="n"/>
      <c r="C4791" s="113" t="n"/>
      <c r="D4791" s="113" t="n"/>
      <c r="E4791" s="113" t="n"/>
      <c r="F4791" s="113" t="n"/>
      <c r="G4791" s="113" t="n"/>
      <c r="H4791" s="113" t="n"/>
      <c r="I4791" s="113" t="n"/>
      <c r="J4791" s="113" t="n"/>
      <c r="K4791" s="113" t="n"/>
      <c r="L4791" s="113" t="n"/>
      <c r="M4791" s="113" t="n"/>
      <c r="N4791" s="113" t="n"/>
      <c r="O4791" s="113" t="n"/>
      <c r="P4791" s="113" t="n"/>
      <c r="Q4791" s="113" t="n"/>
      <c r="R4791" s="113" t="n"/>
      <c r="S4791" s="113" t="n"/>
      <c r="T4791" s="113" t="n"/>
      <c r="U4791" s="113" t="n"/>
      <c r="V4791" s="113" t="n"/>
      <c r="W4791" s="113" t="n"/>
      <c r="X4791" s="113" t="n"/>
      <c r="Y4791" s="113" t="n"/>
      <c r="Z4791" s="117">
        <f>IF($B4791="",0,IF($S4791="EVET",IF($D4791="GELİR",$O4791,-$O4791),0))</f>
        <v/>
      </c>
      <c r="AA4791" s="117">
        <f>IF($B4791="",0,IF(OR($W4791="EVET",$X4791="EVET",$Y4791="EVET"),0,IF($D4791="GELİR",IF($E4791="SATIŞ İADESİ/İSKONTO",-$O4791,$O4791),-$O4791)))</f>
        <v/>
      </c>
      <c r="AB4791" s="117">
        <f>IF($B4791="","",IF(OR($D4791="",$E4791="",$O4791=""),"EKSİK",IF($O4791&lt;=0,"SIFIR/NEGATİF",IF(COUNTIFS($C$6:$C$5000,$C4791,$O$6:$O$5000,$O4791,$B$6:$B$5000,$B4791)&gt;1,"MÜKERRER","OK"))))</f>
        <v/>
      </c>
    </row>
    <row r="4792" ht="16.5" customHeight="1" s="80">
      <c r="A4792" s="113" t="n"/>
      <c r="B4792" s="113" t="n"/>
      <c r="C4792" s="113" t="n"/>
      <c r="D4792" s="113" t="n"/>
      <c r="E4792" s="113" t="n"/>
      <c r="F4792" s="113" t="n"/>
      <c r="G4792" s="113" t="n"/>
      <c r="H4792" s="113" t="n"/>
      <c r="I4792" s="113" t="n"/>
      <c r="J4792" s="113" t="n"/>
      <c r="K4792" s="113" t="n"/>
      <c r="L4792" s="113" t="n"/>
      <c r="M4792" s="113" t="n"/>
      <c r="N4792" s="113" t="n"/>
      <c r="O4792" s="113" t="n"/>
      <c r="P4792" s="113" t="n"/>
      <c r="Q4792" s="113" t="n"/>
      <c r="R4792" s="113" t="n"/>
      <c r="S4792" s="113" t="n"/>
      <c r="T4792" s="113" t="n"/>
      <c r="U4792" s="113" t="n"/>
      <c r="V4792" s="113" t="n"/>
      <c r="W4792" s="113" t="n"/>
      <c r="X4792" s="113" t="n"/>
      <c r="Y4792" s="113" t="n"/>
      <c r="Z4792" s="117">
        <f>IF($B4792="",0,IF($S4792="EVET",IF($D4792="GELİR",$O4792,-$O4792),0))</f>
        <v/>
      </c>
      <c r="AA4792" s="117">
        <f>IF($B4792="",0,IF(OR($W4792="EVET",$X4792="EVET",$Y4792="EVET"),0,IF($D4792="GELİR",IF($E4792="SATIŞ İADESİ/İSKONTO",-$O4792,$O4792),-$O4792)))</f>
        <v/>
      </c>
      <c r="AB4792" s="117">
        <f>IF($B4792="","",IF(OR($D4792="",$E4792="",$O4792=""),"EKSİK",IF($O4792&lt;=0,"SIFIR/NEGATİF",IF(COUNTIFS($C$6:$C$5000,$C4792,$O$6:$O$5000,$O4792,$B$6:$B$5000,$B4792)&gt;1,"MÜKERRER","OK"))))</f>
        <v/>
      </c>
    </row>
    <row r="4793" ht="16.5" customHeight="1" s="80">
      <c r="A4793" s="113" t="n"/>
      <c r="B4793" s="113" t="n"/>
      <c r="C4793" s="113" t="n"/>
      <c r="D4793" s="113" t="n"/>
      <c r="E4793" s="113" t="n"/>
      <c r="F4793" s="113" t="n"/>
      <c r="G4793" s="113" t="n"/>
      <c r="H4793" s="113" t="n"/>
      <c r="I4793" s="113" t="n"/>
      <c r="J4793" s="113" t="n"/>
      <c r="K4793" s="113" t="n"/>
      <c r="L4793" s="113" t="n"/>
      <c r="M4793" s="113" t="n"/>
      <c r="N4793" s="113" t="n"/>
      <c r="O4793" s="113" t="n"/>
      <c r="P4793" s="113" t="n"/>
      <c r="Q4793" s="113" t="n"/>
      <c r="R4793" s="113" t="n"/>
      <c r="S4793" s="113" t="n"/>
      <c r="T4793" s="113" t="n"/>
      <c r="U4793" s="113" t="n"/>
      <c r="V4793" s="113" t="n"/>
      <c r="W4793" s="113" t="n"/>
      <c r="X4793" s="113" t="n"/>
      <c r="Y4793" s="113" t="n"/>
      <c r="Z4793" s="117">
        <f>IF($B4793="",0,IF($S4793="EVET",IF($D4793="GELİR",$O4793,-$O4793),0))</f>
        <v/>
      </c>
      <c r="AA4793" s="117">
        <f>IF($B4793="",0,IF(OR($W4793="EVET",$X4793="EVET",$Y4793="EVET"),0,IF($D4793="GELİR",IF($E4793="SATIŞ İADESİ/İSKONTO",-$O4793,$O4793),-$O4793)))</f>
        <v/>
      </c>
      <c r="AB4793" s="117">
        <f>IF($B4793="","",IF(OR($D4793="",$E4793="",$O4793=""),"EKSİK",IF($O4793&lt;=0,"SIFIR/NEGATİF",IF(COUNTIFS($C$6:$C$5000,$C4793,$O$6:$O$5000,$O4793,$B$6:$B$5000,$B4793)&gt;1,"MÜKERRER","OK"))))</f>
        <v/>
      </c>
    </row>
    <row r="4794" ht="16.5" customHeight="1" s="80">
      <c r="A4794" s="113" t="n"/>
      <c r="B4794" s="113" t="n"/>
      <c r="C4794" s="113" t="n"/>
      <c r="D4794" s="113" t="n"/>
      <c r="E4794" s="113" t="n"/>
      <c r="F4794" s="113" t="n"/>
      <c r="G4794" s="113" t="n"/>
      <c r="H4794" s="113" t="n"/>
      <c r="I4794" s="113" t="n"/>
      <c r="J4794" s="113" t="n"/>
      <c r="K4794" s="113" t="n"/>
      <c r="L4794" s="113" t="n"/>
      <c r="M4794" s="113" t="n"/>
      <c r="N4794" s="113" t="n"/>
      <c r="O4794" s="113" t="n"/>
      <c r="P4794" s="113" t="n"/>
      <c r="Q4794" s="113" t="n"/>
      <c r="R4794" s="113" t="n"/>
      <c r="S4794" s="113" t="n"/>
      <c r="T4794" s="113" t="n"/>
      <c r="U4794" s="113" t="n"/>
      <c r="V4794" s="113" t="n"/>
      <c r="W4794" s="113" t="n"/>
      <c r="X4794" s="113" t="n"/>
      <c r="Y4794" s="113" t="n"/>
      <c r="Z4794" s="117">
        <f>IF($B4794="",0,IF($S4794="EVET",IF($D4794="GELİR",$O4794,-$O4794),0))</f>
        <v/>
      </c>
      <c r="AA4794" s="117">
        <f>IF($B4794="",0,IF(OR($W4794="EVET",$X4794="EVET",$Y4794="EVET"),0,IF($D4794="GELİR",IF($E4794="SATIŞ İADESİ/İSKONTO",-$O4794,$O4794),-$O4794)))</f>
        <v/>
      </c>
      <c r="AB4794" s="117">
        <f>IF($B4794="","",IF(OR($D4794="",$E4794="",$O4794=""),"EKSİK",IF($O4794&lt;=0,"SIFIR/NEGATİF",IF(COUNTIFS($C$6:$C$5000,$C4794,$O$6:$O$5000,$O4794,$B$6:$B$5000,$B4794)&gt;1,"MÜKERRER","OK"))))</f>
        <v/>
      </c>
    </row>
    <row r="4795" ht="16.5" customHeight="1" s="80">
      <c r="A4795" s="113" t="n"/>
      <c r="B4795" s="113" t="n"/>
      <c r="C4795" s="113" t="n"/>
      <c r="D4795" s="113" t="n"/>
      <c r="E4795" s="113" t="n"/>
      <c r="F4795" s="113" t="n"/>
      <c r="G4795" s="113" t="n"/>
      <c r="H4795" s="113" t="n"/>
      <c r="I4795" s="113" t="n"/>
      <c r="J4795" s="113" t="n"/>
      <c r="K4795" s="113" t="n"/>
      <c r="L4795" s="113" t="n"/>
      <c r="M4795" s="113" t="n"/>
      <c r="N4795" s="113" t="n"/>
      <c r="O4795" s="113" t="n"/>
      <c r="P4795" s="113" t="n"/>
      <c r="Q4795" s="113" t="n"/>
      <c r="R4795" s="113" t="n"/>
      <c r="S4795" s="113" t="n"/>
      <c r="T4795" s="113" t="n"/>
      <c r="U4795" s="113" t="n"/>
      <c r="V4795" s="113" t="n"/>
      <c r="W4795" s="113" t="n"/>
      <c r="X4795" s="113" t="n"/>
      <c r="Y4795" s="113" t="n"/>
      <c r="Z4795" s="117">
        <f>IF($B4795="",0,IF($S4795="EVET",IF($D4795="GELİR",$O4795,-$O4795),0))</f>
        <v/>
      </c>
      <c r="AA4795" s="117">
        <f>IF($B4795="",0,IF(OR($W4795="EVET",$X4795="EVET",$Y4795="EVET"),0,IF($D4795="GELİR",IF($E4795="SATIŞ İADESİ/İSKONTO",-$O4795,$O4795),-$O4795)))</f>
        <v/>
      </c>
      <c r="AB4795" s="117">
        <f>IF($B4795="","",IF(OR($D4795="",$E4795="",$O4795=""),"EKSİK",IF($O4795&lt;=0,"SIFIR/NEGATİF",IF(COUNTIFS($C$6:$C$5000,$C4795,$O$6:$O$5000,$O4795,$B$6:$B$5000,$B4795)&gt;1,"MÜKERRER","OK"))))</f>
        <v/>
      </c>
    </row>
    <row r="4796" ht="16.5" customHeight="1" s="80">
      <c r="A4796" s="113" t="n"/>
      <c r="B4796" s="113" t="n"/>
      <c r="C4796" s="113" t="n"/>
      <c r="D4796" s="113" t="n"/>
      <c r="E4796" s="113" t="n"/>
      <c r="F4796" s="113" t="n"/>
      <c r="G4796" s="113" t="n"/>
      <c r="H4796" s="113" t="n"/>
      <c r="I4796" s="113" t="n"/>
      <c r="J4796" s="113" t="n"/>
      <c r="K4796" s="113" t="n"/>
      <c r="L4796" s="113" t="n"/>
      <c r="M4796" s="113" t="n"/>
      <c r="N4796" s="113" t="n"/>
      <c r="O4796" s="113" t="n"/>
      <c r="P4796" s="113" t="n"/>
      <c r="Q4796" s="113" t="n"/>
      <c r="R4796" s="113" t="n"/>
      <c r="S4796" s="113" t="n"/>
      <c r="T4796" s="113" t="n"/>
      <c r="U4796" s="113" t="n"/>
      <c r="V4796" s="113" t="n"/>
      <c r="W4796" s="113" t="n"/>
      <c r="X4796" s="113" t="n"/>
      <c r="Y4796" s="113" t="n"/>
      <c r="Z4796" s="117">
        <f>IF($B4796="",0,IF($S4796="EVET",IF($D4796="GELİR",$O4796,-$O4796),0))</f>
        <v/>
      </c>
      <c r="AA4796" s="117">
        <f>IF($B4796="",0,IF(OR($W4796="EVET",$X4796="EVET",$Y4796="EVET"),0,IF($D4796="GELİR",IF($E4796="SATIŞ İADESİ/İSKONTO",-$O4796,$O4796),-$O4796)))</f>
        <v/>
      </c>
      <c r="AB4796" s="117">
        <f>IF($B4796="","",IF(OR($D4796="",$E4796="",$O4796=""),"EKSİK",IF($O4796&lt;=0,"SIFIR/NEGATİF",IF(COUNTIFS($C$6:$C$5000,$C4796,$O$6:$O$5000,$O4796,$B$6:$B$5000,$B4796)&gt;1,"MÜKERRER","OK"))))</f>
        <v/>
      </c>
    </row>
    <row r="4797" ht="16.5" customHeight="1" s="80">
      <c r="A4797" s="113" t="n"/>
      <c r="B4797" s="113" t="n"/>
      <c r="C4797" s="113" t="n"/>
      <c r="D4797" s="113" t="n"/>
      <c r="E4797" s="113" t="n"/>
      <c r="F4797" s="113" t="n"/>
      <c r="G4797" s="113" t="n"/>
      <c r="H4797" s="113" t="n"/>
      <c r="I4797" s="113" t="n"/>
      <c r="J4797" s="113" t="n"/>
      <c r="K4797" s="113" t="n"/>
      <c r="L4797" s="113" t="n"/>
      <c r="M4797" s="113" t="n"/>
      <c r="N4797" s="113" t="n"/>
      <c r="O4797" s="113" t="n"/>
      <c r="P4797" s="113" t="n"/>
      <c r="Q4797" s="113" t="n"/>
      <c r="R4797" s="113" t="n"/>
      <c r="S4797" s="113" t="n"/>
      <c r="T4797" s="113" t="n"/>
      <c r="U4797" s="113" t="n"/>
      <c r="V4797" s="113" t="n"/>
      <c r="W4797" s="113" t="n"/>
      <c r="X4797" s="113" t="n"/>
      <c r="Y4797" s="113" t="n"/>
      <c r="Z4797" s="117">
        <f>IF($B4797="",0,IF($S4797="EVET",IF($D4797="GELİR",$O4797,-$O4797),0))</f>
        <v/>
      </c>
      <c r="AA4797" s="117">
        <f>IF($B4797="",0,IF(OR($W4797="EVET",$X4797="EVET",$Y4797="EVET"),0,IF($D4797="GELİR",IF($E4797="SATIŞ İADESİ/İSKONTO",-$O4797,$O4797),-$O4797)))</f>
        <v/>
      </c>
      <c r="AB4797" s="117">
        <f>IF($B4797="","",IF(OR($D4797="",$E4797="",$O4797=""),"EKSİK",IF($O4797&lt;=0,"SIFIR/NEGATİF",IF(COUNTIFS($C$6:$C$5000,$C4797,$O$6:$O$5000,$O4797,$B$6:$B$5000,$B4797)&gt;1,"MÜKERRER","OK"))))</f>
        <v/>
      </c>
    </row>
    <row r="4798" ht="16.5" customHeight="1" s="80">
      <c r="A4798" s="113" t="n"/>
      <c r="B4798" s="113" t="n"/>
      <c r="C4798" s="113" t="n"/>
      <c r="D4798" s="113" t="n"/>
      <c r="E4798" s="113" t="n"/>
      <c r="F4798" s="113" t="n"/>
      <c r="G4798" s="113" t="n"/>
      <c r="H4798" s="113" t="n"/>
      <c r="I4798" s="113" t="n"/>
      <c r="J4798" s="113" t="n"/>
      <c r="K4798" s="113" t="n"/>
      <c r="L4798" s="113" t="n"/>
      <c r="M4798" s="113" t="n"/>
      <c r="N4798" s="113" t="n"/>
      <c r="O4798" s="113" t="n"/>
      <c r="P4798" s="113" t="n"/>
      <c r="Q4798" s="113" t="n"/>
      <c r="R4798" s="113" t="n"/>
      <c r="S4798" s="113" t="n"/>
      <c r="T4798" s="113" t="n"/>
      <c r="U4798" s="113" t="n"/>
      <c r="V4798" s="113" t="n"/>
      <c r="W4798" s="113" t="n"/>
      <c r="X4798" s="113" t="n"/>
      <c r="Y4798" s="113" t="n"/>
      <c r="Z4798" s="117">
        <f>IF($B4798="",0,IF($S4798="EVET",IF($D4798="GELİR",$O4798,-$O4798),0))</f>
        <v/>
      </c>
      <c r="AA4798" s="117">
        <f>IF($B4798="",0,IF(OR($W4798="EVET",$X4798="EVET",$Y4798="EVET"),0,IF($D4798="GELİR",IF($E4798="SATIŞ İADESİ/İSKONTO",-$O4798,$O4798),-$O4798)))</f>
        <v/>
      </c>
      <c r="AB4798" s="117">
        <f>IF($B4798="","",IF(OR($D4798="",$E4798="",$O4798=""),"EKSİK",IF($O4798&lt;=0,"SIFIR/NEGATİF",IF(COUNTIFS($C$6:$C$5000,$C4798,$O$6:$O$5000,$O4798,$B$6:$B$5000,$B4798)&gt;1,"MÜKERRER","OK"))))</f>
        <v/>
      </c>
    </row>
    <row r="4799" ht="16.5" customHeight="1" s="80">
      <c r="A4799" s="113" t="n"/>
      <c r="B4799" s="113" t="n"/>
      <c r="C4799" s="113" t="n"/>
      <c r="D4799" s="113" t="n"/>
      <c r="E4799" s="113" t="n"/>
      <c r="F4799" s="113" t="n"/>
      <c r="G4799" s="113" t="n"/>
      <c r="H4799" s="113" t="n"/>
      <c r="I4799" s="113" t="n"/>
      <c r="J4799" s="113" t="n"/>
      <c r="K4799" s="113" t="n"/>
      <c r="L4799" s="113" t="n"/>
      <c r="M4799" s="113" t="n"/>
      <c r="N4799" s="113" t="n"/>
      <c r="O4799" s="113" t="n"/>
      <c r="P4799" s="113" t="n"/>
      <c r="Q4799" s="113" t="n"/>
      <c r="R4799" s="113" t="n"/>
      <c r="S4799" s="113" t="n"/>
      <c r="T4799" s="113" t="n"/>
      <c r="U4799" s="113" t="n"/>
      <c r="V4799" s="113" t="n"/>
      <c r="W4799" s="113" t="n"/>
      <c r="X4799" s="113" t="n"/>
      <c r="Y4799" s="113" t="n"/>
      <c r="Z4799" s="117">
        <f>IF($B4799="",0,IF($S4799="EVET",IF($D4799="GELİR",$O4799,-$O4799),0))</f>
        <v/>
      </c>
      <c r="AA4799" s="117">
        <f>IF($B4799="",0,IF(OR($W4799="EVET",$X4799="EVET",$Y4799="EVET"),0,IF($D4799="GELİR",IF($E4799="SATIŞ İADESİ/İSKONTO",-$O4799,$O4799),-$O4799)))</f>
        <v/>
      </c>
      <c r="AB4799" s="117">
        <f>IF($B4799="","",IF(OR($D4799="",$E4799="",$O4799=""),"EKSİK",IF($O4799&lt;=0,"SIFIR/NEGATİF",IF(COUNTIFS($C$6:$C$5000,$C4799,$O$6:$O$5000,$O4799,$B$6:$B$5000,$B4799)&gt;1,"MÜKERRER","OK"))))</f>
        <v/>
      </c>
    </row>
    <row r="4800" ht="16.5" customHeight="1" s="80">
      <c r="A4800" s="113" t="n"/>
      <c r="B4800" s="113" t="n"/>
      <c r="C4800" s="113" t="n"/>
      <c r="D4800" s="113" t="n"/>
      <c r="E4800" s="113" t="n"/>
      <c r="F4800" s="113" t="n"/>
      <c r="G4800" s="113" t="n"/>
      <c r="H4800" s="113" t="n"/>
      <c r="I4800" s="113" t="n"/>
      <c r="J4800" s="113" t="n"/>
      <c r="K4800" s="113" t="n"/>
      <c r="L4800" s="113" t="n"/>
      <c r="M4800" s="113" t="n"/>
      <c r="N4800" s="113" t="n"/>
      <c r="O4800" s="113" t="n"/>
      <c r="P4800" s="113" t="n"/>
      <c r="Q4800" s="113" t="n"/>
      <c r="R4800" s="113" t="n"/>
      <c r="S4800" s="113" t="n"/>
      <c r="T4800" s="113" t="n"/>
      <c r="U4800" s="113" t="n"/>
      <c r="V4800" s="113" t="n"/>
      <c r="W4800" s="113" t="n"/>
      <c r="X4800" s="113" t="n"/>
      <c r="Y4800" s="113" t="n"/>
      <c r="Z4800" s="117">
        <f>IF($B4800="",0,IF($S4800="EVET",IF($D4800="GELİR",$O4800,-$O4800),0))</f>
        <v/>
      </c>
      <c r="AA4800" s="117">
        <f>IF($B4800="",0,IF(OR($W4800="EVET",$X4800="EVET",$Y4800="EVET"),0,IF($D4800="GELİR",IF($E4800="SATIŞ İADESİ/İSKONTO",-$O4800,$O4800),-$O4800)))</f>
        <v/>
      </c>
      <c r="AB4800" s="117">
        <f>IF($B4800="","",IF(OR($D4800="",$E4800="",$O4800=""),"EKSİK",IF($O4800&lt;=0,"SIFIR/NEGATİF",IF(COUNTIFS($C$6:$C$5000,$C4800,$O$6:$O$5000,$O4800,$B$6:$B$5000,$B4800)&gt;1,"MÜKERRER","OK"))))</f>
        <v/>
      </c>
    </row>
    <row r="4801" ht="16.5" customHeight="1" s="80">
      <c r="A4801" s="113" t="n"/>
      <c r="B4801" s="113" t="n"/>
      <c r="C4801" s="113" t="n"/>
      <c r="D4801" s="113" t="n"/>
      <c r="E4801" s="113" t="n"/>
      <c r="F4801" s="113" t="n"/>
      <c r="G4801" s="113" t="n"/>
      <c r="H4801" s="113" t="n"/>
      <c r="I4801" s="113" t="n"/>
      <c r="J4801" s="113" t="n"/>
      <c r="K4801" s="113" t="n"/>
      <c r="L4801" s="113" t="n"/>
      <c r="M4801" s="113" t="n"/>
      <c r="N4801" s="113" t="n"/>
      <c r="O4801" s="113" t="n"/>
      <c r="P4801" s="113" t="n"/>
      <c r="Q4801" s="113" t="n"/>
      <c r="R4801" s="113" t="n"/>
      <c r="S4801" s="113" t="n"/>
      <c r="T4801" s="113" t="n"/>
      <c r="U4801" s="113" t="n"/>
      <c r="V4801" s="113" t="n"/>
      <c r="W4801" s="113" t="n"/>
      <c r="X4801" s="113" t="n"/>
      <c r="Y4801" s="113" t="n"/>
      <c r="Z4801" s="117">
        <f>IF($B4801="",0,IF($S4801="EVET",IF($D4801="GELİR",$O4801,-$O4801),0))</f>
        <v/>
      </c>
      <c r="AA4801" s="117">
        <f>IF($B4801="",0,IF(OR($W4801="EVET",$X4801="EVET",$Y4801="EVET"),0,IF($D4801="GELİR",IF($E4801="SATIŞ İADESİ/İSKONTO",-$O4801,$O4801),-$O4801)))</f>
        <v/>
      </c>
      <c r="AB4801" s="117">
        <f>IF($B4801="","",IF(OR($D4801="",$E4801="",$O4801=""),"EKSİK",IF($O4801&lt;=0,"SIFIR/NEGATİF",IF(COUNTIFS($C$6:$C$5000,$C4801,$O$6:$O$5000,$O4801,$B$6:$B$5000,$B4801)&gt;1,"MÜKERRER","OK"))))</f>
        <v/>
      </c>
    </row>
    <row r="4802" ht="16.5" customHeight="1" s="80">
      <c r="A4802" s="113" t="n"/>
      <c r="B4802" s="113" t="n"/>
      <c r="C4802" s="113" t="n"/>
      <c r="D4802" s="113" t="n"/>
      <c r="E4802" s="113" t="n"/>
      <c r="F4802" s="113" t="n"/>
      <c r="G4802" s="113" t="n"/>
      <c r="H4802" s="113" t="n"/>
      <c r="I4802" s="113" t="n"/>
      <c r="J4802" s="113" t="n"/>
      <c r="K4802" s="113" t="n"/>
      <c r="L4802" s="113" t="n"/>
      <c r="M4802" s="113" t="n"/>
      <c r="N4802" s="113" t="n"/>
      <c r="O4802" s="113" t="n"/>
      <c r="P4802" s="113" t="n"/>
      <c r="Q4802" s="113" t="n"/>
      <c r="R4802" s="113" t="n"/>
      <c r="S4802" s="113" t="n"/>
      <c r="T4802" s="113" t="n"/>
      <c r="U4802" s="113" t="n"/>
      <c r="V4802" s="113" t="n"/>
      <c r="W4802" s="113" t="n"/>
      <c r="X4802" s="113" t="n"/>
      <c r="Y4802" s="113" t="n"/>
      <c r="Z4802" s="117">
        <f>IF($B4802="",0,IF($S4802="EVET",IF($D4802="GELİR",$O4802,-$O4802),0))</f>
        <v/>
      </c>
      <c r="AA4802" s="117">
        <f>IF($B4802="",0,IF(OR($W4802="EVET",$X4802="EVET",$Y4802="EVET"),0,IF($D4802="GELİR",IF($E4802="SATIŞ İADESİ/İSKONTO",-$O4802,$O4802),-$O4802)))</f>
        <v/>
      </c>
      <c r="AB4802" s="117">
        <f>IF($B4802="","",IF(OR($D4802="",$E4802="",$O4802=""),"EKSİK",IF($O4802&lt;=0,"SIFIR/NEGATİF",IF(COUNTIFS($C$6:$C$5000,$C4802,$O$6:$O$5000,$O4802,$B$6:$B$5000,$B4802)&gt;1,"MÜKERRER","OK"))))</f>
        <v/>
      </c>
    </row>
    <row r="4803" ht="16.5" customHeight="1" s="80">
      <c r="A4803" s="113" t="n"/>
      <c r="B4803" s="113" t="n"/>
      <c r="C4803" s="113" t="n"/>
      <c r="D4803" s="113" t="n"/>
      <c r="E4803" s="113" t="n"/>
      <c r="F4803" s="113" t="n"/>
      <c r="G4803" s="113" t="n"/>
      <c r="H4803" s="113" t="n"/>
      <c r="I4803" s="113" t="n"/>
      <c r="J4803" s="113" t="n"/>
      <c r="K4803" s="113" t="n"/>
      <c r="L4803" s="113" t="n"/>
      <c r="M4803" s="113" t="n"/>
      <c r="N4803" s="113" t="n"/>
      <c r="O4803" s="113" t="n"/>
      <c r="P4803" s="113" t="n"/>
      <c r="Q4803" s="113" t="n"/>
      <c r="R4803" s="113" t="n"/>
      <c r="S4803" s="113" t="n"/>
      <c r="T4803" s="113" t="n"/>
      <c r="U4803" s="113" t="n"/>
      <c r="V4803" s="113" t="n"/>
      <c r="W4803" s="113" t="n"/>
      <c r="X4803" s="113" t="n"/>
      <c r="Y4803" s="113" t="n"/>
      <c r="Z4803" s="117">
        <f>IF($B4803="",0,IF($S4803="EVET",IF($D4803="GELİR",$O4803,-$O4803),0))</f>
        <v/>
      </c>
      <c r="AA4803" s="117">
        <f>IF($B4803="",0,IF(OR($W4803="EVET",$X4803="EVET",$Y4803="EVET"),0,IF($D4803="GELİR",IF($E4803="SATIŞ İADESİ/İSKONTO",-$O4803,$O4803),-$O4803)))</f>
        <v/>
      </c>
      <c r="AB4803" s="117">
        <f>IF($B4803="","",IF(OR($D4803="",$E4803="",$O4803=""),"EKSİK",IF($O4803&lt;=0,"SIFIR/NEGATİF",IF(COUNTIFS($C$6:$C$5000,$C4803,$O$6:$O$5000,$O4803,$B$6:$B$5000,$B4803)&gt;1,"MÜKERRER","OK"))))</f>
        <v/>
      </c>
    </row>
    <row r="4804" ht="16.5" customHeight="1" s="80">
      <c r="A4804" s="113" t="n"/>
      <c r="B4804" s="113" t="n"/>
      <c r="C4804" s="113" t="n"/>
      <c r="D4804" s="113" t="n"/>
      <c r="E4804" s="113" t="n"/>
      <c r="F4804" s="113" t="n"/>
      <c r="G4804" s="113" t="n"/>
      <c r="H4804" s="113" t="n"/>
      <c r="I4804" s="113" t="n"/>
      <c r="J4804" s="113" t="n"/>
      <c r="K4804" s="113" t="n"/>
      <c r="L4804" s="113" t="n"/>
      <c r="M4804" s="113" t="n"/>
      <c r="N4804" s="113" t="n"/>
      <c r="O4804" s="113" t="n"/>
      <c r="P4804" s="113" t="n"/>
      <c r="Q4804" s="113" t="n"/>
      <c r="R4804" s="113" t="n"/>
      <c r="S4804" s="113" t="n"/>
      <c r="T4804" s="113" t="n"/>
      <c r="U4804" s="113" t="n"/>
      <c r="V4804" s="113" t="n"/>
      <c r="W4804" s="113" t="n"/>
      <c r="X4804" s="113" t="n"/>
      <c r="Y4804" s="113" t="n"/>
      <c r="Z4804" s="117">
        <f>IF($B4804="",0,IF($S4804="EVET",IF($D4804="GELİR",$O4804,-$O4804),0))</f>
        <v/>
      </c>
      <c r="AA4804" s="117">
        <f>IF($B4804="",0,IF(OR($W4804="EVET",$X4804="EVET",$Y4804="EVET"),0,IF($D4804="GELİR",IF($E4804="SATIŞ İADESİ/İSKONTO",-$O4804,$O4804),-$O4804)))</f>
        <v/>
      </c>
      <c r="AB4804" s="117">
        <f>IF($B4804="","",IF(OR($D4804="",$E4804="",$O4804=""),"EKSİK",IF($O4804&lt;=0,"SIFIR/NEGATİF",IF(COUNTIFS($C$6:$C$5000,$C4804,$O$6:$O$5000,$O4804,$B$6:$B$5000,$B4804)&gt;1,"MÜKERRER","OK"))))</f>
        <v/>
      </c>
    </row>
    <row r="4805" ht="16.5" customHeight="1" s="80">
      <c r="A4805" s="113" t="n"/>
      <c r="B4805" s="113" t="n"/>
      <c r="C4805" s="113" t="n"/>
      <c r="D4805" s="113" t="n"/>
      <c r="E4805" s="113" t="n"/>
      <c r="F4805" s="113" t="n"/>
      <c r="G4805" s="113" t="n"/>
      <c r="H4805" s="113" t="n"/>
      <c r="I4805" s="113" t="n"/>
      <c r="J4805" s="113" t="n"/>
      <c r="K4805" s="113" t="n"/>
      <c r="L4805" s="113" t="n"/>
      <c r="M4805" s="113" t="n"/>
      <c r="N4805" s="113" t="n"/>
      <c r="O4805" s="113" t="n"/>
      <c r="P4805" s="113" t="n"/>
      <c r="Q4805" s="113" t="n"/>
      <c r="R4805" s="113" t="n"/>
      <c r="S4805" s="113" t="n"/>
      <c r="T4805" s="113" t="n"/>
      <c r="U4805" s="113" t="n"/>
      <c r="V4805" s="113" t="n"/>
      <c r="W4805" s="113" t="n"/>
      <c r="X4805" s="113" t="n"/>
      <c r="Y4805" s="113" t="n"/>
      <c r="Z4805" s="117">
        <f>IF($B4805="",0,IF($S4805="EVET",IF($D4805="GELİR",$O4805,-$O4805),0))</f>
        <v/>
      </c>
      <c r="AA4805" s="117">
        <f>IF($B4805="",0,IF(OR($W4805="EVET",$X4805="EVET",$Y4805="EVET"),0,IF($D4805="GELİR",IF($E4805="SATIŞ İADESİ/İSKONTO",-$O4805,$O4805),-$O4805)))</f>
        <v/>
      </c>
      <c r="AB4805" s="117">
        <f>IF($B4805="","",IF(OR($D4805="",$E4805="",$O4805=""),"EKSİK",IF($O4805&lt;=0,"SIFIR/NEGATİF",IF(COUNTIFS($C$6:$C$5000,$C4805,$O$6:$O$5000,$O4805,$B$6:$B$5000,$B4805)&gt;1,"MÜKERRER","OK"))))</f>
        <v/>
      </c>
    </row>
    <row r="4806" ht="16.5" customHeight="1" s="80">
      <c r="A4806" s="113" t="n"/>
      <c r="B4806" s="113" t="n"/>
      <c r="C4806" s="113" t="n"/>
      <c r="D4806" s="113" t="n"/>
      <c r="E4806" s="113" t="n"/>
      <c r="F4806" s="113" t="n"/>
      <c r="G4806" s="113" t="n"/>
      <c r="H4806" s="113" t="n"/>
      <c r="I4806" s="113" t="n"/>
      <c r="J4806" s="113" t="n"/>
      <c r="K4806" s="113" t="n"/>
      <c r="L4806" s="113" t="n"/>
      <c r="M4806" s="113" t="n"/>
      <c r="N4806" s="113" t="n"/>
      <c r="O4806" s="113" t="n"/>
      <c r="P4806" s="113" t="n"/>
      <c r="Q4806" s="113" t="n"/>
      <c r="R4806" s="113" t="n"/>
      <c r="S4806" s="113" t="n"/>
      <c r="T4806" s="113" t="n"/>
      <c r="U4806" s="113" t="n"/>
      <c r="V4806" s="113" t="n"/>
      <c r="W4806" s="113" t="n"/>
      <c r="X4806" s="113" t="n"/>
      <c r="Y4806" s="113" t="n"/>
      <c r="Z4806" s="117">
        <f>IF($B4806="",0,IF($S4806="EVET",IF($D4806="GELİR",$O4806,-$O4806),0))</f>
        <v/>
      </c>
      <c r="AA4806" s="117">
        <f>IF($B4806="",0,IF(OR($W4806="EVET",$X4806="EVET",$Y4806="EVET"),0,IF($D4806="GELİR",IF($E4806="SATIŞ İADESİ/İSKONTO",-$O4806,$O4806),-$O4806)))</f>
        <v/>
      </c>
      <c r="AB4806" s="117">
        <f>IF($B4806="","",IF(OR($D4806="",$E4806="",$O4806=""),"EKSİK",IF($O4806&lt;=0,"SIFIR/NEGATİF",IF(COUNTIFS($C$6:$C$5000,$C4806,$O$6:$O$5000,$O4806,$B$6:$B$5000,$B4806)&gt;1,"MÜKERRER","OK"))))</f>
        <v/>
      </c>
    </row>
    <row r="4807" ht="16.5" customHeight="1" s="80">
      <c r="A4807" s="113" t="n"/>
      <c r="B4807" s="113" t="n"/>
      <c r="C4807" s="113" t="n"/>
      <c r="D4807" s="113" t="n"/>
      <c r="E4807" s="113" t="n"/>
      <c r="F4807" s="113" t="n"/>
      <c r="G4807" s="113" t="n"/>
      <c r="H4807" s="113" t="n"/>
      <c r="I4807" s="113" t="n"/>
      <c r="J4807" s="113" t="n"/>
      <c r="K4807" s="113" t="n"/>
      <c r="L4807" s="113" t="n"/>
      <c r="M4807" s="113" t="n"/>
      <c r="N4807" s="113" t="n"/>
      <c r="O4807" s="113" t="n"/>
      <c r="P4807" s="113" t="n"/>
      <c r="Q4807" s="113" t="n"/>
      <c r="R4807" s="113" t="n"/>
      <c r="S4807" s="113" t="n"/>
      <c r="T4807" s="113" t="n"/>
      <c r="U4807" s="113" t="n"/>
      <c r="V4807" s="113" t="n"/>
      <c r="W4807" s="113" t="n"/>
      <c r="X4807" s="113" t="n"/>
      <c r="Y4807" s="113" t="n"/>
      <c r="Z4807" s="117">
        <f>IF($B4807="",0,IF($S4807="EVET",IF($D4807="GELİR",$O4807,-$O4807),0))</f>
        <v/>
      </c>
      <c r="AA4807" s="117">
        <f>IF($B4807="",0,IF(OR($W4807="EVET",$X4807="EVET",$Y4807="EVET"),0,IF($D4807="GELİR",IF($E4807="SATIŞ İADESİ/İSKONTO",-$O4807,$O4807),-$O4807)))</f>
        <v/>
      </c>
      <c r="AB4807" s="117">
        <f>IF($B4807="","",IF(OR($D4807="",$E4807="",$O4807=""),"EKSİK",IF($O4807&lt;=0,"SIFIR/NEGATİF",IF(COUNTIFS($C$6:$C$5000,$C4807,$O$6:$O$5000,$O4807,$B$6:$B$5000,$B4807)&gt;1,"MÜKERRER","OK"))))</f>
        <v/>
      </c>
    </row>
    <row r="4808" ht="16.5" customHeight="1" s="80">
      <c r="A4808" s="113" t="n"/>
      <c r="B4808" s="113" t="n"/>
      <c r="C4808" s="113" t="n"/>
      <c r="D4808" s="113" t="n"/>
      <c r="E4808" s="113" t="n"/>
      <c r="F4808" s="113" t="n"/>
      <c r="G4808" s="113" t="n"/>
      <c r="H4808" s="113" t="n"/>
      <c r="I4808" s="113" t="n"/>
      <c r="J4808" s="113" t="n"/>
      <c r="K4808" s="113" t="n"/>
      <c r="L4808" s="113" t="n"/>
      <c r="M4808" s="113" t="n"/>
      <c r="N4808" s="113" t="n"/>
      <c r="O4808" s="113" t="n"/>
      <c r="P4808" s="113" t="n"/>
      <c r="Q4808" s="113" t="n"/>
      <c r="R4808" s="113" t="n"/>
      <c r="S4808" s="113" t="n"/>
      <c r="T4808" s="113" t="n"/>
      <c r="U4808" s="113" t="n"/>
      <c r="V4808" s="113" t="n"/>
      <c r="W4808" s="113" t="n"/>
      <c r="X4808" s="113" t="n"/>
      <c r="Y4808" s="113" t="n"/>
      <c r="Z4808" s="117">
        <f>IF($B4808="",0,IF($S4808="EVET",IF($D4808="GELİR",$O4808,-$O4808),0))</f>
        <v/>
      </c>
      <c r="AA4808" s="117">
        <f>IF($B4808="",0,IF(OR($W4808="EVET",$X4808="EVET",$Y4808="EVET"),0,IF($D4808="GELİR",IF($E4808="SATIŞ İADESİ/İSKONTO",-$O4808,$O4808),-$O4808)))</f>
        <v/>
      </c>
      <c r="AB4808" s="117">
        <f>IF($B4808="","",IF(OR($D4808="",$E4808="",$O4808=""),"EKSİK",IF($O4808&lt;=0,"SIFIR/NEGATİF",IF(COUNTIFS($C$6:$C$5000,$C4808,$O$6:$O$5000,$O4808,$B$6:$B$5000,$B4808)&gt;1,"MÜKERRER","OK"))))</f>
        <v/>
      </c>
    </row>
    <row r="4809" ht="16.5" customHeight="1" s="80">
      <c r="A4809" s="113" t="n"/>
      <c r="B4809" s="113" t="n"/>
      <c r="C4809" s="113" t="n"/>
      <c r="D4809" s="113" t="n"/>
      <c r="E4809" s="113" t="n"/>
      <c r="F4809" s="113" t="n"/>
      <c r="G4809" s="113" t="n"/>
      <c r="H4809" s="113" t="n"/>
      <c r="I4809" s="113" t="n"/>
      <c r="J4809" s="113" t="n"/>
      <c r="K4809" s="113" t="n"/>
      <c r="L4809" s="113" t="n"/>
      <c r="M4809" s="113" t="n"/>
      <c r="N4809" s="113" t="n"/>
      <c r="O4809" s="113" t="n"/>
      <c r="P4809" s="113" t="n"/>
      <c r="Q4809" s="113" t="n"/>
      <c r="R4809" s="113" t="n"/>
      <c r="S4809" s="113" t="n"/>
      <c r="T4809" s="113" t="n"/>
      <c r="U4809" s="113" t="n"/>
      <c r="V4809" s="113" t="n"/>
      <c r="W4809" s="113" t="n"/>
      <c r="X4809" s="113" t="n"/>
      <c r="Y4809" s="113" t="n"/>
      <c r="Z4809" s="117">
        <f>IF($B4809="",0,IF($S4809="EVET",IF($D4809="GELİR",$O4809,-$O4809),0))</f>
        <v/>
      </c>
      <c r="AA4809" s="117">
        <f>IF($B4809="",0,IF(OR($W4809="EVET",$X4809="EVET",$Y4809="EVET"),0,IF($D4809="GELİR",IF($E4809="SATIŞ İADESİ/İSKONTO",-$O4809,$O4809),-$O4809)))</f>
        <v/>
      </c>
      <c r="AB4809" s="117">
        <f>IF($B4809="","",IF(OR($D4809="",$E4809="",$O4809=""),"EKSİK",IF($O4809&lt;=0,"SIFIR/NEGATİF",IF(COUNTIFS($C$6:$C$5000,$C4809,$O$6:$O$5000,$O4809,$B$6:$B$5000,$B4809)&gt;1,"MÜKERRER","OK"))))</f>
        <v/>
      </c>
    </row>
    <row r="4810" ht="16.5" customHeight="1" s="80">
      <c r="A4810" s="113" t="n"/>
      <c r="B4810" s="113" t="n"/>
      <c r="C4810" s="113" t="n"/>
      <c r="D4810" s="113" t="n"/>
      <c r="E4810" s="113" t="n"/>
      <c r="F4810" s="113" t="n"/>
      <c r="G4810" s="113" t="n"/>
      <c r="H4810" s="113" t="n"/>
      <c r="I4810" s="113" t="n"/>
      <c r="J4810" s="113" t="n"/>
      <c r="K4810" s="113" t="n"/>
      <c r="L4810" s="113" t="n"/>
      <c r="M4810" s="113" t="n"/>
      <c r="N4810" s="113" t="n"/>
      <c r="O4810" s="113" t="n"/>
      <c r="P4810" s="113" t="n"/>
      <c r="Q4810" s="113" t="n"/>
      <c r="R4810" s="113" t="n"/>
      <c r="S4810" s="113" t="n"/>
      <c r="T4810" s="113" t="n"/>
      <c r="U4810" s="113" t="n"/>
      <c r="V4810" s="113" t="n"/>
      <c r="W4810" s="113" t="n"/>
      <c r="X4810" s="113" t="n"/>
      <c r="Y4810" s="113" t="n"/>
      <c r="Z4810" s="117">
        <f>IF($B4810="",0,IF($S4810="EVET",IF($D4810="GELİR",$O4810,-$O4810),0))</f>
        <v/>
      </c>
      <c r="AA4810" s="117">
        <f>IF($B4810="",0,IF(OR($W4810="EVET",$X4810="EVET",$Y4810="EVET"),0,IF($D4810="GELİR",IF($E4810="SATIŞ İADESİ/İSKONTO",-$O4810,$O4810),-$O4810)))</f>
        <v/>
      </c>
      <c r="AB4810" s="117">
        <f>IF($B4810="","",IF(OR($D4810="",$E4810="",$O4810=""),"EKSİK",IF($O4810&lt;=0,"SIFIR/NEGATİF",IF(COUNTIFS($C$6:$C$5000,$C4810,$O$6:$O$5000,$O4810,$B$6:$B$5000,$B4810)&gt;1,"MÜKERRER","OK"))))</f>
        <v/>
      </c>
    </row>
    <row r="4811" ht="16.5" customHeight="1" s="80">
      <c r="A4811" s="113" t="n"/>
      <c r="B4811" s="113" t="n"/>
      <c r="C4811" s="113" t="n"/>
      <c r="D4811" s="113" t="n"/>
      <c r="E4811" s="113" t="n"/>
      <c r="F4811" s="113" t="n"/>
      <c r="G4811" s="113" t="n"/>
      <c r="H4811" s="113" t="n"/>
      <c r="I4811" s="113" t="n"/>
      <c r="J4811" s="113" t="n"/>
      <c r="K4811" s="113" t="n"/>
      <c r="L4811" s="113" t="n"/>
      <c r="M4811" s="113" t="n"/>
      <c r="N4811" s="113" t="n"/>
      <c r="O4811" s="113" t="n"/>
      <c r="P4811" s="113" t="n"/>
      <c r="Q4811" s="113" t="n"/>
      <c r="R4811" s="113" t="n"/>
      <c r="S4811" s="113" t="n"/>
      <c r="T4811" s="113" t="n"/>
      <c r="U4811" s="113" t="n"/>
      <c r="V4811" s="113" t="n"/>
      <c r="W4811" s="113" t="n"/>
      <c r="X4811" s="113" t="n"/>
      <c r="Y4811" s="113" t="n"/>
      <c r="Z4811" s="117">
        <f>IF($B4811="",0,IF($S4811="EVET",IF($D4811="GELİR",$O4811,-$O4811),0))</f>
        <v/>
      </c>
      <c r="AA4811" s="117">
        <f>IF($B4811="",0,IF(OR($W4811="EVET",$X4811="EVET",$Y4811="EVET"),0,IF($D4811="GELİR",IF($E4811="SATIŞ İADESİ/İSKONTO",-$O4811,$O4811),-$O4811)))</f>
        <v/>
      </c>
      <c r="AB4811" s="117">
        <f>IF($B4811="","",IF(OR($D4811="",$E4811="",$O4811=""),"EKSİK",IF($O4811&lt;=0,"SIFIR/NEGATİF",IF(COUNTIFS($C$6:$C$5000,$C4811,$O$6:$O$5000,$O4811,$B$6:$B$5000,$B4811)&gt;1,"MÜKERRER","OK"))))</f>
        <v/>
      </c>
    </row>
    <row r="4812" ht="16.5" customHeight="1" s="80">
      <c r="A4812" s="113" t="n"/>
      <c r="B4812" s="113" t="n"/>
      <c r="C4812" s="113" t="n"/>
      <c r="D4812" s="113" t="n"/>
      <c r="E4812" s="113" t="n"/>
      <c r="F4812" s="113" t="n"/>
      <c r="G4812" s="113" t="n"/>
      <c r="H4812" s="113" t="n"/>
      <c r="I4812" s="113" t="n"/>
      <c r="J4812" s="113" t="n"/>
      <c r="K4812" s="113" t="n"/>
      <c r="L4812" s="113" t="n"/>
      <c r="M4812" s="113" t="n"/>
      <c r="N4812" s="113" t="n"/>
      <c r="O4812" s="113" t="n"/>
      <c r="P4812" s="113" t="n"/>
      <c r="Q4812" s="113" t="n"/>
      <c r="R4812" s="113" t="n"/>
      <c r="S4812" s="113" t="n"/>
      <c r="T4812" s="113" t="n"/>
      <c r="U4812" s="113" t="n"/>
      <c r="V4812" s="113" t="n"/>
      <c r="W4812" s="113" t="n"/>
      <c r="X4812" s="113" t="n"/>
      <c r="Y4812" s="113" t="n"/>
      <c r="Z4812" s="117">
        <f>IF($B4812="",0,IF($S4812="EVET",IF($D4812="GELİR",$O4812,-$O4812),0))</f>
        <v/>
      </c>
      <c r="AA4812" s="117">
        <f>IF($B4812="",0,IF(OR($W4812="EVET",$X4812="EVET",$Y4812="EVET"),0,IF($D4812="GELİR",IF($E4812="SATIŞ İADESİ/İSKONTO",-$O4812,$O4812),-$O4812)))</f>
        <v/>
      </c>
      <c r="AB4812" s="117">
        <f>IF($B4812="","",IF(OR($D4812="",$E4812="",$O4812=""),"EKSİK",IF($O4812&lt;=0,"SIFIR/NEGATİF",IF(COUNTIFS($C$6:$C$5000,$C4812,$O$6:$O$5000,$O4812,$B$6:$B$5000,$B4812)&gt;1,"MÜKERRER","OK"))))</f>
        <v/>
      </c>
    </row>
    <row r="4813" ht="16.5" customHeight="1" s="80">
      <c r="A4813" s="113" t="n"/>
      <c r="B4813" s="113" t="n"/>
      <c r="C4813" s="113" t="n"/>
      <c r="D4813" s="113" t="n"/>
      <c r="E4813" s="113" t="n"/>
      <c r="F4813" s="113" t="n"/>
      <c r="G4813" s="113" t="n"/>
      <c r="H4813" s="113" t="n"/>
      <c r="I4813" s="113" t="n"/>
      <c r="J4813" s="113" t="n"/>
      <c r="K4813" s="113" t="n"/>
      <c r="L4813" s="113" t="n"/>
      <c r="M4813" s="113" t="n"/>
      <c r="N4813" s="113" t="n"/>
      <c r="O4813" s="113" t="n"/>
      <c r="P4813" s="113" t="n"/>
      <c r="Q4813" s="113" t="n"/>
      <c r="R4813" s="113" t="n"/>
      <c r="S4813" s="113" t="n"/>
      <c r="T4813" s="113" t="n"/>
      <c r="U4813" s="113" t="n"/>
      <c r="V4813" s="113" t="n"/>
      <c r="W4813" s="113" t="n"/>
      <c r="X4813" s="113" t="n"/>
      <c r="Y4813" s="113" t="n"/>
      <c r="Z4813" s="117">
        <f>IF($B4813="",0,IF($S4813="EVET",IF($D4813="GELİR",$O4813,-$O4813),0))</f>
        <v/>
      </c>
      <c r="AA4813" s="117">
        <f>IF($B4813="",0,IF(OR($W4813="EVET",$X4813="EVET",$Y4813="EVET"),0,IF($D4813="GELİR",IF($E4813="SATIŞ İADESİ/İSKONTO",-$O4813,$O4813),-$O4813)))</f>
        <v/>
      </c>
      <c r="AB4813" s="117">
        <f>IF($B4813="","",IF(OR($D4813="",$E4813="",$O4813=""),"EKSİK",IF($O4813&lt;=0,"SIFIR/NEGATİF",IF(COUNTIFS($C$6:$C$5000,$C4813,$O$6:$O$5000,$O4813,$B$6:$B$5000,$B4813)&gt;1,"MÜKERRER","OK"))))</f>
        <v/>
      </c>
    </row>
    <row r="4814" ht="16.5" customHeight="1" s="80">
      <c r="A4814" s="113" t="n"/>
      <c r="B4814" s="113" t="n"/>
      <c r="C4814" s="113" t="n"/>
      <c r="D4814" s="113" t="n"/>
      <c r="E4814" s="113" t="n"/>
      <c r="F4814" s="113" t="n"/>
      <c r="G4814" s="113" t="n"/>
      <c r="H4814" s="113" t="n"/>
      <c r="I4814" s="113" t="n"/>
      <c r="J4814" s="113" t="n"/>
      <c r="K4814" s="113" t="n"/>
      <c r="L4814" s="113" t="n"/>
      <c r="M4814" s="113" t="n"/>
      <c r="N4814" s="113" t="n"/>
      <c r="O4814" s="113" t="n"/>
      <c r="P4814" s="113" t="n"/>
      <c r="Q4814" s="113" t="n"/>
      <c r="R4814" s="113" t="n"/>
      <c r="S4814" s="113" t="n"/>
      <c r="T4814" s="113" t="n"/>
      <c r="U4814" s="113" t="n"/>
      <c r="V4814" s="113" t="n"/>
      <c r="W4814" s="113" t="n"/>
      <c r="X4814" s="113" t="n"/>
      <c r="Y4814" s="113" t="n"/>
      <c r="Z4814" s="117">
        <f>IF($B4814="",0,IF($S4814="EVET",IF($D4814="GELİR",$O4814,-$O4814),0))</f>
        <v/>
      </c>
      <c r="AA4814" s="117">
        <f>IF($B4814="",0,IF(OR($W4814="EVET",$X4814="EVET",$Y4814="EVET"),0,IF($D4814="GELİR",IF($E4814="SATIŞ İADESİ/İSKONTO",-$O4814,$O4814),-$O4814)))</f>
        <v/>
      </c>
      <c r="AB4814" s="117">
        <f>IF($B4814="","",IF(OR($D4814="",$E4814="",$O4814=""),"EKSİK",IF($O4814&lt;=0,"SIFIR/NEGATİF",IF(COUNTIFS($C$6:$C$5000,$C4814,$O$6:$O$5000,$O4814,$B$6:$B$5000,$B4814)&gt;1,"MÜKERRER","OK"))))</f>
        <v/>
      </c>
    </row>
    <row r="4815" ht="16.5" customHeight="1" s="80">
      <c r="A4815" s="113" t="n"/>
      <c r="B4815" s="113" t="n"/>
      <c r="C4815" s="113" t="n"/>
      <c r="D4815" s="113" t="n"/>
      <c r="E4815" s="113" t="n"/>
      <c r="F4815" s="113" t="n"/>
      <c r="G4815" s="113" t="n"/>
      <c r="H4815" s="113" t="n"/>
      <c r="I4815" s="113" t="n"/>
      <c r="J4815" s="113" t="n"/>
      <c r="K4815" s="113" t="n"/>
      <c r="L4815" s="113" t="n"/>
      <c r="M4815" s="113" t="n"/>
      <c r="N4815" s="113" t="n"/>
      <c r="O4815" s="113" t="n"/>
      <c r="P4815" s="113" t="n"/>
      <c r="Q4815" s="113" t="n"/>
      <c r="R4815" s="113" t="n"/>
      <c r="S4815" s="113" t="n"/>
      <c r="T4815" s="113" t="n"/>
      <c r="U4815" s="113" t="n"/>
      <c r="V4815" s="113" t="n"/>
      <c r="W4815" s="113" t="n"/>
      <c r="X4815" s="113" t="n"/>
      <c r="Y4815" s="113" t="n"/>
      <c r="Z4815" s="117">
        <f>IF($B4815="",0,IF($S4815="EVET",IF($D4815="GELİR",$O4815,-$O4815),0))</f>
        <v/>
      </c>
      <c r="AA4815" s="117">
        <f>IF($B4815="",0,IF(OR($W4815="EVET",$X4815="EVET",$Y4815="EVET"),0,IF($D4815="GELİR",IF($E4815="SATIŞ İADESİ/İSKONTO",-$O4815,$O4815),-$O4815)))</f>
        <v/>
      </c>
      <c r="AB4815" s="117">
        <f>IF($B4815="","",IF(OR($D4815="",$E4815="",$O4815=""),"EKSİK",IF($O4815&lt;=0,"SIFIR/NEGATİF",IF(COUNTIFS($C$6:$C$5000,$C4815,$O$6:$O$5000,$O4815,$B$6:$B$5000,$B4815)&gt;1,"MÜKERRER","OK"))))</f>
        <v/>
      </c>
    </row>
    <row r="4816" ht="16.5" customHeight="1" s="80">
      <c r="A4816" s="113" t="n"/>
      <c r="B4816" s="113" t="n"/>
      <c r="C4816" s="113" t="n"/>
      <c r="D4816" s="113" t="n"/>
      <c r="E4816" s="113" t="n"/>
      <c r="F4816" s="113" t="n"/>
      <c r="G4816" s="113" t="n"/>
      <c r="H4816" s="113" t="n"/>
      <c r="I4816" s="113" t="n"/>
      <c r="J4816" s="113" t="n"/>
      <c r="K4816" s="113" t="n"/>
      <c r="L4816" s="113" t="n"/>
      <c r="M4816" s="113" t="n"/>
      <c r="N4816" s="113" t="n"/>
      <c r="O4816" s="113" t="n"/>
      <c r="P4816" s="113" t="n"/>
      <c r="Q4816" s="113" t="n"/>
      <c r="R4816" s="113" t="n"/>
      <c r="S4816" s="113" t="n"/>
      <c r="T4816" s="113" t="n"/>
      <c r="U4816" s="113" t="n"/>
      <c r="V4816" s="113" t="n"/>
      <c r="W4816" s="113" t="n"/>
      <c r="X4816" s="113" t="n"/>
      <c r="Y4816" s="113" t="n"/>
      <c r="Z4816" s="117">
        <f>IF($B4816="",0,IF($S4816="EVET",IF($D4816="GELİR",$O4816,-$O4816),0))</f>
        <v/>
      </c>
      <c r="AA4816" s="117">
        <f>IF($B4816="",0,IF(OR($W4816="EVET",$X4816="EVET",$Y4816="EVET"),0,IF($D4816="GELİR",IF($E4816="SATIŞ İADESİ/İSKONTO",-$O4816,$O4816),-$O4816)))</f>
        <v/>
      </c>
      <c r="AB4816" s="117">
        <f>IF($B4816="","",IF(OR($D4816="",$E4816="",$O4816=""),"EKSİK",IF($O4816&lt;=0,"SIFIR/NEGATİF",IF(COUNTIFS($C$6:$C$5000,$C4816,$O$6:$O$5000,$O4816,$B$6:$B$5000,$B4816)&gt;1,"MÜKERRER","OK"))))</f>
        <v/>
      </c>
    </row>
    <row r="4817" ht="16.5" customHeight="1" s="80">
      <c r="A4817" s="113" t="n"/>
      <c r="B4817" s="113" t="n"/>
      <c r="C4817" s="113" t="n"/>
      <c r="D4817" s="113" t="n"/>
      <c r="E4817" s="113" t="n"/>
      <c r="F4817" s="113" t="n"/>
      <c r="G4817" s="113" t="n"/>
      <c r="H4817" s="113" t="n"/>
      <c r="I4817" s="113" t="n"/>
      <c r="J4817" s="113" t="n"/>
      <c r="K4817" s="113" t="n"/>
      <c r="L4817" s="113" t="n"/>
      <c r="M4817" s="113" t="n"/>
      <c r="N4817" s="113" t="n"/>
      <c r="O4817" s="113" t="n"/>
      <c r="P4817" s="113" t="n"/>
      <c r="Q4817" s="113" t="n"/>
      <c r="R4817" s="113" t="n"/>
      <c r="S4817" s="113" t="n"/>
      <c r="T4817" s="113" t="n"/>
      <c r="U4817" s="113" t="n"/>
      <c r="V4817" s="113" t="n"/>
      <c r="W4817" s="113" t="n"/>
      <c r="X4817" s="113" t="n"/>
      <c r="Y4817" s="113" t="n"/>
      <c r="Z4817" s="117">
        <f>IF($B4817="",0,IF($S4817="EVET",IF($D4817="GELİR",$O4817,-$O4817),0))</f>
        <v/>
      </c>
      <c r="AA4817" s="117">
        <f>IF($B4817="",0,IF(OR($W4817="EVET",$X4817="EVET",$Y4817="EVET"),0,IF($D4817="GELİR",IF($E4817="SATIŞ İADESİ/İSKONTO",-$O4817,$O4817),-$O4817)))</f>
        <v/>
      </c>
      <c r="AB4817" s="117">
        <f>IF($B4817="","",IF(OR($D4817="",$E4817="",$O4817=""),"EKSİK",IF($O4817&lt;=0,"SIFIR/NEGATİF",IF(COUNTIFS($C$6:$C$5000,$C4817,$O$6:$O$5000,$O4817,$B$6:$B$5000,$B4817)&gt;1,"MÜKERRER","OK"))))</f>
        <v/>
      </c>
    </row>
    <row r="4818" ht="16.5" customHeight="1" s="80">
      <c r="A4818" s="113" t="n"/>
      <c r="B4818" s="113" t="n"/>
      <c r="C4818" s="113" t="n"/>
      <c r="D4818" s="113" t="n"/>
      <c r="E4818" s="113" t="n"/>
      <c r="F4818" s="113" t="n"/>
      <c r="G4818" s="113" t="n"/>
      <c r="H4818" s="113" t="n"/>
      <c r="I4818" s="113" t="n"/>
      <c r="J4818" s="113" t="n"/>
      <c r="K4818" s="113" t="n"/>
      <c r="L4818" s="113" t="n"/>
      <c r="M4818" s="113" t="n"/>
      <c r="N4818" s="113" t="n"/>
      <c r="O4818" s="113" t="n"/>
      <c r="P4818" s="113" t="n"/>
      <c r="Q4818" s="113" t="n"/>
      <c r="R4818" s="113" t="n"/>
      <c r="S4818" s="113" t="n"/>
      <c r="T4818" s="113" t="n"/>
      <c r="U4818" s="113" t="n"/>
      <c r="V4818" s="113" t="n"/>
      <c r="W4818" s="113" t="n"/>
      <c r="X4818" s="113" t="n"/>
      <c r="Y4818" s="113" t="n"/>
      <c r="Z4818" s="117">
        <f>IF($B4818="",0,IF($S4818="EVET",IF($D4818="GELİR",$O4818,-$O4818),0))</f>
        <v/>
      </c>
      <c r="AA4818" s="117">
        <f>IF($B4818="",0,IF(OR($W4818="EVET",$X4818="EVET",$Y4818="EVET"),0,IF($D4818="GELİR",IF($E4818="SATIŞ İADESİ/İSKONTO",-$O4818,$O4818),-$O4818)))</f>
        <v/>
      </c>
      <c r="AB4818" s="117">
        <f>IF($B4818="","",IF(OR($D4818="",$E4818="",$O4818=""),"EKSİK",IF($O4818&lt;=0,"SIFIR/NEGATİF",IF(COUNTIFS($C$6:$C$5000,$C4818,$O$6:$O$5000,$O4818,$B$6:$B$5000,$B4818)&gt;1,"MÜKERRER","OK"))))</f>
        <v/>
      </c>
    </row>
    <row r="4819" ht="16.5" customHeight="1" s="80">
      <c r="A4819" s="113" t="n"/>
      <c r="B4819" s="113" t="n"/>
      <c r="C4819" s="113" t="n"/>
      <c r="D4819" s="113" t="n"/>
      <c r="E4819" s="113" t="n"/>
      <c r="F4819" s="113" t="n"/>
      <c r="G4819" s="113" t="n"/>
      <c r="H4819" s="113" t="n"/>
      <c r="I4819" s="113" t="n"/>
      <c r="J4819" s="113" t="n"/>
      <c r="K4819" s="113" t="n"/>
      <c r="L4819" s="113" t="n"/>
      <c r="M4819" s="113" t="n"/>
      <c r="N4819" s="113" t="n"/>
      <c r="O4819" s="113" t="n"/>
      <c r="P4819" s="113" t="n"/>
      <c r="Q4819" s="113" t="n"/>
      <c r="R4819" s="113" t="n"/>
      <c r="S4819" s="113" t="n"/>
      <c r="T4819" s="113" t="n"/>
      <c r="U4819" s="113" t="n"/>
      <c r="V4819" s="113" t="n"/>
      <c r="W4819" s="113" t="n"/>
      <c r="X4819" s="113" t="n"/>
      <c r="Y4819" s="113" t="n"/>
      <c r="Z4819" s="117">
        <f>IF($B4819="",0,IF($S4819="EVET",IF($D4819="GELİR",$O4819,-$O4819),0))</f>
        <v/>
      </c>
      <c r="AA4819" s="117">
        <f>IF($B4819="",0,IF(OR($W4819="EVET",$X4819="EVET",$Y4819="EVET"),0,IF($D4819="GELİR",IF($E4819="SATIŞ İADESİ/İSKONTO",-$O4819,$O4819),-$O4819)))</f>
        <v/>
      </c>
      <c r="AB4819" s="117">
        <f>IF($B4819="","",IF(OR($D4819="",$E4819="",$O4819=""),"EKSİK",IF($O4819&lt;=0,"SIFIR/NEGATİF",IF(COUNTIFS($C$6:$C$5000,$C4819,$O$6:$O$5000,$O4819,$B$6:$B$5000,$B4819)&gt;1,"MÜKERRER","OK"))))</f>
        <v/>
      </c>
    </row>
    <row r="4820" ht="16.5" customHeight="1" s="80">
      <c r="A4820" s="113" t="n"/>
      <c r="B4820" s="113" t="n"/>
      <c r="C4820" s="113" t="n"/>
      <c r="D4820" s="113" t="n"/>
      <c r="E4820" s="113" t="n"/>
      <c r="F4820" s="113" t="n"/>
      <c r="G4820" s="113" t="n"/>
      <c r="H4820" s="113" t="n"/>
      <c r="I4820" s="113" t="n"/>
      <c r="J4820" s="113" t="n"/>
      <c r="K4820" s="113" t="n"/>
      <c r="L4820" s="113" t="n"/>
      <c r="M4820" s="113" t="n"/>
      <c r="N4820" s="113" t="n"/>
      <c r="O4820" s="113" t="n"/>
      <c r="P4820" s="113" t="n"/>
      <c r="Q4820" s="113" t="n"/>
      <c r="R4820" s="113" t="n"/>
      <c r="S4820" s="113" t="n"/>
      <c r="T4820" s="113" t="n"/>
      <c r="U4820" s="113" t="n"/>
      <c r="V4820" s="113" t="n"/>
      <c r="W4820" s="113" t="n"/>
      <c r="X4820" s="113" t="n"/>
      <c r="Y4820" s="113" t="n"/>
      <c r="Z4820" s="117">
        <f>IF($B4820="",0,IF($S4820="EVET",IF($D4820="GELİR",$O4820,-$O4820),0))</f>
        <v/>
      </c>
      <c r="AA4820" s="117">
        <f>IF($B4820="",0,IF(OR($W4820="EVET",$X4820="EVET",$Y4820="EVET"),0,IF($D4820="GELİR",IF($E4820="SATIŞ İADESİ/İSKONTO",-$O4820,$O4820),-$O4820)))</f>
        <v/>
      </c>
      <c r="AB4820" s="117">
        <f>IF($B4820="","",IF(OR($D4820="",$E4820="",$O4820=""),"EKSİK",IF($O4820&lt;=0,"SIFIR/NEGATİF",IF(COUNTIFS($C$6:$C$5000,$C4820,$O$6:$O$5000,$O4820,$B$6:$B$5000,$B4820)&gt;1,"MÜKERRER","OK"))))</f>
        <v/>
      </c>
    </row>
    <row r="4821" ht="16.5" customHeight="1" s="80">
      <c r="A4821" s="113" t="n"/>
      <c r="B4821" s="113" t="n"/>
      <c r="C4821" s="113" t="n"/>
      <c r="D4821" s="113" t="n"/>
      <c r="E4821" s="113" t="n"/>
      <c r="F4821" s="113" t="n"/>
      <c r="G4821" s="113" t="n"/>
      <c r="H4821" s="113" t="n"/>
      <c r="I4821" s="113" t="n"/>
      <c r="J4821" s="113" t="n"/>
      <c r="K4821" s="113" t="n"/>
      <c r="L4821" s="113" t="n"/>
      <c r="M4821" s="113" t="n"/>
      <c r="N4821" s="113" t="n"/>
      <c r="O4821" s="113" t="n"/>
      <c r="P4821" s="113" t="n"/>
      <c r="Q4821" s="113" t="n"/>
      <c r="R4821" s="113" t="n"/>
      <c r="S4821" s="113" t="n"/>
      <c r="T4821" s="113" t="n"/>
      <c r="U4821" s="113" t="n"/>
      <c r="V4821" s="113" t="n"/>
      <c r="W4821" s="113" t="n"/>
      <c r="X4821" s="113" t="n"/>
      <c r="Y4821" s="113" t="n"/>
      <c r="Z4821" s="117">
        <f>IF($B4821="",0,IF($S4821="EVET",IF($D4821="GELİR",$O4821,-$O4821),0))</f>
        <v/>
      </c>
      <c r="AA4821" s="117">
        <f>IF($B4821="",0,IF(OR($W4821="EVET",$X4821="EVET",$Y4821="EVET"),0,IF($D4821="GELİR",IF($E4821="SATIŞ İADESİ/İSKONTO",-$O4821,$O4821),-$O4821)))</f>
        <v/>
      </c>
      <c r="AB4821" s="117">
        <f>IF($B4821="","",IF(OR($D4821="",$E4821="",$O4821=""),"EKSİK",IF($O4821&lt;=0,"SIFIR/NEGATİF",IF(COUNTIFS($C$6:$C$5000,$C4821,$O$6:$O$5000,$O4821,$B$6:$B$5000,$B4821)&gt;1,"MÜKERRER","OK"))))</f>
        <v/>
      </c>
    </row>
    <row r="4822" ht="16.5" customHeight="1" s="80">
      <c r="A4822" s="113" t="n"/>
      <c r="B4822" s="113" t="n"/>
      <c r="C4822" s="113" t="n"/>
      <c r="D4822" s="113" t="n"/>
      <c r="E4822" s="113" t="n"/>
      <c r="F4822" s="113" t="n"/>
      <c r="G4822" s="113" t="n"/>
      <c r="H4822" s="113" t="n"/>
      <c r="I4822" s="113" t="n"/>
      <c r="J4822" s="113" t="n"/>
      <c r="K4822" s="113" t="n"/>
      <c r="L4822" s="113" t="n"/>
      <c r="M4822" s="113" t="n"/>
      <c r="N4822" s="113" t="n"/>
      <c r="O4822" s="113" t="n"/>
      <c r="P4822" s="113" t="n"/>
      <c r="Q4822" s="113" t="n"/>
      <c r="R4822" s="113" t="n"/>
      <c r="S4822" s="113" t="n"/>
      <c r="T4822" s="113" t="n"/>
      <c r="U4822" s="113" t="n"/>
      <c r="V4822" s="113" t="n"/>
      <c r="W4822" s="113" t="n"/>
      <c r="X4822" s="113" t="n"/>
      <c r="Y4822" s="113" t="n"/>
      <c r="Z4822" s="117">
        <f>IF($B4822="",0,IF($S4822="EVET",IF($D4822="GELİR",$O4822,-$O4822),0))</f>
        <v/>
      </c>
      <c r="AA4822" s="117">
        <f>IF($B4822="",0,IF(OR($W4822="EVET",$X4822="EVET",$Y4822="EVET"),0,IF($D4822="GELİR",IF($E4822="SATIŞ İADESİ/İSKONTO",-$O4822,$O4822),-$O4822)))</f>
        <v/>
      </c>
      <c r="AB4822" s="117">
        <f>IF($B4822="","",IF(OR($D4822="",$E4822="",$O4822=""),"EKSİK",IF($O4822&lt;=0,"SIFIR/NEGATİF",IF(COUNTIFS($C$6:$C$5000,$C4822,$O$6:$O$5000,$O4822,$B$6:$B$5000,$B4822)&gt;1,"MÜKERRER","OK"))))</f>
        <v/>
      </c>
    </row>
    <row r="4823" ht="16.5" customHeight="1" s="80">
      <c r="A4823" s="113" t="n"/>
      <c r="B4823" s="113" t="n"/>
      <c r="C4823" s="113" t="n"/>
      <c r="D4823" s="113" t="n"/>
      <c r="E4823" s="113" t="n"/>
      <c r="F4823" s="113" t="n"/>
      <c r="G4823" s="113" t="n"/>
      <c r="H4823" s="113" t="n"/>
      <c r="I4823" s="113" t="n"/>
      <c r="J4823" s="113" t="n"/>
      <c r="K4823" s="113" t="n"/>
      <c r="L4823" s="113" t="n"/>
      <c r="M4823" s="113" t="n"/>
      <c r="N4823" s="113" t="n"/>
      <c r="O4823" s="113" t="n"/>
      <c r="P4823" s="113" t="n"/>
      <c r="Q4823" s="113" t="n"/>
      <c r="R4823" s="113" t="n"/>
      <c r="S4823" s="113" t="n"/>
      <c r="T4823" s="113" t="n"/>
      <c r="U4823" s="113" t="n"/>
      <c r="V4823" s="113" t="n"/>
      <c r="W4823" s="113" t="n"/>
      <c r="X4823" s="113" t="n"/>
      <c r="Y4823" s="113" t="n"/>
      <c r="Z4823" s="117">
        <f>IF($B4823="",0,IF($S4823="EVET",IF($D4823="GELİR",$O4823,-$O4823),0))</f>
        <v/>
      </c>
      <c r="AA4823" s="117">
        <f>IF($B4823="",0,IF(OR($W4823="EVET",$X4823="EVET",$Y4823="EVET"),0,IF($D4823="GELİR",IF($E4823="SATIŞ İADESİ/İSKONTO",-$O4823,$O4823),-$O4823)))</f>
        <v/>
      </c>
      <c r="AB4823" s="117">
        <f>IF($B4823="","",IF(OR($D4823="",$E4823="",$O4823=""),"EKSİK",IF($O4823&lt;=0,"SIFIR/NEGATİF",IF(COUNTIFS($C$6:$C$5000,$C4823,$O$6:$O$5000,$O4823,$B$6:$B$5000,$B4823)&gt;1,"MÜKERRER","OK"))))</f>
        <v/>
      </c>
    </row>
    <row r="4824" ht="16.5" customHeight="1" s="80">
      <c r="A4824" s="113" t="n"/>
      <c r="B4824" s="113" t="n"/>
      <c r="C4824" s="113" t="n"/>
      <c r="D4824" s="113" t="n"/>
      <c r="E4824" s="113" t="n"/>
      <c r="F4824" s="113" t="n"/>
      <c r="G4824" s="113" t="n"/>
      <c r="H4824" s="113" t="n"/>
      <c r="I4824" s="113" t="n"/>
      <c r="J4824" s="113" t="n"/>
      <c r="K4824" s="113" t="n"/>
      <c r="L4824" s="113" t="n"/>
      <c r="M4824" s="113" t="n"/>
      <c r="N4824" s="113" t="n"/>
      <c r="O4824" s="113" t="n"/>
      <c r="P4824" s="113" t="n"/>
      <c r="Q4824" s="113" t="n"/>
      <c r="R4824" s="113" t="n"/>
      <c r="S4824" s="113" t="n"/>
      <c r="T4824" s="113" t="n"/>
      <c r="U4824" s="113" t="n"/>
      <c r="V4824" s="113" t="n"/>
      <c r="W4824" s="113" t="n"/>
      <c r="X4824" s="113" t="n"/>
      <c r="Y4824" s="113" t="n"/>
      <c r="Z4824" s="117">
        <f>IF($B4824="",0,IF($S4824="EVET",IF($D4824="GELİR",$O4824,-$O4824),0))</f>
        <v/>
      </c>
      <c r="AA4824" s="117">
        <f>IF($B4824="",0,IF(OR($W4824="EVET",$X4824="EVET",$Y4824="EVET"),0,IF($D4824="GELİR",IF($E4824="SATIŞ İADESİ/İSKONTO",-$O4824,$O4824),-$O4824)))</f>
        <v/>
      </c>
      <c r="AB4824" s="117">
        <f>IF($B4824="","",IF(OR($D4824="",$E4824="",$O4824=""),"EKSİK",IF($O4824&lt;=0,"SIFIR/NEGATİF",IF(COUNTIFS($C$6:$C$5000,$C4824,$O$6:$O$5000,$O4824,$B$6:$B$5000,$B4824)&gt;1,"MÜKERRER","OK"))))</f>
        <v/>
      </c>
    </row>
    <row r="4825" ht="16.5" customHeight="1" s="80">
      <c r="A4825" s="113" t="n"/>
      <c r="B4825" s="113" t="n"/>
      <c r="C4825" s="113" t="n"/>
      <c r="D4825" s="113" t="n"/>
      <c r="E4825" s="113" t="n"/>
      <c r="F4825" s="113" t="n"/>
      <c r="G4825" s="113" t="n"/>
      <c r="H4825" s="113" t="n"/>
      <c r="I4825" s="113" t="n"/>
      <c r="J4825" s="113" t="n"/>
      <c r="K4825" s="113" t="n"/>
      <c r="L4825" s="113" t="n"/>
      <c r="M4825" s="113" t="n"/>
      <c r="N4825" s="113" t="n"/>
      <c r="O4825" s="113" t="n"/>
      <c r="P4825" s="113" t="n"/>
      <c r="Q4825" s="113" t="n"/>
      <c r="R4825" s="113" t="n"/>
      <c r="S4825" s="113" t="n"/>
      <c r="T4825" s="113" t="n"/>
      <c r="U4825" s="113" t="n"/>
      <c r="V4825" s="113" t="n"/>
      <c r="W4825" s="113" t="n"/>
      <c r="X4825" s="113" t="n"/>
      <c r="Y4825" s="113" t="n"/>
      <c r="Z4825" s="117">
        <f>IF($B4825="",0,IF($S4825="EVET",IF($D4825="GELİR",$O4825,-$O4825),0))</f>
        <v/>
      </c>
      <c r="AA4825" s="117">
        <f>IF($B4825="",0,IF(OR($W4825="EVET",$X4825="EVET",$Y4825="EVET"),0,IF($D4825="GELİR",IF($E4825="SATIŞ İADESİ/İSKONTO",-$O4825,$O4825),-$O4825)))</f>
        <v/>
      </c>
      <c r="AB4825" s="117">
        <f>IF($B4825="","",IF(OR($D4825="",$E4825="",$O4825=""),"EKSİK",IF($O4825&lt;=0,"SIFIR/NEGATİF",IF(COUNTIFS($C$6:$C$5000,$C4825,$O$6:$O$5000,$O4825,$B$6:$B$5000,$B4825)&gt;1,"MÜKERRER","OK"))))</f>
        <v/>
      </c>
    </row>
    <row r="4826" ht="16.5" customHeight="1" s="80">
      <c r="A4826" s="113" t="n"/>
      <c r="B4826" s="113" t="n"/>
      <c r="C4826" s="113" t="n"/>
      <c r="D4826" s="113" t="n"/>
      <c r="E4826" s="113" t="n"/>
      <c r="F4826" s="113" t="n"/>
      <c r="G4826" s="113" t="n"/>
      <c r="H4826" s="113" t="n"/>
      <c r="I4826" s="113" t="n"/>
      <c r="J4826" s="113" t="n"/>
      <c r="K4826" s="113" t="n"/>
      <c r="L4826" s="113" t="n"/>
      <c r="M4826" s="113" t="n"/>
      <c r="N4826" s="113" t="n"/>
      <c r="O4826" s="113" t="n"/>
      <c r="P4826" s="113" t="n"/>
      <c r="Q4826" s="113" t="n"/>
      <c r="R4826" s="113" t="n"/>
      <c r="S4826" s="113" t="n"/>
      <c r="T4826" s="113" t="n"/>
      <c r="U4826" s="113" t="n"/>
      <c r="V4826" s="113" t="n"/>
      <c r="W4826" s="113" t="n"/>
      <c r="X4826" s="113" t="n"/>
      <c r="Y4826" s="113" t="n"/>
      <c r="Z4826" s="117">
        <f>IF($B4826="",0,IF($S4826="EVET",IF($D4826="GELİR",$O4826,-$O4826),0))</f>
        <v/>
      </c>
      <c r="AA4826" s="117">
        <f>IF($B4826="",0,IF(OR($W4826="EVET",$X4826="EVET",$Y4826="EVET"),0,IF($D4826="GELİR",IF($E4826="SATIŞ İADESİ/İSKONTO",-$O4826,$O4826),-$O4826)))</f>
        <v/>
      </c>
      <c r="AB4826" s="117">
        <f>IF($B4826="","",IF(OR($D4826="",$E4826="",$O4826=""),"EKSİK",IF($O4826&lt;=0,"SIFIR/NEGATİF",IF(COUNTIFS($C$6:$C$5000,$C4826,$O$6:$O$5000,$O4826,$B$6:$B$5000,$B4826)&gt;1,"MÜKERRER","OK"))))</f>
        <v/>
      </c>
    </row>
    <row r="4827" ht="16.5" customHeight="1" s="80">
      <c r="A4827" s="113" t="n"/>
      <c r="B4827" s="113" t="n"/>
      <c r="C4827" s="113" t="n"/>
      <c r="D4827" s="113" t="n"/>
      <c r="E4827" s="113" t="n"/>
      <c r="F4827" s="113" t="n"/>
      <c r="G4827" s="113" t="n"/>
      <c r="H4827" s="113" t="n"/>
      <c r="I4827" s="113" t="n"/>
      <c r="J4827" s="113" t="n"/>
      <c r="K4827" s="113" t="n"/>
      <c r="L4827" s="113" t="n"/>
      <c r="M4827" s="113" t="n"/>
      <c r="N4827" s="113" t="n"/>
      <c r="O4827" s="113" t="n"/>
      <c r="P4827" s="113" t="n"/>
      <c r="Q4827" s="113" t="n"/>
      <c r="R4827" s="113" t="n"/>
      <c r="S4827" s="113" t="n"/>
      <c r="T4827" s="113" t="n"/>
      <c r="U4827" s="113" t="n"/>
      <c r="V4827" s="113" t="n"/>
      <c r="W4827" s="113" t="n"/>
      <c r="X4827" s="113" t="n"/>
      <c r="Y4827" s="113" t="n"/>
      <c r="Z4827" s="117">
        <f>IF($B4827="",0,IF($S4827="EVET",IF($D4827="GELİR",$O4827,-$O4827),0))</f>
        <v/>
      </c>
      <c r="AA4827" s="117">
        <f>IF($B4827="",0,IF(OR($W4827="EVET",$X4827="EVET",$Y4827="EVET"),0,IF($D4827="GELİR",IF($E4827="SATIŞ İADESİ/İSKONTO",-$O4827,$O4827),-$O4827)))</f>
        <v/>
      </c>
      <c r="AB4827" s="117">
        <f>IF($B4827="","",IF(OR($D4827="",$E4827="",$O4827=""),"EKSİK",IF($O4827&lt;=0,"SIFIR/NEGATİF",IF(COUNTIFS($C$6:$C$5000,$C4827,$O$6:$O$5000,$O4827,$B$6:$B$5000,$B4827)&gt;1,"MÜKERRER","OK"))))</f>
        <v/>
      </c>
    </row>
    <row r="4828" ht="16.5" customHeight="1" s="80">
      <c r="A4828" s="113" t="n"/>
      <c r="B4828" s="113" t="n"/>
      <c r="C4828" s="113" t="n"/>
      <c r="D4828" s="113" t="n"/>
      <c r="E4828" s="113" t="n"/>
      <c r="F4828" s="113" t="n"/>
      <c r="G4828" s="113" t="n"/>
      <c r="H4828" s="113" t="n"/>
      <c r="I4828" s="113" t="n"/>
      <c r="J4828" s="113" t="n"/>
      <c r="K4828" s="113" t="n"/>
      <c r="L4828" s="113" t="n"/>
      <c r="M4828" s="113" t="n"/>
      <c r="N4828" s="113" t="n"/>
      <c r="O4828" s="113" t="n"/>
      <c r="P4828" s="113" t="n"/>
      <c r="Q4828" s="113" t="n"/>
      <c r="R4828" s="113" t="n"/>
      <c r="S4828" s="113" t="n"/>
      <c r="T4828" s="113" t="n"/>
      <c r="U4828" s="113" t="n"/>
      <c r="V4828" s="113" t="n"/>
      <c r="W4828" s="113" t="n"/>
      <c r="X4828" s="113" t="n"/>
      <c r="Y4828" s="113" t="n"/>
      <c r="Z4828" s="117">
        <f>IF($B4828="",0,IF($S4828="EVET",IF($D4828="GELİR",$O4828,-$O4828),0))</f>
        <v/>
      </c>
      <c r="AA4828" s="117">
        <f>IF($B4828="",0,IF(OR($W4828="EVET",$X4828="EVET",$Y4828="EVET"),0,IF($D4828="GELİR",IF($E4828="SATIŞ İADESİ/İSKONTO",-$O4828,$O4828),-$O4828)))</f>
        <v/>
      </c>
      <c r="AB4828" s="117">
        <f>IF($B4828="","",IF(OR($D4828="",$E4828="",$O4828=""),"EKSİK",IF($O4828&lt;=0,"SIFIR/NEGATİF",IF(COUNTIFS($C$6:$C$5000,$C4828,$O$6:$O$5000,$O4828,$B$6:$B$5000,$B4828)&gt;1,"MÜKERRER","OK"))))</f>
        <v/>
      </c>
    </row>
    <row r="4829" ht="16.5" customHeight="1" s="80">
      <c r="A4829" s="113" t="n"/>
      <c r="B4829" s="113" t="n"/>
      <c r="C4829" s="113" t="n"/>
      <c r="D4829" s="113" t="n"/>
      <c r="E4829" s="113" t="n"/>
      <c r="F4829" s="113" t="n"/>
      <c r="G4829" s="113" t="n"/>
      <c r="H4829" s="113" t="n"/>
      <c r="I4829" s="113" t="n"/>
      <c r="J4829" s="113" t="n"/>
      <c r="K4829" s="113" t="n"/>
      <c r="L4829" s="113" t="n"/>
      <c r="M4829" s="113" t="n"/>
      <c r="N4829" s="113" t="n"/>
      <c r="O4829" s="113" t="n"/>
      <c r="P4829" s="113" t="n"/>
      <c r="Q4829" s="113" t="n"/>
      <c r="R4829" s="113" t="n"/>
      <c r="S4829" s="113" t="n"/>
      <c r="T4829" s="113" t="n"/>
      <c r="U4829" s="113" t="n"/>
      <c r="V4829" s="113" t="n"/>
      <c r="W4829" s="113" t="n"/>
      <c r="X4829" s="113" t="n"/>
      <c r="Y4829" s="113" t="n"/>
      <c r="Z4829" s="117">
        <f>IF($B4829="",0,IF($S4829="EVET",IF($D4829="GELİR",$O4829,-$O4829),0))</f>
        <v/>
      </c>
      <c r="AA4829" s="117">
        <f>IF($B4829="",0,IF(OR($W4829="EVET",$X4829="EVET",$Y4829="EVET"),0,IF($D4829="GELİR",IF($E4829="SATIŞ İADESİ/İSKONTO",-$O4829,$O4829),-$O4829)))</f>
        <v/>
      </c>
      <c r="AB4829" s="117">
        <f>IF($B4829="","",IF(OR($D4829="",$E4829="",$O4829=""),"EKSİK",IF($O4829&lt;=0,"SIFIR/NEGATİF",IF(COUNTIFS($C$6:$C$5000,$C4829,$O$6:$O$5000,$O4829,$B$6:$B$5000,$B4829)&gt;1,"MÜKERRER","OK"))))</f>
        <v/>
      </c>
    </row>
    <row r="4830" ht="16.5" customHeight="1" s="80">
      <c r="A4830" s="113" t="n"/>
      <c r="B4830" s="113" t="n"/>
      <c r="C4830" s="113" t="n"/>
      <c r="D4830" s="113" t="n"/>
      <c r="E4830" s="113" t="n"/>
      <c r="F4830" s="113" t="n"/>
      <c r="G4830" s="113" t="n"/>
      <c r="H4830" s="113" t="n"/>
      <c r="I4830" s="113" t="n"/>
      <c r="J4830" s="113" t="n"/>
      <c r="K4830" s="113" t="n"/>
      <c r="L4830" s="113" t="n"/>
      <c r="M4830" s="113" t="n"/>
      <c r="N4830" s="113" t="n"/>
      <c r="O4830" s="113" t="n"/>
      <c r="P4830" s="113" t="n"/>
      <c r="Q4830" s="113" t="n"/>
      <c r="R4830" s="113" t="n"/>
      <c r="S4830" s="113" t="n"/>
      <c r="T4830" s="113" t="n"/>
      <c r="U4830" s="113" t="n"/>
      <c r="V4830" s="113" t="n"/>
      <c r="W4830" s="113" t="n"/>
      <c r="X4830" s="113" t="n"/>
      <c r="Y4830" s="113" t="n"/>
      <c r="Z4830" s="117">
        <f>IF($B4830="",0,IF($S4830="EVET",IF($D4830="GELİR",$O4830,-$O4830),0))</f>
        <v/>
      </c>
      <c r="AA4830" s="117">
        <f>IF($B4830="",0,IF(OR($W4830="EVET",$X4830="EVET",$Y4830="EVET"),0,IF($D4830="GELİR",IF($E4830="SATIŞ İADESİ/İSKONTO",-$O4830,$O4830),-$O4830)))</f>
        <v/>
      </c>
      <c r="AB4830" s="117">
        <f>IF($B4830="","",IF(OR($D4830="",$E4830="",$O4830=""),"EKSİK",IF($O4830&lt;=0,"SIFIR/NEGATİF",IF(COUNTIFS($C$6:$C$5000,$C4830,$O$6:$O$5000,$O4830,$B$6:$B$5000,$B4830)&gt;1,"MÜKERRER","OK"))))</f>
        <v/>
      </c>
    </row>
    <row r="4831" ht="16.5" customHeight="1" s="80">
      <c r="A4831" s="113" t="n"/>
      <c r="B4831" s="113" t="n"/>
      <c r="C4831" s="113" t="n"/>
      <c r="D4831" s="113" t="n"/>
      <c r="E4831" s="113" t="n"/>
      <c r="F4831" s="113" t="n"/>
      <c r="G4831" s="113" t="n"/>
      <c r="H4831" s="113" t="n"/>
      <c r="I4831" s="113" t="n"/>
      <c r="J4831" s="113" t="n"/>
      <c r="K4831" s="113" t="n"/>
      <c r="L4831" s="113" t="n"/>
      <c r="M4831" s="113" t="n"/>
      <c r="N4831" s="113" t="n"/>
      <c r="O4831" s="113" t="n"/>
      <c r="P4831" s="113" t="n"/>
      <c r="Q4831" s="113" t="n"/>
      <c r="R4831" s="113" t="n"/>
      <c r="S4831" s="113" t="n"/>
      <c r="T4831" s="113" t="n"/>
      <c r="U4831" s="113" t="n"/>
      <c r="V4831" s="113" t="n"/>
      <c r="W4831" s="113" t="n"/>
      <c r="X4831" s="113" t="n"/>
      <c r="Y4831" s="113" t="n"/>
      <c r="Z4831" s="117">
        <f>IF($B4831="",0,IF($S4831="EVET",IF($D4831="GELİR",$O4831,-$O4831),0))</f>
        <v/>
      </c>
      <c r="AA4831" s="117">
        <f>IF($B4831="",0,IF(OR($W4831="EVET",$X4831="EVET",$Y4831="EVET"),0,IF($D4831="GELİR",IF($E4831="SATIŞ İADESİ/İSKONTO",-$O4831,$O4831),-$O4831)))</f>
        <v/>
      </c>
      <c r="AB4831" s="117">
        <f>IF($B4831="","",IF(OR($D4831="",$E4831="",$O4831=""),"EKSİK",IF($O4831&lt;=0,"SIFIR/NEGATİF",IF(COUNTIFS($C$6:$C$5000,$C4831,$O$6:$O$5000,$O4831,$B$6:$B$5000,$B4831)&gt;1,"MÜKERRER","OK"))))</f>
        <v/>
      </c>
    </row>
    <row r="4832" ht="16.5" customHeight="1" s="80">
      <c r="A4832" s="113" t="n"/>
      <c r="B4832" s="113" t="n"/>
      <c r="C4832" s="113" t="n"/>
      <c r="D4832" s="113" t="n"/>
      <c r="E4832" s="113" t="n"/>
      <c r="F4832" s="113" t="n"/>
      <c r="G4832" s="113" t="n"/>
      <c r="H4832" s="113" t="n"/>
      <c r="I4832" s="113" t="n"/>
      <c r="J4832" s="113" t="n"/>
      <c r="K4832" s="113" t="n"/>
      <c r="L4832" s="113" t="n"/>
      <c r="M4832" s="113" t="n"/>
      <c r="N4832" s="113" t="n"/>
      <c r="O4832" s="113" t="n"/>
      <c r="P4832" s="113" t="n"/>
      <c r="Q4832" s="113" t="n"/>
      <c r="R4832" s="113" t="n"/>
      <c r="S4832" s="113" t="n"/>
      <c r="T4832" s="113" t="n"/>
      <c r="U4832" s="113" t="n"/>
      <c r="V4832" s="113" t="n"/>
      <c r="W4832" s="113" t="n"/>
      <c r="X4832" s="113" t="n"/>
      <c r="Y4832" s="113" t="n"/>
      <c r="Z4832" s="117">
        <f>IF($B4832="",0,IF($S4832="EVET",IF($D4832="GELİR",$O4832,-$O4832),0))</f>
        <v/>
      </c>
      <c r="AA4832" s="117">
        <f>IF($B4832="",0,IF(OR($W4832="EVET",$X4832="EVET",$Y4832="EVET"),0,IF($D4832="GELİR",IF($E4832="SATIŞ İADESİ/İSKONTO",-$O4832,$O4832),-$O4832)))</f>
        <v/>
      </c>
      <c r="AB4832" s="117">
        <f>IF($B4832="","",IF(OR($D4832="",$E4832="",$O4832=""),"EKSİK",IF($O4832&lt;=0,"SIFIR/NEGATİF",IF(COUNTIFS($C$6:$C$5000,$C4832,$O$6:$O$5000,$O4832,$B$6:$B$5000,$B4832)&gt;1,"MÜKERRER","OK"))))</f>
        <v/>
      </c>
    </row>
    <row r="4833" ht="16.5" customHeight="1" s="80">
      <c r="A4833" s="113" t="n"/>
      <c r="B4833" s="113" t="n"/>
      <c r="C4833" s="113" t="n"/>
      <c r="D4833" s="113" t="n"/>
      <c r="E4833" s="113" t="n"/>
      <c r="F4833" s="113" t="n"/>
      <c r="G4833" s="113" t="n"/>
      <c r="H4833" s="113" t="n"/>
      <c r="I4833" s="113" t="n"/>
      <c r="J4833" s="113" t="n"/>
      <c r="K4833" s="113" t="n"/>
      <c r="L4833" s="113" t="n"/>
      <c r="M4833" s="113" t="n"/>
      <c r="N4833" s="113" t="n"/>
      <c r="O4833" s="113" t="n"/>
      <c r="P4833" s="113" t="n"/>
      <c r="Q4833" s="113" t="n"/>
      <c r="R4833" s="113" t="n"/>
      <c r="S4833" s="113" t="n"/>
      <c r="T4833" s="113" t="n"/>
      <c r="U4833" s="113" t="n"/>
      <c r="V4833" s="113" t="n"/>
      <c r="W4833" s="113" t="n"/>
      <c r="X4833" s="113" t="n"/>
      <c r="Y4833" s="113" t="n"/>
      <c r="Z4833" s="117">
        <f>IF($B4833="",0,IF($S4833="EVET",IF($D4833="GELİR",$O4833,-$O4833),0))</f>
        <v/>
      </c>
      <c r="AA4833" s="117">
        <f>IF($B4833="",0,IF(OR($W4833="EVET",$X4833="EVET",$Y4833="EVET"),0,IF($D4833="GELİR",IF($E4833="SATIŞ İADESİ/İSKONTO",-$O4833,$O4833),-$O4833)))</f>
        <v/>
      </c>
      <c r="AB4833" s="117">
        <f>IF($B4833="","",IF(OR($D4833="",$E4833="",$O4833=""),"EKSİK",IF($O4833&lt;=0,"SIFIR/NEGATİF",IF(COUNTIFS($C$6:$C$5000,$C4833,$O$6:$O$5000,$O4833,$B$6:$B$5000,$B4833)&gt;1,"MÜKERRER","OK"))))</f>
        <v/>
      </c>
    </row>
    <row r="4834" ht="16.5" customHeight="1" s="80">
      <c r="A4834" s="113" t="n"/>
      <c r="B4834" s="113" t="n"/>
      <c r="C4834" s="113" t="n"/>
      <c r="D4834" s="113" t="n"/>
      <c r="E4834" s="113" t="n"/>
      <c r="F4834" s="113" t="n"/>
      <c r="G4834" s="113" t="n"/>
      <c r="H4834" s="113" t="n"/>
      <c r="I4834" s="113" t="n"/>
      <c r="J4834" s="113" t="n"/>
      <c r="K4834" s="113" t="n"/>
      <c r="L4834" s="113" t="n"/>
      <c r="M4834" s="113" t="n"/>
      <c r="N4834" s="113" t="n"/>
      <c r="O4834" s="113" t="n"/>
      <c r="P4834" s="113" t="n"/>
      <c r="Q4834" s="113" t="n"/>
      <c r="R4834" s="113" t="n"/>
      <c r="S4834" s="113" t="n"/>
      <c r="T4834" s="113" t="n"/>
      <c r="U4834" s="113" t="n"/>
      <c r="V4834" s="113" t="n"/>
      <c r="W4834" s="113" t="n"/>
      <c r="X4834" s="113" t="n"/>
      <c r="Y4834" s="113" t="n"/>
      <c r="Z4834" s="117">
        <f>IF($B4834="",0,IF($S4834="EVET",IF($D4834="GELİR",$O4834,-$O4834),0))</f>
        <v/>
      </c>
      <c r="AA4834" s="117">
        <f>IF($B4834="",0,IF(OR($W4834="EVET",$X4834="EVET",$Y4834="EVET"),0,IF($D4834="GELİR",IF($E4834="SATIŞ İADESİ/İSKONTO",-$O4834,$O4834),-$O4834)))</f>
        <v/>
      </c>
      <c r="AB4834" s="117">
        <f>IF($B4834="","",IF(OR($D4834="",$E4834="",$O4834=""),"EKSİK",IF($O4834&lt;=0,"SIFIR/NEGATİF",IF(COUNTIFS($C$6:$C$5000,$C4834,$O$6:$O$5000,$O4834,$B$6:$B$5000,$B4834)&gt;1,"MÜKERRER","OK"))))</f>
        <v/>
      </c>
    </row>
    <row r="4835" ht="16.5" customHeight="1" s="80">
      <c r="A4835" s="113" t="n"/>
      <c r="B4835" s="113" t="n"/>
      <c r="C4835" s="113" t="n"/>
      <c r="D4835" s="113" t="n"/>
      <c r="E4835" s="113" t="n"/>
      <c r="F4835" s="113" t="n"/>
      <c r="G4835" s="113" t="n"/>
      <c r="H4835" s="113" t="n"/>
      <c r="I4835" s="113" t="n"/>
      <c r="J4835" s="113" t="n"/>
      <c r="K4835" s="113" t="n"/>
      <c r="L4835" s="113" t="n"/>
      <c r="M4835" s="113" t="n"/>
      <c r="N4835" s="113" t="n"/>
      <c r="O4835" s="113" t="n"/>
      <c r="P4835" s="113" t="n"/>
      <c r="Q4835" s="113" t="n"/>
      <c r="R4835" s="113" t="n"/>
      <c r="S4835" s="113" t="n"/>
      <c r="T4835" s="113" t="n"/>
      <c r="U4835" s="113" t="n"/>
      <c r="V4835" s="113" t="n"/>
      <c r="W4835" s="113" t="n"/>
      <c r="X4835" s="113" t="n"/>
      <c r="Y4835" s="113" t="n"/>
      <c r="Z4835" s="117">
        <f>IF($B4835="",0,IF($S4835="EVET",IF($D4835="GELİR",$O4835,-$O4835),0))</f>
        <v/>
      </c>
      <c r="AA4835" s="117">
        <f>IF($B4835="",0,IF(OR($W4835="EVET",$X4835="EVET",$Y4835="EVET"),0,IF($D4835="GELİR",IF($E4835="SATIŞ İADESİ/İSKONTO",-$O4835,$O4835),-$O4835)))</f>
        <v/>
      </c>
      <c r="AB4835" s="117">
        <f>IF($B4835="","",IF(OR($D4835="",$E4835="",$O4835=""),"EKSİK",IF($O4835&lt;=0,"SIFIR/NEGATİF",IF(COUNTIFS($C$6:$C$5000,$C4835,$O$6:$O$5000,$O4835,$B$6:$B$5000,$B4835)&gt;1,"MÜKERRER","OK"))))</f>
        <v/>
      </c>
    </row>
    <row r="4836" ht="16.5" customHeight="1" s="80">
      <c r="A4836" s="113" t="n"/>
      <c r="B4836" s="113" t="n"/>
      <c r="C4836" s="113" t="n"/>
      <c r="D4836" s="113" t="n"/>
      <c r="E4836" s="113" t="n"/>
      <c r="F4836" s="113" t="n"/>
      <c r="G4836" s="113" t="n"/>
      <c r="H4836" s="113" t="n"/>
      <c r="I4836" s="113" t="n"/>
      <c r="J4836" s="113" t="n"/>
      <c r="K4836" s="113" t="n"/>
      <c r="L4836" s="113" t="n"/>
      <c r="M4836" s="113" t="n"/>
      <c r="N4836" s="113" t="n"/>
      <c r="O4836" s="113" t="n"/>
      <c r="P4836" s="113" t="n"/>
      <c r="Q4836" s="113" t="n"/>
      <c r="R4836" s="113" t="n"/>
      <c r="S4836" s="113" t="n"/>
      <c r="T4836" s="113" t="n"/>
      <c r="U4836" s="113" t="n"/>
      <c r="V4836" s="113" t="n"/>
      <c r="W4836" s="113" t="n"/>
      <c r="X4836" s="113" t="n"/>
      <c r="Y4836" s="113" t="n"/>
      <c r="Z4836" s="117">
        <f>IF($B4836="",0,IF($S4836="EVET",IF($D4836="GELİR",$O4836,-$O4836),0))</f>
        <v/>
      </c>
      <c r="AA4836" s="117">
        <f>IF($B4836="",0,IF(OR($W4836="EVET",$X4836="EVET",$Y4836="EVET"),0,IF($D4836="GELİR",IF($E4836="SATIŞ İADESİ/İSKONTO",-$O4836,$O4836),-$O4836)))</f>
        <v/>
      </c>
      <c r="AB4836" s="117">
        <f>IF($B4836="","",IF(OR($D4836="",$E4836="",$O4836=""),"EKSİK",IF($O4836&lt;=0,"SIFIR/NEGATİF",IF(COUNTIFS($C$6:$C$5000,$C4836,$O$6:$O$5000,$O4836,$B$6:$B$5000,$B4836)&gt;1,"MÜKERRER","OK"))))</f>
        <v/>
      </c>
    </row>
    <row r="4837" ht="16.5" customHeight="1" s="80">
      <c r="A4837" s="113" t="n"/>
      <c r="B4837" s="113" t="n"/>
      <c r="C4837" s="113" t="n"/>
      <c r="D4837" s="113" t="n"/>
      <c r="E4837" s="113" t="n"/>
      <c r="F4837" s="113" t="n"/>
      <c r="G4837" s="113" t="n"/>
      <c r="H4837" s="113" t="n"/>
      <c r="I4837" s="113" t="n"/>
      <c r="J4837" s="113" t="n"/>
      <c r="K4837" s="113" t="n"/>
      <c r="L4837" s="113" t="n"/>
      <c r="M4837" s="113" t="n"/>
      <c r="N4837" s="113" t="n"/>
      <c r="O4837" s="113" t="n"/>
      <c r="P4837" s="113" t="n"/>
      <c r="Q4837" s="113" t="n"/>
      <c r="R4837" s="113" t="n"/>
      <c r="S4837" s="113" t="n"/>
      <c r="T4837" s="113" t="n"/>
      <c r="U4837" s="113" t="n"/>
      <c r="V4837" s="113" t="n"/>
      <c r="W4837" s="113" t="n"/>
      <c r="X4837" s="113" t="n"/>
      <c r="Y4837" s="113" t="n"/>
      <c r="Z4837" s="117">
        <f>IF($B4837="",0,IF($S4837="EVET",IF($D4837="GELİR",$O4837,-$O4837),0))</f>
        <v/>
      </c>
      <c r="AA4837" s="117">
        <f>IF($B4837="",0,IF(OR($W4837="EVET",$X4837="EVET",$Y4837="EVET"),0,IF($D4837="GELİR",IF($E4837="SATIŞ İADESİ/İSKONTO",-$O4837,$O4837),-$O4837)))</f>
        <v/>
      </c>
      <c r="AB4837" s="117">
        <f>IF($B4837="","",IF(OR($D4837="",$E4837="",$O4837=""),"EKSİK",IF($O4837&lt;=0,"SIFIR/NEGATİF",IF(COUNTIFS($C$6:$C$5000,$C4837,$O$6:$O$5000,$O4837,$B$6:$B$5000,$B4837)&gt;1,"MÜKERRER","OK"))))</f>
        <v/>
      </c>
    </row>
    <row r="4838" ht="16.5" customHeight="1" s="80">
      <c r="A4838" s="113" t="n"/>
      <c r="B4838" s="113" t="n"/>
      <c r="C4838" s="113" t="n"/>
      <c r="D4838" s="113" t="n"/>
      <c r="E4838" s="113" t="n"/>
      <c r="F4838" s="113" t="n"/>
      <c r="G4838" s="113" t="n"/>
      <c r="H4838" s="113" t="n"/>
      <c r="I4838" s="113" t="n"/>
      <c r="J4838" s="113" t="n"/>
      <c r="K4838" s="113" t="n"/>
      <c r="L4838" s="113" t="n"/>
      <c r="M4838" s="113" t="n"/>
      <c r="N4838" s="113" t="n"/>
      <c r="O4838" s="113" t="n"/>
      <c r="P4838" s="113" t="n"/>
      <c r="Q4838" s="113" t="n"/>
      <c r="R4838" s="113" t="n"/>
      <c r="S4838" s="113" t="n"/>
      <c r="T4838" s="113" t="n"/>
      <c r="U4838" s="113" t="n"/>
      <c r="V4838" s="113" t="n"/>
      <c r="W4838" s="113" t="n"/>
      <c r="X4838" s="113" t="n"/>
      <c r="Y4838" s="113" t="n"/>
      <c r="Z4838" s="117">
        <f>IF($B4838="",0,IF($S4838="EVET",IF($D4838="GELİR",$O4838,-$O4838),0))</f>
        <v/>
      </c>
      <c r="AA4838" s="117">
        <f>IF($B4838="",0,IF(OR($W4838="EVET",$X4838="EVET",$Y4838="EVET"),0,IF($D4838="GELİR",IF($E4838="SATIŞ İADESİ/İSKONTO",-$O4838,$O4838),-$O4838)))</f>
        <v/>
      </c>
      <c r="AB4838" s="117">
        <f>IF($B4838="","",IF(OR($D4838="",$E4838="",$O4838=""),"EKSİK",IF($O4838&lt;=0,"SIFIR/NEGATİF",IF(COUNTIFS($C$6:$C$5000,$C4838,$O$6:$O$5000,$O4838,$B$6:$B$5000,$B4838)&gt;1,"MÜKERRER","OK"))))</f>
        <v/>
      </c>
    </row>
    <row r="4839" ht="16.5" customHeight="1" s="80">
      <c r="A4839" s="113" t="n"/>
      <c r="B4839" s="113" t="n"/>
      <c r="C4839" s="113" t="n"/>
      <c r="D4839" s="113" t="n"/>
      <c r="E4839" s="113" t="n"/>
      <c r="F4839" s="113" t="n"/>
      <c r="G4839" s="113" t="n"/>
      <c r="H4839" s="113" t="n"/>
      <c r="I4839" s="113" t="n"/>
      <c r="J4839" s="113" t="n"/>
      <c r="K4839" s="113" t="n"/>
      <c r="L4839" s="113" t="n"/>
      <c r="M4839" s="113" t="n"/>
      <c r="N4839" s="113" t="n"/>
      <c r="O4839" s="113" t="n"/>
      <c r="P4839" s="113" t="n"/>
      <c r="Q4839" s="113" t="n"/>
      <c r="R4839" s="113" t="n"/>
      <c r="S4839" s="113" t="n"/>
      <c r="T4839" s="113" t="n"/>
      <c r="U4839" s="113" t="n"/>
      <c r="V4839" s="113" t="n"/>
      <c r="W4839" s="113" t="n"/>
      <c r="X4839" s="113" t="n"/>
      <c r="Y4839" s="113" t="n"/>
      <c r="Z4839" s="117">
        <f>IF($B4839="",0,IF($S4839="EVET",IF($D4839="GELİR",$O4839,-$O4839),0))</f>
        <v/>
      </c>
      <c r="AA4839" s="117">
        <f>IF($B4839="",0,IF(OR($W4839="EVET",$X4839="EVET",$Y4839="EVET"),0,IF($D4839="GELİR",IF($E4839="SATIŞ İADESİ/İSKONTO",-$O4839,$O4839),-$O4839)))</f>
        <v/>
      </c>
      <c r="AB4839" s="117">
        <f>IF($B4839="","",IF(OR($D4839="",$E4839="",$O4839=""),"EKSİK",IF($O4839&lt;=0,"SIFIR/NEGATİF",IF(COUNTIFS($C$6:$C$5000,$C4839,$O$6:$O$5000,$O4839,$B$6:$B$5000,$B4839)&gt;1,"MÜKERRER","OK"))))</f>
        <v/>
      </c>
    </row>
    <row r="4840" ht="16.5" customHeight="1" s="80">
      <c r="A4840" s="113" t="n"/>
      <c r="B4840" s="113" t="n"/>
      <c r="C4840" s="113" t="n"/>
      <c r="D4840" s="113" t="n"/>
      <c r="E4840" s="113" t="n"/>
      <c r="F4840" s="113" t="n"/>
      <c r="G4840" s="113" t="n"/>
      <c r="H4840" s="113" t="n"/>
      <c r="I4840" s="113" t="n"/>
      <c r="J4840" s="113" t="n"/>
      <c r="K4840" s="113" t="n"/>
      <c r="L4840" s="113" t="n"/>
      <c r="M4840" s="113" t="n"/>
      <c r="N4840" s="113" t="n"/>
      <c r="O4840" s="113" t="n"/>
      <c r="P4840" s="113" t="n"/>
      <c r="Q4840" s="113" t="n"/>
      <c r="R4840" s="113" t="n"/>
      <c r="S4840" s="113" t="n"/>
      <c r="T4840" s="113" t="n"/>
      <c r="U4840" s="113" t="n"/>
      <c r="V4840" s="113" t="n"/>
      <c r="W4840" s="113" t="n"/>
      <c r="X4840" s="113" t="n"/>
      <c r="Y4840" s="113" t="n"/>
      <c r="Z4840" s="117">
        <f>IF($B4840="",0,IF($S4840="EVET",IF($D4840="GELİR",$O4840,-$O4840),0))</f>
        <v/>
      </c>
      <c r="AA4840" s="117">
        <f>IF($B4840="",0,IF(OR($W4840="EVET",$X4840="EVET",$Y4840="EVET"),0,IF($D4840="GELİR",IF($E4840="SATIŞ İADESİ/İSKONTO",-$O4840,$O4840),-$O4840)))</f>
        <v/>
      </c>
      <c r="AB4840" s="117">
        <f>IF($B4840="","",IF(OR($D4840="",$E4840="",$O4840=""),"EKSİK",IF($O4840&lt;=0,"SIFIR/NEGATİF",IF(COUNTIFS($C$6:$C$5000,$C4840,$O$6:$O$5000,$O4840,$B$6:$B$5000,$B4840)&gt;1,"MÜKERRER","OK"))))</f>
        <v/>
      </c>
    </row>
    <row r="4841" ht="16.5" customHeight="1" s="80">
      <c r="A4841" s="113" t="n"/>
      <c r="B4841" s="113" t="n"/>
      <c r="C4841" s="113" t="n"/>
      <c r="D4841" s="113" t="n"/>
      <c r="E4841" s="113" t="n"/>
      <c r="F4841" s="113" t="n"/>
      <c r="G4841" s="113" t="n"/>
      <c r="H4841" s="113" t="n"/>
      <c r="I4841" s="113" t="n"/>
      <c r="J4841" s="113" t="n"/>
      <c r="K4841" s="113" t="n"/>
      <c r="L4841" s="113" t="n"/>
      <c r="M4841" s="113" t="n"/>
      <c r="N4841" s="113" t="n"/>
      <c r="O4841" s="113" t="n"/>
      <c r="P4841" s="113" t="n"/>
      <c r="Q4841" s="113" t="n"/>
      <c r="R4841" s="113" t="n"/>
      <c r="S4841" s="113" t="n"/>
      <c r="T4841" s="113" t="n"/>
      <c r="U4841" s="113" t="n"/>
      <c r="V4841" s="113" t="n"/>
      <c r="W4841" s="113" t="n"/>
      <c r="X4841" s="113" t="n"/>
      <c r="Y4841" s="113" t="n"/>
      <c r="Z4841" s="117">
        <f>IF($B4841="",0,IF($S4841="EVET",IF($D4841="GELİR",$O4841,-$O4841),0))</f>
        <v/>
      </c>
      <c r="AA4841" s="117">
        <f>IF($B4841="",0,IF(OR($W4841="EVET",$X4841="EVET",$Y4841="EVET"),0,IF($D4841="GELİR",IF($E4841="SATIŞ İADESİ/İSKONTO",-$O4841,$O4841),-$O4841)))</f>
        <v/>
      </c>
      <c r="AB4841" s="117">
        <f>IF($B4841="","",IF(OR($D4841="",$E4841="",$O4841=""),"EKSİK",IF($O4841&lt;=0,"SIFIR/NEGATİF",IF(COUNTIFS($C$6:$C$5000,$C4841,$O$6:$O$5000,$O4841,$B$6:$B$5000,$B4841)&gt;1,"MÜKERRER","OK"))))</f>
        <v/>
      </c>
    </row>
    <row r="4842" ht="16.5" customHeight="1" s="80">
      <c r="A4842" s="113" t="n"/>
      <c r="B4842" s="113" t="n"/>
      <c r="C4842" s="113" t="n"/>
      <c r="D4842" s="113" t="n"/>
      <c r="E4842" s="113" t="n"/>
      <c r="F4842" s="113" t="n"/>
      <c r="G4842" s="113" t="n"/>
      <c r="H4842" s="113" t="n"/>
      <c r="I4842" s="113" t="n"/>
      <c r="J4842" s="113" t="n"/>
      <c r="K4842" s="113" t="n"/>
      <c r="L4842" s="113" t="n"/>
      <c r="M4842" s="113" t="n"/>
      <c r="N4842" s="113" t="n"/>
      <c r="O4842" s="113" t="n"/>
      <c r="P4842" s="113" t="n"/>
      <c r="Q4842" s="113" t="n"/>
      <c r="R4842" s="113" t="n"/>
      <c r="S4842" s="113" t="n"/>
      <c r="T4842" s="113" t="n"/>
      <c r="U4842" s="113" t="n"/>
      <c r="V4842" s="113" t="n"/>
      <c r="W4842" s="113" t="n"/>
      <c r="X4842" s="113" t="n"/>
      <c r="Y4842" s="113" t="n"/>
      <c r="Z4842" s="117">
        <f>IF($B4842="",0,IF($S4842="EVET",IF($D4842="GELİR",$O4842,-$O4842),0))</f>
        <v/>
      </c>
      <c r="AA4842" s="117">
        <f>IF($B4842="",0,IF(OR($W4842="EVET",$X4842="EVET",$Y4842="EVET"),0,IF($D4842="GELİR",IF($E4842="SATIŞ İADESİ/İSKONTO",-$O4842,$O4842),-$O4842)))</f>
        <v/>
      </c>
      <c r="AB4842" s="117">
        <f>IF($B4842="","",IF(OR($D4842="",$E4842="",$O4842=""),"EKSİK",IF($O4842&lt;=0,"SIFIR/NEGATİF",IF(COUNTIFS($C$6:$C$5000,$C4842,$O$6:$O$5000,$O4842,$B$6:$B$5000,$B4842)&gt;1,"MÜKERRER","OK"))))</f>
        <v/>
      </c>
    </row>
    <row r="4843" ht="16.5" customHeight="1" s="80">
      <c r="A4843" s="113" t="n"/>
      <c r="B4843" s="113" t="n"/>
      <c r="C4843" s="113" t="n"/>
      <c r="D4843" s="113" t="n"/>
      <c r="E4843" s="113" t="n"/>
      <c r="F4843" s="113" t="n"/>
      <c r="G4843" s="113" t="n"/>
      <c r="H4843" s="113" t="n"/>
      <c r="I4843" s="113" t="n"/>
      <c r="J4843" s="113" t="n"/>
      <c r="K4843" s="113" t="n"/>
      <c r="L4843" s="113" t="n"/>
      <c r="M4843" s="113" t="n"/>
      <c r="N4843" s="113" t="n"/>
      <c r="O4843" s="113" t="n"/>
      <c r="P4843" s="113" t="n"/>
      <c r="Q4843" s="113" t="n"/>
      <c r="R4843" s="113" t="n"/>
      <c r="S4843" s="113" t="n"/>
      <c r="T4843" s="113" t="n"/>
      <c r="U4843" s="113" t="n"/>
      <c r="V4843" s="113" t="n"/>
      <c r="W4843" s="113" t="n"/>
      <c r="X4843" s="113" t="n"/>
      <c r="Y4843" s="113" t="n"/>
      <c r="Z4843" s="117">
        <f>IF($B4843="",0,IF($S4843="EVET",IF($D4843="GELİR",$O4843,-$O4843),0))</f>
        <v/>
      </c>
      <c r="AA4843" s="117">
        <f>IF($B4843="",0,IF(OR($W4843="EVET",$X4843="EVET",$Y4843="EVET"),0,IF($D4843="GELİR",IF($E4843="SATIŞ İADESİ/İSKONTO",-$O4843,$O4843),-$O4843)))</f>
        <v/>
      </c>
      <c r="AB4843" s="117">
        <f>IF($B4843="","",IF(OR($D4843="",$E4843="",$O4843=""),"EKSİK",IF($O4843&lt;=0,"SIFIR/NEGATİF",IF(COUNTIFS($C$6:$C$5000,$C4843,$O$6:$O$5000,$O4843,$B$6:$B$5000,$B4843)&gt;1,"MÜKERRER","OK"))))</f>
        <v/>
      </c>
    </row>
    <row r="4844" ht="16.5" customHeight="1" s="80">
      <c r="A4844" s="113" t="n"/>
      <c r="B4844" s="113" t="n"/>
      <c r="C4844" s="113" t="n"/>
      <c r="D4844" s="113" t="n"/>
      <c r="E4844" s="113" t="n"/>
      <c r="F4844" s="113" t="n"/>
      <c r="G4844" s="113" t="n"/>
      <c r="H4844" s="113" t="n"/>
      <c r="I4844" s="113" t="n"/>
      <c r="J4844" s="113" t="n"/>
      <c r="K4844" s="113" t="n"/>
      <c r="L4844" s="113" t="n"/>
      <c r="M4844" s="113" t="n"/>
      <c r="N4844" s="113" t="n"/>
      <c r="O4844" s="113" t="n"/>
      <c r="P4844" s="113" t="n"/>
      <c r="Q4844" s="113" t="n"/>
      <c r="R4844" s="113" t="n"/>
      <c r="S4844" s="113" t="n"/>
      <c r="T4844" s="113" t="n"/>
      <c r="U4844" s="113" t="n"/>
      <c r="V4844" s="113" t="n"/>
      <c r="W4844" s="113" t="n"/>
      <c r="X4844" s="113" t="n"/>
      <c r="Y4844" s="113" t="n"/>
      <c r="Z4844" s="117">
        <f>IF($B4844="",0,IF($S4844="EVET",IF($D4844="GELİR",$O4844,-$O4844),0))</f>
        <v/>
      </c>
      <c r="AA4844" s="117">
        <f>IF($B4844="",0,IF(OR($W4844="EVET",$X4844="EVET",$Y4844="EVET"),0,IF($D4844="GELİR",IF($E4844="SATIŞ İADESİ/İSKONTO",-$O4844,$O4844),-$O4844)))</f>
        <v/>
      </c>
      <c r="AB4844" s="117">
        <f>IF($B4844="","",IF(OR($D4844="",$E4844="",$O4844=""),"EKSİK",IF($O4844&lt;=0,"SIFIR/NEGATİF",IF(COUNTIFS($C$6:$C$5000,$C4844,$O$6:$O$5000,$O4844,$B$6:$B$5000,$B4844)&gt;1,"MÜKERRER","OK"))))</f>
        <v/>
      </c>
    </row>
    <row r="4845" ht="16.5" customHeight="1" s="80">
      <c r="A4845" s="113" t="n"/>
      <c r="B4845" s="113" t="n"/>
      <c r="C4845" s="113" t="n"/>
      <c r="D4845" s="113" t="n"/>
      <c r="E4845" s="113" t="n"/>
      <c r="F4845" s="113" t="n"/>
      <c r="G4845" s="113" t="n"/>
      <c r="H4845" s="113" t="n"/>
      <c r="I4845" s="113" t="n"/>
      <c r="J4845" s="113" t="n"/>
      <c r="K4845" s="113" t="n"/>
      <c r="L4845" s="113" t="n"/>
      <c r="M4845" s="113" t="n"/>
      <c r="N4845" s="113" t="n"/>
      <c r="O4845" s="113" t="n"/>
      <c r="P4845" s="113" t="n"/>
      <c r="Q4845" s="113" t="n"/>
      <c r="R4845" s="113" t="n"/>
      <c r="S4845" s="113" t="n"/>
      <c r="T4845" s="113" t="n"/>
      <c r="U4845" s="113" t="n"/>
      <c r="V4845" s="113" t="n"/>
      <c r="W4845" s="113" t="n"/>
      <c r="X4845" s="113" t="n"/>
      <c r="Y4845" s="113" t="n"/>
      <c r="Z4845" s="117">
        <f>IF($B4845="",0,IF($S4845="EVET",IF($D4845="GELİR",$O4845,-$O4845),0))</f>
        <v/>
      </c>
      <c r="AA4845" s="117">
        <f>IF($B4845="",0,IF(OR($W4845="EVET",$X4845="EVET",$Y4845="EVET"),0,IF($D4845="GELİR",IF($E4845="SATIŞ İADESİ/İSKONTO",-$O4845,$O4845),-$O4845)))</f>
        <v/>
      </c>
      <c r="AB4845" s="117">
        <f>IF($B4845="","",IF(OR($D4845="",$E4845="",$O4845=""),"EKSİK",IF($O4845&lt;=0,"SIFIR/NEGATİF",IF(COUNTIFS($C$6:$C$5000,$C4845,$O$6:$O$5000,$O4845,$B$6:$B$5000,$B4845)&gt;1,"MÜKERRER","OK"))))</f>
        <v/>
      </c>
    </row>
    <row r="4846" ht="16.5" customHeight="1" s="80">
      <c r="A4846" s="113" t="n"/>
      <c r="B4846" s="113" t="n"/>
      <c r="C4846" s="113" t="n"/>
      <c r="D4846" s="113" t="n"/>
      <c r="E4846" s="113" t="n"/>
      <c r="F4846" s="113" t="n"/>
      <c r="G4846" s="113" t="n"/>
      <c r="H4846" s="113" t="n"/>
      <c r="I4846" s="113" t="n"/>
      <c r="J4846" s="113" t="n"/>
      <c r="K4846" s="113" t="n"/>
      <c r="L4846" s="113" t="n"/>
      <c r="M4846" s="113" t="n"/>
      <c r="N4846" s="113" t="n"/>
      <c r="O4846" s="113" t="n"/>
      <c r="P4846" s="113" t="n"/>
      <c r="Q4846" s="113" t="n"/>
      <c r="R4846" s="113" t="n"/>
      <c r="S4846" s="113" t="n"/>
      <c r="T4846" s="113" t="n"/>
      <c r="U4846" s="113" t="n"/>
      <c r="V4846" s="113" t="n"/>
      <c r="W4846" s="113" t="n"/>
      <c r="X4846" s="113" t="n"/>
      <c r="Y4846" s="113" t="n"/>
      <c r="Z4846" s="117">
        <f>IF($B4846="",0,IF($S4846="EVET",IF($D4846="GELİR",$O4846,-$O4846),0))</f>
        <v/>
      </c>
      <c r="AA4846" s="117">
        <f>IF($B4846="",0,IF(OR($W4846="EVET",$X4846="EVET",$Y4846="EVET"),0,IF($D4846="GELİR",IF($E4846="SATIŞ İADESİ/İSKONTO",-$O4846,$O4846),-$O4846)))</f>
        <v/>
      </c>
      <c r="AB4846" s="117">
        <f>IF($B4846="","",IF(OR($D4846="",$E4846="",$O4846=""),"EKSİK",IF($O4846&lt;=0,"SIFIR/NEGATİF",IF(COUNTIFS($C$6:$C$5000,$C4846,$O$6:$O$5000,$O4846,$B$6:$B$5000,$B4846)&gt;1,"MÜKERRER","OK"))))</f>
        <v/>
      </c>
    </row>
    <row r="4847" ht="16.5" customHeight="1" s="80">
      <c r="A4847" s="113" t="n"/>
      <c r="B4847" s="113" t="n"/>
      <c r="C4847" s="113" t="n"/>
      <c r="D4847" s="113" t="n"/>
      <c r="E4847" s="113" t="n"/>
      <c r="F4847" s="113" t="n"/>
      <c r="G4847" s="113" t="n"/>
      <c r="H4847" s="113" t="n"/>
      <c r="I4847" s="113" t="n"/>
      <c r="J4847" s="113" t="n"/>
      <c r="K4847" s="113" t="n"/>
      <c r="L4847" s="113" t="n"/>
      <c r="M4847" s="113" t="n"/>
      <c r="N4847" s="113" t="n"/>
      <c r="O4847" s="113" t="n"/>
      <c r="P4847" s="113" t="n"/>
      <c r="Q4847" s="113" t="n"/>
      <c r="R4847" s="113" t="n"/>
      <c r="S4847" s="113" t="n"/>
      <c r="T4847" s="113" t="n"/>
      <c r="U4847" s="113" t="n"/>
      <c r="V4847" s="113" t="n"/>
      <c r="W4847" s="113" t="n"/>
      <c r="X4847" s="113" t="n"/>
      <c r="Y4847" s="113" t="n"/>
      <c r="Z4847" s="117">
        <f>IF($B4847="",0,IF($S4847="EVET",IF($D4847="GELİR",$O4847,-$O4847),0))</f>
        <v/>
      </c>
      <c r="AA4847" s="117">
        <f>IF($B4847="",0,IF(OR($W4847="EVET",$X4847="EVET",$Y4847="EVET"),0,IF($D4847="GELİR",IF($E4847="SATIŞ İADESİ/İSKONTO",-$O4847,$O4847),-$O4847)))</f>
        <v/>
      </c>
      <c r="AB4847" s="117">
        <f>IF($B4847="","",IF(OR($D4847="",$E4847="",$O4847=""),"EKSİK",IF($O4847&lt;=0,"SIFIR/NEGATİF",IF(COUNTIFS($C$6:$C$5000,$C4847,$O$6:$O$5000,$O4847,$B$6:$B$5000,$B4847)&gt;1,"MÜKERRER","OK"))))</f>
        <v/>
      </c>
    </row>
    <row r="4848" ht="16.5" customHeight="1" s="80">
      <c r="A4848" s="113" t="n"/>
      <c r="B4848" s="113" t="n"/>
      <c r="C4848" s="113" t="n"/>
      <c r="D4848" s="113" t="n"/>
      <c r="E4848" s="113" t="n"/>
      <c r="F4848" s="113" t="n"/>
      <c r="G4848" s="113" t="n"/>
      <c r="H4848" s="113" t="n"/>
      <c r="I4848" s="113" t="n"/>
      <c r="J4848" s="113" t="n"/>
      <c r="K4848" s="113" t="n"/>
      <c r="L4848" s="113" t="n"/>
      <c r="M4848" s="113" t="n"/>
      <c r="N4848" s="113" t="n"/>
      <c r="O4848" s="113" t="n"/>
      <c r="P4848" s="113" t="n"/>
      <c r="Q4848" s="113" t="n"/>
      <c r="R4848" s="113" t="n"/>
      <c r="S4848" s="113" t="n"/>
      <c r="T4848" s="113" t="n"/>
      <c r="U4848" s="113" t="n"/>
      <c r="V4848" s="113" t="n"/>
      <c r="W4848" s="113" t="n"/>
      <c r="X4848" s="113" t="n"/>
      <c r="Y4848" s="113" t="n"/>
      <c r="Z4848" s="117">
        <f>IF($B4848="",0,IF($S4848="EVET",IF($D4848="GELİR",$O4848,-$O4848),0))</f>
        <v/>
      </c>
      <c r="AA4848" s="117">
        <f>IF($B4848="",0,IF(OR($W4848="EVET",$X4848="EVET",$Y4848="EVET"),0,IF($D4848="GELİR",IF($E4848="SATIŞ İADESİ/İSKONTO",-$O4848,$O4848),-$O4848)))</f>
        <v/>
      </c>
      <c r="AB4848" s="117">
        <f>IF($B4848="","",IF(OR($D4848="",$E4848="",$O4848=""),"EKSİK",IF($O4848&lt;=0,"SIFIR/NEGATİF",IF(COUNTIFS($C$6:$C$5000,$C4848,$O$6:$O$5000,$O4848,$B$6:$B$5000,$B4848)&gt;1,"MÜKERRER","OK"))))</f>
        <v/>
      </c>
    </row>
    <row r="4849" ht="16.5" customHeight="1" s="80">
      <c r="A4849" s="113" t="n"/>
      <c r="B4849" s="113" t="n"/>
      <c r="C4849" s="113" t="n"/>
      <c r="D4849" s="113" t="n"/>
      <c r="E4849" s="113" t="n"/>
      <c r="F4849" s="113" t="n"/>
      <c r="G4849" s="113" t="n"/>
      <c r="H4849" s="113" t="n"/>
      <c r="I4849" s="113" t="n"/>
      <c r="J4849" s="113" t="n"/>
      <c r="K4849" s="113" t="n"/>
      <c r="L4849" s="113" t="n"/>
      <c r="M4849" s="113" t="n"/>
      <c r="N4849" s="113" t="n"/>
      <c r="O4849" s="113" t="n"/>
      <c r="P4849" s="113" t="n"/>
      <c r="Q4849" s="113" t="n"/>
      <c r="R4849" s="113" t="n"/>
      <c r="S4849" s="113" t="n"/>
      <c r="T4849" s="113" t="n"/>
      <c r="U4849" s="113" t="n"/>
      <c r="V4849" s="113" t="n"/>
      <c r="W4849" s="113" t="n"/>
      <c r="X4849" s="113" t="n"/>
      <c r="Y4849" s="113" t="n"/>
      <c r="Z4849" s="117">
        <f>IF($B4849="",0,IF($S4849="EVET",IF($D4849="GELİR",$O4849,-$O4849),0))</f>
        <v/>
      </c>
      <c r="AA4849" s="117">
        <f>IF($B4849="",0,IF(OR($W4849="EVET",$X4849="EVET",$Y4849="EVET"),0,IF($D4849="GELİR",IF($E4849="SATIŞ İADESİ/İSKONTO",-$O4849,$O4849),-$O4849)))</f>
        <v/>
      </c>
      <c r="AB4849" s="117">
        <f>IF($B4849="","",IF(OR($D4849="",$E4849="",$O4849=""),"EKSİK",IF($O4849&lt;=0,"SIFIR/NEGATİF",IF(COUNTIFS($C$6:$C$5000,$C4849,$O$6:$O$5000,$O4849,$B$6:$B$5000,$B4849)&gt;1,"MÜKERRER","OK"))))</f>
        <v/>
      </c>
    </row>
    <row r="4850" ht="16.5" customHeight="1" s="80">
      <c r="A4850" s="113" t="n"/>
      <c r="B4850" s="113" t="n"/>
      <c r="C4850" s="113" t="n"/>
      <c r="D4850" s="113" t="n"/>
      <c r="E4850" s="113" t="n"/>
      <c r="F4850" s="113" t="n"/>
      <c r="G4850" s="113" t="n"/>
      <c r="H4850" s="113" t="n"/>
      <c r="I4850" s="113" t="n"/>
      <c r="J4850" s="113" t="n"/>
      <c r="K4850" s="113" t="n"/>
      <c r="L4850" s="113" t="n"/>
      <c r="M4850" s="113" t="n"/>
      <c r="N4850" s="113" t="n"/>
      <c r="O4850" s="113" t="n"/>
      <c r="P4850" s="113" t="n"/>
      <c r="Q4850" s="113" t="n"/>
      <c r="R4850" s="113" t="n"/>
      <c r="S4850" s="113" t="n"/>
      <c r="T4850" s="113" t="n"/>
      <c r="U4850" s="113" t="n"/>
      <c r="V4850" s="113" t="n"/>
      <c r="W4850" s="113" t="n"/>
      <c r="X4850" s="113" t="n"/>
      <c r="Y4850" s="113" t="n"/>
      <c r="Z4850" s="117">
        <f>IF($B4850="",0,IF($S4850="EVET",IF($D4850="GELİR",$O4850,-$O4850),0))</f>
        <v/>
      </c>
      <c r="AA4850" s="117">
        <f>IF($B4850="",0,IF(OR($W4850="EVET",$X4850="EVET",$Y4850="EVET"),0,IF($D4850="GELİR",IF($E4850="SATIŞ İADESİ/İSKONTO",-$O4850,$O4850),-$O4850)))</f>
        <v/>
      </c>
      <c r="AB4850" s="117">
        <f>IF($B4850="","",IF(OR($D4850="",$E4850="",$O4850=""),"EKSİK",IF($O4850&lt;=0,"SIFIR/NEGATİF",IF(COUNTIFS($C$6:$C$5000,$C4850,$O$6:$O$5000,$O4850,$B$6:$B$5000,$B4850)&gt;1,"MÜKERRER","OK"))))</f>
        <v/>
      </c>
    </row>
    <row r="4851" ht="16.5" customHeight="1" s="80">
      <c r="A4851" s="113" t="n"/>
      <c r="B4851" s="113" t="n"/>
      <c r="C4851" s="113" t="n"/>
      <c r="D4851" s="113" t="n"/>
      <c r="E4851" s="113" t="n"/>
      <c r="F4851" s="113" t="n"/>
      <c r="G4851" s="113" t="n"/>
      <c r="H4851" s="113" t="n"/>
      <c r="I4851" s="113" t="n"/>
      <c r="J4851" s="113" t="n"/>
      <c r="K4851" s="113" t="n"/>
      <c r="L4851" s="113" t="n"/>
      <c r="M4851" s="113" t="n"/>
      <c r="N4851" s="113" t="n"/>
      <c r="O4851" s="113" t="n"/>
      <c r="P4851" s="113" t="n"/>
      <c r="Q4851" s="113" t="n"/>
      <c r="R4851" s="113" t="n"/>
      <c r="S4851" s="113" t="n"/>
      <c r="T4851" s="113" t="n"/>
      <c r="U4851" s="113" t="n"/>
      <c r="V4851" s="113" t="n"/>
      <c r="W4851" s="113" t="n"/>
      <c r="X4851" s="113" t="n"/>
      <c r="Y4851" s="113" t="n"/>
      <c r="Z4851" s="117">
        <f>IF($B4851="",0,IF($S4851="EVET",IF($D4851="GELİR",$O4851,-$O4851),0))</f>
        <v/>
      </c>
      <c r="AA4851" s="117">
        <f>IF($B4851="",0,IF(OR($W4851="EVET",$X4851="EVET",$Y4851="EVET"),0,IF($D4851="GELİR",IF($E4851="SATIŞ İADESİ/İSKONTO",-$O4851,$O4851),-$O4851)))</f>
        <v/>
      </c>
      <c r="AB4851" s="117">
        <f>IF($B4851="","",IF(OR($D4851="",$E4851="",$O4851=""),"EKSİK",IF($O4851&lt;=0,"SIFIR/NEGATİF",IF(COUNTIFS($C$6:$C$5000,$C4851,$O$6:$O$5000,$O4851,$B$6:$B$5000,$B4851)&gt;1,"MÜKERRER","OK"))))</f>
        <v/>
      </c>
    </row>
    <row r="4852" ht="16.5" customHeight="1" s="80">
      <c r="A4852" s="113" t="n"/>
      <c r="B4852" s="113" t="n"/>
      <c r="C4852" s="113" t="n"/>
      <c r="D4852" s="113" t="n"/>
      <c r="E4852" s="113" t="n"/>
      <c r="F4852" s="113" t="n"/>
      <c r="G4852" s="113" t="n"/>
      <c r="H4852" s="113" t="n"/>
      <c r="I4852" s="113" t="n"/>
      <c r="J4852" s="113" t="n"/>
      <c r="K4852" s="113" t="n"/>
      <c r="L4852" s="113" t="n"/>
      <c r="M4852" s="113" t="n"/>
      <c r="N4852" s="113" t="n"/>
      <c r="O4852" s="113" t="n"/>
      <c r="P4852" s="113" t="n"/>
      <c r="Q4852" s="113" t="n"/>
      <c r="R4852" s="113" t="n"/>
      <c r="S4852" s="113" t="n"/>
      <c r="T4852" s="113" t="n"/>
      <c r="U4852" s="113" t="n"/>
      <c r="V4852" s="113" t="n"/>
      <c r="W4852" s="113" t="n"/>
      <c r="X4852" s="113" t="n"/>
      <c r="Y4852" s="113" t="n"/>
      <c r="Z4852" s="117">
        <f>IF($B4852="",0,IF($S4852="EVET",IF($D4852="GELİR",$O4852,-$O4852),0))</f>
        <v/>
      </c>
      <c r="AA4852" s="117">
        <f>IF($B4852="",0,IF(OR($W4852="EVET",$X4852="EVET",$Y4852="EVET"),0,IF($D4852="GELİR",IF($E4852="SATIŞ İADESİ/İSKONTO",-$O4852,$O4852),-$O4852)))</f>
        <v/>
      </c>
      <c r="AB4852" s="117">
        <f>IF($B4852="","",IF(OR($D4852="",$E4852="",$O4852=""),"EKSİK",IF($O4852&lt;=0,"SIFIR/NEGATİF",IF(COUNTIFS($C$6:$C$5000,$C4852,$O$6:$O$5000,$O4852,$B$6:$B$5000,$B4852)&gt;1,"MÜKERRER","OK"))))</f>
        <v/>
      </c>
    </row>
    <row r="4853" ht="16.5" customHeight="1" s="80">
      <c r="A4853" s="113" t="n"/>
      <c r="B4853" s="113" t="n"/>
      <c r="C4853" s="113" t="n"/>
      <c r="D4853" s="113" t="n"/>
      <c r="E4853" s="113" t="n"/>
      <c r="F4853" s="113" t="n"/>
      <c r="G4853" s="113" t="n"/>
      <c r="H4853" s="113" t="n"/>
      <c r="I4853" s="113" t="n"/>
      <c r="J4853" s="113" t="n"/>
      <c r="K4853" s="113" t="n"/>
      <c r="L4853" s="113" t="n"/>
      <c r="M4853" s="113" t="n"/>
      <c r="N4853" s="113" t="n"/>
      <c r="O4853" s="113" t="n"/>
      <c r="P4853" s="113" t="n"/>
      <c r="Q4853" s="113" t="n"/>
      <c r="R4853" s="113" t="n"/>
      <c r="S4853" s="113" t="n"/>
      <c r="T4853" s="113" t="n"/>
      <c r="U4853" s="113" t="n"/>
      <c r="V4853" s="113" t="n"/>
      <c r="W4853" s="113" t="n"/>
      <c r="X4853" s="113" t="n"/>
      <c r="Y4853" s="113" t="n"/>
      <c r="Z4853" s="117">
        <f>IF($B4853="",0,IF($S4853="EVET",IF($D4853="GELİR",$O4853,-$O4853),0))</f>
        <v/>
      </c>
      <c r="AA4853" s="117">
        <f>IF($B4853="",0,IF(OR($W4853="EVET",$X4853="EVET",$Y4853="EVET"),0,IF($D4853="GELİR",IF($E4853="SATIŞ İADESİ/İSKONTO",-$O4853,$O4853),-$O4853)))</f>
        <v/>
      </c>
      <c r="AB4853" s="117">
        <f>IF($B4853="","",IF(OR($D4853="",$E4853="",$O4853=""),"EKSİK",IF($O4853&lt;=0,"SIFIR/NEGATİF",IF(COUNTIFS($C$6:$C$5000,$C4853,$O$6:$O$5000,$O4853,$B$6:$B$5000,$B4853)&gt;1,"MÜKERRER","OK"))))</f>
        <v/>
      </c>
    </row>
    <row r="4854" ht="16.5" customHeight="1" s="80">
      <c r="A4854" s="113" t="n"/>
      <c r="B4854" s="113" t="n"/>
      <c r="C4854" s="113" t="n"/>
      <c r="D4854" s="113" t="n"/>
      <c r="E4854" s="113" t="n"/>
      <c r="F4854" s="113" t="n"/>
      <c r="G4854" s="113" t="n"/>
      <c r="H4854" s="113" t="n"/>
      <c r="I4854" s="113" t="n"/>
      <c r="J4854" s="113" t="n"/>
      <c r="K4854" s="113" t="n"/>
      <c r="L4854" s="113" t="n"/>
      <c r="M4854" s="113" t="n"/>
      <c r="N4854" s="113" t="n"/>
      <c r="O4854" s="113" t="n"/>
      <c r="P4854" s="113" t="n"/>
      <c r="Q4854" s="113" t="n"/>
      <c r="R4854" s="113" t="n"/>
      <c r="S4854" s="113" t="n"/>
      <c r="T4854" s="113" t="n"/>
      <c r="U4854" s="113" t="n"/>
      <c r="V4854" s="113" t="n"/>
      <c r="W4854" s="113" t="n"/>
      <c r="X4854" s="113" t="n"/>
      <c r="Y4854" s="113" t="n"/>
      <c r="Z4854" s="117">
        <f>IF($B4854="",0,IF($S4854="EVET",IF($D4854="GELİR",$O4854,-$O4854),0))</f>
        <v/>
      </c>
      <c r="AA4854" s="117">
        <f>IF($B4854="",0,IF(OR($W4854="EVET",$X4854="EVET",$Y4854="EVET"),0,IF($D4854="GELİR",IF($E4854="SATIŞ İADESİ/İSKONTO",-$O4854,$O4854),-$O4854)))</f>
        <v/>
      </c>
      <c r="AB4854" s="117">
        <f>IF($B4854="","",IF(OR($D4854="",$E4854="",$O4854=""),"EKSİK",IF($O4854&lt;=0,"SIFIR/NEGATİF",IF(COUNTIFS($C$6:$C$5000,$C4854,$O$6:$O$5000,$O4854,$B$6:$B$5000,$B4854)&gt;1,"MÜKERRER","OK"))))</f>
        <v/>
      </c>
    </row>
    <row r="4855" ht="16.5" customHeight="1" s="80">
      <c r="A4855" s="113" t="n"/>
      <c r="B4855" s="113" t="n"/>
      <c r="C4855" s="113" t="n"/>
      <c r="D4855" s="113" t="n"/>
      <c r="E4855" s="113" t="n"/>
      <c r="F4855" s="113" t="n"/>
      <c r="G4855" s="113" t="n"/>
      <c r="H4855" s="113" t="n"/>
      <c r="I4855" s="113" t="n"/>
      <c r="J4855" s="113" t="n"/>
      <c r="K4855" s="113" t="n"/>
      <c r="L4855" s="113" t="n"/>
      <c r="M4855" s="113" t="n"/>
      <c r="N4855" s="113" t="n"/>
      <c r="O4855" s="113" t="n"/>
      <c r="P4855" s="113" t="n"/>
      <c r="Q4855" s="113" t="n"/>
      <c r="R4855" s="113" t="n"/>
      <c r="S4855" s="113" t="n"/>
      <c r="T4855" s="113" t="n"/>
      <c r="U4855" s="113" t="n"/>
      <c r="V4855" s="113" t="n"/>
      <c r="W4855" s="113" t="n"/>
      <c r="X4855" s="113" t="n"/>
      <c r="Y4855" s="113" t="n"/>
      <c r="Z4855" s="117">
        <f>IF($B4855="",0,IF($S4855="EVET",IF($D4855="GELİR",$O4855,-$O4855),0))</f>
        <v/>
      </c>
      <c r="AA4855" s="117">
        <f>IF($B4855="",0,IF(OR($W4855="EVET",$X4855="EVET",$Y4855="EVET"),0,IF($D4855="GELİR",IF($E4855="SATIŞ İADESİ/İSKONTO",-$O4855,$O4855),-$O4855)))</f>
        <v/>
      </c>
      <c r="AB4855" s="117">
        <f>IF($B4855="","",IF(OR($D4855="",$E4855="",$O4855=""),"EKSİK",IF($O4855&lt;=0,"SIFIR/NEGATİF",IF(COUNTIFS($C$6:$C$5000,$C4855,$O$6:$O$5000,$O4855,$B$6:$B$5000,$B4855)&gt;1,"MÜKERRER","OK"))))</f>
        <v/>
      </c>
    </row>
    <row r="4856" ht="16.5" customHeight="1" s="80">
      <c r="A4856" s="113" t="n"/>
      <c r="B4856" s="113" t="n"/>
      <c r="C4856" s="113" t="n"/>
      <c r="D4856" s="113" t="n"/>
      <c r="E4856" s="113" t="n"/>
      <c r="F4856" s="113" t="n"/>
      <c r="G4856" s="113" t="n"/>
      <c r="H4856" s="113" t="n"/>
      <c r="I4856" s="113" t="n"/>
      <c r="J4856" s="113" t="n"/>
      <c r="K4856" s="113" t="n"/>
      <c r="L4856" s="113" t="n"/>
      <c r="M4856" s="113" t="n"/>
      <c r="N4856" s="113" t="n"/>
      <c r="O4856" s="113" t="n"/>
      <c r="P4856" s="113" t="n"/>
      <c r="Q4856" s="113" t="n"/>
      <c r="R4856" s="113" t="n"/>
      <c r="S4856" s="113" t="n"/>
      <c r="T4856" s="113" t="n"/>
      <c r="U4856" s="113" t="n"/>
      <c r="V4856" s="113" t="n"/>
      <c r="W4856" s="113" t="n"/>
      <c r="X4856" s="113" t="n"/>
      <c r="Y4856" s="113" t="n"/>
      <c r="Z4856" s="117">
        <f>IF($B4856="",0,IF($S4856="EVET",IF($D4856="GELİR",$O4856,-$O4856),0))</f>
        <v/>
      </c>
      <c r="AA4856" s="117">
        <f>IF($B4856="",0,IF(OR($W4856="EVET",$X4856="EVET",$Y4856="EVET"),0,IF($D4856="GELİR",IF($E4856="SATIŞ İADESİ/İSKONTO",-$O4856,$O4856),-$O4856)))</f>
        <v/>
      </c>
      <c r="AB4856" s="117">
        <f>IF($B4856="","",IF(OR($D4856="",$E4856="",$O4856=""),"EKSİK",IF($O4856&lt;=0,"SIFIR/NEGATİF",IF(COUNTIFS($C$6:$C$5000,$C4856,$O$6:$O$5000,$O4856,$B$6:$B$5000,$B4856)&gt;1,"MÜKERRER","OK"))))</f>
        <v/>
      </c>
    </row>
    <row r="4857" ht="16.5" customHeight="1" s="80">
      <c r="A4857" s="113" t="n"/>
      <c r="B4857" s="113" t="n"/>
      <c r="C4857" s="113" t="n"/>
      <c r="D4857" s="113" t="n"/>
      <c r="E4857" s="113" t="n"/>
      <c r="F4857" s="113" t="n"/>
      <c r="G4857" s="113" t="n"/>
      <c r="H4857" s="113" t="n"/>
      <c r="I4857" s="113" t="n"/>
      <c r="J4857" s="113" t="n"/>
      <c r="K4857" s="113" t="n"/>
      <c r="L4857" s="113" t="n"/>
      <c r="M4857" s="113" t="n"/>
      <c r="N4857" s="113" t="n"/>
      <c r="O4857" s="113" t="n"/>
      <c r="P4857" s="113" t="n"/>
      <c r="Q4857" s="113" t="n"/>
      <c r="R4857" s="113" t="n"/>
      <c r="S4857" s="113" t="n"/>
      <c r="T4857" s="113" t="n"/>
      <c r="U4857" s="113" t="n"/>
      <c r="V4857" s="113" t="n"/>
      <c r="W4857" s="113" t="n"/>
      <c r="X4857" s="113" t="n"/>
      <c r="Y4857" s="113" t="n"/>
      <c r="Z4857" s="117">
        <f>IF($B4857="",0,IF($S4857="EVET",IF($D4857="GELİR",$O4857,-$O4857),0))</f>
        <v/>
      </c>
      <c r="AA4857" s="117">
        <f>IF($B4857="",0,IF(OR($W4857="EVET",$X4857="EVET",$Y4857="EVET"),0,IF($D4857="GELİR",IF($E4857="SATIŞ İADESİ/İSKONTO",-$O4857,$O4857),-$O4857)))</f>
        <v/>
      </c>
      <c r="AB4857" s="117">
        <f>IF($B4857="","",IF(OR($D4857="",$E4857="",$O4857=""),"EKSİK",IF($O4857&lt;=0,"SIFIR/NEGATİF",IF(COUNTIFS($C$6:$C$5000,$C4857,$O$6:$O$5000,$O4857,$B$6:$B$5000,$B4857)&gt;1,"MÜKERRER","OK"))))</f>
        <v/>
      </c>
    </row>
    <row r="4858" ht="16.5" customHeight="1" s="80">
      <c r="A4858" s="113" t="n"/>
      <c r="B4858" s="113" t="n"/>
      <c r="C4858" s="113" t="n"/>
      <c r="D4858" s="113" t="n"/>
      <c r="E4858" s="113" t="n"/>
      <c r="F4858" s="113" t="n"/>
      <c r="G4858" s="113" t="n"/>
      <c r="H4858" s="113" t="n"/>
      <c r="I4858" s="113" t="n"/>
      <c r="J4858" s="113" t="n"/>
      <c r="K4858" s="113" t="n"/>
      <c r="L4858" s="113" t="n"/>
      <c r="M4858" s="113" t="n"/>
      <c r="N4858" s="113" t="n"/>
      <c r="O4858" s="113" t="n"/>
      <c r="P4858" s="113" t="n"/>
      <c r="Q4858" s="113" t="n"/>
      <c r="R4858" s="113" t="n"/>
      <c r="S4858" s="113" t="n"/>
      <c r="T4858" s="113" t="n"/>
      <c r="U4858" s="113" t="n"/>
      <c r="V4858" s="113" t="n"/>
      <c r="W4858" s="113" t="n"/>
      <c r="X4858" s="113" t="n"/>
      <c r="Y4858" s="113" t="n"/>
      <c r="Z4858" s="117">
        <f>IF($B4858="",0,IF($S4858="EVET",IF($D4858="GELİR",$O4858,-$O4858),0))</f>
        <v/>
      </c>
      <c r="AA4858" s="117">
        <f>IF($B4858="",0,IF(OR($W4858="EVET",$X4858="EVET",$Y4858="EVET"),0,IF($D4858="GELİR",IF($E4858="SATIŞ İADESİ/İSKONTO",-$O4858,$O4858),-$O4858)))</f>
        <v/>
      </c>
      <c r="AB4858" s="117">
        <f>IF($B4858="","",IF(OR($D4858="",$E4858="",$O4858=""),"EKSİK",IF($O4858&lt;=0,"SIFIR/NEGATİF",IF(COUNTIFS($C$6:$C$5000,$C4858,$O$6:$O$5000,$O4858,$B$6:$B$5000,$B4858)&gt;1,"MÜKERRER","OK"))))</f>
        <v/>
      </c>
    </row>
    <row r="4859" ht="16.5" customHeight="1" s="80">
      <c r="A4859" s="113" t="n"/>
      <c r="B4859" s="113" t="n"/>
      <c r="C4859" s="113" t="n"/>
      <c r="D4859" s="113" t="n"/>
      <c r="E4859" s="113" t="n"/>
      <c r="F4859" s="113" t="n"/>
      <c r="G4859" s="113" t="n"/>
      <c r="H4859" s="113" t="n"/>
      <c r="I4859" s="113" t="n"/>
      <c r="J4859" s="113" t="n"/>
      <c r="K4859" s="113" t="n"/>
      <c r="L4859" s="113" t="n"/>
      <c r="M4859" s="113" t="n"/>
      <c r="N4859" s="113" t="n"/>
      <c r="O4859" s="113" t="n"/>
      <c r="P4859" s="113" t="n"/>
      <c r="Q4859" s="113" t="n"/>
      <c r="R4859" s="113" t="n"/>
      <c r="S4859" s="113" t="n"/>
      <c r="T4859" s="113" t="n"/>
      <c r="U4859" s="113" t="n"/>
      <c r="V4859" s="113" t="n"/>
      <c r="W4859" s="113" t="n"/>
      <c r="X4859" s="113" t="n"/>
      <c r="Y4859" s="113" t="n"/>
      <c r="Z4859" s="117">
        <f>IF($B4859="",0,IF($S4859="EVET",IF($D4859="GELİR",$O4859,-$O4859),0))</f>
        <v/>
      </c>
      <c r="AA4859" s="117">
        <f>IF($B4859="",0,IF(OR($W4859="EVET",$X4859="EVET",$Y4859="EVET"),0,IF($D4859="GELİR",IF($E4859="SATIŞ İADESİ/İSKONTO",-$O4859,$O4859),-$O4859)))</f>
        <v/>
      </c>
      <c r="AB4859" s="117">
        <f>IF($B4859="","",IF(OR($D4859="",$E4859="",$O4859=""),"EKSİK",IF($O4859&lt;=0,"SIFIR/NEGATİF",IF(COUNTIFS($C$6:$C$5000,$C4859,$O$6:$O$5000,$O4859,$B$6:$B$5000,$B4859)&gt;1,"MÜKERRER","OK"))))</f>
        <v/>
      </c>
    </row>
    <row r="4860" ht="16.5" customHeight="1" s="80">
      <c r="A4860" s="113" t="n"/>
      <c r="B4860" s="113" t="n"/>
      <c r="C4860" s="113" t="n"/>
      <c r="D4860" s="113" t="n"/>
      <c r="E4860" s="113" t="n"/>
      <c r="F4860" s="113" t="n"/>
      <c r="G4860" s="113" t="n"/>
      <c r="H4860" s="113" t="n"/>
      <c r="I4860" s="113" t="n"/>
      <c r="J4860" s="113" t="n"/>
      <c r="K4860" s="113" t="n"/>
      <c r="L4860" s="113" t="n"/>
      <c r="M4860" s="113" t="n"/>
      <c r="N4860" s="113" t="n"/>
      <c r="O4860" s="113" t="n"/>
      <c r="P4860" s="113" t="n"/>
      <c r="Q4860" s="113" t="n"/>
      <c r="R4860" s="113" t="n"/>
      <c r="S4860" s="113" t="n"/>
      <c r="T4860" s="113" t="n"/>
      <c r="U4860" s="113" t="n"/>
      <c r="V4860" s="113" t="n"/>
      <c r="W4860" s="113" t="n"/>
      <c r="X4860" s="113" t="n"/>
      <c r="Y4860" s="113" t="n"/>
      <c r="Z4860" s="117">
        <f>IF($B4860="",0,IF($S4860="EVET",IF($D4860="GELİR",$O4860,-$O4860),0))</f>
        <v/>
      </c>
      <c r="AA4860" s="117">
        <f>IF($B4860="",0,IF(OR($W4860="EVET",$X4860="EVET",$Y4860="EVET"),0,IF($D4860="GELİR",IF($E4860="SATIŞ İADESİ/İSKONTO",-$O4860,$O4860),-$O4860)))</f>
        <v/>
      </c>
      <c r="AB4860" s="117">
        <f>IF($B4860="","",IF(OR($D4860="",$E4860="",$O4860=""),"EKSİK",IF($O4860&lt;=0,"SIFIR/NEGATİF",IF(COUNTIFS($C$6:$C$5000,$C4860,$O$6:$O$5000,$O4860,$B$6:$B$5000,$B4860)&gt;1,"MÜKERRER","OK"))))</f>
        <v/>
      </c>
    </row>
    <row r="4861" ht="16.5" customHeight="1" s="80">
      <c r="A4861" s="113" t="n"/>
      <c r="B4861" s="113" t="n"/>
      <c r="C4861" s="113" t="n"/>
      <c r="D4861" s="113" t="n"/>
      <c r="E4861" s="113" t="n"/>
      <c r="F4861" s="113" t="n"/>
      <c r="G4861" s="113" t="n"/>
      <c r="H4861" s="113" t="n"/>
      <c r="I4861" s="113" t="n"/>
      <c r="J4861" s="113" t="n"/>
      <c r="K4861" s="113" t="n"/>
      <c r="L4861" s="113" t="n"/>
      <c r="M4861" s="113" t="n"/>
      <c r="N4861" s="113" t="n"/>
      <c r="O4861" s="113" t="n"/>
      <c r="P4861" s="113" t="n"/>
      <c r="Q4861" s="113" t="n"/>
      <c r="R4861" s="113" t="n"/>
      <c r="S4861" s="113" t="n"/>
      <c r="T4861" s="113" t="n"/>
      <c r="U4861" s="113" t="n"/>
      <c r="V4861" s="113" t="n"/>
      <c r="W4861" s="113" t="n"/>
      <c r="X4861" s="113" t="n"/>
      <c r="Y4861" s="113" t="n"/>
      <c r="Z4861" s="117">
        <f>IF($B4861="",0,IF($S4861="EVET",IF($D4861="GELİR",$O4861,-$O4861),0))</f>
        <v/>
      </c>
      <c r="AA4861" s="117">
        <f>IF($B4861="",0,IF(OR($W4861="EVET",$X4861="EVET",$Y4861="EVET"),0,IF($D4861="GELİR",IF($E4861="SATIŞ İADESİ/İSKONTO",-$O4861,$O4861),-$O4861)))</f>
        <v/>
      </c>
      <c r="AB4861" s="117">
        <f>IF($B4861="","",IF(OR($D4861="",$E4861="",$O4861=""),"EKSİK",IF($O4861&lt;=0,"SIFIR/NEGATİF",IF(COUNTIFS($C$6:$C$5000,$C4861,$O$6:$O$5000,$O4861,$B$6:$B$5000,$B4861)&gt;1,"MÜKERRER","OK"))))</f>
        <v/>
      </c>
    </row>
    <row r="4862" ht="16.5" customHeight="1" s="80">
      <c r="A4862" s="113" t="n"/>
      <c r="B4862" s="113" t="n"/>
      <c r="C4862" s="113" t="n"/>
      <c r="D4862" s="113" t="n"/>
      <c r="E4862" s="113" t="n"/>
      <c r="F4862" s="113" t="n"/>
      <c r="G4862" s="113" t="n"/>
      <c r="H4862" s="113" t="n"/>
      <c r="I4862" s="113" t="n"/>
      <c r="J4862" s="113" t="n"/>
      <c r="K4862" s="113" t="n"/>
      <c r="L4862" s="113" t="n"/>
      <c r="M4862" s="113" t="n"/>
      <c r="N4862" s="113" t="n"/>
      <c r="O4862" s="113" t="n"/>
      <c r="P4862" s="113" t="n"/>
      <c r="Q4862" s="113" t="n"/>
      <c r="R4862" s="113" t="n"/>
      <c r="S4862" s="113" t="n"/>
      <c r="T4862" s="113" t="n"/>
      <c r="U4862" s="113" t="n"/>
      <c r="V4862" s="113" t="n"/>
      <c r="W4862" s="113" t="n"/>
      <c r="X4862" s="113" t="n"/>
      <c r="Y4862" s="113" t="n"/>
      <c r="Z4862" s="117">
        <f>IF($B4862="",0,IF($S4862="EVET",IF($D4862="GELİR",$O4862,-$O4862),0))</f>
        <v/>
      </c>
      <c r="AA4862" s="117">
        <f>IF($B4862="",0,IF(OR($W4862="EVET",$X4862="EVET",$Y4862="EVET"),0,IF($D4862="GELİR",IF($E4862="SATIŞ İADESİ/İSKONTO",-$O4862,$O4862),-$O4862)))</f>
        <v/>
      </c>
      <c r="AB4862" s="117">
        <f>IF($B4862="","",IF(OR($D4862="",$E4862="",$O4862=""),"EKSİK",IF($O4862&lt;=0,"SIFIR/NEGATİF",IF(COUNTIFS($C$6:$C$5000,$C4862,$O$6:$O$5000,$O4862,$B$6:$B$5000,$B4862)&gt;1,"MÜKERRER","OK"))))</f>
        <v/>
      </c>
    </row>
    <row r="4863" ht="16.5" customHeight="1" s="80">
      <c r="A4863" s="113" t="n"/>
      <c r="B4863" s="113" t="n"/>
      <c r="C4863" s="113" t="n"/>
      <c r="D4863" s="113" t="n"/>
      <c r="E4863" s="113" t="n"/>
      <c r="F4863" s="113" t="n"/>
      <c r="G4863" s="113" t="n"/>
      <c r="H4863" s="113" t="n"/>
      <c r="I4863" s="113" t="n"/>
      <c r="J4863" s="113" t="n"/>
      <c r="K4863" s="113" t="n"/>
      <c r="L4863" s="113" t="n"/>
      <c r="M4863" s="113" t="n"/>
      <c r="N4863" s="113" t="n"/>
      <c r="O4863" s="113" t="n"/>
      <c r="P4863" s="113" t="n"/>
      <c r="Q4863" s="113" t="n"/>
      <c r="R4863" s="113" t="n"/>
      <c r="S4863" s="113" t="n"/>
      <c r="T4863" s="113" t="n"/>
      <c r="U4863" s="113" t="n"/>
      <c r="V4863" s="113" t="n"/>
      <c r="W4863" s="113" t="n"/>
      <c r="X4863" s="113" t="n"/>
      <c r="Y4863" s="113" t="n"/>
      <c r="Z4863" s="117">
        <f>IF($B4863="",0,IF($S4863="EVET",IF($D4863="GELİR",$O4863,-$O4863),0))</f>
        <v/>
      </c>
      <c r="AA4863" s="117">
        <f>IF($B4863="",0,IF(OR($W4863="EVET",$X4863="EVET",$Y4863="EVET"),0,IF($D4863="GELİR",IF($E4863="SATIŞ İADESİ/İSKONTO",-$O4863,$O4863),-$O4863)))</f>
        <v/>
      </c>
      <c r="AB4863" s="117">
        <f>IF($B4863="","",IF(OR($D4863="",$E4863="",$O4863=""),"EKSİK",IF($O4863&lt;=0,"SIFIR/NEGATİF",IF(COUNTIFS($C$6:$C$5000,$C4863,$O$6:$O$5000,$O4863,$B$6:$B$5000,$B4863)&gt;1,"MÜKERRER","OK"))))</f>
        <v/>
      </c>
    </row>
    <row r="4864" ht="16.5" customHeight="1" s="80">
      <c r="A4864" s="113" t="n"/>
      <c r="B4864" s="113" t="n"/>
      <c r="C4864" s="113" t="n"/>
      <c r="D4864" s="113" t="n"/>
      <c r="E4864" s="113" t="n"/>
      <c r="F4864" s="113" t="n"/>
      <c r="G4864" s="113" t="n"/>
      <c r="H4864" s="113" t="n"/>
      <c r="I4864" s="113" t="n"/>
      <c r="J4864" s="113" t="n"/>
      <c r="K4864" s="113" t="n"/>
      <c r="L4864" s="113" t="n"/>
      <c r="M4864" s="113" t="n"/>
      <c r="N4864" s="113" t="n"/>
      <c r="O4864" s="113" t="n"/>
      <c r="P4864" s="113" t="n"/>
      <c r="Q4864" s="113" t="n"/>
      <c r="R4864" s="113" t="n"/>
      <c r="S4864" s="113" t="n"/>
      <c r="T4864" s="113" t="n"/>
      <c r="U4864" s="113" t="n"/>
      <c r="V4864" s="113" t="n"/>
      <c r="W4864" s="113" t="n"/>
      <c r="X4864" s="113" t="n"/>
      <c r="Y4864" s="113" t="n"/>
      <c r="Z4864" s="117">
        <f>IF($B4864="",0,IF($S4864="EVET",IF($D4864="GELİR",$O4864,-$O4864),0))</f>
        <v/>
      </c>
      <c r="AA4864" s="117">
        <f>IF($B4864="",0,IF(OR($W4864="EVET",$X4864="EVET",$Y4864="EVET"),0,IF($D4864="GELİR",IF($E4864="SATIŞ İADESİ/İSKONTO",-$O4864,$O4864),-$O4864)))</f>
        <v/>
      </c>
      <c r="AB4864" s="117">
        <f>IF($B4864="","",IF(OR($D4864="",$E4864="",$O4864=""),"EKSİK",IF($O4864&lt;=0,"SIFIR/NEGATİF",IF(COUNTIFS($C$6:$C$5000,$C4864,$O$6:$O$5000,$O4864,$B$6:$B$5000,$B4864)&gt;1,"MÜKERRER","OK"))))</f>
        <v/>
      </c>
    </row>
    <row r="4865" ht="16.5" customHeight="1" s="80">
      <c r="A4865" s="113" t="n"/>
      <c r="B4865" s="113" t="n"/>
      <c r="C4865" s="113" t="n"/>
      <c r="D4865" s="113" t="n"/>
      <c r="E4865" s="113" t="n"/>
      <c r="F4865" s="113" t="n"/>
      <c r="G4865" s="113" t="n"/>
      <c r="H4865" s="113" t="n"/>
      <c r="I4865" s="113" t="n"/>
      <c r="J4865" s="113" t="n"/>
      <c r="K4865" s="113" t="n"/>
      <c r="L4865" s="113" t="n"/>
      <c r="M4865" s="113" t="n"/>
      <c r="N4865" s="113" t="n"/>
      <c r="O4865" s="113" t="n"/>
      <c r="P4865" s="113" t="n"/>
      <c r="Q4865" s="113" t="n"/>
      <c r="R4865" s="113" t="n"/>
      <c r="S4865" s="113" t="n"/>
      <c r="T4865" s="113" t="n"/>
      <c r="U4865" s="113" t="n"/>
      <c r="V4865" s="113" t="n"/>
      <c r="W4865" s="113" t="n"/>
      <c r="X4865" s="113" t="n"/>
      <c r="Y4865" s="113" t="n"/>
      <c r="Z4865" s="117">
        <f>IF($B4865="",0,IF($S4865="EVET",IF($D4865="GELİR",$O4865,-$O4865),0))</f>
        <v/>
      </c>
      <c r="AA4865" s="117">
        <f>IF($B4865="",0,IF(OR($W4865="EVET",$X4865="EVET",$Y4865="EVET"),0,IF($D4865="GELİR",IF($E4865="SATIŞ İADESİ/İSKONTO",-$O4865,$O4865),-$O4865)))</f>
        <v/>
      </c>
      <c r="AB4865" s="117">
        <f>IF($B4865="","",IF(OR($D4865="",$E4865="",$O4865=""),"EKSİK",IF($O4865&lt;=0,"SIFIR/NEGATİF",IF(COUNTIFS($C$6:$C$5000,$C4865,$O$6:$O$5000,$O4865,$B$6:$B$5000,$B4865)&gt;1,"MÜKERRER","OK"))))</f>
        <v/>
      </c>
    </row>
    <row r="4866" ht="16.5" customHeight="1" s="80">
      <c r="A4866" s="113" t="n"/>
      <c r="B4866" s="113" t="n"/>
      <c r="C4866" s="113" t="n"/>
      <c r="D4866" s="113" t="n"/>
      <c r="E4866" s="113" t="n"/>
      <c r="F4866" s="113" t="n"/>
      <c r="G4866" s="113" t="n"/>
      <c r="H4866" s="113" t="n"/>
      <c r="I4866" s="113" t="n"/>
      <c r="J4866" s="113" t="n"/>
      <c r="K4866" s="113" t="n"/>
      <c r="L4866" s="113" t="n"/>
      <c r="M4866" s="113" t="n"/>
      <c r="N4866" s="113" t="n"/>
      <c r="O4866" s="113" t="n"/>
      <c r="P4866" s="113" t="n"/>
      <c r="Q4866" s="113" t="n"/>
      <c r="R4866" s="113" t="n"/>
      <c r="S4866" s="113" t="n"/>
      <c r="T4866" s="113" t="n"/>
      <c r="U4866" s="113" t="n"/>
      <c r="V4866" s="113" t="n"/>
      <c r="W4866" s="113" t="n"/>
      <c r="X4866" s="113" t="n"/>
      <c r="Y4866" s="113" t="n"/>
      <c r="Z4866" s="117">
        <f>IF($B4866="",0,IF($S4866="EVET",IF($D4866="GELİR",$O4866,-$O4866),0))</f>
        <v/>
      </c>
      <c r="AA4866" s="117">
        <f>IF($B4866="",0,IF(OR($W4866="EVET",$X4866="EVET",$Y4866="EVET"),0,IF($D4866="GELİR",IF($E4866="SATIŞ İADESİ/İSKONTO",-$O4866,$O4866),-$O4866)))</f>
        <v/>
      </c>
      <c r="AB4866" s="117">
        <f>IF($B4866="","",IF(OR($D4866="",$E4866="",$O4866=""),"EKSİK",IF($O4866&lt;=0,"SIFIR/NEGATİF",IF(COUNTIFS($C$6:$C$5000,$C4866,$O$6:$O$5000,$O4866,$B$6:$B$5000,$B4866)&gt;1,"MÜKERRER","OK"))))</f>
        <v/>
      </c>
    </row>
    <row r="4867" ht="16.5" customHeight="1" s="80">
      <c r="A4867" s="113" t="n"/>
      <c r="B4867" s="113" t="n"/>
      <c r="C4867" s="113" t="n"/>
      <c r="D4867" s="113" t="n"/>
      <c r="E4867" s="113" t="n"/>
      <c r="F4867" s="113" t="n"/>
      <c r="G4867" s="113" t="n"/>
      <c r="H4867" s="113" t="n"/>
      <c r="I4867" s="113" t="n"/>
      <c r="J4867" s="113" t="n"/>
      <c r="K4867" s="113" t="n"/>
      <c r="L4867" s="113" t="n"/>
      <c r="M4867" s="113" t="n"/>
      <c r="N4867" s="113" t="n"/>
      <c r="O4867" s="113" t="n"/>
      <c r="P4867" s="113" t="n"/>
      <c r="Q4867" s="113" t="n"/>
      <c r="R4867" s="113" t="n"/>
      <c r="S4867" s="113" t="n"/>
      <c r="T4867" s="113" t="n"/>
      <c r="U4867" s="113" t="n"/>
      <c r="V4867" s="113" t="n"/>
      <c r="W4867" s="113" t="n"/>
      <c r="X4867" s="113" t="n"/>
      <c r="Y4867" s="113" t="n"/>
      <c r="Z4867" s="117">
        <f>IF($B4867="",0,IF($S4867="EVET",IF($D4867="GELİR",$O4867,-$O4867),0))</f>
        <v/>
      </c>
      <c r="AA4867" s="117">
        <f>IF($B4867="",0,IF(OR($W4867="EVET",$X4867="EVET",$Y4867="EVET"),0,IF($D4867="GELİR",IF($E4867="SATIŞ İADESİ/İSKONTO",-$O4867,$O4867),-$O4867)))</f>
        <v/>
      </c>
      <c r="AB4867" s="117">
        <f>IF($B4867="","",IF(OR($D4867="",$E4867="",$O4867=""),"EKSİK",IF($O4867&lt;=0,"SIFIR/NEGATİF",IF(COUNTIFS($C$6:$C$5000,$C4867,$O$6:$O$5000,$O4867,$B$6:$B$5000,$B4867)&gt;1,"MÜKERRER","OK"))))</f>
        <v/>
      </c>
    </row>
    <row r="4868" ht="16.5" customHeight="1" s="80">
      <c r="A4868" s="113" t="n"/>
      <c r="B4868" s="113" t="n"/>
      <c r="C4868" s="113" t="n"/>
      <c r="D4868" s="113" t="n"/>
      <c r="E4868" s="113" t="n"/>
      <c r="F4868" s="113" t="n"/>
      <c r="G4868" s="113" t="n"/>
      <c r="H4868" s="113" t="n"/>
      <c r="I4868" s="113" t="n"/>
      <c r="J4868" s="113" t="n"/>
      <c r="K4868" s="113" t="n"/>
      <c r="L4868" s="113" t="n"/>
      <c r="M4868" s="113" t="n"/>
      <c r="N4868" s="113" t="n"/>
      <c r="O4868" s="113" t="n"/>
      <c r="P4868" s="113" t="n"/>
      <c r="Q4868" s="113" t="n"/>
      <c r="R4868" s="113" t="n"/>
      <c r="S4868" s="113" t="n"/>
      <c r="T4868" s="113" t="n"/>
      <c r="U4868" s="113" t="n"/>
      <c r="V4868" s="113" t="n"/>
      <c r="W4868" s="113" t="n"/>
      <c r="X4868" s="113" t="n"/>
      <c r="Y4868" s="113" t="n"/>
      <c r="Z4868" s="117">
        <f>IF($B4868="",0,IF($S4868="EVET",IF($D4868="GELİR",$O4868,-$O4868),0))</f>
        <v/>
      </c>
      <c r="AA4868" s="117">
        <f>IF($B4868="",0,IF(OR($W4868="EVET",$X4868="EVET",$Y4868="EVET"),0,IF($D4868="GELİR",IF($E4868="SATIŞ İADESİ/İSKONTO",-$O4868,$O4868),-$O4868)))</f>
        <v/>
      </c>
      <c r="AB4868" s="117">
        <f>IF($B4868="","",IF(OR($D4868="",$E4868="",$O4868=""),"EKSİK",IF($O4868&lt;=0,"SIFIR/NEGATİF",IF(COUNTIFS($C$6:$C$5000,$C4868,$O$6:$O$5000,$O4868,$B$6:$B$5000,$B4868)&gt;1,"MÜKERRER","OK"))))</f>
        <v/>
      </c>
    </row>
    <row r="4869" ht="16.5" customHeight="1" s="80">
      <c r="A4869" s="113" t="n"/>
      <c r="B4869" s="113" t="n"/>
      <c r="C4869" s="113" t="n"/>
      <c r="D4869" s="113" t="n"/>
      <c r="E4869" s="113" t="n"/>
      <c r="F4869" s="113" t="n"/>
      <c r="G4869" s="113" t="n"/>
      <c r="H4869" s="113" t="n"/>
      <c r="I4869" s="113" t="n"/>
      <c r="J4869" s="113" t="n"/>
      <c r="K4869" s="113" t="n"/>
      <c r="L4869" s="113" t="n"/>
      <c r="M4869" s="113" t="n"/>
      <c r="N4869" s="113" t="n"/>
      <c r="O4869" s="113" t="n"/>
      <c r="P4869" s="113" t="n"/>
      <c r="Q4869" s="113" t="n"/>
      <c r="R4869" s="113" t="n"/>
      <c r="S4869" s="113" t="n"/>
      <c r="T4869" s="113" t="n"/>
      <c r="U4869" s="113" t="n"/>
      <c r="V4869" s="113" t="n"/>
      <c r="W4869" s="113" t="n"/>
      <c r="X4869" s="113" t="n"/>
      <c r="Y4869" s="113" t="n"/>
      <c r="Z4869" s="117">
        <f>IF($B4869="",0,IF($S4869="EVET",IF($D4869="GELİR",$O4869,-$O4869),0))</f>
        <v/>
      </c>
      <c r="AA4869" s="117">
        <f>IF($B4869="",0,IF(OR($W4869="EVET",$X4869="EVET",$Y4869="EVET"),0,IF($D4869="GELİR",IF($E4869="SATIŞ İADESİ/İSKONTO",-$O4869,$O4869),-$O4869)))</f>
        <v/>
      </c>
      <c r="AB4869" s="117">
        <f>IF($B4869="","",IF(OR($D4869="",$E4869="",$O4869=""),"EKSİK",IF($O4869&lt;=0,"SIFIR/NEGATİF",IF(COUNTIFS($C$6:$C$5000,$C4869,$O$6:$O$5000,$O4869,$B$6:$B$5000,$B4869)&gt;1,"MÜKERRER","OK"))))</f>
        <v/>
      </c>
    </row>
    <row r="4870" ht="16.5" customHeight="1" s="80">
      <c r="A4870" s="113" t="n"/>
      <c r="B4870" s="113" t="n"/>
      <c r="C4870" s="113" t="n"/>
      <c r="D4870" s="113" t="n"/>
      <c r="E4870" s="113" t="n"/>
      <c r="F4870" s="113" t="n"/>
      <c r="G4870" s="113" t="n"/>
      <c r="H4870" s="113" t="n"/>
      <c r="I4870" s="113" t="n"/>
      <c r="J4870" s="113" t="n"/>
      <c r="K4870" s="113" t="n"/>
      <c r="L4870" s="113" t="n"/>
      <c r="M4870" s="113" t="n"/>
      <c r="N4870" s="113" t="n"/>
      <c r="O4870" s="113" t="n"/>
      <c r="P4870" s="113" t="n"/>
      <c r="Q4870" s="113" t="n"/>
      <c r="R4870" s="113" t="n"/>
      <c r="S4870" s="113" t="n"/>
      <c r="T4870" s="113" t="n"/>
      <c r="U4870" s="113" t="n"/>
      <c r="V4870" s="113" t="n"/>
      <c r="W4870" s="113" t="n"/>
      <c r="X4870" s="113" t="n"/>
      <c r="Y4870" s="113" t="n"/>
      <c r="Z4870" s="117">
        <f>IF($B4870="",0,IF($S4870="EVET",IF($D4870="GELİR",$O4870,-$O4870),0))</f>
        <v/>
      </c>
      <c r="AA4870" s="117">
        <f>IF($B4870="",0,IF(OR($W4870="EVET",$X4870="EVET",$Y4870="EVET"),0,IF($D4870="GELİR",IF($E4870="SATIŞ İADESİ/İSKONTO",-$O4870,$O4870),-$O4870)))</f>
        <v/>
      </c>
      <c r="AB4870" s="117">
        <f>IF($B4870="","",IF(OR($D4870="",$E4870="",$O4870=""),"EKSİK",IF($O4870&lt;=0,"SIFIR/NEGATİF",IF(COUNTIFS($C$6:$C$5000,$C4870,$O$6:$O$5000,$O4870,$B$6:$B$5000,$B4870)&gt;1,"MÜKERRER","OK"))))</f>
        <v/>
      </c>
    </row>
    <row r="4871" ht="16.5" customHeight="1" s="80">
      <c r="A4871" s="113" t="n"/>
      <c r="B4871" s="113" t="n"/>
      <c r="C4871" s="113" t="n"/>
      <c r="D4871" s="113" t="n"/>
      <c r="E4871" s="113" t="n"/>
      <c r="F4871" s="113" t="n"/>
      <c r="G4871" s="113" t="n"/>
      <c r="H4871" s="113" t="n"/>
      <c r="I4871" s="113" t="n"/>
      <c r="J4871" s="113" t="n"/>
      <c r="K4871" s="113" t="n"/>
      <c r="L4871" s="113" t="n"/>
      <c r="M4871" s="113" t="n"/>
      <c r="N4871" s="113" t="n"/>
      <c r="O4871" s="113" t="n"/>
      <c r="P4871" s="113" t="n"/>
      <c r="Q4871" s="113" t="n"/>
      <c r="R4871" s="113" t="n"/>
      <c r="S4871" s="113" t="n"/>
      <c r="T4871" s="113" t="n"/>
      <c r="U4871" s="113" t="n"/>
      <c r="V4871" s="113" t="n"/>
      <c r="W4871" s="113" t="n"/>
      <c r="X4871" s="113" t="n"/>
      <c r="Y4871" s="113" t="n"/>
      <c r="Z4871" s="117">
        <f>IF($B4871="",0,IF($S4871="EVET",IF($D4871="GELİR",$O4871,-$O4871),0))</f>
        <v/>
      </c>
      <c r="AA4871" s="117">
        <f>IF($B4871="",0,IF(OR($W4871="EVET",$X4871="EVET",$Y4871="EVET"),0,IF($D4871="GELİR",IF($E4871="SATIŞ İADESİ/İSKONTO",-$O4871,$O4871),-$O4871)))</f>
        <v/>
      </c>
      <c r="AB4871" s="117">
        <f>IF($B4871="","",IF(OR($D4871="",$E4871="",$O4871=""),"EKSİK",IF($O4871&lt;=0,"SIFIR/NEGATİF",IF(COUNTIFS($C$6:$C$5000,$C4871,$O$6:$O$5000,$O4871,$B$6:$B$5000,$B4871)&gt;1,"MÜKERRER","OK"))))</f>
        <v/>
      </c>
    </row>
    <row r="4872" ht="16.5" customHeight="1" s="80">
      <c r="A4872" s="113" t="n"/>
      <c r="B4872" s="113" t="n"/>
      <c r="C4872" s="113" t="n"/>
      <c r="D4872" s="113" t="n"/>
      <c r="E4872" s="113" t="n"/>
      <c r="F4872" s="113" t="n"/>
      <c r="G4872" s="113" t="n"/>
      <c r="H4872" s="113" t="n"/>
      <c r="I4872" s="113" t="n"/>
      <c r="J4872" s="113" t="n"/>
      <c r="K4872" s="113" t="n"/>
      <c r="L4872" s="113" t="n"/>
      <c r="M4872" s="113" t="n"/>
      <c r="N4872" s="113" t="n"/>
      <c r="O4872" s="113" t="n"/>
      <c r="P4872" s="113" t="n"/>
      <c r="Q4872" s="113" t="n"/>
      <c r="R4872" s="113" t="n"/>
      <c r="S4872" s="113" t="n"/>
      <c r="T4872" s="113" t="n"/>
      <c r="U4872" s="113" t="n"/>
      <c r="V4872" s="113" t="n"/>
      <c r="W4872" s="113" t="n"/>
      <c r="X4872" s="113" t="n"/>
      <c r="Y4872" s="113" t="n"/>
      <c r="Z4872" s="117">
        <f>IF($B4872="",0,IF($S4872="EVET",IF($D4872="GELİR",$O4872,-$O4872),0))</f>
        <v/>
      </c>
      <c r="AA4872" s="117">
        <f>IF($B4872="",0,IF(OR($W4872="EVET",$X4872="EVET",$Y4872="EVET"),0,IF($D4872="GELİR",IF($E4872="SATIŞ İADESİ/İSKONTO",-$O4872,$O4872),-$O4872)))</f>
        <v/>
      </c>
      <c r="AB4872" s="117">
        <f>IF($B4872="","",IF(OR($D4872="",$E4872="",$O4872=""),"EKSİK",IF($O4872&lt;=0,"SIFIR/NEGATİF",IF(COUNTIFS($C$6:$C$5000,$C4872,$O$6:$O$5000,$O4872,$B$6:$B$5000,$B4872)&gt;1,"MÜKERRER","OK"))))</f>
        <v/>
      </c>
    </row>
    <row r="4873" ht="16.5" customHeight="1" s="80">
      <c r="A4873" s="113" t="n"/>
      <c r="B4873" s="113" t="n"/>
      <c r="C4873" s="113" t="n"/>
      <c r="D4873" s="113" t="n"/>
      <c r="E4873" s="113" t="n"/>
      <c r="F4873" s="113" t="n"/>
      <c r="G4873" s="113" t="n"/>
      <c r="H4873" s="113" t="n"/>
      <c r="I4873" s="113" t="n"/>
      <c r="J4873" s="113" t="n"/>
      <c r="K4873" s="113" t="n"/>
      <c r="L4873" s="113" t="n"/>
      <c r="M4873" s="113" t="n"/>
      <c r="N4873" s="113" t="n"/>
      <c r="O4873" s="113" t="n"/>
      <c r="P4873" s="113" t="n"/>
      <c r="Q4873" s="113" t="n"/>
      <c r="R4873" s="113" t="n"/>
      <c r="S4873" s="113" t="n"/>
      <c r="T4873" s="113" t="n"/>
      <c r="U4873" s="113" t="n"/>
      <c r="V4873" s="113" t="n"/>
      <c r="W4873" s="113" t="n"/>
      <c r="X4873" s="113" t="n"/>
      <c r="Y4873" s="113" t="n"/>
      <c r="Z4873" s="117">
        <f>IF($B4873="",0,IF($S4873="EVET",IF($D4873="GELİR",$O4873,-$O4873),0))</f>
        <v/>
      </c>
      <c r="AA4873" s="117">
        <f>IF($B4873="",0,IF(OR($W4873="EVET",$X4873="EVET",$Y4873="EVET"),0,IF($D4873="GELİR",IF($E4873="SATIŞ İADESİ/İSKONTO",-$O4873,$O4873),-$O4873)))</f>
        <v/>
      </c>
      <c r="AB4873" s="117">
        <f>IF($B4873="","",IF(OR($D4873="",$E4873="",$O4873=""),"EKSİK",IF($O4873&lt;=0,"SIFIR/NEGATİF",IF(COUNTIFS($C$6:$C$5000,$C4873,$O$6:$O$5000,$O4873,$B$6:$B$5000,$B4873)&gt;1,"MÜKERRER","OK"))))</f>
        <v/>
      </c>
    </row>
    <row r="4874" ht="16.5" customHeight="1" s="80">
      <c r="A4874" s="113" t="n"/>
      <c r="B4874" s="113" t="n"/>
      <c r="C4874" s="113" t="n"/>
      <c r="D4874" s="113" t="n"/>
      <c r="E4874" s="113" t="n"/>
      <c r="F4874" s="113" t="n"/>
      <c r="G4874" s="113" t="n"/>
      <c r="H4874" s="113" t="n"/>
      <c r="I4874" s="113" t="n"/>
      <c r="J4874" s="113" t="n"/>
      <c r="K4874" s="113" t="n"/>
      <c r="L4874" s="113" t="n"/>
      <c r="M4874" s="113" t="n"/>
      <c r="N4874" s="113" t="n"/>
      <c r="O4874" s="113" t="n"/>
      <c r="P4874" s="113" t="n"/>
      <c r="Q4874" s="113" t="n"/>
      <c r="R4874" s="113" t="n"/>
      <c r="S4874" s="113" t="n"/>
      <c r="T4874" s="113" t="n"/>
      <c r="U4874" s="113" t="n"/>
      <c r="V4874" s="113" t="n"/>
      <c r="W4874" s="113" t="n"/>
      <c r="X4874" s="113" t="n"/>
      <c r="Y4874" s="113" t="n"/>
      <c r="Z4874" s="117">
        <f>IF($B4874="",0,IF($S4874="EVET",IF($D4874="GELİR",$O4874,-$O4874),0))</f>
        <v/>
      </c>
      <c r="AA4874" s="117">
        <f>IF($B4874="",0,IF(OR($W4874="EVET",$X4874="EVET",$Y4874="EVET"),0,IF($D4874="GELİR",IF($E4874="SATIŞ İADESİ/İSKONTO",-$O4874,$O4874),-$O4874)))</f>
        <v/>
      </c>
      <c r="AB4874" s="117">
        <f>IF($B4874="","",IF(OR($D4874="",$E4874="",$O4874=""),"EKSİK",IF($O4874&lt;=0,"SIFIR/NEGATİF",IF(COUNTIFS($C$6:$C$5000,$C4874,$O$6:$O$5000,$O4874,$B$6:$B$5000,$B4874)&gt;1,"MÜKERRER","OK"))))</f>
        <v/>
      </c>
    </row>
    <row r="4875" ht="16.5" customHeight="1" s="80">
      <c r="A4875" s="113" t="n"/>
      <c r="B4875" s="113" t="n"/>
      <c r="C4875" s="113" t="n"/>
      <c r="D4875" s="113" t="n"/>
      <c r="E4875" s="113" t="n"/>
      <c r="F4875" s="113" t="n"/>
      <c r="G4875" s="113" t="n"/>
      <c r="H4875" s="113" t="n"/>
      <c r="I4875" s="113" t="n"/>
      <c r="J4875" s="113" t="n"/>
      <c r="K4875" s="113" t="n"/>
      <c r="L4875" s="113" t="n"/>
      <c r="M4875" s="113" t="n"/>
      <c r="N4875" s="113" t="n"/>
      <c r="O4875" s="113" t="n"/>
      <c r="P4875" s="113" t="n"/>
      <c r="Q4875" s="113" t="n"/>
      <c r="R4875" s="113" t="n"/>
      <c r="S4875" s="113" t="n"/>
      <c r="T4875" s="113" t="n"/>
      <c r="U4875" s="113" t="n"/>
      <c r="V4875" s="113" t="n"/>
      <c r="W4875" s="113" t="n"/>
      <c r="X4875" s="113" t="n"/>
      <c r="Y4875" s="113" t="n"/>
      <c r="Z4875" s="117">
        <f>IF($B4875="",0,IF($S4875="EVET",IF($D4875="GELİR",$O4875,-$O4875),0))</f>
        <v/>
      </c>
      <c r="AA4875" s="117">
        <f>IF($B4875="",0,IF(OR($W4875="EVET",$X4875="EVET",$Y4875="EVET"),0,IF($D4875="GELİR",IF($E4875="SATIŞ İADESİ/İSKONTO",-$O4875,$O4875),-$O4875)))</f>
        <v/>
      </c>
      <c r="AB4875" s="117">
        <f>IF($B4875="","",IF(OR($D4875="",$E4875="",$O4875=""),"EKSİK",IF($O4875&lt;=0,"SIFIR/NEGATİF",IF(COUNTIFS($C$6:$C$5000,$C4875,$O$6:$O$5000,$O4875,$B$6:$B$5000,$B4875)&gt;1,"MÜKERRER","OK"))))</f>
        <v/>
      </c>
    </row>
    <row r="4876" ht="16.5" customHeight="1" s="80">
      <c r="A4876" s="113" t="n"/>
      <c r="B4876" s="113" t="n"/>
      <c r="C4876" s="113" t="n"/>
      <c r="D4876" s="113" t="n"/>
      <c r="E4876" s="113" t="n"/>
      <c r="F4876" s="113" t="n"/>
      <c r="G4876" s="113" t="n"/>
      <c r="H4876" s="113" t="n"/>
      <c r="I4876" s="113" t="n"/>
      <c r="J4876" s="113" t="n"/>
      <c r="K4876" s="113" t="n"/>
      <c r="L4876" s="113" t="n"/>
      <c r="M4876" s="113" t="n"/>
      <c r="N4876" s="113" t="n"/>
      <c r="O4876" s="113" t="n"/>
      <c r="P4876" s="113" t="n"/>
      <c r="Q4876" s="113" t="n"/>
      <c r="R4876" s="113" t="n"/>
      <c r="S4876" s="113" t="n"/>
      <c r="T4876" s="113" t="n"/>
      <c r="U4876" s="113" t="n"/>
      <c r="V4876" s="113" t="n"/>
      <c r="W4876" s="113" t="n"/>
      <c r="X4876" s="113" t="n"/>
      <c r="Y4876" s="113" t="n"/>
      <c r="Z4876" s="117">
        <f>IF($B4876="",0,IF($S4876="EVET",IF($D4876="GELİR",$O4876,-$O4876),0))</f>
        <v/>
      </c>
      <c r="AA4876" s="117">
        <f>IF($B4876="",0,IF(OR($W4876="EVET",$X4876="EVET",$Y4876="EVET"),0,IF($D4876="GELİR",IF($E4876="SATIŞ İADESİ/İSKONTO",-$O4876,$O4876),-$O4876)))</f>
        <v/>
      </c>
      <c r="AB4876" s="117">
        <f>IF($B4876="","",IF(OR($D4876="",$E4876="",$O4876=""),"EKSİK",IF($O4876&lt;=0,"SIFIR/NEGATİF",IF(COUNTIFS($C$6:$C$5000,$C4876,$O$6:$O$5000,$O4876,$B$6:$B$5000,$B4876)&gt;1,"MÜKERRER","OK"))))</f>
        <v/>
      </c>
    </row>
    <row r="4877" ht="16.5" customHeight="1" s="80">
      <c r="A4877" s="113" t="n"/>
      <c r="B4877" s="113" t="n"/>
      <c r="C4877" s="113" t="n"/>
      <c r="D4877" s="113" t="n"/>
      <c r="E4877" s="113" t="n"/>
      <c r="F4877" s="113" t="n"/>
      <c r="G4877" s="113" t="n"/>
      <c r="H4877" s="113" t="n"/>
      <c r="I4877" s="113" t="n"/>
      <c r="J4877" s="113" t="n"/>
      <c r="K4877" s="113" t="n"/>
      <c r="L4877" s="113" t="n"/>
      <c r="M4877" s="113" t="n"/>
      <c r="N4877" s="113" t="n"/>
      <c r="O4877" s="113" t="n"/>
      <c r="P4877" s="113" t="n"/>
      <c r="Q4877" s="113" t="n"/>
      <c r="R4877" s="113" t="n"/>
      <c r="S4877" s="113" t="n"/>
      <c r="T4877" s="113" t="n"/>
      <c r="U4877" s="113" t="n"/>
      <c r="V4877" s="113" t="n"/>
      <c r="W4877" s="113" t="n"/>
      <c r="X4877" s="113" t="n"/>
      <c r="Y4877" s="113" t="n"/>
      <c r="Z4877" s="117">
        <f>IF($B4877="",0,IF($S4877="EVET",IF($D4877="GELİR",$O4877,-$O4877),0))</f>
        <v/>
      </c>
      <c r="AA4877" s="117">
        <f>IF($B4877="",0,IF(OR($W4877="EVET",$X4877="EVET",$Y4877="EVET"),0,IF($D4877="GELİR",IF($E4877="SATIŞ İADESİ/İSKONTO",-$O4877,$O4877),-$O4877)))</f>
        <v/>
      </c>
      <c r="AB4877" s="117">
        <f>IF($B4877="","",IF(OR($D4877="",$E4877="",$O4877=""),"EKSİK",IF($O4877&lt;=0,"SIFIR/NEGATİF",IF(COUNTIFS($C$6:$C$5000,$C4877,$O$6:$O$5000,$O4877,$B$6:$B$5000,$B4877)&gt;1,"MÜKERRER","OK"))))</f>
        <v/>
      </c>
    </row>
    <row r="4878" ht="16.5" customHeight="1" s="80">
      <c r="A4878" s="113" t="n"/>
      <c r="B4878" s="113" t="n"/>
      <c r="C4878" s="113" t="n"/>
      <c r="D4878" s="113" t="n"/>
      <c r="E4878" s="113" t="n"/>
      <c r="F4878" s="113" t="n"/>
      <c r="G4878" s="113" t="n"/>
      <c r="H4878" s="113" t="n"/>
      <c r="I4878" s="113" t="n"/>
      <c r="J4878" s="113" t="n"/>
      <c r="K4878" s="113" t="n"/>
      <c r="L4878" s="113" t="n"/>
      <c r="M4878" s="113" t="n"/>
      <c r="N4878" s="113" t="n"/>
      <c r="O4878" s="113" t="n"/>
      <c r="P4878" s="113" t="n"/>
      <c r="Q4878" s="113" t="n"/>
      <c r="R4878" s="113" t="n"/>
      <c r="S4878" s="113" t="n"/>
      <c r="T4878" s="113" t="n"/>
      <c r="U4878" s="113" t="n"/>
      <c r="V4878" s="113" t="n"/>
      <c r="W4878" s="113" t="n"/>
      <c r="X4878" s="113" t="n"/>
      <c r="Y4878" s="113" t="n"/>
      <c r="Z4878" s="117">
        <f>IF($B4878="",0,IF($S4878="EVET",IF($D4878="GELİR",$O4878,-$O4878),0))</f>
        <v/>
      </c>
      <c r="AA4878" s="117">
        <f>IF($B4878="",0,IF(OR($W4878="EVET",$X4878="EVET",$Y4878="EVET"),0,IF($D4878="GELİR",IF($E4878="SATIŞ İADESİ/İSKONTO",-$O4878,$O4878),-$O4878)))</f>
        <v/>
      </c>
      <c r="AB4878" s="117">
        <f>IF($B4878="","",IF(OR($D4878="",$E4878="",$O4878=""),"EKSİK",IF($O4878&lt;=0,"SIFIR/NEGATİF",IF(COUNTIFS($C$6:$C$5000,$C4878,$O$6:$O$5000,$O4878,$B$6:$B$5000,$B4878)&gt;1,"MÜKERRER","OK"))))</f>
        <v/>
      </c>
    </row>
    <row r="4879" ht="16.5" customHeight="1" s="80">
      <c r="A4879" s="113" t="n"/>
      <c r="B4879" s="113" t="n"/>
      <c r="C4879" s="113" t="n"/>
      <c r="D4879" s="113" t="n"/>
      <c r="E4879" s="113" t="n"/>
      <c r="F4879" s="113" t="n"/>
      <c r="G4879" s="113" t="n"/>
      <c r="H4879" s="113" t="n"/>
      <c r="I4879" s="113" t="n"/>
      <c r="J4879" s="113" t="n"/>
      <c r="K4879" s="113" t="n"/>
      <c r="L4879" s="113" t="n"/>
      <c r="M4879" s="113" t="n"/>
      <c r="N4879" s="113" t="n"/>
      <c r="O4879" s="113" t="n"/>
      <c r="P4879" s="113" t="n"/>
      <c r="Q4879" s="113" t="n"/>
      <c r="R4879" s="113" t="n"/>
      <c r="S4879" s="113" t="n"/>
      <c r="T4879" s="113" t="n"/>
      <c r="U4879" s="113" t="n"/>
      <c r="V4879" s="113" t="n"/>
      <c r="W4879" s="113" t="n"/>
      <c r="X4879" s="113" t="n"/>
      <c r="Y4879" s="113" t="n"/>
      <c r="Z4879" s="117">
        <f>IF($B4879="",0,IF($S4879="EVET",IF($D4879="GELİR",$O4879,-$O4879),0))</f>
        <v/>
      </c>
      <c r="AA4879" s="117">
        <f>IF($B4879="",0,IF(OR($W4879="EVET",$X4879="EVET",$Y4879="EVET"),0,IF($D4879="GELİR",IF($E4879="SATIŞ İADESİ/İSKONTO",-$O4879,$O4879),-$O4879)))</f>
        <v/>
      </c>
      <c r="AB4879" s="117">
        <f>IF($B4879="","",IF(OR($D4879="",$E4879="",$O4879=""),"EKSİK",IF($O4879&lt;=0,"SIFIR/NEGATİF",IF(COUNTIFS($C$6:$C$5000,$C4879,$O$6:$O$5000,$O4879,$B$6:$B$5000,$B4879)&gt;1,"MÜKERRER","OK"))))</f>
        <v/>
      </c>
    </row>
    <row r="4880" ht="16.5" customHeight="1" s="80">
      <c r="A4880" s="113" t="n"/>
      <c r="B4880" s="113" t="n"/>
      <c r="C4880" s="113" t="n"/>
      <c r="D4880" s="113" t="n"/>
      <c r="E4880" s="113" t="n"/>
      <c r="F4880" s="113" t="n"/>
      <c r="G4880" s="113" t="n"/>
      <c r="H4880" s="113" t="n"/>
      <c r="I4880" s="113" t="n"/>
      <c r="J4880" s="113" t="n"/>
      <c r="K4880" s="113" t="n"/>
      <c r="L4880" s="113" t="n"/>
      <c r="M4880" s="113" t="n"/>
      <c r="N4880" s="113" t="n"/>
      <c r="O4880" s="113" t="n"/>
      <c r="P4880" s="113" t="n"/>
      <c r="Q4880" s="113" t="n"/>
      <c r="R4880" s="113" t="n"/>
      <c r="S4880" s="113" t="n"/>
      <c r="T4880" s="113" t="n"/>
      <c r="U4880" s="113" t="n"/>
      <c r="V4880" s="113" t="n"/>
      <c r="W4880" s="113" t="n"/>
      <c r="X4880" s="113" t="n"/>
      <c r="Y4880" s="113" t="n"/>
      <c r="Z4880" s="117">
        <f>IF($B4880="",0,IF($S4880="EVET",IF($D4880="GELİR",$O4880,-$O4880),0))</f>
        <v/>
      </c>
      <c r="AA4880" s="117">
        <f>IF($B4880="",0,IF(OR($W4880="EVET",$X4880="EVET",$Y4880="EVET"),0,IF($D4880="GELİR",IF($E4880="SATIŞ İADESİ/İSKONTO",-$O4880,$O4880),-$O4880)))</f>
        <v/>
      </c>
      <c r="AB4880" s="117">
        <f>IF($B4880="","",IF(OR($D4880="",$E4880="",$O4880=""),"EKSİK",IF($O4880&lt;=0,"SIFIR/NEGATİF",IF(COUNTIFS($C$6:$C$5000,$C4880,$O$6:$O$5000,$O4880,$B$6:$B$5000,$B4880)&gt;1,"MÜKERRER","OK"))))</f>
        <v/>
      </c>
    </row>
    <row r="4881" ht="16.5" customHeight="1" s="80">
      <c r="A4881" s="113" t="n"/>
      <c r="B4881" s="113" t="n"/>
      <c r="C4881" s="113" t="n"/>
      <c r="D4881" s="113" t="n"/>
      <c r="E4881" s="113" t="n"/>
      <c r="F4881" s="113" t="n"/>
      <c r="G4881" s="113" t="n"/>
      <c r="H4881" s="113" t="n"/>
      <c r="I4881" s="113" t="n"/>
      <c r="J4881" s="113" t="n"/>
      <c r="K4881" s="113" t="n"/>
      <c r="L4881" s="113" t="n"/>
      <c r="M4881" s="113" t="n"/>
      <c r="N4881" s="113" t="n"/>
      <c r="O4881" s="113" t="n"/>
      <c r="P4881" s="113" t="n"/>
      <c r="Q4881" s="113" t="n"/>
      <c r="R4881" s="113" t="n"/>
      <c r="S4881" s="113" t="n"/>
      <c r="T4881" s="113" t="n"/>
      <c r="U4881" s="113" t="n"/>
      <c r="V4881" s="113" t="n"/>
      <c r="W4881" s="113" t="n"/>
      <c r="X4881" s="113" t="n"/>
      <c r="Y4881" s="113" t="n"/>
      <c r="Z4881" s="117">
        <f>IF($B4881="",0,IF($S4881="EVET",IF($D4881="GELİR",$O4881,-$O4881),0))</f>
        <v/>
      </c>
      <c r="AA4881" s="117">
        <f>IF($B4881="",0,IF(OR($W4881="EVET",$X4881="EVET",$Y4881="EVET"),0,IF($D4881="GELİR",IF($E4881="SATIŞ İADESİ/İSKONTO",-$O4881,$O4881),-$O4881)))</f>
        <v/>
      </c>
      <c r="AB4881" s="117">
        <f>IF($B4881="","",IF(OR($D4881="",$E4881="",$O4881=""),"EKSİK",IF($O4881&lt;=0,"SIFIR/NEGATİF",IF(COUNTIFS($C$6:$C$5000,$C4881,$O$6:$O$5000,$O4881,$B$6:$B$5000,$B4881)&gt;1,"MÜKERRER","OK"))))</f>
        <v/>
      </c>
    </row>
    <row r="4882" ht="16.5" customHeight="1" s="80">
      <c r="A4882" s="113" t="n"/>
      <c r="B4882" s="113" t="n"/>
      <c r="C4882" s="113" t="n"/>
      <c r="D4882" s="113" t="n"/>
      <c r="E4882" s="113" t="n"/>
      <c r="F4882" s="113" t="n"/>
      <c r="G4882" s="113" t="n"/>
      <c r="H4882" s="113" t="n"/>
      <c r="I4882" s="113" t="n"/>
      <c r="J4882" s="113" t="n"/>
      <c r="K4882" s="113" t="n"/>
      <c r="L4882" s="113" t="n"/>
      <c r="M4882" s="113" t="n"/>
      <c r="N4882" s="113" t="n"/>
      <c r="O4882" s="113" t="n"/>
      <c r="P4882" s="113" t="n"/>
      <c r="Q4882" s="113" t="n"/>
      <c r="R4882" s="113" t="n"/>
      <c r="S4882" s="113" t="n"/>
      <c r="T4882" s="113" t="n"/>
      <c r="U4882" s="113" t="n"/>
      <c r="V4882" s="113" t="n"/>
      <c r="W4882" s="113" t="n"/>
      <c r="X4882" s="113" t="n"/>
      <c r="Y4882" s="113" t="n"/>
      <c r="Z4882" s="117">
        <f>IF($B4882="",0,IF($S4882="EVET",IF($D4882="GELİR",$O4882,-$O4882),0))</f>
        <v/>
      </c>
      <c r="AA4882" s="117">
        <f>IF($B4882="",0,IF(OR($W4882="EVET",$X4882="EVET",$Y4882="EVET"),0,IF($D4882="GELİR",IF($E4882="SATIŞ İADESİ/İSKONTO",-$O4882,$O4882),-$O4882)))</f>
        <v/>
      </c>
      <c r="AB4882" s="117">
        <f>IF($B4882="","",IF(OR($D4882="",$E4882="",$O4882=""),"EKSİK",IF($O4882&lt;=0,"SIFIR/NEGATİF",IF(COUNTIFS($C$6:$C$5000,$C4882,$O$6:$O$5000,$O4882,$B$6:$B$5000,$B4882)&gt;1,"MÜKERRER","OK"))))</f>
        <v/>
      </c>
    </row>
    <row r="4883" ht="16.5" customHeight="1" s="80">
      <c r="A4883" s="113" t="n"/>
      <c r="B4883" s="113" t="n"/>
      <c r="C4883" s="113" t="n"/>
      <c r="D4883" s="113" t="n"/>
      <c r="E4883" s="113" t="n"/>
      <c r="F4883" s="113" t="n"/>
      <c r="G4883" s="113" t="n"/>
      <c r="H4883" s="113" t="n"/>
      <c r="I4883" s="113" t="n"/>
      <c r="J4883" s="113" t="n"/>
      <c r="K4883" s="113" t="n"/>
      <c r="L4883" s="113" t="n"/>
      <c r="M4883" s="113" t="n"/>
      <c r="N4883" s="113" t="n"/>
      <c r="O4883" s="113" t="n"/>
      <c r="P4883" s="113" t="n"/>
      <c r="Q4883" s="113" t="n"/>
      <c r="R4883" s="113" t="n"/>
      <c r="S4883" s="113" t="n"/>
      <c r="T4883" s="113" t="n"/>
      <c r="U4883" s="113" t="n"/>
      <c r="V4883" s="113" t="n"/>
      <c r="W4883" s="113" t="n"/>
      <c r="X4883" s="113" t="n"/>
      <c r="Y4883" s="113" t="n"/>
      <c r="Z4883" s="117">
        <f>IF($B4883="",0,IF($S4883="EVET",IF($D4883="GELİR",$O4883,-$O4883),0))</f>
        <v/>
      </c>
      <c r="AA4883" s="117">
        <f>IF($B4883="",0,IF(OR($W4883="EVET",$X4883="EVET",$Y4883="EVET"),0,IF($D4883="GELİR",IF($E4883="SATIŞ İADESİ/İSKONTO",-$O4883,$O4883),-$O4883)))</f>
        <v/>
      </c>
      <c r="AB4883" s="117">
        <f>IF($B4883="","",IF(OR($D4883="",$E4883="",$O4883=""),"EKSİK",IF($O4883&lt;=0,"SIFIR/NEGATİF",IF(COUNTIFS($C$6:$C$5000,$C4883,$O$6:$O$5000,$O4883,$B$6:$B$5000,$B4883)&gt;1,"MÜKERRER","OK"))))</f>
        <v/>
      </c>
    </row>
    <row r="4884" ht="16.5" customHeight="1" s="80">
      <c r="A4884" s="113" t="n"/>
      <c r="B4884" s="113" t="n"/>
      <c r="C4884" s="113" t="n"/>
      <c r="D4884" s="113" t="n"/>
      <c r="E4884" s="113" t="n"/>
      <c r="F4884" s="113" t="n"/>
      <c r="G4884" s="113" t="n"/>
      <c r="H4884" s="113" t="n"/>
      <c r="I4884" s="113" t="n"/>
      <c r="J4884" s="113" t="n"/>
      <c r="K4884" s="113" t="n"/>
      <c r="L4884" s="113" t="n"/>
      <c r="M4884" s="113" t="n"/>
      <c r="N4884" s="113" t="n"/>
      <c r="O4884" s="113" t="n"/>
      <c r="P4884" s="113" t="n"/>
      <c r="Q4884" s="113" t="n"/>
      <c r="R4884" s="113" t="n"/>
      <c r="S4884" s="113" t="n"/>
      <c r="T4884" s="113" t="n"/>
      <c r="U4884" s="113" t="n"/>
      <c r="V4884" s="113" t="n"/>
      <c r="W4884" s="113" t="n"/>
      <c r="X4884" s="113" t="n"/>
      <c r="Y4884" s="113" t="n"/>
      <c r="Z4884" s="117">
        <f>IF($B4884="",0,IF($S4884="EVET",IF($D4884="GELİR",$O4884,-$O4884),0))</f>
        <v/>
      </c>
      <c r="AA4884" s="117">
        <f>IF($B4884="",0,IF(OR($W4884="EVET",$X4884="EVET",$Y4884="EVET"),0,IF($D4884="GELİR",IF($E4884="SATIŞ İADESİ/İSKONTO",-$O4884,$O4884),-$O4884)))</f>
        <v/>
      </c>
      <c r="AB4884" s="117">
        <f>IF($B4884="","",IF(OR($D4884="",$E4884="",$O4884=""),"EKSİK",IF($O4884&lt;=0,"SIFIR/NEGATİF",IF(COUNTIFS($C$6:$C$5000,$C4884,$O$6:$O$5000,$O4884,$B$6:$B$5000,$B4884)&gt;1,"MÜKERRER","OK"))))</f>
        <v/>
      </c>
    </row>
    <row r="4885" ht="16.5" customHeight="1" s="80">
      <c r="A4885" s="113" t="n"/>
      <c r="B4885" s="113" t="n"/>
      <c r="C4885" s="113" t="n"/>
      <c r="D4885" s="113" t="n"/>
      <c r="E4885" s="113" t="n"/>
      <c r="F4885" s="113" t="n"/>
      <c r="G4885" s="113" t="n"/>
      <c r="H4885" s="113" t="n"/>
      <c r="I4885" s="113" t="n"/>
      <c r="J4885" s="113" t="n"/>
      <c r="K4885" s="113" t="n"/>
      <c r="L4885" s="113" t="n"/>
      <c r="M4885" s="113" t="n"/>
      <c r="N4885" s="113" t="n"/>
      <c r="O4885" s="113" t="n"/>
      <c r="P4885" s="113" t="n"/>
      <c r="Q4885" s="113" t="n"/>
      <c r="R4885" s="113" t="n"/>
      <c r="S4885" s="113" t="n"/>
      <c r="T4885" s="113" t="n"/>
      <c r="U4885" s="113" t="n"/>
      <c r="V4885" s="113" t="n"/>
      <c r="W4885" s="113" t="n"/>
      <c r="X4885" s="113" t="n"/>
      <c r="Y4885" s="113" t="n"/>
      <c r="Z4885" s="117">
        <f>IF($B4885="",0,IF($S4885="EVET",IF($D4885="GELİR",$O4885,-$O4885),0))</f>
        <v/>
      </c>
      <c r="AA4885" s="117">
        <f>IF($B4885="",0,IF(OR($W4885="EVET",$X4885="EVET",$Y4885="EVET"),0,IF($D4885="GELİR",IF($E4885="SATIŞ İADESİ/İSKONTO",-$O4885,$O4885),-$O4885)))</f>
        <v/>
      </c>
      <c r="AB4885" s="117">
        <f>IF($B4885="","",IF(OR($D4885="",$E4885="",$O4885=""),"EKSİK",IF($O4885&lt;=0,"SIFIR/NEGATİF",IF(COUNTIFS($C$6:$C$5000,$C4885,$O$6:$O$5000,$O4885,$B$6:$B$5000,$B4885)&gt;1,"MÜKERRER","OK"))))</f>
        <v/>
      </c>
    </row>
    <row r="4886" ht="16.5" customHeight="1" s="80">
      <c r="A4886" s="113" t="n"/>
      <c r="B4886" s="113" t="n"/>
      <c r="C4886" s="113" t="n"/>
      <c r="D4886" s="113" t="n"/>
      <c r="E4886" s="113" t="n"/>
      <c r="F4886" s="113" t="n"/>
      <c r="G4886" s="113" t="n"/>
      <c r="H4886" s="113" t="n"/>
      <c r="I4886" s="113" t="n"/>
      <c r="J4886" s="113" t="n"/>
      <c r="K4886" s="113" t="n"/>
      <c r="L4886" s="113" t="n"/>
      <c r="M4886" s="113" t="n"/>
      <c r="N4886" s="113" t="n"/>
      <c r="O4886" s="113" t="n"/>
      <c r="P4886" s="113" t="n"/>
      <c r="Q4886" s="113" t="n"/>
      <c r="R4886" s="113" t="n"/>
      <c r="S4886" s="113" t="n"/>
      <c r="T4886" s="113" t="n"/>
      <c r="U4886" s="113" t="n"/>
      <c r="V4886" s="113" t="n"/>
      <c r="W4886" s="113" t="n"/>
      <c r="X4886" s="113" t="n"/>
      <c r="Y4886" s="113" t="n"/>
      <c r="Z4886" s="117">
        <f>IF($B4886="",0,IF($S4886="EVET",IF($D4886="GELİR",$O4886,-$O4886),0))</f>
        <v/>
      </c>
      <c r="AA4886" s="117">
        <f>IF($B4886="",0,IF(OR($W4886="EVET",$X4886="EVET",$Y4886="EVET"),0,IF($D4886="GELİR",IF($E4886="SATIŞ İADESİ/İSKONTO",-$O4886,$O4886),-$O4886)))</f>
        <v/>
      </c>
      <c r="AB4886" s="117">
        <f>IF($B4886="","",IF(OR($D4886="",$E4886="",$O4886=""),"EKSİK",IF($O4886&lt;=0,"SIFIR/NEGATİF",IF(COUNTIFS($C$6:$C$5000,$C4886,$O$6:$O$5000,$O4886,$B$6:$B$5000,$B4886)&gt;1,"MÜKERRER","OK"))))</f>
        <v/>
      </c>
    </row>
    <row r="4887" ht="16.5" customHeight="1" s="80">
      <c r="A4887" s="113" t="n"/>
      <c r="B4887" s="113" t="n"/>
      <c r="C4887" s="113" t="n"/>
      <c r="D4887" s="113" t="n"/>
      <c r="E4887" s="113" t="n"/>
      <c r="F4887" s="113" t="n"/>
      <c r="G4887" s="113" t="n"/>
      <c r="H4887" s="113" t="n"/>
      <c r="I4887" s="113" t="n"/>
      <c r="J4887" s="113" t="n"/>
      <c r="K4887" s="113" t="n"/>
      <c r="L4887" s="113" t="n"/>
      <c r="M4887" s="113" t="n"/>
      <c r="N4887" s="113" t="n"/>
      <c r="O4887" s="113" t="n"/>
      <c r="P4887" s="113" t="n"/>
      <c r="Q4887" s="113" t="n"/>
      <c r="R4887" s="113" t="n"/>
      <c r="S4887" s="113" t="n"/>
      <c r="T4887" s="113" t="n"/>
      <c r="U4887" s="113" t="n"/>
      <c r="V4887" s="113" t="n"/>
      <c r="W4887" s="113" t="n"/>
      <c r="X4887" s="113" t="n"/>
      <c r="Y4887" s="113" t="n"/>
      <c r="Z4887" s="117">
        <f>IF($B4887="",0,IF($S4887="EVET",IF($D4887="GELİR",$O4887,-$O4887),0))</f>
        <v/>
      </c>
      <c r="AA4887" s="117">
        <f>IF($B4887="",0,IF(OR($W4887="EVET",$X4887="EVET",$Y4887="EVET"),0,IF($D4887="GELİR",IF($E4887="SATIŞ İADESİ/İSKONTO",-$O4887,$O4887),-$O4887)))</f>
        <v/>
      </c>
      <c r="AB4887" s="117">
        <f>IF($B4887="","",IF(OR($D4887="",$E4887="",$O4887=""),"EKSİK",IF($O4887&lt;=0,"SIFIR/NEGATİF",IF(COUNTIFS($C$6:$C$5000,$C4887,$O$6:$O$5000,$O4887,$B$6:$B$5000,$B4887)&gt;1,"MÜKERRER","OK"))))</f>
        <v/>
      </c>
    </row>
    <row r="4888" ht="16.5" customHeight="1" s="80">
      <c r="A4888" s="113" t="n"/>
      <c r="B4888" s="113" t="n"/>
      <c r="C4888" s="113" t="n"/>
      <c r="D4888" s="113" t="n"/>
      <c r="E4888" s="113" t="n"/>
      <c r="F4888" s="113" t="n"/>
      <c r="G4888" s="113" t="n"/>
      <c r="H4888" s="113" t="n"/>
      <c r="I4888" s="113" t="n"/>
      <c r="J4888" s="113" t="n"/>
      <c r="K4888" s="113" t="n"/>
      <c r="L4888" s="113" t="n"/>
      <c r="M4888" s="113" t="n"/>
      <c r="N4888" s="113" t="n"/>
      <c r="O4888" s="113" t="n"/>
      <c r="P4888" s="113" t="n"/>
      <c r="Q4888" s="113" t="n"/>
      <c r="R4888" s="113" t="n"/>
      <c r="S4888" s="113" t="n"/>
      <c r="T4888" s="113" t="n"/>
      <c r="U4888" s="113" t="n"/>
      <c r="V4888" s="113" t="n"/>
      <c r="W4888" s="113" t="n"/>
      <c r="X4888" s="113" t="n"/>
      <c r="Y4888" s="113" t="n"/>
      <c r="Z4888" s="117">
        <f>IF($B4888="",0,IF($S4888="EVET",IF($D4888="GELİR",$O4888,-$O4888),0))</f>
        <v/>
      </c>
      <c r="AA4888" s="117">
        <f>IF($B4888="",0,IF(OR($W4888="EVET",$X4888="EVET",$Y4888="EVET"),0,IF($D4888="GELİR",IF($E4888="SATIŞ İADESİ/İSKONTO",-$O4888,$O4888),-$O4888)))</f>
        <v/>
      </c>
      <c r="AB4888" s="117">
        <f>IF($B4888="","",IF(OR($D4888="",$E4888="",$O4888=""),"EKSİK",IF($O4888&lt;=0,"SIFIR/NEGATİF",IF(COUNTIFS($C$6:$C$5000,$C4888,$O$6:$O$5000,$O4888,$B$6:$B$5000,$B4888)&gt;1,"MÜKERRER","OK"))))</f>
        <v/>
      </c>
    </row>
    <row r="4889" ht="16.5" customHeight="1" s="80">
      <c r="A4889" s="113" t="n"/>
      <c r="B4889" s="113" t="n"/>
      <c r="C4889" s="113" t="n"/>
      <c r="D4889" s="113" t="n"/>
      <c r="E4889" s="113" t="n"/>
      <c r="F4889" s="113" t="n"/>
      <c r="G4889" s="113" t="n"/>
      <c r="H4889" s="113" t="n"/>
      <c r="I4889" s="113" t="n"/>
      <c r="J4889" s="113" t="n"/>
      <c r="K4889" s="113" t="n"/>
      <c r="L4889" s="113" t="n"/>
      <c r="M4889" s="113" t="n"/>
      <c r="N4889" s="113" t="n"/>
      <c r="O4889" s="113" t="n"/>
      <c r="P4889" s="113" t="n"/>
      <c r="Q4889" s="113" t="n"/>
      <c r="R4889" s="113" t="n"/>
      <c r="S4889" s="113" t="n"/>
      <c r="T4889" s="113" t="n"/>
      <c r="U4889" s="113" t="n"/>
      <c r="V4889" s="113" t="n"/>
      <c r="W4889" s="113" t="n"/>
      <c r="X4889" s="113" t="n"/>
      <c r="Y4889" s="113" t="n"/>
      <c r="Z4889" s="117">
        <f>IF($B4889="",0,IF($S4889="EVET",IF($D4889="GELİR",$O4889,-$O4889),0))</f>
        <v/>
      </c>
      <c r="AA4889" s="117">
        <f>IF($B4889="",0,IF(OR($W4889="EVET",$X4889="EVET",$Y4889="EVET"),0,IF($D4889="GELİR",IF($E4889="SATIŞ İADESİ/İSKONTO",-$O4889,$O4889),-$O4889)))</f>
        <v/>
      </c>
      <c r="AB4889" s="117">
        <f>IF($B4889="","",IF(OR($D4889="",$E4889="",$O4889=""),"EKSİK",IF($O4889&lt;=0,"SIFIR/NEGATİF",IF(COUNTIFS($C$6:$C$5000,$C4889,$O$6:$O$5000,$O4889,$B$6:$B$5000,$B4889)&gt;1,"MÜKERRER","OK"))))</f>
        <v/>
      </c>
    </row>
    <row r="4890" ht="16.5" customHeight="1" s="80">
      <c r="A4890" s="113" t="n"/>
      <c r="B4890" s="113" t="n"/>
      <c r="C4890" s="113" t="n"/>
      <c r="D4890" s="113" t="n"/>
      <c r="E4890" s="113" t="n"/>
      <c r="F4890" s="113" t="n"/>
      <c r="G4890" s="113" t="n"/>
      <c r="H4890" s="113" t="n"/>
      <c r="I4890" s="113" t="n"/>
      <c r="J4890" s="113" t="n"/>
      <c r="K4890" s="113" t="n"/>
      <c r="L4890" s="113" t="n"/>
      <c r="M4890" s="113" t="n"/>
      <c r="N4890" s="113" t="n"/>
      <c r="O4890" s="113" t="n"/>
      <c r="P4890" s="113" t="n"/>
      <c r="Q4890" s="113" t="n"/>
      <c r="R4890" s="113" t="n"/>
      <c r="S4890" s="113" t="n"/>
      <c r="T4890" s="113" t="n"/>
      <c r="U4890" s="113" t="n"/>
      <c r="V4890" s="113" t="n"/>
      <c r="W4890" s="113" t="n"/>
      <c r="X4890" s="113" t="n"/>
      <c r="Y4890" s="113" t="n"/>
      <c r="Z4890" s="117">
        <f>IF($B4890="",0,IF($S4890="EVET",IF($D4890="GELİR",$O4890,-$O4890),0))</f>
        <v/>
      </c>
      <c r="AA4890" s="117">
        <f>IF($B4890="",0,IF(OR($W4890="EVET",$X4890="EVET",$Y4890="EVET"),0,IF($D4890="GELİR",IF($E4890="SATIŞ İADESİ/İSKONTO",-$O4890,$O4890),-$O4890)))</f>
        <v/>
      </c>
      <c r="AB4890" s="117">
        <f>IF($B4890="","",IF(OR($D4890="",$E4890="",$O4890=""),"EKSİK",IF($O4890&lt;=0,"SIFIR/NEGATİF",IF(COUNTIFS($C$6:$C$5000,$C4890,$O$6:$O$5000,$O4890,$B$6:$B$5000,$B4890)&gt;1,"MÜKERRER","OK"))))</f>
        <v/>
      </c>
    </row>
    <row r="4891" ht="16.5" customHeight="1" s="80">
      <c r="A4891" s="113" t="n"/>
      <c r="B4891" s="113" t="n"/>
      <c r="C4891" s="113" t="n"/>
      <c r="D4891" s="113" t="n"/>
      <c r="E4891" s="113" t="n"/>
      <c r="F4891" s="113" t="n"/>
      <c r="G4891" s="113" t="n"/>
      <c r="H4891" s="113" t="n"/>
      <c r="I4891" s="113" t="n"/>
      <c r="J4891" s="113" t="n"/>
      <c r="K4891" s="113" t="n"/>
      <c r="L4891" s="113" t="n"/>
      <c r="M4891" s="113" t="n"/>
      <c r="N4891" s="113" t="n"/>
      <c r="O4891" s="113" t="n"/>
      <c r="P4891" s="113" t="n"/>
      <c r="Q4891" s="113" t="n"/>
      <c r="R4891" s="113" t="n"/>
      <c r="S4891" s="113" t="n"/>
      <c r="T4891" s="113" t="n"/>
      <c r="U4891" s="113" t="n"/>
      <c r="V4891" s="113" t="n"/>
      <c r="W4891" s="113" t="n"/>
      <c r="X4891" s="113" t="n"/>
      <c r="Y4891" s="113" t="n"/>
      <c r="Z4891" s="117">
        <f>IF($B4891="",0,IF($S4891="EVET",IF($D4891="GELİR",$O4891,-$O4891),0))</f>
        <v/>
      </c>
      <c r="AA4891" s="117">
        <f>IF($B4891="",0,IF(OR($W4891="EVET",$X4891="EVET",$Y4891="EVET"),0,IF($D4891="GELİR",IF($E4891="SATIŞ İADESİ/İSKONTO",-$O4891,$O4891),-$O4891)))</f>
        <v/>
      </c>
      <c r="AB4891" s="117">
        <f>IF($B4891="","",IF(OR($D4891="",$E4891="",$O4891=""),"EKSİK",IF($O4891&lt;=0,"SIFIR/NEGATİF",IF(COUNTIFS($C$6:$C$5000,$C4891,$O$6:$O$5000,$O4891,$B$6:$B$5000,$B4891)&gt;1,"MÜKERRER","OK"))))</f>
        <v/>
      </c>
    </row>
    <row r="4892" ht="16.5" customHeight="1" s="80">
      <c r="A4892" s="113" t="n"/>
      <c r="B4892" s="113" t="n"/>
      <c r="C4892" s="113" t="n"/>
      <c r="D4892" s="113" t="n"/>
      <c r="E4892" s="113" t="n"/>
      <c r="F4892" s="113" t="n"/>
      <c r="G4892" s="113" t="n"/>
      <c r="H4892" s="113" t="n"/>
      <c r="I4892" s="113" t="n"/>
      <c r="J4892" s="113" t="n"/>
      <c r="K4892" s="113" t="n"/>
      <c r="L4892" s="113" t="n"/>
      <c r="M4892" s="113" t="n"/>
      <c r="N4892" s="113" t="n"/>
      <c r="O4892" s="113" t="n"/>
      <c r="P4892" s="113" t="n"/>
      <c r="Q4892" s="113" t="n"/>
      <c r="R4892" s="113" t="n"/>
      <c r="S4892" s="113" t="n"/>
      <c r="T4892" s="113" t="n"/>
      <c r="U4892" s="113" t="n"/>
      <c r="V4892" s="113" t="n"/>
      <c r="W4892" s="113" t="n"/>
      <c r="X4892" s="113" t="n"/>
      <c r="Y4892" s="113" t="n"/>
      <c r="Z4892" s="117">
        <f>IF($B4892="",0,IF($S4892="EVET",IF($D4892="GELİR",$O4892,-$O4892),0))</f>
        <v/>
      </c>
      <c r="AA4892" s="117">
        <f>IF($B4892="",0,IF(OR($W4892="EVET",$X4892="EVET",$Y4892="EVET"),0,IF($D4892="GELİR",IF($E4892="SATIŞ İADESİ/İSKONTO",-$O4892,$O4892),-$O4892)))</f>
        <v/>
      </c>
      <c r="AB4892" s="117">
        <f>IF($B4892="","",IF(OR($D4892="",$E4892="",$O4892=""),"EKSİK",IF($O4892&lt;=0,"SIFIR/NEGATİF",IF(COUNTIFS($C$6:$C$5000,$C4892,$O$6:$O$5000,$O4892,$B$6:$B$5000,$B4892)&gt;1,"MÜKERRER","OK"))))</f>
        <v/>
      </c>
    </row>
    <row r="4893" ht="16.5" customHeight="1" s="80">
      <c r="A4893" s="113" t="n"/>
      <c r="B4893" s="113" t="n"/>
      <c r="C4893" s="113" t="n"/>
      <c r="D4893" s="113" t="n"/>
      <c r="E4893" s="113" t="n"/>
      <c r="F4893" s="113" t="n"/>
      <c r="G4893" s="113" t="n"/>
      <c r="H4893" s="113" t="n"/>
      <c r="I4893" s="113" t="n"/>
      <c r="J4893" s="113" t="n"/>
      <c r="K4893" s="113" t="n"/>
      <c r="L4893" s="113" t="n"/>
      <c r="M4893" s="113" t="n"/>
      <c r="N4893" s="113" t="n"/>
      <c r="O4893" s="113" t="n"/>
      <c r="P4893" s="113" t="n"/>
      <c r="Q4893" s="113" t="n"/>
      <c r="R4893" s="113" t="n"/>
      <c r="S4893" s="113" t="n"/>
      <c r="T4893" s="113" t="n"/>
      <c r="U4893" s="113" t="n"/>
      <c r="V4893" s="113" t="n"/>
      <c r="W4893" s="113" t="n"/>
      <c r="X4893" s="113" t="n"/>
      <c r="Y4893" s="113" t="n"/>
      <c r="Z4893" s="117">
        <f>IF($B4893="",0,IF($S4893="EVET",IF($D4893="GELİR",$O4893,-$O4893),0))</f>
        <v/>
      </c>
      <c r="AA4893" s="117">
        <f>IF($B4893="",0,IF(OR($W4893="EVET",$X4893="EVET",$Y4893="EVET"),0,IF($D4893="GELİR",IF($E4893="SATIŞ İADESİ/İSKONTO",-$O4893,$O4893),-$O4893)))</f>
        <v/>
      </c>
      <c r="AB4893" s="117">
        <f>IF($B4893="","",IF(OR($D4893="",$E4893="",$O4893=""),"EKSİK",IF($O4893&lt;=0,"SIFIR/NEGATİF",IF(COUNTIFS($C$6:$C$5000,$C4893,$O$6:$O$5000,$O4893,$B$6:$B$5000,$B4893)&gt;1,"MÜKERRER","OK"))))</f>
        <v/>
      </c>
    </row>
    <row r="4894" ht="16.5" customHeight="1" s="80">
      <c r="A4894" s="113" t="n"/>
      <c r="B4894" s="113" t="n"/>
      <c r="C4894" s="113" t="n"/>
      <c r="D4894" s="113" t="n"/>
      <c r="E4894" s="113" t="n"/>
      <c r="F4894" s="113" t="n"/>
      <c r="G4894" s="113" t="n"/>
      <c r="H4894" s="113" t="n"/>
      <c r="I4894" s="113" t="n"/>
      <c r="J4894" s="113" t="n"/>
      <c r="K4894" s="113" t="n"/>
      <c r="L4894" s="113" t="n"/>
      <c r="M4894" s="113" t="n"/>
      <c r="N4894" s="113" t="n"/>
      <c r="O4894" s="113" t="n"/>
      <c r="P4894" s="113" t="n"/>
      <c r="Q4894" s="113" t="n"/>
      <c r="R4894" s="113" t="n"/>
      <c r="S4894" s="113" t="n"/>
      <c r="T4894" s="113" t="n"/>
      <c r="U4894" s="113" t="n"/>
      <c r="V4894" s="113" t="n"/>
      <c r="W4894" s="113" t="n"/>
      <c r="X4894" s="113" t="n"/>
      <c r="Y4894" s="113" t="n"/>
      <c r="Z4894" s="117">
        <f>IF($B4894="",0,IF($S4894="EVET",IF($D4894="GELİR",$O4894,-$O4894),0))</f>
        <v/>
      </c>
      <c r="AA4894" s="117">
        <f>IF($B4894="",0,IF(OR($W4894="EVET",$X4894="EVET",$Y4894="EVET"),0,IF($D4894="GELİR",IF($E4894="SATIŞ İADESİ/İSKONTO",-$O4894,$O4894),-$O4894)))</f>
        <v/>
      </c>
      <c r="AB4894" s="117">
        <f>IF($B4894="","",IF(OR($D4894="",$E4894="",$O4894=""),"EKSİK",IF($O4894&lt;=0,"SIFIR/NEGATİF",IF(COUNTIFS($C$6:$C$5000,$C4894,$O$6:$O$5000,$O4894,$B$6:$B$5000,$B4894)&gt;1,"MÜKERRER","OK"))))</f>
        <v/>
      </c>
    </row>
    <row r="4895" ht="16.5" customHeight="1" s="80">
      <c r="A4895" s="113" t="n"/>
      <c r="B4895" s="113" t="n"/>
      <c r="C4895" s="113" t="n"/>
      <c r="D4895" s="113" t="n"/>
      <c r="E4895" s="113" t="n"/>
      <c r="F4895" s="113" t="n"/>
      <c r="G4895" s="113" t="n"/>
      <c r="H4895" s="113" t="n"/>
      <c r="I4895" s="113" t="n"/>
      <c r="J4895" s="113" t="n"/>
      <c r="K4895" s="113" t="n"/>
      <c r="L4895" s="113" t="n"/>
      <c r="M4895" s="113" t="n"/>
      <c r="N4895" s="113" t="n"/>
      <c r="O4895" s="113" t="n"/>
      <c r="P4895" s="113" t="n"/>
      <c r="Q4895" s="113" t="n"/>
      <c r="R4895" s="113" t="n"/>
      <c r="S4895" s="113" t="n"/>
      <c r="T4895" s="113" t="n"/>
      <c r="U4895" s="113" t="n"/>
      <c r="V4895" s="113" t="n"/>
      <c r="W4895" s="113" t="n"/>
      <c r="X4895" s="113" t="n"/>
      <c r="Y4895" s="113" t="n"/>
      <c r="Z4895" s="117">
        <f>IF($B4895="",0,IF($S4895="EVET",IF($D4895="GELİR",$O4895,-$O4895),0))</f>
        <v/>
      </c>
      <c r="AA4895" s="117">
        <f>IF($B4895="",0,IF(OR($W4895="EVET",$X4895="EVET",$Y4895="EVET"),0,IF($D4895="GELİR",IF($E4895="SATIŞ İADESİ/İSKONTO",-$O4895,$O4895),-$O4895)))</f>
        <v/>
      </c>
      <c r="AB4895" s="117">
        <f>IF($B4895="","",IF(OR($D4895="",$E4895="",$O4895=""),"EKSİK",IF($O4895&lt;=0,"SIFIR/NEGATİF",IF(COUNTIFS($C$6:$C$5000,$C4895,$O$6:$O$5000,$O4895,$B$6:$B$5000,$B4895)&gt;1,"MÜKERRER","OK"))))</f>
        <v/>
      </c>
    </row>
    <row r="4896" ht="16.5" customHeight="1" s="80">
      <c r="A4896" s="113" t="n"/>
      <c r="B4896" s="113" t="n"/>
      <c r="C4896" s="113" t="n"/>
      <c r="D4896" s="113" t="n"/>
      <c r="E4896" s="113" t="n"/>
      <c r="F4896" s="113" t="n"/>
      <c r="G4896" s="113" t="n"/>
      <c r="H4896" s="113" t="n"/>
      <c r="I4896" s="113" t="n"/>
      <c r="J4896" s="113" t="n"/>
      <c r="K4896" s="113" t="n"/>
      <c r="L4896" s="113" t="n"/>
      <c r="M4896" s="113" t="n"/>
      <c r="N4896" s="113" t="n"/>
      <c r="O4896" s="113" t="n"/>
      <c r="P4896" s="113" t="n"/>
      <c r="Q4896" s="113" t="n"/>
      <c r="R4896" s="113" t="n"/>
      <c r="S4896" s="113" t="n"/>
      <c r="T4896" s="113" t="n"/>
      <c r="U4896" s="113" t="n"/>
      <c r="V4896" s="113" t="n"/>
      <c r="W4896" s="113" t="n"/>
      <c r="X4896" s="113" t="n"/>
      <c r="Y4896" s="113" t="n"/>
      <c r="Z4896" s="117">
        <f>IF($B4896="",0,IF($S4896="EVET",IF($D4896="GELİR",$O4896,-$O4896),0))</f>
        <v/>
      </c>
      <c r="AA4896" s="117">
        <f>IF($B4896="",0,IF(OR($W4896="EVET",$X4896="EVET",$Y4896="EVET"),0,IF($D4896="GELİR",IF($E4896="SATIŞ İADESİ/İSKONTO",-$O4896,$O4896),-$O4896)))</f>
        <v/>
      </c>
      <c r="AB4896" s="117">
        <f>IF($B4896="","",IF(OR($D4896="",$E4896="",$O4896=""),"EKSİK",IF($O4896&lt;=0,"SIFIR/NEGATİF",IF(COUNTIFS($C$6:$C$5000,$C4896,$O$6:$O$5000,$O4896,$B$6:$B$5000,$B4896)&gt;1,"MÜKERRER","OK"))))</f>
        <v/>
      </c>
    </row>
    <row r="4897" ht="16.5" customHeight="1" s="80">
      <c r="A4897" s="113" t="n"/>
      <c r="B4897" s="113" t="n"/>
      <c r="C4897" s="113" t="n"/>
      <c r="D4897" s="113" t="n"/>
      <c r="E4897" s="113" t="n"/>
      <c r="F4897" s="113" t="n"/>
      <c r="G4897" s="113" t="n"/>
      <c r="H4897" s="113" t="n"/>
      <c r="I4897" s="113" t="n"/>
      <c r="J4897" s="113" t="n"/>
      <c r="K4897" s="113" t="n"/>
      <c r="L4897" s="113" t="n"/>
      <c r="M4897" s="113" t="n"/>
      <c r="N4897" s="113" t="n"/>
      <c r="O4897" s="113" t="n"/>
      <c r="P4897" s="113" t="n"/>
      <c r="Q4897" s="113" t="n"/>
      <c r="R4897" s="113" t="n"/>
      <c r="S4897" s="113" t="n"/>
      <c r="T4897" s="113" t="n"/>
      <c r="U4897" s="113" t="n"/>
      <c r="V4897" s="113" t="n"/>
      <c r="W4897" s="113" t="n"/>
      <c r="X4897" s="113" t="n"/>
      <c r="Y4897" s="113" t="n"/>
      <c r="Z4897" s="117">
        <f>IF($B4897="",0,IF($S4897="EVET",IF($D4897="GELİR",$O4897,-$O4897),0))</f>
        <v/>
      </c>
      <c r="AA4897" s="117">
        <f>IF($B4897="",0,IF(OR($W4897="EVET",$X4897="EVET",$Y4897="EVET"),0,IF($D4897="GELİR",IF($E4897="SATIŞ İADESİ/İSKONTO",-$O4897,$O4897),-$O4897)))</f>
        <v/>
      </c>
      <c r="AB4897" s="117">
        <f>IF($B4897="","",IF(OR($D4897="",$E4897="",$O4897=""),"EKSİK",IF($O4897&lt;=0,"SIFIR/NEGATİF",IF(COUNTIFS($C$6:$C$5000,$C4897,$O$6:$O$5000,$O4897,$B$6:$B$5000,$B4897)&gt;1,"MÜKERRER","OK"))))</f>
        <v/>
      </c>
    </row>
    <row r="4898" ht="16.5" customHeight="1" s="80">
      <c r="A4898" s="113" t="n"/>
      <c r="B4898" s="113" t="n"/>
      <c r="C4898" s="113" t="n"/>
      <c r="D4898" s="113" t="n"/>
      <c r="E4898" s="113" t="n"/>
      <c r="F4898" s="113" t="n"/>
      <c r="G4898" s="113" t="n"/>
      <c r="H4898" s="113" t="n"/>
      <c r="I4898" s="113" t="n"/>
      <c r="J4898" s="113" t="n"/>
      <c r="K4898" s="113" t="n"/>
      <c r="L4898" s="113" t="n"/>
      <c r="M4898" s="113" t="n"/>
      <c r="N4898" s="113" t="n"/>
      <c r="O4898" s="113" t="n"/>
      <c r="P4898" s="113" t="n"/>
      <c r="Q4898" s="113" t="n"/>
      <c r="R4898" s="113" t="n"/>
      <c r="S4898" s="113" t="n"/>
      <c r="T4898" s="113" t="n"/>
      <c r="U4898" s="113" t="n"/>
      <c r="V4898" s="113" t="n"/>
      <c r="W4898" s="113" t="n"/>
      <c r="X4898" s="113" t="n"/>
      <c r="Y4898" s="113" t="n"/>
      <c r="Z4898" s="117">
        <f>IF($B4898="",0,IF($S4898="EVET",IF($D4898="GELİR",$O4898,-$O4898),0))</f>
        <v/>
      </c>
      <c r="AA4898" s="117">
        <f>IF($B4898="",0,IF(OR($W4898="EVET",$X4898="EVET",$Y4898="EVET"),0,IF($D4898="GELİR",IF($E4898="SATIŞ İADESİ/İSKONTO",-$O4898,$O4898),-$O4898)))</f>
        <v/>
      </c>
      <c r="AB4898" s="117">
        <f>IF($B4898="","",IF(OR($D4898="",$E4898="",$O4898=""),"EKSİK",IF($O4898&lt;=0,"SIFIR/NEGATİF",IF(COUNTIFS($C$6:$C$5000,$C4898,$O$6:$O$5000,$O4898,$B$6:$B$5000,$B4898)&gt;1,"MÜKERRER","OK"))))</f>
        <v/>
      </c>
    </row>
    <row r="4899" ht="16.5" customHeight="1" s="80">
      <c r="A4899" s="113" t="n"/>
      <c r="B4899" s="113" t="n"/>
      <c r="C4899" s="113" t="n"/>
      <c r="D4899" s="113" t="n"/>
      <c r="E4899" s="113" t="n"/>
      <c r="F4899" s="113" t="n"/>
      <c r="G4899" s="113" t="n"/>
      <c r="H4899" s="113" t="n"/>
      <c r="I4899" s="113" t="n"/>
      <c r="J4899" s="113" t="n"/>
      <c r="K4899" s="113" t="n"/>
      <c r="L4899" s="113" t="n"/>
      <c r="M4899" s="113" t="n"/>
      <c r="N4899" s="113" t="n"/>
      <c r="O4899" s="113" t="n"/>
      <c r="P4899" s="113" t="n"/>
      <c r="Q4899" s="113" t="n"/>
      <c r="R4899" s="113" t="n"/>
      <c r="S4899" s="113" t="n"/>
      <c r="T4899" s="113" t="n"/>
      <c r="U4899" s="113" t="n"/>
      <c r="V4899" s="113" t="n"/>
      <c r="W4899" s="113" t="n"/>
      <c r="X4899" s="113" t="n"/>
      <c r="Y4899" s="113" t="n"/>
      <c r="Z4899" s="117">
        <f>IF($B4899="",0,IF($S4899="EVET",IF($D4899="GELİR",$O4899,-$O4899),0))</f>
        <v/>
      </c>
      <c r="AA4899" s="117">
        <f>IF($B4899="",0,IF(OR($W4899="EVET",$X4899="EVET",$Y4899="EVET"),0,IF($D4899="GELİR",IF($E4899="SATIŞ İADESİ/İSKONTO",-$O4899,$O4899),-$O4899)))</f>
        <v/>
      </c>
      <c r="AB4899" s="117">
        <f>IF($B4899="","",IF(OR($D4899="",$E4899="",$O4899=""),"EKSİK",IF($O4899&lt;=0,"SIFIR/NEGATİF",IF(COUNTIFS($C$6:$C$5000,$C4899,$O$6:$O$5000,$O4899,$B$6:$B$5000,$B4899)&gt;1,"MÜKERRER","OK"))))</f>
        <v/>
      </c>
    </row>
    <row r="4900" ht="16.5" customHeight="1" s="80">
      <c r="A4900" s="113" t="n"/>
      <c r="B4900" s="113" t="n"/>
      <c r="C4900" s="113" t="n"/>
      <c r="D4900" s="113" t="n"/>
      <c r="E4900" s="113" t="n"/>
      <c r="F4900" s="113" t="n"/>
      <c r="G4900" s="113" t="n"/>
      <c r="H4900" s="113" t="n"/>
      <c r="I4900" s="113" t="n"/>
      <c r="J4900" s="113" t="n"/>
      <c r="K4900" s="113" t="n"/>
      <c r="L4900" s="113" t="n"/>
      <c r="M4900" s="113" t="n"/>
      <c r="N4900" s="113" t="n"/>
      <c r="O4900" s="113" t="n"/>
      <c r="P4900" s="113" t="n"/>
      <c r="Q4900" s="113" t="n"/>
      <c r="R4900" s="113" t="n"/>
      <c r="S4900" s="113" t="n"/>
      <c r="T4900" s="113" t="n"/>
      <c r="U4900" s="113" t="n"/>
      <c r="V4900" s="113" t="n"/>
      <c r="W4900" s="113" t="n"/>
      <c r="X4900" s="113" t="n"/>
      <c r="Y4900" s="113" t="n"/>
      <c r="Z4900" s="117">
        <f>IF($B4900="",0,IF($S4900="EVET",IF($D4900="GELİR",$O4900,-$O4900),0))</f>
        <v/>
      </c>
      <c r="AA4900" s="117">
        <f>IF($B4900="",0,IF(OR($W4900="EVET",$X4900="EVET",$Y4900="EVET"),0,IF($D4900="GELİR",IF($E4900="SATIŞ İADESİ/İSKONTO",-$O4900,$O4900),-$O4900)))</f>
        <v/>
      </c>
      <c r="AB4900" s="117">
        <f>IF($B4900="","",IF(OR($D4900="",$E4900="",$O4900=""),"EKSİK",IF($O4900&lt;=0,"SIFIR/NEGATİF",IF(COUNTIFS($C$6:$C$5000,$C4900,$O$6:$O$5000,$O4900,$B$6:$B$5000,$B4900)&gt;1,"MÜKERRER","OK"))))</f>
        <v/>
      </c>
    </row>
    <row r="4901" ht="16.5" customHeight="1" s="80">
      <c r="A4901" s="113" t="n"/>
      <c r="B4901" s="113" t="n"/>
      <c r="C4901" s="113" t="n"/>
      <c r="D4901" s="113" t="n"/>
      <c r="E4901" s="113" t="n"/>
      <c r="F4901" s="113" t="n"/>
      <c r="G4901" s="113" t="n"/>
      <c r="H4901" s="113" t="n"/>
      <c r="I4901" s="113" t="n"/>
      <c r="J4901" s="113" t="n"/>
      <c r="K4901" s="113" t="n"/>
      <c r="L4901" s="113" t="n"/>
      <c r="M4901" s="113" t="n"/>
      <c r="N4901" s="113" t="n"/>
      <c r="O4901" s="113" t="n"/>
      <c r="P4901" s="113" t="n"/>
      <c r="Q4901" s="113" t="n"/>
      <c r="R4901" s="113" t="n"/>
      <c r="S4901" s="113" t="n"/>
      <c r="T4901" s="113" t="n"/>
      <c r="U4901" s="113" t="n"/>
      <c r="V4901" s="113" t="n"/>
      <c r="W4901" s="113" t="n"/>
      <c r="X4901" s="113" t="n"/>
      <c r="Y4901" s="113" t="n"/>
      <c r="Z4901" s="117">
        <f>IF($B4901="",0,IF($S4901="EVET",IF($D4901="GELİR",$O4901,-$O4901),0))</f>
        <v/>
      </c>
      <c r="AA4901" s="117">
        <f>IF($B4901="",0,IF(OR($W4901="EVET",$X4901="EVET",$Y4901="EVET"),0,IF($D4901="GELİR",IF($E4901="SATIŞ İADESİ/İSKONTO",-$O4901,$O4901),-$O4901)))</f>
        <v/>
      </c>
      <c r="AB4901" s="117">
        <f>IF($B4901="","",IF(OR($D4901="",$E4901="",$O4901=""),"EKSİK",IF($O4901&lt;=0,"SIFIR/NEGATİF",IF(COUNTIFS($C$6:$C$5000,$C4901,$O$6:$O$5000,$O4901,$B$6:$B$5000,$B4901)&gt;1,"MÜKERRER","OK"))))</f>
        <v/>
      </c>
    </row>
    <row r="4902" ht="16.5" customHeight="1" s="80">
      <c r="A4902" s="113" t="n"/>
      <c r="B4902" s="113" t="n"/>
      <c r="C4902" s="113" t="n"/>
      <c r="D4902" s="113" t="n"/>
      <c r="E4902" s="113" t="n"/>
      <c r="F4902" s="113" t="n"/>
      <c r="G4902" s="113" t="n"/>
      <c r="H4902" s="113" t="n"/>
      <c r="I4902" s="113" t="n"/>
      <c r="J4902" s="113" t="n"/>
      <c r="K4902" s="113" t="n"/>
      <c r="L4902" s="113" t="n"/>
      <c r="M4902" s="113" t="n"/>
      <c r="N4902" s="113" t="n"/>
      <c r="O4902" s="113" t="n"/>
      <c r="P4902" s="113" t="n"/>
      <c r="Q4902" s="113" t="n"/>
      <c r="R4902" s="113" t="n"/>
      <c r="S4902" s="113" t="n"/>
      <c r="T4902" s="113" t="n"/>
      <c r="U4902" s="113" t="n"/>
      <c r="V4902" s="113" t="n"/>
      <c r="W4902" s="113" t="n"/>
      <c r="X4902" s="113" t="n"/>
      <c r="Y4902" s="113" t="n"/>
      <c r="Z4902" s="117">
        <f>IF($B4902="",0,IF($S4902="EVET",IF($D4902="GELİR",$O4902,-$O4902),0))</f>
        <v/>
      </c>
      <c r="AA4902" s="117">
        <f>IF($B4902="",0,IF(OR($W4902="EVET",$X4902="EVET",$Y4902="EVET"),0,IF($D4902="GELİR",IF($E4902="SATIŞ İADESİ/İSKONTO",-$O4902,$O4902),-$O4902)))</f>
        <v/>
      </c>
      <c r="AB4902" s="117">
        <f>IF($B4902="","",IF(OR($D4902="",$E4902="",$O4902=""),"EKSİK",IF($O4902&lt;=0,"SIFIR/NEGATİF",IF(COUNTIFS($C$6:$C$5000,$C4902,$O$6:$O$5000,$O4902,$B$6:$B$5000,$B4902)&gt;1,"MÜKERRER","OK"))))</f>
        <v/>
      </c>
    </row>
    <row r="4903" ht="16.5" customHeight="1" s="80">
      <c r="A4903" s="113" t="n"/>
      <c r="B4903" s="113" t="n"/>
      <c r="C4903" s="113" t="n"/>
      <c r="D4903" s="113" t="n"/>
      <c r="E4903" s="113" t="n"/>
      <c r="F4903" s="113" t="n"/>
      <c r="G4903" s="113" t="n"/>
      <c r="H4903" s="113" t="n"/>
      <c r="I4903" s="113" t="n"/>
      <c r="J4903" s="113" t="n"/>
      <c r="K4903" s="113" t="n"/>
      <c r="L4903" s="113" t="n"/>
      <c r="M4903" s="113" t="n"/>
      <c r="N4903" s="113" t="n"/>
      <c r="O4903" s="113" t="n"/>
      <c r="P4903" s="113" t="n"/>
      <c r="Q4903" s="113" t="n"/>
      <c r="R4903" s="113" t="n"/>
      <c r="S4903" s="113" t="n"/>
      <c r="T4903" s="113" t="n"/>
      <c r="U4903" s="113" t="n"/>
      <c r="V4903" s="113" t="n"/>
      <c r="W4903" s="113" t="n"/>
      <c r="X4903" s="113" t="n"/>
      <c r="Y4903" s="113" t="n"/>
      <c r="Z4903" s="117">
        <f>IF($B4903="",0,IF($S4903="EVET",IF($D4903="GELİR",$O4903,-$O4903),0))</f>
        <v/>
      </c>
      <c r="AA4903" s="117">
        <f>IF($B4903="",0,IF(OR($W4903="EVET",$X4903="EVET",$Y4903="EVET"),0,IF($D4903="GELİR",IF($E4903="SATIŞ İADESİ/İSKONTO",-$O4903,$O4903),-$O4903)))</f>
        <v/>
      </c>
      <c r="AB4903" s="117">
        <f>IF($B4903="","",IF(OR($D4903="",$E4903="",$O4903=""),"EKSİK",IF($O4903&lt;=0,"SIFIR/NEGATİF",IF(COUNTIFS($C$6:$C$5000,$C4903,$O$6:$O$5000,$O4903,$B$6:$B$5000,$B4903)&gt;1,"MÜKERRER","OK"))))</f>
        <v/>
      </c>
    </row>
    <row r="4904" ht="16.5" customHeight="1" s="80">
      <c r="A4904" s="113" t="n"/>
      <c r="B4904" s="113" t="n"/>
      <c r="C4904" s="113" t="n"/>
      <c r="D4904" s="113" t="n"/>
      <c r="E4904" s="113" t="n"/>
      <c r="F4904" s="113" t="n"/>
      <c r="G4904" s="113" t="n"/>
      <c r="H4904" s="113" t="n"/>
      <c r="I4904" s="113" t="n"/>
      <c r="J4904" s="113" t="n"/>
      <c r="K4904" s="113" t="n"/>
      <c r="L4904" s="113" t="n"/>
      <c r="M4904" s="113" t="n"/>
      <c r="N4904" s="113" t="n"/>
      <c r="O4904" s="113" t="n"/>
      <c r="P4904" s="113" t="n"/>
      <c r="Q4904" s="113" t="n"/>
      <c r="R4904" s="113" t="n"/>
      <c r="S4904" s="113" t="n"/>
      <c r="T4904" s="113" t="n"/>
      <c r="U4904" s="113" t="n"/>
      <c r="V4904" s="113" t="n"/>
      <c r="W4904" s="113" t="n"/>
      <c r="X4904" s="113" t="n"/>
      <c r="Y4904" s="113" t="n"/>
      <c r="Z4904" s="117">
        <f>IF($B4904="",0,IF($S4904="EVET",IF($D4904="GELİR",$O4904,-$O4904),0))</f>
        <v/>
      </c>
      <c r="AA4904" s="117">
        <f>IF($B4904="",0,IF(OR($W4904="EVET",$X4904="EVET",$Y4904="EVET"),0,IF($D4904="GELİR",IF($E4904="SATIŞ İADESİ/İSKONTO",-$O4904,$O4904),-$O4904)))</f>
        <v/>
      </c>
      <c r="AB4904" s="117">
        <f>IF($B4904="","",IF(OR($D4904="",$E4904="",$O4904=""),"EKSİK",IF($O4904&lt;=0,"SIFIR/NEGATİF",IF(COUNTIFS($C$6:$C$5000,$C4904,$O$6:$O$5000,$O4904,$B$6:$B$5000,$B4904)&gt;1,"MÜKERRER","OK"))))</f>
        <v/>
      </c>
    </row>
    <row r="4905" ht="16.5" customHeight="1" s="80">
      <c r="A4905" s="113" t="n"/>
      <c r="B4905" s="113" t="n"/>
      <c r="C4905" s="113" t="n"/>
      <c r="D4905" s="113" t="n"/>
      <c r="E4905" s="113" t="n"/>
      <c r="F4905" s="113" t="n"/>
      <c r="G4905" s="113" t="n"/>
      <c r="H4905" s="113" t="n"/>
      <c r="I4905" s="113" t="n"/>
      <c r="J4905" s="113" t="n"/>
      <c r="K4905" s="113" t="n"/>
      <c r="L4905" s="113" t="n"/>
      <c r="M4905" s="113" t="n"/>
      <c r="N4905" s="113" t="n"/>
      <c r="O4905" s="113" t="n"/>
      <c r="P4905" s="113" t="n"/>
      <c r="Q4905" s="113" t="n"/>
      <c r="R4905" s="113" t="n"/>
      <c r="S4905" s="113" t="n"/>
      <c r="T4905" s="113" t="n"/>
      <c r="U4905" s="113" t="n"/>
      <c r="V4905" s="113" t="n"/>
      <c r="W4905" s="113" t="n"/>
      <c r="X4905" s="113" t="n"/>
      <c r="Y4905" s="113" t="n"/>
      <c r="Z4905" s="117">
        <f>IF($B4905="",0,IF($S4905="EVET",IF($D4905="GELİR",$O4905,-$O4905),0))</f>
        <v/>
      </c>
      <c r="AA4905" s="117">
        <f>IF($B4905="",0,IF(OR($W4905="EVET",$X4905="EVET",$Y4905="EVET"),0,IF($D4905="GELİR",IF($E4905="SATIŞ İADESİ/İSKONTO",-$O4905,$O4905),-$O4905)))</f>
        <v/>
      </c>
      <c r="AB4905" s="117">
        <f>IF($B4905="","",IF(OR($D4905="",$E4905="",$O4905=""),"EKSİK",IF($O4905&lt;=0,"SIFIR/NEGATİF",IF(COUNTIFS($C$6:$C$5000,$C4905,$O$6:$O$5000,$O4905,$B$6:$B$5000,$B4905)&gt;1,"MÜKERRER","OK"))))</f>
        <v/>
      </c>
    </row>
    <row r="4906" ht="16.5" customHeight="1" s="80">
      <c r="A4906" s="113" t="n"/>
      <c r="B4906" s="113" t="n"/>
      <c r="C4906" s="113" t="n"/>
      <c r="D4906" s="113" t="n"/>
      <c r="E4906" s="113" t="n"/>
      <c r="F4906" s="113" t="n"/>
      <c r="G4906" s="113" t="n"/>
      <c r="H4906" s="113" t="n"/>
      <c r="I4906" s="113" t="n"/>
      <c r="J4906" s="113" t="n"/>
      <c r="K4906" s="113" t="n"/>
      <c r="L4906" s="113" t="n"/>
      <c r="M4906" s="113" t="n"/>
      <c r="N4906" s="113" t="n"/>
      <c r="O4906" s="113" t="n"/>
      <c r="P4906" s="113" t="n"/>
      <c r="Q4906" s="113" t="n"/>
      <c r="R4906" s="113" t="n"/>
      <c r="S4906" s="113" t="n"/>
      <c r="T4906" s="113" t="n"/>
      <c r="U4906" s="113" t="n"/>
      <c r="V4906" s="113" t="n"/>
      <c r="W4906" s="113" t="n"/>
      <c r="X4906" s="113" t="n"/>
      <c r="Y4906" s="113" t="n"/>
      <c r="Z4906" s="117">
        <f>IF($B4906="",0,IF($S4906="EVET",IF($D4906="GELİR",$O4906,-$O4906),0))</f>
        <v/>
      </c>
      <c r="AA4906" s="117">
        <f>IF($B4906="",0,IF(OR($W4906="EVET",$X4906="EVET",$Y4906="EVET"),0,IF($D4906="GELİR",IF($E4906="SATIŞ İADESİ/İSKONTO",-$O4906,$O4906),-$O4906)))</f>
        <v/>
      </c>
      <c r="AB4906" s="117">
        <f>IF($B4906="","",IF(OR($D4906="",$E4906="",$O4906=""),"EKSİK",IF($O4906&lt;=0,"SIFIR/NEGATİF",IF(COUNTIFS($C$6:$C$5000,$C4906,$O$6:$O$5000,$O4906,$B$6:$B$5000,$B4906)&gt;1,"MÜKERRER","OK"))))</f>
        <v/>
      </c>
    </row>
    <row r="4907" ht="16.5" customHeight="1" s="80">
      <c r="A4907" s="113" t="n"/>
      <c r="B4907" s="113" t="n"/>
      <c r="C4907" s="113" t="n"/>
      <c r="D4907" s="113" t="n"/>
      <c r="E4907" s="113" t="n"/>
      <c r="F4907" s="113" t="n"/>
      <c r="G4907" s="113" t="n"/>
      <c r="H4907" s="113" t="n"/>
      <c r="I4907" s="113" t="n"/>
      <c r="J4907" s="113" t="n"/>
      <c r="K4907" s="113" t="n"/>
      <c r="L4907" s="113" t="n"/>
      <c r="M4907" s="113" t="n"/>
      <c r="N4907" s="113" t="n"/>
      <c r="O4907" s="113" t="n"/>
      <c r="P4907" s="113" t="n"/>
      <c r="Q4907" s="113" t="n"/>
      <c r="R4907" s="113" t="n"/>
      <c r="S4907" s="113" t="n"/>
      <c r="T4907" s="113" t="n"/>
      <c r="U4907" s="113" t="n"/>
      <c r="V4907" s="113" t="n"/>
      <c r="W4907" s="113" t="n"/>
      <c r="X4907" s="113" t="n"/>
      <c r="Y4907" s="113" t="n"/>
      <c r="Z4907" s="117">
        <f>IF($B4907="",0,IF($S4907="EVET",IF($D4907="GELİR",$O4907,-$O4907),0))</f>
        <v/>
      </c>
      <c r="AA4907" s="117">
        <f>IF($B4907="",0,IF(OR($W4907="EVET",$X4907="EVET",$Y4907="EVET"),0,IF($D4907="GELİR",IF($E4907="SATIŞ İADESİ/İSKONTO",-$O4907,$O4907),-$O4907)))</f>
        <v/>
      </c>
      <c r="AB4907" s="117">
        <f>IF($B4907="","",IF(OR($D4907="",$E4907="",$O4907=""),"EKSİK",IF($O4907&lt;=0,"SIFIR/NEGATİF",IF(COUNTIFS($C$6:$C$5000,$C4907,$O$6:$O$5000,$O4907,$B$6:$B$5000,$B4907)&gt;1,"MÜKERRER","OK"))))</f>
        <v/>
      </c>
    </row>
    <row r="4908" ht="16.5" customHeight="1" s="80">
      <c r="A4908" s="113" t="n"/>
      <c r="B4908" s="113" t="n"/>
      <c r="C4908" s="113" t="n"/>
      <c r="D4908" s="113" t="n"/>
      <c r="E4908" s="113" t="n"/>
      <c r="F4908" s="113" t="n"/>
      <c r="G4908" s="113" t="n"/>
      <c r="H4908" s="113" t="n"/>
      <c r="I4908" s="113" t="n"/>
      <c r="J4908" s="113" t="n"/>
      <c r="K4908" s="113" t="n"/>
      <c r="L4908" s="113" t="n"/>
      <c r="M4908" s="113" t="n"/>
      <c r="N4908" s="113" t="n"/>
      <c r="O4908" s="113" t="n"/>
      <c r="P4908" s="113" t="n"/>
      <c r="Q4908" s="113" t="n"/>
      <c r="R4908" s="113" t="n"/>
      <c r="S4908" s="113" t="n"/>
      <c r="T4908" s="113" t="n"/>
      <c r="U4908" s="113" t="n"/>
      <c r="V4908" s="113" t="n"/>
      <c r="W4908" s="113" t="n"/>
      <c r="X4908" s="113" t="n"/>
      <c r="Y4908" s="113" t="n"/>
      <c r="Z4908" s="117">
        <f>IF($B4908="",0,IF($S4908="EVET",IF($D4908="GELİR",$O4908,-$O4908),0))</f>
        <v/>
      </c>
      <c r="AA4908" s="117">
        <f>IF($B4908="",0,IF(OR($W4908="EVET",$X4908="EVET",$Y4908="EVET"),0,IF($D4908="GELİR",IF($E4908="SATIŞ İADESİ/İSKONTO",-$O4908,$O4908),-$O4908)))</f>
        <v/>
      </c>
      <c r="AB4908" s="117">
        <f>IF($B4908="","",IF(OR($D4908="",$E4908="",$O4908=""),"EKSİK",IF($O4908&lt;=0,"SIFIR/NEGATİF",IF(COUNTIFS($C$6:$C$5000,$C4908,$O$6:$O$5000,$O4908,$B$6:$B$5000,$B4908)&gt;1,"MÜKERRER","OK"))))</f>
        <v/>
      </c>
    </row>
    <row r="4909" ht="16.5" customHeight="1" s="80">
      <c r="A4909" s="113" t="n"/>
      <c r="B4909" s="113" t="n"/>
      <c r="C4909" s="113" t="n"/>
      <c r="D4909" s="113" t="n"/>
      <c r="E4909" s="113" t="n"/>
      <c r="F4909" s="113" t="n"/>
      <c r="G4909" s="113" t="n"/>
      <c r="H4909" s="113" t="n"/>
      <c r="I4909" s="113" t="n"/>
      <c r="J4909" s="113" t="n"/>
      <c r="K4909" s="113" t="n"/>
      <c r="L4909" s="113" t="n"/>
      <c r="M4909" s="113" t="n"/>
      <c r="N4909" s="113" t="n"/>
      <c r="O4909" s="113" t="n"/>
      <c r="P4909" s="113" t="n"/>
      <c r="Q4909" s="113" t="n"/>
      <c r="R4909" s="113" t="n"/>
      <c r="S4909" s="113" t="n"/>
      <c r="T4909" s="113" t="n"/>
      <c r="U4909" s="113" t="n"/>
      <c r="V4909" s="113" t="n"/>
      <c r="W4909" s="113" t="n"/>
      <c r="X4909" s="113" t="n"/>
      <c r="Y4909" s="113" t="n"/>
      <c r="Z4909" s="117">
        <f>IF($B4909="",0,IF($S4909="EVET",IF($D4909="GELİR",$O4909,-$O4909),0))</f>
        <v/>
      </c>
      <c r="AA4909" s="117">
        <f>IF($B4909="",0,IF(OR($W4909="EVET",$X4909="EVET",$Y4909="EVET"),0,IF($D4909="GELİR",IF($E4909="SATIŞ İADESİ/İSKONTO",-$O4909,$O4909),-$O4909)))</f>
        <v/>
      </c>
      <c r="AB4909" s="117">
        <f>IF($B4909="","",IF(OR($D4909="",$E4909="",$O4909=""),"EKSİK",IF($O4909&lt;=0,"SIFIR/NEGATİF",IF(COUNTIFS($C$6:$C$5000,$C4909,$O$6:$O$5000,$O4909,$B$6:$B$5000,$B4909)&gt;1,"MÜKERRER","OK"))))</f>
        <v/>
      </c>
    </row>
    <row r="4910" ht="16.5" customHeight="1" s="80">
      <c r="A4910" s="113" t="n"/>
      <c r="B4910" s="113" t="n"/>
      <c r="C4910" s="113" t="n"/>
      <c r="D4910" s="113" t="n"/>
      <c r="E4910" s="113" t="n"/>
      <c r="F4910" s="113" t="n"/>
      <c r="G4910" s="113" t="n"/>
      <c r="H4910" s="113" t="n"/>
      <c r="I4910" s="113" t="n"/>
      <c r="J4910" s="113" t="n"/>
      <c r="K4910" s="113" t="n"/>
      <c r="L4910" s="113" t="n"/>
      <c r="M4910" s="113" t="n"/>
      <c r="N4910" s="113" t="n"/>
      <c r="O4910" s="113" t="n"/>
      <c r="P4910" s="113" t="n"/>
      <c r="Q4910" s="113" t="n"/>
      <c r="R4910" s="113" t="n"/>
      <c r="S4910" s="113" t="n"/>
      <c r="T4910" s="113" t="n"/>
      <c r="U4910" s="113" t="n"/>
      <c r="V4910" s="113" t="n"/>
      <c r="W4910" s="113" t="n"/>
      <c r="X4910" s="113" t="n"/>
      <c r="Y4910" s="113" t="n"/>
      <c r="Z4910" s="117">
        <f>IF($B4910="",0,IF($S4910="EVET",IF($D4910="GELİR",$O4910,-$O4910),0))</f>
        <v/>
      </c>
      <c r="AA4910" s="117">
        <f>IF($B4910="",0,IF(OR($W4910="EVET",$X4910="EVET",$Y4910="EVET"),0,IF($D4910="GELİR",IF($E4910="SATIŞ İADESİ/İSKONTO",-$O4910,$O4910),-$O4910)))</f>
        <v/>
      </c>
      <c r="AB4910" s="117">
        <f>IF($B4910="","",IF(OR($D4910="",$E4910="",$O4910=""),"EKSİK",IF($O4910&lt;=0,"SIFIR/NEGATİF",IF(COUNTIFS($C$6:$C$5000,$C4910,$O$6:$O$5000,$O4910,$B$6:$B$5000,$B4910)&gt;1,"MÜKERRER","OK"))))</f>
        <v/>
      </c>
    </row>
    <row r="4911" ht="16.5" customHeight="1" s="80">
      <c r="A4911" s="113" t="n"/>
      <c r="B4911" s="113" t="n"/>
      <c r="C4911" s="113" t="n"/>
      <c r="D4911" s="113" t="n"/>
      <c r="E4911" s="113" t="n"/>
      <c r="F4911" s="113" t="n"/>
      <c r="G4911" s="113" t="n"/>
      <c r="H4911" s="113" t="n"/>
      <c r="I4911" s="113" t="n"/>
      <c r="J4911" s="113" t="n"/>
      <c r="K4911" s="113" t="n"/>
      <c r="L4911" s="113" t="n"/>
      <c r="M4911" s="113" t="n"/>
      <c r="N4911" s="113" t="n"/>
      <c r="O4911" s="113" t="n"/>
      <c r="P4911" s="113" t="n"/>
      <c r="Q4911" s="113" t="n"/>
      <c r="R4911" s="113" t="n"/>
      <c r="S4911" s="113" t="n"/>
      <c r="T4911" s="113" t="n"/>
      <c r="U4911" s="113" t="n"/>
      <c r="V4911" s="113" t="n"/>
      <c r="W4911" s="113" t="n"/>
      <c r="X4911" s="113" t="n"/>
      <c r="Y4911" s="113" t="n"/>
      <c r="Z4911" s="117">
        <f>IF($B4911="",0,IF($S4911="EVET",IF($D4911="GELİR",$O4911,-$O4911),0))</f>
        <v/>
      </c>
      <c r="AA4911" s="117">
        <f>IF($B4911="",0,IF(OR($W4911="EVET",$X4911="EVET",$Y4911="EVET"),0,IF($D4911="GELİR",IF($E4911="SATIŞ İADESİ/İSKONTO",-$O4911,$O4911),-$O4911)))</f>
        <v/>
      </c>
      <c r="AB4911" s="117">
        <f>IF($B4911="","",IF(OR($D4911="",$E4911="",$O4911=""),"EKSİK",IF($O4911&lt;=0,"SIFIR/NEGATİF",IF(COUNTIFS($C$6:$C$5000,$C4911,$O$6:$O$5000,$O4911,$B$6:$B$5000,$B4911)&gt;1,"MÜKERRER","OK"))))</f>
        <v/>
      </c>
    </row>
    <row r="4912" ht="16.5" customHeight="1" s="80">
      <c r="A4912" s="113" t="n"/>
      <c r="B4912" s="113" t="n"/>
      <c r="C4912" s="113" t="n"/>
      <c r="D4912" s="113" t="n"/>
      <c r="E4912" s="113" t="n"/>
      <c r="F4912" s="113" t="n"/>
      <c r="G4912" s="113" t="n"/>
      <c r="H4912" s="113" t="n"/>
      <c r="I4912" s="113" t="n"/>
      <c r="J4912" s="113" t="n"/>
      <c r="K4912" s="113" t="n"/>
      <c r="L4912" s="113" t="n"/>
      <c r="M4912" s="113" t="n"/>
      <c r="N4912" s="113" t="n"/>
      <c r="O4912" s="113" t="n"/>
      <c r="P4912" s="113" t="n"/>
      <c r="Q4912" s="113" t="n"/>
      <c r="R4912" s="113" t="n"/>
      <c r="S4912" s="113" t="n"/>
      <c r="T4912" s="113" t="n"/>
      <c r="U4912" s="113" t="n"/>
      <c r="V4912" s="113" t="n"/>
      <c r="W4912" s="113" t="n"/>
      <c r="X4912" s="113" t="n"/>
      <c r="Y4912" s="113" t="n"/>
      <c r="Z4912" s="117">
        <f>IF($B4912="",0,IF($S4912="EVET",IF($D4912="GELİR",$O4912,-$O4912),0))</f>
        <v/>
      </c>
      <c r="AA4912" s="117">
        <f>IF($B4912="",0,IF(OR($W4912="EVET",$X4912="EVET",$Y4912="EVET"),0,IF($D4912="GELİR",IF($E4912="SATIŞ İADESİ/İSKONTO",-$O4912,$O4912),-$O4912)))</f>
        <v/>
      </c>
      <c r="AB4912" s="117">
        <f>IF($B4912="","",IF(OR($D4912="",$E4912="",$O4912=""),"EKSİK",IF($O4912&lt;=0,"SIFIR/NEGATİF",IF(COUNTIFS($C$6:$C$5000,$C4912,$O$6:$O$5000,$O4912,$B$6:$B$5000,$B4912)&gt;1,"MÜKERRER","OK"))))</f>
        <v/>
      </c>
    </row>
    <row r="4913" ht="16.5" customHeight="1" s="80">
      <c r="A4913" s="113" t="n"/>
      <c r="B4913" s="113" t="n"/>
      <c r="C4913" s="113" t="n"/>
      <c r="D4913" s="113" t="n"/>
      <c r="E4913" s="113" t="n"/>
      <c r="F4913" s="113" t="n"/>
      <c r="G4913" s="113" t="n"/>
      <c r="H4913" s="113" t="n"/>
      <c r="I4913" s="113" t="n"/>
      <c r="J4913" s="113" t="n"/>
      <c r="K4913" s="113" t="n"/>
      <c r="L4913" s="113" t="n"/>
      <c r="M4913" s="113" t="n"/>
      <c r="N4913" s="113" t="n"/>
      <c r="O4913" s="113" t="n"/>
      <c r="P4913" s="113" t="n"/>
      <c r="Q4913" s="113" t="n"/>
      <c r="R4913" s="113" t="n"/>
      <c r="S4913" s="113" t="n"/>
      <c r="T4913" s="113" t="n"/>
      <c r="U4913" s="113" t="n"/>
      <c r="V4913" s="113" t="n"/>
      <c r="W4913" s="113" t="n"/>
      <c r="X4913" s="113" t="n"/>
      <c r="Y4913" s="113" t="n"/>
      <c r="Z4913" s="117">
        <f>IF($B4913="",0,IF($S4913="EVET",IF($D4913="GELİR",$O4913,-$O4913),0))</f>
        <v/>
      </c>
      <c r="AA4913" s="117">
        <f>IF($B4913="",0,IF(OR($W4913="EVET",$X4913="EVET",$Y4913="EVET"),0,IF($D4913="GELİR",IF($E4913="SATIŞ İADESİ/İSKONTO",-$O4913,$O4913),-$O4913)))</f>
        <v/>
      </c>
      <c r="AB4913" s="117">
        <f>IF($B4913="","",IF(OR($D4913="",$E4913="",$O4913=""),"EKSİK",IF($O4913&lt;=0,"SIFIR/NEGATİF",IF(COUNTIFS($C$6:$C$5000,$C4913,$O$6:$O$5000,$O4913,$B$6:$B$5000,$B4913)&gt;1,"MÜKERRER","OK"))))</f>
        <v/>
      </c>
    </row>
    <row r="4914" ht="16.5" customHeight="1" s="80">
      <c r="A4914" s="113" t="n"/>
      <c r="B4914" s="113" t="n"/>
      <c r="C4914" s="113" t="n"/>
      <c r="D4914" s="113" t="n"/>
      <c r="E4914" s="113" t="n"/>
      <c r="F4914" s="113" t="n"/>
      <c r="G4914" s="113" t="n"/>
      <c r="H4914" s="113" t="n"/>
      <c r="I4914" s="113" t="n"/>
      <c r="J4914" s="113" t="n"/>
      <c r="K4914" s="113" t="n"/>
      <c r="L4914" s="113" t="n"/>
      <c r="M4914" s="113" t="n"/>
      <c r="N4914" s="113" t="n"/>
      <c r="O4914" s="113" t="n"/>
      <c r="P4914" s="113" t="n"/>
      <c r="Q4914" s="113" t="n"/>
      <c r="R4914" s="113" t="n"/>
      <c r="S4914" s="113" t="n"/>
      <c r="T4914" s="113" t="n"/>
      <c r="U4914" s="113" t="n"/>
      <c r="V4914" s="113" t="n"/>
      <c r="W4914" s="113" t="n"/>
      <c r="X4914" s="113" t="n"/>
      <c r="Y4914" s="113" t="n"/>
      <c r="Z4914" s="117">
        <f>IF($B4914="",0,IF($S4914="EVET",IF($D4914="GELİR",$O4914,-$O4914),0))</f>
        <v/>
      </c>
      <c r="AA4914" s="117">
        <f>IF($B4914="",0,IF(OR($W4914="EVET",$X4914="EVET",$Y4914="EVET"),0,IF($D4914="GELİR",IF($E4914="SATIŞ İADESİ/İSKONTO",-$O4914,$O4914),-$O4914)))</f>
        <v/>
      </c>
      <c r="AB4914" s="117">
        <f>IF($B4914="","",IF(OR($D4914="",$E4914="",$O4914=""),"EKSİK",IF($O4914&lt;=0,"SIFIR/NEGATİF",IF(COUNTIFS($C$6:$C$5000,$C4914,$O$6:$O$5000,$O4914,$B$6:$B$5000,$B4914)&gt;1,"MÜKERRER","OK"))))</f>
        <v/>
      </c>
    </row>
    <row r="4915" ht="16.5" customHeight="1" s="80">
      <c r="A4915" s="113" t="n"/>
      <c r="B4915" s="113" t="n"/>
      <c r="C4915" s="113" t="n"/>
      <c r="D4915" s="113" t="n"/>
      <c r="E4915" s="113" t="n"/>
      <c r="F4915" s="113" t="n"/>
      <c r="G4915" s="113" t="n"/>
      <c r="H4915" s="113" t="n"/>
      <c r="I4915" s="113" t="n"/>
      <c r="J4915" s="113" t="n"/>
      <c r="K4915" s="113" t="n"/>
      <c r="L4915" s="113" t="n"/>
      <c r="M4915" s="113" t="n"/>
      <c r="N4915" s="113" t="n"/>
      <c r="O4915" s="113" t="n"/>
      <c r="P4915" s="113" t="n"/>
      <c r="Q4915" s="113" t="n"/>
      <c r="R4915" s="113" t="n"/>
      <c r="S4915" s="113" t="n"/>
      <c r="T4915" s="113" t="n"/>
      <c r="U4915" s="113" t="n"/>
      <c r="V4915" s="113" t="n"/>
      <c r="W4915" s="113" t="n"/>
      <c r="X4915" s="113" t="n"/>
      <c r="Y4915" s="113" t="n"/>
      <c r="Z4915" s="117">
        <f>IF($B4915="",0,IF($S4915="EVET",IF($D4915="GELİR",$O4915,-$O4915),0))</f>
        <v/>
      </c>
      <c r="AA4915" s="117">
        <f>IF($B4915="",0,IF(OR($W4915="EVET",$X4915="EVET",$Y4915="EVET"),0,IF($D4915="GELİR",IF($E4915="SATIŞ İADESİ/İSKONTO",-$O4915,$O4915),-$O4915)))</f>
        <v/>
      </c>
      <c r="AB4915" s="117">
        <f>IF($B4915="","",IF(OR($D4915="",$E4915="",$O4915=""),"EKSİK",IF($O4915&lt;=0,"SIFIR/NEGATİF",IF(COUNTIFS($C$6:$C$5000,$C4915,$O$6:$O$5000,$O4915,$B$6:$B$5000,$B4915)&gt;1,"MÜKERRER","OK"))))</f>
        <v/>
      </c>
    </row>
    <row r="4916" ht="16.5" customHeight="1" s="80">
      <c r="A4916" s="113" t="n"/>
      <c r="B4916" s="113" t="n"/>
      <c r="C4916" s="113" t="n"/>
      <c r="D4916" s="113" t="n"/>
      <c r="E4916" s="113" t="n"/>
      <c r="F4916" s="113" t="n"/>
      <c r="G4916" s="113" t="n"/>
      <c r="H4916" s="113" t="n"/>
      <c r="I4916" s="113" t="n"/>
      <c r="J4916" s="113" t="n"/>
      <c r="K4916" s="113" t="n"/>
      <c r="L4916" s="113" t="n"/>
      <c r="M4916" s="113" t="n"/>
      <c r="N4916" s="113" t="n"/>
      <c r="O4916" s="113" t="n"/>
      <c r="P4916" s="113" t="n"/>
      <c r="Q4916" s="113" t="n"/>
      <c r="R4916" s="113" t="n"/>
      <c r="S4916" s="113" t="n"/>
      <c r="T4916" s="113" t="n"/>
      <c r="U4916" s="113" t="n"/>
      <c r="V4916" s="113" t="n"/>
      <c r="W4916" s="113" t="n"/>
      <c r="X4916" s="113" t="n"/>
      <c r="Y4916" s="113" t="n"/>
      <c r="Z4916" s="117">
        <f>IF($B4916="",0,IF($S4916="EVET",IF($D4916="GELİR",$O4916,-$O4916),0))</f>
        <v/>
      </c>
      <c r="AA4916" s="117">
        <f>IF($B4916="",0,IF(OR($W4916="EVET",$X4916="EVET",$Y4916="EVET"),0,IF($D4916="GELİR",IF($E4916="SATIŞ İADESİ/İSKONTO",-$O4916,$O4916),-$O4916)))</f>
        <v/>
      </c>
      <c r="AB4916" s="117">
        <f>IF($B4916="","",IF(OR($D4916="",$E4916="",$O4916=""),"EKSİK",IF($O4916&lt;=0,"SIFIR/NEGATİF",IF(COUNTIFS($C$6:$C$5000,$C4916,$O$6:$O$5000,$O4916,$B$6:$B$5000,$B4916)&gt;1,"MÜKERRER","OK"))))</f>
        <v/>
      </c>
    </row>
    <row r="4917" ht="16.5" customHeight="1" s="80">
      <c r="A4917" s="113" t="n"/>
      <c r="B4917" s="113" t="n"/>
      <c r="C4917" s="113" t="n"/>
      <c r="D4917" s="113" t="n"/>
      <c r="E4917" s="113" t="n"/>
      <c r="F4917" s="113" t="n"/>
      <c r="G4917" s="113" t="n"/>
      <c r="H4917" s="113" t="n"/>
      <c r="I4917" s="113" t="n"/>
      <c r="J4917" s="113" t="n"/>
      <c r="K4917" s="113" t="n"/>
      <c r="L4917" s="113" t="n"/>
      <c r="M4917" s="113" t="n"/>
      <c r="N4917" s="113" t="n"/>
      <c r="O4917" s="113" t="n"/>
      <c r="P4917" s="113" t="n"/>
      <c r="Q4917" s="113" t="n"/>
      <c r="R4917" s="113" t="n"/>
      <c r="S4917" s="113" t="n"/>
      <c r="T4917" s="113" t="n"/>
      <c r="U4917" s="113" t="n"/>
      <c r="V4917" s="113" t="n"/>
      <c r="W4917" s="113" t="n"/>
      <c r="X4917" s="113" t="n"/>
      <c r="Y4917" s="113" t="n"/>
      <c r="Z4917" s="117">
        <f>IF($B4917="",0,IF($S4917="EVET",IF($D4917="GELİR",$O4917,-$O4917),0))</f>
        <v/>
      </c>
      <c r="AA4917" s="117">
        <f>IF($B4917="",0,IF(OR($W4917="EVET",$X4917="EVET",$Y4917="EVET"),0,IF($D4917="GELİR",IF($E4917="SATIŞ İADESİ/İSKONTO",-$O4917,$O4917),-$O4917)))</f>
        <v/>
      </c>
      <c r="AB4917" s="117">
        <f>IF($B4917="","",IF(OR($D4917="",$E4917="",$O4917=""),"EKSİK",IF($O4917&lt;=0,"SIFIR/NEGATİF",IF(COUNTIFS($C$6:$C$5000,$C4917,$O$6:$O$5000,$O4917,$B$6:$B$5000,$B4917)&gt;1,"MÜKERRER","OK"))))</f>
        <v/>
      </c>
    </row>
    <row r="4918" ht="16.5" customHeight="1" s="80">
      <c r="A4918" s="113" t="n"/>
      <c r="B4918" s="113" t="n"/>
      <c r="C4918" s="113" t="n"/>
      <c r="D4918" s="113" t="n"/>
      <c r="E4918" s="113" t="n"/>
      <c r="F4918" s="113" t="n"/>
      <c r="G4918" s="113" t="n"/>
      <c r="H4918" s="113" t="n"/>
      <c r="I4918" s="113" t="n"/>
      <c r="J4918" s="113" t="n"/>
      <c r="K4918" s="113" t="n"/>
      <c r="L4918" s="113" t="n"/>
      <c r="M4918" s="113" t="n"/>
      <c r="N4918" s="113" t="n"/>
      <c r="O4918" s="113" t="n"/>
      <c r="P4918" s="113" t="n"/>
      <c r="Q4918" s="113" t="n"/>
      <c r="R4918" s="113" t="n"/>
      <c r="S4918" s="113" t="n"/>
      <c r="T4918" s="113" t="n"/>
      <c r="U4918" s="113" t="n"/>
      <c r="V4918" s="113" t="n"/>
      <c r="W4918" s="113" t="n"/>
      <c r="X4918" s="113" t="n"/>
      <c r="Y4918" s="113" t="n"/>
      <c r="Z4918" s="117">
        <f>IF($B4918="",0,IF($S4918="EVET",IF($D4918="GELİR",$O4918,-$O4918),0))</f>
        <v/>
      </c>
      <c r="AA4918" s="117">
        <f>IF($B4918="",0,IF(OR($W4918="EVET",$X4918="EVET",$Y4918="EVET"),0,IF($D4918="GELİR",IF($E4918="SATIŞ İADESİ/İSKONTO",-$O4918,$O4918),-$O4918)))</f>
        <v/>
      </c>
      <c r="AB4918" s="117">
        <f>IF($B4918="","",IF(OR($D4918="",$E4918="",$O4918=""),"EKSİK",IF($O4918&lt;=0,"SIFIR/NEGATİF",IF(COUNTIFS($C$6:$C$5000,$C4918,$O$6:$O$5000,$O4918,$B$6:$B$5000,$B4918)&gt;1,"MÜKERRER","OK"))))</f>
        <v/>
      </c>
    </row>
    <row r="4919" ht="16.5" customHeight="1" s="80">
      <c r="A4919" s="113" t="n"/>
      <c r="B4919" s="113" t="n"/>
      <c r="C4919" s="113" t="n"/>
      <c r="D4919" s="113" t="n"/>
      <c r="E4919" s="113" t="n"/>
      <c r="F4919" s="113" t="n"/>
      <c r="G4919" s="113" t="n"/>
      <c r="H4919" s="113" t="n"/>
      <c r="I4919" s="113" t="n"/>
      <c r="J4919" s="113" t="n"/>
      <c r="K4919" s="113" t="n"/>
      <c r="L4919" s="113" t="n"/>
      <c r="M4919" s="113" t="n"/>
      <c r="N4919" s="113" t="n"/>
      <c r="O4919" s="113" t="n"/>
      <c r="P4919" s="113" t="n"/>
      <c r="Q4919" s="113" t="n"/>
      <c r="R4919" s="113" t="n"/>
      <c r="S4919" s="113" t="n"/>
      <c r="T4919" s="113" t="n"/>
      <c r="U4919" s="113" t="n"/>
      <c r="V4919" s="113" t="n"/>
      <c r="W4919" s="113" t="n"/>
      <c r="X4919" s="113" t="n"/>
      <c r="Y4919" s="113" t="n"/>
      <c r="Z4919" s="117">
        <f>IF($B4919="",0,IF($S4919="EVET",IF($D4919="GELİR",$O4919,-$O4919),0))</f>
        <v/>
      </c>
      <c r="AA4919" s="117">
        <f>IF($B4919="",0,IF(OR($W4919="EVET",$X4919="EVET",$Y4919="EVET"),0,IF($D4919="GELİR",IF($E4919="SATIŞ İADESİ/İSKONTO",-$O4919,$O4919),-$O4919)))</f>
        <v/>
      </c>
      <c r="AB4919" s="117">
        <f>IF($B4919="","",IF(OR($D4919="",$E4919="",$O4919=""),"EKSİK",IF($O4919&lt;=0,"SIFIR/NEGATİF",IF(COUNTIFS($C$6:$C$5000,$C4919,$O$6:$O$5000,$O4919,$B$6:$B$5000,$B4919)&gt;1,"MÜKERRER","OK"))))</f>
        <v/>
      </c>
    </row>
    <row r="4920" ht="16.5" customHeight="1" s="80">
      <c r="A4920" s="113" t="n"/>
      <c r="B4920" s="113" t="n"/>
      <c r="C4920" s="113" t="n"/>
      <c r="D4920" s="113" t="n"/>
      <c r="E4920" s="113" t="n"/>
      <c r="F4920" s="113" t="n"/>
      <c r="G4920" s="113" t="n"/>
      <c r="H4920" s="113" t="n"/>
      <c r="I4920" s="113" t="n"/>
      <c r="J4920" s="113" t="n"/>
      <c r="K4920" s="113" t="n"/>
      <c r="L4920" s="113" t="n"/>
      <c r="M4920" s="113" t="n"/>
      <c r="N4920" s="113" t="n"/>
      <c r="O4920" s="113" t="n"/>
      <c r="P4920" s="113" t="n"/>
      <c r="Q4920" s="113" t="n"/>
      <c r="R4920" s="113" t="n"/>
      <c r="S4920" s="113" t="n"/>
      <c r="T4920" s="113" t="n"/>
      <c r="U4920" s="113" t="n"/>
      <c r="V4920" s="113" t="n"/>
      <c r="W4920" s="113" t="n"/>
      <c r="X4920" s="113" t="n"/>
      <c r="Y4920" s="113" t="n"/>
      <c r="Z4920" s="117">
        <f>IF($B4920="",0,IF($S4920="EVET",IF($D4920="GELİR",$O4920,-$O4920),0))</f>
        <v/>
      </c>
      <c r="AA4920" s="117">
        <f>IF($B4920="",0,IF(OR($W4920="EVET",$X4920="EVET",$Y4920="EVET"),0,IF($D4920="GELİR",IF($E4920="SATIŞ İADESİ/İSKONTO",-$O4920,$O4920),-$O4920)))</f>
        <v/>
      </c>
      <c r="AB4920" s="117">
        <f>IF($B4920="","",IF(OR($D4920="",$E4920="",$O4920=""),"EKSİK",IF($O4920&lt;=0,"SIFIR/NEGATİF",IF(COUNTIFS($C$6:$C$5000,$C4920,$O$6:$O$5000,$O4920,$B$6:$B$5000,$B4920)&gt;1,"MÜKERRER","OK"))))</f>
        <v/>
      </c>
    </row>
    <row r="4921" ht="16.5" customHeight="1" s="80">
      <c r="A4921" s="113" t="n"/>
      <c r="B4921" s="113" t="n"/>
      <c r="C4921" s="113" t="n"/>
      <c r="D4921" s="113" t="n"/>
      <c r="E4921" s="113" t="n"/>
      <c r="F4921" s="113" t="n"/>
      <c r="G4921" s="113" t="n"/>
      <c r="H4921" s="113" t="n"/>
      <c r="I4921" s="113" t="n"/>
      <c r="J4921" s="113" t="n"/>
      <c r="K4921" s="113" t="n"/>
      <c r="L4921" s="113" t="n"/>
      <c r="M4921" s="113" t="n"/>
      <c r="N4921" s="113" t="n"/>
      <c r="O4921" s="113" t="n"/>
      <c r="P4921" s="113" t="n"/>
      <c r="Q4921" s="113" t="n"/>
      <c r="R4921" s="113" t="n"/>
      <c r="S4921" s="113" t="n"/>
      <c r="T4921" s="113" t="n"/>
      <c r="U4921" s="113" t="n"/>
      <c r="V4921" s="113" t="n"/>
      <c r="W4921" s="113" t="n"/>
      <c r="X4921" s="113" t="n"/>
      <c r="Y4921" s="113" t="n"/>
      <c r="Z4921" s="117">
        <f>IF($B4921="",0,IF($S4921="EVET",IF($D4921="GELİR",$O4921,-$O4921),0))</f>
        <v/>
      </c>
      <c r="AA4921" s="117">
        <f>IF($B4921="",0,IF(OR($W4921="EVET",$X4921="EVET",$Y4921="EVET"),0,IF($D4921="GELİR",IF($E4921="SATIŞ İADESİ/İSKONTO",-$O4921,$O4921),-$O4921)))</f>
        <v/>
      </c>
      <c r="AB4921" s="117">
        <f>IF($B4921="","",IF(OR($D4921="",$E4921="",$O4921=""),"EKSİK",IF($O4921&lt;=0,"SIFIR/NEGATİF",IF(COUNTIFS($C$6:$C$5000,$C4921,$O$6:$O$5000,$O4921,$B$6:$B$5000,$B4921)&gt;1,"MÜKERRER","OK"))))</f>
        <v/>
      </c>
    </row>
    <row r="4922" ht="16.5" customHeight="1" s="80">
      <c r="A4922" s="113" t="n"/>
      <c r="B4922" s="113" t="n"/>
      <c r="C4922" s="113" t="n"/>
      <c r="D4922" s="113" t="n"/>
      <c r="E4922" s="113" t="n"/>
      <c r="F4922" s="113" t="n"/>
      <c r="G4922" s="113" t="n"/>
      <c r="H4922" s="113" t="n"/>
      <c r="I4922" s="113" t="n"/>
      <c r="J4922" s="113" t="n"/>
      <c r="K4922" s="113" t="n"/>
      <c r="L4922" s="113" t="n"/>
      <c r="M4922" s="113" t="n"/>
      <c r="N4922" s="113" t="n"/>
      <c r="O4922" s="113" t="n"/>
      <c r="P4922" s="113" t="n"/>
      <c r="Q4922" s="113" t="n"/>
      <c r="R4922" s="113" t="n"/>
      <c r="S4922" s="113" t="n"/>
      <c r="T4922" s="113" t="n"/>
      <c r="U4922" s="113" t="n"/>
      <c r="V4922" s="113" t="n"/>
      <c r="W4922" s="113" t="n"/>
      <c r="X4922" s="113" t="n"/>
      <c r="Y4922" s="113" t="n"/>
      <c r="Z4922" s="117">
        <f>IF($B4922="",0,IF($S4922="EVET",IF($D4922="GELİR",$O4922,-$O4922),0))</f>
        <v/>
      </c>
      <c r="AA4922" s="117">
        <f>IF($B4922="",0,IF(OR($W4922="EVET",$X4922="EVET",$Y4922="EVET"),0,IF($D4922="GELİR",IF($E4922="SATIŞ İADESİ/İSKONTO",-$O4922,$O4922),-$O4922)))</f>
        <v/>
      </c>
      <c r="AB4922" s="117">
        <f>IF($B4922="","",IF(OR($D4922="",$E4922="",$O4922=""),"EKSİK",IF($O4922&lt;=0,"SIFIR/NEGATİF",IF(COUNTIFS($C$6:$C$5000,$C4922,$O$6:$O$5000,$O4922,$B$6:$B$5000,$B4922)&gt;1,"MÜKERRER","OK"))))</f>
        <v/>
      </c>
    </row>
    <row r="4923" ht="16.5" customHeight="1" s="80">
      <c r="A4923" s="113" t="n"/>
      <c r="B4923" s="113" t="n"/>
      <c r="C4923" s="113" t="n"/>
      <c r="D4923" s="113" t="n"/>
      <c r="E4923" s="113" t="n"/>
      <c r="F4923" s="113" t="n"/>
      <c r="G4923" s="113" t="n"/>
      <c r="H4923" s="113" t="n"/>
      <c r="I4923" s="113" t="n"/>
      <c r="J4923" s="113" t="n"/>
      <c r="K4923" s="113" t="n"/>
      <c r="L4923" s="113" t="n"/>
      <c r="M4923" s="113" t="n"/>
      <c r="N4923" s="113" t="n"/>
      <c r="O4923" s="113" t="n"/>
      <c r="P4923" s="113" t="n"/>
      <c r="Q4923" s="113" t="n"/>
      <c r="R4923" s="113" t="n"/>
      <c r="S4923" s="113" t="n"/>
      <c r="T4923" s="113" t="n"/>
      <c r="U4923" s="113" t="n"/>
      <c r="V4923" s="113" t="n"/>
      <c r="W4923" s="113" t="n"/>
      <c r="X4923" s="113" t="n"/>
      <c r="Y4923" s="113" t="n"/>
      <c r="Z4923" s="117">
        <f>IF($B4923="",0,IF($S4923="EVET",IF($D4923="GELİR",$O4923,-$O4923),0))</f>
        <v/>
      </c>
      <c r="AA4923" s="117">
        <f>IF($B4923="",0,IF(OR($W4923="EVET",$X4923="EVET",$Y4923="EVET"),0,IF($D4923="GELİR",IF($E4923="SATIŞ İADESİ/İSKONTO",-$O4923,$O4923),-$O4923)))</f>
        <v/>
      </c>
      <c r="AB4923" s="117">
        <f>IF($B4923="","",IF(OR($D4923="",$E4923="",$O4923=""),"EKSİK",IF($O4923&lt;=0,"SIFIR/NEGATİF",IF(COUNTIFS($C$6:$C$5000,$C4923,$O$6:$O$5000,$O4923,$B$6:$B$5000,$B4923)&gt;1,"MÜKERRER","OK"))))</f>
        <v/>
      </c>
    </row>
    <row r="4924" ht="16.5" customHeight="1" s="80">
      <c r="A4924" s="113" t="n"/>
      <c r="B4924" s="113" t="n"/>
      <c r="C4924" s="113" t="n"/>
      <c r="D4924" s="113" t="n"/>
      <c r="E4924" s="113" t="n"/>
      <c r="F4924" s="113" t="n"/>
      <c r="G4924" s="113" t="n"/>
      <c r="H4924" s="113" t="n"/>
      <c r="I4924" s="113" t="n"/>
      <c r="J4924" s="113" t="n"/>
      <c r="K4924" s="113" t="n"/>
      <c r="L4924" s="113" t="n"/>
      <c r="M4924" s="113" t="n"/>
      <c r="N4924" s="113" t="n"/>
      <c r="O4924" s="113" t="n"/>
      <c r="P4924" s="113" t="n"/>
      <c r="Q4924" s="113" t="n"/>
      <c r="R4924" s="113" t="n"/>
      <c r="S4924" s="113" t="n"/>
      <c r="T4924" s="113" t="n"/>
      <c r="U4924" s="113" t="n"/>
      <c r="V4924" s="113" t="n"/>
      <c r="W4924" s="113" t="n"/>
      <c r="X4924" s="113" t="n"/>
      <c r="Y4924" s="113" t="n"/>
      <c r="Z4924" s="117">
        <f>IF($B4924="",0,IF($S4924="EVET",IF($D4924="GELİR",$O4924,-$O4924),0))</f>
        <v/>
      </c>
      <c r="AA4924" s="117">
        <f>IF($B4924="",0,IF(OR($W4924="EVET",$X4924="EVET",$Y4924="EVET"),0,IF($D4924="GELİR",IF($E4924="SATIŞ İADESİ/İSKONTO",-$O4924,$O4924),-$O4924)))</f>
        <v/>
      </c>
      <c r="AB4924" s="117">
        <f>IF($B4924="","",IF(OR($D4924="",$E4924="",$O4924=""),"EKSİK",IF($O4924&lt;=0,"SIFIR/NEGATİF",IF(COUNTIFS($C$6:$C$5000,$C4924,$O$6:$O$5000,$O4924,$B$6:$B$5000,$B4924)&gt;1,"MÜKERRER","OK"))))</f>
        <v/>
      </c>
    </row>
    <row r="4925" ht="16.5" customHeight="1" s="80">
      <c r="A4925" s="113" t="n"/>
      <c r="B4925" s="113" t="n"/>
      <c r="C4925" s="113" t="n"/>
      <c r="D4925" s="113" t="n"/>
      <c r="E4925" s="113" t="n"/>
      <c r="F4925" s="113" t="n"/>
      <c r="G4925" s="113" t="n"/>
      <c r="H4925" s="113" t="n"/>
      <c r="I4925" s="113" t="n"/>
      <c r="J4925" s="113" t="n"/>
      <c r="K4925" s="113" t="n"/>
      <c r="L4925" s="113" t="n"/>
      <c r="M4925" s="113" t="n"/>
      <c r="N4925" s="113" t="n"/>
      <c r="O4925" s="113" t="n"/>
      <c r="P4925" s="113" t="n"/>
      <c r="Q4925" s="113" t="n"/>
      <c r="R4925" s="113" t="n"/>
      <c r="S4925" s="113" t="n"/>
      <c r="T4925" s="113" t="n"/>
      <c r="U4925" s="113" t="n"/>
      <c r="V4925" s="113" t="n"/>
      <c r="W4925" s="113" t="n"/>
      <c r="X4925" s="113" t="n"/>
      <c r="Y4925" s="113" t="n"/>
      <c r="Z4925" s="117">
        <f>IF($B4925="",0,IF($S4925="EVET",IF($D4925="GELİR",$O4925,-$O4925),0))</f>
        <v/>
      </c>
      <c r="AA4925" s="117">
        <f>IF($B4925="",0,IF(OR($W4925="EVET",$X4925="EVET",$Y4925="EVET"),0,IF($D4925="GELİR",IF($E4925="SATIŞ İADESİ/İSKONTO",-$O4925,$O4925),-$O4925)))</f>
        <v/>
      </c>
      <c r="AB4925" s="117">
        <f>IF($B4925="","",IF(OR($D4925="",$E4925="",$O4925=""),"EKSİK",IF($O4925&lt;=0,"SIFIR/NEGATİF",IF(COUNTIFS($C$6:$C$5000,$C4925,$O$6:$O$5000,$O4925,$B$6:$B$5000,$B4925)&gt;1,"MÜKERRER","OK"))))</f>
        <v/>
      </c>
    </row>
    <row r="4926" ht="16.5" customHeight="1" s="80">
      <c r="A4926" s="113" t="n"/>
      <c r="B4926" s="113" t="n"/>
      <c r="C4926" s="113" t="n"/>
      <c r="D4926" s="113" t="n"/>
      <c r="E4926" s="113" t="n"/>
      <c r="F4926" s="113" t="n"/>
      <c r="G4926" s="113" t="n"/>
      <c r="H4926" s="113" t="n"/>
      <c r="I4926" s="113" t="n"/>
      <c r="J4926" s="113" t="n"/>
      <c r="K4926" s="113" t="n"/>
      <c r="L4926" s="113" t="n"/>
      <c r="M4926" s="113" t="n"/>
      <c r="N4926" s="113" t="n"/>
      <c r="O4926" s="113" t="n"/>
      <c r="P4926" s="113" t="n"/>
      <c r="Q4926" s="113" t="n"/>
      <c r="R4926" s="113" t="n"/>
      <c r="S4926" s="113" t="n"/>
      <c r="T4926" s="113" t="n"/>
      <c r="U4926" s="113" t="n"/>
      <c r="V4926" s="113" t="n"/>
      <c r="W4926" s="113" t="n"/>
      <c r="X4926" s="113" t="n"/>
      <c r="Y4926" s="113" t="n"/>
      <c r="Z4926" s="117">
        <f>IF($B4926="",0,IF($S4926="EVET",IF($D4926="GELİR",$O4926,-$O4926),0))</f>
        <v/>
      </c>
      <c r="AA4926" s="117">
        <f>IF($B4926="",0,IF(OR($W4926="EVET",$X4926="EVET",$Y4926="EVET"),0,IF($D4926="GELİR",IF($E4926="SATIŞ İADESİ/İSKONTO",-$O4926,$O4926),-$O4926)))</f>
        <v/>
      </c>
      <c r="AB4926" s="117">
        <f>IF($B4926="","",IF(OR($D4926="",$E4926="",$O4926=""),"EKSİK",IF($O4926&lt;=0,"SIFIR/NEGATİF",IF(COUNTIFS($C$6:$C$5000,$C4926,$O$6:$O$5000,$O4926,$B$6:$B$5000,$B4926)&gt;1,"MÜKERRER","OK"))))</f>
        <v/>
      </c>
    </row>
    <row r="4927" ht="16.5" customHeight="1" s="80">
      <c r="A4927" s="113" t="n"/>
      <c r="B4927" s="113" t="n"/>
      <c r="C4927" s="113" t="n"/>
      <c r="D4927" s="113" t="n"/>
      <c r="E4927" s="113" t="n"/>
      <c r="F4927" s="113" t="n"/>
      <c r="G4927" s="113" t="n"/>
      <c r="H4927" s="113" t="n"/>
      <c r="I4927" s="113" t="n"/>
      <c r="J4927" s="113" t="n"/>
      <c r="K4927" s="113" t="n"/>
      <c r="L4927" s="113" t="n"/>
      <c r="M4927" s="113" t="n"/>
      <c r="N4927" s="113" t="n"/>
      <c r="O4927" s="113" t="n"/>
      <c r="P4927" s="113" t="n"/>
      <c r="Q4927" s="113" t="n"/>
      <c r="R4927" s="113" t="n"/>
      <c r="S4927" s="113" t="n"/>
      <c r="T4927" s="113" t="n"/>
      <c r="U4927" s="113" t="n"/>
      <c r="V4927" s="113" t="n"/>
      <c r="W4927" s="113" t="n"/>
      <c r="X4927" s="113" t="n"/>
      <c r="Y4927" s="113" t="n"/>
      <c r="Z4927" s="117">
        <f>IF($B4927="",0,IF($S4927="EVET",IF($D4927="GELİR",$O4927,-$O4927),0))</f>
        <v/>
      </c>
      <c r="AA4927" s="117">
        <f>IF($B4927="",0,IF(OR($W4927="EVET",$X4927="EVET",$Y4927="EVET"),0,IF($D4927="GELİR",IF($E4927="SATIŞ İADESİ/İSKONTO",-$O4927,$O4927),-$O4927)))</f>
        <v/>
      </c>
      <c r="AB4927" s="117">
        <f>IF($B4927="","",IF(OR($D4927="",$E4927="",$O4927=""),"EKSİK",IF($O4927&lt;=0,"SIFIR/NEGATİF",IF(COUNTIFS($C$6:$C$5000,$C4927,$O$6:$O$5000,$O4927,$B$6:$B$5000,$B4927)&gt;1,"MÜKERRER","OK"))))</f>
        <v/>
      </c>
    </row>
    <row r="4928" ht="16.5" customHeight="1" s="80">
      <c r="A4928" s="113" t="n"/>
      <c r="B4928" s="113" t="n"/>
      <c r="C4928" s="113" t="n"/>
      <c r="D4928" s="113" t="n"/>
      <c r="E4928" s="113" t="n"/>
      <c r="F4928" s="113" t="n"/>
      <c r="G4928" s="113" t="n"/>
      <c r="H4928" s="113" t="n"/>
      <c r="I4928" s="113" t="n"/>
      <c r="J4928" s="113" t="n"/>
      <c r="K4928" s="113" t="n"/>
      <c r="L4928" s="113" t="n"/>
      <c r="M4928" s="113" t="n"/>
      <c r="N4928" s="113" t="n"/>
      <c r="O4928" s="113" t="n"/>
      <c r="P4928" s="113" t="n"/>
      <c r="Q4928" s="113" t="n"/>
      <c r="R4928" s="113" t="n"/>
      <c r="S4928" s="113" t="n"/>
      <c r="T4928" s="113" t="n"/>
      <c r="U4928" s="113" t="n"/>
      <c r="V4928" s="113" t="n"/>
      <c r="W4928" s="113" t="n"/>
      <c r="X4928" s="113" t="n"/>
      <c r="Y4928" s="113" t="n"/>
      <c r="Z4928" s="117">
        <f>IF($B4928="",0,IF($S4928="EVET",IF($D4928="GELİR",$O4928,-$O4928),0))</f>
        <v/>
      </c>
      <c r="AA4928" s="117">
        <f>IF($B4928="",0,IF(OR($W4928="EVET",$X4928="EVET",$Y4928="EVET"),0,IF($D4928="GELİR",IF($E4928="SATIŞ İADESİ/İSKONTO",-$O4928,$O4928),-$O4928)))</f>
        <v/>
      </c>
      <c r="AB4928" s="117">
        <f>IF($B4928="","",IF(OR($D4928="",$E4928="",$O4928=""),"EKSİK",IF($O4928&lt;=0,"SIFIR/NEGATİF",IF(COUNTIFS($C$6:$C$5000,$C4928,$O$6:$O$5000,$O4928,$B$6:$B$5000,$B4928)&gt;1,"MÜKERRER","OK"))))</f>
        <v/>
      </c>
    </row>
    <row r="4929" ht="16.5" customHeight="1" s="80">
      <c r="A4929" s="113" t="n"/>
      <c r="B4929" s="113" t="n"/>
      <c r="C4929" s="113" t="n"/>
      <c r="D4929" s="113" t="n"/>
      <c r="E4929" s="113" t="n"/>
      <c r="F4929" s="113" t="n"/>
      <c r="G4929" s="113" t="n"/>
      <c r="H4929" s="113" t="n"/>
      <c r="I4929" s="113" t="n"/>
      <c r="J4929" s="113" t="n"/>
      <c r="K4929" s="113" t="n"/>
      <c r="L4929" s="113" t="n"/>
      <c r="M4929" s="113" t="n"/>
      <c r="N4929" s="113" t="n"/>
      <c r="O4929" s="113" t="n"/>
      <c r="P4929" s="113" t="n"/>
      <c r="Q4929" s="113" t="n"/>
      <c r="R4929" s="113" t="n"/>
      <c r="S4929" s="113" t="n"/>
      <c r="T4929" s="113" t="n"/>
      <c r="U4929" s="113" t="n"/>
      <c r="V4929" s="113" t="n"/>
      <c r="W4929" s="113" t="n"/>
      <c r="X4929" s="113" t="n"/>
      <c r="Y4929" s="113" t="n"/>
      <c r="Z4929" s="117">
        <f>IF($B4929="",0,IF($S4929="EVET",IF($D4929="GELİR",$O4929,-$O4929),0))</f>
        <v/>
      </c>
      <c r="AA4929" s="117">
        <f>IF($B4929="",0,IF(OR($W4929="EVET",$X4929="EVET",$Y4929="EVET"),0,IF($D4929="GELİR",IF($E4929="SATIŞ İADESİ/İSKONTO",-$O4929,$O4929),-$O4929)))</f>
        <v/>
      </c>
      <c r="AB4929" s="117">
        <f>IF($B4929="","",IF(OR($D4929="",$E4929="",$O4929=""),"EKSİK",IF($O4929&lt;=0,"SIFIR/NEGATİF",IF(COUNTIFS($C$6:$C$5000,$C4929,$O$6:$O$5000,$O4929,$B$6:$B$5000,$B4929)&gt;1,"MÜKERRER","OK"))))</f>
        <v/>
      </c>
    </row>
    <row r="4930" ht="16.5" customHeight="1" s="80">
      <c r="A4930" s="113" t="n"/>
      <c r="B4930" s="113" t="n"/>
      <c r="C4930" s="113" t="n"/>
      <c r="D4930" s="113" t="n"/>
      <c r="E4930" s="113" t="n"/>
      <c r="F4930" s="113" t="n"/>
      <c r="G4930" s="113" t="n"/>
      <c r="H4930" s="113" t="n"/>
      <c r="I4930" s="113" t="n"/>
      <c r="J4930" s="113" t="n"/>
      <c r="K4930" s="113" t="n"/>
      <c r="L4930" s="113" t="n"/>
      <c r="M4930" s="113" t="n"/>
      <c r="N4930" s="113" t="n"/>
      <c r="O4930" s="113" t="n"/>
      <c r="P4930" s="113" t="n"/>
      <c r="Q4930" s="113" t="n"/>
      <c r="R4930" s="113" t="n"/>
      <c r="S4930" s="113" t="n"/>
      <c r="T4930" s="113" t="n"/>
      <c r="U4930" s="113" t="n"/>
      <c r="V4930" s="113" t="n"/>
      <c r="W4930" s="113" t="n"/>
      <c r="X4930" s="113" t="n"/>
      <c r="Y4930" s="113" t="n"/>
      <c r="Z4930" s="117">
        <f>IF($B4930="",0,IF($S4930="EVET",IF($D4930="GELİR",$O4930,-$O4930),0))</f>
        <v/>
      </c>
      <c r="AA4930" s="117">
        <f>IF($B4930="",0,IF(OR($W4930="EVET",$X4930="EVET",$Y4930="EVET"),0,IF($D4930="GELİR",IF($E4930="SATIŞ İADESİ/İSKONTO",-$O4930,$O4930),-$O4930)))</f>
        <v/>
      </c>
      <c r="AB4930" s="117">
        <f>IF($B4930="","",IF(OR($D4930="",$E4930="",$O4930=""),"EKSİK",IF($O4930&lt;=0,"SIFIR/NEGATİF",IF(COUNTIFS($C$6:$C$5000,$C4930,$O$6:$O$5000,$O4930,$B$6:$B$5000,$B4930)&gt;1,"MÜKERRER","OK"))))</f>
        <v/>
      </c>
    </row>
    <row r="4931" ht="16.5" customHeight="1" s="80">
      <c r="A4931" s="113" t="n"/>
      <c r="B4931" s="113" t="n"/>
      <c r="C4931" s="113" t="n"/>
      <c r="D4931" s="113" t="n"/>
      <c r="E4931" s="113" t="n"/>
      <c r="F4931" s="113" t="n"/>
      <c r="G4931" s="113" t="n"/>
      <c r="H4931" s="113" t="n"/>
      <c r="I4931" s="113" t="n"/>
      <c r="J4931" s="113" t="n"/>
      <c r="K4931" s="113" t="n"/>
      <c r="L4931" s="113" t="n"/>
      <c r="M4931" s="113" t="n"/>
      <c r="N4931" s="113" t="n"/>
      <c r="O4931" s="113" t="n"/>
      <c r="P4931" s="113" t="n"/>
      <c r="Q4931" s="113" t="n"/>
      <c r="R4931" s="113" t="n"/>
      <c r="S4931" s="113" t="n"/>
      <c r="T4931" s="113" t="n"/>
      <c r="U4931" s="113" t="n"/>
      <c r="V4931" s="113" t="n"/>
      <c r="W4931" s="113" t="n"/>
      <c r="X4931" s="113" t="n"/>
      <c r="Y4931" s="113" t="n"/>
      <c r="Z4931" s="117">
        <f>IF($B4931="",0,IF($S4931="EVET",IF($D4931="GELİR",$O4931,-$O4931),0))</f>
        <v/>
      </c>
      <c r="AA4931" s="117">
        <f>IF($B4931="",0,IF(OR($W4931="EVET",$X4931="EVET",$Y4931="EVET"),0,IF($D4931="GELİR",IF($E4931="SATIŞ İADESİ/İSKONTO",-$O4931,$O4931),-$O4931)))</f>
        <v/>
      </c>
      <c r="AB4931" s="117">
        <f>IF($B4931="","",IF(OR($D4931="",$E4931="",$O4931=""),"EKSİK",IF($O4931&lt;=0,"SIFIR/NEGATİF",IF(COUNTIFS($C$6:$C$5000,$C4931,$O$6:$O$5000,$O4931,$B$6:$B$5000,$B4931)&gt;1,"MÜKERRER","OK"))))</f>
        <v/>
      </c>
    </row>
    <row r="4932" ht="16.5" customHeight="1" s="80">
      <c r="A4932" s="113" t="n"/>
      <c r="B4932" s="113" t="n"/>
      <c r="C4932" s="113" t="n"/>
      <c r="D4932" s="113" t="n"/>
      <c r="E4932" s="113" t="n"/>
      <c r="F4932" s="113" t="n"/>
      <c r="G4932" s="113" t="n"/>
      <c r="H4932" s="113" t="n"/>
      <c r="I4932" s="113" t="n"/>
      <c r="J4932" s="113" t="n"/>
      <c r="K4932" s="113" t="n"/>
      <c r="L4932" s="113" t="n"/>
      <c r="M4932" s="113" t="n"/>
      <c r="N4932" s="113" t="n"/>
      <c r="O4932" s="113" t="n"/>
      <c r="P4932" s="113" t="n"/>
      <c r="Q4932" s="113" t="n"/>
      <c r="R4932" s="113" t="n"/>
      <c r="S4932" s="113" t="n"/>
      <c r="T4932" s="113" t="n"/>
      <c r="U4932" s="113" t="n"/>
      <c r="V4932" s="113" t="n"/>
      <c r="W4932" s="113" t="n"/>
      <c r="X4932" s="113" t="n"/>
      <c r="Y4932" s="113" t="n"/>
      <c r="Z4932" s="117">
        <f>IF($B4932="",0,IF($S4932="EVET",IF($D4932="GELİR",$O4932,-$O4932),0))</f>
        <v/>
      </c>
      <c r="AA4932" s="117">
        <f>IF($B4932="",0,IF(OR($W4932="EVET",$X4932="EVET",$Y4932="EVET"),0,IF($D4932="GELİR",IF($E4932="SATIŞ İADESİ/İSKONTO",-$O4932,$O4932),-$O4932)))</f>
        <v/>
      </c>
      <c r="AB4932" s="117">
        <f>IF($B4932="","",IF(OR($D4932="",$E4932="",$O4932=""),"EKSİK",IF($O4932&lt;=0,"SIFIR/NEGATİF",IF(COUNTIFS($C$6:$C$5000,$C4932,$O$6:$O$5000,$O4932,$B$6:$B$5000,$B4932)&gt;1,"MÜKERRER","OK"))))</f>
        <v/>
      </c>
    </row>
    <row r="4933" ht="16.5" customHeight="1" s="80">
      <c r="A4933" s="113" t="n"/>
      <c r="B4933" s="113" t="n"/>
      <c r="C4933" s="113" t="n"/>
      <c r="D4933" s="113" t="n"/>
      <c r="E4933" s="113" t="n"/>
      <c r="F4933" s="113" t="n"/>
      <c r="G4933" s="113" t="n"/>
      <c r="H4933" s="113" t="n"/>
      <c r="I4933" s="113" t="n"/>
      <c r="J4933" s="113" t="n"/>
      <c r="K4933" s="113" t="n"/>
      <c r="L4933" s="113" t="n"/>
      <c r="M4933" s="113" t="n"/>
      <c r="N4933" s="113" t="n"/>
      <c r="O4933" s="113" t="n"/>
      <c r="P4933" s="113" t="n"/>
      <c r="Q4933" s="113" t="n"/>
      <c r="R4933" s="113" t="n"/>
      <c r="S4933" s="113" t="n"/>
      <c r="T4933" s="113" t="n"/>
      <c r="U4933" s="113" t="n"/>
      <c r="V4933" s="113" t="n"/>
      <c r="W4933" s="113" t="n"/>
      <c r="X4933" s="113" t="n"/>
      <c r="Y4933" s="113" t="n"/>
      <c r="Z4933" s="117">
        <f>IF($B4933="",0,IF($S4933="EVET",IF($D4933="GELİR",$O4933,-$O4933),0))</f>
        <v/>
      </c>
      <c r="AA4933" s="117">
        <f>IF($B4933="",0,IF(OR($W4933="EVET",$X4933="EVET",$Y4933="EVET"),0,IF($D4933="GELİR",IF($E4933="SATIŞ İADESİ/İSKONTO",-$O4933,$O4933),-$O4933)))</f>
        <v/>
      </c>
      <c r="AB4933" s="117">
        <f>IF($B4933="","",IF(OR($D4933="",$E4933="",$O4933=""),"EKSİK",IF($O4933&lt;=0,"SIFIR/NEGATİF",IF(COUNTIFS($C$6:$C$5000,$C4933,$O$6:$O$5000,$O4933,$B$6:$B$5000,$B4933)&gt;1,"MÜKERRER","OK"))))</f>
        <v/>
      </c>
    </row>
    <row r="4934" ht="16.5" customHeight="1" s="80">
      <c r="A4934" s="113" t="n"/>
      <c r="B4934" s="113" t="n"/>
      <c r="C4934" s="113" t="n"/>
      <c r="D4934" s="113" t="n"/>
      <c r="E4934" s="113" t="n"/>
      <c r="F4934" s="113" t="n"/>
      <c r="G4934" s="113" t="n"/>
      <c r="H4934" s="113" t="n"/>
      <c r="I4934" s="113" t="n"/>
      <c r="J4934" s="113" t="n"/>
      <c r="K4934" s="113" t="n"/>
      <c r="L4934" s="113" t="n"/>
      <c r="M4934" s="113" t="n"/>
      <c r="N4934" s="113" t="n"/>
      <c r="O4934" s="113" t="n"/>
      <c r="P4934" s="113" t="n"/>
      <c r="Q4934" s="113" t="n"/>
      <c r="R4934" s="113" t="n"/>
      <c r="S4934" s="113" t="n"/>
      <c r="T4934" s="113" t="n"/>
      <c r="U4934" s="113" t="n"/>
      <c r="V4934" s="113" t="n"/>
      <c r="W4934" s="113" t="n"/>
      <c r="X4934" s="113" t="n"/>
      <c r="Y4934" s="113" t="n"/>
      <c r="Z4934" s="117">
        <f>IF($B4934="",0,IF($S4934="EVET",IF($D4934="GELİR",$O4934,-$O4934),0))</f>
        <v/>
      </c>
      <c r="AA4934" s="117">
        <f>IF($B4934="",0,IF(OR($W4934="EVET",$X4934="EVET",$Y4934="EVET"),0,IF($D4934="GELİR",IF($E4934="SATIŞ İADESİ/İSKONTO",-$O4934,$O4934),-$O4934)))</f>
        <v/>
      </c>
      <c r="AB4934" s="117">
        <f>IF($B4934="","",IF(OR($D4934="",$E4934="",$O4934=""),"EKSİK",IF($O4934&lt;=0,"SIFIR/NEGATİF",IF(COUNTIFS($C$6:$C$5000,$C4934,$O$6:$O$5000,$O4934,$B$6:$B$5000,$B4934)&gt;1,"MÜKERRER","OK"))))</f>
        <v/>
      </c>
    </row>
    <row r="4935" ht="16.5" customHeight="1" s="80">
      <c r="A4935" s="113" t="n"/>
      <c r="B4935" s="113" t="n"/>
      <c r="C4935" s="113" t="n"/>
      <c r="D4935" s="113" t="n"/>
      <c r="E4935" s="113" t="n"/>
      <c r="F4935" s="113" t="n"/>
      <c r="G4935" s="113" t="n"/>
      <c r="H4935" s="113" t="n"/>
      <c r="I4935" s="113" t="n"/>
      <c r="J4935" s="113" t="n"/>
      <c r="K4935" s="113" t="n"/>
      <c r="L4935" s="113" t="n"/>
      <c r="M4935" s="113" t="n"/>
      <c r="N4935" s="113" t="n"/>
      <c r="O4935" s="113" t="n"/>
      <c r="P4935" s="113" t="n"/>
      <c r="Q4935" s="113" t="n"/>
      <c r="R4935" s="113" t="n"/>
      <c r="S4935" s="113" t="n"/>
      <c r="T4935" s="113" t="n"/>
      <c r="U4935" s="113" t="n"/>
      <c r="V4935" s="113" t="n"/>
      <c r="W4935" s="113" t="n"/>
      <c r="X4935" s="113" t="n"/>
      <c r="Y4935" s="113" t="n"/>
      <c r="Z4935" s="117">
        <f>IF($B4935="",0,IF($S4935="EVET",IF($D4935="GELİR",$O4935,-$O4935),0))</f>
        <v/>
      </c>
      <c r="AA4935" s="117">
        <f>IF($B4935="",0,IF(OR($W4935="EVET",$X4935="EVET",$Y4935="EVET"),0,IF($D4935="GELİR",IF($E4935="SATIŞ İADESİ/İSKONTO",-$O4935,$O4935),-$O4935)))</f>
        <v/>
      </c>
      <c r="AB4935" s="117">
        <f>IF($B4935="","",IF(OR($D4935="",$E4935="",$O4935=""),"EKSİK",IF($O4935&lt;=0,"SIFIR/NEGATİF",IF(COUNTIFS($C$6:$C$5000,$C4935,$O$6:$O$5000,$O4935,$B$6:$B$5000,$B4935)&gt;1,"MÜKERRER","OK"))))</f>
        <v/>
      </c>
    </row>
    <row r="4936" ht="16.5" customHeight="1" s="80">
      <c r="A4936" s="113" t="n"/>
      <c r="B4936" s="113" t="n"/>
      <c r="C4936" s="113" t="n"/>
      <c r="D4936" s="113" t="n"/>
      <c r="E4936" s="113" t="n"/>
      <c r="F4936" s="113" t="n"/>
      <c r="G4936" s="113" t="n"/>
      <c r="H4936" s="113" t="n"/>
      <c r="I4936" s="113" t="n"/>
      <c r="J4936" s="113" t="n"/>
      <c r="K4936" s="113" t="n"/>
      <c r="L4936" s="113" t="n"/>
      <c r="M4936" s="113" t="n"/>
      <c r="N4936" s="113" t="n"/>
      <c r="O4936" s="113" t="n"/>
      <c r="P4936" s="113" t="n"/>
      <c r="Q4936" s="113" t="n"/>
      <c r="R4936" s="113" t="n"/>
      <c r="S4936" s="113" t="n"/>
      <c r="T4936" s="113" t="n"/>
      <c r="U4936" s="113" t="n"/>
      <c r="V4936" s="113" t="n"/>
      <c r="W4936" s="113" t="n"/>
      <c r="X4936" s="113" t="n"/>
      <c r="Y4936" s="113" t="n"/>
      <c r="Z4936" s="117">
        <f>IF($B4936="",0,IF($S4936="EVET",IF($D4936="GELİR",$O4936,-$O4936),0))</f>
        <v/>
      </c>
      <c r="AA4936" s="117">
        <f>IF($B4936="",0,IF(OR($W4936="EVET",$X4936="EVET",$Y4936="EVET"),0,IF($D4936="GELİR",IF($E4936="SATIŞ İADESİ/İSKONTO",-$O4936,$O4936),-$O4936)))</f>
        <v/>
      </c>
      <c r="AB4936" s="117">
        <f>IF($B4936="","",IF(OR($D4936="",$E4936="",$O4936=""),"EKSİK",IF($O4936&lt;=0,"SIFIR/NEGATİF",IF(COUNTIFS($C$6:$C$5000,$C4936,$O$6:$O$5000,$O4936,$B$6:$B$5000,$B4936)&gt;1,"MÜKERRER","OK"))))</f>
        <v/>
      </c>
    </row>
    <row r="4937" ht="16.5" customHeight="1" s="80">
      <c r="A4937" s="113" t="n"/>
      <c r="B4937" s="113" t="n"/>
      <c r="C4937" s="113" t="n"/>
      <c r="D4937" s="113" t="n"/>
      <c r="E4937" s="113" t="n"/>
      <c r="F4937" s="113" t="n"/>
      <c r="G4937" s="113" t="n"/>
      <c r="H4937" s="113" t="n"/>
      <c r="I4937" s="113" t="n"/>
      <c r="J4937" s="113" t="n"/>
      <c r="K4937" s="113" t="n"/>
      <c r="L4937" s="113" t="n"/>
      <c r="M4937" s="113" t="n"/>
      <c r="N4937" s="113" t="n"/>
      <c r="O4937" s="113" t="n"/>
      <c r="P4937" s="113" t="n"/>
      <c r="Q4937" s="113" t="n"/>
      <c r="R4937" s="113" t="n"/>
      <c r="S4937" s="113" t="n"/>
      <c r="T4937" s="113" t="n"/>
      <c r="U4937" s="113" t="n"/>
      <c r="V4937" s="113" t="n"/>
      <c r="W4937" s="113" t="n"/>
      <c r="X4937" s="113" t="n"/>
      <c r="Y4937" s="113" t="n"/>
      <c r="Z4937" s="117">
        <f>IF($B4937="",0,IF($S4937="EVET",IF($D4937="GELİR",$O4937,-$O4937),0))</f>
        <v/>
      </c>
      <c r="AA4937" s="117">
        <f>IF($B4937="",0,IF(OR($W4937="EVET",$X4937="EVET",$Y4937="EVET"),0,IF($D4937="GELİR",IF($E4937="SATIŞ İADESİ/İSKONTO",-$O4937,$O4937),-$O4937)))</f>
        <v/>
      </c>
      <c r="AB4937" s="117">
        <f>IF($B4937="","",IF(OR($D4937="",$E4937="",$O4937=""),"EKSİK",IF($O4937&lt;=0,"SIFIR/NEGATİF",IF(COUNTIFS($C$6:$C$5000,$C4937,$O$6:$O$5000,$O4937,$B$6:$B$5000,$B4937)&gt;1,"MÜKERRER","OK"))))</f>
        <v/>
      </c>
    </row>
    <row r="4938" ht="16.5" customHeight="1" s="80">
      <c r="A4938" s="113" t="n"/>
      <c r="B4938" s="113" t="n"/>
      <c r="C4938" s="113" t="n"/>
      <c r="D4938" s="113" t="n"/>
      <c r="E4938" s="113" t="n"/>
      <c r="F4938" s="113" t="n"/>
      <c r="G4938" s="113" t="n"/>
      <c r="H4938" s="113" t="n"/>
      <c r="I4938" s="113" t="n"/>
      <c r="J4938" s="113" t="n"/>
      <c r="K4938" s="113" t="n"/>
      <c r="L4938" s="113" t="n"/>
      <c r="M4938" s="113" t="n"/>
      <c r="N4938" s="113" t="n"/>
      <c r="O4938" s="113" t="n"/>
      <c r="P4938" s="113" t="n"/>
      <c r="Q4938" s="113" t="n"/>
      <c r="R4938" s="113" t="n"/>
      <c r="S4938" s="113" t="n"/>
      <c r="T4938" s="113" t="n"/>
      <c r="U4938" s="113" t="n"/>
      <c r="V4938" s="113" t="n"/>
      <c r="W4938" s="113" t="n"/>
      <c r="X4938" s="113" t="n"/>
      <c r="Y4938" s="113" t="n"/>
      <c r="Z4938" s="117">
        <f>IF($B4938="",0,IF($S4938="EVET",IF($D4938="GELİR",$O4938,-$O4938),0))</f>
        <v/>
      </c>
      <c r="AA4938" s="117">
        <f>IF($B4938="",0,IF(OR($W4938="EVET",$X4938="EVET",$Y4938="EVET"),0,IF($D4938="GELİR",IF($E4938="SATIŞ İADESİ/İSKONTO",-$O4938,$O4938),-$O4938)))</f>
        <v/>
      </c>
      <c r="AB4938" s="117">
        <f>IF($B4938="","",IF(OR($D4938="",$E4938="",$O4938=""),"EKSİK",IF($O4938&lt;=0,"SIFIR/NEGATİF",IF(COUNTIFS($C$6:$C$5000,$C4938,$O$6:$O$5000,$O4938,$B$6:$B$5000,$B4938)&gt;1,"MÜKERRER","OK"))))</f>
        <v/>
      </c>
    </row>
    <row r="4939" ht="16.5" customHeight="1" s="80">
      <c r="A4939" s="113" t="n"/>
      <c r="B4939" s="113" t="n"/>
      <c r="C4939" s="113" t="n"/>
      <c r="D4939" s="113" t="n"/>
      <c r="E4939" s="113" t="n"/>
      <c r="F4939" s="113" t="n"/>
      <c r="G4939" s="113" t="n"/>
      <c r="H4939" s="113" t="n"/>
      <c r="I4939" s="113" t="n"/>
      <c r="J4939" s="113" t="n"/>
      <c r="K4939" s="113" t="n"/>
      <c r="L4939" s="113" t="n"/>
      <c r="M4939" s="113" t="n"/>
      <c r="N4939" s="113" t="n"/>
      <c r="O4939" s="113" t="n"/>
      <c r="P4939" s="113" t="n"/>
      <c r="Q4939" s="113" t="n"/>
      <c r="R4939" s="113" t="n"/>
      <c r="S4939" s="113" t="n"/>
      <c r="T4939" s="113" t="n"/>
      <c r="U4939" s="113" t="n"/>
      <c r="V4939" s="113" t="n"/>
      <c r="W4939" s="113" t="n"/>
      <c r="X4939" s="113" t="n"/>
      <c r="Y4939" s="113" t="n"/>
      <c r="Z4939" s="117">
        <f>IF($B4939="",0,IF($S4939="EVET",IF($D4939="GELİR",$O4939,-$O4939),0))</f>
        <v/>
      </c>
      <c r="AA4939" s="117">
        <f>IF($B4939="",0,IF(OR($W4939="EVET",$X4939="EVET",$Y4939="EVET"),0,IF($D4939="GELİR",IF($E4939="SATIŞ İADESİ/İSKONTO",-$O4939,$O4939),-$O4939)))</f>
        <v/>
      </c>
      <c r="AB4939" s="117">
        <f>IF($B4939="","",IF(OR($D4939="",$E4939="",$O4939=""),"EKSİK",IF($O4939&lt;=0,"SIFIR/NEGATİF",IF(COUNTIFS($C$6:$C$5000,$C4939,$O$6:$O$5000,$O4939,$B$6:$B$5000,$B4939)&gt;1,"MÜKERRER","OK"))))</f>
        <v/>
      </c>
    </row>
    <row r="4940" ht="16.5" customHeight="1" s="80">
      <c r="A4940" s="113" t="n"/>
      <c r="B4940" s="113" t="n"/>
      <c r="C4940" s="113" t="n"/>
      <c r="D4940" s="113" t="n"/>
      <c r="E4940" s="113" t="n"/>
      <c r="F4940" s="113" t="n"/>
      <c r="G4940" s="113" t="n"/>
      <c r="H4940" s="113" t="n"/>
      <c r="I4940" s="113" t="n"/>
      <c r="J4940" s="113" t="n"/>
      <c r="K4940" s="113" t="n"/>
      <c r="L4940" s="113" t="n"/>
      <c r="M4940" s="113" t="n"/>
      <c r="N4940" s="113" t="n"/>
      <c r="O4940" s="113" t="n"/>
      <c r="P4940" s="113" t="n"/>
      <c r="Q4940" s="113" t="n"/>
      <c r="R4940" s="113" t="n"/>
      <c r="S4940" s="113" t="n"/>
      <c r="T4940" s="113" t="n"/>
      <c r="U4940" s="113" t="n"/>
      <c r="V4940" s="113" t="n"/>
      <c r="W4940" s="113" t="n"/>
      <c r="X4940" s="113" t="n"/>
      <c r="Y4940" s="113" t="n"/>
      <c r="Z4940" s="117">
        <f>IF($B4940="",0,IF($S4940="EVET",IF($D4940="GELİR",$O4940,-$O4940),0))</f>
        <v/>
      </c>
      <c r="AA4940" s="117">
        <f>IF($B4940="",0,IF(OR($W4940="EVET",$X4940="EVET",$Y4940="EVET"),0,IF($D4940="GELİR",IF($E4940="SATIŞ İADESİ/İSKONTO",-$O4940,$O4940),-$O4940)))</f>
        <v/>
      </c>
      <c r="AB4940" s="117">
        <f>IF($B4940="","",IF(OR($D4940="",$E4940="",$O4940=""),"EKSİK",IF($O4940&lt;=0,"SIFIR/NEGATİF",IF(COUNTIFS($C$6:$C$5000,$C4940,$O$6:$O$5000,$O4940,$B$6:$B$5000,$B4940)&gt;1,"MÜKERRER","OK"))))</f>
        <v/>
      </c>
    </row>
    <row r="4941" ht="16.5" customHeight="1" s="80">
      <c r="A4941" s="113" t="n"/>
      <c r="B4941" s="113" t="n"/>
      <c r="C4941" s="113" t="n"/>
      <c r="D4941" s="113" t="n"/>
      <c r="E4941" s="113" t="n"/>
      <c r="F4941" s="113" t="n"/>
      <c r="G4941" s="113" t="n"/>
      <c r="H4941" s="113" t="n"/>
      <c r="I4941" s="113" t="n"/>
      <c r="J4941" s="113" t="n"/>
      <c r="K4941" s="113" t="n"/>
      <c r="L4941" s="113" t="n"/>
      <c r="M4941" s="113" t="n"/>
      <c r="N4941" s="113" t="n"/>
      <c r="O4941" s="113" t="n"/>
      <c r="P4941" s="113" t="n"/>
      <c r="Q4941" s="113" t="n"/>
      <c r="R4941" s="113" t="n"/>
      <c r="S4941" s="113" t="n"/>
      <c r="T4941" s="113" t="n"/>
      <c r="U4941" s="113" t="n"/>
      <c r="V4941" s="113" t="n"/>
      <c r="W4941" s="113" t="n"/>
      <c r="X4941" s="113" t="n"/>
      <c r="Y4941" s="113" t="n"/>
      <c r="Z4941" s="117">
        <f>IF($B4941="",0,IF($S4941="EVET",IF($D4941="GELİR",$O4941,-$O4941),0))</f>
        <v/>
      </c>
      <c r="AA4941" s="117">
        <f>IF($B4941="",0,IF(OR($W4941="EVET",$X4941="EVET",$Y4941="EVET"),0,IF($D4941="GELİR",IF($E4941="SATIŞ İADESİ/İSKONTO",-$O4941,$O4941),-$O4941)))</f>
        <v/>
      </c>
      <c r="AB4941" s="117">
        <f>IF($B4941="","",IF(OR($D4941="",$E4941="",$O4941=""),"EKSİK",IF($O4941&lt;=0,"SIFIR/NEGATİF",IF(COUNTIFS($C$6:$C$5000,$C4941,$O$6:$O$5000,$O4941,$B$6:$B$5000,$B4941)&gt;1,"MÜKERRER","OK"))))</f>
        <v/>
      </c>
    </row>
    <row r="4942" ht="16.5" customHeight="1" s="80">
      <c r="A4942" s="113" t="n"/>
      <c r="B4942" s="113" t="n"/>
      <c r="C4942" s="113" t="n"/>
      <c r="D4942" s="113" t="n"/>
      <c r="E4942" s="113" t="n"/>
      <c r="F4942" s="113" t="n"/>
      <c r="G4942" s="113" t="n"/>
      <c r="H4942" s="113" t="n"/>
      <c r="I4942" s="113" t="n"/>
      <c r="J4942" s="113" t="n"/>
      <c r="K4942" s="113" t="n"/>
      <c r="L4942" s="113" t="n"/>
      <c r="M4942" s="113" t="n"/>
      <c r="N4942" s="113" t="n"/>
      <c r="O4942" s="113" t="n"/>
      <c r="P4942" s="113" t="n"/>
      <c r="Q4942" s="113" t="n"/>
      <c r="R4942" s="113" t="n"/>
      <c r="S4942" s="113" t="n"/>
      <c r="T4942" s="113" t="n"/>
      <c r="U4942" s="113" t="n"/>
      <c r="V4942" s="113" t="n"/>
      <c r="W4942" s="113" t="n"/>
      <c r="X4942" s="113" t="n"/>
      <c r="Y4942" s="113" t="n"/>
      <c r="Z4942" s="117">
        <f>IF($B4942="",0,IF($S4942="EVET",IF($D4942="GELİR",$O4942,-$O4942),0))</f>
        <v/>
      </c>
      <c r="AA4942" s="117">
        <f>IF($B4942="",0,IF(OR($W4942="EVET",$X4942="EVET",$Y4942="EVET"),0,IF($D4942="GELİR",IF($E4942="SATIŞ İADESİ/İSKONTO",-$O4942,$O4942),-$O4942)))</f>
        <v/>
      </c>
      <c r="AB4942" s="117">
        <f>IF($B4942="","",IF(OR($D4942="",$E4942="",$O4942=""),"EKSİK",IF($O4942&lt;=0,"SIFIR/NEGATİF",IF(COUNTIFS($C$6:$C$5000,$C4942,$O$6:$O$5000,$O4942,$B$6:$B$5000,$B4942)&gt;1,"MÜKERRER","OK"))))</f>
        <v/>
      </c>
    </row>
    <row r="4943" ht="16.5" customHeight="1" s="80">
      <c r="A4943" s="113" t="n"/>
      <c r="B4943" s="113" t="n"/>
      <c r="C4943" s="113" t="n"/>
      <c r="D4943" s="113" t="n"/>
      <c r="E4943" s="113" t="n"/>
      <c r="F4943" s="113" t="n"/>
      <c r="G4943" s="113" t="n"/>
      <c r="H4943" s="113" t="n"/>
      <c r="I4943" s="113" t="n"/>
      <c r="J4943" s="113" t="n"/>
      <c r="K4943" s="113" t="n"/>
      <c r="L4943" s="113" t="n"/>
      <c r="M4943" s="113" t="n"/>
      <c r="N4943" s="113" t="n"/>
      <c r="O4943" s="113" t="n"/>
      <c r="P4943" s="113" t="n"/>
      <c r="Q4943" s="113" t="n"/>
      <c r="R4943" s="113" t="n"/>
      <c r="S4943" s="113" t="n"/>
      <c r="T4943" s="113" t="n"/>
      <c r="U4943" s="113" t="n"/>
      <c r="V4943" s="113" t="n"/>
      <c r="W4943" s="113" t="n"/>
      <c r="X4943" s="113" t="n"/>
      <c r="Y4943" s="113" t="n"/>
      <c r="Z4943" s="117">
        <f>IF($B4943="",0,IF($S4943="EVET",IF($D4943="GELİR",$O4943,-$O4943),0))</f>
        <v/>
      </c>
      <c r="AA4943" s="117">
        <f>IF($B4943="",0,IF(OR($W4943="EVET",$X4943="EVET",$Y4943="EVET"),0,IF($D4943="GELİR",IF($E4943="SATIŞ İADESİ/İSKONTO",-$O4943,$O4943),-$O4943)))</f>
        <v/>
      </c>
      <c r="AB4943" s="117">
        <f>IF($B4943="","",IF(OR($D4943="",$E4943="",$O4943=""),"EKSİK",IF($O4943&lt;=0,"SIFIR/NEGATİF",IF(COUNTIFS($C$6:$C$5000,$C4943,$O$6:$O$5000,$O4943,$B$6:$B$5000,$B4943)&gt;1,"MÜKERRER","OK"))))</f>
        <v/>
      </c>
    </row>
    <row r="4944" ht="16.5" customHeight="1" s="80">
      <c r="A4944" s="113" t="n"/>
      <c r="B4944" s="113" t="n"/>
      <c r="C4944" s="113" t="n"/>
      <c r="D4944" s="113" t="n"/>
      <c r="E4944" s="113" t="n"/>
      <c r="F4944" s="113" t="n"/>
      <c r="G4944" s="113" t="n"/>
      <c r="H4944" s="113" t="n"/>
      <c r="I4944" s="113" t="n"/>
      <c r="J4944" s="113" t="n"/>
      <c r="K4944" s="113" t="n"/>
      <c r="L4944" s="113" t="n"/>
      <c r="M4944" s="113" t="n"/>
      <c r="N4944" s="113" t="n"/>
      <c r="O4944" s="113" t="n"/>
      <c r="P4944" s="113" t="n"/>
      <c r="Q4944" s="113" t="n"/>
      <c r="R4944" s="113" t="n"/>
      <c r="S4944" s="113" t="n"/>
      <c r="T4944" s="113" t="n"/>
      <c r="U4944" s="113" t="n"/>
      <c r="V4944" s="113" t="n"/>
      <c r="W4944" s="113" t="n"/>
      <c r="X4944" s="113" t="n"/>
      <c r="Y4944" s="113" t="n"/>
      <c r="Z4944" s="117">
        <f>IF($B4944="",0,IF($S4944="EVET",IF($D4944="GELİR",$O4944,-$O4944),0))</f>
        <v/>
      </c>
      <c r="AA4944" s="117">
        <f>IF($B4944="",0,IF(OR($W4944="EVET",$X4944="EVET",$Y4944="EVET"),0,IF($D4944="GELİR",IF($E4944="SATIŞ İADESİ/İSKONTO",-$O4944,$O4944),-$O4944)))</f>
        <v/>
      </c>
      <c r="AB4944" s="117">
        <f>IF($B4944="","",IF(OR($D4944="",$E4944="",$O4944=""),"EKSİK",IF($O4944&lt;=0,"SIFIR/NEGATİF",IF(COUNTIFS($C$6:$C$5000,$C4944,$O$6:$O$5000,$O4944,$B$6:$B$5000,$B4944)&gt;1,"MÜKERRER","OK"))))</f>
        <v/>
      </c>
    </row>
    <row r="4945" ht="16.5" customHeight="1" s="80">
      <c r="A4945" s="113" t="n"/>
      <c r="B4945" s="113" t="n"/>
      <c r="C4945" s="113" t="n"/>
      <c r="D4945" s="113" t="n"/>
      <c r="E4945" s="113" t="n"/>
      <c r="F4945" s="113" t="n"/>
      <c r="G4945" s="113" t="n"/>
      <c r="H4945" s="113" t="n"/>
      <c r="I4945" s="113" t="n"/>
      <c r="J4945" s="113" t="n"/>
      <c r="K4945" s="113" t="n"/>
      <c r="L4945" s="113" t="n"/>
      <c r="M4945" s="113" t="n"/>
      <c r="N4945" s="113" t="n"/>
      <c r="O4945" s="113" t="n"/>
      <c r="P4945" s="113" t="n"/>
      <c r="Q4945" s="113" t="n"/>
      <c r="R4945" s="113" t="n"/>
      <c r="S4945" s="113" t="n"/>
      <c r="T4945" s="113" t="n"/>
      <c r="U4945" s="113" t="n"/>
      <c r="V4945" s="113" t="n"/>
      <c r="W4945" s="113" t="n"/>
      <c r="X4945" s="113" t="n"/>
      <c r="Y4945" s="113" t="n"/>
      <c r="Z4945" s="117">
        <f>IF($B4945="",0,IF($S4945="EVET",IF($D4945="GELİR",$O4945,-$O4945),0))</f>
        <v/>
      </c>
      <c r="AA4945" s="117">
        <f>IF($B4945="",0,IF(OR($W4945="EVET",$X4945="EVET",$Y4945="EVET"),0,IF($D4945="GELİR",IF($E4945="SATIŞ İADESİ/İSKONTO",-$O4945,$O4945),-$O4945)))</f>
        <v/>
      </c>
      <c r="AB4945" s="117">
        <f>IF($B4945="","",IF(OR($D4945="",$E4945="",$O4945=""),"EKSİK",IF($O4945&lt;=0,"SIFIR/NEGATİF",IF(COUNTIFS($C$6:$C$5000,$C4945,$O$6:$O$5000,$O4945,$B$6:$B$5000,$B4945)&gt;1,"MÜKERRER","OK"))))</f>
        <v/>
      </c>
    </row>
    <row r="4946" ht="16.5" customHeight="1" s="80">
      <c r="A4946" s="113" t="n"/>
      <c r="B4946" s="113" t="n"/>
      <c r="C4946" s="113" t="n"/>
      <c r="D4946" s="113" t="n"/>
      <c r="E4946" s="113" t="n"/>
      <c r="F4946" s="113" t="n"/>
      <c r="G4946" s="113" t="n"/>
      <c r="H4946" s="113" t="n"/>
      <c r="I4946" s="113" t="n"/>
      <c r="J4946" s="113" t="n"/>
      <c r="K4946" s="113" t="n"/>
      <c r="L4946" s="113" t="n"/>
      <c r="M4946" s="113" t="n"/>
      <c r="N4946" s="113" t="n"/>
      <c r="O4946" s="113" t="n"/>
      <c r="P4946" s="113" t="n"/>
      <c r="Q4946" s="113" t="n"/>
      <c r="R4946" s="113" t="n"/>
      <c r="S4946" s="113" t="n"/>
      <c r="T4946" s="113" t="n"/>
      <c r="U4946" s="113" t="n"/>
      <c r="V4946" s="113" t="n"/>
      <c r="W4946" s="113" t="n"/>
      <c r="X4946" s="113" t="n"/>
      <c r="Y4946" s="113" t="n"/>
      <c r="Z4946" s="117">
        <f>IF($B4946="",0,IF($S4946="EVET",IF($D4946="GELİR",$O4946,-$O4946),0))</f>
        <v/>
      </c>
      <c r="AA4946" s="117">
        <f>IF($B4946="",0,IF(OR($W4946="EVET",$X4946="EVET",$Y4946="EVET"),0,IF($D4946="GELİR",IF($E4946="SATIŞ İADESİ/İSKONTO",-$O4946,$O4946),-$O4946)))</f>
        <v/>
      </c>
      <c r="AB4946" s="117">
        <f>IF($B4946="","",IF(OR($D4946="",$E4946="",$O4946=""),"EKSİK",IF($O4946&lt;=0,"SIFIR/NEGATİF",IF(COUNTIFS($C$6:$C$5000,$C4946,$O$6:$O$5000,$O4946,$B$6:$B$5000,$B4946)&gt;1,"MÜKERRER","OK"))))</f>
        <v/>
      </c>
    </row>
    <row r="4947" ht="16.5" customHeight="1" s="80">
      <c r="A4947" s="113" t="n"/>
      <c r="B4947" s="113" t="n"/>
      <c r="C4947" s="113" t="n"/>
      <c r="D4947" s="113" t="n"/>
      <c r="E4947" s="113" t="n"/>
      <c r="F4947" s="113" t="n"/>
      <c r="G4947" s="113" t="n"/>
      <c r="H4947" s="113" t="n"/>
      <c r="I4947" s="113" t="n"/>
      <c r="J4947" s="113" t="n"/>
      <c r="K4947" s="113" t="n"/>
      <c r="L4947" s="113" t="n"/>
      <c r="M4947" s="113" t="n"/>
      <c r="N4947" s="113" t="n"/>
      <c r="O4947" s="113" t="n"/>
      <c r="P4947" s="113" t="n"/>
      <c r="Q4947" s="113" t="n"/>
      <c r="R4947" s="113" t="n"/>
      <c r="S4947" s="113" t="n"/>
      <c r="T4947" s="113" t="n"/>
      <c r="U4947" s="113" t="n"/>
      <c r="V4947" s="113" t="n"/>
      <c r="W4947" s="113" t="n"/>
      <c r="X4947" s="113" t="n"/>
      <c r="Y4947" s="113" t="n"/>
      <c r="Z4947" s="117">
        <f>IF($B4947="",0,IF($S4947="EVET",IF($D4947="GELİR",$O4947,-$O4947),0))</f>
        <v/>
      </c>
      <c r="AA4947" s="117">
        <f>IF($B4947="",0,IF(OR($W4947="EVET",$X4947="EVET",$Y4947="EVET"),0,IF($D4947="GELİR",IF($E4947="SATIŞ İADESİ/İSKONTO",-$O4947,$O4947),-$O4947)))</f>
        <v/>
      </c>
      <c r="AB4947" s="117">
        <f>IF($B4947="","",IF(OR($D4947="",$E4947="",$O4947=""),"EKSİK",IF($O4947&lt;=0,"SIFIR/NEGATİF",IF(COUNTIFS($C$6:$C$5000,$C4947,$O$6:$O$5000,$O4947,$B$6:$B$5000,$B4947)&gt;1,"MÜKERRER","OK"))))</f>
        <v/>
      </c>
    </row>
    <row r="4948" ht="16.5" customHeight="1" s="80">
      <c r="A4948" s="113" t="n"/>
      <c r="B4948" s="113" t="n"/>
      <c r="C4948" s="113" t="n"/>
      <c r="D4948" s="113" t="n"/>
      <c r="E4948" s="113" t="n"/>
      <c r="F4948" s="113" t="n"/>
      <c r="G4948" s="113" t="n"/>
      <c r="H4948" s="113" t="n"/>
      <c r="I4948" s="113" t="n"/>
      <c r="J4948" s="113" t="n"/>
      <c r="K4948" s="113" t="n"/>
      <c r="L4948" s="113" t="n"/>
      <c r="M4948" s="113" t="n"/>
      <c r="N4948" s="113" t="n"/>
      <c r="O4948" s="113" t="n"/>
      <c r="P4948" s="113" t="n"/>
      <c r="Q4948" s="113" t="n"/>
      <c r="R4948" s="113" t="n"/>
      <c r="S4948" s="113" t="n"/>
      <c r="T4948" s="113" t="n"/>
      <c r="U4948" s="113" t="n"/>
      <c r="V4948" s="113" t="n"/>
      <c r="W4948" s="113" t="n"/>
      <c r="X4948" s="113" t="n"/>
      <c r="Y4948" s="113" t="n"/>
      <c r="Z4948" s="117">
        <f>IF($B4948="",0,IF($S4948="EVET",IF($D4948="GELİR",$O4948,-$O4948),0))</f>
        <v/>
      </c>
      <c r="AA4948" s="117">
        <f>IF($B4948="",0,IF(OR($W4948="EVET",$X4948="EVET",$Y4948="EVET"),0,IF($D4948="GELİR",IF($E4948="SATIŞ İADESİ/İSKONTO",-$O4948,$O4948),-$O4948)))</f>
        <v/>
      </c>
      <c r="AB4948" s="117">
        <f>IF($B4948="","",IF(OR($D4948="",$E4948="",$O4948=""),"EKSİK",IF($O4948&lt;=0,"SIFIR/NEGATİF",IF(COUNTIFS($C$6:$C$5000,$C4948,$O$6:$O$5000,$O4948,$B$6:$B$5000,$B4948)&gt;1,"MÜKERRER","OK"))))</f>
        <v/>
      </c>
    </row>
    <row r="4949" ht="16.5" customHeight="1" s="80">
      <c r="A4949" s="113" t="n"/>
      <c r="B4949" s="113" t="n"/>
      <c r="C4949" s="113" t="n"/>
      <c r="D4949" s="113" t="n"/>
      <c r="E4949" s="113" t="n"/>
      <c r="F4949" s="113" t="n"/>
      <c r="G4949" s="113" t="n"/>
      <c r="H4949" s="113" t="n"/>
      <c r="I4949" s="113" t="n"/>
      <c r="J4949" s="113" t="n"/>
      <c r="K4949" s="113" t="n"/>
      <c r="L4949" s="113" t="n"/>
      <c r="M4949" s="113" t="n"/>
      <c r="N4949" s="113" t="n"/>
      <c r="O4949" s="113" t="n"/>
      <c r="P4949" s="113" t="n"/>
      <c r="Q4949" s="113" t="n"/>
      <c r="R4949" s="113" t="n"/>
      <c r="S4949" s="113" t="n"/>
      <c r="T4949" s="113" t="n"/>
      <c r="U4949" s="113" t="n"/>
      <c r="V4949" s="113" t="n"/>
      <c r="W4949" s="113" t="n"/>
      <c r="X4949" s="113" t="n"/>
      <c r="Y4949" s="113" t="n"/>
      <c r="Z4949" s="117">
        <f>IF($B4949="",0,IF($S4949="EVET",IF($D4949="GELİR",$O4949,-$O4949),0))</f>
        <v/>
      </c>
      <c r="AA4949" s="117">
        <f>IF($B4949="",0,IF(OR($W4949="EVET",$X4949="EVET",$Y4949="EVET"),0,IF($D4949="GELİR",IF($E4949="SATIŞ İADESİ/İSKONTO",-$O4949,$O4949),-$O4949)))</f>
        <v/>
      </c>
      <c r="AB4949" s="117">
        <f>IF($B4949="","",IF(OR($D4949="",$E4949="",$O4949=""),"EKSİK",IF($O4949&lt;=0,"SIFIR/NEGATİF",IF(COUNTIFS($C$6:$C$5000,$C4949,$O$6:$O$5000,$O4949,$B$6:$B$5000,$B4949)&gt;1,"MÜKERRER","OK"))))</f>
        <v/>
      </c>
    </row>
    <row r="4950" ht="16.5" customHeight="1" s="80">
      <c r="A4950" s="113" t="n"/>
      <c r="B4950" s="113" t="n"/>
      <c r="C4950" s="113" t="n"/>
      <c r="D4950" s="113" t="n"/>
      <c r="E4950" s="113" t="n"/>
      <c r="F4950" s="113" t="n"/>
      <c r="G4950" s="113" t="n"/>
      <c r="H4950" s="113" t="n"/>
      <c r="I4950" s="113" t="n"/>
      <c r="J4950" s="113" t="n"/>
      <c r="K4950" s="113" t="n"/>
      <c r="L4950" s="113" t="n"/>
      <c r="M4950" s="113" t="n"/>
      <c r="N4950" s="113" t="n"/>
      <c r="O4950" s="113" t="n"/>
      <c r="P4950" s="113" t="n"/>
      <c r="Q4950" s="113" t="n"/>
      <c r="R4950" s="113" t="n"/>
      <c r="S4950" s="113" t="n"/>
      <c r="T4950" s="113" t="n"/>
      <c r="U4950" s="113" t="n"/>
      <c r="V4950" s="113" t="n"/>
      <c r="W4950" s="113" t="n"/>
      <c r="X4950" s="113" t="n"/>
      <c r="Y4950" s="113" t="n"/>
      <c r="Z4950" s="117">
        <f>IF($B4950="",0,IF($S4950="EVET",IF($D4950="GELİR",$O4950,-$O4950),0))</f>
        <v/>
      </c>
      <c r="AA4950" s="117">
        <f>IF($B4950="",0,IF(OR($W4950="EVET",$X4950="EVET",$Y4950="EVET"),0,IF($D4950="GELİR",IF($E4950="SATIŞ İADESİ/İSKONTO",-$O4950,$O4950),-$O4950)))</f>
        <v/>
      </c>
      <c r="AB4950" s="117">
        <f>IF($B4950="","",IF(OR($D4950="",$E4950="",$O4950=""),"EKSİK",IF($O4950&lt;=0,"SIFIR/NEGATİF",IF(COUNTIFS($C$6:$C$5000,$C4950,$O$6:$O$5000,$O4950,$B$6:$B$5000,$B4950)&gt;1,"MÜKERRER","OK"))))</f>
        <v/>
      </c>
    </row>
    <row r="4951" ht="16.5" customHeight="1" s="80">
      <c r="A4951" s="113" t="n"/>
      <c r="B4951" s="113" t="n"/>
      <c r="C4951" s="113" t="n"/>
      <c r="D4951" s="113" t="n"/>
      <c r="E4951" s="113" t="n"/>
      <c r="F4951" s="113" t="n"/>
      <c r="G4951" s="113" t="n"/>
      <c r="H4951" s="113" t="n"/>
      <c r="I4951" s="113" t="n"/>
      <c r="J4951" s="113" t="n"/>
      <c r="K4951" s="113" t="n"/>
      <c r="L4951" s="113" t="n"/>
      <c r="M4951" s="113" t="n"/>
      <c r="N4951" s="113" t="n"/>
      <c r="O4951" s="113" t="n"/>
      <c r="P4951" s="113" t="n"/>
      <c r="Q4951" s="113" t="n"/>
      <c r="R4951" s="113" t="n"/>
      <c r="S4951" s="113" t="n"/>
      <c r="T4951" s="113" t="n"/>
      <c r="U4951" s="113" t="n"/>
      <c r="V4951" s="113" t="n"/>
      <c r="W4951" s="113" t="n"/>
      <c r="X4951" s="113" t="n"/>
      <c r="Y4951" s="113" t="n"/>
      <c r="Z4951" s="117">
        <f>IF($B4951="",0,IF($S4951="EVET",IF($D4951="GELİR",$O4951,-$O4951),0))</f>
        <v/>
      </c>
      <c r="AA4951" s="117">
        <f>IF($B4951="",0,IF(OR($W4951="EVET",$X4951="EVET",$Y4951="EVET"),0,IF($D4951="GELİR",IF($E4951="SATIŞ İADESİ/İSKONTO",-$O4951,$O4951),-$O4951)))</f>
        <v/>
      </c>
      <c r="AB4951" s="117">
        <f>IF($B4951="","",IF(OR($D4951="",$E4951="",$O4951=""),"EKSİK",IF($O4951&lt;=0,"SIFIR/NEGATİF",IF(COUNTIFS($C$6:$C$5000,$C4951,$O$6:$O$5000,$O4951,$B$6:$B$5000,$B4951)&gt;1,"MÜKERRER","OK"))))</f>
        <v/>
      </c>
    </row>
    <row r="4952" ht="16.5" customHeight="1" s="80">
      <c r="A4952" s="113" t="n"/>
      <c r="B4952" s="113" t="n"/>
      <c r="C4952" s="113" t="n"/>
      <c r="D4952" s="113" t="n"/>
      <c r="E4952" s="113" t="n"/>
      <c r="F4952" s="113" t="n"/>
      <c r="G4952" s="113" t="n"/>
      <c r="H4952" s="113" t="n"/>
      <c r="I4952" s="113" t="n"/>
      <c r="J4952" s="113" t="n"/>
      <c r="K4952" s="113" t="n"/>
      <c r="L4952" s="113" t="n"/>
      <c r="M4952" s="113" t="n"/>
      <c r="N4952" s="113" t="n"/>
      <c r="O4952" s="113" t="n"/>
      <c r="P4952" s="113" t="n"/>
      <c r="Q4952" s="113" t="n"/>
      <c r="R4952" s="113" t="n"/>
      <c r="S4952" s="113" t="n"/>
      <c r="T4952" s="113" t="n"/>
      <c r="U4952" s="113" t="n"/>
      <c r="V4952" s="113" t="n"/>
      <c r="W4952" s="113" t="n"/>
      <c r="X4952" s="113" t="n"/>
      <c r="Y4952" s="113" t="n"/>
      <c r="Z4952" s="117">
        <f>IF($B4952="",0,IF($S4952="EVET",IF($D4952="GELİR",$O4952,-$O4952),0))</f>
        <v/>
      </c>
      <c r="AA4952" s="117">
        <f>IF($B4952="",0,IF(OR($W4952="EVET",$X4952="EVET",$Y4952="EVET"),0,IF($D4952="GELİR",IF($E4952="SATIŞ İADESİ/İSKONTO",-$O4952,$O4952),-$O4952)))</f>
        <v/>
      </c>
      <c r="AB4952" s="117">
        <f>IF($B4952="","",IF(OR($D4952="",$E4952="",$O4952=""),"EKSİK",IF($O4952&lt;=0,"SIFIR/NEGATİF",IF(COUNTIFS($C$6:$C$5000,$C4952,$O$6:$O$5000,$O4952,$B$6:$B$5000,$B4952)&gt;1,"MÜKERRER","OK"))))</f>
        <v/>
      </c>
    </row>
    <row r="4953" ht="16.5" customHeight="1" s="80">
      <c r="A4953" s="113" t="n"/>
      <c r="B4953" s="113" t="n"/>
      <c r="C4953" s="113" t="n"/>
      <c r="D4953" s="113" t="n"/>
      <c r="E4953" s="113" t="n"/>
      <c r="F4953" s="113" t="n"/>
      <c r="G4953" s="113" t="n"/>
      <c r="H4953" s="113" t="n"/>
      <c r="I4953" s="113" t="n"/>
      <c r="J4953" s="113" t="n"/>
      <c r="K4953" s="113" t="n"/>
      <c r="L4953" s="113" t="n"/>
      <c r="M4953" s="113" t="n"/>
      <c r="N4953" s="113" t="n"/>
      <c r="O4953" s="113" t="n"/>
      <c r="P4953" s="113" t="n"/>
      <c r="Q4953" s="113" t="n"/>
      <c r="R4953" s="113" t="n"/>
      <c r="S4953" s="113" t="n"/>
      <c r="T4953" s="113" t="n"/>
      <c r="U4953" s="113" t="n"/>
      <c r="V4953" s="113" t="n"/>
      <c r="W4953" s="113" t="n"/>
      <c r="X4953" s="113" t="n"/>
      <c r="Y4953" s="113" t="n"/>
      <c r="Z4953" s="117">
        <f>IF($B4953="",0,IF($S4953="EVET",IF($D4953="GELİR",$O4953,-$O4953),0))</f>
        <v/>
      </c>
      <c r="AA4953" s="117">
        <f>IF($B4953="",0,IF(OR($W4953="EVET",$X4953="EVET",$Y4953="EVET"),0,IF($D4953="GELİR",IF($E4953="SATIŞ İADESİ/İSKONTO",-$O4953,$O4953),-$O4953)))</f>
        <v/>
      </c>
      <c r="AB4953" s="117">
        <f>IF($B4953="","",IF(OR($D4953="",$E4953="",$O4953=""),"EKSİK",IF($O4953&lt;=0,"SIFIR/NEGATİF",IF(COUNTIFS($C$6:$C$5000,$C4953,$O$6:$O$5000,$O4953,$B$6:$B$5000,$B4953)&gt;1,"MÜKERRER","OK"))))</f>
        <v/>
      </c>
    </row>
    <row r="4954" ht="16.5" customHeight="1" s="80">
      <c r="A4954" s="113" t="n"/>
      <c r="B4954" s="113" t="n"/>
      <c r="C4954" s="113" t="n"/>
      <c r="D4954" s="113" t="n"/>
      <c r="E4954" s="113" t="n"/>
      <c r="F4954" s="113" t="n"/>
      <c r="G4954" s="113" t="n"/>
      <c r="H4954" s="113" t="n"/>
      <c r="I4954" s="113" t="n"/>
      <c r="J4954" s="113" t="n"/>
      <c r="K4954" s="113" t="n"/>
      <c r="L4954" s="113" t="n"/>
      <c r="M4954" s="113" t="n"/>
      <c r="N4954" s="113" t="n"/>
      <c r="O4954" s="113" t="n"/>
      <c r="P4954" s="113" t="n"/>
      <c r="Q4954" s="113" t="n"/>
      <c r="R4954" s="113" t="n"/>
      <c r="S4954" s="113" t="n"/>
      <c r="T4954" s="113" t="n"/>
      <c r="U4954" s="113" t="n"/>
      <c r="V4954" s="113" t="n"/>
      <c r="W4954" s="113" t="n"/>
      <c r="X4954" s="113" t="n"/>
      <c r="Y4954" s="113" t="n"/>
      <c r="Z4954" s="117">
        <f>IF($B4954="",0,IF($S4954="EVET",IF($D4954="GELİR",$O4954,-$O4954),0))</f>
        <v/>
      </c>
      <c r="AA4954" s="117">
        <f>IF($B4954="",0,IF(OR($W4954="EVET",$X4954="EVET",$Y4954="EVET"),0,IF($D4954="GELİR",IF($E4954="SATIŞ İADESİ/İSKONTO",-$O4954,$O4954),-$O4954)))</f>
        <v/>
      </c>
      <c r="AB4954" s="117">
        <f>IF($B4954="","",IF(OR($D4954="",$E4954="",$O4954=""),"EKSİK",IF($O4954&lt;=0,"SIFIR/NEGATİF",IF(COUNTIFS($C$6:$C$5000,$C4954,$O$6:$O$5000,$O4954,$B$6:$B$5000,$B4954)&gt;1,"MÜKERRER","OK"))))</f>
        <v/>
      </c>
    </row>
    <row r="4955" ht="16.5" customHeight="1" s="80">
      <c r="A4955" s="113" t="n"/>
      <c r="B4955" s="113" t="n"/>
      <c r="C4955" s="113" t="n"/>
      <c r="D4955" s="113" t="n"/>
      <c r="E4955" s="113" t="n"/>
      <c r="F4955" s="113" t="n"/>
      <c r="G4955" s="113" t="n"/>
      <c r="H4955" s="113" t="n"/>
      <c r="I4955" s="113" t="n"/>
      <c r="J4955" s="113" t="n"/>
      <c r="K4955" s="113" t="n"/>
      <c r="L4955" s="113" t="n"/>
      <c r="M4955" s="113" t="n"/>
      <c r="N4955" s="113" t="n"/>
      <c r="O4955" s="113" t="n"/>
      <c r="P4955" s="113" t="n"/>
      <c r="Q4955" s="113" t="n"/>
      <c r="R4955" s="113" t="n"/>
      <c r="S4955" s="113" t="n"/>
      <c r="T4955" s="113" t="n"/>
      <c r="U4955" s="113" t="n"/>
      <c r="V4955" s="113" t="n"/>
      <c r="W4955" s="113" t="n"/>
      <c r="X4955" s="113" t="n"/>
      <c r="Y4955" s="113" t="n"/>
      <c r="Z4955" s="117">
        <f>IF($B4955="",0,IF($S4955="EVET",IF($D4955="GELİR",$O4955,-$O4955),0))</f>
        <v/>
      </c>
      <c r="AA4955" s="117">
        <f>IF($B4955="",0,IF(OR($W4955="EVET",$X4955="EVET",$Y4955="EVET"),0,IF($D4955="GELİR",IF($E4955="SATIŞ İADESİ/İSKONTO",-$O4955,$O4955),-$O4955)))</f>
        <v/>
      </c>
      <c r="AB4955" s="117">
        <f>IF($B4955="","",IF(OR($D4955="",$E4955="",$O4955=""),"EKSİK",IF($O4955&lt;=0,"SIFIR/NEGATİF",IF(COUNTIFS($C$6:$C$5000,$C4955,$O$6:$O$5000,$O4955,$B$6:$B$5000,$B4955)&gt;1,"MÜKERRER","OK"))))</f>
        <v/>
      </c>
    </row>
    <row r="4956" ht="16.5" customHeight="1" s="80">
      <c r="A4956" s="113" t="n"/>
      <c r="B4956" s="113" t="n"/>
      <c r="C4956" s="113" t="n"/>
      <c r="D4956" s="113" t="n"/>
      <c r="E4956" s="113" t="n"/>
      <c r="F4956" s="113" t="n"/>
      <c r="G4956" s="113" t="n"/>
      <c r="H4956" s="113" t="n"/>
      <c r="I4956" s="113" t="n"/>
      <c r="J4956" s="113" t="n"/>
      <c r="K4956" s="113" t="n"/>
      <c r="L4956" s="113" t="n"/>
      <c r="M4956" s="113" t="n"/>
      <c r="N4956" s="113" t="n"/>
      <c r="O4956" s="113" t="n"/>
      <c r="P4956" s="113" t="n"/>
      <c r="Q4956" s="113" t="n"/>
      <c r="R4956" s="113" t="n"/>
      <c r="S4956" s="113" t="n"/>
      <c r="T4956" s="113" t="n"/>
      <c r="U4956" s="113" t="n"/>
      <c r="V4956" s="113" t="n"/>
      <c r="W4956" s="113" t="n"/>
      <c r="X4956" s="113" t="n"/>
      <c r="Y4956" s="113" t="n"/>
      <c r="Z4956" s="117">
        <f>IF($B4956="",0,IF($S4956="EVET",IF($D4956="GELİR",$O4956,-$O4956),0))</f>
        <v/>
      </c>
      <c r="AA4956" s="117">
        <f>IF($B4956="",0,IF(OR($W4956="EVET",$X4956="EVET",$Y4956="EVET"),0,IF($D4956="GELİR",IF($E4956="SATIŞ İADESİ/İSKONTO",-$O4956,$O4956),-$O4956)))</f>
        <v/>
      </c>
      <c r="AB4956" s="117">
        <f>IF($B4956="","",IF(OR($D4956="",$E4956="",$O4956=""),"EKSİK",IF($O4956&lt;=0,"SIFIR/NEGATİF",IF(COUNTIFS($C$6:$C$5000,$C4956,$O$6:$O$5000,$O4956,$B$6:$B$5000,$B4956)&gt;1,"MÜKERRER","OK"))))</f>
        <v/>
      </c>
    </row>
    <row r="4957" ht="16.5" customHeight="1" s="80">
      <c r="A4957" s="113" t="n"/>
      <c r="B4957" s="113" t="n"/>
      <c r="C4957" s="113" t="n"/>
      <c r="D4957" s="113" t="n"/>
      <c r="E4957" s="113" t="n"/>
      <c r="F4957" s="113" t="n"/>
      <c r="G4957" s="113" t="n"/>
      <c r="H4957" s="113" t="n"/>
      <c r="I4957" s="113" t="n"/>
      <c r="J4957" s="113" t="n"/>
      <c r="K4957" s="113" t="n"/>
      <c r="L4957" s="113" t="n"/>
      <c r="M4957" s="113" t="n"/>
      <c r="N4957" s="113" t="n"/>
      <c r="O4957" s="113" t="n"/>
      <c r="P4957" s="113" t="n"/>
      <c r="Q4957" s="113" t="n"/>
      <c r="R4957" s="113" t="n"/>
      <c r="S4957" s="113" t="n"/>
      <c r="T4957" s="113" t="n"/>
      <c r="U4957" s="113" t="n"/>
      <c r="V4957" s="113" t="n"/>
      <c r="W4957" s="113" t="n"/>
      <c r="X4957" s="113" t="n"/>
      <c r="Y4957" s="113" t="n"/>
      <c r="Z4957" s="117">
        <f>IF($B4957="",0,IF($S4957="EVET",IF($D4957="GELİR",$O4957,-$O4957),0))</f>
        <v/>
      </c>
      <c r="AA4957" s="117">
        <f>IF($B4957="",0,IF(OR($W4957="EVET",$X4957="EVET",$Y4957="EVET"),0,IF($D4957="GELİR",IF($E4957="SATIŞ İADESİ/İSKONTO",-$O4957,$O4957),-$O4957)))</f>
        <v/>
      </c>
      <c r="AB4957" s="117">
        <f>IF($B4957="","",IF(OR($D4957="",$E4957="",$O4957=""),"EKSİK",IF($O4957&lt;=0,"SIFIR/NEGATİF",IF(COUNTIFS($C$6:$C$5000,$C4957,$O$6:$O$5000,$O4957,$B$6:$B$5000,$B4957)&gt;1,"MÜKERRER","OK"))))</f>
        <v/>
      </c>
    </row>
    <row r="4958" ht="16.5" customHeight="1" s="80">
      <c r="A4958" s="113" t="n"/>
      <c r="B4958" s="113" t="n"/>
      <c r="C4958" s="113" t="n"/>
      <c r="D4958" s="113" t="n"/>
      <c r="E4958" s="113" t="n"/>
      <c r="F4958" s="113" t="n"/>
      <c r="G4958" s="113" t="n"/>
      <c r="H4958" s="113" t="n"/>
      <c r="I4958" s="113" t="n"/>
      <c r="J4958" s="113" t="n"/>
      <c r="K4958" s="113" t="n"/>
      <c r="L4958" s="113" t="n"/>
      <c r="M4958" s="113" t="n"/>
      <c r="N4958" s="113" t="n"/>
      <c r="O4958" s="113" t="n"/>
      <c r="P4958" s="113" t="n"/>
      <c r="Q4958" s="113" t="n"/>
      <c r="R4958" s="113" t="n"/>
      <c r="S4958" s="113" t="n"/>
      <c r="T4958" s="113" t="n"/>
      <c r="U4958" s="113" t="n"/>
      <c r="V4958" s="113" t="n"/>
      <c r="W4958" s="113" t="n"/>
      <c r="X4958" s="113" t="n"/>
      <c r="Y4958" s="113" t="n"/>
      <c r="Z4958" s="117">
        <f>IF($B4958="",0,IF($S4958="EVET",IF($D4958="GELİR",$O4958,-$O4958),0))</f>
        <v/>
      </c>
      <c r="AA4958" s="117">
        <f>IF($B4958="",0,IF(OR($W4958="EVET",$X4958="EVET",$Y4958="EVET"),0,IF($D4958="GELİR",IF($E4958="SATIŞ İADESİ/İSKONTO",-$O4958,$O4958),-$O4958)))</f>
        <v/>
      </c>
      <c r="AB4958" s="117">
        <f>IF($B4958="","",IF(OR($D4958="",$E4958="",$O4958=""),"EKSİK",IF($O4958&lt;=0,"SIFIR/NEGATİF",IF(COUNTIFS($C$6:$C$5000,$C4958,$O$6:$O$5000,$O4958,$B$6:$B$5000,$B4958)&gt;1,"MÜKERRER","OK"))))</f>
        <v/>
      </c>
    </row>
    <row r="4959" ht="16.5" customHeight="1" s="80">
      <c r="A4959" s="113" t="n"/>
      <c r="B4959" s="113" t="n"/>
      <c r="C4959" s="113" t="n"/>
      <c r="D4959" s="113" t="n"/>
      <c r="E4959" s="113" t="n"/>
      <c r="F4959" s="113" t="n"/>
      <c r="G4959" s="113" t="n"/>
      <c r="H4959" s="113" t="n"/>
      <c r="I4959" s="113" t="n"/>
      <c r="J4959" s="113" t="n"/>
      <c r="K4959" s="113" t="n"/>
      <c r="L4959" s="113" t="n"/>
      <c r="M4959" s="113" t="n"/>
      <c r="N4959" s="113" t="n"/>
      <c r="O4959" s="113" t="n"/>
      <c r="P4959" s="113" t="n"/>
      <c r="Q4959" s="113" t="n"/>
      <c r="R4959" s="113" t="n"/>
      <c r="S4959" s="113" t="n"/>
      <c r="T4959" s="113" t="n"/>
      <c r="U4959" s="113" t="n"/>
      <c r="V4959" s="113" t="n"/>
      <c r="W4959" s="113" t="n"/>
      <c r="X4959" s="113" t="n"/>
      <c r="Y4959" s="113" t="n"/>
      <c r="Z4959" s="117">
        <f>IF($B4959="",0,IF($S4959="EVET",IF($D4959="GELİR",$O4959,-$O4959),0))</f>
        <v/>
      </c>
      <c r="AA4959" s="117">
        <f>IF($B4959="",0,IF(OR($W4959="EVET",$X4959="EVET",$Y4959="EVET"),0,IF($D4959="GELİR",IF($E4959="SATIŞ İADESİ/İSKONTO",-$O4959,$O4959),-$O4959)))</f>
        <v/>
      </c>
      <c r="AB4959" s="117">
        <f>IF($B4959="","",IF(OR($D4959="",$E4959="",$O4959=""),"EKSİK",IF($O4959&lt;=0,"SIFIR/NEGATİF",IF(COUNTIFS($C$6:$C$5000,$C4959,$O$6:$O$5000,$O4959,$B$6:$B$5000,$B4959)&gt;1,"MÜKERRER","OK"))))</f>
        <v/>
      </c>
    </row>
    <row r="4960" ht="16.5" customHeight="1" s="80">
      <c r="A4960" s="113" t="n"/>
      <c r="B4960" s="113" t="n"/>
      <c r="C4960" s="113" t="n"/>
      <c r="D4960" s="113" t="n"/>
      <c r="E4960" s="113" t="n"/>
      <c r="F4960" s="113" t="n"/>
      <c r="G4960" s="113" t="n"/>
      <c r="H4960" s="113" t="n"/>
      <c r="I4960" s="113" t="n"/>
      <c r="J4960" s="113" t="n"/>
      <c r="K4960" s="113" t="n"/>
      <c r="L4960" s="113" t="n"/>
      <c r="M4960" s="113" t="n"/>
      <c r="N4960" s="113" t="n"/>
      <c r="O4960" s="113" t="n"/>
      <c r="P4960" s="113" t="n"/>
      <c r="Q4960" s="113" t="n"/>
      <c r="R4960" s="113" t="n"/>
      <c r="S4960" s="113" t="n"/>
      <c r="T4960" s="113" t="n"/>
      <c r="U4960" s="113" t="n"/>
      <c r="V4960" s="113" t="n"/>
      <c r="W4960" s="113" t="n"/>
      <c r="X4960" s="113" t="n"/>
      <c r="Y4960" s="113" t="n"/>
      <c r="Z4960" s="117">
        <f>IF($B4960="",0,IF($S4960="EVET",IF($D4960="GELİR",$O4960,-$O4960),0))</f>
        <v/>
      </c>
      <c r="AA4960" s="117">
        <f>IF($B4960="",0,IF(OR($W4960="EVET",$X4960="EVET",$Y4960="EVET"),0,IF($D4960="GELİR",IF($E4960="SATIŞ İADESİ/İSKONTO",-$O4960,$O4960),-$O4960)))</f>
        <v/>
      </c>
      <c r="AB4960" s="117">
        <f>IF($B4960="","",IF(OR($D4960="",$E4960="",$O4960=""),"EKSİK",IF($O4960&lt;=0,"SIFIR/NEGATİF",IF(COUNTIFS($C$6:$C$5000,$C4960,$O$6:$O$5000,$O4960,$B$6:$B$5000,$B4960)&gt;1,"MÜKERRER","OK"))))</f>
        <v/>
      </c>
    </row>
    <row r="4961" ht="16.5" customHeight="1" s="80">
      <c r="A4961" s="113" t="n"/>
      <c r="B4961" s="113" t="n"/>
      <c r="C4961" s="113" t="n"/>
      <c r="D4961" s="113" t="n"/>
      <c r="E4961" s="113" t="n"/>
      <c r="F4961" s="113" t="n"/>
      <c r="G4961" s="113" t="n"/>
      <c r="H4961" s="113" t="n"/>
      <c r="I4961" s="113" t="n"/>
      <c r="J4961" s="113" t="n"/>
      <c r="K4961" s="113" t="n"/>
      <c r="L4961" s="113" t="n"/>
      <c r="M4961" s="113" t="n"/>
      <c r="N4961" s="113" t="n"/>
      <c r="O4961" s="113" t="n"/>
      <c r="P4961" s="113" t="n"/>
      <c r="Q4961" s="113" t="n"/>
      <c r="R4961" s="113" t="n"/>
      <c r="S4961" s="113" t="n"/>
      <c r="T4961" s="113" t="n"/>
      <c r="U4961" s="113" t="n"/>
      <c r="V4961" s="113" t="n"/>
      <c r="W4961" s="113" t="n"/>
      <c r="X4961" s="113" t="n"/>
      <c r="Y4961" s="113" t="n"/>
      <c r="Z4961" s="117">
        <f>IF($B4961="",0,IF($S4961="EVET",IF($D4961="GELİR",$O4961,-$O4961),0))</f>
        <v/>
      </c>
      <c r="AA4961" s="117">
        <f>IF($B4961="",0,IF(OR($W4961="EVET",$X4961="EVET",$Y4961="EVET"),0,IF($D4961="GELİR",IF($E4961="SATIŞ İADESİ/İSKONTO",-$O4961,$O4961),-$O4961)))</f>
        <v/>
      </c>
      <c r="AB4961" s="117">
        <f>IF($B4961="","",IF(OR($D4961="",$E4961="",$O4961=""),"EKSİK",IF($O4961&lt;=0,"SIFIR/NEGATİF",IF(COUNTIFS($C$6:$C$5000,$C4961,$O$6:$O$5000,$O4961,$B$6:$B$5000,$B4961)&gt;1,"MÜKERRER","OK"))))</f>
        <v/>
      </c>
    </row>
    <row r="4962" ht="16.5" customHeight="1" s="80">
      <c r="A4962" s="113" t="n"/>
      <c r="B4962" s="113" t="n"/>
      <c r="C4962" s="113" t="n"/>
      <c r="D4962" s="113" t="n"/>
      <c r="E4962" s="113" t="n"/>
      <c r="F4962" s="113" t="n"/>
      <c r="G4962" s="113" t="n"/>
      <c r="H4962" s="113" t="n"/>
      <c r="I4962" s="113" t="n"/>
      <c r="J4962" s="113" t="n"/>
      <c r="K4962" s="113" t="n"/>
      <c r="L4962" s="113" t="n"/>
      <c r="M4962" s="113" t="n"/>
      <c r="N4962" s="113" t="n"/>
      <c r="O4962" s="113" t="n"/>
      <c r="P4962" s="113" t="n"/>
      <c r="Q4962" s="113" t="n"/>
      <c r="R4962" s="113" t="n"/>
      <c r="S4962" s="113" t="n"/>
      <c r="T4962" s="113" t="n"/>
      <c r="U4962" s="113" t="n"/>
      <c r="V4962" s="113" t="n"/>
      <c r="W4962" s="113" t="n"/>
      <c r="X4962" s="113" t="n"/>
      <c r="Y4962" s="113" t="n"/>
      <c r="Z4962" s="117">
        <f>IF($B4962="",0,IF($S4962="EVET",IF($D4962="GELİR",$O4962,-$O4962),0))</f>
        <v/>
      </c>
      <c r="AA4962" s="117">
        <f>IF($B4962="",0,IF(OR($W4962="EVET",$X4962="EVET",$Y4962="EVET"),0,IF($D4962="GELİR",IF($E4962="SATIŞ İADESİ/İSKONTO",-$O4962,$O4962),-$O4962)))</f>
        <v/>
      </c>
      <c r="AB4962" s="117">
        <f>IF($B4962="","",IF(OR($D4962="",$E4962="",$O4962=""),"EKSİK",IF($O4962&lt;=0,"SIFIR/NEGATİF",IF(COUNTIFS($C$6:$C$5000,$C4962,$O$6:$O$5000,$O4962,$B$6:$B$5000,$B4962)&gt;1,"MÜKERRER","OK"))))</f>
        <v/>
      </c>
    </row>
    <row r="4963" ht="16.5" customHeight="1" s="80">
      <c r="A4963" s="113" t="n"/>
      <c r="B4963" s="113" t="n"/>
      <c r="C4963" s="113" t="n"/>
      <c r="D4963" s="113" t="n"/>
      <c r="E4963" s="113" t="n"/>
      <c r="F4963" s="113" t="n"/>
      <c r="G4963" s="113" t="n"/>
      <c r="H4963" s="113" t="n"/>
      <c r="I4963" s="113" t="n"/>
      <c r="J4963" s="113" t="n"/>
      <c r="K4963" s="113" t="n"/>
      <c r="L4963" s="113" t="n"/>
      <c r="M4963" s="113" t="n"/>
      <c r="N4963" s="113" t="n"/>
      <c r="O4963" s="113" t="n"/>
      <c r="P4963" s="113" t="n"/>
      <c r="Q4963" s="113" t="n"/>
      <c r="R4963" s="113" t="n"/>
      <c r="S4963" s="113" t="n"/>
      <c r="T4963" s="113" t="n"/>
      <c r="U4963" s="113" t="n"/>
      <c r="V4963" s="113" t="n"/>
      <c r="W4963" s="113" t="n"/>
      <c r="X4963" s="113" t="n"/>
      <c r="Y4963" s="113" t="n"/>
      <c r="Z4963" s="117">
        <f>IF($B4963="",0,IF($S4963="EVET",IF($D4963="GELİR",$O4963,-$O4963),0))</f>
        <v/>
      </c>
      <c r="AA4963" s="117">
        <f>IF($B4963="",0,IF(OR($W4963="EVET",$X4963="EVET",$Y4963="EVET"),0,IF($D4963="GELİR",IF($E4963="SATIŞ İADESİ/İSKONTO",-$O4963,$O4963),-$O4963)))</f>
        <v/>
      </c>
      <c r="AB4963" s="117">
        <f>IF($B4963="","",IF(OR($D4963="",$E4963="",$O4963=""),"EKSİK",IF($O4963&lt;=0,"SIFIR/NEGATİF",IF(COUNTIFS($C$6:$C$5000,$C4963,$O$6:$O$5000,$O4963,$B$6:$B$5000,$B4963)&gt;1,"MÜKERRER","OK"))))</f>
        <v/>
      </c>
    </row>
    <row r="4964" ht="16.5" customHeight="1" s="80">
      <c r="A4964" s="113" t="n"/>
      <c r="B4964" s="113" t="n"/>
      <c r="C4964" s="113" t="n"/>
      <c r="D4964" s="113" t="n"/>
      <c r="E4964" s="113" t="n"/>
      <c r="F4964" s="113" t="n"/>
      <c r="G4964" s="113" t="n"/>
      <c r="H4964" s="113" t="n"/>
      <c r="I4964" s="113" t="n"/>
      <c r="J4964" s="113" t="n"/>
      <c r="K4964" s="113" t="n"/>
      <c r="L4964" s="113" t="n"/>
      <c r="M4964" s="113" t="n"/>
      <c r="N4964" s="113" t="n"/>
      <c r="O4964" s="113" t="n"/>
      <c r="P4964" s="113" t="n"/>
      <c r="Q4964" s="113" t="n"/>
      <c r="R4964" s="113" t="n"/>
      <c r="S4964" s="113" t="n"/>
      <c r="T4964" s="113" t="n"/>
      <c r="U4964" s="113" t="n"/>
      <c r="V4964" s="113" t="n"/>
      <c r="W4964" s="113" t="n"/>
      <c r="X4964" s="113" t="n"/>
      <c r="Y4964" s="113" t="n"/>
      <c r="Z4964" s="117">
        <f>IF($B4964="",0,IF($S4964="EVET",IF($D4964="GELİR",$O4964,-$O4964),0))</f>
        <v/>
      </c>
      <c r="AA4964" s="117">
        <f>IF($B4964="",0,IF(OR($W4964="EVET",$X4964="EVET",$Y4964="EVET"),0,IF($D4964="GELİR",IF($E4964="SATIŞ İADESİ/İSKONTO",-$O4964,$O4964),-$O4964)))</f>
        <v/>
      </c>
      <c r="AB4964" s="117">
        <f>IF($B4964="","",IF(OR($D4964="",$E4964="",$O4964=""),"EKSİK",IF($O4964&lt;=0,"SIFIR/NEGATİF",IF(COUNTIFS($C$6:$C$5000,$C4964,$O$6:$O$5000,$O4964,$B$6:$B$5000,$B4964)&gt;1,"MÜKERRER","OK"))))</f>
        <v/>
      </c>
    </row>
    <row r="4965" ht="16.5" customHeight="1" s="80">
      <c r="A4965" s="113" t="n"/>
      <c r="B4965" s="113" t="n"/>
      <c r="C4965" s="113" t="n"/>
      <c r="D4965" s="113" t="n"/>
      <c r="E4965" s="113" t="n"/>
      <c r="F4965" s="113" t="n"/>
      <c r="G4965" s="113" t="n"/>
      <c r="H4965" s="113" t="n"/>
      <c r="I4965" s="113" t="n"/>
      <c r="J4965" s="113" t="n"/>
      <c r="K4965" s="113" t="n"/>
      <c r="L4965" s="113" t="n"/>
      <c r="M4965" s="113" t="n"/>
      <c r="N4965" s="113" t="n"/>
      <c r="O4965" s="113" t="n"/>
      <c r="P4965" s="113" t="n"/>
      <c r="Q4965" s="113" t="n"/>
      <c r="R4965" s="113" t="n"/>
      <c r="S4965" s="113" t="n"/>
      <c r="T4965" s="113" t="n"/>
      <c r="U4965" s="113" t="n"/>
      <c r="V4965" s="113" t="n"/>
      <c r="W4965" s="113" t="n"/>
      <c r="X4965" s="113" t="n"/>
      <c r="Y4965" s="113" t="n"/>
      <c r="Z4965" s="117">
        <f>IF($B4965="",0,IF($S4965="EVET",IF($D4965="GELİR",$O4965,-$O4965),0))</f>
        <v/>
      </c>
      <c r="AA4965" s="117">
        <f>IF($B4965="",0,IF(OR($W4965="EVET",$X4965="EVET",$Y4965="EVET"),0,IF($D4965="GELİR",IF($E4965="SATIŞ İADESİ/İSKONTO",-$O4965,$O4965),-$O4965)))</f>
        <v/>
      </c>
      <c r="AB4965" s="117">
        <f>IF($B4965="","",IF(OR($D4965="",$E4965="",$O4965=""),"EKSİK",IF($O4965&lt;=0,"SIFIR/NEGATİF",IF(COUNTIFS($C$6:$C$5000,$C4965,$O$6:$O$5000,$O4965,$B$6:$B$5000,$B4965)&gt;1,"MÜKERRER","OK"))))</f>
        <v/>
      </c>
    </row>
    <row r="4966" ht="16.5" customHeight="1" s="80">
      <c r="A4966" s="113" t="n"/>
      <c r="B4966" s="113" t="n"/>
      <c r="C4966" s="113" t="n"/>
      <c r="D4966" s="113" t="n"/>
      <c r="E4966" s="113" t="n"/>
      <c r="F4966" s="113" t="n"/>
      <c r="G4966" s="113" t="n"/>
      <c r="H4966" s="113" t="n"/>
      <c r="I4966" s="113" t="n"/>
      <c r="J4966" s="113" t="n"/>
      <c r="K4966" s="113" t="n"/>
      <c r="L4966" s="113" t="n"/>
      <c r="M4966" s="113" t="n"/>
      <c r="N4966" s="113" t="n"/>
      <c r="O4966" s="113" t="n"/>
      <c r="P4966" s="113" t="n"/>
      <c r="Q4966" s="113" t="n"/>
      <c r="R4966" s="113" t="n"/>
      <c r="S4966" s="113" t="n"/>
      <c r="T4966" s="113" t="n"/>
      <c r="U4966" s="113" t="n"/>
      <c r="V4966" s="113" t="n"/>
      <c r="W4966" s="113" t="n"/>
      <c r="X4966" s="113" t="n"/>
      <c r="Y4966" s="113" t="n"/>
      <c r="Z4966" s="117">
        <f>IF($B4966="",0,IF($S4966="EVET",IF($D4966="GELİR",$O4966,-$O4966),0))</f>
        <v/>
      </c>
      <c r="AA4966" s="117">
        <f>IF($B4966="",0,IF(OR($W4966="EVET",$X4966="EVET",$Y4966="EVET"),0,IF($D4966="GELİR",IF($E4966="SATIŞ İADESİ/İSKONTO",-$O4966,$O4966),-$O4966)))</f>
        <v/>
      </c>
      <c r="AB4966" s="117">
        <f>IF($B4966="","",IF(OR($D4966="",$E4966="",$O4966=""),"EKSİK",IF($O4966&lt;=0,"SIFIR/NEGATİF",IF(COUNTIFS($C$6:$C$5000,$C4966,$O$6:$O$5000,$O4966,$B$6:$B$5000,$B4966)&gt;1,"MÜKERRER","OK"))))</f>
        <v/>
      </c>
    </row>
    <row r="4967" ht="16.5" customHeight="1" s="80">
      <c r="A4967" s="113" t="n"/>
      <c r="B4967" s="113" t="n"/>
      <c r="C4967" s="113" t="n"/>
      <c r="D4967" s="113" t="n"/>
      <c r="E4967" s="113" t="n"/>
      <c r="F4967" s="113" t="n"/>
      <c r="G4967" s="113" t="n"/>
      <c r="H4967" s="113" t="n"/>
      <c r="I4967" s="113" t="n"/>
      <c r="J4967" s="113" t="n"/>
      <c r="K4967" s="113" t="n"/>
      <c r="L4967" s="113" t="n"/>
      <c r="M4967" s="113" t="n"/>
      <c r="N4967" s="113" t="n"/>
      <c r="O4967" s="113" t="n"/>
      <c r="P4967" s="113" t="n"/>
      <c r="Q4967" s="113" t="n"/>
      <c r="R4967" s="113" t="n"/>
      <c r="S4967" s="113" t="n"/>
      <c r="T4967" s="113" t="n"/>
      <c r="U4967" s="113" t="n"/>
      <c r="V4967" s="113" t="n"/>
      <c r="W4967" s="113" t="n"/>
      <c r="X4967" s="113" t="n"/>
      <c r="Y4967" s="113" t="n"/>
      <c r="Z4967" s="117">
        <f>IF($B4967="",0,IF($S4967="EVET",IF($D4967="GELİR",$O4967,-$O4967),0))</f>
        <v/>
      </c>
      <c r="AA4967" s="117">
        <f>IF($B4967="",0,IF(OR($W4967="EVET",$X4967="EVET",$Y4967="EVET"),0,IF($D4967="GELİR",IF($E4967="SATIŞ İADESİ/İSKONTO",-$O4967,$O4967),-$O4967)))</f>
        <v/>
      </c>
      <c r="AB4967" s="117">
        <f>IF($B4967="","",IF(OR($D4967="",$E4967="",$O4967=""),"EKSİK",IF($O4967&lt;=0,"SIFIR/NEGATİF",IF(COUNTIFS($C$6:$C$5000,$C4967,$O$6:$O$5000,$O4967,$B$6:$B$5000,$B4967)&gt;1,"MÜKERRER","OK"))))</f>
        <v/>
      </c>
    </row>
    <row r="4968" ht="16.5" customHeight="1" s="80">
      <c r="A4968" s="113" t="n"/>
      <c r="B4968" s="113" t="n"/>
      <c r="C4968" s="113" t="n"/>
      <c r="D4968" s="113" t="n"/>
      <c r="E4968" s="113" t="n"/>
      <c r="F4968" s="113" t="n"/>
      <c r="G4968" s="113" t="n"/>
      <c r="H4968" s="113" t="n"/>
      <c r="I4968" s="113" t="n"/>
      <c r="J4968" s="113" t="n"/>
      <c r="K4968" s="113" t="n"/>
      <c r="L4968" s="113" t="n"/>
      <c r="M4968" s="113" t="n"/>
      <c r="N4968" s="113" t="n"/>
      <c r="O4968" s="113" t="n"/>
      <c r="P4968" s="113" t="n"/>
      <c r="Q4968" s="113" t="n"/>
      <c r="R4968" s="113" t="n"/>
      <c r="S4968" s="113" t="n"/>
      <c r="T4968" s="113" t="n"/>
      <c r="U4968" s="113" t="n"/>
      <c r="V4968" s="113" t="n"/>
      <c r="W4968" s="113" t="n"/>
      <c r="X4968" s="113" t="n"/>
      <c r="Y4968" s="113" t="n"/>
      <c r="Z4968" s="117">
        <f>IF($B4968="",0,IF($S4968="EVET",IF($D4968="GELİR",$O4968,-$O4968),0))</f>
        <v/>
      </c>
      <c r="AA4968" s="117">
        <f>IF($B4968="",0,IF(OR($W4968="EVET",$X4968="EVET",$Y4968="EVET"),0,IF($D4968="GELİR",IF($E4968="SATIŞ İADESİ/İSKONTO",-$O4968,$O4968),-$O4968)))</f>
        <v/>
      </c>
      <c r="AB4968" s="117">
        <f>IF($B4968="","",IF(OR($D4968="",$E4968="",$O4968=""),"EKSİK",IF($O4968&lt;=0,"SIFIR/NEGATİF",IF(COUNTIFS($C$6:$C$5000,$C4968,$O$6:$O$5000,$O4968,$B$6:$B$5000,$B4968)&gt;1,"MÜKERRER","OK"))))</f>
        <v/>
      </c>
    </row>
    <row r="4969" ht="16.5" customHeight="1" s="80">
      <c r="A4969" s="113" t="n"/>
      <c r="B4969" s="113" t="n"/>
      <c r="C4969" s="113" t="n"/>
      <c r="D4969" s="113" t="n"/>
      <c r="E4969" s="113" t="n"/>
      <c r="F4969" s="113" t="n"/>
      <c r="G4969" s="113" t="n"/>
      <c r="H4969" s="113" t="n"/>
      <c r="I4969" s="113" t="n"/>
      <c r="J4969" s="113" t="n"/>
      <c r="K4969" s="113" t="n"/>
      <c r="L4969" s="113" t="n"/>
      <c r="M4969" s="113" t="n"/>
      <c r="N4969" s="113" t="n"/>
      <c r="O4969" s="113" t="n"/>
      <c r="P4969" s="113" t="n"/>
      <c r="Q4969" s="113" t="n"/>
      <c r="R4969" s="113" t="n"/>
      <c r="S4969" s="113" t="n"/>
      <c r="T4969" s="113" t="n"/>
      <c r="U4969" s="113" t="n"/>
      <c r="V4969" s="113" t="n"/>
      <c r="W4969" s="113" t="n"/>
      <c r="X4969" s="113" t="n"/>
      <c r="Y4969" s="113" t="n"/>
      <c r="Z4969" s="117">
        <f>IF($B4969="",0,IF($S4969="EVET",IF($D4969="GELİR",$O4969,-$O4969),0))</f>
        <v/>
      </c>
      <c r="AA4969" s="117">
        <f>IF($B4969="",0,IF(OR($W4969="EVET",$X4969="EVET",$Y4969="EVET"),0,IF($D4969="GELİR",IF($E4969="SATIŞ İADESİ/İSKONTO",-$O4969,$O4969),-$O4969)))</f>
        <v/>
      </c>
      <c r="AB4969" s="117">
        <f>IF($B4969="","",IF(OR($D4969="",$E4969="",$O4969=""),"EKSİK",IF($O4969&lt;=0,"SIFIR/NEGATİF",IF(COUNTIFS($C$6:$C$5000,$C4969,$O$6:$O$5000,$O4969,$B$6:$B$5000,$B4969)&gt;1,"MÜKERRER","OK"))))</f>
        <v/>
      </c>
    </row>
    <row r="4970" ht="16.5" customHeight="1" s="80">
      <c r="A4970" s="113" t="n"/>
      <c r="B4970" s="113" t="n"/>
      <c r="C4970" s="113" t="n"/>
      <c r="D4970" s="113" t="n"/>
      <c r="E4970" s="113" t="n"/>
      <c r="F4970" s="113" t="n"/>
      <c r="G4970" s="113" t="n"/>
      <c r="H4970" s="113" t="n"/>
      <c r="I4970" s="113" t="n"/>
      <c r="J4970" s="113" t="n"/>
      <c r="K4970" s="113" t="n"/>
      <c r="L4970" s="113" t="n"/>
      <c r="M4970" s="113" t="n"/>
      <c r="N4970" s="113" t="n"/>
      <c r="O4970" s="113" t="n"/>
      <c r="P4970" s="113" t="n"/>
      <c r="Q4970" s="113" t="n"/>
      <c r="R4970" s="113" t="n"/>
      <c r="S4970" s="113" t="n"/>
      <c r="T4970" s="113" t="n"/>
      <c r="U4970" s="113" t="n"/>
      <c r="V4970" s="113" t="n"/>
      <c r="W4970" s="113" t="n"/>
      <c r="X4970" s="113" t="n"/>
      <c r="Y4970" s="113" t="n"/>
      <c r="Z4970" s="117">
        <f>IF($B4970="",0,IF($S4970="EVET",IF($D4970="GELİR",$O4970,-$O4970),0))</f>
        <v/>
      </c>
      <c r="AA4970" s="117">
        <f>IF($B4970="",0,IF(OR($W4970="EVET",$X4970="EVET",$Y4970="EVET"),0,IF($D4970="GELİR",IF($E4970="SATIŞ İADESİ/İSKONTO",-$O4970,$O4970),-$O4970)))</f>
        <v/>
      </c>
      <c r="AB4970" s="117">
        <f>IF($B4970="","",IF(OR($D4970="",$E4970="",$O4970=""),"EKSİK",IF($O4970&lt;=0,"SIFIR/NEGATİF",IF(COUNTIFS($C$6:$C$5000,$C4970,$O$6:$O$5000,$O4970,$B$6:$B$5000,$B4970)&gt;1,"MÜKERRER","OK"))))</f>
        <v/>
      </c>
    </row>
    <row r="4971" ht="16.5" customHeight="1" s="80">
      <c r="A4971" s="113" t="n"/>
      <c r="B4971" s="113" t="n"/>
      <c r="C4971" s="113" t="n"/>
      <c r="D4971" s="113" t="n"/>
      <c r="E4971" s="113" t="n"/>
      <c r="F4971" s="113" t="n"/>
      <c r="G4971" s="113" t="n"/>
      <c r="H4971" s="113" t="n"/>
      <c r="I4971" s="113" t="n"/>
      <c r="J4971" s="113" t="n"/>
      <c r="K4971" s="113" t="n"/>
      <c r="L4971" s="113" t="n"/>
      <c r="M4971" s="113" t="n"/>
      <c r="N4971" s="113" t="n"/>
      <c r="O4971" s="113" t="n"/>
      <c r="P4971" s="113" t="n"/>
      <c r="Q4971" s="113" t="n"/>
      <c r="R4971" s="113" t="n"/>
      <c r="S4971" s="113" t="n"/>
      <c r="T4971" s="113" t="n"/>
      <c r="U4971" s="113" t="n"/>
      <c r="V4971" s="113" t="n"/>
      <c r="W4971" s="113" t="n"/>
      <c r="X4971" s="113" t="n"/>
      <c r="Y4971" s="113" t="n"/>
      <c r="Z4971" s="117">
        <f>IF($B4971="",0,IF($S4971="EVET",IF($D4971="GELİR",$O4971,-$O4971),0))</f>
        <v/>
      </c>
      <c r="AA4971" s="117">
        <f>IF($B4971="",0,IF(OR($W4971="EVET",$X4971="EVET",$Y4971="EVET"),0,IF($D4971="GELİR",IF($E4971="SATIŞ İADESİ/İSKONTO",-$O4971,$O4971),-$O4971)))</f>
        <v/>
      </c>
      <c r="AB4971" s="117">
        <f>IF($B4971="","",IF(OR($D4971="",$E4971="",$O4971=""),"EKSİK",IF($O4971&lt;=0,"SIFIR/NEGATİF",IF(COUNTIFS($C$6:$C$5000,$C4971,$O$6:$O$5000,$O4971,$B$6:$B$5000,$B4971)&gt;1,"MÜKERRER","OK"))))</f>
        <v/>
      </c>
    </row>
    <row r="4972" ht="16.5" customHeight="1" s="80">
      <c r="A4972" s="113" t="n"/>
      <c r="B4972" s="113" t="n"/>
      <c r="C4972" s="113" t="n"/>
      <c r="D4972" s="113" t="n"/>
      <c r="E4972" s="113" t="n"/>
      <c r="F4972" s="113" t="n"/>
      <c r="G4972" s="113" t="n"/>
      <c r="H4972" s="113" t="n"/>
      <c r="I4972" s="113" t="n"/>
      <c r="J4972" s="113" t="n"/>
      <c r="K4972" s="113" t="n"/>
      <c r="L4972" s="113" t="n"/>
      <c r="M4972" s="113" t="n"/>
      <c r="N4972" s="113" t="n"/>
      <c r="O4972" s="113" t="n"/>
      <c r="P4972" s="113" t="n"/>
      <c r="Q4972" s="113" t="n"/>
      <c r="R4972" s="113" t="n"/>
      <c r="S4972" s="113" t="n"/>
      <c r="T4972" s="113" t="n"/>
      <c r="U4972" s="113" t="n"/>
      <c r="V4972" s="113" t="n"/>
      <c r="W4972" s="113" t="n"/>
      <c r="X4972" s="113" t="n"/>
      <c r="Y4972" s="113" t="n"/>
      <c r="Z4972" s="117">
        <f>IF($B4972="",0,IF($S4972="EVET",IF($D4972="GELİR",$O4972,-$O4972),0))</f>
        <v/>
      </c>
      <c r="AA4972" s="117">
        <f>IF($B4972="",0,IF(OR($W4972="EVET",$X4972="EVET",$Y4972="EVET"),0,IF($D4972="GELİR",IF($E4972="SATIŞ İADESİ/İSKONTO",-$O4972,$O4972),-$O4972)))</f>
        <v/>
      </c>
      <c r="AB4972" s="117">
        <f>IF($B4972="","",IF(OR($D4972="",$E4972="",$O4972=""),"EKSİK",IF($O4972&lt;=0,"SIFIR/NEGATİF",IF(COUNTIFS($C$6:$C$5000,$C4972,$O$6:$O$5000,$O4972,$B$6:$B$5000,$B4972)&gt;1,"MÜKERRER","OK"))))</f>
        <v/>
      </c>
    </row>
    <row r="4973" ht="16.5" customHeight="1" s="80">
      <c r="A4973" s="113" t="n"/>
      <c r="B4973" s="113" t="n"/>
      <c r="C4973" s="113" t="n"/>
      <c r="D4973" s="113" t="n"/>
      <c r="E4973" s="113" t="n"/>
      <c r="F4973" s="113" t="n"/>
      <c r="G4973" s="113" t="n"/>
      <c r="H4973" s="113" t="n"/>
      <c r="I4973" s="113" t="n"/>
      <c r="J4973" s="113" t="n"/>
      <c r="K4973" s="113" t="n"/>
      <c r="L4973" s="113" t="n"/>
      <c r="M4973" s="113" t="n"/>
      <c r="N4973" s="113" t="n"/>
      <c r="O4973" s="113" t="n"/>
      <c r="P4973" s="113" t="n"/>
      <c r="Q4973" s="113" t="n"/>
      <c r="R4973" s="113" t="n"/>
      <c r="S4973" s="113" t="n"/>
      <c r="T4973" s="113" t="n"/>
      <c r="U4973" s="113" t="n"/>
      <c r="V4973" s="113" t="n"/>
      <c r="W4973" s="113" t="n"/>
      <c r="X4973" s="113" t="n"/>
      <c r="Y4973" s="113" t="n"/>
      <c r="Z4973" s="117">
        <f>IF($B4973="",0,IF($S4973="EVET",IF($D4973="GELİR",$O4973,-$O4973),0))</f>
        <v/>
      </c>
      <c r="AA4973" s="117">
        <f>IF($B4973="",0,IF(OR($W4973="EVET",$X4973="EVET",$Y4973="EVET"),0,IF($D4973="GELİR",IF($E4973="SATIŞ İADESİ/İSKONTO",-$O4973,$O4973),-$O4973)))</f>
        <v/>
      </c>
      <c r="AB4973" s="117">
        <f>IF($B4973="","",IF(OR($D4973="",$E4973="",$O4973=""),"EKSİK",IF($O4973&lt;=0,"SIFIR/NEGATİF",IF(COUNTIFS($C$6:$C$5000,$C4973,$O$6:$O$5000,$O4973,$B$6:$B$5000,$B4973)&gt;1,"MÜKERRER","OK"))))</f>
        <v/>
      </c>
    </row>
    <row r="4974" ht="16.5" customHeight="1" s="80">
      <c r="A4974" s="113" t="n"/>
      <c r="B4974" s="113" t="n"/>
      <c r="C4974" s="113" t="n"/>
      <c r="D4974" s="113" t="n"/>
      <c r="E4974" s="113" t="n"/>
      <c r="F4974" s="113" t="n"/>
      <c r="G4974" s="113" t="n"/>
      <c r="H4974" s="113" t="n"/>
      <c r="I4974" s="113" t="n"/>
      <c r="J4974" s="113" t="n"/>
      <c r="K4974" s="113" t="n"/>
      <c r="L4974" s="113" t="n"/>
      <c r="M4974" s="113" t="n"/>
      <c r="N4974" s="113" t="n"/>
      <c r="O4974" s="113" t="n"/>
      <c r="P4974" s="113" t="n"/>
      <c r="Q4974" s="113" t="n"/>
      <c r="R4974" s="113" t="n"/>
      <c r="S4974" s="113" t="n"/>
      <c r="T4974" s="113" t="n"/>
      <c r="U4974" s="113" t="n"/>
      <c r="V4974" s="113" t="n"/>
      <c r="W4974" s="113" t="n"/>
      <c r="X4974" s="113" t="n"/>
      <c r="Y4974" s="113" t="n"/>
      <c r="Z4974" s="117">
        <f>IF($B4974="",0,IF($S4974="EVET",IF($D4974="GELİR",$O4974,-$O4974),0))</f>
        <v/>
      </c>
      <c r="AA4974" s="117">
        <f>IF($B4974="",0,IF(OR($W4974="EVET",$X4974="EVET",$Y4974="EVET"),0,IF($D4974="GELİR",IF($E4974="SATIŞ İADESİ/İSKONTO",-$O4974,$O4974),-$O4974)))</f>
        <v/>
      </c>
      <c r="AB4974" s="117">
        <f>IF($B4974="","",IF(OR($D4974="",$E4974="",$O4974=""),"EKSİK",IF($O4974&lt;=0,"SIFIR/NEGATİF",IF(COUNTIFS($C$6:$C$5000,$C4974,$O$6:$O$5000,$O4974,$B$6:$B$5000,$B4974)&gt;1,"MÜKERRER","OK"))))</f>
        <v/>
      </c>
    </row>
    <row r="4975" ht="16.5" customHeight="1" s="80">
      <c r="A4975" s="113" t="n"/>
      <c r="B4975" s="113" t="n"/>
      <c r="C4975" s="113" t="n"/>
      <c r="D4975" s="113" t="n"/>
      <c r="E4975" s="113" t="n"/>
      <c r="F4975" s="113" t="n"/>
      <c r="G4975" s="113" t="n"/>
      <c r="H4975" s="113" t="n"/>
      <c r="I4975" s="113" t="n"/>
      <c r="J4975" s="113" t="n"/>
      <c r="K4975" s="113" t="n"/>
      <c r="L4975" s="113" t="n"/>
      <c r="M4975" s="113" t="n"/>
      <c r="N4975" s="113" t="n"/>
      <c r="O4975" s="113" t="n"/>
      <c r="P4975" s="113" t="n"/>
      <c r="Q4975" s="113" t="n"/>
      <c r="R4975" s="113" t="n"/>
      <c r="S4975" s="113" t="n"/>
      <c r="T4975" s="113" t="n"/>
      <c r="U4975" s="113" t="n"/>
      <c r="V4975" s="113" t="n"/>
      <c r="W4975" s="113" t="n"/>
      <c r="X4975" s="113" t="n"/>
      <c r="Y4975" s="113" t="n"/>
      <c r="Z4975" s="117">
        <f>IF($B4975="",0,IF($S4975="EVET",IF($D4975="GELİR",$O4975,-$O4975),0))</f>
        <v/>
      </c>
      <c r="AA4975" s="117">
        <f>IF($B4975="",0,IF(OR($W4975="EVET",$X4975="EVET",$Y4975="EVET"),0,IF($D4975="GELİR",IF($E4975="SATIŞ İADESİ/İSKONTO",-$O4975,$O4975),-$O4975)))</f>
        <v/>
      </c>
      <c r="AB4975" s="117">
        <f>IF($B4975="","",IF(OR($D4975="",$E4975="",$O4975=""),"EKSİK",IF($O4975&lt;=0,"SIFIR/NEGATİF",IF(COUNTIFS($C$6:$C$5000,$C4975,$O$6:$O$5000,$O4975,$B$6:$B$5000,$B4975)&gt;1,"MÜKERRER","OK"))))</f>
        <v/>
      </c>
    </row>
    <row r="4976" ht="16.5" customHeight="1" s="80">
      <c r="A4976" s="113" t="n"/>
      <c r="B4976" s="113" t="n"/>
      <c r="C4976" s="113" t="n"/>
      <c r="D4976" s="113" t="n"/>
      <c r="E4976" s="113" t="n"/>
      <c r="F4976" s="113" t="n"/>
      <c r="G4976" s="113" t="n"/>
      <c r="H4976" s="113" t="n"/>
      <c r="I4976" s="113" t="n"/>
      <c r="J4976" s="113" t="n"/>
      <c r="K4976" s="113" t="n"/>
      <c r="L4976" s="113" t="n"/>
      <c r="M4976" s="113" t="n"/>
      <c r="N4976" s="113" t="n"/>
      <c r="O4976" s="113" t="n"/>
      <c r="P4976" s="113" t="n"/>
      <c r="Q4976" s="113" t="n"/>
      <c r="R4976" s="113" t="n"/>
      <c r="S4976" s="113" t="n"/>
      <c r="T4976" s="113" t="n"/>
      <c r="U4976" s="113" t="n"/>
      <c r="V4976" s="113" t="n"/>
      <c r="W4976" s="113" t="n"/>
      <c r="X4976" s="113" t="n"/>
      <c r="Y4976" s="113" t="n"/>
      <c r="Z4976" s="117">
        <f>IF($B4976="",0,IF($S4976="EVET",IF($D4976="GELİR",$O4976,-$O4976),0))</f>
        <v/>
      </c>
      <c r="AA4976" s="117">
        <f>IF($B4976="",0,IF(OR($W4976="EVET",$X4976="EVET",$Y4976="EVET"),0,IF($D4976="GELİR",IF($E4976="SATIŞ İADESİ/İSKONTO",-$O4976,$O4976),-$O4976)))</f>
        <v/>
      </c>
      <c r="AB4976" s="117">
        <f>IF($B4976="","",IF(OR($D4976="",$E4976="",$O4976=""),"EKSİK",IF($O4976&lt;=0,"SIFIR/NEGATİF",IF(COUNTIFS($C$6:$C$5000,$C4976,$O$6:$O$5000,$O4976,$B$6:$B$5000,$B4976)&gt;1,"MÜKERRER","OK"))))</f>
        <v/>
      </c>
    </row>
    <row r="4977" ht="16.5" customHeight="1" s="80">
      <c r="A4977" s="113" t="n"/>
      <c r="B4977" s="113" t="n"/>
      <c r="C4977" s="113" t="n"/>
      <c r="D4977" s="113" t="n"/>
      <c r="E4977" s="113" t="n"/>
      <c r="F4977" s="113" t="n"/>
      <c r="G4977" s="113" t="n"/>
      <c r="H4977" s="113" t="n"/>
      <c r="I4977" s="113" t="n"/>
      <c r="J4977" s="113" t="n"/>
      <c r="K4977" s="113" t="n"/>
      <c r="L4977" s="113" t="n"/>
      <c r="M4977" s="113" t="n"/>
      <c r="N4977" s="113" t="n"/>
      <c r="O4977" s="113" t="n"/>
      <c r="P4977" s="113" t="n"/>
      <c r="Q4977" s="113" t="n"/>
      <c r="R4977" s="113" t="n"/>
      <c r="S4977" s="113" t="n"/>
      <c r="T4977" s="113" t="n"/>
      <c r="U4977" s="113" t="n"/>
      <c r="V4977" s="113" t="n"/>
      <c r="W4977" s="113" t="n"/>
      <c r="X4977" s="113" t="n"/>
      <c r="Y4977" s="113" t="n"/>
      <c r="Z4977" s="117">
        <f>IF($B4977="",0,IF($S4977="EVET",IF($D4977="GELİR",$O4977,-$O4977),0))</f>
        <v/>
      </c>
      <c r="AA4977" s="117">
        <f>IF($B4977="",0,IF(OR($W4977="EVET",$X4977="EVET",$Y4977="EVET"),0,IF($D4977="GELİR",IF($E4977="SATIŞ İADESİ/İSKONTO",-$O4977,$O4977),-$O4977)))</f>
        <v/>
      </c>
      <c r="AB4977" s="117">
        <f>IF($B4977="","",IF(OR($D4977="",$E4977="",$O4977=""),"EKSİK",IF($O4977&lt;=0,"SIFIR/NEGATİF",IF(COUNTIFS($C$6:$C$5000,$C4977,$O$6:$O$5000,$O4977,$B$6:$B$5000,$B4977)&gt;1,"MÜKERRER","OK"))))</f>
        <v/>
      </c>
    </row>
    <row r="4978" ht="16.5" customHeight="1" s="80">
      <c r="A4978" s="113" t="n"/>
      <c r="B4978" s="113" t="n"/>
      <c r="C4978" s="113" t="n"/>
      <c r="D4978" s="113" t="n"/>
      <c r="E4978" s="113" t="n"/>
      <c r="F4978" s="113" t="n"/>
      <c r="G4978" s="113" t="n"/>
      <c r="H4978" s="113" t="n"/>
      <c r="I4978" s="113" t="n"/>
      <c r="J4978" s="113" t="n"/>
      <c r="K4978" s="113" t="n"/>
      <c r="L4978" s="113" t="n"/>
      <c r="M4978" s="113" t="n"/>
      <c r="N4978" s="113" t="n"/>
      <c r="O4978" s="113" t="n"/>
      <c r="P4978" s="113" t="n"/>
      <c r="Q4978" s="113" t="n"/>
      <c r="R4978" s="113" t="n"/>
      <c r="S4978" s="113" t="n"/>
      <c r="T4978" s="113" t="n"/>
      <c r="U4978" s="113" t="n"/>
      <c r="V4978" s="113" t="n"/>
      <c r="W4978" s="113" t="n"/>
      <c r="X4978" s="113" t="n"/>
      <c r="Y4978" s="113" t="n"/>
      <c r="Z4978" s="117">
        <f>IF($B4978="",0,IF($S4978="EVET",IF($D4978="GELİR",$O4978,-$O4978),0))</f>
        <v/>
      </c>
      <c r="AA4978" s="117">
        <f>IF($B4978="",0,IF(OR($W4978="EVET",$X4978="EVET",$Y4978="EVET"),0,IF($D4978="GELİR",IF($E4978="SATIŞ İADESİ/İSKONTO",-$O4978,$O4978),-$O4978)))</f>
        <v/>
      </c>
      <c r="AB4978" s="117">
        <f>IF($B4978="","",IF(OR($D4978="",$E4978="",$O4978=""),"EKSİK",IF($O4978&lt;=0,"SIFIR/NEGATİF",IF(COUNTIFS($C$6:$C$5000,$C4978,$O$6:$O$5000,$O4978,$B$6:$B$5000,$B4978)&gt;1,"MÜKERRER","OK"))))</f>
        <v/>
      </c>
    </row>
    <row r="4979" ht="16.5" customHeight="1" s="80">
      <c r="A4979" s="113" t="n"/>
      <c r="B4979" s="113" t="n"/>
      <c r="C4979" s="113" t="n"/>
      <c r="D4979" s="113" t="n"/>
      <c r="E4979" s="113" t="n"/>
      <c r="F4979" s="113" t="n"/>
      <c r="G4979" s="113" t="n"/>
      <c r="H4979" s="113" t="n"/>
      <c r="I4979" s="113" t="n"/>
      <c r="J4979" s="113" t="n"/>
      <c r="K4979" s="113" t="n"/>
      <c r="L4979" s="113" t="n"/>
      <c r="M4979" s="113" t="n"/>
      <c r="N4979" s="113" t="n"/>
      <c r="O4979" s="113" t="n"/>
      <c r="P4979" s="113" t="n"/>
      <c r="Q4979" s="113" t="n"/>
      <c r="R4979" s="113" t="n"/>
      <c r="S4979" s="113" t="n"/>
      <c r="T4979" s="113" t="n"/>
      <c r="U4979" s="113" t="n"/>
      <c r="V4979" s="113" t="n"/>
      <c r="W4979" s="113" t="n"/>
      <c r="X4979" s="113" t="n"/>
      <c r="Y4979" s="113" t="n"/>
      <c r="Z4979" s="117">
        <f>IF($B4979="",0,IF($S4979="EVET",IF($D4979="GELİR",$O4979,-$O4979),0))</f>
        <v/>
      </c>
      <c r="AA4979" s="117">
        <f>IF($B4979="",0,IF(OR($W4979="EVET",$X4979="EVET",$Y4979="EVET"),0,IF($D4979="GELİR",IF($E4979="SATIŞ İADESİ/İSKONTO",-$O4979,$O4979),-$O4979)))</f>
        <v/>
      </c>
      <c r="AB4979" s="117">
        <f>IF($B4979="","",IF(OR($D4979="",$E4979="",$O4979=""),"EKSİK",IF($O4979&lt;=0,"SIFIR/NEGATİF",IF(COUNTIFS($C$6:$C$5000,$C4979,$O$6:$O$5000,$O4979,$B$6:$B$5000,$B4979)&gt;1,"MÜKERRER","OK"))))</f>
        <v/>
      </c>
    </row>
    <row r="4980" ht="16.5" customHeight="1" s="80">
      <c r="A4980" s="113" t="n"/>
      <c r="B4980" s="113" t="n"/>
      <c r="C4980" s="113" t="n"/>
      <c r="D4980" s="113" t="n"/>
      <c r="E4980" s="113" t="n"/>
      <c r="F4980" s="113" t="n"/>
      <c r="G4980" s="113" t="n"/>
      <c r="H4980" s="113" t="n"/>
      <c r="I4980" s="113" t="n"/>
      <c r="J4980" s="113" t="n"/>
      <c r="K4980" s="113" t="n"/>
      <c r="L4980" s="113" t="n"/>
      <c r="M4980" s="113" t="n"/>
      <c r="N4980" s="113" t="n"/>
      <c r="O4980" s="113" t="n"/>
      <c r="P4980" s="113" t="n"/>
      <c r="Q4980" s="113" t="n"/>
      <c r="R4980" s="113" t="n"/>
      <c r="S4980" s="113" t="n"/>
      <c r="T4980" s="113" t="n"/>
      <c r="U4980" s="113" t="n"/>
      <c r="V4980" s="113" t="n"/>
      <c r="W4980" s="113" t="n"/>
      <c r="X4980" s="113" t="n"/>
      <c r="Y4980" s="113" t="n"/>
      <c r="Z4980" s="117">
        <f>IF($B4980="",0,IF($S4980="EVET",IF($D4980="GELİR",$O4980,-$O4980),0))</f>
        <v/>
      </c>
      <c r="AA4980" s="117">
        <f>IF($B4980="",0,IF(OR($W4980="EVET",$X4980="EVET",$Y4980="EVET"),0,IF($D4980="GELİR",IF($E4980="SATIŞ İADESİ/İSKONTO",-$O4980,$O4980),-$O4980)))</f>
        <v/>
      </c>
      <c r="AB4980" s="117">
        <f>IF($B4980="","",IF(OR($D4980="",$E4980="",$O4980=""),"EKSİK",IF($O4980&lt;=0,"SIFIR/NEGATİF",IF(COUNTIFS($C$6:$C$5000,$C4980,$O$6:$O$5000,$O4980,$B$6:$B$5000,$B4980)&gt;1,"MÜKERRER","OK"))))</f>
        <v/>
      </c>
    </row>
    <row r="4981" ht="16.5" customHeight="1" s="80">
      <c r="A4981" s="113" t="n"/>
      <c r="B4981" s="113" t="n"/>
      <c r="C4981" s="113" t="n"/>
      <c r="D4981" s="113" t="n"/>
      <c r="E4981" s="113" t="n"/>
      <c r="F4981" s="113" t="n"/>
      <c r="G4981" s="113" t="n"/>
      <c r="H4981" s="113" t="n"/>
      <c r="I4981" s="113" t="n"/>
      <c r="J4981" s="113" t="n"/>
      <c r="K4981" s="113" t="n"/>
      <c r="L4981" s="113" t="n"/>
      <c r="M4981" s="113" t="n"/>
      <c r="N4981" s="113" t="n"/>
      <c r="O4981" s="113" t="n"/>
      <c r="P4981" s="113" t="n"/>
      <c r="Q4981" s="113" t="n"/>
      <c r="R4981" s="113" t="n"/>
      <c r="S4981" s="113" t="n"/>
      <c r="T4981" s="113" t="n"/>
      <c r="U4981" s="113" t="n"/>
      <c r="V4981" s="113" t="n"/>
      <c r="W4981" s="113" t="n"/>
      <c r="X4981" s="113" t="n"/>
      <c r="Y4981" s="113" t="n"/>
      <c r="Z4981" s="117">
        <f>IF($B4981="",0,IF($S4981="EVET",IF($D4981="GELİR",$O4981,-$O4981),0))</f>
        <v/>
      </c>
      <c r="AA4981" s="117">
        <f>IF($B4981="",0,IF(OR($W4981="EVET",$X4981="EVET",$Y4981="EVET"),0,IF($D4981="GELİR",IF($E4981="SATIŞ İADESİ/İSKONTO",-$O4981,$O4981),-$O4981)))</f>
        <v/>
      </c>
      <c r="AB4981" s="117">
        <f>IF($B4981="","",IF(OR($D4981="",$E4981="",$O4981=""),"EKSİK",IF($O4981&lt;=0,"SIFIR/NEGATİF",IF(COUNTIFS($C$6:$C$5000,$C4981,$O$6:$O$5000,$O4981,$B$6:$B$5000,$B4981)&gt;1,"MÜKERRER","OK"))))</f>
        <v/>
      </c>
    </row>
    <row r="4982" ht="16.5" customHeight="1" s="80">
      <c r="A4982" s="113" t="n"/>
      <c r="B4982" s="113" t="n"/>
      <c r="C4982" s="113" t="n"/>
      <c r="D4982" s="113" t="n"/>
      <c r="E4982" s="113" t="n"/>
      <c r="F4982" s="113" t="n"/>
      <c r="G4982" s="113" t="n"/>
      <c r="H4982" s="113" t="n"/>
      <c r="I4982" s="113" t="n"/>
      <c r="J4982" s="113" t="n"/>
      <c r="K4982" s="113" t="n"/>
      <c r="L4982" s="113" t="n"/>
      <c r="M4982" s="113" t="n"/>
      <c r="N4982" s="113" t="n"/>
      <c r="O4982" s="113" t="n"/>
      <c r="P4982" s="113" t="n"/>
      <c r="Q4982" s="113" t="n"/>
      <c r="R4982" s="113" t="n"/>
      <c r="S4982" s="113" t="n"/>
      <c r="T4982" s="113" t="n"/>
      <c r="U4982" s="113" t="n"/>
      <c r="V4982" s="113" t="n"/>
      <c r="W4982" s="113" t="n"/>
      <c r="X4982" s="113" t="n"/>
      <c r="Y4982" s="113" t="n"/>
      <c r="Z4982" s="117">
        <f>IF($B4982="",0,IF($S4982="EVET",IF($D4982="GELİR",$O4982,-$O4982),0))</f>
        <v/>
      </c>
      <c r="AA4982" s="117">
        <f>IF($B4982="",0,IF(OR($W4982="EVET",$X4982="EVET",$Y4982="EVET"),0,IF($D4982="GELİR",IF($E4982="SATIŞ İADESİ/İSKONTO",-$O4982,$O4982),-$O4982)))</f>
        <v/>
      </c>
      <c r="AB4982" s="117">
        <f>IF($B4982="","",IF(OR($D4982="",$E4982="",$O4982=""),"EKSİK",IF($O4982&lt;=0,"SIFIR/NEGATİF",IF(COUNTIFS($C$6:$C$5000,$C4982,$O$6:$O$5000,$O4982,$B$6:$B$5000,$B4982)&gt;1,"MÜKERRER","OK"))))</f>
        <v/>
      </c>
    </row>
    <row r="4983" ht="16.5" customHeight="1" s="80">
      <c r="A4983" s="113" t="n"/>
      <c r="B4983" s="113" t="n"/>
      <c r="C4983" s="113" t="n"/>
      <c r="D4983" s="113" t="n"/>
      <c r="E4983" s="113" t="n"/>
      <c r="F4983" s="113" t="n"/>
      <c r="G4983" s="113" t="n"/>
      <c r="H4983" s="113" t="n"/>
      <c r="I4983" s="113" t="n"/>
      <c r="J4983" s="113" t="n"/>
      <c r="K4983" s="113" t="n"/>
      <c r="L4983" s="113" t="n"/>
      <c r="M4983" s="113" t="n"/>
      <c r="N4983" s="113" t="n"/>
      <c r="O4983" s="113" t="n"/>
      <c r="P4983" s="113" t="n"/>
      <c r="Q4983" s="113" t="n"/>
      <c r="R4983" s="113" t="n"/>
      <c r="S4983" s="113" t="n"/>
      <c r="T4983" s="113" t="n"/>
      <c r="U4983" s="113" t="n"/>
      <c r="V4983" s="113" t="n"/>
      <c r="W4983" s="113" t="n"/>
      <c r="X4983" s="113" t="n"/>
      <c r="Y4983" s="113" t="n"/>
      <c r="Z4983" s="117">
        <f>IF($B4983="",0,IF($S4983="EVET",IF($D4983="GELİR",$O4983,-$O4983),0))</f>
        <v/>
      </c>
      <c r="AA4983" s="117">
        <f>IF($B4983="",0,IF(OR($W4983="EVET",$X4983="EVET",$Y4983="EVET"),0,IF($D4983="GELİR",IF($E4983="SATIŞ İADESİ/İSKONTO",-$O4983,$O4983),-$O4983)))</f>
        <v/>
      </c>
      <c r="AB4983" s="117">
        <f>IF($B4983="","",IF(OR($D4983="",$E4983="",$O4983=""),"EKSİK",IF($O4983&lt;=0,"SIFIR/NEGATİF",IF(COUNTIFS($C$6:$C$5000,$C4983,$O$6:$O$5000,$O4983,$B$6:$B$5000,$B4983)&gt;1,"MÜKERRER","OK"))))</f>
        <v/>
      </c>
    </row>
    <row r="4984" ht="16.5" customHeight="1" s="80">
      <c r="A4984" s="113" t="n"/>
      <c r="B4984" s="113" t="n"/>
      <c r="C4984" s="113" t="n"/>
      <c r="D4984" s="113" t="n"/>
      <c r="E4984" s="113" t="n"/>
      <c r="F4984" s="113" t="n"/>
      <c r="G4984" s="113" t="n"/>
      <c r="H4984" s="113" t="n"/>
      <c r="I4984" s="113" t="n"/>
      <c r="J4984" s="113" t="n"/>
      <c r="K4984" s="113" t="n"/>
      <c r="L4984" s="113" t="n"/>
      <c r="M4984" s="113" t="n"/>
      <c r="N4984" s="113" t="n"/>
      <c r="O4984" s="113" t="n"/>
      <c r="P4984" s="113" t="n"/>
      <c r="Q4984" s="113" t="n"/>
      <c r="R4984" s="113" t="n"/>
      <c r="S4984" s="113" t="n"/>
      <c r="T4984" s="113" t="n"/>
      <c r="U4984" s="113" t="n"/>
      <c r="V4984" s="113" t="n"/>
      <c r="W4984" s="113" t="n"/>
      <c r="X4984" s="113" t="n"/>
      <c r="Y4984" s="113" t="n"/>
      <c r="Z4984" s="117">
        <f>IF($B4984="",0,IF($S4984="EVET",IF($D4984="GELİR",$O4984,-$O4984),0))</f>
        <v/>
      </c>
      <c r="AA4984" s="117">
        <f>IF($B4984="",0,IF(OR($W4984="EVET",$X4984="EVET",$Y4984="EVET"),0,IF($D4984="GELİR",IF($E4984="SATIŞ İADESİ/İSKONTO",-$O4984,$O4984),-$O4984)))</f>
        <v/>
      </c>
      <c r="AB4984" s="117">
        <f>IF($B4984="","",IF(OR($D4984="",$E4984="",$O4984=""),"EKSİK",IF($O4984&lt;=0,"SIFIR/NEGATİF",IF(COUNTIFS($C$6:$C$5000,$C4984,$O$6:$O$5000,$O4984,$B$6:$B$5000,$B4984)&gt;1,"MÜKERRER","OK"))))</f>
        <v/>
      </c>
    </row>
    <row r="4985" ht="16.5" customHeight="1" s="80">
      <c r="A4985" s="113" t="n"/>
      <c r="B4985" s="113" t="n"/>
      <c r="C4985" s="113" t="n"/>
      <c r="D4985" s="113" t="n"/>
      <c r="E4985" s="113" t="n"/>
      <c r="F4985" s="113" t="n"/>
      <c r="G4985" s="113" t="n"/>
      <c r="H4985" s="113" t="n"/>
      <c r="I4985" s="113" t="n"/>
      <c r="J4985" s="113" t="n"/>
      <c r="K4985" s="113" t="n"/>
      <c r="L4985" s="113" t="n"/>
      <c r="M4985" s="113" t="n"/>
      <c r="N4985" s="113" t="n"/>
      <c r="O4985" s="113" t="n"/>
      <c r="P4985" s="113" t="n"/>
      <c r="Q4985" s="113" t="n"/>
      <c r="R4985" s="113" t="n"/>
      <c r="S4985" s="113" t="n"/>
      <c r="T4985" s="113" t="n"/>
      <c r="U4985" s="113" t="n"/>
      <c r="V4985" s="113" t="n"/>
      <c r="W4985" s="113" t="n"/>
      <c r="X4985" s="113" t="n"/>
      <c r="Y4985" s="113" t="n"/>
      <c r="Z4985" s="117">
        <f>IF($B4985="",0,IF($S4985="EVET",IF($D4985="GELİR",$O4985,-$O4985),0))</f>
        <v/>
      </c>
      <c r="AA4985" s="117">
        <f>IF($B4985="",0,IF(OR($W4985="EVET",$X4985="EVET",$Y4985="EVET"),0,IF($D4985="GELİR",IF($E4985="SATIŞ İADESİ/İSKONTO",-$O4985,$O4985),-$O4985)))</f>
        <v/>
      </c>
      <c r="AB4985" s="117">
        <f>IF($B4985="","",IF(OR($D4985="",$E4985="",$O4985=""),"EKSİK",IF($O4985&lt;=0,"SIFIR/NEGATİF",IF(COUNTIFS($C$6:$C$5000,$C4985,$O$6:$O$5000,$O4985,$B$6:$B$5000,$B4985)&gt;1,"MÜKERRER","OK"))))</f>
        <v/>
      </c>
    </row>
    <row r="4986" ht="16.5" customHeight="1" s="80">
      <c r="A4986" s="113" t="n"/>
      <c r="B4986" s="113" t="n"/>
      <c r="C4986" s="113" t="n"/>
      <c r="D4986" s="113" t="n"/>
      <c r="E4986" s="113" t="n"/>
      <c r="F4986" s="113" t="n"/>
      <c r="G4986" s="113" t="n"/>
      <c r="H4986" s="113" t="n"/>
      <c r="I4986" s="113" t="n"/>
      <c r="J4986" s="113" t="n"/>
      <c r="K4986" s="113" t="n"/>
      <c r="L4986" s="113" t="n"/>
      <c r="M4986" s="113" t="n"/>
      <c r="N4986" s="113" t="n"/>
      <c r="O4986" s="113" t="n"/>
      <c r="P4986" s="113" t="n"/>
      <c r="Q4986" s="113" t="n"/>
      <c r="R4986" s="113" t="n"/>
      <c r="S4986" s="113" t="n"/>
      <c r="T4986" s="113" t="n"/>
      <c r="U4986" s="113" t="n"/>
      <c r="V4986" s="113" t="n"/>
      <c r="W4986" s="113" t="n"/>
      <c r="X4986" s="113" t="n"/>
      <c r="Y4986" s="113" t="n"/>
      <c r="Z4986" s="117">
        <f>IF($B4986="",0,IF($S4986="EVET",IF($D4986="GELİR",$O4986,-$O4986),0))</f>
        <v/>
      </c>
      <c r="AA4986" s="117">
        <f>IF($B4986="",0,IF(OR($W4986="EVET",$X4986="EVET",$Y4986="EVET"),0,IF($D4986="GELİR",IF($E4986="SATIŞ İADESİ/İSKONTO",-$O4986,$O4986),-$O4986)))</f>
        <v/>
      </c>
      <c r="AB4986" s="117">
        <f>IF($B4986="","",IF(OR($D4986="",$E4986="",$O4986=""),"EKSİK",IF($O4986&lt;=0,"SIFIR/NEGATİF",IF(COUNTIFS($C$6:$C$5000,$C4986,$O$6:$O$5000,$O4986,$B$6:$B$5000,$B4986)&gt;1,"MÜKERRER","OK"))))</f>
        <v/>
      </c>
    </row>
    <row r="4987" ht="16.5" customHeight="1" s="80">
      <c r="A4987" s="113" t="n"/>
      <c r="B4987" s="113" t="n"/>
      <c r="C4987" s="113" t="n"/>
      <c r="D4987" s="113" t="n"/>
      <c r="E4987" s="113" t="n"/>
      <c r="F4987" s="113" t="n"/>
      <c r="G4987" s="113" t="n"/>
      <c r="H4987" s="113" t="n"/>
      <c r="I4987" s="113" t="n"/>
      <c r="J4987" s="113" t="n"/>
      <c r="K4987" s="113" t="n"/>
      <c r="L4987" s="113" t="n"/>
      <c r="M4987" s="113" t="n"/>
      <c r="N4987" s="113" t="n"/>
      <c r="O4987" s="113" t="n"/>
      <c r="P4987" s="113" t="n"/>
      <c r="Q4987" s="113" t="n"/>
      <c r="R4987" s="113" t="n"/>
      <c r="S4987" s="113" t="n"/>
      <c r="T4987" s="113" t="n"/>
      <c r="U4987" s="113" t="n"/>
      <c r="V4987" s="113" t="n"/>
      <c r="W4987" s="113" t="n"/>
      <c r="X4987" s="113" t="n"/>
      <c r="Y4987" s="113" t="n"/>
      <c r="Z4987" s="117">
        <f>IF($B4987="",0,IF($S4987="EVET",IF($D4987="GELİR",$O4987,-$O4987),0))</f>
        <v/>
      </c>
      <c r="AA4987" s="117">
        <f>IF($B4987="",0,IF(OR($W4987="EVET",$X4987="EVET",$Y4987="EVET"),0,IF($D4987="GELİR",IF($E4987="SATIŞ İADESİ/İSKONTO",-$O4987,$O4987),-$O4987)))</f>
        <v/>
      </c>
      <c r="AB4987" s="117">
        <f>IF($B4987="","",IF(OR($D4987="",$E4987="",$O4987=""),"EKSİK",IF($O4987&lt;=0,"SIFIR/NEGATİF",IF(COUNTIFS($C$6:$C$5000,$C4987,$O$6:$O$5000,$O4987,$B$6:$B$5000,$B4987)&gt;1,"MÜKERRER","OK"))))</f>
        <v/>
      </c>
    </row>
    <row r="4988" ht="16.5" customHeight="1" s="80">
      <c r="A4988" s="113" t="n"/>
      <c r="B4988" s="113" t="n"/>
      <c r="C4988" s="113" t="n"/>
      <c r="D4988" s="113" t="n"/>
      <c r="E4988" s="113" t="n"/>
      <c r="F4988" s="113" t="n"/>
      <c r="G4988" s="113" t="n"/>
      <c r="H4988" s="113" t="n"/>
      <c r="I4988" s="113" t="n"/>
      <c r="J4988" s="113" t="n"/>
      <c r="K4988" s="113" t="n"/>
      <c r="L4988" s="113" t="n"/>
      <c r="M4988" s="113" t="n"/>
      <c r="N4988" s="113" t="n"/>
      <c r="O4988" s="113" t="n"/>
      <c r="P4988" s="113" t="n"/>
      <c r="Q4988" s="113" t="n"/>
      <c r="R4988" s="113" t="n"/>
      <c r="S4988" s="113" t="n"/>
      <c r="T4988" s="113" t="n"/>
      <c r="U4988" s="113" t="n"/>
      <c r="V4988" s="113" t="n"/>
      <c r="W4988" s="113" t="n"/>
      <c r="X4988" s="113" t="n"/>
      <c r="Y4988" s="113" t="n"/>
      <c r="Z4988" s="117">
        <f>IF($B4988="",0,IF($S4988="EVET",IF($D4988="GELİR",$O4988,-$O4988),0))</f>
        <v/>
      </c>
      <c r="AA4988" s="117">
        <f>IF($B4988="",0,IF(OR($W4988="EVET",$X4988="EVET",$Y4988="EVET"),0,IF($D4988="GELİR",IF($E4988="SATIŞ İADESİ/İSKONTO",-$O4988,$O4988),-$O4988)))</f>
        <v/>
      </c>
      <c r="AB4988" s="117">
        <f>IF($B4988="","",IF(OR($D4988="",$E4988="",$O4988=""),"EKSİK",IF($O4988&lt;=0,"SIFIR/NEGATİF",IF(COUNTIFS($C$6:$C$5000,$C4988,$O$6:$O$5000,$O4988,$B$6:$B$5000,$B4988)&gt;1,"MÜKERRER","OK"))))</f>
        <v/>
      </c>
    </row>
    <row r="4989" ht="16.5" customHeight="1" s="80">
      <c r="A4989" s="113" t="n"/>
      <c r="B4989" s="113" t="n"/>
      <c r="C4989" s="113" t="n"/>
      <c r="D4989" s="113" t="n"/>
      <c r="E4989" s="113" t="n"/>
      <c r="F4989" s="113" t="n"/>
      <c r="G4989" s="113" t="n"/>
      <c r="H4989" s="113" t="n"/>
      <c r="I4989" s="113" t="n"/>
      <c r="J4989" s="113" t="n"/>
      <c r="K4989" s="113" t="n"/>
      <c r="L4989" s="113" t="n"/>
      <c r="M4989" s="113" t="n"/>
      <c r="N4989" s="113" t="n"/>
      <c r="O4989" s="113" t="n"/>
      <c r="P4989" s="113" t="n"/>
      <c r="Q4989" s="113" t="n"/>
      <c r="R4989" s="113" t="n"/>
      <c r="S4989" s="113" t="n"/>
      <c r="T4989" s="113" t="n"/>
      <c r="U4989" s="113" t="n"/>
      <c r="V4989" s="113" t="n"/>
      <c r="W4989" s="113" t="n"/>
      <c r="X4989" s="113" t="n"/>
      <c r="Y4989" s="113" t="n"/>
      <c r="Z4989" s="117">
        <f>IF($B4989="",0,IF($S4989="EVET",IF($D4989="GELİR",$O4989,-$O4989),0))</f>
        <v/>
      </c>
      <c r="AA4989" s="117">
        <f>IF($B4989="",0,IF(OR($W4989="EVET",$X4989="EVET",$Y4989="EVET"),0,IF($D4989="GELİR",IF($E4989="SATIŞ İADESİ/İSKONTO",-$O4989,$O4989),-$O4989)))</f>
        <v/>
      </c>
      <c r="AB4989" s="117">
        <f>IF($B4989="","",IF(OR($D4989="",$E4989="",$O4989=""),"EKSİK",IF($O4989&lt;=0,"SIFIR/NEGATİF",IF(COUNTIFS($C$6:$C$5000,$C4989,$O$6:$O$5000,$O4989,$B$6:$B$5000,$B4989)&gt;1,"MÜKERRER","OK"))))</f>
        <v/>
      </c>
    </row>
    <row r="4990" ht="16.5" customHeight="1" s="80">
      <c r="A4990" s="113" t="n"/>
      <c r="B4990" s="113" t="n"/>
      <c r="C4990" s="113" t="n"/>
      <c r="D4990" s="113" t="n"/>
      <c r="E4990" s="113" t="n"/>
      <c r="F4990" s="113" t="n"/>
      <c r="G4990" s="113" t="n"/>
      <c r="H4990" s="113" t="n"/>
      <c r="I4990" s="113" t="n"/>
      <c r="J4990" s="113" t="n"/>
      <c r="K4990" s="113" t="n"/>
      <c r="L4990" s="113" t="n"/>
      <c r="M4990" s="113" t="n"/>
      <c r="N4990" s="113" t="n"/>
      <c r="O4990" s="113" t="n"/>
      <c r="P4990" s="113" t="n"/>
      <c r="Q4990" s="113" t="n"/>
      <c r="R4990" s="113" t="n"/>
      <c r="S4990" s="113" t="n"/>
      <c r="T4990" s="113" t="n"/>
      <c r="U4990" s="113" t="n"/>
      <c r="V4990" s="113" t="n"/>
      <c r="W4990" s="113" t="n"/>
      <c r="X4990" s="113" t="n"/>
      <c r="Y4990" s="113" t="n"/>
      <c r="Z4990" s="117">
        <f>IF($B4990="",0,IF($S4990="EVET",IF($D4990="GELİR",$O4990,-$O4990),0))</f>
        <v/>
      </c>
      <c r="AA4990" s="117">
        <f>IF($B4990="",0,IF(OR($W4990="EVET",$X4990="EVET",$Y4990="EVET"),0,IF($D4990="GELİR",IF($E4990="SATIŞ İADESİ/İSKONTO",-$O4990,$O4990),-$O4990)))</f>
        <v/>
      </c>
      <c r="AB4990" s="117">
        <f>IF($B4990="","",IF(OR($D4990="",$E4990="",$O4990=""),"EKSİK",IF($O4990&lt;=0,"SIFIR/NEGATİF",IF(COUNTIFS($C$6:$C$5000,$C4990,$O$6:$O$5000,$O4990,$B$6:$B$5000,$B4990)&gt;1,"MÜKERRER","OK"))))</f>
        <v/>
      </c>
    </row>
    <row r="4991" ht="16.5" customHeight="1" s="80">
      <c r="A4991" s="113" t="n"/>
      <c r="B4991" s="113" t="n"/>
      <c r="C4991" s="113" t="n"/>
      <c r="D4991" s="113" t="n"/>
      <c r="E4991" s="113" t="n"/>
      <c r="F4991" s="113" t="n"/>
      <c r="G4991" s="113" t="n"/>
      <c r="H4991" s="113" t="n"/>
      <c r="I4991" s="113" t="n"/>
      <c r="J4991" s="113" t="n"/>
      <c r="K4991" s="113" t="n"/>
      <c r="L4991" s="113" t="n"/>
      <c r="M4991" s="113" t="n"/>
      <c r="N4991" s="113" t="n"/>
      <c r="O4991" s="113" t="n"/>
      <c r="P4991" s="113" t="n"/>
      <c r="Q4991" s="113" t="n"/>
      <c r="R4991" s="113" t="n"/>
      <c r="S4991" s="113" t="n"/>
      <c r="T4991" s="113" t="n"/>
      <c r="U4991" s="113" t="n"/>
      <c r="V4991" s="113" t="n"/>
      <c r="W4991" s="113" t="n"/>
      <c r="X4991" s="113" t="n"/>
      <c r="Y4991" s="113" t="n"/>
      <c r="Z4991" s="117">
        <f>IF($B4991="",0,IF($S4991="EVET",IF($D4991="GELİR",$O4991,-$O4991),0))</f>
        <v/>
      </c>
      <c r="AA4991" s="117">
        <f>IF($B4991="",0,IF(OR($W4991="EVET",$X4991="EVET",$Y4991="EVET"),0,IF($D4991="GELİR",IF($E4991="SATIŞ İADESİ/İSKONTO",-$O4991,$O4991),-$O4991)))</f>
        <v/>
      </c>
      <c r="AB4991" s="117">
        <f>IF($B4991="","",IF(OR($D4991="",$E4991="",$O4991=""),"EKSİK",IF($O4991&lt;=0,"SIFIR/NEGATİF",IF(COUNTIFS($C$6:$C$5000,$C4991,$O$6:$O$5000,$O4991,$B$6:$B$5000,$B4991)&gt;1,"MÜKERRER","OK"))))</f>
        <v/>
      </c>
    </row>
    <row r="4992" ht="16.5" customHeight="1" s="80">
      <c r="A4992" s="113" t="n"/>
      <c r="B4992" s="113" t="n"/>
      <c r="C4992" s="113" t="n"/>
      <c r="D4992" s="113" t="n"/>
      <c r="E4992" s="113" t="n"/>
      <c r="F4992" s="113" t="n"/>
      <c r="G4992" s="113" t="n"/>
      <c r="H4992" s="113" t="n"/>
      <c r="I4992" s="113" t="n"/>
      <c r="J4992" s="113" t="n"/>
      <c r="K4992" s="113" t="n"/>
      <c r="L4992" s="113" t="n"/>
      <c r="M4992" s="113" t="n"/>
      <c r="N4992" s="113" t="n"/>
      <c r="O4992" s="113" t="n"/>
      <c r="P4992" s="113" t="n"/>
      <c r="Q4992" s="113" t="n"/>
      <c r="R4992" s="113" t="n"/>
      <c r="S4992" s="113" t="n"/>
      <c r="T4992" s="113" t="n"/>
      <c r="U4992" s="113" t="n"/>
      <c r="V4992" s="113" t="n"/>
      <c r="W4992" s="113" t="n"/>
      <c r="X4992" s="113" t="n"/>
      <c r="Y4992" s="113" t="n"/>
      <c r="Z4992" s="117">
        <f>IF($B4992="",0,IF($S4992="EVET",IF($D4992="GELİR",$O4992,-$O4992),0))</f>
        <v/>
      </c>
      <c r="AA4992" s="117">
        <f>IF($B4992="",0,IF(OR($W4992="EVET",$X4992="EVET",$Y4992="EVET"),0,IF($D4992="GELİR",IF($E4992="SATIŞ İADESİ/İSKONTO",-$O4992,$O4992),-$O4992)))</f>
        <v/>
      </c>
      <c r="AB4992" s="117">
        <f>IF($B4992="","",IF(OR($D4992="",$E4992="",$O4992=""),"EKSİK",IF($O4992&lt;=0,"SIFIR/NEGATİF",IF(COUNTIFS($C$6:$C$5000,$C4992,$O$6:$O$5000,$O4992,$B$6:$B$5000,$B4992)&gt;1,"MÜKERRER","OK"))))</f>
        <v/>
      </c>
    </row>
    <row r="4993" ht="16.5" customHeight="1" s="80">
      <c r="A4993" s="113" t="n"/>
      <c r="B4993" s="113" t="n"/>
      <c r="C4993" s="113" t="n"/>
      <c r="D4993" s="113" t="n"/>
      <c r="E4993" s="113" t="n"/>
      <c r="F4993" s="113" t="n"/>
      <c r="G4993" s="113" t="n"/>
      <c r="H4993" s="113" t="n"/>
      <c r="I4993" s="113" t="n"/>
      <c r="J4993" s="113" t="n"/>
      <c r="K4993" s="113" t="n"/>
      <c r="L4993" s="113" t="n"/>
      <c r="M4993" s="113" t="n"/>
      <c r="N4993" s="113" t="n"/>
      <c r="O4993" s="113" t="n"/>
      <c r="P4993" s="113" t="n"/>
      <c r="Q4993" s="113" t="n"/>
      <c r="R4993" s="113" t="n"/>
      <c r="S4993" s="113" t="n"/>
      <c r="T4993" s="113" t="n"/>
      <c r="U4993" s="113" t="n"/>
      <c r="V4993" s="113" t="n"/>
      <c r="W4993" s="113" t="n"/>
      <c r="X4993" s="113" t="n"/>
      <c r="Y4993" s="113" t="n"/>
      <c r="Z4993" s="117">
        <f>IF($B4993="",0,IF($S4993="EVET",IF($D4993="GELİR",$O4993,-$O4993),0))</f>
        <v/>
      </c>
      <c r="AA4993" s="117">
        <f>IF($B4993="",0,IF(OR($W4993="EVET",$X4993="EVET",$Y4993="EVET"),0,IF($D4993="GELİR",IF($E4993="SATIŞ İADESİ/İSKONTO",-$O4993,$O4993),-$O4993)))</f>
        <v/>
      </c>
      <c r="AB4993" s="117">
        <f>IF($B4993="","",IF(OR($D4993="",$E4993="",$O4993=""),"EKSİK",IF($O4993&lt;=0,"SIFIR/NEGATİF",IF(COUNTIFS($C$6:$C$5000,$C4993,$O$6:$O$5000,$O4993,$B$6:$B$5000,$B4993)&gt;1,"MÜKERRER","OK"))))</f>
        <v/>
      </c>
    </row>
    <row r="4994" ht="16.5" customHeight="1" s="80">
      <c r="A4994" s="113" t="n"/>
      <c r="B4994" s="113" t="n"/>
      <c r="C4994" s="113" t="n"/>
      <c r="D4994" s="113" t="n"/>
      <c r="E4994" s="113" t="n"/>
      <c r="F4994" s="113" t="n"/>
      <c r="G4994" s="113" t="n"/>
      <c r="H4994" s="113" t="n"/>
      <c r="I4994" s="113" t="n"/>
      <c r="J4994" s="113" t="n"/>
      <c r="K4994" s="113" t="n"/>
      <c r="L4994" s="113" t="n"/>
      <c r="M4994" s="113" t="n"/>
      <c r="N4994" s="113" t="n"/>
      <c r="O4994" s="113" t="n"/>
      <c r="P4994" s="113" t="n"/>
      <c r="Q4994" s="113" t="n"/>
      <c r="R4994" s="113" t="n"/>
      <c r="S4994" s="113" t="n"/>
      <c r="T4994" s="113" t="n"/>
      <c r="U4994" s="113" t="n"/>
      <c r="V4994" s="113" t="n"/>
      <c r="W4994" s="113" t="n"/>
      <c r="X4994" s="113" t="n"/>
      <c r="Y4994" s="113" t="n"/>
      <c r="Z4994" s="117">
        <f>IF($B4994="",0,IF($S4994="EVET",IF($D4994="GELİR",$O4994,-$O4994),0))</f>
        <v/>
      </c>
      <c r="AA4994" s="117">
        <f>IF($B4994="",0,IF(OR($W4994="EVET",$X4994="EVET",$Y4994="EVET"),0,IF($D4994="GELİR",IF($E4994="SATIŞ İADESİ/İSKONTO",-$O4994,$O4994),-$O4994)))</f>
        <v/>
      </c>
      <c r="AB4994" s="117">
        <f>IF($B4994="","",IF(OR($D4994="",$E4994="",$O4994=""),"EKSİK",IF($O4994&lt;=0,"SIFIR/NEGATİF",IF(COUNTIFS($C$6:$C$5000,$C4994,$O$6:$O$5000,$O4994,$B$6:$B$5000,$B4994)&gt;1,"MÜKERRER","OK"))))</f>
        <v/>
      </c>
    </row>
    <row r="4995" ht="16.5" customHeight="1" s="80">
      <c r="A4995" s="113" t="n"/>
      <c r="B4995" s="113" t="n"/>
      <c r="C4995" s="113" t="n"/>
      <c r="D4995" s="113" t="n"/>
      <c r="E4995" s="113" t="n"/>
      <c r="F4995" s="113" t="n"/>
      <c r="G4995" s="113" t="n"/>
      <c r="H4995" s="113" t="n"/>
      <c r="I4995" s="113" t="n"/>
      <c r="J4995" s="113" t="n"/>
      <c r="K4995" s="113" t="n"/>
      <c r="L4995" s="113" t="n"/>
      <c r="M4995" s="113" t="n"/>
      <c r="N4995" s="113" t="n"/>
      <c r="O4995" s="113" t="n"/>
      <c r="P4995" s="113" t="n"/>
      <c r="Q4995" s="113" t="n"/>
      <c r="R4995" s="113" t="n"/>
      <c r="S4995" s="113" t="n"/>
      <c r="T4995" s="113" t="n"/>
      <c r="U4995" s="113" t="n"/>
      <c r="V4995" s="113" t="n"/>
      <c r="W4995" s="113" t="n"/>
      <c r="X4995" s="113" t="n"/>
      <c r="Y4995" s="113" t="n"/>
      <c r="Z4995" s="117">
        <f>IF($B4995="",0,IF($S4995="EVET",IF($D4995="GELİR",$O4995,-$O4995),0))</f>
        <v/>
      </c>
      <c r="AA4995" s="117">
        <f>IF($B4995="",0,IF(OR($W4995="EVET",$X4995="EVET",$Y4995="EVET"),0,IF($D4995="GELİR",IF($E4995="SATIŞ İADESİ/İSKONTO",-$O4995,$O4995),-$O4995)))</f>
        <v/>
      </c>
      <c r="AB4995" s="117">
        <f>IF($B4995="","",IF(OR($D4995="",$E4995="",$O4995=""),"EKSİK",IF($O4995&lt;=0,"SIFIR/NEGATİF",IF(COUNTIFS($C$6:$C$5000,$C4995,$O$6:$O$5000,$O4995,$B$6:$B$5000,$B4995)&gt;1,"MÜKERRER","OK"))))</f>
        <v/>
      </c>
    </row>
    <row r="4996" ht="16.5" customHeight="1" s="80">
      <c r="A4996" s="113" t="n"/>
      <c r="B4996" s="113" t="n"/>
      <c r="C4996" s="113" t="n"/>
      <c r="D4996" s="113" t="n"/>
      <c r="E4996" s="113" t="n"/>
      <c r="F4996" s="113" t="n"/>
      <c r="G4996" s="113" t="n"/>
      <c r="H4996" s="113" t="n"/>
      <c r="I4996" s="113" t="n"/>
      <c r="J4996" s="113" t="n"/>
      <c r="K4996" s="113" t="n"/>
      <c r="L4996" s="113" t="n"/>
      <c r="M4996" s="113" t="n"/>
      <c r="N4996" s="113" t="n"/>
      <c r="O4996" s="113" t="n"/>
      <c r="P4996" s="113" t="n"/>
      <c r="Q4996" s="113" t="n"/>
      <c r="R4996" s="113" t="n"/>
      <c r="S4996" s="113" t="n"/>
      <c r="T4996" s="113" t="n"/>
      <c r="U4996" s="113" t="n"/>
      <c r="V4996" s="113" t="n"/>
      <c r="W4996" s="113" t="n"/>
      <c r="X4996" s="113" t="n"/>
      <c r="Y4996" s="113" t="n"/>
      <c r="Z4996" s="117">
        <f>IF($B4996="",0,IF($S4996="EVET",IF($D4996="GELİR",$O4996,-$O4996),0))</f>
        <v/>
      </c>
      <c r="AA4996" s="117">
        <f>IF($B4996="",0,IF(OR($W4996="EVET",$X4996="EVET",$Y4996="EVET"),0,IF($D4996="GELİR",IF($E4996="SATIŞ İADESİ/İSKONTO",-$O4996,$O4996),-$O4996)))</f>
        <v/>
      </c>
      <c r="AB4996" s="117">
        <f>IF($B4996="","",IF(OR($D4996="",$E4996="",$O4996=""),"EKSİK",IF($O4996&lt;=0,"SIFIR/NEGATİF",IF(COUNTIFS($C$6:$C$5000,$C4996,$O$6:$O$5000,$O4996,$B$6:$B$5000,$B4996)&gt;1,"MÜKERRER","OK"))))</f>
        <v/>
      </c>
    </row>
    <row r="4997" ht="16.5" customHeight="1" s="80">
      <c r="A4997" s="113" t="n"/>
      <c r="B4997" s="113" t="n"/>
      <c r="C4997" s="113" t="n"/>
      <c r="D4997" s="113" t="n"/>
      <c r="E4997" s="113" t="n"/>
      <c r="F4997" s="113" t="n"/>
      <c r="G4997" s="113" t="n"/>
      <c r="H4997" s="113" t="n"/>
      <c r="I4997" s="113" t="n"/>
      <c r="J4997" s="113" t="n"/>
      <c r="K4997" s="113" t="n"/>
      <c r="L4997" s="113" t="n"/>
      <c r="M4997" s="113" t="n"/>
      <c r="N4997" s="113" t="n"/>
      <c r="O4997" s="113" t="n"/>
      <c r="P4997" s="113" t="n"/>
      <c r="Q4997" s="113" t="n"/>
      <c r="R4997" s="113" t="n"/>
      <c r="S4997" s="113" t="n"/>
      <c r="T4997" s="113" t="n"/>
      <c r="U4997" s="113" t="n"/>
      <c r="V4997" s="113" t="n"/>
      <c r="W4997" s="113" t="n"/>
      <c r="X4997" s="113" t="n"/>
      <c r="Y4997" s="113" t="n"/>
      <c r="Z4997" s="117">
        <f>IF($B4997="",0,IF($S4997="EVET",IF($D4997="GELİR",$O4997,-$O4997),0))</f>
        <v/>
      </c>
      <c r="AA4997" s="117">
        <f>IF($B4997="",0,IF(OR($W4997="EVET",$X4997="EVET",$Y4997="EVET"),0,IF($D4997="GELİR",IF($E4997="SATIŞ İADESİ/İSKONTO",-$O4997,$O4997),-$O4997)))</f>
        <v/>
      </c>
      <c r="AB4997" s="117">
        <f>IF($B4997="","",IF(OR($D4997="",$E4997="",$O4997=""),"EKSİK",IF($O4997&lt;=0,"SIFIR/NEGATİF",IF(COUNTIFS($C$6:$C$5000,$C4997,$O$6:$O$5000,$O4997,$B$6:$B$5000,$B4997)&gt;1,"MÜKERRER","OK"))))</f>
        <v/>
      </c>
    </row>
    <row r="4998" ht="16.5" customHeight="1" s="80">
      <c r="A4998" s="113" t="n"/>
      <c r="B4998" s="113" t="n"/>
      <c r="C4998" s="113" t="n"/>
      <c r="D4998" s="113" t="n"/>
      <c r="E4998" s="113" t="n"/>
      <c r="F4998" s="113" t="n"/>
      <c r="G4998" s="113" t="n"/>
      <c r="H4998" s="113" t="n"/>
      <c r="I4998" s="113" t="n"/>
      <c r="J4998" s="113" t="n"/>
      <c r="K4998" s="113" t="n"/>
      <c r="L4998" s="113" t="n"/>
      <c r="M4998" s="113" t="n"/>
      <c r="N4998" s="113" t="n"/>
      <c r="O4998" s="113" t="n"/>
      <c r="P4998" s="113" t="n"/>
      <c r="Q4998" s="113" t="n"/>
      <c r="R4998" s="113" t="n"/>
      <c r="S4998" s="113" t="n"/>
      <c r="T4998" s="113" t="n"/>
      <c r="U4998" s="113" t="n"/>
      <c r="V4998" s="113" t="n"/>
      <c r="W4998" s="113" t="n"/>
      <c r="X4998" s="113" t="n"/>
      <c r="Y4998" s="113" t="n"/>
      <c r="Z4998" s="117">
        <f>IF($B4998="",0,IF($S4998="EVET",IF($D4998="GELİR",$O4998,-$O4998),0))</f>
        <v/>
      </c>
      <c r="AA4998" s="117">
        <f>IF($B4998="",0,IF(OR($W4998="EVET",$X4998="EVET",$Y4998="EVET"),0,IF($D4998="GELİR",IF($E4998="SATIŞ İADESİ/İSKONTO",-$O4998,$O4998),-$O4998)))</f>
        <v/>
      </c>
      <c r="AB4998" s="117">
        <f>IF($B4998="","",IF(OR($D4998="",$E4998="",$O4998=""),"EKSİK",IF($O4998&lt;=0,"SIFIR/NEGATİF",IF(COUNTIFS($C$6:$C$5000,$C4998,$O$6:$O$5000,$O4998,$B$6:$B$5000,$B4998)&gt;1,"MÜKERRER","OK"))))</f>
        <v/>
      </c>
    </row>
    <row r="4999" ht="16.5" customHeight="1" s="80">
      <c r="A4999" s="113" t="n"/>
      <c r="B4999" s="113" t="n"/>
      <c r="C4999" s="113" t="n"/>
      <c r="D4999" s="113" t="n"/>
      <c r="E4999" s="113" t="n"/>
      <c r="F4999" s="113" t="n"/>
      <c r="G4999" s="113" t="n"/>
      <c r="H4999" s="113" t="n"/>
      <c r="I4999" s="113" t="n"/>
      <c r="J4999" s="113" t="n"/>
      <c r="K4999" s="113" t="n"/>
      <c r="L4999" s="113" t="n"/>
      <c r="M4999" s="113" t="n"/>
      <c r="N4999" s="113" t="n"/>
      <c r="O4999" s="113" t="n"/>
      <c r="P4999" s="113" t="n"/>
      <c r="Q4999" s="113" t="n"/>
      <c r="R4999" s="113" t="n"/>
      <c r="S4999" s="113" t="n"/>
      <c r="T4999" s="113" t="n"/>
      <c r="U4999" s="113" t="n"/>
      <c r="V4999" s="113" t="n"/>
      <c r="W4999" s="113" t="n"/>
      <c r="X4999" s="113" t="n"/>
      <c r="Y4999" s="113" t="n"/>
      <c r="Z4999" s="117">
        <f>IF($B4999="",0,IF($S4999="EVET",IF($D4999="GELİR",$O4999,-$O4999),0))</f>
        <v/>
      </c>
      <c r="AA4999" s="117">
        <f>IF($B4999="",0,IF(OR($W4999="EVET",$X4999="EVET",$Y4999="EVET"),0,IF($D4999="GELİR",IF($E4999="SATIŞ İADESİ/İSKONTO",-$O4999,$O4999),-$O4999)))</f>
        <v/>
      </c>
      <c r="AB4999" s="117">
        <f>IF($B4999="","",IF(OR($D4999="",$E4999="",$O4999=""),"EKSİK",IF($O4999&lt;=0,"SIFIR/NEGATİF",IF(COUNTIFS($C$6:$C$5000,$C4999,$O$6:$O$5000,$O4999,$B$6:$B$5000,$B4999)&gt;1,"MÜKERRER","OK"))))</f>
        <v/>
      </c>
    </row>
    <row r="5000" ht="16.5" customHeight="1" s="80">
      <c r="A5000" s="113" t="n"/>
      <c r="B5000" s="113" t="n"/>
      <c r="C5000" s="113" t="n"/>
      <c r="D5000" s="113" t="n"/>
      <c r="E5000" s="113" t="n"/>
      <c r="F5000" s="113" t="n"/>
      <c r="G5000" s="113" t="n"/>
      <c r="H5000" s="113" t="n"/>
      <c r="I5000" s="113" t="n"/>
      <c r="J5000" s="113" t="n"/>
      <c r="K5000" s="113" t="n"/>
      <c r="L5000" s="113" t="n"/>
      <c r="M5000" s="113" t="n"/>
      <c r="N5000" s="113" t="n"/>
      <c r="O5000" s="113" t="n"/>
      <c r="P5000" s="113" t="n"/>
      <c r="Q5000" s="113" t="n"/>
      <c r="R5000" s="113" t="n"/>
      <c r="S5000" s="113" t="n"/>
      <c r="T5000" s="113" t="n"/>
      <c r="U5000" s="113" t="n"/>
      <c r="V5000" s="113" t="n"/>
      <c r="W5000" s="113" t="n"/>
      <c r="X5000" s="113" t="n"/>
      <c r="Y5000" s="113" t="n"/>
      <c r="Z5000" s="117">
        <f>IF($B5000="",0,IF($S5000="EVET",IF($D5000="GELİR",$O5000,-$O5000),0))</f>
        <v/>
      </c>
      <c r="AA5000" s="117">
        <f>IF($B5000="",0,IF(OR($W5000="EVET",$X5000="EVET",$Y5000="EVET"),0,IF($D5000="GELİR",IF($E5000="SATIŞ İADESİ/İSKONTO",-$O5000,$O5000),-$O5000)))</f>
        <v/>
      </c>
      <c r="AB5000" s="117">
        <f>IF($B5000="","",IF(OR($D5000="",$E5000="",$O5000=""),"EKSİK",IF($O5000&lt;=0,"SIFIR/NEGATİF",IF(COUNTIFS($C$6:$C$5000,$C5000,$O$6:$O$5000,$O5000,$B$6:$B$5000,$B5000)&gt;1,"MÜKERRER","OK"))))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D6:D5000">
    <cfRule type="cellIs" rank="0" priority="2" equalAverage="0" operator="equal" aboveAverage="0" dxfId="7" text="" percent="0" bottom="0">
      <formula>"GELİR"</formula>
    </cfRule>
    <cfRule type="cellIs" rank="0" priority="3" equalAverage="0" operator="equal" aboveAverage="0" dxfId="12" text="" percent="0" bottom="0">
      <formula>"GİDER"</formula>
    </cfRule>
  </conditionalFormatting>
  <conditionalFormatting sqref="S6:S5000">
    <cfRule type="cellIs" rank="0" priority="4" equalAverage="0" operator="equal" aboveAverage="0" dxfId="7" text="" percent="0" bottom="0">
      <formula>"EVET"</formula>
    </cfRule>
    <cfRule type="cellIs" rank="0" priority="5" equalAverage="0" operator="equal" aboveAverage="0" dxfId="8" text="" percent="0" bottom="0">
      <formula>"HAYIR"</formula>
    </cfRule>
  </conditionalFormatting>
  <conditionalFormatting sqref="Z6:Z5000">
    <cfRule type="cellIs" rank="0" priority="6" equalAverage="0" operator="greaterThan" aboveAverage="0" dxfId="7" text="" percent="0" bottom="0">
      <formula>0</formula>
    </cfRule>
    <cfRule type="cellIs" rank="0" priority="7" equalAverage="0" operator="lessThan" aboveAverage="0" dxfId="12" text="" percent="0" bottom="0">
      <formula>0</formula>
    </cfRule>
  </conditionalFormatting>
  <conditionalFormatting sqref="AA6:AA5000">
    <cfRule type="cellIs" rank="0" priority="8" equalAverage="0" operator="greaterThan" aboveAverage="0" dxfId="7" text="" percent="0" bottom="0">
      <formula>0</formula>
    </cfRule>
    <cfRule type="cellIs" rank="0" priority="9" equalAverage="0" operator="lessThan" aboveAverage="0" dxfId="12" text="" percent="0" bottom="0">
      <formula>0</formula>
    </cfRule>
  </conditionalFormatting>
  <conditionalFormatting sqref="AB6:AB5000">
    <cfRule type="cellIs" rank="0" priority="10" equalAverage="0" operator="equal" aboveAverage="0" dxfId="7" text="" percent="0" bottom="0">
      <formula>"OK"</formula>
    </cfRule>
    <cfRule type="cellIs" rank="0" priority="11" equalAverage="0" operator="equal" aboveAverage="0" dxfId="8" text="" percent="0" bottom="0">
      <formula>"EKSİK"</formula>
    </cfRule>
    <cfRule type="cellIs" rank="0" priority="12" equalAverage="0" operator="equal" aboveAverage="0" dxfId="13" text="" percent="0" bottom="0">
      <formula>"MÜKERRER"</formula>
    </cfRule>
    <cfRule type="cellIs" rank="0" priority="13" equalAverage="0" operator="equal" aboveAverage="0" dxfId="12" text="" percent="0" bottom="0">
      <formula>"SIFIR/NEGATİF"</formula>
    </cfRule>
  </conditionalFormatting>
  <dataValidations count="24">
    <dataValidation sqref="B6:B5000" showDropDown="0" showInputMessage="1" showErrorMessage="1" allowBlank="1" errorTitle="Geçersiz tarih" error="Tarih doğru biçimde girilmelidir." promptTitle="Tarih" prompt="İşlem tarihini girin (GG.AA.YYYY)." type="date" errorStyle="stop" operator="between">
      <formula1>1</formula1>
      <formula2>0</formula2>
    </dataValidation>
    <dataValidation sqref="C6:C5000" showDropDown="0" showInputMessage="1" showErrorMessage="1" allowBlank="1" errorTitle="Geçersiz belge numarası" error="Belge numarası gereklidir." promptTitle="Belge Numarası" prompt="Belge numarasını girin. Boş bırakılırsa EKSİK olarak işaretlenir." type="textLength" errorStyle="stop" operator="between">
      <formula1>1</formula1>
      <formula2>0</formula2>
    </dataValidation>
    <dataValidation sqref="D6:D5000" showDropDown="0" showInputMessage="1" showErrorMessage="1" allowBlank="1" errorTitle="Geçersiz tür" error="İşlem türü GELİR veya GİDER olmalıdır." promptTitle="İşlem Türü" prompt="GELİR veya GİDER seçin. GELİR nakit girişini, GİDER nakit çıkışını gösterir." type="list" errorStyle="stop" operator="between">
      <formula1>LISTELER!$A$4:$A$5</formula1>
      <formula2>0</formula2>
    </dataValidation>
    <dataValidation sqref="E6:E5000" showDropDown="0" showInputMessage="1" showErrorMessage="1" allowBlank="1" errorTitle="Geçersiz sınıf" error="Ana Sınıf listeden seçilmelidir." promptTitle="Ana Sınıf" prompt="Muhasebe sınıfını seçin (Satış, Personel, Kira, Finansman vb.)." type="list" errorStyle="stop" operator="between">
      <formula1>LISTELER!$B$4:$B$20</formula1>
      <formula2>0</formula2>
    </dataValidation>
    <dataValidation sqref="F6:F5000" showDropDown="0" showInputMessage="1" showErrorMessage="1" allowBlank="1" errorTitle="Geçersiz kategori" error="Kategori listeden seçilmelidir." promptTitle="Kategori" prompt="Gider veya gelir kategorisini seçin." type="list" errorStyle="stop" operator="between">
      <formula1>LISTELER!$C$4:$C$20</formula1>
      <formula2>0</formula2>
    </dataValidation>
    <dataValidation sqref="G6:G5000" showDropDown="0" showInputMessage="1" showErrorMessage="1" allowBlank="1" errorTitle="Geçersiz" error="İsteğe bağlıdır." promptTitle="Alt Kategori" prompt="İsteğe bağlı alt kategori yazın." type="textLength" errorStyle="stop" operator="between">
      <formula1>1</formula1>
      <formula2>0</formula2>
    </dataValidation>
    <dataValidation sqref="H6:H5000" showDropDown="0" showInputMessage="1" showErrorMessage="1" allowBlank="1" errorTitle="Geçersiz cari" error="Cari bilgisi gereklidir." promptTitle="Cari" prompt="Karşı tarafın (müşteri/tedarikçi) adını girin." type="textLength" errorStyle="stop" operator="between">
      <formula1>1</formula1>
      <formula2>0</formula2>
    </dataValidation>
    <dataValidation sqref="I6:I5000" showDropDown="0" showInputMessage="1" showErrorMessage="1" allowBlank="1" errorTitle="Geçersiz" error="İsteğe bağlıdır." promptTitle="Ürün/Hizmet" prompt="Satılan ürün veya hizmet adını girin." type="textLength" errorStyle="stop" operator="between">
      <formula1>1</formula1>
      <formula2>0</formula2>
    </dataValidation>
    <dataValidation sqref="J6:J5000" showDropDown="0" showInputMessage="1" showErrorMessage="1" allowBlank="1" errorTitle="Geçersiz" error="İsteğe bağlıdır." promptTitle="Proje" prompt="İsteğe bağlı proje adı." type="textLength" errorStyle="stop" operator="between">
      <formula1>1</formula1>
      <formula2>0</formula2>
    </dataValidation>
    <dataValidation sqref="K6:K5000" showDropDown="0" showInputMessage="1" showErrorMessage="1" allowBlank="1" errorTitle="Geçersiz" error="İsteğe bağlıdır." promptTitle="Açıklama" prompt="İşlemin kısa açıklamasını yazın." type="textLength" errorStyle="stop" operator="between">
      <formula1>1</formula1>
      <formula2>0</formula2>
    </dataValidation>
    <dataValidation sqref="L6:L5000" showDropDown="0" showInputMessage="1" showErrorMessage="1" allowBlank="1" errorTitle="Geçersiz miktar" error="Miktar negatif olamaz." promptTitle="Miktar" prompt="Miktar girin (0 veya üzeri)." type="decimal" errorStyle="stop" operator="between">
      <formula1>0</formula1>
      <formula2>0</formula2>
    </dataValidation>
    <dataValidation sqref="M6:M5000" showDropDown="0" showInputMessage="1" showErrorMessage="1" allowBlank="1" errorTitle="Geçersiz birim" error="Birim listeden seçilmelidir." promptTitle="Birim" prompt="Birimi seçin (ADET, KG, LT, SAAT, AY...)." type="list" errorStyle="stop" operator="between">
      <formula1>LISTELER!$D$4:$D$12</formula1>
      <formula2>0</formula2>
    </dataValidation>
    <dataValidation sqref="N6:N5000" showDropDown="0" showInputMessage="1" showErrorMessage="1" allowBlank="1" errorTitle="Geçersiz fiyat" error="Birim fiyat negatif olamaz." promptTitle="Birim Fiyat" prompt="Birim fiyat girin (0 veya üzeri)." type="decimal" errorStyle="stop" operator="between">
      <formula1>0</formula1>
      <formula2>0</formula2>
    </dataValidation>
    <dataValidation sqref="O6:O5000" showDropDown="0" showInputMessage="1" showErrorMessage="1" allowBlank="1" errorTitle="Geçersiz tutar" error="Tutar 1 TL ile 1.000.000.000 TL arasında olmalıdır." promptTitle="Tutar" prompt="Toplam tutarı TL olarak girin. Daima pozitif yazın." type="decimal" errorStyle="stop" operator="between">
      <formula1>1</formula1>
      <formula2>0</formula2>
    </dataValidation>
    <dataValidation sqref="P6:P5000" showDropDown="0" showInputMessage="1" showErrorMessage="1" allowBlank="1" errorTitle="Geçersiz işaret" error="DAHİL veya HARİÇ seçin." promptTitle="KDV İşareti" prompt="Tutarın KDV dahil/hariç olduğunu seçin." type="list" errorStyle="stop" operator="between">
      <formula1>LISTELER!$I$4:$I$5</formula1>
      <formula2>0</formula2>
    </dataValidation>
    <dataValidation sqref="Q6:Q5000" showDropDown="0" showInputMessage="1" showErrorMessage="1" allowBlank="1" errorTitle="Geçersiz tarih" error="Geçerli bir tarih girin." promptTitle="Tahakkuk Tarihi" prompt="İşlemin muhasebeleştiği (tahakkuk) tarihi." type="date" errorStyle="stop" operator="between">
      <formula1>1</formula1>
      <formula2>0</formula2>
    </dataValidation>
    <dataValidation sqref="R6:R5000" showDropDown="0" showInputMessage="1" showErrorMessage="1" allowBlank="1" errorTitle="Geçersiz tarih" error="Geçerli bir tarih girin." promptTitle="Nakit Tarihi" prompt="Ödemenin/tahsilatın fiilen gerçekleştiği tarih." type="date" errorStyle="stop" operator="between">
      <formula1>1</formula1>
      <formula2>0</formula2>
    </dataValidation>
    <dataValidation sqref="S6:S5000" showDropDown="0" showInputMessage="1" showErrorMessage="1" allowBlank="1" errorTitle="Geçersiz seçim" error="EVET veya HAYIR seçin." promptTitle="Nakit Gerçekleşti mi?" prompt="EVET ise nakit etkisi hesaplanır; HAYIR ise tahakkuk bazlı kalır." type="list" errorStyle="stop" operator="between">
      <formula1>LISTELER!$H$4:$H$5</formula1>
      <formula2>0</formula2>
    </dataValidation>
    <dataValidation sqref="T6:T5000" showDropDown="0" showInputMessage="1" showErrorMessage="1" allowBlank="1" errorTitle="Geçersiz seçim" error="SABİT veya DEĞİŞKEN seçin." promptTitle="Sabit/Değişken" prompt="Giderin sabit veya değişken olduğunu seçin." type="list" errorStyle="stop" operator="between">
      <formula1>LISTELER!$E$4:$E$5</formula1>
      <formula2>0</formula2>
    </dataValidation>
    <dataValidation sqref="U6:U5000" showDropDown="0" showInputMessage="1" showErrorMessage="1" allowBlank="1" errorTitle="Geçersiz seçim" error="DOĞRUDAN veya DOLAYLI seçin." promptTitle="Doğrudan/Dolaylı" prompt="Giderin doğrudan veya dolaylı olduğunu seçin." type="list" errorStyle="stop" operator="between">
      <formula1>LISTELER!$F$4:$F$5</formula1>
      <formula2>0</formula2>
    </dataValidation>
    <dataValidation sqref="V6:V5000" showDropDown="0" showInputMessage="1" showErrorMessage="1" allowBlank="1" errorTitle="Geçersiz seçim" error="TEKRARLAYAN veya TEK SEFERLİK seçin." promptTitle="Tekrarlayan/Tek Seferlik" prompt="İşlemin tekrarlayan mı tek seferlik mi olduğunu seçin." type="list" errorStyle="stop" operator="between">
      <formula1>LISTELER!$G$4:$G$5</formula1>
      <formula2>0</formula2>
    </dataValidation>
    <dataValidation sqref="W6:W5000" showDropDown="0" showInputMessage="1" showErrorMessage="1" allowBlank="1" errorTitle="Geçersiz seçim" error="EVET veya HAYIR seçin." promptTitle="Ortak İşlemi" prompt="Ortak çekişi ise EVET; kârlılığı etkilemez, yalnızca nakdi etkiler." type="list" errorStyle="stop" operator="between">
      <formula1>LISTELER!$H$4:$H$5</formula1>
      <formula2>0</formula2>
    </dataValidation>
    <dataValidation sqref="X6:X5000" showDropDown="0" showInputMessage="1" showErrorMessage="1" allowBlank="1" errorTitle="Geçersiz seçim" error="EVET veya HAYIR seçin." promptTitle="Finansman İşlemi" prompt="Kredi anapara ödemesi ise EVET." type="list" errorStyle="stop" operator="between">
      <formula1>LISTELER!$H$4:$H$5</formula1>
      <formula2>0</formula2>
    </dataValidation>
    <dataValidation sqref="Y6:Y5000" showDropDown="0" showInputMessage="1" showErrorMessage="1" allowBlank="1" errorTitle="Geçersiz seçim" error="EVET veya HAYIR seçin." promptTitle="Yatırım İşlemi" prompt="Yatırım harcaması ise EVET." type="list" errorStyle="stop" operator="between">
      <formula1>LISTELER!$H$4:$H$5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06" min="1" max="1"/>
    <col width="18" customWidth="1" style="106" min="2" max="2"/>
    <col width="12" customWidth="1" style="106" min="3" max="4"/>
    <col width="14" customWidth="1" style="106" min="5" max="5"/>
    <col width="13" customWidth="1" style="106" min="6" max="6"/>
    <col width="14" customWidth="1" style="106" min="7" max="8"/>
    <col width="12" customWidth="1" style="106" min="9" max="9"/>
  </cols>
  <sheetData>
    <row r="1" ht="25.5" customHeight="1" s="80">
      <c r="A1" s="107" t="inlineStr">
        <is>
          <t>SATIS MALIYET — GÜNLÜK GELİR–GİDER VE GERÇEK KÂRLILIK SİSTEMİ</t>
        </is>
      </c>
    </row>
    <row r="2" ht="19.5" customHeight="1" s="80">
      <c r="A2" s="108" t="inlineStr">
        <is>
          <t>Ürün/hizmet bazında satış ve maliyet bilgisi girin. Brüt Kâr ve Brüt Marj otomatik hesaplanır; PANO ürün/proje marjı grafiğini buradan besler.</t>
        </is>
      </c>
    </row>
    <row r="5" ht="30" customHeight="1" s="80">
      <c r="A5" s="109" t="inlineStr">
        <is>
          <t>Ürün/Hizmet</t>
        </is>
      </c>
      <c r="B5" s="109" t="inlineStr">
        <is>
          <t>Kategori</t>
        </is>
      </c>
      <c r="C5" s="109" t="inlineStr">
        <is>
          <t>Satış Adedi</t>
        </is>
      </c>
      <c r="D5" s="109" t="inlineStr">
        <is>
          <t>Birim Fiyat</t>
        </is>
      </c>
      <c r="E5" s="109" t="inlineStr">
        <is>
          <t>Satış Tutarı</t>
        </is>
      </c>
      <c r="F5" s="109" t="inlineStr">
        <is>
          <t>Birim Maliyet</t>
        </is>
      </c>
      <c r="G5" s="109" t="inlineStr">
        <is>
          <t>Maliyet Tutarı</t>
        </is>
      </c>
      <c r="H5" s="109" t="inlineStr">
        <is>
          <t>Brüt Kâr</t>
        </is>
      </c>
      <c r="I5" s="109" t="inlineStr">
        <is>
          <t>Brüt Marj</t>
        </is>
      </c>
    </row>
    <row r="6" ht="15" customHeight="1" s="80">
      <c r="A6" s="110" t="inlineStr">
        <is>
          <t>Ayçiçek Yağı 5L</t>
        </is>
      </c>
      <c r="B6" s="110" t="inlineStr">
        <is>
          <t>TİCARİ MAL</t>
        </is>
      </c>
      <c r="C6" s="115" t="n">
        <v>2250</v>
      </c>
      <c r="D6" s="116" t="n">
        <v>150</v>
      </c>
      <c r="E6" s="117">
        <f>IF($A6="","",$C6*$D6)</f>
        <v/>
      </c>
      <c r="F6" s="116" t="n">
        <v>100</v>
      </c>
      <c r="G6" s="117">
        <f>IF($A6="","",$C6*$F6)</f>
        <v/>
      </c>
      <c r="H6" s="117">
        <f>IF($A6="","",$E6-$G6)</f>
        <v/>
      </c>
      <c r="I6" s="119">
        <f>IF($A6="","",IF($E6=0,"",$H6/$E6))</f>
        <v/>
      </c>
    </row>
    <row r="7" ht="15" customHeight="1" s="80">
      <c r="A7" s="110" t="inlineStr">
        <is>
          <t>Bulgur 50kg</t>
        </is>
      </c>
      <c r="B7" s="110" t="inlineStr">
        <is>
          <t>TİCARİ MAL</t>
        </is>
      </c>
      <c r="C7" s="115" t="n">
        <v>1900</v>
      </c>
      <c r="D7" s="116" t="n">
        <v>100</v>
      </c>
      <c r="E7" s="117">
        <f>IF($A7="","",$C7*$D7)</f>
        <v/>
      </c>
      <c r="F7" s="116" t="n">
        <v>65</v>
      </c>
      <c r="G7" s="117">
        <f>IF($A7="","",$C7*$F7)</f>
        <v/>
      </c>
      <c r="H7" s="117">
        <f>IF($A7="","",$E7-$G7)</f>
        <v/>
      </c>
      <c r="I7" s="119">
        <f>IF($A7="","",IF($E7=0,"",$H7/$E7))</f>
        <v/>
      </c>
    </row>
    <row r="8" ht="15" customHeight="1" s="80">
      <c r="A8" s="110" t="inlineStr">
        <is>
          <t>Un 25kg</t>
        </is>
      </c>
      <c r="B8" s="110" t="inlineStr">
        <is>
          <t>TİCARİ MAL</t>
        </is>
      </c>
      <c r="C8" s="115" t="n">
        <v>2900</v>
      </c>
      <c r="D8" s="116" t="n">
        <v>100</v>
      </c>
      <c r="E8" s="117">
        <f>IF($A8="","",$C8*$D8)</f>
        <v/>
      </c>
      <c r="F8" s="116" t="n">
        <v>70</v>
      </c>
      <c r="G8" s="117">
        <f>IF($A8="","",$C8*$F8)</f>
        <v/>
      </c>
      <c r="H8" s="117">
        <f>IF($A8="","",$E8-$G8)</f>
        <v/>
      </c>
      <c r="I8" s="119">
        <f>IF($A8="","",IF($E8=0,"",$H8/$E8))</f>
        <v/>
      </c>
    </row>
    <row r="9" ht="15" customHeight="1" s="80">
      <c r="A9" s="110" t="inlineStr">
        <is>
          <t>Mercimek</t>
        </is>
      </c>
      <c r="B9" s="110" t="inlineStr">
        <is>
          <t>TİCARİ MAL</t>
        </is>
      </c>
      <c r="C9" s="115" t="n">
        <v>2700</v>
      </c>
      <c r="D9" s="116" t="n">
        <v>50</v>
      </c>
      <c r="E9" s="117">
        <f>IF($A9="","",$C9*$D9)</f>
        <v/>
      </c>
      <c r="F9" s="116" t="n">
        <v>32</v>
      </c>
      <c r="G9" s="117">
        <f>IF($A9="","",$C9*$F9)</f>
        <v/>
      </c>
      <c r="H9" s="117">
        <f>IF($A9="","",$E9-$G9)</f>
        <v/>
      </c>
      <c r="I9" s="119">
        <f>IF($A9="","",IF($E9=0,"",$H9/$E9))</f>
        <v/>
      </c>
    </row>
    <row r="10" ht="15" customHeight="1" s="80">
      <c r="A10" s="110" t="n"/>
      <c r="B10" s="110" t="n"/>
      <c r="C10" s="110" t="n"/>
      <c r="D10" s="110" t="n"/>
      <c r="E10" s="117">
        <f>IF($A10="","",$C10*$D10)</f>
        <v/>
      </c>
      <c r="F10" s="110" t="n"/>
      <c r="G10" s="117">
        <f>IF($A10="","",$C10*$F10)</f>
        <v/>
      </c>
      <c r="H10" s="117">
        <f>IF($A10="","",$E10-$G10)</f>
        <v/>
      </c>
      <c r="I10" s="119">
        <f>IF($A10="","",IF($E10=0,"",$H10/$E10))</f>
        <v/>
      </c>
    </row>
    <row r="11" ht="15" customHeight="1" s="80">
      <c r="A11" s="110" t="n"/>
      <c r="B11" s="110" t="n"/>
      <c r="C11" s="110" t="n"/>
      <c r="D11" s="110" t="n"/>
      <c r="E11" s="117">
        <f>IF($A11="","",$C11*$D11)</f>
        <v/>
      </c>
      <c r="F11" s="110" t="n"/>
      <c r="G11" s="117">
        <f>IF($A11="","",$C11*$F11)</f>
        <v/>
      </c>
      <c r="H11" s="117">
        <f>IF($A11="","",$E11-$G11)</f>
        <v/>
      </c>
      <c r="I11" s="119">
        <f>IF($A11="","",IF($E11=0,"",$H11/$E11))</f>
        <v/>
      </c>
    </row>
    <row r="12" ht="15" customHeight="1" s="80">
      <c r="A12" s="110" t="n"/>
      <c r="B12" s="110" t="n"/>
      <c r="C12" s="110" t="n"/>
      <c r="D12" s="110" t="n"/>
      <c r="E12" s="117">
        <f>IF($A12="","",$C12*$D12)</f>
        <v/>
      </c>
      <c r="F12" s="110" t="n"/>
      <c r="G12" s="117">
        <f>IF($A12="","",$C12*$F12)</f>
        <v/>
      </c>
      <c r="H12" s="117">
        <f>IF($A12="","",$E12-$G12)</f>
        <v/>
      </c>
      <c r="I12" s="119">
        <f>IF($A12="","",IF($E12=0,"",$H12/$E12))</f>
        <v/>
      </c>
    </row>
    <row r="13" ht="15" customHeight="1" s="80">
      <c r="A13" s="110" t="n"/>
      <c r="B13" s="110" t="n"/>
      <c r="C13" s="110" t="n"/>
      <c r="D13" s="110" t="n"/>
      <c r="E13" s="117">
        <f>IF($A13="","",$C13*$D13)</f>
        <v/>
      </c>
      <c r="F13" s="110" t="n"/>
      <c r="G13" s="117">
        <f>IF($A13="","",$C13*$F13)</f>
        <v/>
      </c>
      <c r="H13" s="117">
        <f>IF($A13="","",$E13-$G13)</f>
        <v/>
      </c>
      <c r="I13" s="119">
        <f>IF($A13="","",IF($E13=0,"",$H13/$E13))</f>
        <v/>
      </c>
    </row>
    <row r="14" ht="15" customHeight="1" s="80">
      <c r="A14" s="110" t="n"/>
      <c r="B14" s="110" t="n"/>
      <c r="C14" s="110" t="n"/>
      <c r="D14" s="110" t="n"/>
      <c r="E14" s="117">
        <f>IF($A14="","",$C14*$D14)</f>
        <v/>
      </c>
      <c r="F14" s="110" t="n"/>
      <c r="G14" s="117">
        <f>IF($A14="","",$C14*$F14)</f>
        <v/>
      </c>
      <c r="H14" s="117">
        <f>IF($A14="","",$E14-$G14)</f>
        <v/>
      </c>
      <c r="I14" s="119">
        <f>IF($A14="","",IF($E14=0,"",$H14/$E14))</f>
        <v/>
      </c>
    </row>
    <row r="15" ht="15" customHeight="1" s="80">
      <c r="A15" s="110" t="n"/>
      <c r="B15" s="110" t="n"/>
      <c r="C15" s="110" t="n"/>
      <c r="D15" s="110" t="n"/>
      <c r="E15" s="117">
        <f>IF($A15="","",$C15*$D15)</f>
        <v/>
      </c>
      <c r="F15" s="110" t="n"/>
      <c r="G15" s="117">
        <f>IF($A15="","",$C15*$F15)</f>
        <v/>
      </c>
      <c r="H15" s="117">
        <f>IF($A15="","",$E15-$G15)</f>
        <v/>
      </c>
      <c r="I15" s="119">
        <f>IF($A15="","",IF($E15=0,"",$H15/$E15))</f>
        <v/>
      </c>
    </row>
    <row r="16" ht="15" customHeight="1" s="80">
      <c r="A16" s="110" t="n"/>
      <c r="B16" s="110" t="n"/>
      <c r="C16" s="110" t="n"/>
      <c r="D16" s="110" t="n"/>
      <c r="E16" s="117">
        <f>IF($A16="","",$C16*$D16)</f>
        <v/>
      </c>
      <c r="F16" s="110" t="n"/>
      <c r="G16" s="117">
        <f>IF($A16="","",$C16*$F16)</f>
        <v/>
      </c>
      <c r="H16" s="117">
        <f>IF($A16="","",$E16-$G16)</f>
        <v/>
      </c>
      <c r="I16" s="119">
        <f>IF($A16="","",IF($E16=0,"",$H16/$E16))</f>
        <v/>
      </c>
    </row>
    <row r="17" ht="15" customHeight="1" s="80">
      <c r="A17" s="110" t="n"/>
      <c r="B17" s="110" t="n"/>
      <c r="C17" s="110" t="n"/>
      <c r="D17" s="110" t="n"/>
      <c r="E17" s="117">
        <f>IF($A17="","",$C17*$D17)</f>
        <v/>
      </c>
      <c r="F17" s="110" t="n"/>
      <c r="G17" s="117">
        <f>IF($A17="","",$C17*$F17)</f>
        <v/>
      </c>
      <c r="H17" s="117">
        <f>IF($A17="","",$E17-$G17)</f>
        <v/>
      </c>
      <c r="I17" s="119">
        <f>IF($A17="","",IF($E17=0,"",$H17/$E17))</f>
        <v/>
      </c>
    </row>
    <row r="18" ht="15" customHeight="1" s="80">
      <c r="A18" s="110" t="n"/>
      <c r="B18" s="110" t="n"/>
      <c r="C18" s="110" t="n"/>
      <c r="D18" s="110" t="n"/>
      <c r="E18" s="117">
        <f>IF($A18="","",$C18*$D18)</f>
        <v/>
      </c>
      <c r="F18" s="110" t="n"/>
      <c r="G18" s="117">
        <f>IF($A18="","",$C18*$F18)</f>
        <v/>
      </c>
      <c r="H18" s="117">
        <f>IF($A18="","",$E18-$G18)</f>
        <v/>
      </c>
      <c r="I18" s="119">
        <f>IF($A18="","",IF($E18=0,"",$H18/$E18))</f>
        <v/>
      </c>
    </row>
    <row r="19" ht="15" customHeight="1" s="80">
      <c r="A19" s="110" t="n"/>
      <c r="B19" s="110" t="n"/>
      <c r="C19" s="110" t="n"/>
      <c r="D19" s="110" t="n"/>
      <c r="E19" s="117">
        <f>IF($A19="","",$C19*$D19)</f>
        <v/>
      </c>
      <c r="F19" s="110" t="n"/>
      <c r="G19" s="117">
        <f>IF($A19="","",$C19*$F19)</f>
        <v/>
      </c>
      <c r="H19" s="117">
        <f>IF($A19="","",$E19-$G19)</f>
        <v/>
      </c>
      <c r="I19" s="119">
        <f>IF($A19="","",IF($E19=0,"",$H19/$E19))</f>
        <v/>
      </c>
    </row>
    <row r="20" ht="15" customHeight="1" s="80">
      <c r="A20" s="110" t="n"/>
      <c r="B20" s="110" t="n"/>
      <c r="C20" s="110" t="n"/>
      <c r="D20" s="110" t="n"/>
      <c r="E20" s="117">
        <f>IF($A20="","",$C20*$D20)</f>
        <v/>
      </c>
      <c r="F20" s="110" t="n"/>
      <c r="G20" s="117">
        <f>IF($A20="","",$C20*$F20)</f>
        <v/>
      </c>
      <c r="H20" s="117">
        <f>IF($A20="","",$E20-$G20)</f>
        <v/>
      </c>
      <c r="I20" s="119">
        <f>IF($A20="","",IF($E20=0,"",$H20/$E20))</f>
        <v/>
      </c>
    </row>
    <row r="21" ht="15" customHeight="1" s="80">
      <c r="A21" s="110" t="n"/>
      <c r="B21" s="110" t="n"/>
      <c r="C21" s="110" t="n"/>
      <c r="D21" s="110" t="n"/>
      <c r="E21" s="117">
        <f>IF($A21="","",$C21*$D21)</f>
        <v/>
      </c>
      <c r="F21" s="110" t="n"/>
      <c r="G21" s="117">
        <f>IF($A21="","",$C21*$F21)</f>
        <v/>
      </c>
      <c r="H21" s="117">
        <f>IF($A21="","",$E21-$G21)</f>
        <v/>
      </c>
      <c r="I21" s="119">
        <f>IF($A21="","",IF($E21=0,"",$H21/$E21))</f>
        <v/>
      </c>
    </row>
    <row r="22" ht="15" customHeight="1" s="80">
      <c r="A22" s="110" t="n"/>
      <c r="B22" s="110" t="n"/>
      <c r="C22" s="110" t="n"/>
      <c r="D22" s="110" t="n"/>
      <c r="E22" s="117">
        <f>IF($A22="","",$C22*$D22)</f>
        <v/>
      </c>
      <c r="F22" s="110" t="n"/>
      <c r="G22" s="117">
        <f>IF($A22="","",$C22*$F22)</f>
        <v/>
      </c>
      <c r="H22" s="117">
        <f>IF($A22="","",$E22-$G22)</f>
        <v/>
      </c>
      <c r="I22" s="119">
        <f>IF($A22="","",IF($E22=0,"",$H22/$E22))</f>
        <v/>
      </c>
    </row>
    <row r="23" ht="15" customHeight="1" s="80">
      <c r="A23" s="110" t="n"/>
      <c r="B23" s="110" t="n"/>
      <c r="C23" s="110" t="n"/>
      <c r="D23" s="110" t="n"/>
      <c r="E23" s="117">
        <f>IF($A23="","",$C23*$D23)</f>
        <v/>
      </c>
      <c r="F23" s="110" t="n"/>
      <c r="G23" s="117">
        <f>IF($A23="","",$C23*$F23)</f>
        <v/>
      </c>
      <c r="H23" s="117">
        <f>IF($A23="","",$E23-$G23)</f>
        <v/>
      </c>
      <c r="I23" s="119">
        <f>IF($A23="","",IF($E23=0,"",$H23/$E23))</f>
        <v/>
      </c>
    </row>
    <row r="24" ht="15" customHeight="1" s="80">
      <c r="A24" s="110" t="n"/>
      <c r="B24" s="110" t="n"/>
      <c r="C24" s="110" t="n"/>
      <c r="D24" s="110" t="n"/>
      <c r="E24" s="117">
        <f>IF($A24="","",$C24*$D24)</f>
        <v/>
      </c>
      <c r="F24" s="110" t="n"/>
      <c r="G24" s="117">
        <f>IF($A24="","",$C24*$F24)</f>
        <v/>
      </c>
      <c r="H24" s="117">
        <f>IF($A24="","",$E24-$G24)</f>
        <v/>
      </c>
      <c r="I24" s="119">
        <f>IF($A24="","",IF($E24=0,"",$H24/$E24))</f>
        <v/>
      </c>
    </row>
    <row r="25" ht="15" customHeight="1" s="80">
      <c r="A25" s="110" t="n"/>
      <c r="B25" s="110" t="n"/>
      <c r="C25" s="110" t="n"/>
      <c r="D25" s="110" t="n"/>
      <c r="E25" s="117">
        <f>IF($A25="","",$C25*$D25)</f>
        <v/>
      </c>
      <c r="F25" s="110" t="n"/>
      <c r="G25" s="117">
        <f>IF($A25="","",$C25*$F25)</f>
        <v/>
      </c>
      <c r="H25" s="117">
        <f>IF($A25="","",$E25-$G25)</f>
        <v/>
      </c>
      <c r="I25" s="119">
        <f>IF($A25="","",IF($E25=0,"",$H25/$E25))</f>
        <v/>
      </c>
    </row>
    <row r="26" ht="15" customHeight="1" s="80">
      <c r="A26" s="110" t="n"/>
      <c r="B26" s="110" t="n"/>
      <c r="C26" s="110" t="n"/>
      <c r="D26" s="110" t="n"/>
      <c r="E26" s="117">
        <f>IF($A26="","",$C26*$D26)</f>
        <v/>
      </c>
      <c r="F26" s="110" t="n"/>
      <c r="G26" s="117">
        <f>IF($A26="","",$C26*$F26)</f>
        <v/>
      </c>
      <c r="H26" s="117">
        <f>IF($A26="","",$E26-$G26)</f>
        <v/>
      </c>
      <c r="I26" s="119">
        <f>IF($A26="","",IF($E26=0,"",$H26/$E26))</f>
        <v/>
      </c>
    </row>
    <row r="27" ht="15" customHeight="1" s="80">
      <c r="A27" s="110" t="n"/>
      <c r="B27" s="110" t="n"/>
      <c r="C27" s="110" t="n"/>
      <c r="D27" s="110" t="n"/>
      <c r="E27" s="117">
        <f>IF($A27="","",$C27*$D27)</f>
        <v/>
      </c>
      <c r="F27" s="110" t="n"/>
      <c r="G27" s="117">
        <f>IF($A27="","",$C27*$F27)</f>
        <v/>
      </c>
      <c r="H27" s="117">
        <f>IF($A27="","",$E27-$G27)</f>
        <v/>
      </c>
      <c r="I27" s="119">
        <f>IF($A27="","",IF($E27=0,"",$H27/$E27))</f>
        <v/>
      </c>
    </row>
    <row r="28" ht="15" customHeight="1" s="80">
      <c r="A28" s="110" t="n"/>
      <c r="B28" s="110" t="n"/>
      <c r="C28" s="110" t="n"/>
      <c r="D28" s="110" t="n"/>
      <c r="E28" s="117">
        <f>IF($A28="","",$C28*$D28)</f>
        <v/>
      </c>
      <c r="F28" s="110" t="n"/>
      <c r="G28" s="117">
        <f>IF($A28="","",$C28*$F28)</f>
        <v/>
      </c>
      <c r="H28" s="117">
        <f>IF($A28="","",$E28-$G28)</f>
        <v/>
      </c>
      <c r="I28" s="119">
        <f>IF($A28="","",IF($E28=0,"",$H28/$E28))</f>
        <v/>
      </c>
    </row>
    <row r="29" ht="15" customHeight="1" s="80">
      <c r="A29" s="110" t="n"/>
      <c r="B29" s="110" t="n"/>
      <c r="C29" s="110" t="n"/>
      <c r="D29" s="110" t="n"/>
      <c r="E29" s="117">
        <f>IF($A29="","",$C29*$D29)</f>
        <v/>
      </c>
      <c r="F29" s="110" t="n"/>
      <c r="G29" s="117">
        <f>IF($A29="","",$C29*$F29)</f>
        <v/>
      </c>
      <c r="H29" s="117">
        <f>IF($A29="","",$E29-$G29)</f>
        <v/>
      </c>
      <c r="I29" s="119">
        <f>IF($A29="","",IF($E29=0,"",$H29/$E29))</f>
        <v/>
      </c>
    </row>
    <row r="30" ht="15" customHeight="1" s="80">
      <c r="A30" s="110" t="n"/>
      <c r="B30" s="110" t="n"/>
      <c r="C30" s="110" t="n"/>
      <c r="D30" s="110" t="n"/>
      <c r="E30" s="117">
        <f>IF($A30="","",$C30*$D30)</f>
        <v/>
      </c>
      <c r="F30" s="110" t="n"/>
      <c r="G30" s="117">
        <f>IF($A30="","",$C30*$F30)</f>
        <v/>
      </c>
      <c r="H30" s="117">
        <f>IF($A30="","",$E30-$G30)</f>
        <v/>
      </c>
      <c r="I30" s="119">
        <f>IF($A30="","",IF($E30=0,"",$H30/$E30))</f>
        <v/>
      </c>
    </row>
    <row r="31" ht="15" customHeight="1" s="80">
      <c r="A31" s="110" t="n"/>
      <c r="B31" s="110" t="n"/>
      <c r="C31" s="110" t="n"/>
      <c r="D31" s="110" t="n"/>
      <c r="E31" s="117">
        <f>IF($A31="","",$C31*$D31)</f>
        <v/>
      </c>
      <c r="F31" s="110" t="n"/>
      <c r="G31" s="117">
        <f>IF($A31="","",$C31*$F31)</f>
        <v/>
      </c>
      <c r="H31" s="117">
        <f>IF($A31="","",$E31-$G31)</f>
        <v/>
      </c>
      <c r="I31" s="119">
        <f>IF($A31="","",IF($E31=0,"",$H31/$E31))</f>
        <v/>
      </c>
    </row>
    <row r="32" ht="15" customHeight="1" s="80">
      <c r="A32" s="110" t="n"/>
      <c r="B32" s="110" t="n"/>
      <c r="C32" s="110" t="n"/>
      <c r="D32" s="110" t="n"/>
      <c r="E32" s="117">
        <f>IF($A32="","",$C32*$D32)</f>
        <v/>
      </c>
      <c r="F32" s="110" t="n"/>
      <c r="G32" s="117">
        <f>IF($A32="","",$C32*$F32)</f>
        <v/>
      </c>
      <c r="H32" s="117">
        <f>IF($A32="","",$E32-$G32)</f>
        <v/>
      </c>
      <c r="I32" s="119">
        <f>IF($A32="","",IF($E32=0,"",$H32/$E32))</f>
        <v/>
      </c>
    </row>
    <row r="33" ht="15" customHeight="1" s="80">
      <c r="A33" s="110" t="n"/>
      <c r="B33" s="110" t="n"/>
      <c r="C33" s="110" t="n"/>
      <c r="D33" s="110" t="n"/>
      <c r="E33" s="117">
        <f>IF($A33="","",$C33*$D33)</f>
        <v/>
      </c>
      <c r="F33" s="110" t="n"/>
      <c r="G33" s="117">
        <f>IF($A33="","",$C33*$F33)</f>
        <v/>
      </c>
      <c r="H33" s="117">
        <f>IF($A33="","",$E33-$G33)</f>
        <v/>
      </c>
      <c r="I33" s="119">
        <f>IF($A33="","",IF($E33=0,"",$H33/$E33))</f>
        <v/>
      </c>
    </row>
    <row r="34" ht="15" customHeight="1" s="80">
      <c r="A34" s="110" t="n"/>
      <c r="B34" s="110" t="n"/>
      <c r="C34" s="110" t="n"/>
      <c r="D34" s="110" t="n"/>
      <c r="E34" s="117">
        <f>IF($A34="","",$C34*$D34)</f>
        <v/>
      </c>
      <c r="F34" s="110" t="n"/>
      <c r="G34" s="117">
        <f>IF($A34="","",$C34*$F34)</f>
        <v/>
      </c>
      <c r="H34" s="117">
        <f>IF($A34="","",$E34-$G34)</f>
        <v/>
      </c>
      <c r="I34" s="119">
        <f>IF($A34="","",IF($E34=0,"",$H34/$E34))</f>
        <v/>
      </c>
    </row>
    <row r="35" ht="15" customHeight="1" s="80">
      <c r="A35" s="110" t="n"/>
      <c r="B35" s="110" t="n"/>
      <c r="C35" s="110" t="n"/>
      <c r="D35" s="110" t="n"/>
      <c r="E35" s="117">
        <f>IF($A35="","",$C35*$D35)</f>
        <v/>
      </c>
      <c r="F35" s="110" t="n"/>
      <c r="G35" s="117">
        <f>IF($A35="","",$C35*$F35)</f>
        <v/>
      </c>
      <c r="H35" s="117">
        <f>IF($A35="","",$E35-$G35)</f>
        <v/>
      </c>
      <c r="I35" s="119">
        <f>IF($A35="","",IF($E35=0,"",$H35/$E35))</f>
        <v/>
      </c>
    </row>
    <row r="36" ht="15" customHeight="1" s="80">
      <c r="A36" s="110" t="n"/>
      <c r="B36" s="110" t="n"/>
      <c r="C36" s="110" t="n"/>
      <c r="D36" s="110" t="n"/>
      <c r="E36" s="117">
        <f>IF($A36="","",$C36*$D36)</f>
        <v/>
      </c>
      <c r="F36" s="110" t="n"/>
      <c r="G36" s="117">
        <f>IF($A36="","",$C36*$F36)</f>
        <v/>
      </c>
      <c r="H36" s="117">
        <f>IF($A36="","",$E36-$G36)</f>
        <v/>
      </c>
      <c r="I36" s="119">
        <f>IF($A36="","",IF($E36=0,"",$H36/$E36))</f>
        <v/>
      </c>
    </row>
    <row r="37" ht="15" customHeight="1" s="80">
      <c r="A37" s="110" t="n"/>
      <c r="B37" s="110" t="n"/>
      <c r="C37" s="110" t="n"/>
      <c r="D37" s="110" t="n"/>
      <c r="E37" s="117">
        <f>IF($A37="","",$C37*$D37)</f>
        <v/>
      </c>
      <c r="F37" s="110" t="n"/>
      <c r="G37" s="117">
        <f>IF($A37="","",$C37*$F37)</f>
        <v/>
      </c>
      <c r="H37" s="117">
        <f>IF($A37="","",$E37-$G37)</f>
        <v/>
      </c>
      <c r="I37" s="119">
        <f>IF($A37="","",IF($E37=0,"",$H37/$E37))</f>
        <v/>
      </c>
    </row>
    <row r="38" ht="15" customHeight="1" s="80">
      <c r="A38" s="110" t="n"/>
      <c r="B38" s="110" t="n"/>
      <c r="C38" s="110" t="n"/>
      <c r="D38" s="110" t="n"/>
      <c r="E38" s="117">
        <f>IF($A38="","",$C38*$D38)</f>
        <v/>
      </c>
      <c r="F38" s="110" t="n"/>
      <c r="G38" s="117">
        <f>IF($A38="","",$C38*$F38)</f>
        <v/>
      </c>
      <c r="H38" s="117">
        <f>IF($A38="","",$E38-$G38)</f>
        <v/>
      </c>
      <c r="I38" s="119">
        <f>IF($A38="","",IF($E38=0,"",$H38/$E38))</f>
        <v/>
      </c>
    </row>
    <row r="39" ht="15" customHeight="1" s="80">
      <c r="A39" s="110" t="n"/>
      <c r="B39" s="110" t="n"/>
      <c r="C39" s="110" t="n"/>
      <c r="D39" s="110" t="n"/>
      <c r="E39" s="117">
        <f>IF($A39="","",$C39*$D39)</f>
        <v/>
      </c>
      <c r="F39" s="110" t="n"/>
      <c r="G39" s="117">
        <f>IF($A39="","",$C39*$F39)</f>
        <v/>
      </c>
      <c r="H39" s="117">
        <f>IF($A39="","",$E39-$G39)</f>
        <v/>
      </c>
      <c r="I39" s="119">
        <f>IF($A39="","",IF($E39=0,"",$H39/$E39))</f>
        <v/>
      </c>
    </row>
    <row r="40" ht="15" customHeight="1" s="80">
      <c r="A40" s="110" t="n"/>
      <c r="B40" s="110" t="n"/>
      <c r="C40" s="110" t="n"/>
      <c r="D40" s="110" t="n"/>
      <c r="E40" s="117">
        <f>IF($A40="","",$C40*$D40)</f>
        <v/>
      </c>
      <c r="F40" s="110" t="n"/>
      <c r="G40" s="117">
        <f>IF($A40="","",$C40*$F40)</f>
        <v/>
      </c>
      <c r="H40" s="117">
        <f>IF($A40="","",$E40-$G40)</f>
        <v/>
      </c>
      <c r="I40" s="119">
        <f>IF($A40="","",IF($E40=0,"",$H40/$E40))</f>
        <v/>
      </c>
    </row>
    <row r="41" ht="15" customHeight="1" s="80">
      <c r="A41" s="110" t="n"/>
      <c r="B41" s="110" t="n"/>
      <c r="C41" s="110" t="n"/>
      <c r="D41" s="110" t="n"/>
      <c r="E41" s="117">
        <f>IF($A41="","",$C41*$D41)</f>
        <v/>
      </c>
      <c r="F41" s="110" t="n"/>
      <c r="G41" s="117">
        <f>IF($A41="","",$C41*$F41)</f>
        <v/>
      </c>
      <c r="H41" s="117">
        <f>IF($A41="","",$E41-$G41)</f>
        <v/>
      </c>
      <c r="I41" s="119">
        <f>IF($A41="","",IF($E41=0,"",$H41/$E41))</f>
        <v/>
      </c>
    </row>
    <row r="42" ht="15" customHeight="1" s="80">
      <c r="A42" s="110" t="n"/>
      <c r="B42" s="110" t="n"/>
      <c r="C42" s="110" t="n"/>
      <c r="D42" s="110" t="n"/>
      <c r="E42" s="117">
        <f>IF($A42="","",$C42*$D42)</f>
        <v/>
      </c>
      <c r="F42" s="110" t="n"/>
      <c r="G42" s="117">
        <f>IF($A42="","",$C42*$F42)</f>
        <v/>
      </c>
      <c r="H42" s="117">
        <f>IF($A42="","",$E42-$G42)</f>
        <v/>
      </c>
      <c r="I42" s="119">
        <f>IF($A42="","",IF($E42=0,"",$H42/$E42))</f>
        <v/>
      </c>
    </row>
    <row r="43" ht="15" customHeight="1" s="80">
      <c r="A43" s="110" t="n"/>
      <c r="B43" s="110" t="n"/>
      <c r="C43" s="110" t="n"/>
      <c r="D43" s="110" t="n"/>
      <c r="E43" s="117">
        <f>IF($A43="","",$C43*$D43)</f>
        <v/>
      </c>
      <c r="F43" s="110" t="n"/>
      <c r="G43" s="117">
        <f>IF($A43="","",$C43*$F43)</f>
        <v/>
      </c>
      <c r="H43" s="117">
        <f>IF($A43="","",$E43-$G43)</f>
        <v/>
      </c>
      <c r="I43" s="119">
        <f>IF($A43="","",IF($E43=0,"",$H43/$E43))</f>
        <v/>
      </c>
    </row>
    <row r="44" ht="15" customHeight="1" s="80">
      <c r="A44" s="110" t="n"/>
      <c r="B44" s="110" t="n"/>
      <c r="C44" s="110" t="n"/>
      <c r="D44" s="110" t="n"/>
      <c r="E44" s="117">
        <f>IF($A44="","",$C44*$D44)</f>
        <v/>
      </c>
      <c r="F44" s="110" t="n"/>
      <c r="G44" s="117">
        <f>IF($A44="","",$C44*$F44)</f>
        <v/>
      </c>
      <c r="H44" s="117">
        <f>IF($A44="","",$E44-$G44)</f>
        <v/>
      </c>
      <c r="I44" s="119">
        <f>IF($A44="","",IF($E44=0,"",$H44/$E44))</f>
        <v/>
      </c>
    </row>
    <row r="45" ht="15" customHeight="1" s="80">
      <c r="A45" s="110" t="n"/>
      <c r="B45" s="110" t="n"/>
      <c r="C45" s="110" t="n"/>
      <c r="D45" s="110" t="n"/>
      <c r="E45" s="117">
        <f>IF($A45="","",$C45*$D45)</f>
        <v/>
      </c>
      <c r="F45" s="110" t="n"/>
      <c r="G45" s="117">
        <f>IF($A45="","",$C45*$F45)</f>
        <v/>
      </c>
      <c r="H45" s="117">
        <f>IF($A45="","",$E45-$G45)</f>
        <v/>
      </c>
      <c r="I45" s="119">
        <f>IF($A45="","",IF($E45=0,"",$H45/$E45))</f>
        <v/>
      </c>
    </row>
    <row r="46" ht="15" customHeight="1" s="80">
      <c r="A46" s="110" t="n"/>
      <c r="B46" s="110" t="n"/>
      <c r="C46" s="110" t="n"/>
      <c r="D46" s="110" t="n"/>
      <c r="E46" s="117">
        <f>IF($A46="","",$C46*$D46)</f>
        <v/>
      </c>
      <c r="F46" s="110" t="n"/>
      <c r="G46" s="117">
        <f>IF($A46="","",$C46*$F46)</f>
        <v/>
      </c>
      <c r="H46" s="117">
        <f>IF($A46="","",$E46-$G46)</f>
        <v/>
      </c>
      <c r="I46" s="119">
        <f>IF($A46="","",IF($E46=0,"",$H46/$E46))</f>
        <v/>
      </c>
    </row>
    <row r="47" ht="15" customHeight="1" s="80">
      <c r="A47" s="110" t="n"/>
      <c r="B47" s="110" t="n"/>
      <c r="C47" s="110" t="n"/>
      <c r="D47" s="110" t="n"/>
      <c r="E47" s="117">
        <f>IF($A47="","",$C47*$D47)</f>
        <v/>
      </c>
      <c r="F47" s="110" t="n"/>
      <c r="G47" s="117">
        <f>IF($A47="","",$C47*$F47)</f>
        <v/>
      </c>
      <c r="H47" s="117">
        <f>IF($A47="","",$E47-$G47)</f>
        <v/>
      </c>
      <c r="I47" s="119">
        <f>IF($A47="","",IF($E47=0,"",$H47/$E47))</f>
        <v/>
      </c>
    </row>
    <row r="48" ht="15" customHeight="1" s="80">
      <c r="A48" s="110" t="n"/>
      <c r="B48" s="110" t="n"/>
      <c r="C48" s="110" t="n"/>
      <c r="D48" s="110" t="n"/>
      <c r="E48" s="117">
        <f>IF($A48="","",$C48*$D48)</f>
        <v/>
      </c>
      <c r="F48" s="110" t="n"/>
      <c r="G48" s="117">
        <f>IF($A48="","",$C48*$F48)</f>
        <v/>
      </c>
      <c r="H48" s="117">
        <f>IF($A48="","",$E48-$G48)</f>
        <v/>
      </c>
      <c r="I48" s="119">
        <f>IF($A48="","",IF($E48=0,"",$H48/$E48))</f>
        <v/>
      </c>
    </row>
    <row r="49" ht="15" customHeight="1" s="80">
      <c r="A49" s="110" t="n"/>
      <c r="B49" s="110" t="n"/>
      <c r="C49" s="110" t="n"/>
      <c r="D49" s="110" t="n"/>
      <c r="E49" s="117">
        <f>IF($A49="","",$C49*$D49)</f>
        <v/>
      </c>
      <c r="F49" s="110" t="n"/>
      <c r="G49" s="117">
        <f>IF($A49="","",$C49*$F49)</f>
        <v/>
      </c>
      <c r="H49" s="117">
        <f>IF($A49="","",$E49-$G49)</f>
        <v/>
      </c>
      <c r="I49" s="119">
        <f>IF($A49="","",IF($E49=0,"",$H49/$E49))</f>
        <v/>
      </c>
    </row>
    <row r="50" ht="15" customHeight="1" s="80">
      <c r="A50" s="110" t="n"/>
      <c r="B50" s="110" t="n"/>
      <c r="C50" s="110" t="n"/>
      <c r="D50" s="110" t="n"/>
      <c r="E50" s="117">
        <f>IF($A50="","",$C50*$D50)</f>
        <v/>
      </c>
      <c r="F50" s="110" t="n"/>
      <c r="G50" s="117">
        <f>IF($A50="","",$C50*$F50)</f>
        <v/>
      </c>
      <c r="H50" s="117">
        <f>IF($A50="","",$E50-$G50)</f>
        <v/>
      </c>
      <c r="I50" s="119">
        <f>IF($A50="","",IF($E50=0,"",$H50/$E50))</f>
        <v/>
      </c>
    </row>
    <row r="51" ht="15" customHeight="1" s="80">
      <c r="A51" s="110" t="n"/>
      <c r="B51" s="110" t="n"/>
      <c r="C51" s="110" t="n"/>
      <c r="D51" s="110" t="n"/>
      <c r="E51" s="117">
        <f>IF($A51="","",$C51*$D51)</f>
        <v/>
      </c>
      <c r="F51" s="110" t="n"/>
      <c r="G51" s="117">
        <f>IF($A51="","",$C51*$F51)</f>
        <v/>
      </c>
      <c r="H51" s="117">
        <f>IF($A51="","",$E51-$G51)</f>
        <v/>
      </c>
      <c r="I51" s="119">
        <f>IF($A51="","",IF($E51=0,"",$H51/$E51))</f>
        <v/>
      </c>
    </row>
    <row r="52" ht="15" customHeight="1" s="80">
      <c r="A52" s="110" t="n"/>
      <c r="B52" s="110" t="n"/>
      <c r="C52" s="110" t="n"/>
      <c r="D52" s="110" t="n"/>
      <c r="E52" s="117">
        <f>IF($A52="","",$C52*$D52)</f>
        <v/>
      </c>
      <c r="F52" s="110" t="n"/>
      <c r="G52" s="117">
        <f>IF($A52="","",$C52*$F52)</f>
        <v/>
      </c>
      <c r="H52" s="117">
        <f>IF($A52="","",$E52-$G52)</f>
        <v/>
      </c>
      <c r="I52" s="119">
        <f>IF($A52="","",IF($E52=0,"",$H52/$E52))</f>
        <v/>
      </c>
    </row>
    <row r="53" ht="15" customHeight="1" s="80">
      <c r="A53" s="110" t="n"/>
      <c r="B53" s="110" t="n"/>
      <c r="C53" s="110" t="n"/>
      <c r="D53" s="110" t="n"/>
      <c r="E53" s="117">
        <f>IF($A53="","",$C53*$D53)</f>
        <v/>
      </c>
      <c r="F53" s="110" t="n"/>
      <c r="G53" s="117">
        <f>IF($A53="","",$C53*$F53)</f>
        <v/>
      </c>
      <c r="H53" s="117">
        <f>IF($A53="","",$E53-$G53)</f>
        <v/>
      </c>
      <c r="I53" s="119">
        <f>IF($A53="","",IF($E53=0,"",$H53/$E53))</f>
        <v/>
      </c>
    </row>
    <row r="54" ht="15" customHeight="1" s="80">
      <c r="A54" s="110" t="n"/>
      <c r="B54" s="110" t="n"/>
      <c r="C54" s="110" t="n"/>
      <c r="D54" s="110" t="n"/>
      <c r="E54" s="117">
        <f>IF($A54="","",$C54*$D54)</f>
        <v/>
      </c>
      <c r="F54" s="110" t="n"/>
      <c r="G54" s="117">
        <f>IF($A54="","",$C54*$F54)</f>
        <v/>
      </c>
      <c r="H54" s="117">
        <f>IF($A54="","",$E54-$G54)</f>
        <v/>
      </c>
      <c r="I54" s="119">
        <f>IF($A54="","",IF($E54=0,"",$H54/$E54))</f>
        <v/>
      </c>
    </row>
    <row r="55" ht="15" customHeight="1" s="80">
      <c r="A55" s="110" t="n"/>
      <c r="B55" s="110" t="n"/>
      <c r="C55" s="110" t="n"/>
      <c r="D55" s="110" t="n"/>
      <c r="E55" s="117">
        <f>IF($A55="","",$C55*$D55)</f>
        <v/>
      </c>
      <c r="F55" s="110" t="n"/>
      <c r="G55" s="117">
        <f>IF($A55="","",$C55*$F55)</f>
        <v/>
      </c>
      <c r="H55" s="117">
        <f>IF($A55="","",$E55-$G55)</f>
        <v/>
      </c>
      <c r="I55" s="119">
        <f>IF($A55="","",IF($E55=0,"",$H55/$E55))</f>
        <v/>
      </c>
    </row>
    <row r="56" ht="15" customHeight="1" s="80">
      <c r="A56" s="110" t="n"/>
      <c r="B56" s="110" t="n"/>
      <c r="C56" s="110" t="n"/>
      <c r="D56" s="110" t="n"/>
      <c r="E56" s="117">
        <f>IF($A56="","",$C56*$D56)</f>
        <v/>
      </c>
      <c r="F56" s="110" t="n"/>
      <c r="G56" s="117">
        <f>IF($A56="","",$C56*$F56)</f>
        <v/>
      </c>
      <c r="H56" s="117">
        <f>IF($A56="","",$E56-$G56)</f>
        <v/>
      </c>
      <c r="I56" s="119">
        <f>IF($A56="","",IF($E56=0,"",$H56/$E56))</f>
        <v/>
      </c>
    </row>
    <row r="57" ht="15" customHeight="1" s="80">
      <c r="A57" s="110" t="n"/>
      <c r="B57" s="110" t="n"/>
      <c r="C57" s="110" t="n"/>
      <c r="D57" s="110" t="n"/>
      <c r="E57" s="117">
        <f>IF($A57="","",$C57*$D57)</f>
        <v/>
      </c>
      <c r="F57" s="110" t="n"/>
      <c r="G57" s="117">
        <f>IF($A57="","",$C57*$F57)</f>
        <v/>
      </c>
      <c r="H57" s="117">
        <f>IF($A57="","",$E57-$G57)</f>
        <v/>
      </c>
      <c r="I57" s="119">
        <f>IF($A57="","",IF($E57=0,"",$H57/$E57))</f>
        <v/>
      </c>
    </row>
    <row r="58" ht="15" customHeight="1" s="80">
      <c r="A58" s="110" t="n"/>
      <c r="B58" s="110" t="n"/>
      <c r="C58" s="110" t="n"/>
      <c r="D58" s="110" t="n"/>
      <c r="E58" s="117">
        <f>IF($A58="","",$C58*$D58)</f>
        <v/>
      </c>
      <c r="F58" s="110" t="n"/>
      <c r="G58" s="117">
        <f>IF($A58="","",$C58*$F58)</f>
        <v/>
      </c>
      <c r="H58" s="117">
        <f>IF($A58="","",$E58-$G58)</f>
        <v/>
      </c>
      <c r="I58" s="119">
        <f>IF($A58="","",IF($E58=0,"",$H58/$E58))</f>
        <v/>
      </c>
    </row>
    <row r="59" ht="15" customHeight="1" s="80">
      <c r="A59" s="110" t="n"/>
      <c r="B59" s="110" t="n"/>
      <c r="C59" s="110" t="n"/>
      <c r="D59" s="110" t="n"/>
      <c r="E59" s="117">
        <f>IF($A59="","",$C59*$D59)</f>
        <v/>
      </c>
      <c r="F59" s="110" t="n"/>
      <c r="G59" s="117">
        <f>IF($A59="","",$C59*$F59)</f>
        <v/>
      </c>
      <c r="H59" s="117">
        <f>IF($A59="","",$E59-$G59)</f>
        <v/>
      </c>
      <c r="I59" s="119">
        <f>IF($A59="","",IF($E59=0,"",$H59/$E59))</f>
        <v/>
      </c>
    </row>
    <row r="60" ht="15" customHeight="1" s="80">
      <c r="A60" s="110" t="n"/>
      <c r="B60" s="110" t="n"/>
      <c r="C60" s="110" t="n"/>
      <c r="D60" s="110" t="n"/>
      <c r="E60" s="117">
        <f>IF($A60="","",$C60*$D60)</f>
        <v/>
      </c>
      <c r="F60" s="110" t="n"/>
      <c r="G60" s="117">
        <f>IF($A60="","",$C60*$F60)</f>
        <v/>
      </c>
      <c r="H60" s="117">
        <f>IF($A60="","",$E60-$G60)</f>
        <v/>
      </c>
      <c r="I60" s="119">
        <f>IF($A60="","",IF($E60=0,"",$H60/$E60))</f>
        <v/>
      </c>
    </row>
    <row r="61" ht="15" customHeight="1" s="80">
      <c r="A61" s="110" t="n"/>
      <c r="B61" s="110" t="n"/>
      <c r="C61" s="110" t="n"/>
      <c r="D61" s="110" t="n"/>
      <c r="E61" s="117">
        <f>IF($A61="","",$C61*$D61)</f>
        <v/>
      </c>
      <c r="F61" s="110" t="n"/>
      <c r="G61" s="117">
        <f>IF($A61="","",$C61*$F61)</f>
        <v/>
      </c>
      <c r="H61" s="117">
        <f>IF($A61="","",$E61-$G61)</f>
        <v/>
      </c>
      <c r="I61" s="119">
        <f>IF($A61="","",IF($E61=0,"",$H61/$E61))</f>
        <v/>
      </c>
    </row>
    <row r="62" ht="15" customHeight="1" s="80">
      <c r="A62" s="110" t="n"/>
      <c r="B62" s="110" t="n"/>
      <c r="C62" s="110" t="n"/>
      <c r="D62" s="110" t="n"/>
      <c r="E62" s="117">
        <f>IF($A62="","",$C62*$D62)</f>
        <v/>
      </c>
      <c r="F62" s="110" t="n"/>
      <c r="G62" s="117">
        <f>IF($A62="","",$C62*$F62)</f>
        <v/>
      </c>
      <c r="H62" s="117">
        <f>IF($A62="","",$E62-$G62)</f>
        <v/>
      </c>
      <c r="I62" s="119">
        <f>IF($A62="","",IF($E62=0,"",$H62/$E62))</f>
        <v/>
      </c>
    </row>
    <row r="63" ht="15" customHeight="1" s="80">
      <c r="A63" s="110" t="n"/>
      <c r="B63" s="110" t="n"/>
      <c r="C63" s="110" t="n"/>
      <c r="D63" s="110" t="n"/>
      <c r="E63" s="117">
        <f>IF($A63="","",$C63*$D63)</f>
        <v/>
      </c>
      <c r="F63" s="110" t="n"/>
      <c r="G63" s="117">
        <f>IF($A63="","",$C63*$F63)</f>
        <v/>
      </c>
      <c r="H63" s="117">
        <f>IF($A63="","",$E63-$G63)</f>
        <v/>
      </c>
      <c r="I63" s="119">
        <f>IF($A63="","",IF($E63=0,"",$H63/$E63))</f>
        <v/>
      </c>
    </row>
    <row r="64" ht="15" customHeight="1" s="80">
      <c r="A64" s="110" t="n"/>
      <c r="B64" s="110" t="n"/>
      <c r="C64" s="110" t="n"/>
      <c r="D64" s="110" t="n"/>
      <c r="E64" s="117">
        <f>IF($A64="","",$C64*$D64)</f>
        <v/>
      </c>
      <c r="F64" s="110" t="n"/>
      <c r="G64" s="117">
        <f>IF($A64="","",$C64*$F64)</f>
        <v/>
      </c>
      <c r="H64" s="117">
        <f>IF($A64="","",$E64-$G64)</f>
        <v/>
      </c>
      <c r="I64" s="119">
        <f>IF($A64="","",IF($E64=0,"",$H64/$E64))</f>
        <v/>
      </c>
    </row>
    <row r="65" ht="15" customHeight="1" s="80">
      <c r="A65" s="110" t="n"/>
      <c r="B65" s="110" t="n"/>
      <c r="C65" s="110" t="n"/>
      <c r="D65" s="110" t="n"/>
      <c r="E65" s="117">
        <f>IF($A65="","",$C65*$D65)</f>
        <v/>
      </c>
      <c r="F65" s="110" t="n"/>
      <c r="G65" s="117">
        <f>IF($A65="","",$C65*$F65)</f>
        <v/>
      </c>
      <c r="H65" s="117">
        <f>IF($A65="","",$E65-$G65)</f>
        <v/>
      </c>
      <c r="I65" s="119">
        <f>IF($A65="","",IF($E65=0,"",$H65/$E65))</f>
        <v/>
      </c>
    </row>
    <row r="66" ht="15" customHeight="1" s="80">
      <c r="A66" s="110" t="n"/>
      <c r="B66" s="110" t="n"/>
      <c r="C66" s="110" t="n"/>
      <c r="D66" s="110" t="n"/>
      <c r="E66" s="117">
        <f>IF($A66="","",$C66*$D66)</f>
        <v/>
      </c>
      <c r="F66" s="110" t="n"/>
      <c r="G66" s="117">
        <f>IF($A66="","",$C66*$F66)</f>
        <v/>
      </c>
      <c r="H66" s="117">
        <f>IF($A66="","",$E66-$G66)</f>
        <v/>
      </c>
      <c r="I66" s="119">
        <f>IF($A66="","",IF($E66=0,"",$H66/$E66))</f>
        <v/>
      </c>
    </row>
    <row r="67" ht="15" customHeight="1" s="80">
      <c r="A67" s="110" t="n"/>
      <c r="B67" s="110" t="n"/>
      <c r="C67" s="110" t="n"/>
      <c r="D67" s="110" t="n"/>
      <c r="E67" s="117">
        <f>IF($A67="","",$C67*$D67)</f>
        <v/>
      </c>
      <c r="F67" s="110" t="n"/>
      <c r="G67" s="117">
        <f>IF($A67="","",$C67*$F67)</f>
        <v/>
      </c>
      <c r="H67" s="117">
        <f>IF($A67="","",$E67-$G67)</f>
        <v/>
      </c>
      <c r="I67" s="119">
        <f>IF($A67="","",IF($E67=0,"",$H67/$E67))</f>
        <v/>
      </c>
    </row>
    <row r="68" ht="15" customHeight="1" s="80">
      <c r="A68" s="110" t="n"/>
      <c r="B68" s="110" t="n"/>
      <c r="C68" s="110" t="n"/>
      <c r="D68" s="110" t="n"/>
      <c r="E68" s="117">
        <f>IF($A68="","",$C68*$D68)</f>
        <v/>
      </c>
      <c r="F68" s="110" t="n"/>
      <c r="G68" s="117">
        <f>IF($A68="","",$C68*$F68)</f>
        <v/>
      </c>
      <c r="H68" s="117">
        <f>IF($A68="","",$E68-$G68)</f>
        <v/>
      </c>
      <c r="I68" s="119">
        <f>IF($A68="","",IF($E68=0,"",$H68/$E68))</f>
        <v/>
      </c>
    </row>
    <row r="69" ht="15" customHeight="1" s="80">
      <c r="A69" s="110" t="n"/>
      <c r="B69" s="110" t="n"/>
      <c r="C69" s="110" t="n"/>
      <c r="D69" s="110" t="n"/>
      <c r="E69" s="117">
        <f>IF($A69="","",$C69*$D69)</f>
        <v/>
      </c>
      <c r="F69" s="110" t="n"/>
      <c r="G69" s="117">
        <f>IF($A69="","",$C69*$F69)</f>
        <v/>
      </c>
      <c r="H69" s="117">
        <f>IF($A69="","",$E69-$G69)</f>
        <v/>
      </c>
      <c r="I69" s="119">
        <f>IF($A69="","",IF($E69=0,"",$H69/$E69))</f>
        <v/>
      </c>
    </row>
    <row r="70" ht="15" customHeight="1" s="80">
      <c r="A70" s="110" t="n"/>
      <c r="B70" s="110" t="n"/>
      <c r="C70" s="110" t="n"/>
      <c r="D70" s="110" t="n"/>
      <c r="E70" s="117">
        <f>IF($A70="","",$C70*$D70)</f>
        <v/>
      </c>
      <c r="F70" s="110" t="n"/>
      <c r="G70" s="117">
        <f>IF($A70="","",$C70*$F70)</f>
        <v/>
      </c>
      <c r="H70" s="117">
        <f>IF($A70="","",$E70-$G70)</f>
        <v/>
      </c>
      <c r="I70" s="119">
        <f>IF($A70="","",IF($E70=0,"",$H70/$E70))</f>
        <v/>
      </c>
    </row>
    <row r="71" ht="15" customHeight="1" s="80">
      <c r="A71" s="110" t="n"/>
      <c r="B71" s="110" t="n"/>
      <c r="C71" s="110" t="n"/>
      <c r="D71" s="110" t="n"/>
      <c r="E71" s="117">
        <f>IF($A71="","",$C71*$D71)</f>
        <v/>
      </c>
      <c r="F71" s="110" t="n"/>
      <c r="G71" s="117">
        <f>IF($A71="","",$C71*$F71)</f>
        <v/>
      </c>
      <c r="H71" s="117">
        <f>IF($A71="","",$E71-$G71)</f>
        <v/>
      </c>
      <c r="I71" s="119">
        <f>IF($A71="","",IF($E71=0,"",$H71/$E71))</f>
        <v/>
      </c>
    </row>
    <row r="72" ht="15" customHeight="1" s="80">
      <c r="A72" s="110" t="n"/>
      <c r="B72" s="110" t="n"/>
      <c r="C72" s="110" t="n"/>
      <c r="D72" s="110" t="n"/>
      <c r="E72" s="117">
        <f>IF($A72="","",$C72*$D72)</f>
        <v/>
      </c>
      <c r="F72" s="110" t="n"/>
      <c r="G72" s="117">
        <f>IF($A72="","",$C72*$F72)</f>
        <v/>
      </c>
      <c r="H72" s="117">
        <f>IF($A72="","",$E72-$G72)</f>
        <v/>
      </c>
      <c r="I72" s="119">
        <f>IF($A72="","",IF($E72=0,"",$H72/$E72))</f>
        <v/>
      </c>
    </row>
    <row r="73" ht="15" customHeight="1" s="80">
      <c r="A73" s="110" t="n"/>
      <c r="B73" s="110" t="n"/>
      <c r="C73" s="110" t="n"/>
      <c r="D73" s="110" t="n"/>
      <c r="E73" s="117">
        <f>IF($A73="","",$C73*$D73)</f>
        <v/>
      </c>
      <c r="F73" s="110" t="n"/>
      <c r="G73" s="117">
        <f>IF($A73="","",$C73*$F73)</f>
        <v/>
      </c>
      <c r="H73" s="117">
        <f>IF($A73="","",$E73-$G73)</f>
        <v/>
      </c>
      <c r="I73" s="119">
        <f>IF($A73="","",IF($E73=0,"",$H73/$E73))</f>
        <v/>
      </c>
    </row>
    <row r="74" ht="15" customHeight="1" s="80">
      <c r="A74" s="110" t="n"/>
      <c r="B74" s="110" t="n"/>
      <c r="C74" s="110" t="n"/>
      <c r="D74" s="110" t="n"/>
      <c r="E74" s="117">
        <f>IF($A74="","",$C74*$D74)</f>
        <v/>
      </c>
      <c r="F74" s="110" t="n"/>
      <c r="G74" s="117">
        <f>IF($A74="","",$C74*$F74)</f>
        <v/>
      </c>
      <c r="H74" s="117">
        <f>IF($A74="","",$E74-$G74)</f>
        <v/>
      </c>
      <c r="I74" s="119">
        <f>IF($A74="","",IF($E74=0,"",$H74/$E74))</f>
        <v/>
      </c>
    </row>
    <row r="75" ht="15" customHeight="1" s="80">
      <c r="A75" s="110" t="n"/>
      <c r="B75" s="110" t="n"/>
      <c r="C75" s="110" t="n"/>
      <c r="D75" s="110" t="n"/>
      <c r="E75" s="117">
        <f>IF($A75="","",$C75*$D75)</f>
        <v/>
      </c>
      <c r="F75" s="110" t="n"/>
      <c r="G75" s="117">
        <f>IF($A75="","",$C75*$F75)</f>
        <v/>
      </c>
      <c r="H75" s="117">
        <f>IF($A75="","",$E75-$G75)</f>
        <v/>
      </c>
      <c r="I75" s="119">
        <f>IF($A75="","",IF($E75=0,"",$H75/$E75))</f>
        <v/>
      </c>
    </row>
    <row r="76" ht="15" customHeight="1" s="80">
      <c r="A76" s="110" t="n"/>
      <c r="B76" s="110" t="n"/>
      <c r="C76" s="110" t="n"/>
      <c r="D76" s="110" t="n"/>
      <c r="E76" s="117">
        <f>IF($A76="","",$C76*$D76)</f>
        <v/>
      </c>
      <c r="F76" s="110" t="n"/>
      <c r="G76" s="117">
        <f>IF($A76="","",$C76*$F76)</f>
        <v/>
      </c>
      <c r="H76" s="117">
        <f>IF($A76="","",$E76-$G76)</f>
        <v/>
      </c>
      <c r="I76" s="119">
        <f>IF($A76="","",IF($E76=0,"",$H76/$E76))</f>
        <v/>
      </c>
    </row>
    <row r="77" ht="15" customHeight="1" s="80">
      <c r="A77" s="110" t="n"/>
      <c r="B77" s="110" t="n"/>
      <c r="C77" s="110" t="n"/>
      <c r="D77" s="110" t="n"/>
      <c r="E77" s="117">
        <f>IF($A77="","",$C77*$D77)</f>
        <v/>
      </c>
      <c r="F77" s="110" t="n"/>
      <c r="G77" s="117">
        <f>IF($A77="","",$C77*$F77)</f>
        <v/>
      </c>
      <c r="H77" s="117">
        <f>IF($A77="","",$E77-$G77)</f>
        <v/>
      </c>
      <c r="I77" s="119">
        <f>IF($A77="","",IF($E77=0,"",$H77/$E77))</f>
        <v/>
      </c>
    </row>
    <row r="78" ht="15" customHeight="1" s="80">
      <c r="A78" s="110" t="n"/>
      <c r="B78" s="110" t="n"/>
      <c r="C78" s="110" t="n"/>
      <c r="D78" s="110" t="n"/>
      <c r="E78" s="117">
        <f>IF($A78="","",$C78*$D78)</f>
        <v/>
      </c>
      <c r="F78" s="110" t="n"/>
      <c r="G78" s="117">
        <f>IF($A78="","",$C78*$F78)</f>
        <v/>
      </c>
      <c r="H78" s="117">
        <f>IF($A78="","",$E78-$G78)</f>
        <v/>
      </c>
      <c r="I78" s="119">
        <f>IF($A78="","",IF($E78=0,"",$H78/$E78))</f>
        <v/>
      </c>
    </row>
    <row r="79" ht="15" customHeight="1" s="80">
      <c r="A79" s="110" t="n"/>
      <c r="B79" s="110" t="n"/>
      <c r="C79" s="110" t="n"/>
      <c r="D79" s="110" t="n"/>
      <c r="E79" s="117">
        <f>IF($A79="","",$C79*$D79)</f>
        <v/>
      </c>
      <c r="F79" s="110" t="n"/>
      <c r="G79" s="117">
        <f>IF($A79="","",$C79*$F79)</f>
        <v/>
      </c>
      <c r="H79" s="117">
        <f>IF($A79="","",$E79-$G79)</f>
        <v/>
      </c>
      <c r="I79" s="119">
        <f>IF($A79="","",IF($E79=0,"",$H79/$E79))</f>
        <v/>
      </c>
    </row>
    <row r="80" ht="15" customHeight="1" s="80">
      <c r="A80" s="110" t="n"/>
      <c r="B80" s="110" t="n"/>
      <c r="C80" s="110" t="n"/>
      <c r="D80" s="110" t="n"/>
      <c r="E80" s="117">
        <f>IF($A80="","",$C80*$D80)</f>
        <v/>
      </c>
      <c r="F80" s="110" t="n"/>
      <c r="G80" s="117">
        <f>IF($A80="","",$C80*$F80)</f>
        <v/>
      </c>
      <c r="H80" s="117">
        <f>IF($A80="","",$E80-$G80)</f>
        <v/>
      </c>
      <c r="I80" s="119">
        <f>IF($A80="","",IF($E80=0,"",$H80/$E80))</f>
        <v/>
      </c>
    </row>
    <row r="81" ht="15" customHeight="1" s="80">
      <c r="A81" s="110" t="n"/>
      <c r="B81" s="110" t="n"/>
      <c r="C81" s="110" t="n"/>
      <c r="D81" s="110" t="n"/>
      <c r="E81" s="117">
        <f>IF($A81="","",$C81*$D81)</f>
        <v/>
      </c>
      <c r="F81" s="110" t="n"/>
      <c r="G81" s="117">
        <f>IF($A81="","",$C81*$F81)</f>
        <v/>
      </c>
      <c r="H81" s="117">
        <f>IF($A81="","",$E81-$G81)</f>
        <v/>
      </c>
      <c r="I81" s="119">
        <f>IF($A81="","",IF($E81=0,"",$H81/$E81))</f>
        <v/>
      </c>
    </row>
    <row r="82" ht="15" customHeight="1" s="80">
      <c r="A82" s="110" t="n"/>
      <c r="B82" s="110" t="n"/>
      <c r="C82" s="110" t="n"/>
      <c r="D82" s="110" t="n"/>
      <c r="E82" s="117">
        <f>IF($A82="","",$C82*$D82)</f>
        <v/>
      </c>
      <c r="F82" s="110" t="n"/>
      <c r="G82" s="117">
        <f>IF($A82="","",$C82*$F82)</f>
        <v/>
      </c>
      <c r="H82" s="117">
        <f>IF($A82="","",$E82-$G82)</f>
        <v/>
      </c>
      <c r="I82" s="119">
        <f>IF($A82="","",IF($E82=0,"",$H82/$E82))</f>
        <v/>
      </c>
    </row>
    <row r="83" ht="15" customHeight="1" s="80">
      <c r="A83" s="110" t="n"/>
      <c r="B83" s="110" t="n"/>
      <c r="C83" s="110" t="n"/>
      <c r="D83" s="110" t="n"/>
      <c r="E83" s="117">
        <f>IF($A83="","",$C83*$D83)</f>
        <v/>
      </c>
      <c r="F83" s="110" t="n"/>
      <c r="G83" s="117">
        <f>IF($A83="","",$C83*$F83)</f>
        <v/>
      </c>
      <c r="H83" s="117">
        <f>IF($A83="","",$E83-$G83)</f>
        <v/>
      </c>
      <c r="I83" s="119">
        <f>IF($A83="","",IF($E83=0,"",$H83/$E83))</f>
        <v/>
      </c>
    </row>
    <row r="84" ht="15" customHeight="1" s="80">
      <c r="A84" s="110" t="n"/>
      <c r="B84" s="110" t="n"/>
      <c r="C84" s="110" t="n"/>
      <c r="D84" s="110" t="n"/>
      <c r="E84" s="117">
        <f>IF($A84="","",$C84*$D84)</f>
        <v/>
      </c>
      <c r="F84" s="110" t="n"/>
      <c r="G84" s="117">
        <f>IF($A84="","",$C84*$F84)</f>
        <v/>
      </c>
      <c r="H84" s="117">
        <f>IF($A84="","",$E84-$G84)</f>
        <v/>
      </c>
      <c r="I84" s="119">
        <f>IF($A84="","",IF($E84=0,"",$H84/$E84))</f>
        <v/>
      </c>
    </row>
    <row r="85" ht="15" customHeight="1" s="80">
      <c r="A85" s="110" t="n"/>
      <c r="B85" s="110" t="n"/>
      <c r="C85" s="110" t="n"/>
      <c r="D85" s="110" t="n"/>
      <c r="E85" s="117">
        <f>IF($A85="","",$C85*$D85)</f>
        <v/>
      </c>
      <c r="F85" s="110" t="n"/>
      <c r="G85" s="117">
        <f>IF($A85="","",$C85*$F85)</f>
        <v/>
      </c>
      <c r="H85" s="117">
        <f>IF($A85="","",$E85-$G85)</f>
        <v/>
      </c>
      <c r="I85" s="119">
        <f>IF($A85="","",IF($E85=0,"",$H85/$E85))</f>
        <v/>
      </c>
    </row>
    <row r="86" ht="15" customHeight="1" s="80">
      <c r="A86" s="110" t="n"/>
      <c r="B86" s="110" t="n"/>
      <c r="C86" s="110" t="n"/>
      <c r="D86" s="110" t="n"/>
      <c r="E86" s="117">
        <f>IF($A86="","",$C86*$D86)</f>
        <v/>
      </c>
      <c r="F86" s="110" t="n"/>
      <c r="G86" s="117">
        <f>IF($A86="","",$C86*$F86)</f>
        <v/>
      </c>
      <c r="H86" s="117">
        <f>IF($A86="","",$E86-$G86)</f>
        <v/>
      </c>
      <c r="I86" s="119">
        <f>IF($A86="","",IF($E86=0,"",$H86/$E86))</f>
        <v/>
      </c>
    </row>
    <row r="87" ht="15" customHeight="1" s="80">
      <c r="A87" s="110" t="n"/>
      <c r="B87" s="110" t="n"/>
      <c r="C87" s="110" t="n"/>
      <c r="D87" s="110" t="n"/>
      <c r="E87" s="117">
        <f>IF($A87="","",$C87*$D87)</f>
        <v/>
      </c>
      <c r="F87" s="110" t="n"/>
      <c r="G87" s="117">
        <f>IF($A87="","",$C87*$F87)</f>
        <v/>
      </c>
      <c r="H87" s="117">
        <f>IF($A87="","",$E87-$G87)</f>
        <v/>
      </c>
      <c r="I87" s="119">
        <f>IF($A87="","",IF($E87=0,"",$H87/$E87))</f>
        <v/>
      </c>
    </row>
    <row r="88" ht="15" customHeight="1" s="80">
      <c r="A88" s="110" t="n"/>
      <c r="B88" s="110" t="n"/>
      <c r="C88" s="110" t="n"/>
      <c r="D88" s="110" t="n"/>
      <c r="E88" s="117">
        <f>IF($A88="","",$C88*$D88)</f>
        <v/>
      </c>
      <c r="F88" s="110" t="n"/>
      <c r="G88" s="117">
        <f>IF($A88="","",$C88*$F88)</f>
        <v/>
      </c>
      <c r="H88" s="117">
        <f>IF($A88="","",$E88-$G88)</f>
        <v/>
      </c>
      <c r="I88" s="119">
        <f>IF($A88="","",IF($E88=0,"",$H88/$E88))</f>
        <v/>
      </c>
    </row>
    <row r="89" ht="15" customHeight="1" s="80">
      <c r="A89" s="110" t="n"/>
      <c r="B89" s="110" t="n"/>
      <c r="C89" s="110" t="n"/>
      <c r="D89" s="110" t="n"/>
      <c r="E89" s="117">
        <f>IF($A89="","",$C89*$D89)</f>
        <v/>
      </c>
      <c r="F89" s="110" t="n"/>
      <c r="G89" s="117">
        <f>IF($A89="","",$C89*$F89)</f>
        <v/>
      </c>
      <c r="H89" s="117">
        <f>IF($A89="","",$E89-$G89)</f>
        <v/>
      </c>
      <c r="I89" s="119">
        <f>IF($A89="","",IF($E89=0,"",$H89/$E89))</f>
        <v/>
      </c>
    </row>
    <row r="90" ht="15" customHeight="1" s="80">
      <c r="A90" s="110" t="n"/>
      <c r="B90" s="110" t="n"/>
      <c r="C90" s="110" t="n"/>
      <c r="D90" s="110" t="n"/>
      <c r="E90" s="117">
        <f>IF($A90="","",$C90*$D90)</f>
        <v/>
      </c>
      <c r="F90" s="110" t="n"/>
      <c r="G90" s="117">
        <f>IF($A90="","",$C90*$F90)</f>
        <v/>
      </c>
      <c r="H90" s="117">
        <f>IF($A90="","",$E90-$G90)</f>
        <v/>
      </c>
      <c r="I90" s="119">
        <f>IF($A90="","",IF($E90=0,"",$H90/$E90))</f>
        <v/>
      </c>
    </row>
    <row r="91" ht="15" customHeight="1" s="80">
      <c r="A91" s="110" t="n"/>
      <c r="B91" s="110" t="n"/>
      <c r="C91" s="110" t="n"/>
      <c r="D91" s="110" t="n"/>
      <c r="E91" s="117">
        <f>IF($A91="","",$C91*$D91)</f>
        <v/>
      </c>
      <c r="F91" s="110" t="n"/>
      <c r="G91" s="117">
        <f>IF($A91="","",$C91*$F91)</f>
        <v/>
      </c>
      <c r="H91" s="117">
        <f>IF($A91="","",$E91-$G91)</f>
        <v/>
      </c>
      <c r="I91" s="119">
        <f>IF($A91="","",IF($E91=0,"",$H91/$E91))</f>
        <v/>
      </c>
    </row>
    <row r="92" ht="15" customHeight="1" s="80">
      <c r="A92" s="110" t="n"/>
      <c r="B92" s="110" t="n"/>
      <c r="C92" s="110" t="n"/>
      <c r="D92" s="110" t="n"/>
      <c r="E92" s="117">
        <f>IF($A92="","",$C92*$D92)</f>
        <v/>
      </c>
      <c r="F92" s="110" t="n"/>
      <c r="G92" s="117">
        <f>IF($A92="","",$C92*$F92)</f>
        <v/>
      </c>
      <c r="H92" s="117">
        <f>IF($A92="","",$E92-$G92)</f>
        <v/>
      </c>
      <c r="I92" s="119">
        <f>IF($A92="","",IF($E92=0,"",$H92/$E92))</f>
        <v/>
      </c>
    </row>
    <row r="93" ht="15" customHeight="1" s="80">
      <c r="A93" s="110" t="n"/>
      <c r="B93" s="110" t="n"/>
      <c r="C93" s="110" t="n"/>
      <c r="D93" s="110" t="n"/>
      <c r="E93" s="117">
        <f>IF($A93="","",$C93*$D93)</f>
        <v/>
      </c>
      <c r="F93" s="110" t="n"/>
      <c r="G93" s="117">
        <f>IF($A93="","",$C93*$F93)</f>
        <v/>
      </c>
      <c r="H93" s="117">
        <f>IF($A93="","",$E93-$G93)</f>
        <v/>
      </c>
      <c r="I93" s="119">
        <f>IF($A93="","",IF($E93=0,"",$H93/$E93))</f>
        <v/>
      </c>
    </row>
    <row r="94" ht="15" customHeight="1" s="80">
      <c r="A94" s="110" t="n"/>
      <c r="B94" s="110" t="n"/>
      <c r="C94" s="110" t="n"/>
      <c r="D94" s="110" t="n"/>
      <c r="E94" s="117">
        <f>IF($A94="","",$C94*$D94)</f>
        <v/>
      </c>
      <c r="F94" s="110" t="n"/>
      <c r="G94" s="117">
        <f>IF($A94="","",$C94*$F94)</f>
        <v/>
      </c>
      <c r="H94" s="117">
        <f>IF($A94="","",$E94-$G94)</f>
        <v/>
      </c>
      <c r="I94" s="119">
        <f>IF($A94="","",IF($E94=0,"",$H94/$E94))</f>
        <v/>
      </c>
    </row>
    <row r="95" ht="15" customHeight="1" s="80">
      <c r="A95" s="110" t="n"/>
      <c r="B95" s="110" t="n"/>
      <c r="C95" s="110" t="n"/>
      <c r="D95" s="110" t="n"/>
      <c r="E95" s="117">
        <f>IF($A95="","",$C95*$D95)</f>
        <v/>
      </c>
      <c r="F95" s="110" t="n"/>
      <c r="G95" s="117">
        <f>IF($A95="","",$C95*$F95)</f>
        <v/>
      </c>
      <c r="H95" s="117">
        <f>IF($A95="","",$E95-$G95)</f>
        <v/>
      </c>
      <c r="I95" s="119">
        <f>IF($A95="","",IF($E95=0,"",$H95/$E95))</f>
        <v/>
      </c>
    </row>
    <row r="96" ht="15" customHeight="1" s="80">
      <c r="A96" s="110" t="n"/>
      <c r="B96" s="110" t="n"/>
      <c r="C96" s="110" t="n"/>
      <c r="D96" s="110" t="n"/>
      <c r="E96" s="117">
        <f>IF($A96="","",$C96*$D96)</f>
        <v/>
      </c>
      <c r="F96" s="110" t="n"/>
      <c r="G96" s="117">
        <f>IF($A96="","",$C96*$F96)</f>
        <v/>
      </c>
      <c r="H96" s="117">
        <f>IF($A96="","",$E96-$G96)</f>
        <v/>
      </c>
      <c r="I96" s="119">
        <f>IF($A96="","",IF($E96=0,"",$H96/$E96))</f>
        <v/>
      </c>
    </row>
    <row r="97" ht="15" customHeight="1" s="80">
      <c r="A97" s="110" t="n"/>
      <c r="B97" s="110" t="n"/>
      <c r="C97" s="110" t="n"/>
      <c r="D97" s="110" t="n"/>
      <c r="E97" s="117">
        <f>IF($A97="","",$C97*$D97)</f>
        <v/>
      </c>
      <c r="F97" s="110" t="n"/>
      <c r="G97" s="117">
        <f>IF($A97="","",$C97*$F97)</f>
        <v/>
      </c>
      <c r="H97" s="117">
        <f>IF($A97="","",$E97-$G97)</f>
        <v/>
      </c>
      <c r="I97" s="119">
        <f>IF($A97="","",IF($E97=0,"",$H97/$E97))</f>
        <v/>
      </c>
    </row>
    <row r="98" ht="15" customHeight="1" s="80">
      <c r="A98" s="110" t="n"/>
      <c r="B98" s="110" t="n"/>
      <c r="C98" s="110" t="n"/>
      <c r="D98" s="110" t="n"/>
      <c r="E98" s="117">
        <f>IF($A98="","",$C98*$D98)</f>
        <v/>
      </c>
      <c r="F98" s="110" t="n"/>
      <c r="G98" s="117">
        <f>IF($A98="","",$C98*$F98)</f>
        <v/>
      </c>
      <c r="H98" s="117">
        <f>IF($A98="","",$E98-$G98)</f>
        <v/>
      </c>
      <c r="I98" s="119">
        <f>IF($A98="","",IF($E98=0,"",$H98/$E98))</f>
        <v/>
      </c>
    </row>
    <row r="99" ht="15" customHeight="1" s="80">
      <c r="A99" s="110" t="n"/>
      <c r="B99" s="110" t="n"/>
      <c r="C99" s="110" t="n"/>
      <c r="D99" s="110" t="n"/>
      <c r="E99" s="117">
        <f>IF($A99="","",$C99*$D99)</f>
        <v/>
      </c>
      <c r="F99" s="110" t="n"/>
      <c r="G99" s="117">
        <f>IF($A99="","",$C99*$F99)</f>
        <v/>
      </c>
      <c r="H99" s="117">
        <f>IF($A99="","",$E99-$G99)</f>
        <v/>
      </c>
      <c r="I99" s="119">
        <f>IF($A99="","",IF($E99=0,"",$H99/$E99))</f>
        <v/>
      </c>
    </row>
    <row r="100" ht="15" customHeight="1" s="80">
      <c r="A100" s="110" t="n"/>
      <c r="B100" s="110" t="n"/>
      <c r="C100" s="110" t="n"/>
      <c r="D100" s="110" t="n"/>
      <c r="E100" s="117">
        <f>IF($A100="","",$C100*$D100)</f>
        <v/>
      </c>
      <c r="F100" s="110" t="n"/>
      <c r="G100" s="117">
        <f>IF($A100="","",$C100*$F100)</f>
        <v/>
      </c>
      <c r="H100" s="117">
        <f>IF($A100="","",$E100-$G100)</f>
        <v/>
      </c>
      <c r="I100" s="119">
        <f>IF($A100="","",IF($E100=0,"",$H100/$E100))</f>
        <v/>
      </c>
    </row>
    <row r="101" ht="15" customHeight="1" s="80">
      <c r="A101" s="110" t="n"/>
      <c r="B101" s="110" t="n"/>
      <c r="C101" s="110" t="n"/>
      <c r="D101" s="110" t="n"/>
      <c r="E101" s="117">
        <f>IF($A101="","",$C101*$D101)</f>
        <v/>
      </c>
      <c r="F101" s="110" t="n"/>
      <c r="G101" s="117">
        <f>IF($A101="","",$C101*$F101)</f>
        <v/>
      </c>
      <c r="H101" s="117">
        <f>IF($A101="","",$E101-$G101)</f>
        <v/>
      </c>
      <c r="I101" s="119">
        <f>IF($A101="","",IF($E101=0,"",$H101/$E101))</f>
        <v/>
      </c>
    </row>
    <row r="102" ht="15" customHeight="1" s="80">
      <c r="A102" s="110" t="n"/>
      <c r="B102" s="110" t="n"/>
      <c r="C102" s="110" t="n"/>
      <c r="D102" s="110" t="n"/>
      <c r="E102" s="117">
        <f>IF($A102="","",$C102*$D102)</f>
        <v/>
      </c>
      <c r="F102" s="110" t="n"/>
      <c r="G102" s="117">
        <f>IF($A102="","",$C102*$F102)</f>
        <v/>
      </c>
      <c r="H102" s="117">
        <f>IF($A102="","",$E102-$G102)</f>
        <v/>
      </c>
      <c r="I102" s="119">
        <f>IF($A102="","",IF($E102=0,"",$H102/$E102))</f>
        <v/>
      </c>
    </row>
    <row r="103" ht="15" customHeight="1" s="80">
      <c r="A103" s="110" t="n"/>
      <c r="B103" s="110" t="n"/>
      <c r="C103" s="110" t="n"/>
      <c r="D103" s="110" t="n"/>
      <c r="E103" s="117">
        <f>IF($A103="","",$C103*$D103)</f>
        <v/>
      </c>
      <c r="F103" s="110" t="n"/>
      <c r="G103" s="117">
        <f>IF($A103="","",$C103*$F103)</f>
        <v/>
      </c>
      <c r="H103" s="117">
        <f>IF($A103="","",$E103-$G103)</f>
        <v/>
      </c>
      <c r="I103" s="119">
        <f>IF($A103="","",IF($E103=0,"",$H103/$E103))</f>
        <v/>
      </c>
    </row>
    <row r="104" ht="15" customHeight="1" s="80">
      <c r="A104" s="110" t="n"/>
      <c r="B104" s="110" t="n"/>
      <c r="C104" s="110" t="n"/>
      <c r="D104" s="110" t="n"/>
      <c r="E104" s="117">
        <f>IF($A104="","",$C104*$D104)</f>
        <v/>
      </c>
      <c r="F104" s="110" t="n"/>
      <c r="G104" s="117">
        <f>IF($A104="","",$C104*$F104)</f>
        <v/>
      </c>
      <c r="H104" s="117">
        <f>IF($A104="","",$E104-$G104)</f>
        <v/>
      </c>
      <c r="I104" s="119">
        <f>IF($A104="","",IF($E104=0,"",$H104/$E104))</f>
        <v/>
      </c>
    </row>
    <row r="105" ht="15" customHeight="1" s="80">
      <c r="A105" s="110" t="n"/>
      <c r="B105" s="110" t="n"/>
      <c r="C105" s="110" t="n"/>
      <c r="D105" s="110" t="n"/>
      <c r="E105" s="117">
        <f>IF($A105="","",$C105*$D105)</f>
        <v/>
      </c>
      <c r="F105" s="110" t="n"/>
      <c r="G105" s="117">
        <f>IF($A105="","",$C105*$F105)</f>
        <v/>
      </c>
      <c r="H105" s="117">
        <f>IF($A105="","",$E105-$G105)</f>
        <v/>
      </c>
      <c r="I105" s="119">
        <f>IF($A105="","",IF($E105=0,"",$H105/$E105))</f>
        <v/>
      </c>
    </row>
    <row r="106" ht="15" customHeight="1" s="80">
      <c r="A106" s="110" t="n"/>
      <c r="B106" s="110" t="n"/>
      <c r="C106" s="110" t="n"/>
      <c r="D106" s="110" t="n"/>
      <c r="E106" s="117">
        <f>IF($A106="","",$C106*$D106)</f>
        <v/>
      </c>
      <c r="F106" s="110" t="n"/>
      <c r="G106" s="117">
        <f>IF($A106="","",$C106*$F106)</f>
        <v/>
      </c>
      <c r="H106" s="117">
        <f>IF($A106="","",$E106-$G106)</f>
        <v/>
      </c>
      <c r="I106" s="119">
        <f>IF($A106="","",IF($E106=0,"",$H106/$E106))</f>
        <v/>
      </c>
    </row>
    <row r="107" ht="15" customHeight="1" s="80">
      <c r="A107" s="110" t="n"/>
      <c r="B107" s="110" t="n"/>
      <c r="C107" s="110" t="n"/>
      <c r="D107" s="110" t="n"/>
      <c r="E107" s="117">
        <f>IF($A107="","",$C107*$D107)</f>
        <v/>
      </c>
      <c r="F107" s="110" t="n"/>
      <c r="G107" s="117">
        <f>IF($A107="","",$C107*$F107)</f>
        <v/>
      </c>
      <c r="H107" s="117">
        <f>IF($A107="","",$E107-$G107)</f>
        <v/>
      </c>
      <c r="I107" s="119">
        <f>IF($A107="","",IF($E107=0,"",$H107/$E107))</f>
        <v/>
      </c>
    </row>
    <row r="108" ht="15" customHeight="1" s="80">
      <c r="A108" s="110" t="n"/>
      <c r="B108" s="110" t="n"/>
      <c r="C108" s="110" t="n"/>
      <c r="D108" s="110" t="n"/>
      <c r="E108" s="117">
        <f>IF($A108="","",$C108*$D108)</f>
        <v/>
      </c>
      <c r="F108" s="110" t="n"/>
      <c r="G108" s="117">
        <f>IF($A108="","",$C108*$F108)</f>
        <v/>
      </c>
      <c r="H108" s="117">
        <f>IF($A108="","",$E108-$G108)</f>
        <v/>
      </c>
      <c r="I108" s="119">
        <f>IF($A108="","",IF($E108=0,"",$H108/$E108))</f>
        <v/>
      </c>
    </row>
    <row r="109" ht="15" customHeight="1" s="80">
      <c r="A109" s="110" t="n"/>
      <c r="B109" s="110" t="n"/>
      <c r="C109" s="110" t="n"/>
      <c r="D109" s="110" t="n"/>
      <c r="E109" s="117">
        <f>IF($A109="","",$C109*$D109)</f>
        <v/>
      </c>
      <c r="F109" s="110" t="n"/>
      <c r="G109" s="117">
        <f>IF($A109="","",$C109*$F109)</f>
        <v/>
      </c>
      <c r="H109" s="117">
        <f>IF($A109="","",$E109-$G109)</f>
        <v/>
      </c>
      <c r="I109" s="119">
        <f>IF($A109="","",IF($E109=0,"",$H109/$E109))</f>
        <v/>
      </c>
    </row>
    <row r="110" ht="15" customHeight="1" s="80">
      <c r="A110" s="110" t="n"/>
      <c r="B110" s="110" t="n"/>
      <c r="C110" s="110" t="n"/>
      <c r="D110" s="110" t="n"/>
      <c r="E110" s="117">
        <f>IF($A110="","",$C110*$D110)</f>
        <v/>
      </c>
      <c r="F110" s="110" t="n"/>
      <c r="G110" s="117">
        <f>IF($A110="","",$C110*$F110)</f>
        <v/>
      </c>
      <c r="H110" s="117">
        <f>IF($A110="","",$E110-$G110)</f>
        <v/>
      </c>
      <c r="I110" s="119">
        <f>IF($A110="","",IF($E110=0,"",$H110/$E110))</f>
        <v/>
      </c>
    </row>
    <row r="111" ht="15" customHeight="1" s="80">
      <c r="A111" s="110" t="n"/>
      <c r="B111" s="110" t="n"/>
      <c r="C111" s="110" t="n"/>
      <c r="D111" s="110" t="n"/>
      <c r="E111" s="117">
        <f>IF($A111="","",$C111*$D111)</f>
        <v/>
      </c>
      <c r="F111" s="110" t="n"/>
      <c r="G111" s="117">
        <f>IF($A111="","",$C111*$F111)</f>
        <v/>
      </c>
      <c r="H111" s="117">
        <f>IF($A111="","",$E111-$G111)</f>
        <v/>
      </c>
      <c r="I111" s="119">
        <f>IF($A111="","",IF($E111=0,"",$H111/$E111))</f>
        <v/>
      </c>
    </row>
    <row r="112" ht="15" customHeight="1" s="80">
      <c r="A112" s="110" t="n"/>
      <c r="B112" s="110" t="n"/>
      <c r="C112" s="110" t="n"/>
      <c r="D112" s="110" t="n"/>
      <c r="E112" s="117">
        <f>IF($A112="","",$C112*$D112)</f>
        <v/>
      </c>
      <c r="F112" s="110" t="n"/>
      <c r="G112" s="117">
        <f>IF($A112="","",$C112*$F112)</f>
        <v/>
      </c>
      <c r="H112" s="117">
        <f>IF($A112="","",$E112-$G112)</f>
        <v/>
      </c>
      <c r="I112" s="119">
        <f>IF($A112="","",IF($E112=0,"",$H112/$E112))</f>
        <v/>
      </c>
    </row>
    <row r="113" ht="15" customHeight="1" s="80">
      <c r="A113" s="110" t="n"/>
      <c r="B113" s="110" t="n"/>
      <c r="C113" s="110" t="n"/>
      <c r="D113" s="110" t="n"/>
      <c r="E113" s="117">
        <f>IF($A113="","",$C113*$D113)</f>
        <v/>
      </c>
      <c r="F113" s="110" t="n"/>
      <c r="G113" s="117">
        <f>IF($A113="","",$C113*$F113)</f>
        <v/>
      </c>
      <c r="H113" s="117">
        <f>IF($A113="","",$E113-$G113)</f>
        <v/>
      </c>
      <c r="I113" s="119">
        <f>IF($A113="","",IF($E113=0,"",$H113/$E113))</f>
        <v/>
      </c>
    </row>
    <row r="114" ht="15" customHeight="1" s="80">
      <c r="A114" s="110" t="n"/>
      <c r="B114" s="110" t="n"/>
      <c r="C114" s="110" t="n"/>
      <c r="D114" s="110" t="n"/>
      <c r="E114" s="117">
        <f>IF($A114="","",$C114*$D114)</f>
        <v/>
      </c>
      <c r="F114" s="110" t="n"/>
      <c r="G114" s="117">
        <f>IF($A114="","",$C114*$F114)</f>
        <v/>
      </c>
      <c r="H114" s="117">
        <f>IF($A114="","",$E114-$G114)</f>
        <v/>
      </c>
      <c r="I114" s="119">
        <f>IF($A114="","",IF($E114=0,"",$H114/$E114))</f>
        <v/>
      </c>
    </row>
    <row r="115" ht="15" customHeight="1" s="80">
      <c r="A115" s="110" t="n"/>
      <c r="B115" s="110" t="n"/>
      <c r="C115" s="110" t="n"/>
      <c r="D115" s="110" t="n"/>
      <c r="E115" s="117">
        <f>IF($A115="","",$C115*$D115)</f>
        <v/>
      </c>
      <c r="F115" s="110" t="n"/>
      <c r="G115" s="117">
        <f>IF($A115="","",$C115*$F115)</f>
        <v/>
      </c>
      <c r="H115" s="117">
        <f>IF($A115="","",$E115-$G115)</f>
        <v/>
      </c>
      <c r="I115" s="119">
        <f>IF($A115="","",IF($E115=0,"",$H115/$E115))</f>
        <v/>
      </c>
    </row>
    <row r="116" ht="15" customHeight="1" s="80">
      <c r="A116" s="110" t="n"/>
      <c r="B116" s="110" t="n"/>
      <c r="C116" s="110" t="n"/>
      <c r="D116" s="110" t="n"/>
      <c r="E116" s="117">
        <f>IF($A116="","",$C116*$D116)</f>
        <v/>
      </c>
      <c r="F116" s="110" t="n"/>
      <c r="G116" s="117">
        <f>IF($A116="","",$C116*$F116)</f>
        <v/>
      </c>
      <c r="H116" s="117">
        <f>IF($A116="","",$E116-$G116)</f>
        <v/>
      </c>
      <c r="I116" s="119">
        <f>IF($A116="","",IF($E116=0,"",$H116/$E116))</f>
        <v/>
      </c>
    </row>
    <row r="117" ht="15" customHeight="1" s="80">
      <c r="A117" s="110" t="n"/>
      <c r="B117" s="110" t="n"/>
      <c r="C117" s="110" t="n"/>
      <c r="D117" s="110" t="n"/>
      <c r="E117" s="117">
        <f>IF($A117="","",$C117*$D117)</f>
        <v/>
      </c>
      <c r="F117" s="110" t="n"/>
      <c r="G117" s="117">
        <f>IF($A117="","",$C117*$F117)</f>
        <v/>
      </c>
      <c r="H117" s="117">
        <f>IF($A117="","",$E117-$G117)</f>
        <v/>
      </c>
      <c r="I117" s="119">
        <f>IF($A117="","",IF($E117=0,"",$H117/$E117))</f>
        <v/>
      </c>
    </row>
    <row r="118" ht="15" customHeight="1" s="80">
      <c r="A118" s="110" t="n"/>
      <c r="B118" s="110" t="n"/>
      <c r="C118" s="110" t="n"/>
      <c r="D118" s="110" t="n"/>
      <c r="E118" s="117">
        <f>IF($A118="","",$C118*$D118)</f>
        <v/>
      </c>
      <c r="F118" s="110" t="n"/>
      <c r="G118" s="117">
        <f>IF($A118="","",$C118*$F118)</f>
        <v/>
      </c>
      <c r="H118" s="117">
        <f>IF($A118="","",$E118-$G118)</f>
        <v/>
      </c>
      <c r="I118" s="119">
        <f>IF($A118="","",IF($E118=0,"",$H118/$E118))</f>
        <v/>
      </c>
    </row>
    <row r="119" ht="15" customHeight="1" s="80">
      <c r="A119" s="110" t="n"/>
      <c r="B119" s="110" t="n"/>
      <c r="C119" s="110" t="n"/>
      <c r="D119" s="110" t="n"/>
      <c r="E119" s="117">
        <f>IF($A119="","",$C119*$D119)</f>
        <v/>
      </c>
      <c r="F119" s="110" t="n"/>
      <c r="G119" s="117">
        <f>IF($A119="","",$C119*$F119)</f>
        <v/>
      </c>
      <c r="H119" s="117">
        <f>IF($A119="","",$E119-$G119)</f>
        <v/>
      </c>
      <c r="I119" s="119">
        <f>IF($A119="","",IF($E119=0,"",$H119/$E119))</f>
        <v/>
      </c>
    </row>
    <row r="120" ht="15" customHeight="1" s="80">
      <c r="A120" s="110" t="n"/>
      <c r="B120" s="110" t="n"/>
      <c r="C120" s="110" t="n"/>
      <c r="D120" s="110" t="n"/>
      <c r="E120" s="117">
        <f>IF($A120="","",$C120*$D120)</f>
        <v/>
      </c>
      <c r="F120" s="110" t="n"/>
      <c r="G120" s="117">
        <f>IF($A120="","",$C120*$F120)</f>
        <v/>
      </c>
      <c r="H120" s="117">
        <f>IF($A120="","",$E120-$G120)</f>
        <v/>
      </c>
      <c r="I120" s="119">
        <f>IF($A120="","",IF($E120=0,"",$H120/$E120))</f>
        <v/>
      </c>
    </row>
    <row r="121" ht="15" customHeight="1" s="80">
      <c r="A121" s="110" t="n"/>
      <c r="B121" s="110" t="n"/>
      <c r="C121" s="110" t="n"/>
      <c r="D121" s="110" t="n"/>
      <c r="E121" s="117">
        <f>IF($A121="","",$C121*$D121)</f>
        <v/>
      </c>
      <c r="F121" s="110" t="n"/>
      <c r="G121" s="117">
        <f>IF($A121="","",$C121*$F121)</f>
        <v/>
      </c>
      <c r="H121" s="117">
        <f>IF($A121="","",$E121-$G121)</f>
        <v/>
      </c>
      <c r="I121" s="119">
        <f>IF($A121="","",IF($E121=0,"",$H121/$E121))</f>
        <v/>
      </c>
    </row>
    <row r="122" ht="15" customHeight="1" s="80">
      <c r="A122" s="110" t="n"/>
      <c r="B122" s="110" t="n"/>
      <c r="C122" s="110" t="n"/>
      <c r="D122" s="110" t="n"/>
      <c r="E122" s="117">
        <f>IF($A122="","",$C122*$D122)</f>
        <v/>
      </c>
      <c r="F122" s="110" t="n"/>
      <c r="G122" s="117">
        <f>IF($A122="","",$C122*$F122)</f>
        <v/>
      </c>
      <c r="H122" s="117">
        <f>IF($A122="","",$E122-$G122)</f>
        <v/>
      </c>
      <c r="I122" s="119">
        <f>IF($A122="","",IF($E122=0,"",$H122/$E122))</f>
        <v/>
      </c>
    </row>
    <row r="123" ht="15" customHeight="1" s="80">
      <c r="A123" s="110" t="n"/>
      <c r="B123" s="110" t="n"/>
      <c r="C123" s="110" t="n"/>
      <c r="D123" s="110" t="n"/>
      <c r="E123" s="117">
        <f>IF($A123="","",$C123*$D123)</f>
        <v/>
      </c>
      <c r="F123" s="110" t="n"/>
      <c r="G123" s="117">
        <f>IF($A123="","",$C123*$F123)</f>
        <v/>
      </c>
      <c r="H123" s="117">
        <f>IF($A123="","",$E123-$G123)</f>
        <v/>
      </c>
      <c r="I123" s="119">
        <f>IF($A123="","",IF($E123=0,"",$H123/$E123))</f>
        <v/>
      </c>
    </row>
    <row r="124" ht="15" customHeight="1" s="80">
      <c r="A124" s="110" t="n"/>
      <c r="B124" s="110" t="n"/>
      <c r="C124" s="110" t="n"/>
      <c r="D124" s="110" t="n"/>
      <c r="E124" s="117">
        <f>IF($A124="","",$C124*$D124)</f>
        <v/>
      </c>
      <c r="F124" s="110" t="n"/>
      <c r="G124" s="117">
        <f>IF($A124="","",$C124*$F124)</f>
        <v/>
      </c>
      <c r="H124" s="117">
        <f>IF($A124="","",$E124-$G124)</f>
        <v/>
      </c>
      <c r="I124" s="119">
        <f>IF($A124="","",IF($E124=0,"",$H124/$E124))</f>
        <v/>
      </c>
    </row>
    <row r="125" ht="15" customHeight="1" s="80">
      <c r="A125" s="110" t="n"/>
      <c r="B125" s="110" t="n"/>
      <c r="C125" s="110" t="n"/>
      <c r="D125" s="110" t="n"/>
      <c r="E125" s="117">
        <f>IF($A125="","",$C125*$D125)</f>
        <v/>
      </c>
      <c r="F125" s="110" t="n"/>
      <c r="G125" s="117">
        <f>IF($A125="","",$C125*$F125)</f>
        <v/>
      </c>
      <c r="H125" s="117">
        <f>IF($A125="","",$E125-$G125)</f>
        <v/>
      </c>
      <c r="I125" s="119">
        <f>IF($A125="","",IF($E125=0,"",$H125/$E125))</f>
        <v/>
      </c>
    </row>
    <row r="126" ht="15" customHeight="1" s="80">
      <c r="A126" s="110" t="n"/>
      <c r="B126" s="110" t="n"/>
      <c r="C126" s="110" t="n"/>
      <c r="D126" s="110" t="n"/>
      <c r="E126" s="117">
        <f>IF($A126="","",$C126*$D126)</f>
        <v/>
      </c>
      <c r="F126" s="110" t="n"/>
      <c r="G126" s="117">
        <f>IF($A126="","",$C126*$F126)</f>
        <v/>
      </c>
      <c r="H126" s="117">
        <f>IF($A126="","",$E126-$G126)</f>
        <v/>
      </c>
      <c r="I126" s="119">
        <f>IF($A126="","",IF($E126=0,"",$H126/$E126))</f>
        <v/>
      </c>
    </row>
    <row r="127" ht="15" customHeight="1" s="80">
      <c r="A127" s="110" t="n"/>
      <c r="B127" s="110" t="n"/>
      <c r="C127" s="110" t="n"/>
      <c r="D127" s="110" t="n"/>
      <c r="E127" s="117">
        <f>IF($A127="","",$C127*$D127)</f>
        <v/>
      </c>
      <c r="F127" s="110" t="n"/>
      <c r="G127" s="117">
        <f>IF($A127="","",$C127*$F127)</f>
        <v/>
      </c>
      <c r="H127" s="117">
        <f>IF($A127="","",$E127-$G127)</f>
        <v/>
      </c>
      <c r="I127" s="119">
        <f>IF($A127="","",IF($E127=0,"",$H127/$E127))</f>
        <v/>
      </c>
    </row>
    <row r="128" ht="15" customHeight="1" s="80">
      <c r="A128" s="110" t="n"/>
      <c r="B128" s="110" t="n"/>
      <c r="C128" s="110" t="n"/>
      <c r="D128" s="110" t="n"/>
      <c r="E128" s="117">
        <f>IF($A128="","",$C128*$D128)</f>
        <v/>
      </c>
      <c r="F128" s="110" t="n"/>
      <c r="G128" s="117">
        <f>IF($A128="","",$C128*$F128)</f>
        <v/>
      </c>
      <c r="H128" s="117">
        <f>IF($A128="","",$E128-$G128)</f>
        <v/>
      </c>
      <c r="I128" s="119">
        <f>IF($A128="","",IF($E128=0,"",$H128/$E128))</f>
        <v/>
      </c>
    </row>
    <row r="129" ht="15" customHeight="1" s="80">
      <c r="A129" s="110" t="n"/>
      <c r="B129" s="110" t="n"/>
      <c r="C129" s="110" t="n"/>
      <c r="D129" s="110" t="n"/>
      <c r="E129" s="117">
        <f>IF($A129="","",$C129*$D129)</f>
        <v/>
      </c>
      <c r="F129" s="110" t="n"/>
      <c r="G129" s="117">
        <f>IF($A129="","",$C129*$F129)</f>
        <v/>
      </c>
      <c r="H129" s="117">
        <f>IF($A129="","",$E129-$G129)</f>
        <v/>
      </c>
      <c r="I129" s="119">
        <f>IF($A129="","",IF($E129=0,"",$H129/$E129))</f>
        <v/>
      </c>
    </row>
    <row r="130" ht="15" customHeight="1" s="80">
      <c r="A130" s="110" t="n"/>
      <c r="B130" s="110" t="n"/>
      <c r="C130" s="110" t="n"/>
      <c r="D130" s="110" t="n"/>
      <c r="E130" s="117">
        <f>IF($A130="","",$C130*$D130)</f>
        <v/>
      </c>
      <c r="F130" s="110" t="n"/>
      <c r="G130" s="117">
        <f>IF($A130="","",$C130*$F130)</f>
        <v/>
      </c>
      <c r="H130" s="117">
        <f>IF($A130="","",$E130-$G130)</f>
        <v/>
      </c>
      <c r="I130" s="119">
        <f>IF($A130="","",IF($E130=0,"",$H130/$E130))</f>
        <v/>
      </c>
    </row>
    <row r="131" ht="15" customHeight="1" s="80">
      <c r="A131" s="110" t="n"/>
      <c r="B131" s="110" t="n"/>
      <c r="C131" s="110" t="n"/>
      <c r="D131" s="110" t="n"/>
      <c r="E131" s="117">
        <f>IF($A131="","",$C131*$D131)</f>
        <v/>
      </c>
      <c r="F131" s="110" t="n"/>
      <c r="G131" s="117">
        <f>IF($A131="","",$C131*$F131)</f>
        <v/>
      </c>
      <c r="H131" s="117">
        <f>IF($A131="","",$E131-$G131)</f>
        <v/>
      </c>
      <c r="I131" s="119">
        <f>IF($A131="","",IF($E131=0,"",$H131/$E131))</f>
        <v/>
      </c>
    </row>
    <row r="132" ht="15" customHeight="1" s="80">
      <c r="A132" s="110" t="n"/>
      <c r="B132" s="110" t="n"/>
      <c r="C132" s="110" t="n"/>
      <c r="D132" s="110" t="n"/>
      <c r="E132" s="117">
        <f>IF($A132="","",$C132*$D132)</f>
        <v/>
      </c>
      <c r="F132" s="110" t="n"/>
      <c r="G132" s="117">
        <f>IF($A132="","",$C132*$F132)</f>
        <v/>
      </c>
      <c r="H132" s="117">
        <f>IF($A132="","",$E132-$G132)</f>
        <v/>
      </c>
      <c r="I132" s="119">
        <f>IF($A132="","",IF($E132=0,"",$H132/$E132))</f>
        <v/>
      </c>
    </row>
    <row r="133" ht="15" customHeight="1" s="80">
      <c r="A133" s="110" t="n"/>
      <c r="B133" s="110" t="n"/>
      <c r="C133" s="110" t="n"/>
      <c r="D133" s="110" t="n"/>
      <c r="E133" s="117">
        <f>IF($A133="","",$C133*$D133)</f>
        <v/>
      </c>
      <c r="F133" s="110" t="n"/>
      <c r="G133" s="117">
        <f>IF($A133="","",$C133*$F133)</f>
        <v/>
      </c>
      <c r="H133" s="117">
        <f>IF($A133="","",$E133-$G133)</f>
        <v/>
      </c>
      <c r="I133" s="119">
        <f>IF($A133="","",IF($E133=0,"",$H133/$E133))</f>
        <v/>
      </c>
    </row>
    <row r="134" ht="15" customHeight="1" s="80">
      <c r="A134" s="110" t="n"/>
      <c r="B134" s="110" t="n"/>
      <c r="C134" s="110" t="n"/>
      <c r="D134" s="110" t="n"/>
      <c r="E134" s="117">
        <f>IF($A134="","",$C134*$D134)</f>
        <v/>
      </c>
      <c r="F134" s="110" t="n"/>
      <c r="G134" s="117">
        <f>IF($A134="","",$C134*$F134)</f>
        <v/>
      </c>
      <c r="H134" s="117">
        <f>IF($A134="","",$E134-$G134)</f>
        <v/>
      </c>
      <c r="I134" s="119">
        <f>IF($A134="","",IF($E134=0,"",$H134/$E134))</f>
        <v/>
      </c>
    </row>
    <row r="135" ht="15" customHeight="1" s="80">
      <c r="A135" s="110" t="n"/>
      <c r="B135" s="110" t="n"/>
      <c r="C135" s="110" t="n"/>
      <c r="D135" s="110" t="n"/>
      <c r="E135" s="117">
        <f>IF($A135="","",$C135*$D135)</f>
        <v/>
      </c>
      <c r="F135" s="110" t="n"/>
      <c r="G135" s="117">
        <f>IF($A135="","",$C135*$F135)</f>
        <v/>
      </c>
      <c r="H135" s="117">
        <f>IF($A135="","",$E135-$G135)</f>
        <v/>
      </c>
      <c r="I135" s="119">
        <f>IF($A135="","",IF($E135=0,"",$H135/$E135))</f>
        <v/>
      </c>
    </row>
    <row r="136" ht="15" customHeight="1" s="80">
      <c r="A136" s="110" t="n"/>
      <c r="B136" s="110" t="n"/>
      <c r="C136" s="110" t="n"/>
      <c r="D136" s="110" t="n"/>
      <c r="E136" s="117">
        <f>IF($A136="","",$C136*$D136)</f>
        <v/>
      </c>
      <c r="F136" s="110" t="n"/>
      <c r="G136" s="117">
        <f>IF($A136="","",$C136*$F136)</f>
        <v/>
      </c>
      <c r="H136" s="117">
        <f>IF($A136="","",$E136-$G136)</f>
        <v/>
      </c>
      <c r="I136" s="119">
        <f>IF($A136="","",IF($E136=0,"",$H136/$E136))</f>
        <v/>
      </c>
    </row>
    <row r="137" ht="15" customHeight="1" s="80">
      <c r="A137" s="110" t="n"/>
      <c r="B137" s="110" t="n"/>
      <c r="C137" s="110" t="n"/>
      <c r="D137" s="110" t="n"/>
      <c r="E137" s="117">
        <f>IF($A137="","",$C137*$D137)</f>
        <v/>
      </c>
      <c r="F137" s="110" t="n"/>
      <c r="G137" s="117">
        <f>IF($A137="","",$C137*$F137)</f>
        <v/>
      </c>
      <c r="H137" s="117">
        <f>IF($A137="","",$E137-$G137)</f>
        <v/>
      </c>
      <c r="I137" s="119">
        <f>IF($A137="","",IF($E137=0,"",$H137/$E137))</f>
        <v/>
      </c>
    </row>
    <row r="138" ht="15" customHeight="1" s="80">
      <c r="A138" s="110" t="n"/>
      <c r="B138" s="110" t="n"/>
      <c r="C138" s="110" t="n"/>
      <c r="D138" s="110" t="n"/>
      <c r="E138" s="117">
        <f>IF($A138="","",$C138*$D138)</f>
        <v/>
      </c>
      <c r="F138" s="110" t="n"/>
      <c r="G138" s="117">
        <f>IF($A138="","",$C138*$F138)</f>
        <v/>
      </c>
      <c r="H138" s="117">
        <f>IF($A138="","",$E138-$G138)</f>
        <v/>
      </c>
      <c r="I138" s="119">
        <f>IF($A138="","",IF($E138=0,"",$H138/$E138))</f>
        <v/>
      </c>
    </row>
    <row r="139" ht="15" customHeight="1" s="80">
      <c r="A139" s="110" t="n"/>
      <c r="B139" s="110" t="n"/>
      <c r="C139" s="110" t="n"/>
      <c r="D139" s="110" t="n"/>
      <c r="E139" s="117">
        <f>IF($A139="","",$C139*$D139)</f>
        <v/>
      </c>
      <c r="F139" s="110" t="n"/>
      <c r="G139" s="117">
        <f>IF($A139="","",$C139*$F139)</f>
        <v/>
      </c>
      <c r="H139" s="117">
        <f>IF($A139="","",$E139-$G139)</f>
        <v/>
      </c>
      <c r="I139" s="119">
        <f>IF($A139="","",IF($E139=0,"",$H139/$E139))</f>
        <v/>
      </c>
    </row>
    <row r="140" ht="15" customHeight="1" s="80">
      <c r="A140" s="110" t="n"/>
      <c r="B140" s="110" t="n"/>
      <c r="C140" s="110" t="n"/>
      <c r="D140" s="110" t="n"/>
      <c r="E140" s="117">
        <f>IF($A140="","",$C140*$D140)</f>
        <v/>
      </c>
      <c r="F140" s="110" t="n"/>
      <c r="G140" s="117">
        <f>IF($A140="","",$C140*$F140)</f>
        <v/>
      </c>
      <c r="H140" s="117">
        <f>IF($A140="","",$E140-$G140)</f>
        <v/>
      </c>
      <c r="I140" s="119">
        <f>IF($A140="","",IF($E140=0,"",$H140/$E140))</f>
        <v/>
      </c>
    </row>
    <row r="141" ht="15" customHeight="1" s="80">
      <c r="A141" s="110" t="n"/>
      <c r="B141" s="110" t="n"/>
      <c r="C141" s="110" t="n"/>
      <c r="D141" s="110" t="n"/>
      <c r="E141" s="117">
        <f>IF($A141="","",$C141*$D141)</f>
        <v/>
      </c>
      <c r="F141" s="110" t="n"/>
      <c r="G141" s="117">
        <f>IF($A141="","",$C141*$F141)</f>
        <v/>
      </c>
      <c r="H141" s="117">
        <f>IF($A141="","",$E141-$G141)</f>
        <v/>
      </c>
      <c r="I141" s="119">
        <f>IF($A141="","",IF($E141=0,"",$H141/$E141))</f>
        <v/>
      </c>
    </row>
    <row r="142" ht="15" customHeight="1" s="80">
      <c r="A142" s="110" t="n"/>
      <c r="B142" s="110" t="n"/>
      <c r="C142" s="110" t="n"/>
      <c r="D142" s="110" t="n"/>
      <c r="E142" s="117">
        <f>IF($A142="","",$C142*$D142)</f>
        <v/>
      </c>
      <c r="F142" s="110" t="n"/>
      <c r="G142" s="117">
        <f>IF($A142="","",$C142*$F142)</f>
        <v/>
      </c>
      <c r="H142" s="117">
        <f>IF($A142="","",$E142-$G142)</f>
        <v/>
      </c>
      <c r="I142" s="119">
        <f>IF($A142="","",IF($E142=0,"",$H142/$E142))</f>
        <v/>
      </c>
    </row>
    <row r="143" ht="15" customHeight="1" s="80">
      <c r="A143" s="110" t="n"/>
      <c r="B143" s="110" t="n"/>
      <c r="C143" s="110" t="n"/>
      <c r="D143" s="110" t="n"/>
      <c r="E143" s="117">
        <f>IF($A143="","",$C143*$D143)</f>
        <v/>
      </c>
      <c r="F143" s="110" t="n"/>
      <c r="G143" s="117">
        <f>IF($A143="","",$C143*$F143)</f>
        <v/>
      </c>
      <c r="H143" s="117">
        <f>IF($A143="","",$E143-$G143)</f>
        <v/>
      </c>
      <c r="I143" s="119">
        <f>IF($A143="","",IF($E143=0,"",$H143/$E143))</f>
        <v/>
      </c>
    </row>
    <row r="144" ht="15" customHeight="1" s="80">
      <c r="A144" s="110" t="n"/>
      <c r="B144" s="110" t="n"/>
      <c r="C144" s="110" t="n"/>
      <c r="D144" s="110" t="n"/>
      <c r="E144" s="117">
        <f>IF($A144="","",$C144*$D144)</f>
        <v/>
      </c>
      <c r="F144" s="110" t="n"/>
      <c r="G144" s="117">
        <f>IF($A144="","",$C144*$F144)</f>
        <v/>
      </c>
      <c r="H144" s="117">
        <f>IF($A144="","",$E144-$G144)</f>
        <v/>
      </c>
      <c r="I144" s="119">
        <f>IF($A144="","",IF($E144=0,"",$H144/$E144))</f>
        <v/>
      </c>
    </row>
    <row r="145" ht="15" customHeight="1" s="80">
      <c r="A145" s="110" t="n"/>
      <c r="B145" s="110" t="n"/>
      <c r="C145" s="110" t="n"/>
      <c r="D145" s="110" t="n"/>
      <c r="E145" s="117">
        <f>IF($A145="","",$C145*$D145)</f>
        <v/>
      </c>
      <c r="F145" s="110" t="n"/>
      <c r="G145" s="117">
        <f>IF($A145="","",$C145*$F145)</f>
        <v/>
      </c>
      <c r="H145" s="117">
        <f>IF($A145="","",$E145-$G145)</f>
        <v/>
      </c>
      <c r="I145" s="119">
        <f>IF($A145="","",IF($E145=0,"",$H145/$E145))</f>
        <v/>
      </c>
    </row>
    <row r="146" ht="15" customHeight="1" s="80">
      <c r="A146" s="110" t="n"/>
      <c r="B146" s="110" t="n"/>
      <c r="C146" s="110" t="n"/>
      <c r="D146" s="110" t="n"/>
      <c r="E146" s="117">
        <f>IF($A146="","",$C146*$D146)</f>
        <v/>
      </c>
      <c r="F146" s="110" t="n"/>
      <c r="G146" s="117">
        <f>IF($A146="","",$C146*$F146)</f>
        <v/>
      </c>
      <c r="H146" s="117">
        <f>IF($A146="","",$E146-$G146)</f>
        <v/>
      </c>
      <c r="I146" s="119">
        <f>IF($A146="","",IF($E146=0,"",$H146/$E146))</f>
        <v/>
      </c>
    </row>
    <row r="147" ht="15" customHeight="1" s="80">
      <c r="A147" s="110" t="n"/>
      <c r="B147" s="110" t="n"/>
      <c r="C147" s="110" t="n"/>
      <c r="D147" s="110" t="n"/>
      <c r="E147" s="117">
        <f>IF($A147="","",$C147*$D147)</f>
        <v/>
      </c>
      <c r="F147" s="110" t="n"/>
      <c r="G147" s="117">
        <f>IF($A147="","",$C147*$F147)</f>
        <v/>
      </c>
      <c r="H147" s="117">
        <f>IF($A147="","",$E147-$G147)</f>
        <v/>
      </c>
      <c r="I147" s="119">
        <f>IF($A147="","",IF($E147=0,"",$H147/$E147))</f>
        <v/>
      </c>
    </row>
    <row r="148" ht="15" customHeight="1" s="80">
      <c r="A148" s="110" t="n"/>
      <c r="B148" s="110" t="n"/>
      <c r="C148" s="110" t="n"/>
      <c r="D148" s="110" t="n"/>
      <c r="E148" s="117">
        <f>IF($A148="","",$C148*$D148)</f>
        <v/>
      </c>
      <c r="F148" s="110" t="n"/>
      <c r="G148" s="117">
        <f>IF($A148="","",$C148*$F148)</f>
        <v/>
      </c>
      <c r="H148" s="117">
        <f>IF($A148="","",$E148-$G148)</f>
        <v/>
      </c>
      <c r="I148" s="119">
        <f>IF($A148="","",IF($E148=0,"",$H148/$E148))</f>
        <v/>
      </c>
    </row>
    <row r="149" ht="15" customHeight="1" s="80">
      <c r="A149" s="110" t="n"/>
      <c r="B149" s="110" t="n"/>
      <c r="C149" s="110" t="n"/>
      <c r="D149" s="110" t="n"/>
      <c r="E149" s="117">
        <f>IF($A149="","",$C149*$D149)</f>
        <v/>
      </c>
      <c r="F149" s="110" t="n"/>
      <c r="G149" s="117">
        <f>IF($A149="","",$C149*$F149)</f>
        <v/>
      </c>
      <c r="H149" s="117">
        <f>IF($A149="","",$E149-$G149)</f>
        <v/>
      </c>
      <c r="I149" s="119">
        <f>IF($A149="","",IF($E149=0,"",$H149/$E149))</f>
        <v/>
      </c>
    </row>
    <row r="150" ht="15" customHeight="1" s="80">
      <c r="A150" s="110" t="n"/>
      <c r="B150" s="110" t="n"/>
      <c r="C150" s="110" t="n"/>
      <c r="D150" s="110" t="n"/>
      <c r="E150" s="117">
        <f>IF($A150="","",$C150*$D150)</f>
        <v/>
      </c>
      <c r="F150" s="110" t="n"/>
      <c r="G150" s="117">
        <f>IF($A150="","",$C150*$F150)</f>
        <v/>
      </c>
      <c r="H150" s="117">
        <f>IF($A150="","",$E150-$G150)</f>
        <v/>
      </c>
      <c r="I150" s="119">
        <f>IF($A150="","",IF($E150=0,"",$H150/$E150))</f>
        <v/>
      </c>
    </row>
    <row r="151" ht="15" customHeight="1" s="80">
      <c r="A151" s="110" t="n"/>
      <c r="B151" s="110" t="n"/>
      <c r="C151" s="110" t="n"/>
      <c r="D151" s="110" t="n"/>
      <c r="E151" s="117">
        <f>IF($A151="","",$C151*$D151)</f>
        <v/>
      </c>
      <c r="F151" s="110" t="n"/>
      <c r="G151" s="117">
        <f>IF($A151="","",$C151*$F151)</f>
        <v/>
      </c>
      <c r="H151" s="117">
        <f>IF($A151="","",$E151-$G151)</f>
        <v/>
      </c>
      <c r="I151" s="119">
        <f>IF($A151="","",IF($E151=0,"",$H151/$E151))</f>
        <v/>
      </c>
    </row>
    <row r="152" ht="15" customHeight="1" s="80">
      <c r="A152" s="110" t="n"/>
      <c r="B152" s="110" t="n"/>
      <c r="C152" s="110" t="n"/>
      <c r="D152" s="110" t="n"/>
      <c r="E152" s="117">
        <f>IF($A152="","",$C152*$D152)</f>
        <v/>
      </c>
      <c r="F152" s="110" t="n"/>
      <c r="G152" s="117">
        <f>IF($A152="","",$C152*$F152)</f>
        <v/>
      </c>
      <c r="H152" s="117">
        <f>IF($A152="","",$E152-$G152)</f>
        <v/>
      </c>
      <c r="I152" s="119">
        <f>IF($A152="","",IF($E152=0,"",$H152/$E152))</f>
        <v/>
      </c>
    </row>
    <row r="153" ht="15" customHeight="1" s="80">
      <c r="A153" s="110" t="n"/>
      <c r="B153" s="110" t="n"/>
      <c r="C153" s="110" t="n"/>
      <c r="D153" s="110" t="n"/>
      <c r="E153" s="117">
        <f>IF($A153="","",$C153*$D153)</f>
        <v/>
      </c>
      <c r="F153" s="110" t="n"/>
      <c r="G153" s="117">
        <f>IF($A153="","",$C153*$F153)</f>
        <v/>
      </c>
      <c r="H153" s="117">
        <f>IF($A153="","",$E153-$G153)</f>
        <v/>
      </c>
      <c r="I153" s="119">
        <f>IF($A153="","",IF($E153=0,"",$H153/$E153))</f>
        <v/>
      </c>
    </row>
    <row r="154" ht="15" customHeight="1" s="80">
      <c r="A154" s="110" t="n"/>
      <c r="B154" s="110" t="n"/>
      <c r="C154" s="110" t="n"/>
      <c r="D154" s="110" t="n"/>
      <c r="E154" s="117">
        <f>IF($A154="","",$C154*$D154)</f>
        <v/>
      </c>
      <c r="F154" s="110" t="n"/>
      <c r="G154" s="117">
        <f>IF($A154="","",$C154*$F154)</f>
        <v/>
      </c>
      <c r="H154" s="117">
        <f>IF($A154="","",$E154-$G154)</f>
        <v/>
      </c>
      <c r="I154" s="119">
        <f>IF($A154="","",IF($E154=0,"",$H154/$E154))</f>
        <v/>
      </c>
    </row>
    <row r="155" ht="15" customHeight="1" s="80">
      <c r="A155" s="110" t="n"/>
      <c r="B155" s="110" t="n"/>
      <c r="C155" s="110" t="n"/>
      <c r="D155" s="110" t="n"/>
      <c r="E155" s="117">
        <f>IF($A155="","",$C155*$D155)</f>
        <v/>
      </c>
      <c r="F155" s="110" t="n"/>
      <c r="G155" s="117">
        <f>IF($A155="","",$C155*$F155)</f>
        <v/>
      </c>
      <c r="H155" s="117">
        <f>IF($A155="","",$E155-$G155)</f>
        <v/>
      </c>
      <c r="I155" s="119">
        <f>IF($A155="","",IF($E155=0,"",$H155/$E155))</f>
        <v/>
      </c>
    </row>
    <row r="156" ht="15" customHeight="1" s="80">
      <c r="A156" s="110" t="n"/>
      <c r="B156" s="110" t="n"/>
      <c r="C156" s="110" t="n"/>
      <c r="D156" s="110" t="n"/>
      <c r="E156" s="117">
        <f>IF($A156="","",$C156*$D156)</f>
        <v/>
      </c>
      <c r="F156" s="110" t="n"/>
      <c r="G156" s="117">
        <f>IF($A156="","",$C156*$F156)</f>
        <v/>
      </c>
      <c r="H156" s="117">
        <f>IF($A156="","",$E156-$G156)</f>
        <v/>
      </c>
      <c r="I156" s="119">
        <f>IF($A156="","",IF($E156=0,"",$H156/$E156))</f>
        <v/>
      </c>
    </row>
    <row r="157" ht="15" customHeight="1" s="80">
      <c r="A157" s="110" t="n"/>
      <c r="B157" s="110" t="n"/>
      <c r="C157" s="110" t="n"/>
      <c r="D157" s="110" t="n"/>
      <c r="E157" s="117">
        <f>IF($A157="","",$C157*$D157)</f>
        <v/>
      </c>
      <c r="F157" s="110" t="n"/>
      <c r="G157" s="117">
        <f>IF($A157="","",$C157*$F157)</f>
        <v/>
      </c>
      <c r="H157" s="117">
        <f>IF($A157="","",$E157-$G157)</f>
        <v/>
      </c>
      <c r="I157" s="119">
        <f>IF($A157="","",IF($E157=0,"",$H157/$E157))</f>
        <v/>
      </c>
    </row>
    <row r="158" ht="15" customHeight="1" s="80">
      <c r="A158" s="110" t="n"/>
      <c r="B158" s="110" t="n"/>
      <c r="C158" s="110" t="n"/>
      <c r="D158" s="110" t="n"/>
      <c r="E158" s="117">
        <f>IF($A158="","",$C158*$D158)</f>
        <v/>
      </c>
      <c r="F158" s="110" t="n"/>
      <c r="G158" s="117">
        <f>IF($A158="","",$C158*$F158)</f>
        <v/>
      </c>
      <c r="H158" s="117">
        <f>IF($A158="","",$E158-$G158)</f>
        <v/>
      </c>
      <c r="I158" s="119">
        <f>IF($A158="","",IF($E158=0,"",$H158/$E158))</f>
        <v/>
      </c>
    </row>
    <row r="159" ht="15" customHeight="1" s="80">
      <c r="A159" s="110" t="n"/>
      <c r="B159" s="110" t="n"/>
      <c r="C159" s="110" t="n"/>
      <c r="D159" s="110" t="n"/>
      <c r="E159" s="117">
        <f>IF($A159="","",$C159*$D159)</f>
        <v/>
      </c>
      <c r="F159" s="110" t="n"/>
      <c r="G159" s="117">
        <f>IF($A159="","",$C159*$F159)</f>
        <v/>
      </c>
      <c r="H159" s="117">
        <f>IF($A159="","",$E159-$G159)</f>
        <v/>
      </c>
      <c r="I159" s="119">
        <f>IF($A159="","",IF($E159=0,"",$H159/$E159))</f>
        <v/>
      </c>
    </row>
    <row r="160" ht="15" customHeight="1" s="80">
      <c r="A160" s="110" t="n"/>
      <c r="B160" s="110" t="n"/>
      <c r="C160" s="110" t="n"/>
      <c r="D160" s="110" t="n"/>
      <c r="E160" s="117">
        <f>IF($A160="","",$C160*$D160)</f>
        <v/>
      </c>
      <c r="F160" s="110" t="n"/>
      <c r="G160" s="117">
        <f>IF($A160="","",$C160*$F160)</f>
        <v/>
      </c>
      <c r="H160" s="117">
        <f>IF($A160="","",$E160-$G160)</f>
        <v/>
      </c>
      <c r="I160" s="119">
        <f>IF($A160="","",IF($E160=0,"",$H160/$E160))</f>
        <v/>
      </c>
    </row>
    <row r="161" ht="15" customHeight="1" s="80">
      <c r="A161" s="110" t="n"/>
      <c r="B161" s="110" t="n"/>
      <c r="C161" s="110" t="n"/>
      <c r="D161" s="110" t="n"/>
      <c r="E161" s="117">
        <f>IF($A161="","",$C161*$D161)</f>
        <v/>
      </c>
      <c r="F161" s="110" t="n"/>
      <c r="G161" s="117">
        <f>IF($A161="","",$C161*$F161)</f>
        <v/>
      </c>
      <c r="H161" s="117">
        <f>IF($A161="","",$E161-$G161)</f>
        <v/>
      </c>
      <c r="I161" s="119">
        <f>IF($A161="","",IF($E161=0,"",$H161/$E161))</f>
        <v/>
      </c>
    </row>
    <row r="162" ht="15" customHeight="1" s="80">
      <c r="A162" s="110" t="n"/>
      <c r="B162" s="110" t="n"/>
      <c r="C162" s="110" t="n"/>
      <c r="D162" s="110" t="n"/>
      <c r="E162" s="117">
        <f>IF($A162="","",$C162*$D162)</f>
        <v/>
      </c>
      <c r="F162" s="110" t="n"/>
      <c r="G162" s="117">
        <f>IF($A162="","",$C162*$F162)</f>
        <v/>
      </c>
      <c r="H162" s="117">
        <f>IF($A162="","",$E162-$G162)</f>
        <v/>
      </c>
      <c r="I162" s="119">
        <f>IF($A162="","",IF($E162=0,"",$H162/$E162))</f>
        <v/>
      </c>
    </row>
    <row r="163" ht="15" customHeight="1" s="80">
      <c r="A163" s="110" t="n"/>
      <c r="B163" s="110" t="n"/>
      <c r="C163" s="110" t="n"/>
      <c r="D163" s="110" t="n"/>
      <c r="E163" s="117">
        <f>IF($A163="","",$C163*$D163)</f>
        <v/>
      </c>
      <c r="F163" s="110" t="n"/>
      <c r="G163" s="117">
        <f>IF($A163="","",$C163*$F163)</f>
        <v/>
      </c>
      <c r="H163" s="117">
        <f>IF($A163="","",$E163-$G163)</f>
        <v/>
      </c>
      <c r="I163" s="119">
        <f>IF($A163="","",IF($E163=0,"",$H163/$E163))</f>
        <v/>
      </c>
    </row>
    <row r="164" ht="15" customHeight="1" s="80">
      <c r="A164" s="110" t="n"/>
      <c r="B164" s="110" t="n"/>
      <c r="C164" s="110" t="n"/>
      <c r="D164" s="110" t="n"/>
      <c r="E164" s="117">
        <f>IF($A164="","",$C164*$D164)</f>
        <v/>
      </c>
      <c r="F164" s="110" t="n"/>
      <c r="G164" s="117">
        <f>IF($A164="","",$C164*$F164)</f>
        <v/>
      </c>
      <c r="H164" s="117">
        <f>IF($A164="","",$E164-$G164)</f>
        <v/>
      </c>
      <c r="I164" s="119">
        <f>IF($A164="","",IF($E164=0,"",$H164/$E164))</f>
        <v/>
      </c>
    </row>
    <row r="165" ht="15" customHeight="1" s="80">
      <c r="A165" s="110" t="n"/>
      <c r="B165" s="110" t="n"/>
      <c r="C165" s="110" t="n"/>
      <c r="D165" s="110" t="n"/>
      <c r="E165" s="117">
        <f>IF($A165="","",$C165*$D165)</f>
        <v/>
      </c>
      <c r="F165" s="110" t="n"/>
      <c r="G165" s="117">
        <f>IF($A165="","",$C165*$F165)</f>
        <v/>
      </c>
      <c r="H165" s="117">
        <f>IF($A165="","",$E165-$G165)</f>
        <v/>
      </c>
      <c r="I165" s="119">
        <f>IF($A165="","",IF($E165=0,"",$H165/$E165))</f>
        <v/>
      </c>
    </row>
    <row r="166" ht="15" customHeight="1" s="80">
      <c r="A166" s="110" t="n"/>
      <c r="B166" s="110" t="n"/>
      <c r="C166" s="110" t="n"/>
      <c r="D166" s="110" t="n"/>
      <c r="E166" s="117">
        <f>IF($A166="","",$C166*$D166)</f>
        <v/>
      </c>
      <c r="F166" s="110" t="n"/>
      <c r="G166" s="117">
        <f>IF($A166="","",$C166*$F166)</f>
        <v/>
      </c>
      <c r="H166" s="117">
        <f>IF($A166="","",$E166-$G166)</f>
        <v/>
      </c>
      <c r="I166" s="119">
        <f>IF($A166="","",IF($E166=0,"",$H166/$E166))</f>
        <v/>
      </c>
    </row>
    <row r="167" ht="15" customHeight="1" s="80">
      <c r="A167" s="110" t="n"/>
      <c r="B167" s="110" t="n"/>
      <c r="C167" s="110" t="n"/>
      <c r="D167" s="110" t="n"/>
      <c r="E167" s="117">
        <f>IF($A167="","",$C167*$D167)</f>
        <v/>
      </c>
      <c r="F167" s="110" t="n"/>
      <c r="G167" s="117">
        <f>IF($A167="","",$C167*$F167)</f>
        <v/>
      </c>
      <c r="H167" s="117">
        <f>IF($A167="","",$E167-$G167)</f>
        <v/>
      </c>
      <c r="I167" s="119">
        <f>IF($A167="","",IF($E167=0,"",$H167/$E167))</f>
        <v/>
      </c>
    </row>
    <row r="168" ht="15" customHeight="1" s="80">
      <c r="A168" s="110" t="n"/>
      <c r="B168" s="110" t="n"/>
      <c r="C168" s="110" t="n"/>
      <c r="D168" s="110" t="n"/>
      <c r="E168" s="117">
        <f>IF($A168="","",$C168*$D168)</f>
        <v/>
      </c>
      <c r="F168" s="110" t="n"/>
      <c r="G168" s="117">
        <f>IF($A168="","",$C168*$F168)</f>
        <v/>
      </c>
      <c r="H168" s="117">
        <f>IF($A168="","",$E168-$G168)</f>
        <v/>
      </c>
      <c r="I168" s="119">
        <f>IF($A168="","",IF($E168=0,"",$H168/$E168))</f>
        <v/>
      </c>
    </row>
    <row r="169" ht="15" customHeight="1" s="80">
      <c r="A169" s="110" t="n"/>
      <c r="B169" s="110" t="n"/>
      <c r="C169" s="110" t="n"/>
      <c r="D169" s="110" t="n"/>
      <c r="E169" s="117">
        <f>IF($A169="","",$C169*$D169)</f>
        <v/>
      </c>
      <c r="F169" s="110" t="n"/>
      <c r="G169" s="117">
        <f>IF($A169="","",$C169*$F169)</f>
        <v/>
      </c>
      <c r="H169" s="117">
        <f>IF($A169="","",$E169-$G169)</f>
        <v/>
      </c>
      <c r="I169" s="119">
        <f>IF($A169="","",IF($E169=0,"",$H169/$E169))</f>
        <v/>
      </c>
    </row>
    <row r="170" ht="15" customHeight="1" s="80">
      <c r="A170" s="110" t="n"/>
      <c r="B170" s="110" t="n"/>
      <c r="C170" s="110" t="n"/>
      <c r="D170" s="110" t="n"/>
      <c r="E170" s="117">
        <f>IF($A170="","",$C170*$D170)</f>
        <v/>
      </c>
      <c r="F170" s="110" t="n"/>
      <c r="G170" s="117">
        <f>IF($A170="","",$C170*$F170)</f>
        <v/>
      </c>
      <c r="H170" s="117">
        <f>IF($A170="","",$E170-$G170)</f>
        <v/>
      </c>
      <c r="I170" s="119">
        <f>IF($A170="","",IF($E170=0,"",$H170/$E170))</f>
        <v/>
      </c>
    </row>
    <row r="171" ht="15" customHeight="1" s="80">
      <c r="A171" s="110" t="n"/>
      <c r="B171" s="110" t="n"/>
      <c r="C171" s="110" t="n"/>
      <c r="D171" s="110" t="n"/>
      <c r="E171" s="117">
        <f>IF($A171="","",$C171*$D171)</f>
        <v/>
      </c>
      <c r="F171" s="110" t="n"/>
      <c r="G171" s="117">
        <f>IF($A171="","",$C171*$F171)</f>
        <v/>
      </c>
      <c r="H171" s="117">
        <f>IF($A171="","",$E171-$G171)</f>
        <v/>
      </c>
      <c r="I171" s="119">
        <f>IF($A171="","",IF($E171=0,"",$H171/$E171))</f>
        <v/>
      </c>
    </row>
    <row r="172" ht="15" customHeight="1" s="80">
      <c r="A172" s="110" t="n"/>
      <c r="B172" s="110" t="n"/>
      <c r="C172" s="110" t="n"/>
      <c r="D172" s="110" t="n"/>
      <c r="E172" s="117">
        <f>IF($A172="","",$C172*$D172)</f>
        <v/>
      </c>
      <c r="F172" s="110" t="n"/>
      <c r="G172" s="117">
        <f>IF($A172="","",$C172*$F172)</f>
        <v/>
      </c>
      <c r="H172" s="117">
        <f>IF($A172="","",$E172-$G172)</f>
        <v/>
      </c>
      <c r="I172" s="119">
        <f>IF($A172="","",IF($E172=0,"",$H172/$E172))</f>
        <v/>
      </c>
    </row>
    <row r="173" ht="15" customHeight="1" s="80">
      <c r="A173" s="110" t="n"/>
      <c r="B173" s="110" t="n"/>
      <c r="C173" s="110" t="n"/>
      <c r="D173" s="110" t="n"/>
      <c r="E173" s="117">
        <f>IF($A173="","",$C173*$D173)</f>
        <v/>
      </c>
      <c r="F173" s="110" t="n"/>
      <c r="G173" s="117">
        <f>IF($A173="","",$C173*$F173)</f>
        <v/>
      </c>
      <c r="H173" s="117">
        <f>IF($A173="","",$E173-$G173)</f>
        <v/>
      </c>
      <c r="I173" s="119">
        <f>IF($A173="","",IF($E173=0,"",$H173/$E173))</f>
        <v/>
      </c>
    </row>
    <row r="174" ht="15" customHeight="1" s="80">
      <c r="A174" s="110" t="n"/>
      <c r="B174" s="110" t="n"/>
      <c r="C174" s="110" t="n"/>
      <c r="D174" s="110" t="n"/>
      <c r="E174" s="117">
        <f>IF($A174="","",$C174*$D174)</f>
        <v/>
      </c>
      <c r="F174" s="110" t="n"/>
      <c r="G174" s="117">
        <f>IF($A174="","",$C174*$F174)</f>
        <v/>
      </c>
      <c r="H174" s="117">
        <f>IF($A174="","",$E174-$G174)</f>
        <v/>
      </c>
      <c r="I174" s="119">
        <f>IF($A174="","",IF($E174=0,"",$H174/$E174))</f>
        <v/>
      </c>
    </row>
    <row r="175" ht="15" customHeight="1" s="80">
      <c r="A175" s="110" t="n"/>
      <c r="B175" s="110" t="n"/>
      <c r="C175" s="110" t="n"/>
      <c r="D175" s="110" t="n"/>
      <c r="E175" s="117">
        <f>IF($A175="","",$C175*$D175)</f>
        <v/>
      </c>
      <c r="F175" s="110" t="n"/>
      <c r="G175" s="117">
        <f>IF($A175="","",$C175*$F175)</f>
        <v/>
      </c>
      <c r="H175" s="117">
        <f>IF($A175="","",$E175-$G175)</f>
        <v/>
      </c>
      <c r="I175" s="119">
        <f>IF($A175="","",IF($E175=0,"",$H175/$E175))</f>
        <v/>
      </c>
    </row>
    <row r="176" ht="15" customHeight="1" s="80">
      <c r="A176" s="110" t="n"/>
      <c r="B176" s="110" t="n"/>
      <c r="C176" s="110" t="n"/>
      <c r="D176" s="110" t="n"/>
      <c r="E176" s="117">
        <f>IF($A176="","",$C176*$D176)</f>
        <v/>
      </c>
      <c r="F176" s="110" t="n"/>
      <c r="G176" s="117">
        <f>IF($A176="","",$C176*$F176)</f>
        <v/>
      </c>
      <c r="H176" s="117">
        <f>IF($A176="","",$E176-$G176)</f>
        <v/>
      </c>
      <c r="I176" s="119">
        <f>IF($A176="","",IF($E176=0,"",$H176/$E176))</f>
        <v/>
      </c>
    </row>
    <row r="177" ht="15" customHeight="1" s="80">
      <c r="A177" s="110" t="n"/>
      <c r="B177" s="110" t="n"/>
      <c r="C177" s="110" t="n"/>
      <c r="D177" s="110" t="n"/>
      <c r="E177" s="117">
        <f>IF($A177="","",$C177*$D177)</f>
        <v/>
      </c>
      <c r="F177" s="110" t="n"/>
      <c r="G177" s="117">
        <f>IF($A177="","",$C177*$F177)</f>
        <v/>
      </c>
      <c r="H177" s="117">
        <f>IF($A177="","",$E177-$G177)</f>
        <v/>
      </c>
      <c r="I177" s="119">
        <f>IF($A177="","",IF($E177=0,"",$H177/$E177))</f>
        <v/>
      </c>
    </row>
    <row r="178" ht="15" customHeight="1" s="80">
      <c r="A178" s="110" t="n"/>
      <c r="B178" s="110" t="n"/>
      <c r="C178" s="110" t="n"/>
      <c r="D178" s="110" t="n"/>
      <c r="E178" s="117">
        <f>IF($A178="","",$C178*$D178)</f>
        <v/>
      </c>
      <c r="F178" s="110" t="n"/>
      <c r="G178" s="117">
        <f>IF($A178="","",$C178*$F178)</f>
        <v/>
      </c>
      <c r="H178" s="117">
        <f>IF($A178="","",$E178-$G178)</f>
        <v/>
      </c>
      <c r="I178" s="119">
        <f>IF($A178="","",IF($E178=0,"",$H178/$E178))</f>
        <v/>
      </c>
    </row>
    <row r="179" ht="15" customHeight="1" s="80">
      <c r="A179" s="110" t="n"/>
      <c r="B179" s="110" t="n"/>
      <c r="C179" s="110" t="n"/>
      <c r="D179" s="110" t="n"/>
      <c r="E179" s="117">
        <f>IF($A179="","",$C179*$D179)</f>
        <v/>
      </c>
      <c r="F179" s="110" t="n"/>
      <c r="G179" s="117">
        <f>IF($A179="","",$C179*$F179)</f>
        <v/>
      </c>
      <c r="H179" s="117">
        <f>IF($A179="","",$E179-$G179)</f>
        <v/>
      </c>
      <c r="I179" s="119">
        <f>IF($A179="","",IF($E179=0,"",$H179/$E179))</f>
        <v/>
      </c>
    </row>
    <row r="180" ht="15" customHeight="1" s="80">
      <c r="A180" s="110" t="n"/>
      <c r="B180" s="110" t="n"/>
      <c r="C180" s="110" t="n"/>
      <c r="D180" s="110" t="n"/>
      <c r="E180" s="117">
        <f>IF($A180="","",$C180*$D180)</f>
        <v/>
      </c>
      <c r="F180" s="110" t="n"/>
      <c r="G180" s="117">
        <f>IF($A180="","",$C180*$F180)</f>
        <v/>
      </c>
      <c r="H180" s="117">
        <f>IF($A180="","",$E180-$G180)</f>
        <v/>
      </c>
      <c r="I180" s="119">
        <f>IF($A180="","",IF($E180=0,"",$H180/$E180))</f>
        <v/>
      </c>
    </row>
    <row r="181" ht="15" customHeight="1" s="80">
      <c r="A181" s="110" t="n"/>
      <c r="B181" s="110" t="n"/>
      <c r="C181" s="110" t="n"/>
      <c r="D181" s="110" t="n"/>
      <c r="E181" s="117">
        <f>IF($A181="","",$C181*$D181)</f>
        <v/>
      </c>
      <c r="F181" s="110" t="n"/>
      <c r="G181" s="117">
        <f>IF($A181="","",$C181*$F181)</f>
        <v/>
      </c>
      <c r="H181" s="117">
        <f>IF($A181="","",$E181-$G181)</f>
        <v/>
      </c>
      <c r="I181" s="119">
        <f>IF($A181="","",IF($E181=0,"",$H181/$E181))</f>
        <v/>
      </c>
    </row>
    <row r="182" ht="15" customHeight="1" s="80">
      <c r="A182" s="110" t="n"/>
      <c r="B182" s="110" t="n"/>
      <c r="C182" s="110" t="n"/>
      <c r="D182" s="110" t="n"/>
      <c r="E182" s="117">
        <f>IF($A182="","",$C182*$D182)</f>
        <v/>
      </c>
      <c r="F182" s="110" t="n"/>
      <c r="G182" s="117">
        <f>IF($A182="","",$C182*$F182)</f>
        <v/>
      </c>
      <c r="H182" s="117">
        <f>IF($A182="","",$E182-$G182)</f>
        <v/>
      </c>
      <c r="I182" s="119">
        <f>IF($A182="","",IF($E182=0,"",$H182/$E182))</f>
        <v/>
      </c>
    </row>
    <row r="183" ht="15" customHeight="1" s="80">
      <c r="A183" s="110" t="n"/>
      <c r="B183" s="110" t="n"/>
      <c r="C183" s="110" t="n"/>
      <c r="D183" s="110" t="n"/>
      <c r="E183" s="117">
        <f>IF($A183="","",$C183*$D183)</f>
        <v/>
      </c>
      <c r="F183" s="110" t="n"/>
      <c r="G183" s="117">
        <f>IF($A183="","",$C183*$F183)</f>
        <v/>
      </c>
      <c r="H183" s="117">
        <f>IF($A183="","",$E183-$G183)</f>
        <v/>
      </c>
      <c r="I183" s="119">
        <f>IF($A183="","",IF($E183=0,"",$H183/$E183))</f>
        <v/>
      </c>
    </row>
    <row r="184" ht="15" customHeight="1" s="80">
      <c r="A184" s="110" t="n"/>
      <c r="B184" s="110" t="n"/>
      <c r="C184" s="110" t="n"/>
      <c r="D184" s="110" t="n"/>
      <c r="E184" s="117">
        <f>IF($A184="","",$C184*$D184)</f>
        <v/>
      </c>
      <c r="F184" s="110" t="n"/>
      <c r="G184" s="117">
        <f>IF($A184="","",$C184*$F184)</f>
        <v/>
      </c>
      <c r="H184" s="117">
        <f>IF($A184="","",$E184-$G184)</f>
        <v/>
      </c>
      <c r="I184" s="119">
        <f>IF($A184="","",IF($E184=0,"",$H184/$E184))</f>
        <v/>
      </c>
    </row>
    <row r="185" ht="15" customHeight="1" s="80">
      <c r="A185" s="110" t="n"/>
      <c r="B185" s="110" t="n"/>
      <c r="C185" s="110" t="n"/>
      <c r="D185" s="110" t="n"/>
      <c r="E185" s="117">
        <f>IF($A185="","",$C185*$D185)</f>
        <v/>
      </c>
      <c r="F185" s="110" t="n"/>
      <c r="G185" s="117">
        <f>IF($A185="","",$C185*$F185)</f>
        <v/>
      </c>
      <c r="H185" s="117">
        <f>IF($A185="","",$E185-$G185)</f>
        <v/>
      </c>
      <c r="I185" s="119">
        <f>IF($A185="","",IF($E185=0,"",$H185/$E185))</f>
        <v/>
      </c>
    </row>
    <row r="186" ht="15" customHeight="1" s="80">
      <c r="A186" s="110" t="n"/>
      <c r="B186" s="110" t="n"/>
      <c r="C186" s="110" t="n"/>
      <c r="D186" s="110" t="n"/>
      <c r="E186" s="117">
        <f>IF($A186="","",$C186*$D186)</f>
        <v/>
      </c>
      <c r="F186" s="110" t="n"/>
      <c r="G186" s="117">
        <f>IF($A186="","",$C186*$F186)</f>
        <v/>
      </c>
      <c r="H186" s="117">
        <f>IF($A186="","",$E186-$G186)</f>
        <v/>
      </c>
      <c r="I186" s="119">
        <f>IF($A186="","",IF($E186=0,"",$H186/$E186))</f>
        <v/>
      </c>
    </row>
    <row r="187" ht="15" customHeight="1" s="80">
      <c r="A187" s="110" t="n"/>
      <c r="B187" s="110" t="n"/>
      <c r="C187" s="110" t="n"/>
      <c r="D187" s="110" t="n"/>
      <c r="E187" s="117">
        <f>IF($A187="","",$C187*$D187)</f>
        <v/>
      </c>
      <c r="F187" s="110" t="n"/>
      <c r="G187" s="117">
        <f>IF($A187="","",$C187*$F187)</f>
        <v/>
      </c>
      <c r="H187" s="117">
        <f>IF($A187="","",$E187-$G187)</f>
        <v/>
      </c>
      <c r="I187" s="119">
        <f>IF($A187="","",IF($E187=0,"",$H187/$E187))</f>
        <v/>
      </c>
    </row>
    <row r="188" ht="15" customHeight="1" s="80">
      <c r="A188" s="110" t="n"/>
      <c r="B188" s="110" t="n"/>
      <c r="C188" s="110" t="n"/>
      <c r="D188" s="110" t="n"/>
      <c r="E188" s="117">
        <f>IF($A188="","",$C188*$D188)</f>
        <v/>
      </c>
      <c r="F188" s="110" t="n"/>
      <c r="G188" s="117">
        <f>IF($A188="","",$C188*$F188)</f>
        <v/>
      </c>
      <c r="H188" s="117">
        <f>IF($A188="","",$E188-$G188)</f>
        <v/>
      </c>
      <c r="I188" s="119">
        <f>IF($A188="","",IF($E188=0,"",$H188/$E188))</f>
        <v/>
      </c>
    </row>
    <row r="189" ht="15" customHeight="1" s="80">
      <c r="A189" s="110" t="n"/>
      <c r="B189" s="110" t="n"/>
      <c r="C189" s="110" t="n"/>
      <c r="D189" s="110" t="n"/>
      <c r="E189" s="117">
        <f>IF($A189="","",$C189*$D189)</f>
        <v/>
      </c>
      <c r="F189" s="110" t="n"/>
      <c r="G189" s="117">
        <f>IF($A189="","",$C189*$F189)</f>
        <v/>
      </c>
      <c r="H189" s="117">
        <f>IF($A189="","",$E189-$G189)</f>
        <v/>
      </c>
      <c r="I189" s="119">
        <f>IF($A189="","",IF($E189=0,"",$H189/$E189))</f>
        <v/>
      </c>
    </row>
    <row r="190" ht="15" customHeight="1" s="80">
      <c r="A190" s="110" t="n"/>
      <c r="B190" s="110" t="n"/>
      <c r="C190" s="110" t="n"/>
      <c r="D190" s="110" t="n"/>
      <c r="E190" s="117">
        <f>IF($A190="","",$C190*$D190)</f>
        <v/>
      </c>
      <c r="F190" s="110" t="n"/>
      <c r="G190" s="117">
        <f>IF($A190="","",$C190*$F190)</f>
        <v/>
      </c>
      <c r="H190" s="117">
        <f>IF($A190="","",$E190-$G190)</f>
        <v/>
      </c>
      <c r="I190" s="119">
        <f>IF($A190="","",IF($E190=0,"",$H190/$E190))</f>
        <v/>
      </c>
    </row>
    <row r="191" ht="15" customHeight="1" s="80">
      <c r="A191" s="110" t="n"/>
      <c r="B191" s="110" t="n"/>
      <c r="C191" s="110" t="n"/>
      <c r="D191" s="110" t="n"/>
      <c r="E191" s="117">
        <f>IF($A191="","",$C191*$D191)</f>
        <v/>
      </c>
      <c r="F191" s="110" t="n"/>
      <c r="G191" s="117">
        <f>IF($A191="","",$C191*$F191)</f>
        <v/>
      </c>
      <c r="H191" s="117">
        <f>IF($A191="","",$E191-$G191)</f>
        <v/>
      </c>
      <c r="I191" s="119">
        <f>IF($A191="","",IF($E191=0,"",$H191/$E191))</f>
        <v/>
      </c>
    </row>
    <row r="192" ht="15" customHeight="1" s="80">
      <c r="A192" s="110" t="n"/>
      <c r="B192" s="110" t="n"/>
      <c r="C192" s="110" t="n"/>
      <c r="D192" s="110" t="n"/>
      <c r="E192" s="117">
        <f>IF($A192="","",$C192*$D192)</f>
        <v/>
      </c>
      <c r="F192" s="110" t="n"/>
      <c r="G192" s="117">
        <f>IF($A192="","",$C192*$F192)</f>
        <v/>
      </c>
      <c r="H192" s="117">
        <f>IF($A192="","",$E192-$G192)</f>
        <v/>
      </c>
      <c r="I192" s="119">
        <f>IF($A192="","",IF($E192=0,"",$H192/$E192))</f>
        <v/>
      </c>
    </row>
    <row r="193" ht="15" customHeight="1" s="80">
      <c r="A193" s="110" t="n"/>
      <c r="B193" s="110" t="n"/>
      <c r="C193" s="110" t="n"/>
      <c r="D193" s="110" t="n"/>
      <c r="E193" s="117">
        <f>IF($A193="","",$C193*$D193)</f>
        <v/>
      </c>
      <c r="F193" s="110" t="n"/>
      <c r="G193" s="117">
        <f>IF($A193="","",$C193*$F193)</f>
        <v/>
      </c>
      <c r="H193" s="117">
        <f>IF($A193="","",$E193-$G193)</f>
        <v/>
      </c>
      <c r="I193" s="119">
        <f>IF($A193="","",IF($E193=0,"",$H193/$E193))</f>
        <v/>
      </c>
    </row>
    <row r="194" ht="15" customHeight="1" s="80">
      <c r="A194" s="110" t="n"/>
      <c r="B194" s="110" t="n"/>
      <c r="C194" s="110" t="n"/>
      <c r="D194" s="110" t="n"/>
      <c r="E194" s="117">
        <f>IF($A194="","",$C194*$D194)</f>
        <v/>
      </c>
      <c r="F194" s="110" t="n"/>
      <c r="G194" s="117">
        <f>IF($A194="","",$C194*$F194)</f>
        <v/>
      </c>
      <c r="H194" s="117">
        <f>IF($A194="","",$E194-$G194)</f>
        <v/>
      </c>
      <c r="I194" s="119">
        <f>IF($A194="","",IF($E194=0,"",$H194/$E194))</f>
        <v/>
      </c>
    </row>
    <row r="195" ht="15" customHeight="1" s="80">
      <c r="A195" s="110" t="n"/>
      <c r="B195" s="110" t="n"/>
      <c r="C195" s="110" t="n"/>
      <c r="D195" s="110" t="n"/>
      <c r="E195" s="117">
        <f>IF($A195="","",$C195*$D195)</f>
        <v/>
      </c>
      <c r="F195" s="110" t="n"/>
      <c r="G195" s="117">
        <f>IF($A195="","",$C195*$F195)</f>
        <v/>
      </c>
      <c r="H195" s="117">
        <f>IF($A195="","",$E195-$G195)</f>
        <v/>
      </c>
      <c r="I195" s="119">
        <f>IF($A195="","",IF($E195=0,"",$H195/$E195))</f>
        <v/>
      </c>
    </row>
    <row r="196" ht="15" customHeight="1" s="80">
      <c r="A196" s="110" t="n"/>
      <c r="B196" s="110" t="n"/>
      <c r="C196" s="110" t="n"/>
      <c r="D196" s="110" t="n"/>
      <c r="E196" s="117">
        <f>IF($A196="","",$C196*$D196)</f>
        <v/>
      </c>
      <c r="F196" s="110" t="n"/>
      <c r="G196" s="117">
        <f>IF($A196="","",$C196*$F196)</f>
        <v/>
      </c>
      <c r="H196" s="117">
        <f>IF($A196="","",$E196-$G196)</f>
        <v/>
      </c>
      <c r="I196" s="119">
        <f>IF($A196="","",IF($E196=0,"",$H196/$E196))</f>
        <v/>
      </c>
    </row>
    <row r="197" ht="15" customHeight="1" s="80">
      <c r="A197" s="110" t="n"/>
      <c r="B197" s="110" t="n"/>
      <c r="C197" s="110" t="n"/>
      <c r="D197" s="110" t="n"/>
      <c r="E197" s="117">
        <f>IF($A197="","",$C197*$D197)</f>
        <v/>
      </c>
      <c r="F197" s="110" t="n"/>
      <c r="G197" s="117">
        <f>IF($A197="","",$C197*$F197)</f>
        <v/>
      </c>
      <c r="H197" s="117">
        <f>IF($A197="","",$E197-$G197)</f>
        <v/>
      </c>
      <c r="I197" s="119">
        <f>IF($A197="","",IF($E197=0,"",$H197/$E197))</f>
        <v/>
      </c>
    </row>
    <row r="198" ht="15" customHeight="1" s="80">
      <c r="A198" s="110" t="n"/>
      <c r="B198" s="110" t="n"/>
      <c r="C198" s="110" t="n"/>
      <c r="D198" s="110" t="n"/>
      <c r="E198" s="117">
        <f>IF($A198="","",$C198*$D198)</f>
        <v/>
      </c>
      <c r="F198" s="110" t="n"/>
      <c r="G198" s="117">
        <f>IF($A198="","",$C198*$F198)</f>
        <v/>
      </c>
      <c r="H198" s="117">
        <f>IF($A198="","",$E198-$G198)</f>
        <v/>
      </c>
      <c r="I198" s="119">
        <f>IF($A198="","",IF($E198=0,"",$H198/$E198))</f>
        <v/>
      </c>
    </row>
    <row r="199" ht="15" customHeight="1" s="80">
      <c r="A199" s="110" t="n"/>
      <c r="B199" s="110" t="n"/>
      <c r="C199" s="110" t="n"/>
      <c r="D199" s="110" t="n"/>
      <c r="E199" s="117">
        <f>IF($A199="","",$C199*$D199)</f>
        <v/>
      </c>
      <c r="F199" s="110" t="n"/>
      <c r="G199" s="117">
        <f>IF($A199="","",$C199*$F199)</f>
        <v/>
      </c>
      <c r="H199" s="117">
        <f>IF($A199="","",$E199-$G199)</f>
        <v/>
      </c>
      <c r="I199" s="119">
        <f>IF($A199="","",IF($E199=0,"",$H199/$E199))</f>
        <v/>
      </c>
    </row>
    <row r="200" ht="15" customHeight="1" s="80">
      <c r="A200" s="110" t="n"/>
      <c r="B200" s="110" t="n"/>
      <c r="C200" s="110" t="n"/>
      <c r="D200" s="110" t="n"/>
      <c r="E200" s="117">
        <f>IF($A200="","",$C200*$D200)</f>
        <v/>
      </c>
      <c r="F200" s="110" t="n"/>
      <c r="G200" s="117">
        <f>IF($A200="","",$C200*$F200)</f>
        <v/>
      </c>
      <c r="H200" s="117">
        <f>IF($A200="","",$E200-$G200)</f>
        <v/>
      </c>
      <c r="I200" s="119">
        <f>IF($A200="","",IF($E200=0,"",$H200/$E200))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H6:H1200">
    <cfRule type="cellIs" rank="0" priority="2" equalAverage="0" operator="lessThan" aboveAverage="0" dxfId="12" text="" percent="0" bottom="0">
      <formula>0</formula>
    </cfRule>
    <cfRule type="cellIs" rank="0" priority="3" equalAverage="0" operator="greaterThan" aboveAverage="0" dxfId="7" text="" percent="0" bottom="0">
      <formula>0</formula>
    </cfRule>
  </conditionalFormatting>
  <conditionalFormatting sqref="I6:I1200">
    <cfRule type="expression" rank="0" priority="4" equalAverage="0" aboveAverage="0" dxfId="7" text="" percent="0" bottom="0">
      <formula>I6&gt;=BrutMarjHedef/100</formula>
    </cfRule>
    <cfRule type="expression" rank="0" priority="5" equalAverage="0" aboveAverage="0" dxfId="12" text="" percent="0" bottom="0">
      <formula>I6&lt;0.1</formula>
    </cfRule>
    <cfRule type="expression" rank="0" priority="6" equalAverage="0" aboveAverage="0" dxfId="8" text="" percent="0" bottom="0">
      <formula>AND(I6&gt;=0.1,I6&lt;BrutMarjHedef/100)</formula>
    </cfRule>
  </conditionalFormatting>
  <dataValidations count="5">
    <dataValidation sqref="A6:A200" showDropDown="0" showInputMessage="1" showErrorMessage="1" allowBlank="1" errorTitle="Geçersiz" error="Ürün adı gereklidir." promptTitle="Ürün/Hizmet" prompt="Ürün veya hizmet adını girin." type="textLength" errorStyle="stop" operator="between">
      <formula1>1</formula1>
      <formula2>0</formula2>
    </dataValidation>
    <dataValidation sqref="B6:B200" showDropDown="0" showInputMessage="1" showErrorMessage="1" allowBlank="1" errorTitle="Geçersiz kategori" error="Kategori listeden seçilmelidir." promptTitle="Kategori" prompt="Ürün kategorisini seçin." type="list" errorStyle="stop" operator="between">
      <formula1>LISTELER!$C$4:$C$20</formula1>
      <formula2>0</formula2>
    </dataValidation>
    <dataValidation sqref="C6:C200" showDropDown="0" showInputMessage="1" showErrorMessage="1" allowBlank="1" errorTitle="Geçersiz adet" error="Negatif olamaz." promptTitle="Satış Adedi" prompt="Satış adedini girin." type="decimal" errorStyle="stop" operator="between">
      <formula1>0</formula1>
      <formula2>0</formula2>
    </dataValidation>
    <dataValidation sqref="D6:D200" showDropDown="0" showInputMessage="1" showErrorMessage="1" allowBlank="1" errorTitle="Geçersiz fiyat" error="Negatif olamaz." promptTitle="Birim Fiyat" prompt="Birim satış fiyatını girin." type="decimal" errorStyle="stop" operator="between">
      <formula1>0</formula1>
      <formula2>0</formula2>
    </dataValidation>
    <dataValidation sqref="F6:F200" showDropDown="0" showInputMessage="1" showErrorMessage="1" allowBlank="1" errorTitle="Geçersiz maliyet" error="Negatif olamaz." promptTitle="Birim Maliyet" prompt="Birim maliyeti girin." type="decimal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6" min="1" max="1"/>
    <col width="18" customWidth="1" style="106" min="2" max="2"/>
    <col width="52" customWidth="1" style="106" min="3" max="3"/>
    <col width="36" customWidth="1" style="106" min="4" max="4"/>
  </cols>
  <sheetData>
    <row r="1" ht="25.5" customHeight="1" s="80">
      <c r="A1" s="107" t="inlineStr">
        <is>
          <t>TAHAKKUK NAKIT ESLEME — GÜNLÜK GELİR–GİDER VE GERÇEK KÂRLILIK SİSTEMİ</t>
        </is>
      </c>
    </row>
    <row r="2" ht="19.5" customHeight="1" s="80">
      <c r="A2" s="108" t="inlineStr">
        <is>
          <t>Muhasebe kârından gerçek nakit değişimine geçiş köprüsü. Her satırın tanımı ve veri kaynağı sağda görünür.</t>
        </is>
      </c>
    </row>
    <row r="4" ht="15" customHeight="1" s="80">
      <c r="A4" s="120" t="inlineStr">
        <is>
          <t>GERÇEK KÂRLILIK KÖPRÜSÜ</t>
        </is>
      </c>
    </row>
    <row r="5" ht="30" customHeight="1" s="80">
      <c r="A5" s="109" t="inlineStr">
        <is>
          <t>Açıklama</t>
        </is>
      </c>
      <c r="B5" s="109" t="inlineStr">
        <is>
          <t>Tutar (₺)</t>
        </is>
      </c>
      <c r="C5" s="109" t="inlineStr">
        <is>
          <t>Tanım</t>
        </is>
      </c>
      <c r="D5" s="109" t="inlineStr">
        <is>
          <t>Veri Kaynağı</t>
        </is>
      </c>
    </row>
    <row r="6" ht="33.75" customHeight="1" s="80">
      <c r="A6" s="121" t="inlineStr">
        <is>
          <t>Muhasebe Net Sonucu</t>
        </is>
      </c>
      <c r="B6" s="122">
        <f>SUM(GELIR_GIDER_KAYIT!$AA$6:$AA$5000)</f>
        <v/>
      </c>
      <c r="C6" s="123" t="inlineStr">
        <is>
          <t>Kârlılık Etkisi toplamı (tüm gelir - tüm kâr etkili gider)</t>
        </is>
      </c>
      <c r="D6" s="124" t="inlineStr">
        <is>
          <t>GELIR_GIDER_KAYIT!Kârlılık Etkisi</t>
        </is>
      </c>
    </row>
    <row r="7" ht="33.75" customHeight="1" s="80">
      <c r="A7" s="121" t="inlineStr">
        <is>
          <t>+ Amortisman</t>
        </is>
      </c>
      <c r="B7" s="122">
        <f>-SUMIFS(GELIR_GIDER_KAYIT!$AA$6:$AA$5000,GELIR_GIDER_KAYIT!$E$6:$E$5000,"AMORTİSMAN")</f>
        <v/>
      </c>
      <c r="C7" s="123" t="inlineStr">
        <is>
          <t>Nakit etkisiz gider; kâra yazıldığı için geri eklenir</t>
        </is>
      </c>
      <c r="D7" s="124" t="inlineStr">
        <is>
          <t>Ana Sınıf = AMORTİSMAN</t>
        </is>
      </c>
    </row>
    <row r="8" ht="33.75" customHeight="1" s="80">
      <c r="A8" s="121" t="inlineStr">
        <is>
          <t>- Tahsil Edilmemiş Satış Artışı</t>
        </is>
      </c>
      <c r="B8" s="122">
        <f>SUMIFS(GELIR_GIDER_KAYIT!$O$6:$O$5000,GELIR_GIDER_KAYIT!$D$6:$D$5000,"GELİR",GELIR_GIDER_KAYIT!$S$6:$S$5000,"HAYIR")</f>
        <v/>
      </c>
      <c r="C8" s="123" t="inlineStr">
        <is>
          <t>Satışa yazıldı ama nakit tahsil edilmedi</t>
        </is>
      </c>
      <c r="D8" s="124" t="inlineStr">
        <is>
          <t>İşlem Türü=GELİR ve Nakit Gerçekleşti=HAYIR</t>
        </is>
      </c>
    </row>
    <row r="9" ht="33.75" customHeight="1" s="80">
      <c r="A9" s="121" t="inlineStr">
        <is>
          <t>+ Ödenmemiş Gider Artışı</t>
        </is>
      </c>
      <c r="B9" s="122">
        <f>SUMIFS(GELIR_GIDER_KAYIT!$O$6:$O$5000,GELIR_GIDER_KAYIT!$D$6:$D$5000,"GİDER",GELIR_GIDER_KAYIT!$S$6:$S$5000,"HAYIR",GELIR_GIDER_KAYIT!$E$6:$E$5000,"&lt;&gt;AMORTİSMAN")</f>
        <v/>
      </c>
      <c r="C9" s="123" t="inlineStr">
        <is>
          <t>Gidere yazıldı ama henüz ödenmedi; nakit çıkışı olmadı</t>
        </is>
      </c>
      <c r="D9" s="124" t="inlineStr">
        <is>
          <t>İşlem Türü=GİDER, Nakit=HAYIR, AMORTİSMAN hariç</t>
        </is>
      </c>
    </row>
    <row r="10" ht="33.75" customHeight="1" s="80">
      <c r="A10" s="121" t="inlineStr">
        <is>
          <t>- Stok Artışı</t>
        </is>
      </c>
      <c r="B10" s="122">
        <f>IF(KayitSayisi=0,"VERİ YOK",MAX(0,DonemSonuStok-DonemBasiStok))</f>
        <v/>
      </c>
      <c r="C10" s="123" t="inlineStr">
        <is>
          <t>Stoka bağlanan nakit kâr değildir</t>
        </is>
      </c>
      <c r="D10" s="124" t="inlineStr">
        <is>
          <t>AYARLAR!Dönem Başı/Sonu Stok</t>
        </is>
      </c>
    </row>
    <row r="11" ht="33.75" customHeight="1" s="80">
      <c r="A11" s="121" t="inlineStr">
        <is>
          <t>- Kredi Anapara Ödemesi</t>
        </is>
      </c>
      <c r="B11" s="122">
        <f>SUMIFS(GELIR_GIDER_KAYIT!$O$6:$O$5000,GELIR_GIDER_KAYIT!$E$6:$E$5000,"KREDİ ANAPARA")</f>
        <v/>
      </c>
      <c r="C11" s="123" t="inlineStr">
        <is>
          <t>Anapara geri ödemesi kârı etkilemez, nakdi azaltır</t>
        </is>
      </c>
      <c r="D11" s="124" t="inlineStr">
        <is>
          <t>Ana Sınıf = KREDİ ANAPARA</t>
        </is>
      </c>
    </row>
    <row r="12" ht="33.75" customHeight="1" s="80">
      <c r="A12" s="121" t="inlineStr">
        <is>
          <t>- Yatırım Harcaması</t>
        </is>
      </c>
      <c r="B12" s="122">
        <f>SUMIFS(GELIR_GIDER_KAYIT!$O$6:$O$5000,GELIR_GIDER_KAYIT!$E$6:$E$5000,"YATIRIM")</f>
        <v/>
      </c>
      <c r="C12" s="123" t="inlineStr">
        <is>
          <t>Yatırım gideri gider değil, nakit çıkışıdır</t>
        </is>
      </c>
      <c r="D12" s="124" t="inlineStr">
        <is>
          <t>Ana Sınıf = YATIRIM</t>
        </is>
      </c>
    </row>
    <row r="13" ht="33.75" customHeight="1" s="80">
      <c r="A13" s="121" t="inlineStr">
        <is>
          <t>- Ortak Çekişi</t>
        </is>
      </c>
      <c r="B13" s="122">
        <f>SUMIFS(GELIR_GIDER_KAYIT!$O$6:$O$5000,GELIR_GIDER_KAYIT!$E$6:$E$5000,"ORTAK ÇEKİŞİ")</f>
        <v/>
      </c>
      <c r="C13" s="123" t="inlineStr">
        <is>
          <t>Ortaklara çıkan nakit kâr değildir</t>
        </is>
      </c>
      <c r="D13" s="124" t="inlineStr">
        <is>
          <t>Ana Sınıf = ORTAK ÇEKİŞİ</t>
        </is>
      </c>
    </row>
    <row r="14" ht="33.75" customHeight="1" s="80">
      <c r="A14" s="125" t="inlineStr">
        <is>
          <t>Gerçek Net Nakit Değişimi</t>
        </is>
      </c>
      <c r="B14" s="126">
        <f>B6+B7-B8+B9-B10-B11-B12-B13</f>
        <v/>
      </c>
      <c r="C14" s="123" t="inlineStr">
        <is>
          <t>Dönem içinde fiilen oluşan nakit değişimi</t>
        </is>
      </c>
      <c r="D14" s="124" t="inlineStr">
        <is>
          <t>Köprü toplamı</t>
        </is>
      </c>
    </row>
    <row r="16" ht="15" customHeight="1" s="80">
      <c r="A16" s="127" t="inlineStr">
        <is>
          <t>ÇAPRAZ KONTROL</t>
        </is>
      </c>
    </row>
    <row r="17" ht="15" customHeight="1" s="80">
      <c r="A17" s="128" t="inlineStr">
        <is>
          <t>Nakit Etkisi toplamı (doğrudan)</t>
        </is>
      </c>
      <c r="B17" s="122">
        <f>SUM(GELIR_GIDER_KAYIT!$Z$6:$Z$5000)</f>
        <v/>
      </c>
    </row>
    <row r="18" ht="15" customHeight="1" s="80">
      <c r="A18" s="128" t="inlineStr">
        <is>
          <t>Köprü ile fark (₺)</t>
        </is>
      </c>
      <c r="B18" s="122">
        <f>ABS(B14-B17)</f>
        <v/>
      </c>
    </row>
    <row r="19" ht="15" customHeight="1" s="80">
      <c r="A19" s="128" t="inlineStr">
        <is>
          <t>Tolerans (₺)</t>
        </is>
      </c>
      <c r="B19" s="122">
        <f>IF(KayitSayisi=0,"VERİ YOK",YuvarlamaToleransi)</f>
        <v/>
      </c>
    </row>
    <row r="20" ht="15" customHeight="1" s="80">
      <c r="A20" s="129" t="inlineStr">
        <is>
          <t>Durum</t>
        </is>
      </c>
      <c r="B20" s="130">
        <f>IF(B18&lt;=B19,"UYUMLU","KONTROL GEREKLİ")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:AN2"/>
    <mergeCell ref="A1:AN1"/>
    <mergeCell ref="A4:E4"/>
  </mergeCells>
  <conditionalFormatting sqref="B6">
    <cfRule type="cellIs" rank="0" priority="2" equalAverage="0" operator="lessThan" aboveAverage="0" dxfId="12" text="" percent="0" bottom="0">
      <formula>0</formula>
    </cfRule>
  </conditionalFormatting>
  <conditionalFormatting sqref="B14">
    <cfRule type="cellIs" rank="0" priority="3" equalAverage="0" operator="lessThan" aboveAverage="0" dxfId="1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N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06" min="1" max="1"/>
    <col width="16" customWidth="1" style="106" min="2" max="3"/>
    <col width="14" customWidth="1" style="106" min="4" max="4"/>
    <col width="16" customWidth="1" style="106" min="5" max="5"/>
    <col width="18" customWidth="1" style="106" min="6" max="6"/>
  </cols>
  <sheetData>
    <row r="1" ht="25.5" customHeight="1" s="80">
      <c r="A1" s="107" t="inlineStr">
        <is>
          <t>GUNLUK OZET — GÜNLÜK GELİR–GİDER VE GERÇEK KÂRLILIK SİSTEMİ</t>
        </is>
      </c>
    </row>
    <row r="2" ht="19.5" customHeight="1" s="80">
      <c r="A2" s="108" t="inlineStr">
        <is>
          <t>Son 41 günün nakit ve kârlılık akışı otomatik özetlenir. Açık sarı hücreye dönem başı nakit bakiyesi girin.</t>
        </is>
      </c>
    </row>
    <row r="3" ht="30" customHeight="1" s="80">
      <c r="A3" s="131" t="inlineStr">
        <is>
          <t>Dönem Başı Nakit Bakiyesi (₺)</t>
        </is>
      </c>
      <c r="B3" s="132" t="n">
        <v>250000</v>
      </c>
    </row>
    <row r="5" ht="30" customHeight="1" s="80">
      <c r="A5" s="109" t="inlineStr">
        <is>
          <t>Tarih</t>
        </is>
      </c>
      <c r="B5" s="109" t="inlineStr">
        <is>
          <t>Nakit Girişi</t>
        </is>
      </c>
      <c r="C5" s="109" t="inlineStr">
        <is>
          <t>Nakit Çıkışı</t>
        </is>
      </c>
      <c r="D5" s="109" t="inlineStr">
        <is>
          <t>Net Nakit</t>
        </is>
      </c>
      <c r="E5" s="109" t="inlineStr">
        <is>
          <t>Kârlılık</t>
        </is>
      </c>
      <c r="F5" s="109" t="inlineStr">
        <is>
          <t>Kümülatif Nakit</t>
        </is>
      </c>
    </row>
    <row r="6" ht="16.5" customHeight="1" s="80">
      <c r="A6" s="133">
        <f>IF(RaporDonemBaslangici="","",RaporDonemBaslangici)</f>
        <v/>
      </c>
      <c r="B6" s="118">
        <f>IF($A6="","",SUMIFS(GELIR_GIDER_KAYIT!$Z$6:$Z$5000,GELIR_GIDER_KAYIT!$B$6:$B$5000,$A6,GELIR_GIDER_KAYIT!$Z$6:$Z$5000,"&gt;0"))</f>
        <v/>
      </c>
      <c r="C6" s="118">
        <f>IF($A6="","",-SUMIFS(GELIR_GIDER_KAYIT!$Z$6:$Z$5000,GELIR_GIDER_KAYIT!$B$6:$B$5000,$A6,GELIR_GIDER_KAYIT!$Z$6:$Z$5000,"&lt;0"))</f>
        <v/>
      </c>
      <c r="D6" s="122">
        <f>IF($A6="","",B6-C6)</f>
        <v/>
      </c>
      <c r="E6" s="122">
        <f>IF($A6="","",SUMIFS(GELIR_GIDER_KAYIT!$AA$6:$AA$5000,GELIR_GIDER_KAYIT!$B$6:$B$5000,$A6))</f>
        <v/>
      </c>
      <c r="F6" s="122">
        <f>IF($A6="","",$B$3+D6)</f>
        <v/>
      </c>
    </row>
    <row r="7" ht="16.5" customHeight="1" s="80">
      <c r="A7" s="133">
        <f>IF($A6="","",IF($A6+1&gt;RaporTarihi,"",$A6+1))</f>
        <v/>
      </c>
      <c r="B7" s="118">
        <f>IF($A7="","",SUMIFS(GELIR_GIDER_KAYIT!$Z$6:$Z$5000,GELIR_GIDER_KAYIT!$B$6:$B$5000,$A7,GELIR_GIDER_KAYIT!$Z$6:$Z$5000,"&gt;0"))</f>
        <v/>
      </c>
      <c r="C7" s="118">
        <f>IF($A7="","",-SUMIFS(GELIR_GIDER_KAYIT!$Z$6:$Z$5000,GELIR_GIDER_KAYIT!$B$6:$B$5000,$A7,GELIR_GIDER_KAYIT!$Z$6:$Z$5000,"&lt;0"))</f>
        <v/>
      </c>
      <c r="D7" s="122">
        <f>IF($A7="","",B7-C7)</f>
        <v/>
      </c>
      <c r="E7" s="122">
        <f>IF($A7="","",SUMIFS(GELIR_GIDER_KAYIT!$AA$6:$AA$5000,GELIR_GIDER_KAYIT!$B$6:$B$5000,$A7))</f>
        <v/>
      </c>
      <c r="F7" s="122">
        <f>IF($A7="","",F6+D7)</f>
        <v/>
      </c>
    </row>
    <row r="8" ht="16.5" customHeight="1" s="80">
      <c r="A8" s="133">
        <f>IF($A7="","",IF($A7+1&gt;RaporTarihi,"",$A7+1))</f>
        <v/>
      </c>
      <c r="B8" s="118">
        <f>IF($A8="","",SUMIFS(GELIR_GIDER_KAYIT!$Z$6:$Z$5000,GELIR_GIDER_KAYIT!$B$6:$B$5000,$A8,GELIR_GIDER_KAYIT!$Z$6:$Z$5000,"&gt;0"))</f>
        <v/>
      </c>
      <c r="C8" s="118">
        <f>IF($A8="","",-SUMIFS(GELIR_GIDER_KAYIT!$Z$6:$Z$5000,GELIR_GIDER_KAYIT!$B$6:$B$5000,$A8,GELIR_GIDER_KAYIT!$Z$6:$Z$5000,"&lt;0"))</f>
        <v/>
      </c>
      <c r="D8" s="122">
        <f>IF($A8="","",B8-C8)</f>
        <v/>
      </c>
      <c r="E8" s="122">
        <f>IF($A8="","",SUMIFS(GELIR_GIDER_KAYIT!$AA$6:$AA$5000,GELIR_GIDER_KAYIT!$B$6:$B$5000,$A8))</f>
        <v/>
      </c>
      <c r="F8" s="122">
        <f>IF($A8="","",F7+D8)</f>
        <v/>
      </c>
    </row>
    <row r="9" ht="16.5" customHeight="1" s="80">
      <c r="A9" s="133">
        <f>IF($A8="","",IF($A8+1&gt;RaporTarihi,"",$A8+1))</f>
        <v/>
      </c>
      <c r="B9" s="118">
        <f>IF($A9="","",SUMIFS(GELIR_GIDER_KAYIT!$Z$6:$Z$5000,GELIR_GIDER_KAYIT!$B$6:$B$5000,$A9,GELIR_GIDER_KAYIT!$Z$6:$Z$5000,"&gt;0"))</f>
        <v/>
      </c>
      <c r="C9" s="118">
        <f>IF($A9="","",-SUMIFS(GELIR_GIDER_KAYIT!$Z$6:$Z$5000,GELIR_GIDER_KAYIT!$B$6:$B$5000,$A9,GELIR_GIDER_KAYIT!$Z$6:$Z$5000,"&lt;0"))</f>
        <v/>
      </c>
      <c r="D9" s="122">
        <f>IF($A9="","",B9-C9)</f>
        <v/>
      </c>
      <c r="E9" s="122">
        <f>IF($A9="","",SUMIFS(GELIR_GIDER_KAYIT!$AA$6:$AA$5000,GELIR_GIDER_KAYIT!$B$6:$B$5000,$A9))</f>
        <v/>
      </c>
      <c r="F9" s="122">
        <f>IF($A9="","",F8+D9)</f>
        <v/>
      </c>
    </row>
    <row r="10" ht="16.5" customHeight="1" s="80">
      <c r="A10" s="133">
        <f>IF($A9="","",IF($A9+1&gt;RaporTarihi,"",$A9+1))</f>
        <v/>
      </c>
      <c r="B10" s="118">
        <f>IF($A10="","",SUMIFS(GELIR_GIDER_KAYIT!$Z$6:$Z$5000,GELIR_GIDER_KAYIT!$B$6:$B$5000,$A10,GELIR_GIDER_KAYIT!$Z$6:$Z$5000,"&gt;0"))</f>
        <v/>
      </c>
      <c r="C10" s="118">
        <f>IF($A10="","",-SUMIFS(GELIR_GIDER_KAYIT!$Z$6:$Z$5000,GELIR_GIDER_KAYIT!$B$6:$B$5000,$A10,GELIR_GIDER_KAYIT!$Z$6:$Z$5000,"&lt;0"))</f>
        <v/>
      </c>
      <c r="D10" s="122">
        <f>IF($A10="","",B10-C10)</f>
        <v/>
      </c>
      <c r="E10" s="122">
        <f>IF($A10="","",SUMIFS(GELIR_GIDER_KAYIT!$AA$6:$AA$5000,GELIR_GIDER_KAYIT!$B$6:$B$5000,$A10))</f>
        <v/>
      </c>
      <c r="F10" s="122">
        <f>IF($A10="","",F9+D10)</f>
        <v/>
      </c>
    </row>
    <row r="11" ht="16.5" customHeight="1" s="80">
      <c r="A11" s="133">
        <f>IF($A10="","",IF($A10+1&gt;RaporTarihi,"",$A10+1))</f>
        <v/>
      </c>
      <c r="B11" s="118">
        <f>IF($A11="","",SUMIFS(GELIR_GIDER_KAYIT!$Z$6:$Z$5000,GELIR_GIDER_KAYIT!$B$6:$B$5000,$A11,GELIR_GIDER_KAYIT!$Z$6:$Z$5000,"&gt;0"))</f>
        <v/>
      </c>
      <c r="C11" s="118">
        <f>IF($A11="","",-SUMIFS(GELIR_GIDER_KAYIT!$Z$6:$Z$5000,GELIR_GIDER_KAYIT!$B$6:$B$5000,$A11,GELIR_GIDER_KAYIT!$Z$6:$Z$5000,"&lt;0"))</f>
        <v/>
      </c>
      <c r="D11" s="122">
        <f>IF($A11="","",B11-C11)</f>
        <v/>
      </c>
      <c r="E11" s="122">
        <f>IF($A11="","",SUMIFS(GELIR_GIDER_KAYIT!$AA$6:$AA$5000,GELIR_GIDER_KAYIT!$B$6:$B$5000,$A11))</f>
        <v/>
      </c>
      <c r="F11" s="122">
        <f>IF($A11="","",F10+D11)</f>
        <v/>
      </c>
    </row>
    <row r="12" ht="16.5" customHeight="1" s="80">
      <c r="A12" s="133">
        <f>IF($A11="","",IF($A11+1&gt;RaporTarihi,"",$A11+1))</f>
        <v/>
      </c>
      <c r="B12" s="118">
        <f>IF($A12="","",SUMIFS(GELIR_GIDER_KAYIT!$Z$6:$Z$5000,GELIR_GIDER_KAYIT!$B$6:$B$5000,$A12,GELIR_GIDER_KAYIT!$Z$6:$Z$5000,"&gt;0"))</f>
        <v/>
      </c>
      <c r="C12" s="118">
        <f>IF($A12="","",-SUMIFS(GELIR_GIDER_KAYIT!$Z$6:$Z$5000,GELIR_GIDER_KAYIT!$B$6:$B$5000,$A12,GELIR_GIDER_KAYIT!$Z$6:$Z$5000,"&lt;0"))</f>
        <v/>
      </c>
      <c r="D12" s="122">
        <f>IF($A12="","",B12-C12)</f>
        <v/>
      </c>
      <c r="E12" s="122">
        <f>IF($A12="","",SUMIFS(GELIR_GIDER_KAYIT!$AA$6:$AA$5000,GELIR_GIDER_KAYIT!$B$6:$B$5000,$A12))</f>
        <v/>
      </c>
      <c r="F12" s="122">
        <f>IF($A12="","",F11+D12)</f>
        <v/>
      </c>
    </row>
    <row r="13" ht="16.5" customHeight="1" s="80">
      <c r="A13" s="133">
        <f>IF($A12="","",IF($A12+1&gt;RaporTarihi,"",$A12+1))</f>
        <v/>
      </c>
      <c r="B13" s="118">
        <f>IF($A13="","",SUMIFS(GELIR_GIDER_KAYIT!$Z$6:$Z$5000,GELIR_GIDER_KAYIT!$B$6:$B$5000,$A13,GELIR_GIDER_KAYIT!$Z$6:$Z$5000,"&gt;0"))</f>
        <v/>
      </c>
      <c r="C13" s="118">
        <f>IF($A13="","",-SUMIFS(GELIR_GIDER_KAYIT!$Z$6:$Z$5000,GELIR_GIDER_KAYIT!$B$6:$B$5000,$A13,GELIR_GIDER_KAYIT!$Z$6:$Z$5000,"&lt;0"))</f>
        <v/>
      </c>
      <c r="D13" s="122">
        <f>IF($A13="","",B13-C13)</f>
        <v/>
      </c>
      <c r="E13" s="122">
        <f>IF($A13="","",SUMIFS(GELIR_GIDER_KAYIT!$AA$6:$AA$5000,GELIR_GIDER_KAYIT!$B$6:$B$5000,$A13))</f>
        <v/>
      </c>
      <c r="F13" s="122">
        <f>IF($A13="","",F12+D13)</f>
        <v/>
      </c>
    </row>
    <row r="14" ht="16.5" customHeight="1" s="80">
      <c r="A14" s="133">
        <f>IF($A13="","",IF($A13+1&gt;RaporTarihi,"",$A13+1))</f>
        <v/>
      </c>
      <c r="B14" s="118">
        <f>IF($A14="","",SUMIFS(GELIR_GIDER_KAYIT!$Z$6:$Z$5000,GELIR_GIDER_KAYIT!$B$6:$B$5000,$A14,GELIR_GIDER_KAYIT!$Z$6:$Z$5000,"&gt;0"))</f>
        <v/>
      </c>
      <c r="C14" s="118">
        <f>IF($A14="","",-SUMIFS(GELIR_GIDER_KAYIT!$Z$6:$Z$5000,GELIR_GIDER_KAYIT!$B$6:$B$5000,$A14,GELIR_GIDER_KAYIT!$Z$6:$Z$5000,"&lt;0"))</f>
        <v/>
      </c>
      <c r="D14" s="122">
        <f>IF($A14="","",B14-C14)</f>
        <v/>
      </c>
      <c r="E14" s="122">
        <f>IF($A14="","",SUMIFS(GELIR_GIDER_KAYIT!$AA$6:$AA$5000,GELIR_GIDER_KAYIT!$B$6:$B$5000,$A14))</f>
        <v/>
      </c>
      <c r="F14" s="122">
        <f>IF($A14="","",F13+D14)</f>
        <v/>
      </c>
    </row>
    <row r="15" ht="16.5" customHeight="1" s="80">
      <c r="A15" s="133">
        <f>IF($A14="","",IF($A14+1&gt;RaporTarihi,"",$A14+1))</f>
        <v/>
      </c>
      <c r="B15" s="118">
        <f>IF($A15="","",SUMIFS(GELIR_GIDER_KAYIT!$Z$6:$Z$5000,GELIR_GIDER_KAYIT!$B$6:$B$5000,$A15,GELIR_GIDER_KAYIT!$Z$6:$Z$5000,"&gt;0"))</f>
        <v/>
      </c>
      <c r="C15" s="118">
        <f>IF($A15="","",-SUMIFS(GELIR_GIDER_KAYIT!$Z$6:$Z$5000,GELIR_GIDER_KAYIT!$B$6:$B$5000,$A15,GELIR_GIDER_KAYIT!$Z$6:$Z$5000,"&lt;0"))</f>
        <v/>
      </c>
      <c r="D15" s="122">
        <f>IF($A15="","",B15-C15)</f>
        <v/>
      </c>
      <c r="E15" s="122">
        <f>IF($A15="","",SUMIFS(GELIR_GIDER_KAYIT!$AA$6:$AA$5000,GELIR_GIDER_KAYIT!$B$6:$B$5000,$A15))</f>
        <v/>
      </c>
      <c r="F15" s="122">
        <f>IF($A15="","",F14+D15)</f>
        <v/>
      </c>
    </row>
    <row r="16" ht="16.5" customHeight="1" s="80">
      <c r="A16" s="133">
        <f>IF($A15="","",IF($A15+1&gt;RaporTarihi,"",$A15+1))</f>
        <v/>
      </c>
      <c r="B16" s="118">
        <f>IF($A16="","",SUMIFS(GELIR_GIDER_KAYIT!$Z$6:$Z$5000,GELIR_GIDER_KAYIT!$B$6:$B$5000,$A16,GELIR_GIDER_KAYIT!$Z$6:$Z$5000,"&gt;0"))</f>
        <v/>
      </c>
      <c r="C16" s="118">
        <f>IF($A16="","",-SUMIFS(GELIR_GIDER_KAYIT!$Z$6:$Z$5000,GELIR_GIDER_KAYIT!$B$6:$B$5000,$A16,GELIR_GIDER_KAYIT!$Z$6:$Z$5000,"&lt;0"))</f>
        <v/>
      </c>
      <c r="D16" s="122">
        <f>IF($A16="","",B16-C16)</f>
        <v/>
      </c>
      <c r="E16" s="122">
        <f>IF($A16="","",SUMIFS(GELIR_GIDER_KAYIT!$AA$6:$AA$5000,GELIR_GIDER_KAYIT!$B$6:$B$5000,$A16))</f>
        <v/>
      </c>
      <c r="F16" s="122">
        <f>IF($A16="","",F15+D16)</f>
        <v/>
      </c>
    </row>
    <row r="17" ht="16.5" customHeight="1" s="80">
      <c r="A17" s="133">
        <f>IF($A16="","",IF($A16+1&gt;RaporTarihi,"",$A16+1))</f>
        <v/>
      </c>
      <c r="B17" s="118">
        <f>IF($A17="","",SUMIFS(GELIR_GIDER_KAYIT!$Z$6:$Z$5000,GELIR_GIDER_KAYIT!$B$6:$B$5000,$A17,GELIR_GIDER_KAYIT!$Z$6:$Z$5000,"&gt;0"))</f>
        <v/>
      </c>
      <c r="C17" s="118">
        <f>IF($A17="","",-SUMIFS(GELIR_GIDER_KAYIT!$Z$6:$Z$5000,GELIR_GIDER_KAYIT!$B$6:$B$5000,$A17,GELIR_GIDER_KAYIT!$Z$6:$Z$5000,"&lt;0"))</f>
        <v/>
      </c>
      <c r="D17" s="122">
        <f>IF($A17="","",B17-C17)</f>
        <v/>
      </c>
      <c r="E17" s="122">
        <f>IF($A17="","",SUMIFS(GELIR_GIDER_KAYIT!$AA$6:$AA$5000,GELIR_GIDER_KAYIT!$B$6:$B$5000,$A17))</f>
        <v/>
      </c>
      <c r="F17" s="122">
        <f>IF($A17="","",F16+D17)</f>
        <v/>
      </c>
    </row>
    <row r="18" ht="16.5" customHeight="1" s="80">
      <c r="A18" s="133">
        <f>IF($A17="","",IF($A17+1&gt;RaporTarihi,"",$A17+1))</f>
        <v/>
      </c>
      <c r="B18" s="118">
        <f>IF($A18="","",SUMIFS(GELIR_GIDER_KAYIT!$Z$6:$Z$5000,GELIR_GIDER_KAYIT!$B$6:$B$5000,$A18,GELIR_GIDER_KAYIT!$Z$6:$Z$5000,"&gt;0"))</f>
        <v/>
      </c>
      <c r="C18" s="118">
        <f>IF($A18="","",-SUMIFS(GELIR_GIDER_KAYIT!$Z$6:$Z$5000,GELIR_GIDER_KAYIT!$B$6:$B$5000,$A18,GELIR_GIDER_KAYIT!$Z$6:$Z$5000,"&lt;0"))</f>
        <v/>
      </c>
      <c r="D18" s="122">
        <f>IF($A18="","",B18-C18)</f>
        <v/>
      </c>
      <c r="E18" s="122">
        <f>IF($A18="","",SUMIFS(GELIR_GIDER_KAYIT!$AA$6:$AA$5000,GELIR_GIDER_KAYIT!$B$6:$B$5000,$A18))</f>
        <v/>
      </c>
      <c r="F18" s="122">
        <f>IF($A18="","",F17+D18)</f>
        <v/>
      </c>
    </row>
    <row r="19" ht="16.5" customHeight="1" s="80">
      <c r="A19" s="133">
        <f>IF($A18="","",IF($A18+1&gt;RaporTarihi,"",$A18+1))</f>
        <v/>
      </c>
      <c r="B19" s="118">
        <f>IF($A19="","",SUMIFS(GELIR_GIDER_KAYIT!$Z$6:$Z$5000,GELIR_GIDER_KAYIT!$B$6:$B$5000,$A19,GELIR_GIDER_KAYIT!$Z$6:$Z$5000,"&gt;0"))</f>
        <v/>
      </c>
      <c r="C19" s="118">
        <f>IF($A19="","",-SUMIFS(GELIR_GIDER_KAYIT!$Z$6:$Z$5000,GELIR_GIDER_KAYIT!$B$6:$B$5000,$A19,GELIR_GIDER_KAYIT!$Z$6:$Z$5000,"&lt;0"))</f>
        <v/>
      </c>
      <c r="D19" s="122">
        <f>IF($A19="","",B19-C19)</f>
        <v/>
      </c>
      <c r="E19" s="122">
        <f>IF($A19="","",SUMIFS(GELIR_GIDER_KAYIT!$AA$6:$AA$5000,GELIR_GIDER_KAYIT!$B$6:$B$5000,$A19))</f>
        <v/>
      </c>
      <c r="F19" s="122">
        <f>IF($A19="","",F18+D19)</f>
        <v/>
      </c>
    </row>
    <row r="20" ht="16.5" customHeight="1" s="80">
      <c r="A20" s="133">
        <f>IF($A19="","",IF($A19+1&gt;RaporTarihi,"",$A19+1))</f>
        <v/>
      </c>
      <c r="B20" s="118">
        <f>IF($A20="","",SUMIFS(GELIR_GIDER_KAYIT!$Z$6:$Z$5000,GELIR_GIDER_KAYIT!$B$6:$B$5000,$A20,GELIR_GIDER_KAYIT!$Z$6:$Z$5000,"&gt;0"))</f>
        <v/>
      </c>
      <c r="C20" s="118">
        <f>IF($A20="","",-SUMIFS(GELIR_GIDER_KAYIT!$Z$6:$Z$5000,GELIR_GIDER_KAYIT!$B$6:$B$5000,$A20,GELIR_GIDER_KAYIT!$Z$6:$Z$5000,"&lt;0"))</f>
        <v/>
      </c>
      <c r="D20" s="122">
        <f>IF($A20="","",B20-C20)</f>
        <v/>
      </c>
      <c r="E20" s="122">
        <f>IF($A20="","",SUMIFS(GELIR_GIDER_KAYIT!$AA$6:$AA$5000,GELIR_GIDER_KAYIT!$B$6:$B$5000,$A20))</f>
        <v/>
      </c>
      <c r="F20" s="122">
        <f>IF($A20="","",F19+D20)</f>
        <v/>
      </c>
    </row>
    <row r="21" ht="16.5" customHeight="1" s="80">
      <c r="A21" s="133">
        <f>IF($A20="","",IF($A20+1&gt;RaporTarihi,"",$A20+1))</f>
        <v/>
      </c>
      <c r="B21" s="118">
        <f>IF($A21="","",SUMIFS(GELIR_GIDER_KAYIT!$Z$6:$Z$5000,GELIR_GIDER_KAYIT!$B$6:$B$5000,$A21,GELIR_GIDER_KAYIT!$Z$6:$Z$5000,"&gt;0"))</f>
        <v/>
      </c>
      <c r="C21" s="118">
        <f>IF($A21="","",-SUMIFS(GELIR_GIDER_KAYIT!$Z$6:$Z$5000,GELIR_GIDER_KAYIT!$B$6:$B$5000,$A21,GELIR_GIDER_KAYIT!$Z$6:$Z$5000,"&lt;0"))</f>
        <v/>
      </c>
      <c r="D21" s="122">
        <f>IF($A21="","",B21-C21)</f>
        <v/>
      </c>
      <c r="E21" s="122">
        <f>IF($A21="","",SUMIFS(GELIR_GIDER_KAYIT!$AA$6:$AA$5000,GELIR_GIDER_KAYIT!$B$6:$B$5000,$A21))</f>
        <v/>
      </c>
      <c r="F21" s="122">
        <f>IF($A21="","",F20+D21)</f>
        <v/>
      </c>
    </row>
    <row r="22" ht="16.5" customHeight="1" s="80">
      <c r="A22" s="133">
        <f>IF($A21="","",IF($A21+1&gt;RaporTarihi,"",$A21+1))</f>
        <v/>
      </c>
      <c r="B22" s="118">
        <f>IF($A22="","",SUMIFS(GELIR_GIDER_KAYIT!$Z$6:$Z$5000,GELIR_GIDER_KAYIT!$B$6:$B$5000,$A22,GELIR_GIDER_KAYIT!$Z$6:$Z$5000,"&gt;0"))</f>
        <v/>
      </c>
      <c r="C22" s="118">
        <f>IF($A22="","",-SUMIFS(GELIR_GIDER_KAYIT!$Z$6:$Z$5000,GELIR_GIDER_KAYIT!$B$6:$B$5000,$A22,GELIR_GIDER_KAYIT!$Z$6:$Z$5000,"&lt;0"))</f>
        <v/>
      </c>
      <c r="D22" s="122">
        <f>IF($A22="","",B22-C22)</f>
        <v/>
      </c>
      <c r="E22" s="122">
        <f>IF($A22="","",SUMIFS(GELIR_GIDER_KAYIT!$AA$6:$AA$5000,GELIR_GIDER_KAYIT!$B$6:$B$5000,$A22))</f>
        <v/>
      </c>
      <c r="F22" s="122">
        <f>IF($A22="","",F21+D22)</f>
        <v/>
      </c>
    </row>
    <row r="23" ht="16.5" customHeight="1" s="80">
      <c r="A23" s="133">
        <f>IF($A22="","",IF($A22+1&gt;RaporTarihi,"",$A22+1))</f>
        <v/>
      </c>
      <c r="B23" s="118">
        <f>IF($A23="","",SUMIFS(GELIR_GIDER_KAYIT!$Z$6:$Z$5000,GELIR_GIDER_KAYIT!$B$6:$B$5000,$A23,GELIR_GIDER_KAYIT!$Z$6:$Z$5000,"&gt;0"))</f>
        <v/>
      </c>
      <c r="C23" s="118">
        <f>IF($A23="","",-SUMIFS(GELIR_GIDER_KAYIT!$Z$6:$Z$5000,GELIR_GIDER_KAYIT!$B$6:$B$5000,$A23,GELIR_GIDER_KAYIT!$Z$6:$Z$5000,"&lt;0"))</f>
        <v/>
      </c>
      <c r="D23" s="122">
        <f>IF($A23="","",B23-C23)</f>
        <v/>
      </c>
      <c r="E23" s="122">
        <f>IF($A23="","",SUMIFS(GELIR_GIDER_KAYIT!$AA$6:$AA$5000,GELIR_GIDER_KAYIT!$B$6:$B$5000,$A23))</f>
        <v/>
      </c>
      <c r="F23" s="122">
        <f>IF($A23="","",F22+D23)</f>
        <v/>
      </c>
    </row>
    <row r="24" ht="16.5" customHeight="1" s="80">
      <c r="A24" s="133">
        <f>IF($A23="","",IF($A23+1&gt;RaporTarihi,"",$A23+1))</f>
        <v/>
      </c>
      <c r="B24" s="118">
        <f>IF($A24="","",SUMIFS(GELIR_GIDER_KAYIT!$Z$6:$Z$5000,GELIR_GIDER_KAYIT!$B$6:$B$5000,$A24,GELIR_GIDER_KAYIT!$Z$6:$Z$5000,"&gt;0"))</f>
        <v/>
      </c>
      <c r="C24" s="118">
        <f>IF($A24="","",-SUMIFS(GELIR_GIDER_KAYIT!$Z$6:$Z$5000,GELIR_GIDER_KAYIT!$B$6:$B$5000,$A24,GELIR_GIDER_KAYIT!$Z$6:$Z$5000,"&lt;0"))</f>
        <v/>
      </c>
      <c r="D24" s="122">
        <f>IF($A24="","",B24-C24)</f>
        <v/>
      </c>
      <c r="E24" s="122">
        <f>IF($A24="","",SUMIFS(GELIR_GIDER_KAYIT!$AA$6:$AA$5000,GELIR_GIDER_KAYIT!$B$6:$B$5000,$A24))</f>
        <v/>
      </c>
      <c r="F24" s="122">
        <f>IF($A24="","",F23+D24)</f>
        <v/>
      </c>
    </row>
    <row r="25" ht="16.5" customHeight="1" s="80">
      <c r="A25" s="133">
        <f>IF($A24="","",IF($A24+1&gt;RaporTarihi,"",$A24+1))</f>
        <v/>
      </c>
      <c r="B25" s="118">
        <f>IF($A25="","",SUMIFS(GELIR_GIDER_KAYIT!$Z$6:$Z$5000,GELIR_GIDER_KAYIT!$B$6:$B$5000,$A25,GELIR_GIDER_KAYIT!$Z$6:$Z$5000,"&gt;0"))</f>
        <v/>
      </c>
      <c r="C25" s="118">
        <f>IF($A25="","",-SUMIFS(GELIR_GIDER_KAYIT!$Z$6:$Z$5000,GELIR_GIDER_KAYIT!$B$6:$B$5000,$A25,GELIR_GIDER_KAYIT!$Z$6:$Z$5000,"&lt;0"))</f>
        <v/>
      </c>
      <c r="D25" s="122">
        <f>IF($A25="","",B25-C25)</f>
        <v/>
      </c>
      <c r="E25" s="122">
        <f>IF($A25="","",SUMIFS(GELIR_GIDER_KAYIT!$AA$6:$AA$5000,GELIR_GIDER_KAYIT!$B$6:$B$5000,$A25))</f>
        <v/>
      </c>
      <c r="F25" s="122">
        <f>IF($A25="","",F24+D25)</f>
        <v/>
      </c>
    </row>
    <row r="26" ht="16.5" customHeight="1" s="80">
      <c r="A26" s="133">
        <f>IF($A25="","",IF($A25+1&gt;RaporTarihi,"",$A25+1))</f>
        <v/>
      </c>
      <c r="B26" s="118">
        <f>IF($A26="","",SUMIFS(GELIR_GIDER_KAYIT!$Z$6:$Z$5000,GELIR_GIDER_KAYIT!$B$6:$B$5000,$A26,GELIR_GIDER_KAYIT!$Z$6:$Z$5000,"&gt;0"))</f>
        <v/>
      </c>
      <c r="C26" s="118">
        <f>IF($A26="","",-SUMIFS(GELIR_GIDER_KAYIT!$Z$6:$Z$5000,GELIR_GIDER_KAYIT!$B$6:$B$5000,$A26,GELIR_GIDER_KAYIT!$Z$6:$Z$5000,"&lt;0"))</f>
        <v/>
      </c>
      <c r="D26" s="122">
        <f>IF($A26="","",B26-C26)</f>
        <v/>
      </c>
      <c r="E26" s="122">
        <f>IF($A26="","",SUMIFS(GELIR_GIDER_KAYIT!$AA$6:$AA$5000,GELIR_GIDER_KAYIT!$B$6:$B$5000,$A26))</f>
        <v/>
      </c>
      <c r="F26" s="122">
        <f>IF($A26="","",F25+D26)</f>
        <v/>
      </c>
    </row>
    <row r="27" ht="16.5" customHeight="1" s="80">
      <c r="A27" s="133">
        <f>IF($A26="","",IF($A26+1&gt;RaporTarihi,"",$A26+1))</f>
        <v/>
      </c>
      <c r="B27" s="118">
        <f>IF($A27="","",SUMIFS(GELIR_GIDER_KAYIT!$Z$6:$Z$5000,GELIR_GIDER_KAYIT!$B$6:$B$5000,$A27,GELIR_GIDER_KAYIT!$Z$6:$Z$5000,"&gt;0"))</f>
        <v/>
      </c>
      <c r="C27" s="118">
        <f>IF($A27="","",-SUMIFS(GELIR_GIDER_KAYIT!$Z$6:$Z$5000,GELIR_GIDER_KAYIT!$B$6:$B$5000,$A27,GELIR_GIDER_KAYIT!$Z$6:$Z$5000,"&lt;0"))</f>
        <v/>
      </c>
      <c r="D27" s="122">
        <f>IF($A27="","",B27-C27)</f>
        <v/>
      </c>
      <c r="E27" s="122">
        <f>IF($A27="","",SUMIFS(GELIR_GIDER_KAYIT!$AA$6:$AA$5000,GELIR_GIDER_KAYIT!$B$6:$B$5000,$A27))</f>
        <v/>
      </c>
      <c r="F27" s="122">
        <f>IF($A27="","",F26+D27)</f>
        <v/>
      </c>
    </row>
    <row r="28" ht="16.5" customHeight="1" s="80">
      <c r="A28" s="133">
        <f>IF($A27="","",IF($A27+1&gt;RaporTarihi,"",$A27+1))</f>
        <v/>
      </c>
      <c r="B28" s="118">
        <f>IF($A28="","",SUMIFS(GELIR_GIDER_KAYIT!$Z$6:$Z$5000,GELIR_GIDER_KAYIT!$B$6:$B$5000,$A28,GELIR_GIDER_KAYIT!$Z$6:$Z$5000,"&gt;0"))</f>
        <v/>
      </c>
      <c r="C28" s="118">
        <f>IF($A28="","",-SUMIFS(GELIR_GIDER_KAYIT!$Z$6:$Z$5000,GELIR_GIDER_KAYIT!$B$6:$B$5000,$A28,GELIR_GIDER_KAYIT!$Z$6:$Z$5000,"&lt;0"))</f>
        <v/>
      </c>
      <c r="D28" s="122">
        <f>IF($A28="","",B28-C28)</f>
        <v/>
      </c>
      <c r="E28" s="122">
        <f>IF($A28="","",SUMIFS(GELIR_GIDER_KAYIT!$AA$6:$AA$5000,GELIR_GIDER_KAYIT!$B$6:$B$5000,$A28))</f>
        <v/>
      </c>
      <c r="F28" s="122">
        <f>IF($A28="","",F27+D28)</f>
        <v/>
      </c>
    </row>
    <row r="29" ht="16.5" customHeight="1" s="80">
      <c r="A29" s="133">
        <f>IF($A28="","",IF($A28+1&gt;RaporTarihi,"",$A28+1))</f>
        <v/>
      </c>
      <c r="B29" s="118">
        <f>IF($A29="","",SUMIFS(GELIR_GIDER_KAYIT!$Z$6:$Z$5000,GELIR_GIDER_KAYIT!$B$6:$B$5000,$A29,GELIR_GIDER_KAYIT!$Z$6:$Z$5000,"&gt;0"))</f>
        <v/>
      </c>
      <c r="C29" s="118">
        <f>IF($A29="","",-SUMIFS(GELIR_GIDER_KAYIT!$Z$6:$Z$5000,GELIR_GIDER_KAYIT!$B$6:$B$5000,$A29,GELIR_GIDER_KAYIT!$Z$6:$Z$5000,"&lt;0"))</f>
        <v/>
      </c>
      <c r="D29" s="122">
        <f>IF($A29="","",B29-C29)</f>
        <v/>
      </c>
      <c r="E29" s="122">
        <f>IF($A29="","",SUMIFS(GELIR_GIDER_KAYIT!$AA$6:$AA$5000,GELIR_GIDER_KAYIT!$B$6:$B$5000,$A29))</f>
        <v/>
      </c>
      <c r="F29" s="122">
        <f>IF($A29="","",F28+D29)</f>
        <v/>
      </c>
    </row>
    <row r="30" ht="16.5" customHeight="1" s="80">
      <c r="A30" s="133">
        <f>IF($A29="","",IF($A29+1&gt;RaporTarihi,"",$A29+1))</f>
        <v/>
      </c>
      <c r="B30" s="118">
        <f>IF($A30="","",SUMIFS(GELIR_GIDER_KAYIT!$Z$6:$Z$5000,GELIR_GIDER_KAYIT!$B$6:$B$5000,$A30,GELIR_GIDER_KAYIT!$Z$6:$Z$5000,"&gt;0"))</f>
        <v/>
      </c>
      <c r="C30" s="118">
        <f>IF($A30="","",-SUMIFS(GELIR_GIDER_KAYIT!$Z$6:$Z$5000,GELIR_GIDER_KAYIT!$B$6:$B$5000,$A30,GELIR_GIDER_KAYIT!$Z$6:$Z$5000,"&lt;0"))</f>
        <v/>
      </c>
      <c r="D30" s="122">
        <f>IF($A30="","",B30-C30)</f>
        <v/>
      </c>
      <c r="E30" s="122">
        <f>IF($A30="","",SUMIFS(GELIR_GIDER_KAYIT!$AA$6:$AA$5000,GELIR_GIDER_KAYIT!$B$6:$B$5000,$A30))</f>
        <v/>
      </c>
      <c r="F30" s="122">
        <f>IF($A30="","",F29+D30)</f>
        <v/>
      </c>
    </row>
    <row r="31" ht="16.5" customHeight="1" s="80">
      <c r="A31" s="133">
        <f>IF($A30="","",IF($A30+1&gt;RaporTarihi,"",$A30+1))</f>
        <v/>
      </c>
      <c r="B31" s="118">
        <f>IF($A31="","",SUMIFS(GELIR_GIDER_KAYIT!$Z$6:$Z$5000,GELIR_GIDER_KAYIT!$B$6:$B$5000,$A31,GELIR_GIDER_KAYIT!$Z$6:$Z$5000,"&gt;0"))</f>
        <v/>
      </c>
      <c r="C31" s="118">
        <f>IF($A31="","",-SUMIFS(GELIR_GIDER_KAYIT!$Z$6:$Z$5000,GELIR_GIDER_KAYIT!$B$6:$B$5000,$A31,GELIR_GIDER_KAYIT!$Z$6:$Z$5000,"&lt;0"))</f>
        <v/>
      </c>
      <c r="D31" s="122">
        <f>IF($A31="","",B31-C31)</f>
        <v/>
      </c>
      <c r="E31" s="122">
        <f>IF($A31="","",SUMIFS(GELIR_GIDER_KAYIT!$AA$6:$AA$5000,GELIR_GIDER_KAYIT!$B$6:$B$5000,$A31))</f>
        <v/>
      </c>
      <c r="F31" s="122">
        <f>IF($A31="","",F30+D31)</f>
        <v/>
      </c>
    </row>
    <row r="32" ht="16.5" customHeight="1" s="80">
      <c r="A32" s="133">
        <f>IF($A31="","",IF($A31+1&gt;RaporTarihi,"",$A31+1))</f>
        <v/>
      </c>
      <c r="B32" s="118">
        <f>IF($A32="","",SUMIFS(GELIR_GIDER_KAYIT!$Z$6:$Z$5000,GELIR_GIDER_KAYIT!$B$6:$B$5000,$A32,GELIR_GIDER_KAYIT!$Z$6:$Z$5000,"&gt;0"))</f>
        <v/>
      </c>
      <c r="C32" s="118">
        <f>IF($A32="","",-SUMIFS(GELIR_GIDER_KAYIT!$Z$6:$Z$5000,GELIR_GIDER_KAYIT!$B$6:$B$5000,$A32,GELIR_GIDER_KAYIT!$Z$6:$Z$5000,"&lt;0"))</f>
        <v/>
      </c>
      <c r="D32" s="122">
        <f>IF($A32="","",B32-C32)</f>
        <v/>
      </c>
      <c r="E32" s="122">
        <f>IF($A32="","",SUMIFS(GELIR_GIDER_KAYIT!$AA$6:$AA$5000,GELIR_GIDER_KAYIT!$B$6:$B$5000,$A32))</f>
        <v/>
      </c>
      <c r="F32" s="122">
        <f>IF($A32="","",F31+D32)</f>
        <v/>
      </c>
    </row>
    <row r="33" ht="16.5" customHeight="1" s="80">
      <c r="A33" s="133">
        <f>IF($A32="","",IF($A32+1&gt;RaporTarihi,"",$A32+1))</f>
        <v/>
      </c>
      <c r="B33" s="118">
        <f>IF($A33="","",SUMIFS(GELIR_GIDER_KAYIT!$Z$6:$Z$5000,GELIR_GIDER_KAYIT!$B$6:$B$5000,$A33,GELIR_GIDER_KAYIT!$Z$6:$Z$5000,"&gt;0"))</f>
        <v/>
      </c>
      <c r="C33" s="118">
        <f>IF($A33="","",-SUMIFS(GELIR_GIDER_KAYIT!$Z$6:$Z$5000,GELIR_GIDER_KAYIT!$B$6:$B$5000,$A33,GELIR_GIDER_KAYIT!$Z$6:$Z$5000,"&lt;0"))</f>
        <v/>
      </c>
      <c r="D33" s="122">
        <f>IF($A33="","",B33-C33)</f>
        <v/>
      </c>
      <c r="E33" s="122">
        <f>IF($A33="","",SUMIFS(GELIR_GIDER_KAYIT!$AA$6:$AA$5000,GELIR_GIDER_KAYIT!$B$6:$B$5000,$A33))</f>
        <v/>
      </c>
      <c r="F33" s="122">
        <f>IF($A33="","",F32+D33)</f>
        <v/>
      </c>
    </row>
    <row r="34" ht="16.5" customHeight="1" s="80">
      <c r="A34" s="133">
        <f>IF($A33="","",IF($A33+1&gt;RaporTarihi,"",$A33+1))</f>
        <v/>
      </c>
      <c r="B34" s="118">
        <f>IF($A34="","",SUMIFS(GELIR_GIDER_KAYIT!$Z$6:$Z$5000,GELIR_GIDER_KAYIT!$B$6:$B$5000,$A34,GELIR_GIDER_KAYIT!$Z$6:$Z$5000,"&gt;0"))</f>
        <v/>
      </c>
      <c r="C34" s="118">
        <f>IF($A34="","",-SUMIFS(GELIR_GIDER_KAYIT!$Z$6:$Z$5000,GELIR_GIDER_KAYIT!$B$6:$B$5000,$A34,GELIR_GIDER_KAYIT!$Z$6:$Z$5000,"&lt;0"))</f>
        <v/>
      </c>
      <c r="D34" s="122">
        <f>IF($A34="","",B34-C34)</f>
        <v/>
      </c>
      <c r="E34" s="122">
        <f>IF($A34="","",SUMIFS(GELIR_GIDER_KAYIT!$AA$6:$AA$5000,GELIR_GIDER_KAYIT!$B$6:$B$5000,$A34))</f>
        <v/>
      </c>
      <c r="F34" s="122">
        <f>IF($A34="","",F33+D34)</f>
        <v/>
      </c>
    </row>
    <row r="35" ht="16.5" customHeight="1" s="80">
      <c r="A35" s="133">
        <f>IF($A34="","",IF($A34+1&gt;RaporTarihi,"",$A34+1))</f>
        <v/>
      </c>
      <c r="B35" s="118">
        <f>IF($A35="","",SUMIFS(GELIR_GIDER_KAYIT!$Z$6:$Z$5000,GELIR_GIDER_KAYIT!$B$6:$B$5000,$A35,GELIR_GIDER_KAYIT!$Z$6:$Z$5000,"&gt;0"))</f>
        <v/>
      </c>
      <c r="C35" s="118">
        <f>IF($A35="","",-SUMIFS(GELIR_GIDER_KAYIT!$Z$6:$Z$5000,GELIR_GIDER_KAYIT!$B$6:$B$5000,$A35,GELIR_GIDER_KAYIT!$Z$6:$Z$5000,"&lt;0"))</f>
        <v/>
      </c>
      <c r="D35" s="122">
        <f>IF($A35="","",B35-C35)</f>
        <v/>
      </c>
      <c r="E35" s="122">
        <f>IF($A35="","",SUMIFS(GELIR_GIDER_KAYIT!$AA$6:$AA$5000,GELIR_GIDER_KAYIT!$B$6:$B$5000,$A35))</f>
        <v/>
      </c>
      <c r="F35" s="122">
        <f>IF($A35="","",F34+D35)</f>
        <v/>
      </c>
    </row>
    <row r="36" ht="16.5" customHeight="1" s="80">
      <c r="A36" s="133">
        <f>IF($A35="","",IF($A35+1&gt;RaporTarihi,"",$A35+1))</f>
        <v/>
      </c>
      <c r="B36" s="118">
        <f>IF($A36="","",SUMIFS(GELIR_GIDER_KAYIT!$Z$6:$Z$5000,GELIR_GIDER_KAYIT!$B$6:$B$5000,$A36,GELIR_GIDER_KAYIT!$Z$6:$Z$5000,"&gt;0"))</f>
        <v/>
      </c>
      <c r="C36" s="118">
        <f>IF($A36="","",-SUMIFS(GELIR_GIDER_KAYIT!$Z$6:$Z$5000,GELIR_GIDER_KAYIT!$B$6:$B$5000,$A36,GELIR_GIDER_KAYIT!$Z$6:$Z$5000,"&lt;0"))</f>
        <v/>
      </c>
      <c r="D36" s="122">
        <f>IF($A36="","",B36-C36)</f>
        <v/>
      </c>
      <c r="E36" s="122">
        <f>IF($A36="","",SUMIFS(GELIR_GIDER_KAYIT!$AA$6:$AA$5000,GELIR_GIDER_KAYIT!$B$6:$B$5000,$A36))</f>
        <v/>
      </c>
      <c r="F36" s="122">
        <f>IF($A36="","",F35+D36)</f>
        <v/>
      </c>
    </row>
    <row r="37" ht="16.5" customHeight="1" s="80">
      <c r="A37" s="133">
        <f>IF($A36="","",IF($A36+1&gt;RaporTarihi,"",$A36+1))</f>
        <v/>
      </c>
      <c r="B37" s="118">
        <f>IF($A37="","",SUMIFS(GELIR_GIDER_KAYIT!$Z$6:$Z$5000,GELIR_GIDER_KAYIT!$B$6:$B$5000,$A37,GELIR_GIDER_KAYIT!$Z$6:$Z$5000,"&gt;0"))</f>
        <v/>
      </c>
      <c r="C37" s="118">
        <f>IF($A37="","",-SUMIFS(GELIR_GIDER_KAYIT!$Z$6:$Z$5000,GELIR_GIDER_KAYIT!$B$6:$B$5000,$A37,GELIR_GIDER_KAYIT!$Z$6:$Z$5000,"&lt;0"))</f>
        <v/>
      </c>
      <c r="D37" s="122">
        <f>IF($A37="","",B37-C37)</f>
        <v/>
      </c>
      <c r="E37" s="122">
        <f>IF($A37="","",SUMIFS(GELIR_GIDER_KAYIT!$AA$6:$AA$5000,GELIR_GIDER_KAYIT!$B$6:$B$5000,$A37))</f>
        <v/>
      </c>
      <c r="F37" s="122">
        <f>IF($A37="","",F36+D37)</f>
        <v/>
      </c>
    </row>
    <row r="38" ht="16.5" customHeight="1" s="80">
      <c r="A38" s="133">
        <f>IF($A37="","",IF($A37+1&gt;RaporTarihi,"",$A37+1))</f>
        <v/>
      </c>
      <c r="B38" s="118">
        <f>IF($A38="","",SUMIFS(GELIR_GIDER_KAYIT!$Z$6:$Z$5000,GELIR_GIDER_KAYIT!$B$6:$B$5000,$A38,GELIR_GIDER_KAYIT!$Z$6:$Z$5000,"&gt;0"))</f>
        <v/>
      </c>
      <c r="C38" s="118">
        <f>IF($A38="","",-SUMIFS(GELIR_GIDER_KAYIT!$Z$6:$Z$5000,GELIR_GIDER_KAYIT!$B$6:$B$5000,$A38,GELIR_GIDER_KAYIT!$Z$6:$Z$5000,"&lt;0"))</f>
        <v/>
      </c>
      <c r="D38" s="122">
        <f>IF($A38="","",B38-C38)</f>
        <v/>
      </c>
      <c r="E38" s="122">
        <f>IF($A38="","",SUMIFS(GELIR_GIDER_KAYIT!$AA$6:$AA$5000,GELIR_GIDER_KAYIT!$B$6:$B$5000,$A38))</f>
        <v/>
      </c>
      <c r="F38" s="122">
        <f>IF($A38="","",F37+D38)</f>
        <v/>
      </c>
    </row>
    <row r="39" ht="16.5" customHeight="1" s="80">
      <c r="A39" s="133">
        <f>IF($A38="","",IF($A38+1&gt;RaporTarihi,"",$A38+1))</f>
        <v/>
      </c>
      <c r="B39" s="118">
        <f>IF($A39="","",SUMIFS(GELIR_GIDER_KAYIT!$Z$6:$Z$5000,GELIR_GIDER_KAYIT!$B$6:$B$5000,$A39,GELIR_GIDER_KAYIT!$Z$6:$Z$5000,"&gt;0"))</f>
        <v/>
      </c>
      <c r="C39" s="118">
        <f>IF($A39="","",-SUMIFS(GELIR_GIDER_KAYIT!$Z$6:$Z$5000,GELIR_GIDER_KAYIT!$B$6:$B$5000,$A39,GELIR_GIDER_KAYIT!$Z$6:$Z$5000,"&lt;0"))</f>
        <v/>
      </c>
      <c r="D39" s="122">
        <f>IF($A39="","",B39-C39)</f>
        <v/>
      </c>
      <c r="E39" s="122">
        <f>IF($A39="","",SUMIFS(GELIR_GIDER_KAYIT!$AA$6:$AA$5000,GELIR_GIDER_KAYIT!$B$6:$B$5000,$A39))</f>
        <v/>
      </c>
      <c r="F39" s="122">
        <f>IF($A39="","",F38+D39)</f>
        <v/>
      </c>
    </row>
    <row r="40" ht="16.5" customHeight="1" s="80">
      <c r="A40" s="133">
        <f>IF($A39="","",IF($A39+1&gt;RaporTarihi,"",$A39+1))</f>
        <v/>
      </c>
      <c r="B40" s="118">
        <f>IF($A40="","",SUMIFS(GELIR_GIDER_KAYIT!$Z$6:$Z$5000,GELIR_GIDER_KAYIT!$B$6:$B$5000,$A40,GELIR_GIDER_KAYIT!$Z$6:$Z$5000,"&gt;0"))</f>
        <v/>
      </c>
      <c r="C40" s="118">
        <f>IF($A40="","",-SUMIFS(GELIR_GIDER_KAYIT!$Z$6:$Z$5000,GELIR_GIDER_KAYIT!$B$6:$B$5000,$A40,GELIR_GIDER_KAYIT!$Z$6:$Z$5000,"&lt;0"))</f>
        <v/>
      </c>
      <c r="D40" s="122">
        <f>IF($A40="","",B40-C40)</f>
        <v/>
      </c>
      <c r="E40" s="122">
        <f>IF($A40="","",SUMIFS(GELIR_GIDER_KAYIT!$AA$6:$AA$5000,GELIR_GIDER_KAYIT!$B$6:$B$5000,$A40))</f>
        <v/>
      </c>
      <c r="F40" s="122">
        <f>IF($A40="","",F39+D40)</f>
        <v/>
      </c>
    </row>
    <row r="41" ht="16.5" customHeight="1" s="80">
      <c r="A41" s="133">
        <f>IF($A40="","",IF($A40+1&gt;RaporTarihi,"",$A40+1))</f>
        <v/>
      </c>
      <c r="B41" s="118">
        <f>IF($A41="","",SUMIFS(GELIR_GIDER_KAYIT!$Z$6:$Z$5000,GELIR_GIDER_KAYIT!$B$6:$B$5000,$A41,GELIR_GIDER_KAYIT!$Z$6:$Z$5000,"&gt;0"))</f>
        <v/>
      </c>
      <c r="C41" s="118">
        <f>IF($A41="","",-SUMIFS(GELIR_GIDER_KAYIT!$Z$6:$Z$5000,GELIR_GIDER_KAYIT!$B$6:$B$5000,$A41,GELIR_GIDER_KAYIT!$Z$6:$Z$5000,"&lt;0"))</f>
        <v/>
      </c>
      <c r="D41" s="122">
        <f>IF($A41="","",B41-C41)</f>
        <v/>
      </c>
      <c r="E41" s="122">
        <f>IF($A41="","",SUMIFS(GELIR_GIDER_KAYIT!$AA$6:$AA$5000,GELIR_GIDER_KAYIT!$B$6:$B$5000,$A41))</f>
        <v/>
      </c>
      <c r="F41" s="122">
        <f>IF($A41="","",F40+D41)</f>
        <v/>
      </c>
    </row>
    <row r="42" ht="16.5" customHeight="1" s="80">
      <c r="A42" s="133">
        <f>IF($A41="","",IF($A41+1&gt;RaporTarihi,"",$A41+1))</f>
        <v/>
      </c>
      <c r="B42" s="118">
        <f>IF($A42="","",SUMIFS(GELIR_GIDER_KAYIT!$Z$6:$Z$5000,GELIR_GIDER_KAYIT!$B$6:$B$5000,$A42,GELIR_GIDER_KAYIT!$Z$6:$Z$5000,"&gt;0"))</f>
        <v/>
      </c>
      <c r="C42" s="118">
        <f>IF($A42="","",-SUMIFS(GELIR_GIDER_KAYIT!$Z$6:$Z$5000,GELIR_GIDER_KAYIT!$B$6:$B$5000,$A42,GELIR_GIDER_KAYIT!$Z$6:$Z$5000,"&lt;0"))</f>
        <v/>
      </c>
      <c r="D42" s="122">
        <f>IF($A42="","",B42-C42)</f>
        <v/>
      </c>
      <c r="E42" s="122">
        <f>IF($A42="","",SUMIFS(GELIR_GIDER_KAYIT!$AA$6:$AA$5000,GELIR_GIDER_KAYIT!$B$6:$B$5000,$A42))</f>
        <v/>
      </c>
      <c r="F42" s="122">
        <f>IF($A42="","",F41+D42)</f>
        <v/>
      </c>
    </row>
    <row r="43" ht="16.5" customHeight="1" s="80">
      <c r="A43" s="133">
        <f>IF($A42="","",IF($A42+1&gt;RaporTarihi,"",$A42+1))</f>
        <v/>
      </c>
      <c r="B43" s="118">
        <f>IF($A43="","",SUMIFS(GELIR_GIDER_KAYIT!$Z$6:$Z$5000,GELIR_GIDER_KAYIT!$B$6:$B$5000,$A43,GELIR_GIDER_KAYIT!$Z$6:$Z$5000,"&gt;0"))</f>
        <v/>
      </c>
      <c r="C43" s="118">
        <f>IF($A43="","",-SUMIFS(GELIR_GIDER_KAYIT!$Z$6:$Z$5000,GELIR_GIDER_KAYIT!$B$6:$B$5000,$A43,GELIR_GIDER_KAYIT!$Z$6:$Z$5000,"&lt;0"))</f>
        <v/>
      </c>
      <c r="D43" s="122">
        <f>IF($A43="","",B43-C43)</f>
        <v/>
      </c>
      <c r="E43" s="122">
        <f>IF($A43="","",SUMIFS(GELIR_GIDER_KAYIT!$AA$6:$AA$5000,GELIR_GIDER_KAYIT!$B$6:$B$5000,$A43))</f>
        <v/>
      </c>
      <c r="F43" s="122">
        <f>IF($A43="","",F42+D43)</f>
        <v/>
      </c>
    </row>
    <row r="44" ht="16.5" customHeight="1" s="80">
      <c r="A44" s="133">
        <f>IF($A43="","",IF($A43+1&gt;RaporTarihi,"",$A43+1))</f>
        <v/>
      </c>
      <c r="B44" s="118">
        <f>IF($A44="","",SUMIFS(GELIR_GIDER_KAYIT!$Z$6:$Z$5000,GELIR_GIDER_KAYIT!$B$6:$B$5000,$A44,GELIR_GIDER_KAYIT!$Z$6:$Z$5000,"&gt;0"))</f>
        <v/>
      </c>
      <c r="C44" s="118">
        <f>IF($A44="","",-SUMIFS(GELIR_GIDER_KAYIT!$Z$6:$Z$5000,GELIR_GIDER_KAYIT!$B$6:$B$5000,$A44,GELIR_GIDER_KAYIT!$Z$6:$Z$5000,"&lt;0"))</f>
        <v/>
      </c>
      <c r="D44" s="122">
        <f>IF($A44="","",B44-C44)</f>
        <v/>
      </c>
      <c r="E44" s="122">
        <f>IF($A44="","",SUMIFS(GELIR_GIDER_KAYIT!$AA$6:$AA$5000,GELIR_GIDER_KAYIT!$B$6:$B$5000,$A44))</f>
        <v/>
      </c>
      <c r="F44" s="122">
        <f>IF($A44="","",F43+D44)</f>
        <v/>
      </c>
    </row>
    <row r="45" ht="16.5" customHeight="1" s="80">
      <c r="A45" s="133">
        <f>IF($A44="","",IF($A44+1&gt;RaporTarihi,"",$A44+1))</f>
        <v/>
      </c>
      <c r="B45" s="118">
        <f>IF($A45="","",SUMIFS(GELIR_GIDER_KAYIT!$Z$6:$Z$5000,GELIR_GIDER_KAYIT!$B$6:$B$5000,$A45,GELIR_GIDER_KAYIT!$Z$6:$Z$5000,"&gt;0"))</f>
        <v/>
      </c>
      <c r="C45" s="118">
        <f>IF($A45="","",-SUMIFS(GELIR_GIDER_KAYIT!$Z$6:$Z$5000,GELIR_GIDER_KAYIT!$B$6:$B$5000,$A45,GELIR_GIDER_KAYIT!$Z$6:$Z$5000,"&lt;0"))</f>
        <v/>
      </c>
      <c r="D45" s="122">
        <f>IF($A45="","",B45-C45)</f>
        <v/>
      </c>
      <c r="E45" s="122">
        <f>IF($A45="","",SUMIFS(GELIR_GIDER_KAYIT!$AA$6:$AA$5000,GELIR_GIDER_KAYIT!$B$6:$B$5000,$A45))</f>
        <v/>
      </c>
      <c r="F45" s="122">
        <f>IF($A45="","",F44+D45)</f>
        <v/>
      </c>
    </row>
    <row r="46" ht="16.5" customHeight="1" s="80">
      <c r="A46" s="133">
        <f>IF($A45="","",IF($A45+1&gt;RaporTarihi,"",$A45+1))</f>
        <v/>
      </c>
      <c r="B46" s="118">
        <f>IF($A46="","",SUMIFS(GELIR_GIDER_KAYIT!$Z$6:$Z$5000,GELIR_GIDER_KAYIT!$B$6:$B$5000,$A46,GELIR_GIDER_KAYIT!$Z$6:$Z$5000,"&gt;0"))</f>
        <v/>
      </c>
      <c r="C46" s="118">
        <f>IF($A46="","",-SUMIFS(GELIR_GIDER_KAYIT!$Z$6:$Z$5000,GELIR_GIDER_KAYIT!$B$6:$B$5000,$A46,GELIR_GIDER_KAYIT!$Z$6:$Z$5000,"&lt;0"))</f>
        <v/>
      </c>
      <c r="D46" s="122">
        <f>IF($A46="","",B46-C46)</f>
        <v/>
      </c>
      <c r="E46" s="122">
        <f>IF($A46="","",SUMIFS(GELIR_GIDER_KAYIT!$AA$6:$AA$5000,GELIR_GIDER_KAYIT!$B$6:$B$5000,$A46))</f>
        <v/>
      </c>
      <c r="F46" s="122">
        <f>IF($A46="","",F45+D46)</f>
        <v/>
      </c>
    </row>
    <row r="47" ht="16.5" customHeight="1" s="80">
      <c r="A47" s="133">
        <f>IF($A46="","",IF($A46+1&gt;RaporTarihi,"",$A46+1))</f>
        <v/>
      </c>
      <c r="B47" s="118">
        <f>IF($A47="","",SUMIFS(GELIR_GIDER_KAYIT!$Z$6:$Z$5000,GELIR_GIDER_KAYIT!$B$6:$B$5000,$A47,GELIR_GIDER_KAYIT!$Z$6:$Z$5000,"&gt;0"))</f>
        <v/>
      </c>
      <c r="C47" s="118">
        <f>IF($A47="","",-SUMIFS(GELIR_GIDER_KAYIT!$Z$6:$Z$5000,GELIR_GIDER_KAYIT!$B$6:$B$5000,$A47,GELIR_GIDER_KAYIT!$Z$6:$Z$5000,"&lt;0"))</f>
        <v/>
      </c>
      <c r="D47" s="122">
        <f>IF($A47="","",B47-C47)</f>
        <v/>
      </c>
      <c r="E47" s="122">
        <f>IF($A47="","",SUMIFS(GELIR_GIDER_KAYIT!$AA$6:$AA$5000,GELIR_GIDER_KAYIT!$B$6:$B$5000,$A47))</f>
        <v/>
      </c>
      <c r="F47" s="122">
        <f>IF($A47="","",F46+D47)</f>
        <v/>
      </c>
    </row>
    <row r="48" ht="16.5" customHeight="1" s="80">
      <c r="A48" s="133">
        <f>IF($A47="","",IF($A47+1&gt;RaporTarihi,"",$A47+1))</f>
        <v/>
      </c>
      <c r="B48" s="118">
        <f>IF($A48="","",SUMIFS(GELIR_GIDER_KAYIT!$Z$6:$Z$5000,GELIR_GIDER_KAYIT!$B$6:$B$5000,$A48,GELIR_GIDER_KAYIT!$Z$6:$Z$5000,"&gt;0"))</f>
        <v/>
      </c>
      <c r="C48" s="118">
        <f>IF($A48="","",-SUMIFS(GELIR_GIDER_KAYIT!$Z$6:$Z$5000,GELIR_GIDER_KAYIT!$B$6:$B$5000,$A48,GELIR_GIDER_KAYIT!$Z$6:$Z$5000,"&lt;0"))</f>
        <v/>
      </c>
      <c r="D48" s="122">
        <f>IF($A48="","",B48-C48)</f>
        <v/>
      </c>
      <c r="E48" s="122">
        <f>IF($A48="","",SUMIFS(GELIR_GIDER_KAYIT!$AA$6:$AA$5000,GELIR_GIDER_KAYIT!$B$6:$B$5000,$A48))</f>
        <v/>
      </c>
      <c r="F48" s="122">
        <f>IF($A48="","",F47+D48)</f>
        <v/>
      </c>
    </row>
    <row r="49" ht="16.5" customHeight="1" s="80">
      <c r="A49" s="133">
        <f>IF($A48="","",IF($A48+1&gt;RaporTarihi,"",$A48+1))</f>
        <v/>
      </c>
      <c r="B49" s="118">
        <f>IF($A49="","",SUMIFS(GELIR_GIDER_KAYIT!$Z$6:$Z$5000,GELIR_GIDER_KAYIT!$B$6:$B$5000,$A49,GELIR_GIDER_KAYIT!$Z$6:$Z$5000,"&gt;0"))</f>
        <v/>
      </c>
      <c r="C49" s="118">
        <f>IF($A49="","",-SUMIFS(GELIR_GIDER_KAYIT!$Z$6:$Z$5000,GELIR_GIDER_KAYIT!$B$6:$B$5000,$A49,GELIR_GIDER_KAYIT!$Z$6:$Z$5000,"&lt;0"))</f>
        <v/>
      </c>
      <c r="D49" s="122">
        <f>IF($A49="","",B49-C49)</f>
        <v/>
      </c>
      <c r="E49" s="122">
        <f>IF($A49="","",SUMIFS(GELIR_GIDER_KAYIT!$AA$6:$AA$5000,GELIR_GIDER_KAYIT!$B$6:$B$5000,$A49))</f>
        <v/>
      </c>
      <c r="F49" s="122">
        <f>IF($A49="","",F48+D49)</f>
        <v/>
      </c>
    </row>
    <row r="50" ht="16.5" customHeight="1" s="80">
      <c r="A50" s="133">
        <f>IF($A49="","",IF($A49+1&gt;RaporTarihi,"",$A49+1))</f>
        <v/>
      </c>
      <c r="B50" s="118">
        <f>IF($A50="","",SUMIFS(GELIR_GIDER_KAYIT!$Z$6:$Z$5000,GELIR_GIDER_KAYIT!$B$6:$B$5000,$A50,GELIR_GIDER_KAYIT!$Z$6:$Z$5000,"&gt;0"))</f>
        <v/>
      </c>
      <c r="C50" s="118">
        <f>IF($A50="","",-SUMIFS(GELIR_GIDER_KAYIT!$Z$6:$Z$5000,GELIR_GIDER_KAYIT!$B$6:$B$5000,$A50,GELIR_GIDER_KAYIT!$Z$6:$Z$5000,"&lt;0"))</f>
        <v/>
      </c>
      <c r="D50" s="122">
        <f>IF($A50="","",B50-C50)</f>
        <v/>
      </c>
      <c r="E50" s="122">
        <f>IF($A50="","",SUMIFS(GELIR_GIDER_KAYIT!$AA$6:$AA$5000,GELIR_GIDER_KAYIT!$B$6:$B$5000,$A50))</f>
        <v/>
      </c>
      <c r="F50" s="122">
        <f>IF($A50="","",F49+D50)</f>
        <v/>
      </c>
    </row>
    <row r="51" ht="16.5" customHeight="1" s="80">
      <c r="A51" s="133">
        <f>IF($A50="","",IF($A50+1&gt;RaporTarihi,"",$A50+1))</f>
        <v/>
      </c>
      <c r="B51" s="118">
        <f>IF($A51="","",SUMIFS(GELIR_GIDER_KAYIT!$Z$6:$Z$5000,GELIR_GIDER_KAYIT!$B$6:$B$5000,$A51,GELIR_GIDER_KAYIT!$Z$6:$Z$5000,"&gt;0"))</f>
        <v/>
      </c>
      <c r="C51" s="118">
        <f>IF($A51="","",-SUMIFS(GELIR_GIDER_KAYIT!$Z$6:$Z$5000,GELIR_GIDER_KAYIT!$B$6:$B$5000,$A51,GELIR_GIDER_KAYIT!$Z$6:$Z$5000,"&lt;0"))</f>
        <v/>
      </c>
      <c r="D51" s="122">
        <f>IF($A51="","",B51-C51)</f>
        <v/>
      </c>
      <c r="E51" s="122">
        <f>IF($A51="","",SUMIFS(GELIR_GIDER_KAYIT!$AA$6:$AA$5000,GELIR_GIDER_KAYIT!$B$6:$B$5000,$A51))</f>
        <v/>
      </c>
      <c r="F51" s="122">
        <f>IF($A51="","",F50+D51)</f>
        <v/>
      </c>
    </row>
    <row r="52" ht="16.5" customHeight="1" s="80">
      <c r="A52" s="133">
        <f>IF($A51="","",IF($A51+1&gt;RaporTarihi,"",$A51+1))</f>
        <v/>
      </c>
      <c r="B52" s="118">
        <f>IF($A52="","",SUMIFS(GELIR_GIDER_KAYIT!$Z$6:$Z$5000,GELIR_GIDER_KAYIT!$B$6:$B$5000,$A52,GELIR_GIDER_KAYIT!$Z$6:$Z$5000,"&gt;0"))</f>
        <v/>
      </c>
      <c r="C52" s="118">
        <f>IF($A52="","",-SUMIFS(GELIR_GIDER_KAYIT!$Z$6:$Z$5000,GELIR_GIDER_KAYIT!$B$6:$B$5000,$A52,GELIR_GIDER_KAYIT!$Z$6:$Z$5000,"&lt;0"))</f>
        <v/>
      </c>
      <c r="D52" s="122">
        <f>IF($A52="","",B52-C52)</f>
        <v/>
      </c>
      <c r="E52" s="122">
        <f>IF($A52="","",SUMIFS(GELIR_GIDER_KAYIT!$AA$6:$AA$5000,GELIR_GIDER_KAYIT!$B$6:$B$5000,$A52))</f>
        <v/>
      </c>
      <c r="F52" s="122">
        <f>IF($A52="","",F51+D52)</f>
        <v/>
      </c>
    </row>
    <row r="53" ht="16.5" customHeight="1" s="80">
      <c r="A53" s="133">
        <f>IF($A52="","",IF($A52+1&gt;RaporTarihi,"",$A52+1))</f>
        <v/>
      </c>
      <c r="B53" s="118">
        <f>IF($A53="","",SUMIFS(GELIR_GIDER_KAYIT!$Z$6:$Z$5000,GELIR_GIDER_KAYIT!$B$6:$B$5000,$A53,GELIR_GIDER_KAYIT!$Z$6:$Z$5000,"&gt;0"))</f>
        <v/>
      </c>
      <c r="C53" s="118">
        <f>IF($A53="","",-SUMIFS(GELIR_GIDER_KAYIT!$Z$6:$Z$5000,GELIR_GIDER_KAYIT!$B$6:$B$5000,$A53,GELIR_GIDER_KAYIT!$Z$6:$Z$5000,"&lt;0"))</f>
        <v/>
      </c>
      <c r="D53" s="122">
        <f>IF($A53="","",B53-C53)</f>
        <v/>
      </c>
      <c r="E53" s="122">
        <f>IF($A53="","",SUMIFS(GELIR_GIDER_KAYIT!$AA$6:$AA$5000,GELIR_GIDER_KAYIT!$B$6:$B$5000,$A53))</f>
        <v/>
      </c>
      <c r="F53" s="122">
        <f>IF($A53="","",F52+D53)</f>
        <v/>
      </c>
    </row>
    <row r="54" ht="16.5" customHeight="1" s="80">
      <c r="A54" s="133">
        <f>IF($A53="","",IF($A53+1&gt;RaporTarihi,"",$A53+1))</f>
        <v/>
      </c>
      <c r="B54" s="118">
        <f>IF($A54="","",SUMIFS(GELIR_GIDER_KAYIT!$Z$6:$Z$5000,GELIR_GIDER_KAYIT!$B$6:$B$5000,$A54,GELIR_GIDER_KAYIT!$Z$6:$Z$5000,"&gt;0"))</f>
        <v/>
      </c>
      <c r="C54" s="118">
        <f>IF($A54="","",-SUMIFS(GELIR_GIDER_KAYIT!$Z$6:$Z$5000,GELIR_GIDER_KAYIT!$B$6:$B$5000,$A54,GELIR_GIDER_KAYIT!$Z$6:$Z$5000,"&lt;0"))</f>
        <v/>
      </c>
      <c r="D54" s="122">
        <f>IF($A54="","",B54-C54)</f>
        <v/>
      </c>
      <c r="E54" s="122">
        <f>IF($A54="","",SUMIFS(GELIR_GIDER_KAYIT!$AA$6:$AA$5000,GELIR_GIDER_KAYIT!$B$6:$B$5000,$A54))</f>
        <v/>
      </c>
      <c r="F54" s="122">
        <f>IF($A54="","",F53+D54)</f>
        <v/>
      </c>
    </row>
    <row r="55" ht="16.5" customHeight="1" s="80">
      <c r="A55" s="133">
        <f>IF($A54="","",IF($A54+1&gt;RaporTarihi,"",$A54+1))</f>
        <v/>
      </c>
      <c r="B55" s="118">
        <f>IF($A55="","",SUMIFS(GELIR_GIDER_KAYIT!$Z$6:$Z$5000,GELIR_GIDER_KAYIT!$B$6:$B$5000,$A55,GELIR_GIDER_KAYIT!$Z$6:$Z$5000,"&gt;0"))</f>
        <v/>
      </c>
      <c r="C55" s="118">
        <f>IF($A55="","",-SUMIFS(GELIR_GIDER_KAYIT!$Z$6:$Z$5000,GELIR_GIDER_KAYIT!$B$6:$B$5000,$A55,GELIR_GIDER_KAYIT!$Z$6:$Z$5000,"&lt;0"))</f>
        <v/>
      </c>
      <c r="D55" s="122">
        <f>IF($A55="","",B55-C55)</f>
        <v/>
      </c>
      <c r="E55" s="122">
        <f>IF($A55="","",SUMIFS(GELIR_GIDER_KAYIT!$AA$6:$AA$5000,GELIR_GIDER_KAYIT!$B$6:$B$5000,$A55))</f>
        <v/>
      </c>
      <c r="F55" s="122">
        <f>IF($A55="","",F54+D55)</f>
        <v/>
      </c>
    </row>
    <row r="56" ht="16.5" customHeight="1" s="80">
      <c r="A56" s="133">
        <f>IF($A55="","",IF($A55+1&gt;RaporTarihi,"",$A55+1))</f>
        <v/>
      </c>
      <c r="B56" s="118">
        <f>IF($A56="","",SUMIFS(GELIR_GIDER_KAYIT!$Z$6:$Z$5000,GELIR_GIDER_KAYIT!$B$6:$B$5000,$A56,GELIR_GIDER_KAYIT!$Z$6:$Z$5000,"&gt;0"))</f>
        <v/>
      </c>
      <c r="C56" s="118">
        <f>IF($A56="","",-SUMIFS(GELIR_GIDER_KAYIT!$Z$6:$Z$5000,GELIR_GIDER_KAYIT!$B$6:$B$5000,$A56,GELIR_GIDER_KAYIT!$Z$6:$Z$5000,"&lt;0"))</f>
        <v/>
      </c>
      <c r="D56" s="122">
        <f>IF($A56="","",B56-C56)</f>
        <v/>
      </c>
      <c r="E56" s="122">
        <f>IF($A56="","",SUMIFS(GELIR_GIDER_KAYIT!$AA$6:$AA$5000,GELIR_GIDER_KAYIT!$B$6:$B$5000,$A56))</f>
        <v/>
      </c>
      <c r="F56" s="122">
        <f>IF($A56="","",F55+D56)</f>
        <v/>
      </c>
    </row>
    <row r="57" ht="16.5" customHeight="1" s="80">
      <c r="A57" s="133">
        <f>IF($A56="","",IF($A56+1&gt;RaporTarihi,"",$A56+1))</f>
        <v/>
      </c>
      <c r="B57" s="118">
        <f>IF($A57="","",SUMIFS(GELIR_GIDER_KAYIT!$Z$6:$Z$5000,GELIR_GIDER_KAYIT!$B$6:$B$5000,$A57,GELIR_GIDER_KAYIT!$Z$6:$Z$5000,"&gt;0"))</f>
        <v/>
      </c>
      <c r="C57" s="118">
        <f>IF($A57="","",-SUMIFS(GELIR_GIDER_KAYIT!$Z$6:$Z$5000,GELIR_GIDER_KAYIT!$B$6:$B$5000,$A57,GELIR_GIDER_KAYIT!$Z$6:$Z$5000,"&lt;0"))</f>
        <v/>
      </c>
      <c r="D57" s="122">
        <f>IF($A57="","",B57-C57)</f>
        <v/>
      </c>
      <c r="E57" s="122">
        <f>IF($A57="","",SUMIFS(GELIR_GIDER_KAYIT!$AA$6:$AA$5000,GELIR_GIDER_KAYIT!$B$6:$B$5000,$A57))</f>
        <v/>
      </c>
      <c r="F57" s="122">
        <f>IF($A57="","",F56+D57)</f>
        <v/>
      </c>
    </row>
    <row r="58" ht="16.5" customHeight="1" s="80">
      <c r="A58" s="133">
        <f>IF($A57="","",IF($A57+1&gt;RaporTarihi,"",$A57+1))</f>
        <v/>
      </c>
      <c r="B58" s="118">
        <f>IF($A58="","",SUMIFS(GELIR_GIDER_KAYIT!$Z$6:$Z$5000,GELIR_GIDER_KAYIT!$B$6:$B$5000,$A58,GELIR_GIDER_KAYIT!$Z$6:$Z$5000,"&gt;0"))</f>
        <v/>
      </c>
      <c r="C58" s="118">
        <f>IF($A58="","",-SUMIFS(GELIR_GIDER_KAYIT!$Z$6:$Z$5000,GELIR_GIDER_KAYIT!$B$6:$B$5000,$A58,GELIR_GIDER_KAYIT!$Z$6:$Z$5000,"&lt;0"))</f>
        <v/>
      </c>
      <c r="D58" s="122">
        <f>IF($A58="","",B58-C58)</f>
        <v/>
      </c>
      <c r="E58" s="122">
        <f>IF($A58="","",SUMIFS(GELIR_GIDER_KAYIT!$AA$6:$AA$5000,GELIR_GIDER_KAYIT!$B$6:$B$5000,$A58))</f>
        <v/>
      </c>
      <c r="F58" s="122">
        <f>IF($A58="","",F57+D58)</f>
        <v/>
      </c>
    </row>
    <row r="59" ht="16.5" customHeight="1" s="80">
      <c r="A59" s="133">
        <f>IF($A58="","",IF($A58+1&gt;RaporTarihi,"",$A58+1))</f>
        <v/>
      </c>
      <c r="B59" s="118">
        <f>IF($A59="","",SUMIFS(GELIR_GIDER_KAYIT!$Z$6:$Z$5000,GELIR_GIDER_KAYIT!$B$6:$B$5000,$A59,GELIR_GIDER_KAYIT!$Z$6:$Z$5000,"&gt;0"))</f>
        <v/>
      </c>
      <c r="C59" s="118">
        <f>IF($A59="","",-SUMIFS(GELIR_GIDER_KAYIT!$Z$6:$Z$5000,GELIR_GIDER_KAYIT!$B$6:$B$5000,$A59,GELIR_GIDER_KAYIT!$Z$6:$Z$5000,"&lt;0"))</f>
        <v/>
      </c>
      <c r="D59" s="122">
        <f>IF($A59="","",B59-C59)</f>
        <v/>
      </c>
      <c r="E59" s="122">
        <f>IF($A59="","",SUMIFS(GELIR_GIDER_KAYIT!$AA$6:$AA$5000,GELIR_GIDER_KAYIT!$B$6:$B$5000,$A59))</f>
        <v/>
      </c>
      <c r="F59" s="122">
        <f>IF($A59="","",F58+D59)</f>
        <v/>
      </c>
    </row>
    <row r="60" ht="16.5" customHeight="1" s="80">
      <c r="A60" s="133">
        <f>IF($A59="","",IF($A59+1&gt;RaporTarihi,"",$A59+1))</f>
        <v/>
      </c>
      <c r="B60" s="118">
        <f>IF($A60="","",SUMIFS(GELIR_GIDER_KAYIT!$Z$6:$Z$5000,GELIR_GIDER_KAYIT!$B$6:$B$5000,$A60,GELIR_GIDER_KAYIT!$Z$6:$Z$5000,"&gt;0"))</f>
        <v/>
      </c>
      <c r="C60" s="118">
        <f>IF($A60="","",-SUMIFS(GELIR_GIDER_KAYIT!$Z$6:$Z$5000,GELIR_GIDER_KAYIT!$B$6:$B$5000,$A60,GELIR_GIDER_KAYIT!$Z$6:$Z$5000,"&lt;0"))</f>
        <v/>
      </c>
      <c r="D60" s="122">
        <f>IF($A60="","",B60-C60)</f>
        <v/>
      </c>
      <c r="E60" s="122">
        <f>IF($A60="","",SUMIFS(GELIR_GIDER_KAYIT!$AA$6:$AA$5000,GELIR_GIDER_KAYIT!$B$6:$B$5000,$A60))</f>
        <v/>
      </c>
      <c r="F60" s="122">
        <f>IF($A60="","",F59+D60)</f>
        <v/>
      </c>
    </row>
    <row r="61" ht="16.5" customHeight="1" s="80">
      <c r="A61" s="133">
        <f>IF($A60="","",IF($A60+1&gt;RaporTarihi,"",$A60+1))</f>
        <v/>
      </c>
      <c r="B61" s="118">
        <f>IF($A61="","",SUMIFS(GELIR_GIDER_KAYIT!$Z$6:$Z$5000,GELIR_GIDER_KAYIT!$B$6:$B$5000,$A61,GELIR_GIDER_KAYIT!$Z$6:$Z$5000,"&gt;0"))</f>
        <v/>
      </c>
      <c r="C61" s="118">
        <f>IF($A61="","",-SUMIFS(GELIR_GIDER_KAYIT!$Z$6:$Z$5000,GELIR_GIDER_KAYIT!$B$6:$B$5000,$A61,GELIR_GIDER_KAYIT!$Z$6:$Z$5000,"&lt;0"))</f>
        <v/>
      </c>
      <c r="D61" s="122">
        <f>IF($A61="","",B61-C61)</f>
        <v/>
      </c>
      <c r="E61" s="122">
        <f>IF($A61="","",SUMIFS(GELIR_GIDER_KAYIT!$AA$6:$AA$5000,GELIR_GIDER_KAYIT!$B$6:$B$5000,$A61))</f>
        <v/>
      </c>
      <c r="F61" s="122">
        <f>IF($A61="","",F60+D61)</f>
        <v/>
      </c>
    </row>
    <row r="62" ht="16.5" customHeight="1" s="80">
      <c r="A62" s="133">
        <f>IF($A61="","",IF($A61+1&gt;RaporTarihi,"",$A61+1))</f>
        <v/>
      </c>
      <c r="B62" s="118">
        <f>IF($A62="","",SUMIFS(GELIR_GIDER_KAYIT!$Z$6:$Z$5000,GELIR_GIDER_KAYIT!$B$6:$B$5000,$A62,GELIR_GIDER_KAYIT!$Z$6:$Z$5000,"&gt;0"))</f>
        <v/>
      </c>
      <c r="C62" s="118">
        <f>IF($A62="","",-SUMIFS(GELIR_GIDER_KAYIT!$Z$6:$Z$5000,GELIR_GIDER_KAYIT!$B$6:$B$5000,$A62,GELIR_GIDER_KAYIT!$Z$6:$Z$5000,"&lt;0"))</f>
        <v/>
      </c>
      <c r="D62" s="122">
        <f>IF($A62="","",B62-C62)</f>
        <v/>
      </c>
      <c r="E62" s="122">
        <f>IF($A62="","",SUMIFS(GELIR_GIDER_KAYIT!$AA$6:$AA$5000,GELIR_GIDER_KAYIT!$B$6:$B$5000,$A62))</f>
        <v/>
      </c>
      <c r="F62" s="122">
        <f>IF($A62="","",F61+D62)</f>
        <v/>
      </c>
    </row>
    <row r="63" ht="16.5" customHeight="1" s="80">
      <c r="A63" s="133">
        <f>IF($A62="","",IF($A62+1&gt;RaporTarihi,"",$A62+1))</f>
        <v/>
      </c>
      <c r="B63" s="118">
        <f>IF($A63="","",SUMIFS(GELIR_GIDER_KAYIT!$Z$6:$Z$5000,GELIR_GIDER_KAYIT!$B$6:$B$5000,$A63,GELIR_GIDER_KAYIT!$Z$6:$Z$5000,"&gt;0"))</f>
        <v/>
      </c>
      <c r="C63" s="118">
        <f>IF($A63="","",-SUMIFS(GELIR_GIDER_KAYIT!$Z$6:$Z$5000,GELIR_GIDER_KAYIT!$B$6:$B$5000,$A63,GELIR_GIDER_KAYIT!$Z$6:$Z$5000,"&lt;0"))</f>
        <v/>
      </c>
      <c r="D63" s="122">
        <f>IF($A63="","",B63-C63)</f>
        <v/>
      </c>
      <c r="E63" s="122">
        <f>IF($A63="","",SUMIFS(GELIR_GIDER_KAYIT!$AA$6:$AA$5000,GELIR_GIDER_KAYIT!$B$6:$B$5000,$A63))</f>
        <v/>
      </c>
      <c r="F63" s="122">
        <f>IF($A63="","",F62+D63)</f>
        <v/>
      </c>
    </row>
    <row r="64" ht="16.5" customHeight="1" s="80">
      <c r="A64" s="133">
        <f>IF($A63="","",IF($A63+1&gt;RaporTarihi,"",$A63+1))</f>
        <v/>
      </c>
      <c r="B64" s="118">
        <f>IF($A64="","",SUMIFS(GELIR_GIDER_KAYIT!$Z$6:$Z$5000,GELIR_GIDER_KAYIT!$B$6:$B$5000,$A64,GELIR_GIDER_KAYIT!$Z$6:$Z$5000,"&gt;0"))</f>
        <v/>
      </c>
      <c r="C64" s="118">
        <f>IF($A64="","",-SUMIFS(GELIR_GIDER_KAYIT!$Z$6:$Z$5000,GELIR_GIDER_KAYIT!$B$6:$B$5000,$A64,GELIR_GIDER_KAYIT!$Z$6:$Z$5000,"&lt;0"))</f>
        <v/>
      </c>
      <c r="D64" s="122">
        <f>IF($A64="","",B64-C64)</f>
        <v/>
      </c>
      <c r="E64" s="122">
        <f>IF($A64="","",SUMIFS(GELIR_GIDER_KAYIT!$AA$6:$AA$5000,GELIR_GIDER_KAYIT!$B$6:$B$5000,$A64))</f>
        <v/>
      </c>
      <c r="F64" s="122">
        <f>IF($A64="","",F63+D64)</f>
        <v/>
      </c>
    </row>
    <row r="65" ht="16.5" customHeight="1" s="80">
      <c r="A65" s="133">
        <f>IF($A64="","",IF($A64+1&gt;RaporTarihi,"",$A64+1))</f>
        <v/>
      </c>
      <c r="B65" s="118">
        <f>IF($A65="","",SUMIFS(GELIR_GIDER_KAYIT!$Z$6:$Z$5000,GELIR_GIDER_KAYIT!$B$6:$B$5000,$A65,GELIR_GIDER_KAYIT!$Z$6:$Z$5000,"&gt;0"))</f>
        <v/>
      </c>
      <c r="C65" s="118">
        <f>IF($A65="","",-SUMIFS(GELIR_GIDER_KAYIT!$Z$6:$Z$5000,GELIR_GIDER_KAYIT!$B$6:$B$5000,$A65,GELIR_GIDER_KAYIT!$Z$6:$Z$5000,"&lt;0"))</f>
        <v/>
      </c>
      <c r="D65" s="122">
        <f>IF($A65="","",B65-C65)</f>
        <v/>
      </c>
      <c r="E65" s="122">
        <f>IF($A65="","",SUMIFS(GELIR_GIDER_KAYIT!$AA$6:$AA$5000,GELIR_GIDER_KAYIT!$B$6:$B$5000,$A65))</f>
        <v/>
      </c>
      <c r="F65" s="122">
        <f>IF($A65="","",F64+D65)</f>
        <v/>
      </c>
    </row>
    <row r="66" ht="16.5" customHeight="1" s="80">
      <c r="A66" s="133">
        <f>IF($A65="","",IF($A65+1&gt;RaporTarihi,"",$A65+1))</f>
        <v/>
      </c>
      <c r="B66" s="118">
        <f>IF($A66="","",SUMIFS(GELIR_GIDER_KAYIT!$Z$6:$Z$5000,GELIR_GIDER_KAYIT!$B$6:$B$5000,$A66,GELIR_GIDER_KAYIT!$Z$6:$Z$5000,"&gt;0"))</f>
        <v/>
      </c>
      <c r="C66" s="118">
        <f>IF($A66="","",-SUMIFS(GELIR_GIDER_KAYIT!$Z$6:$Z$5000,GELIR_GIDER_KAYIT!$B$6:$B$5000,$A66,GELIR_GIDER_KAYIT!$Z$6:$Z$5000,"&lt;0"))</f>
        <v/>
      </c>
      <c r="D66" s="122">
        <f>IF($A66="","",B66-C66)</f>
        <v/>
      </c>
      <c r="E66" s="122">
        <f>IF($A66="","",SUMIFS(GELIR_GIDER_KAYIT!$AA$6:$AA$5000,GELIR_GIDER_KAYIT!$B$6:$B$5000,$A66))</f>
        <v/>
      </c>
      <c r="F66" s="122">
        <f>IF($A66="","",F65+D66)</f>
        <v/>
      </c>
    </row>
    <row r="67" ht="16.5" customHeight="1" s="80">
      <c r="A67" s="133">
        <f>IF($A66="","",IF($A66+1&gt;RaporTarihi,"",$A66+1))</f>
        <v/>
      </c>
      <c r="B67" s="118">
        <f>IF($A67="","",SUMIFS(GELIR_GIDER_KAYIT!$Z$6:$Z$5000,GELIR_GIDER_KAYIT!$B$6:$B$5000,$A67,GELIR_GIDER_KAYIT!$Z$6:$Z$5000,"&gt;0"))</f>
        <v/>
      </c>
      <c r="C67" s="118">
        <f>IF($A67="","",-SUMIFS(GELIR_GIDER_KAYIT!$Z$6:$Z$5000,GELIR_GIDER_KAYIT!$B$6:$B$5000,$A67,GELIR_GIDER_KAYIT!$Z$6:$Z$5000,"&lt;0"))</f>
        <v/>
      </c>
      <c r="D67" s="122">
        <f>IF($A67="","",B67-C67)</f>
        <v/>
      </c>
      <c r="E67" s="122">
        <f>IF($A67="","",SUMIFS(GELIR_GIDER_KAYIT!$AA$6:$AA$5000,GELIR_GIDER_KAYIT!$B$6:$B$5000,$A67))</f>
        <v/>
      </c>
      <c r="F67" s="122">
        <f>IF($A67="","",F66+D67)</f>
        <v/>
      </c>
    </row>
    <row r="68" ht="16.5" customHeight="1" s="80">
      <c r="A68" s="133">
        <f>IF($A67="","",IF($A67+1&gt;RaporTarihi,"",$A67+1))</f>
        <v/>
      </c>
      <c r="B68" s="118">
        <f>IF($A68="","",SUMIFS(GELIR_GIDER_KAYIT!$Z$6:$Z$5000,GELIR_GIDER_KAYIT!$B$6:$B$5000,$A68,GELIR_GIDER_KAYIT!$Z$6:$Z$5000,"&gt;0"))</f>
        <v/>
      </c>
      <c r="C68" s="118">
        <f>IF($A68="","",-SUMIFS(GELIR_GIDER_KAYIT!$Z$6:$Z$5000,GELIR_GIDER_KAYIT!$B$6:$B$5000,$A68,GELIR_GIDER_KAYIT!$Z$6:$Z$5000,"&lt;0"))</f>
        <v/>
      </c>
      <c r="D68" s="122">
        <f>IF($A68="","",B68-C68)</f>
        <v/>
      </c>
      <c r="E68" s="122">
        <f>IF($A68="","",SUMIFS(GELIR_GIDER_KAYIT!$AA$6:$AA$5000,GELIR_GIDER_KAYIT!$B$6:$B$5000,$A68))</f>
        <v/>
      </c>
      <c r="F68" s="122">
        <f>IF($A68="","",F67+D68)</f>
        <v/>
      </c>
    </row>
    <row r="69" ht="16.5" customHeight="1" s="80">
      <c r="A69" s="133">
        <f>IF($A68="","",IF($A68+1&gt;RaporTarihi,"",$A68+1))</f>
        <v/>
      </c>
      <c r="B69" s="118">
        <f>IF($A69="","",SUMIFS(GELIR_GIDER_KAYIT!$Z$6:$Z$5000,GELIR_GIDER_KAYIT!$B$6:$B$5000,$A69,GELIR_GIDER_KAYIT!$Z$6:$Z$5000,"&gt;0"))</f>
        <v/>
      </c>
      <c r="C69" s="118">
        <f>IF($A69="","",-SUMIFS(GELIR_GIDER_KAYIT!$Z$6:$Z$5000,GELIR_GIDER_KAYIT!$B$6:$B$5000,$A69,GELIR_GIDER_KAYIT!$Z$6:$Z$5000,"&lt;0"))</f>
        <v/>
      </c>
      <c r="D69" s="122">
        <f>IF($A69="","",B69-C69)</f>
        <v/>
      </c>
      <c r="E69" s="122">
        <f>IF($A69="","",SUMIFS(GELIR_GIDER_KAYIT!$AA$6:$AA$5000,GELIR_GIDER_KAYIT!$B$6:$B$5000,$A69))</f>
        <v/>
      </c>
      <c r="F69" s="122">
        <f>IF($A69="","",F68+D69)</f>
        <v/>
      </c>
    </row>
    <row r="70" ht="16.5" customHeight="1" s="80">
      <c r="A70" s="133">
        <f>IF($A69="","",IF($A69+1&gt;RaporTarihi,"",$A69+1))</f>
        <v/>
      </c>
      <c r="B70" s="118">
        <f>IF($A70="","",SUMIFS(GELIR_GIDER_KAYIT!$Z$6:$Z$5000,GELIR_GIDER_KAYIT!$B$6:$B$5000,$A70,GELIR_GIDER_KAYIT!$Z$6:$Z$5000,"&gt;0"))</f>
        <v/>
      </c>
      <c r="C70" s="118">
        <f>IF($A70="","",-SUMIFS(GELIR_GIDER_KAYIT!$Z$6:$Z$5000,GELIR_GIDER_KAYIT!$B$6:$B$5000,$A70,GELIR_GIDER_KAYIT!$Z$6:$Z$5000,"&lt;0"))</f>
        <v/>
      </c>
      <c r="D70" s="122">
        <f>IF($A70="","",B70-C70)</f>
        <v/>
      </c>
      <c r="E70" s="122">
        <f>IF($A70="","",SUMIFS(GELIR_GIDER_KAYIT!$AA$6:$AA$5000,GELIR_GIDER_KAYIT!$B$6:$B$5000,$A70))</f>
        <v/>
      </c>
      <c r="F70" s="122">
        <f>IF($A70="","",F69+D70)</f>
        <v/>
      </c>
    </row>
    <row r="71" ht="16.5" customHeight="1" s="80">
      <c r="A71" s="133">
        <f>IF($A70="","",IF($A70+1&gt;RaporTarihi,"",$A70+1))</f>
        <v/>
      </c>
      <c r="B71" s="118">
        <f>IF($A71="","",SUMIFS(GELIR_GIDER_KAYIT!$Z$6:$Z$5000,GELIR_GIDER_KAYIT!$B$6:$B$5000,$A71,GELIR_GIDER_KAYIT!$Z$6:$Z$5000,"&gt;0"))</f>
        <v/>
      </c>
      <c r="C71" s="118">
        <f>IF($A71="","",-SUMIFS(GELIR_GIDER_KAYIT!$Z$6:$Z$5000,GELIR_GIDER_KAYIT!$B$6:$B$5000,$A71,GELIR_GIDER_KAYIT!$Z$6:$Z$5000,"&lt;0"))</f>
        <v/>
      </c>
      <c r="D71" s="122">
        <f>IF($A71="","",B71-C71)</f>
        <v/>
      </c>
      <c r="E71" s="122">
        <f>IF($A71="","",SUMIFS(GELIR_GIDER_KAYIT!$AA$6:$AA$5000,GELIR_GIDER_KAYIT!$B$6:$B$5000,$A71))</f>
        <v/>
      </c>
      <c r="F71" s="122">
        <f>IF($A71="","",F70+D71)</f>
        <v/>
      </c>
    </row>
    <row r="72" ht="16.5" customHeight="1" s="80">
      <c r="A72" s="133">
        <f>IF($A71="","",IF($A71+1&gt;RaporTarihi,"",$A71+1))</f>
        <v/>
      </c>
      <c r="B72" s="118">
        <f>IF($A72="","",SUMIFS(GELIR_GIDER_KAYIT!$Z$6:$Z$5000,GELIR_GIDER_KAYIT!$B$6:$B$5000,$A72,GELIR_GIDER_KAYIT!$Z$6:$Z$5000,"&gt;0"))</f>
        <v/>
      </c>
      <c r="C72" s="118">
        <f>IF($A72="","",-SUMIFS(GELIR_GIDER_KAYIT!$Z$6:$Z$5000,GELIR_GIDER_KAYIT!$B$6:$B$5000,$A72,GELIR_GIDER_KAYIT!$Z$6:$Z$5000,"&lt;0"))</f>
        <v/>
      </c>
      <c r="D72" s="122">
        <f>IF($A72="","",B72-C72)</f>
        <v/>
      </c>
      <c r="E72" s="122">
        <f>IF($A72="","",SUMIFS(GELIR_GIDER_KAYIT!$AA$6:$AA$5000,GELIR_GIDER_KAYIT!$B$6:$B$5000,$A72))</f>
        <v/>
      </c>
      <c r="F72" s="122">
        <f>IF($A72="","",F71+D72)</f>
        <v/>
      </c>
    </row>
    <row r="73" ht="16.5" customHeight="1" s="80">
      <c r="A73" s="133">
        <f>IF($A72="","",IF($A72+1&gt;RaporTarihi,"",$A72+1))</f>
        <v/>
      </c>
      <c r="B73" s="118">
        <f>IF($A73="","",SUMIFS(GELIR_GIDER_KAYIT!$Z$6:$Z$5000,GELIR_GIDER_KAYIT!$B$6:$B$5000,$A73,GELIR_GIDER_KAYIT!$Z$6:$Z$5000,"&gt;0"))</f>
        <v/>
      </c>
      <c r="C73" s="118">
        <f>IF($A73="","",-SUMIFS(GELIR_GIDER_KAYIT!$Z$6:$Z$5000,GELIR_GIDER_KAYIT!$B$6:$B$5000,$A73,GELIR_GIDER_KAYIT!$Z$6:$Z$5000,"&lt;0"))</f>
        <v/>
      </c>
      <c r="D73" s="122">
        <f>IF($A73="","",B73-C73)</f>
        <v/>
      </c>
      <c r="E73" s="122">
        <f>IF($A73="","",SUMIFS(GELIR_GIDER_KAYIT!$AA$6:$AA$5000,GELIR_GIDER_KAYIT!$B$6:$B$5000,$A73))</f>
        <v/>
      </c>
      <c r="F73" s="122">
        <f>IF($A73="","",F72+D73)</f>
        <v/>
      </c>
    </row>
    <row r="74" ht="16.5" customHeight="1" s="80">
      <c r="A74" s="133">
        <f>IF($A73="","",IF($A73+1&gt;RaporTarihi,"",$A73+1))</f>
        <v/>
      </c>
      <c r="B74" s="118">
        <f>IF($A74="","",SUMIFS(GELIR_GIDER_KAYIT!$Z$6:$Z$5000,GELIR_GIDER_KAYIT!$B$6:$B$5000,$A74,GELIR_GIDER_KAYIT!$Z$6:$Z$5000,"&gt;0"))</f>
        <v/>
      </c>
      <c r="C74" s="118">
        <f>IF($A74="","",-SUMIFS(GELIR_GIDER_KAYIT!$Z$6:$Z$5000,GELIR_GIDER_KAYIT!$B$6:$B$5000,$A74,GELIR_GIDER_KAYIT!$Z$6:$Z$5000,"&lt;0"))</f>
        <v/>
      </c>
      <c r="D74" s="122">
        <f>IF($A74="","",B74-C74)</f>
        <v/>
      </c>
      <c r="E74" s="122">
        <f>IF($A74="","",SUMIFS(GELIR_GIDER_KAYIT!$AA$6:$AA$5000,GELIR_GIDER_KAYIT!$B$6:$B$5000,$A74))</f>
        <v/>
      </c>
      <c r="F74" s="122">
        <f>IF($A74="","",F73+D74)</f>
        <v/>
      </c>
    </row>
    <row r="75" ht="16.5" customHeight="1" s="80">
      <c r="A75" s="133">
        <f>IF($A74="","",IF($A74+1&gt;RaporTarihi,"",$A74+1))</f>
        <v/>
      </c>
      <c r="B75" s="118">
        <f>IF($A75="","",SUMIFS(GELIR_GIDER_KAYIT!$Z$6:$Z$5000,GELIR_GIDER_KAYIT!$B$6:$B$5000,$A75,GELIR_GIDER_KAYIT!$Z$6:$Z$5000,"&gt;0"))</f>
        <v/>
      </c>
      <c r="C75" s="118">
        <f>IF($A75="","",-SUMIFS(GELIR_GIDER_KAYIT!$Z$6:$Z$5000,GELIR_GIDER_KAYIT!$B$6:$B$5000,$A75,GELIR_GIDER_KAYIT!$Z$6:$Z$5000,"&lt;0"))</f>
        <v/>
      </c>
      <c r="D75" s="122">
        <f>IF($A75="","",B75-C75)</f>
        <v/>
      </c>
      <c r="E75" s="122">
        <f>IF($A75="","",SUMIFS(GELIR_GIDER_KAYIT!$AA$6:$AA$5000,GELIR_GIDER_KAYIT!$B$6:$B$5000,$A75))</f>
        <v/>
      </c>
      <c r="F75" s="122">
        <f>IF($A75="","",F74+D75)</f>
        <v/>
      </c>
    </row>
    <row r="76" ht="16.5" customHeight="1" s="80">
      <c r="A76" s="133">
        <f>IF($A75="","",IF($A75+1&gt;RaporTarihi,"",$A75+1))</f>
        <v/>
      </c>
      <c r="B76" s="118">
        <f>IF($A76="","",SUMIFS(GELIR_GIDER_KAYIT!$Z$6:$Z$5000,GELIR_GIDER_KAYIT!$B$6:$B$5000,$A76,GELIR_GIDER_KAYIT!$Z$6:$Z$5000,"&gt;0"))</f>
        <v/>
      </c>
      <c r="C76" s="118">
        <f>IF($A76="","",-SUMIFS(GELIR_GIDER_KAYIT!$Z$6:$Z$5000,GELIR_GIDER_KAYIT!$B$6:$B$5000,$A76,GELIR_GIDER_KAYIT!$Z$6:$Z$5000,"&lt;0"))</f>
        <v/>
      </c>
      <c r="D76" s="122">
        <f>IF($A76="","",B76-C76)</f>
        <v/>
      </c>
      <c r="E76" s="122">
        <f>IF($A76="","",SUMIFS(GELIR_GIDER_KAYIT!$AA$6:$AA$5000,GELIR_GIDER_KAYIT!$B$6:$B$5000,$A76))</f>
        <v/>
      </c>
      <c r="F76" s="122">
        <f>IF($A76="","",F75+D76)</f>
        <v/>
      </c>
    </row>
    <row r="77" ht="16.5" customHeight="1" s="80">
      <c r="A77" s="133">
        <f>IF($A76="","",IF($A76+1&gt;RaporTarihi,"",$A76+1))</f>
        <v/>
      </c>
      <c r="B77" s="118">
        <f>IF($A77="","",SUMIFS(GELIR_GIDER_KAYIT!$Z$6:$Z$5000,GELIR_GIDER_KAYIT!$B$6:$B$5000,$A77,GELIR_GIDER_KAYIT!$Z$6:$Z$5000,"&gt;0"))</f>
        <v/>
      </c>
      <c r="C77" s="118">
        <f>IF($A77="","",-SUMIFS(GELIR_GIDER_KAYIT!$Z$6:$Z$5000,GELIR_GIDER_KAYIT!$B$6:$B$5000,$A77,GELIR_GIDER_KAYIT!$Z$6:$Z$5000,"&lt;0"))</f>
        <v/>
      </c>
      <c r="D77" s="122">
        <f>IF($A77="","",B77-C77)</f>
        <v/>
      </c>
      <c r="E77" s="122">
        <f>IF($A77="","",SUMIFS(GELIR_GIDER_KAYIT!$AA$6:$AA$5000,GELIR_GIDER_KAYIT!$B$6:$B$5000,$A77))</f>
        <v/>
      </c>
      <c r="F77" s="122">
        <f>IF($A77="","",F76+D77)</f>
        <v/>
      </c>
    </row>
    <row r="78" ht="16.5" customHeight="1" s="80">
      <c r="A78" s="133">
        <f>IF($A77="","",IF($A77+1&gt;RaporTarihi,"",$A77+1))</f>
        <v/>
      </c>
      <c r="B78" s="118">
        <f>IF($A78="","",SUMIFS(GELIR_GIDER_KAYIT!$Z$6:$Z$5000,GELIR_GIDER_KAYIT!$B$6:$B$5000,$A78,GELIR_GIDER_KAYIT!$Z$6:$Z$5000,"&gt;0"))</f>
        <v/>
      </c>
      <c r="C78" s="118">
        <f>IF($A78="","",-SUMIFS(GELIR_GIDER_KAYIT!$Z$6:$Z$5000,GELIR_GIDER_KAYIT!$B$6:$B$5000,$A78,GELIR_GIDER_KAYIT!$Z$6:$Z$5000,"&lt;0"))</f>
        <v/>
      </c>
      <c r="D78" s="122">
        <f>IF($A78="","",B78-C78)</f>
        <v/>
      </c>
      <c r="E78" s="122">
        <f>IF($A78="","",SUMIFS(GELIR_GIDER_KAYIT!$AA$6:$AA$5000,GELIR_GIDER_KAYIT!$B$6:$B$5000,$A78))</f>
        <v/>
      </c>
      <c r="F78" s="122">
        <f>IF($A78="","",F77+D78)</f>
        <v/>
      </c>
    </row>
    <row r="79" ht="16.5" customHeight="1" s="80">
      <c r="A79" s="133">
        <f>IF($A78="","",IF($A78+1&gt;RaporTarihi,"",$A78+1))</f>
        <v/>
      </c>
      <c r="B79" s="118">
        <f>IF($A79="","",SUMIFS(GELIR_GIDER_KAYIT!$Z$6:$Z$5000,GELIR_GIDER_KAYIT!$B$6:$B$5000,$A79,GELIR_GIDER_KAYIT!$Z$6:$Z$5000,"&gt;0"))</f>
        <v/>
      </c>
      <c r="C79" s="118">
        <f>IF($A79="","",-SUMIFS(GELIR_GIDER_KAYIT!$Z$6:$Z$5000,GELIR_GIDER_KAYIT!$B$6:$B$5000,$A79,GELIR_GIDER_KAYIT!$Z$6:$Z$5000,"&lt;0"))</f>
        <v/>
      </c>
      <c r="D79" s="122">
        <f>IF($A79="","",B79-C79)</f>
        <v/>
      </c>
      <c r="E79" s="122">
        <f>IF($A79="","",SUMIFS(GELIR_GIDER_KAYIT!$AA$6:$AA$5000,GELIR_GIDER_KAYIT!$B$6:$B$5000,$A79))</f>
        <v/>
      </c>
      <c r="F79" s="122">
        <f>IF($A79="","",F78+D79)</f>
        <v/>
      </c>
    </row>
    <row r="80" ht="16.5" customHeight="1" s="80">
      <c r="A80" s="133">
        <f>IF($A79="","",IF($A79+1&gt;RaporTarihi,"",$A79+1))</f>
        <v/>
      </c>
      <c r="B80" s="118">
        <f>IF($A80="","",SUMIFS(GELIR_GIDER_KAYIT!$Z$6:$Z$5000,GELIR_GIDER_KAYIT!$B$6:$B$5000,$A80,GELIR_GIDER_KAYIT!$Z$6:$Z$5000,"&gt;0"))</f>
        <v/>
      </c>
      <c r="C80" s="118">
        <f>IF($A80="","",-SUMIFS(GELIR_GIDER_KAYIT!$Z$6:$Z$5000,GELIR_GIDER_KAYIT!$B$6:$B$5000,$A80,GELIR_GIDER_KAYIT!$Z$6:$Z$5000,"&lt;0"))</f>
        <v/>
      </c>
      <c r="D80" s="122">
        <f>IF($A80="","",B80-C80)</f>
        <v/>
      </c>
      <c r="E80" s="122">
        <f>IF($A80="","",SUMIFS(GELIR_GIDER_KAYIT!$AA$6:$AA$5000,GELIR_GIDER_KAYIT!$B$6:$B$5000,$A80))</f>
        <v/>
      </c>
      <c r="F80" s="122">
        <f>IF($A80="","",F79+D80)</f>
        <v/>
      </c>
    </row>
    <row r="81" ht="16.5" customHeight="1" s="80">
      <c r="A81" s="133">
        <f>IF($A80="","",IF($A80+1&gt;RaporTarihi,"",$A80+1))</f>
        <v/>
      </c>
      <c r="B81" s="118">
        <f>IF($A81="","",SUMIFS(GELIR_GIDER_KAYIT!$Z$6:$Z$5000,GELIR_GIDER_KAYIT!$B$6:$B$5000,$A81,GELIR_GIDER_KAYIT!$Z$6:$Z$5000,"&gt;0"))</f>
        <v/>
      </c>
      <c r="C81" s="118">
        <f>IF($A81="","",-SUMIFS(GELIR_GIDER_KAYIT!$Z$6:$Z$5000,GELIR_GIDER_KAYIT!$B$6:$B$5000,$A81,GELIR_GIDER_KAYIT!$Z$6:$Z$5000,"&lt;0"))</f>
        <v/>
      </c>
      <c r="D81" s="122">
        <f>IF($A81="","",B81-C81)</f>
        <v/>
      </c>
      <c r="E81" s="122">
        <f>IF($A81="","",SUMIFS(GELIR_GIDER_KAYIT!$AA$6:$AA$5000,GELIR_GIDER_KAYIT!$B$6:$B$5000,$A81))</f>
        <v/>
      </c>
      <c r="F81" s="122">
        <f>IF($A81="","",F80+D81)</f>
        <v/>
      </c>
    </row>
    <row r="82" ht="16.5" customHeight="1" s="80">
      <c r="A82" s="133">
        <f>IF($A81="","",IF($A81+1&gt;RaporTarihi,"",$A81+1))</f>
        <v/>
      </c>
      <c r="B82" s="118">
        <f>IF($A82="","",SUMIFS(GELIR_GIDER_KAYIT!$Z$6:$Z$5000,GELIR_GIDER_KAYIT!$B$6:$B$5000,$A82,GELIR_GIDER_KAYIT!$Z$6:$Z$5000,"&gt;0"))</f>
        <v/>
      </c>
      <c r="C82" s="118">
        <f>IF($A82="","",-SUMIFS(GELIR_GIDER_KAYIT!$Z$6:$Z$5000,GELIR_GIDER_KAYIT!$B$6:$B$5000,$A82,GELIR_GIDER_KAYIT!$Z$6:$Z$5000,"&lt;0"))</f>
        <v/>
      </c>
      <c r="D82" s="122">
        <f>IF($A82="","",B82-C82)</f>
        <v/>
      </c>
      <c r="E82" s="122">
        <f>IF($A82="","",SUMIFS(GELIR_GIDER_KAYIT!$AA$6:$AA$5000,GELIR_GIDER_KAYIT!$B$6:$B$5000,$A82))</f>
        <v/>
      </c>
      <c r="F82" s="122">
        <f>IF($A82="","",F81+D82)</f>
        <v/>
      </c>
    </row>
    <row r="83" ht="16.5" customHeight="1" s="80">
      <c r="A83" s="133">
        <f>IF($A82="","",IF($A82+1&gt;RaporTarihi,"",$A82+1))</f>
        <v/>
      </c>
      <c r="B83" s="118">
        <f>IF($A83="","",SUMIFS(GELIR_GIDER_KAYIT!$Z$6:$Z$5000,GELIR_GIDER_KAYIT!$B$6:$B$5000,$A83,GELIR_GIDER_KAYIT!$Z$6:$Z$5000,"&gt;0"))</f>
        <v/>
      </c>
      <c r="C83" s="118">
        <f>IF($A83="","",-SUMIFS(GELIR_GIDER_KAYIT!$Z$6:$Z$5000,GELIR_GIDER_KAYIT!$B$6:$B$5000,$A83,GELIR_GIDER_KAYIT!$Z$6:$Z$5000,"&lt;0"))</f>
        <v/>
      </c>
      <c r="D83" s="122">
        <f>IF($A83="","",B83-C83)</f>
        <v/>
      </c>
      <c r="E83" s="122">
        <f>IF($A83="","",SUMIFS(GELIR_GIDER_KAYIT!$AA$6:$AA$5000,GELIR_GIDER_KAYIT!$B$6:$B$5000,$A83))</f>
        <v/>
      </c>
      <c r="F83" s="122">
        <f>IF($A83="","",F82+D83)</f>
        <v/>
      </c>
    </row>
    <row r="84" ht="16.5" customHeight="1" s="80">
      <c r="A84" s="133">
        <f>IF($A83="","",IF($A83+1&gt;RaporTarihi,"",$A83+1))</f>
        <v/>
      </c>
      <c r="B84" s="118">
        <f>IF($A84="","",SUMIFS(GELIR_GIDER_KAYIT!$Z$6:$Z$5000,GELIR_GIDER_KAYIT!$B$6:$B$5000,$A84,GELIR_GIDER_KAYIT!$Z$6:$Z$5000,"&gt;0"))</f>
        <v/>
      </c>
      <c r="C84" s="118">
        <f>IF($A84="","",-SUMIFS(GELIR_GIDER_KAYIT!$Z$6:$Z$5000,GELIR_GIDER_KAYIT!$B$6:$B$5000,$A84,GELIR_GIDER_KAYIT!$Z$6:$Z$5000,"&lt;0"))</f>
        <v/>
      </c>
      <c r="D84" s="122">
        <f>IF($A84="","",B84-C84)</f>
        <v/>
      </c>
      <c r="E84" s="122">
        <f>IF($A84="","",SUMIFS(GELIR_GIDER_KAYIT!$AA$6:$AA$5000,GELIR_GIDER_KAYIT!$B$6:$B$5000,$A84))</f>
        <v/>
      </c>
      <c r="F84" s="122">
        <f>IF($A84="","",F83+D84)</f>
        <v/>
      </c>
    </row>
    <row r="85" ht="16.5" customHeight="1" s="80">
      <c r="A85" s="133">
        <f>IF($A84="","",IF($A84+1&gt;RaporTarihi,"",$A84+1))</f>
        <v/>
      </c>
      <c r="B85" s="118">
        <f>IF($A85="","",SUMIFS(GELIR_GIDER_KAYIT!$Z$6:$Z$5000,GELIR_GIDER_KAYIT!$B$6:$B$5000,$A85,GELIR_GIDER_KAYIT!$Z$6:$Z$5000,"&gt;0"))</f>
        <v/>
      </c>
      <c r="C85" s="118">
        <f>IF($A85="","",-SUMIFS(GELIR_GIDER_KAYIT!$Z$6:$Z$5000,GELIR_GIDER_KAYIT!$B$6:$B$5000,$A85,GELIR_GIDER_KAYIT!$Z$6:$Z$5000,"&lt;0"))</f>
        <v/>
      </c>
      <c r="D85" s="122">
        <f>IF($A85="","",B85-C85)</f>
        <v/>
      </c>
      <c r="E85" s="122">
        <f>IF($A85="","",SUMIFS(GELIR_GIDER_KAYIT!$AA$6:$AA$5000,GELIR_GIDER_KAYIT!$B$6:$B$5000,$A85))</f>
        <v/>
      </c>
      <c r="F85" s="122">
        <f>IF($A85="","",F84+D85)</f>
        <v/>
      </c>
    </row>
    <row r="86" ht="16.5" customHeight="1" s="80">
      <c r="A86" s="133">
        <f>IF($A85="","",IF($A85+1&gt;RaporTarihi,"",$A85+1))</f>
        <v/>
      </c>
      <c r="B86" s="118">
        <f>IF($A86="","",SUMIFS(GELIR_GIDER_KAYIT!$Z$6:$Z$5000,GELIR_GIDER_KAYIT!$B$6:$B$5000,$A86,GELIR_GIDER_KAYIT!$Z$6:$Z$5000,"&gt;0"))</f>
        <v/>
      </c>
      <c r="C86" s="118">
        <f>IF($A86="","",-SUMIFS(GELIR_GIDER_KAYIT!$Z$6:$Z$5000,GELIR_GIDER_KAYIT!$B$6:$B$5000,$A86,GELIR_GIDER_KAYIT!$Z$6:$Z$5000,"&lt;0"))</f>
        <v/>
      </c>
      <c r="D86" s="122">
        <f>IF($A86="","",B86-C86)</f>
        <v/>
      </c>
      <c r="E86" s="122">
        <f>IF($A86="","",SUMIFS(GELIR_GIDER_KAYIT!$AA$6:$AA$5000,GELIR_GIDER_KAYIT!$B$6:$B$5000,$A86))</f>
        <v/>
      </c>
      <c r="F86" s="122">
        <f>IF($A86="","",F85+D86)</f>
        <v/>
      </c>
    </row>
    <row r="87" ht="16.5" customHeight="1" s="80">
      <c r="A87" s="133">
        <f>IF($A86="","",IF($A86+1&gt;RaporTarihi,"",$A86+1))</f>
        <v/>
      </c>
      <c r="B87" s="118">
        <f>IF($A87="","",SUMIFS(GELIR_GIDER_KAYIT!$Z$6:$Z$5000,GELIR_GIDER_KAYIT!$B$6:$B$5000,$A87,GELIR_GIDER_KAYIT!$Z$6:$Z$5000,"&gt;0"))</f>
        <v/>
      </c>
      <c r="C87" s="118">
        <f>IF($A87="","",-SUMIFS(GELIR_GIDER_KAYIT!$Z$6:$Z$5000,GELIR_GIDER_KAYIT!$B$6:$B$5000,$A87,GELIR_GIDER_KAYIT!$Z$6:$Z$5000,"&lt;0"))</f>
        <v/>
      </c>
      <c r="D87" s="122">
        <f>IF($A87="","",B87-C87)</f>
        <v/>
      </c>
      <c r="E87" s="122">
        <f>IF($A87="","",SUMIFS(GELIR_GIDER_KAYIT!$AA$6:$AA$5000,GELIR_GIDER_KAYIT!$B$6:$B$5000,$A87))</f>
        <v/>
      </c>
      <c r="F87" s="122">
        <f>IF($A87="","",F86+D87)</f>
        <v/>
      </c>
    </row>
    <row r="88" ht="16.5" customHeight="1" s="80">
      <c r="A88" s="133">
        <f>IF($A87="","",IF($A87+1&gt;RaporTarihi,"",$A87+1))</f>
        <v/>
      </c>
      <c r="B88" s="118">
        <f>IF($A88="","",SUMIFS(GELIR_GIDER_KAYIT!$Z$6:$Z$5000,GELIR_GIDER_KAYIT!$B$6:$B$5000,$A88,GELIR_GIDER_KAYIT!$Z$6:$Z$5000,"&gt;0"))</f>
        <v/>
      </c>
      <c r="C88" s="118">
        <f>IF($A88="","",-SUMIFS(GELIR_GIDER_KAYIT!$Z$6:$Z$5000,GELIR_GIDER_KAYIT!$B$6:$B$5000,$A88,GELIR_GIDER_KAYIT!$Z$6:$Z$5000,"&lt;0"))</f>
        <v/>
      </c>
      <c r="D88" s="122">
        <f>IF($A88="","",B88-C88)</f>
        <v/>
      </c>
      <c r="E88" s="122">
        <f>IF($A88="","",SUMIFS(GELIR_GIDER_KAYIT!$AA$6:$AA$5000,GELIR_GIDER_KAYIT!$B$6:$B$5000,$A88))</f>
        <v/>
      </c>
      <c r="F88" s="122">
        <f>IF($A88="","",F87+D88)</f>
        <v/>
      </c>
    </row>
    <row r="89" ht="16.5" customHeight="1" s="80">
      <c r="A89" s="133">
        <f>IF($A88="","",IF($A88+1&gt;RaporTarihi,"",$A88+1))</f>
        <v/>
      </c>
      <c r="B89" s="118">
        <f>IF($A89="","",SUMIFS(GELIR_GIDER_KAYIT!$Z$6:$Z$5000,GELIR_GIDER_KAYIT!$B$6:$B$5000,$A89,GELIR_GIDER_KAYIT!$Z$6:$Z$5000,"&gt;0"))</f>
        <v/>
      </c>
      <c r="C89" s="118">
        <f>IF($A89="","",-SUMIFS(GELIR_GIDER_KAYIT!$Z$6:$Z$5000,GELIR_GIDER_KAYIT!$B$6:$B$5000,$A89,GELIR_GIDER_KAYIT!$Z$6:$Z$5000,"&lt;0"))</f>
        <v/>
      </c>
      <c r="D89" s="122">
        <f>IF($A89="","",B89-C89)</f>
        <v/>
      </c>
      <c r="E89" s="122">
        <f>IF($A89="","",SUMIFS(GELIR_GIDER_KAYIT!$AA$6:$AA$5000,GELIR_GIDER_KAYIT!$B$6:$B$5000,$A89))</f>
        <v/>
      </c>
      <c r="F89" s="122">
        <f>IF($A89="","",F88+D89)</f>
        <v/>
      </c>
    </row>
    <row r="90" ht="16.5" customHeight="1" s="80">
      <c r="A90" s="133">
        <f>IF($A89="","",IF($A89+1&gt;RaporTarihi,"",$A89+1))</f>
        <v/>
      </c>
      <c r="B90" s="118">
        <f>IF($A90="","",SUMIFS(GELIR_GIDER_KAYIT!$Z$6:$Z$5000,GELIR_GIDER_KAYIT!$B$6:$B$5000,$A90,GELIR_GIDER_KAYIT!$Z$6:$Z$5000,"&gt;0"))</f>
        <v/>
      </c>
      <c r="C90" s="118">
        <f>IF($A90="","",-SUMIFS(GELIR_GIDER_KAYIT!$Z$6:$Z$5000,GELIR_GIDER_KAYIT!$B$6:$B$5000,$A90,GELIR_GIDER_KAYIT!$Z$6:$Z$5000,"&lt;0"))</f>
        <v/>
      </c>
      <c r="D90" s="122">
        <f>IF($A90="","",B90-C90)</f>
        <v/>
      </c>
      <c r="E90" s="122">
        <f>IF($A90="","",SUMIFS(GELIR_GIDER_KAYIT!$AA$6:$AA$5000,GELIR_GIDER_KAYIT!$B$6:$B$5000,$A90))</f>
        <v/>
      </c>
      <c r="F90" s="122">
        <f>IF($A90="","",F89+D90)</f>
        <v/>
      </c>
    </row>
    <row r="91" ht="16.5" customHeight="1" s="80">
      <c r="A91" s="133">
        <f>IF($A90="","",IF($A90+1&gt;RaporTarihi,"",$A90+1))</f>
        <v/>
      </c>
      <c r="B91" s="118">
        <f>IF($A91="","",SUMIFS(GELIR_GIDER_KAYIT!$Z$6:$Z$5000,GELIR_GIDER_KAYIT!$B$6:$B$5000,$A91,GELIR_GIDER_KAYIT!$Z$6:$Z$5000,"&gt;0"))</f>
        <v/>
      </c>
      <c r="C91" s="118">
        <f>IF($A91="","",-SUMIFS(GELIR_GIDER_KAYIT!$Z$6:$Z$5000,GELIR_GIDER_KAYIT!$B$6:$B$5000,$A91,GELIR_GIDER_KAYIT!$Z$6:$Z$5000,"&lt;0"))</f>
        <v/>
      </c>
      <c r="D91" s="122">
        <f>IF($A91="","",B91-C91)</f>
        <v/>
      </c>
      <c r="E91" s="122">
        <f>IF($A91="","",SUMIFS(GELIR_GIDER_KAYIT!$AA$6:$AA$5000,GELIR_GIDER_KAYIT!$B$6:$B$5000,$A91))</f>
        <v/>
      </c>
      <c r="F91" s="122">
        <f>IF($A91="","",F90+D91)</f>
        <v/>
      </c>
    </row>
    <row r="92" ht="16.5" customHeight="1" s="80">
      <c r="A92" s="133">
        <f>IF($A91="","",IF($A91+1&gt;RaporTarihi,"",$A91+1))</f>
        <v/>
      </c>
      <c r="B92" s="118">
        <f>IF($A92="","",SUMIFS(GELIR_GIDER_KAYIT!$Z$6:$Z$5000,GELIR_GIDER_KAYIT!$B$6:$B$5000,$A92,GELIR_GIDER_KAYIT!$Z$6:$Z$5000,"&gt;0"))</f>
        <v/>
      </c>
      <c r="C92" s="118">
        <f>IF($A92="","",-SUMIFS(GELIR_GIDER_KAYIT!$Z$6:$Z$5000,GELIR_GIDER_KAYIT!$B$6:$B$5000,$A92,GELIR_GIDER_KAYIT!$Z$6:$Z$5000,"&lt;0"))</f>
        <v/>
      </c>
      <c r="D92" s="122">
        <f>IF($A92="","",B92-C92)</f>
        <v/>
      </c>
      <c r="E92" s="122">
        <f>IF($A92="","",SUMIFS(GELIR_GIDER_KAYIT!$AA$6:$AA$5000,GELIR_GIDER_KAYIT!$B$6:$B$5000,$A92))</f>
        <v/>
      </c>
      <c r="F92" s="122">
        <f>IF($A92="","",F91+D92)</f>
        <v/>
      </c>
    </row>
    <row r="93" ht="16.5" customHeight="1" s="80">
      <c r="A93" s="133">
        <f>IF($A92="","",IF($A92+1&gt;RaporTarihi,"",$A92+1))</f>
        <v/>
      </c>
      <c r="B93" s="118">
        <f>IF($A93="","",SUMIFS(GELIR_GIDER_KAYIT!$Z$6:$Z$5000,GELIR_GIDER_KAYIT!$B$6:$B$5000,$A93,GELIR_GIDER_KAYIT!$Z$6:$Z$5000,"&gt;0"))</f>
        <v/>
      </c>
      <c r="C93" s="118">
        <f>IF($A93="","",-SUMIFS(GELIR_GIDER_KAYIT!$Z$6:$Z$5000,GELIR_GIDER_KAYIT!$B$6:$B$5000,$A93,GELIR_GIDER_KAYIT!$Z$6:$Z$5000,"&lt;0"))</f>
        <v/>
      </c>
      <c r="D93" s="122">
        <f>IF($A93="","",B93-C93)</f>
        <v/>
      </c>
      <c r="E93" s="122">
        <f>IF($A93="","",SUMIFS(GELIR_GIDER_KAYIT!$AA$6:$AA$5000,GELIR_GIDER_KAYIT!$B$6:$B$5000,$A93))</f>
        <v/>
      </c>
      <c r="F93" s="122">
        <f>IF($A93="","",F92+D93)</f>
        <v/>
      </c>
    </row>
    <row r="94" ht="16.5" customHeight="1" s="80">
      <c r="A94" s="133">
        <f>IF($A93="","",IF($A93+1&gt;RaporTarihi,"",$A93+1))</f>
        <v/>
      </c>
      <c r="B94" s="118">
        <f>IF($A94="","",SUMIFS(GELIR_GIDER_KAYIT!$Z$6:$Z$5000,GELIR_GIDER_KAYIT!$B$6:$B$5000,$A94,GELIR_GIDER_KAYIT!$Z$6:$Z$5000,"&gt;0"))</f>
        <v/>
      </c>
      <c r="C94" s="118">
        <f>IF($A94="","",-SUMIFS(GELIR_GIDER_KAYIT!$Z$6:$Z$5000,GELIR_GIDER_KAYIT!$B$6:$B$5000,$A94,GELIR_GIDER_KAYIT!$Z$6:$Z$5000,"&lt;0"))</f>
        <v/>
      </c>
      <c r="D94" s="122">
        <f>IF($A94="","",B94-C94)</f>
        <v/>
      </c>
      <c r="E94" s="122">
        <f>IF($A94="","",SUMIFS(GELIR_GIDER_KAYIT!$AA$6:$AA$5000,GELIR_GIDER_KAYIT!$B$6:$B$5000,$A94))</f>
        <v/>
      </c>
      <c r="F94" s="122">
        <f>IF($A94="","",F93+D94)</f>
        <v/>
      </c>
    </row>
    <row r="95" ht="16.5" customHeight="1" s="80">
      <c r="A95" s="133">
        <f>IF($A94="","",IF($A94+1&gt;RaporTarihi,"",$A94+1))</f>
        <v/>
      </c>
      <c r="B95" s="118">
        <f>IF($A95="","",SUMIFS(GELIR_GIDER_KAYIT!$Z$6:$Z$5000,GELIR_GIDER_KAYIT!$B$6:$B$5000,$A95,GELIR_GIDER_KAYIT!$Z$6:$Z$5000,"&gt;0"))</f>
        <v/>
      </c>
      <c r="C95" s="118">
        <f>IF($A95="","",-SUMIFS(GELIR_GIDER_KAYIT!$Z$6:$Z$5000,GELIR_GIDER_KAYIT!$B$6:$B$5000,$A95,GELIR_GIDER_KAYIT!$Z$6:$Z$5000,"&lt;0"))</f>
        <v/>
      </c>
      <c r="D95" s="122">
        <f>IF($A95="","",B95-C95)</f>
        <v/>
      </c>
      <c r="E95" s="122">
        <f>IF($A95="","",SUMIFS(GELIR_GIDER_KAYIT!$AA$6:$AA$5000,GELIR_GIDER_KAYIT!$B$6:$B$5000,$A95))</f>
        <v/>
      </c>
      <c r="F95" s="122">
        <f>IF($A95="","",F94+D95)</f>
        <v/>
      </c>
    </row>
    <row r="96" ht="16.5" customHeight="1" s="80">
      <c r="A96" s="133">
        <f>IF($A95="","",IF($A95+1&gt;RaporTarihi,"",$A95+1))</f>
        <v/>
      </c>
      <c r="B96" s="118">
        <f>IF($A96="","",SUMIFS(GELIR_GIDER_KAYIT!$Z$6:$Z$5000,GELIR_GIDER_KAYIT!$B$6:$B$5000,$A96,GELIR_GIDER_KAYIT!$Z$6:$Z$5000,"&gt;0"))</f>
        <v/>
      </c>
      <c r="C96" s="118">
        <f>IF($A96="","",-SUMIFS(GELIR_GIDER_KAYIT!$Z$6:$Z$5000,GELIR_GIDER_KAYIT!$B$6:$B$5000,$A96,GELIR_GIDER_KAYIT!$Z$6:$Z$5000,"&lt;0"))</f>
        <v/>
      </c>
      <c r="D96" s="122">
        <f>IF($A96="","",B96-C96)</f>
        <v/>
      </c>
      <c r="E96" s="122">
        <f>IF($A96="","",SUMIFS(GELIR_GIDER_KAYIT!$AA$6:$AA$5000,GELIR_GIDER_KAYIT!$B$6:$B$5000,$A96))</f>
        <v/>
      </c>
      <c r="F96" s="122">
        <f>IF($A96="","",F95+D96)</f>
        <v/>
      </c>
    </row>
    <row r="97" ht="16.5" customHeight="1" s="80">
      <c r="A97" s="133">
        <f>IF($A96="","",IF($A96+1&gt;RaporTarihi,"",$A96+1))</f>
        <v/>
      </c>
      <c r="B97" s="118">
        <f>IF($A97="","",SUMIFS(GELIR_GIDER_KAYIT!$Z$6:$Z$5000,GELIR_GIDER_KAYIT!$B$6:$B$5000,$A97,GELIR_GIDER_KAYIT!$Z$6:$Z$5000,"&gt;0"))</f>
        <v/>
      </c>
      <c r="C97" s="118">
        <f>IF($A97="","",-SUMIFS(GELIR_GIDER_KAYIT!$Z$6:$Z$5000,GELIR_GIDER_KAYIT!$B$6:$B$5000,$A97,GELIR_GIDER_KAYIT!$Z$6:$Z$5000,"&lt;0"))</f>
        <v/>
      </c>
      <c r="D97" s="122">
        <f>IF($A97="","",B97-C97)</f>
        <v/>
      </c>
      <c r="E97" s="122">
        <f>IF($A97="","",SUMIFS(GELIR_GIDER_KAYIT!$AA$6:$AA$5000,GELIR_GIDER_KAYIT!$B$6:$B$5000,$A97))</f>
        <v/>
      </c>
      <c r="F97" s="122">
        <f>IF($A97="","",F96+D97)</f>
        <v/>
      </c>
    </row>
    <row r="98" ht="16.5" customHeight="1" s="80">
      <c r="A98" s="133">
        <f>IF($A97="","",IF($A97+1&gt;RaporTarihi,"",$A97+1))</f>
        <v/>
      </c>
      <c r="B98" s="118">
        <f>IF($A98="","",SUMIFS(GELIR_GIDER_KAYIT!$Z$6:$Z$5000,GELIR_GIDER_KAYIT!$B$6:$B$5000,$A98,GELIR_GIDER_KAYIT!$Z$6:$Z$5000,"&gt;0"))</f>
        <v/>
      </c>
      <c r="C98" s="118">
        <f>IF($A98="","",-SUMIFS(GELIR_GIDER_KAYIT!$Z$6:$Z$5000,GELIR_GIDER_KAYIT!$B$6:$B$5000,$A98,GELIR_GIDER_KAYIT!$Z$6:$Z$5000,"&lt;0"))</f>
        <v/>
      </c>
      <c r="D98" s="122">
        <f>IF($A98="","",B98-C98)</f>
        <v/>
      </c>
      <c r="E98" s="122">
        <f>IF($A98="","",SUMIFS(GELIR_GIDER_KAYIT!$AA$6:$AA$5000,GELIR_GIDER_KAYIT!$B$6:$B$5000,$A98))</f>
        <v/>
      </c>
      <c r="F98" s="122">
        <f>IF($A98="","",F97+D98)</f>
        <v/>
      </c>
    </row>
    <row r="99" ht="16.5" customHeight="1" s="80">
      <c r="A99" s="133">
        <f>IF($A98="","",IF($A98+1&gt;RaporTarihi,"",$A98+1))</f>
        <v/>
      </c>
      <c r="B99" s="118">
        <f>IF($A99="","",SUMIFS(GELIR_GIDER_KAYIT!$Z$6:$Z$5000,GELIR_GIDER_KAYIT!$B$6:$B$5000,$A99,GELIR_GIDER_KAYIT!$Z$6:$Z$5000,"&gt;0"))</f>
        <v/>
      </c>
      <c r="C99" s="118">
        <f>IF($A99="","",-SUMIFS(GELIR_GIDER_KAYIT!$Z$6:$Z$5000,GELIR_GIDER_KAYIT!$B$6:$B$5000,$A99,GELIR_GIDER_KAYIT!$Z$6:$Z$5000,"&lt;0"))</f>
        <v/>
      </c>
      <c r="D99" s="122">
        <f>IF($A99="","",B99-C99)</f>
        <v/>
      </c>
      <c r="E99" s="122">
        <f>IF($A99="","",SUMIFS(GELIR_GIDER_KAYIT!$AA$6:$AA$5000,GELIR_GIDER_KAYIT!$B$6:$B$5000,$A99))</f>
        <v/>
      </c>
      <c r="F99" s="122">
        <f>IF($A99="","",F98+D99)</f>
        <v/>
      </c>
    </row>
    <row r="100" ht="16.5" customHeight="1" s="80">
      <c r="A100" s="133">
        <f>IF($A99="","",IF($A99+1&gt;RaporTarihi,"",$A99+1))</f>
        <v/>
      </c>
      <c r="B100" s="118">
        <f>IF($A100="","",SUMIFS(GELIR_GIDER_KAYIT!$Z$6:$Z$5000,GELIR_GIDER_KAYIT!$B$6:$B$5000,$A100,GELIR_GIDER_KAYIT!$Z$6:$Z$5000,"&gt;0"))</f>
        <v/>
      </c>
      <c r="C100" s="118">
        <f>IF($A100="","",-SUMIFS(GELIR_GIDER_KAYIT!$Z$6:$Z$5000,GELIR_GIDER_KAYIT!$B$6:$B$5000,$A100,GELIR_GIDER_KAYIT!$Z$6:$Z$5000,"&lt;0"))</f>
        <v/>
      </c>
      <c r="D100" s="122">
        <f>IF($A100="","",B100-C100)</f>
        <v/>
      </c>
      <c r="E100" s="122">
        <f>IF($A100="","",SUMIFS(GELIR_GIDER_KAYIT!$AA$6:$AA$5000,GELIR_GIDER_KAYIT!$B$6:$B$5000,$A100))</f>
        <v/>
      </c>
      <c r="F100" s="122">
        <f>IF($A100="","",F99+D100)</f>
        <v/>
      </c>
    </row>
    <row r="101" ht="16.5" customHeight="1" s="80">
      <c r="A101" s="133">
        <f>IF($A100="","",IF($A100+1&gt;RaporTarihi,"",$A100+1))</f>
        <v/>
      </c>
      <c r="B101" s="118">
        <f>IF($A101="","",SUMIFS(GELIR_GIDER_KAYIT!$Z$6:$Z$5000,GELIR_GIDER_KAYIT!$B$6:$B$5000,$A101,GELIR_GIDER_KAYIT!$Z$6:$Z$5000,"&gt;0"))</f>
        <v/>
      </c>
      <c r="C101" s="118">
        <f>IF($A101="","",-SUMIFS(GELIR_GIDER_KAYIT!$Z$6:$Z$5000,GELIR_GIDER_KAYIT!$B$6:$B$5000,$A101,GELIR_GIDER_KAYIT!$Z$6:$Z$5000,"&lt;0"))</f>
        <v/>
      </c>
      <c r="D101" s="122">
        <f>IF($A101="","",B101-C101)</f>
        <v/>
      </c>
      <c r="E101" s="122">
        <f>IF($A101="","",SUMIFS(GELIR_GIDER_KAYIT!$AA$6:$AA$5000,GELIR_GIDER_KAYIT!$B$6:$B$5000,$A101))</f>
        <v/>
      </c>
      <c r="F101" s="122">
        <f>IF($A101="","",F100+D101)</f>
        <v/>
      </c>
    </row>
    <row r="102" ht="16.5" customHeight="1" s="80">
      <c r="A102" s="133">
        <f>IF($A101="","",IF($A101+1&gt;RaporTarihi,"",$A101+1))</f>
        <v/>
      </c>
      <c r="B102" s="118">
        <f>IF($A102="","",SUMIFS(GELIR_GIDER_KAYIT!$Z$6:$Z$5000,GELIR_GIDER_KAYIT!$B$6:$B$5000,$A102,GELIR_GIDER_KAYIT!$Z$6:$Z$5000,"&gt;0"))</f>
        <v/>
      </c>
      <c r="C102" s="118">
        <f>IF($A102="","",-SUMIFS(GELIR_GIDER_KAYIT!$Z$6:$Z$5000,GELIR_GIDER_KAYIT!$B$6:$B$5000,$A102,GELIR_GIDER_KAYIT!$Z$6:$Z$5000,"&lt;0"))</f>
        <v/>
      </c>
      <c r="D102" s="122">
        <f>IF($A102="","",B102-C102)</f>
        <v/>
      </c>
      <c r="E102" s="122">
        <f>IF($A102="","",SUMIFS(GELIR_GIDER_KAYIT!$AA$6:$AA$5000,GELIR_GIDER_KAYIT!$B$6:$B$5000,$A102))</f>
        <v/>
      </c>
      <c r="F102" s="122">
        <f>IF($A102="","",F101+D102)</f>
        <v/>
      </c>
    </row>
    <row r="103" ht="16.5" customHeight="1" s="80">
      <c r="A103" s="133">
        <f>IF($A102="","",IF($A102+1&gt;RaporTarihi,"",$A102+1))</f>
        <v/>
      </c>
      <c r="B103" s="118">
        <f>IF($A103="","",SUMIFS(GELIR_GIDER_KAYIT!$Z$6:$Z$5000,GELIR_GIDER_KAYIT!$B$6:$B$5000,$A103,GELIR_GIDER_KAYIT!$Z$6:$Z$5000,"&gt;0"))</f>
        <v/>
      </c>
      <c r="C103" s="118">
        <f>IF($A103="","",-SUMIFS(GELIR_GIDER_KAYIT!$Z$6:$Z$5000,GELIR_GIDER_KAYIT!$B$6:$B$5000,$A103,GELIR_GIDER_KAYIT!$Z$6:$Z$5000,"&lt;0"))</f>
        <v/>
      </c>
      <c r="D103" s="122">
        <f>IF($A103="","",B103-C103)</f>
        <v/>
      </c>
      <c r="E103" s="122">
        <f>IF($A103="","",SUMIFS(GELIR_GIDER_KAYIT!$AA$6:$AA$5000,GELIR_GIDER_KAYIT!$B$6:$B$5000,$A103))</f>
        <v/>
      </c>
      <c r="F103" s="122">
        <f>IF($A103="","",F102+D103)</f>
        <v/>
      </c>
    </row>
    <row r="104" ht="16.5" customHeight="1" s="80">
      <c r="A104" s="133">
        <f>IF($A103="","",IF($A103+1&gt;RaporTarihi,"",$A103+1))</f>
        <v/>
      </c>
      <c r="B104" s="118">
        <f>IF($A104="","",SUMIFS(GELIR_GIDER_KAYIT!$Z$6:$Z$5000,GELIR_GIDER_KAYIT!$B$6:$B$5000,$A104,GELIR_GIDER_KAYIT!$Z$6:$Z$5000,"&gt;0"))</f>
        <v/>
      </c>
      <c r="C104" s="118">
        <f>IF($A104="","",-SUMIFS(GELIR_GIDER_KAYIT!$Z$6:$Z$5000,GELIR_GIDER_KAYIT!$B$6:$B$5000,$A104,GELIR_GIDER_KAYIT!$Z$6:$Z$5000,"&lt;0"))</f>
        <v/>
      </c>
      <c r="D104" s="122">
        <f>IF($A104="","",B104-C104)</f>
        <v/>
      </c>
      <c r="E104" s="122">
        <f>IF($A104="","",SUMIFS(GELIR_GIDER_KAYIT!$AA$6:$AA$5000,GELIR_GIDER_KAYIT!$B$6:$B$5000,$A104))</f>
        <v/>
      </c>
      <c r="F104" s="122">
        <f>IF($A104="","",F103+D104)</f>
        <v/>
      </c>
    </row>
    <row r="105" ht="16.5" customHeight="1" s="80">
      <c r="A105" s="133">
        <f>IF($A104="","",IF($A104+1&gt;RaporTarihi,"",$A104+1))</f>
        <v/>
      </c>
      <c r="B105" s="118">
        <f>IF($A105="","",SUMIFS(GELIR_GIDER_KAYIT!$Z$6:$Z$5000,GELIR_GIDER_KAYIT!$B$6:$B$5000,$A105,GELIR_GIDER_KAYIT!$Z$6:$Z$5000,"&gt;0"))</f>
        <v/>
      </c>
      <c r="C105" s="118">
        <f>IF($A105="","",-SUMIFS(GELIR_GIDER_KAYIT!$Z$6:$Z$5000,GELIR_GIDER_KAYIT!$B$6:$B$5000,$A105,GELIR_GIDER_KAYIT!$Z$6:$Z$5000,"&lt;0"))</f>
        <v/>
      </c>
      <c r="D105" s="122">
        <f>IF($A105="","",B105-C105)</f>
        <v/>
      </c>
      <c r="E105" s="122">
        <f>IF($A105="","",SUMIFS(GELIR_GIDER_KAYIT!$AA$6:$AA$5000,GELIR_GIDER_KAYIT!$B$6:$B$5000,$A105))</f>
        <v/>
      </c>
      <c r="F105" s="122">
        <f>IF($A105="","",F104+D105)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F6:F105">
    <cfRule type="cellIs" rank="0" priority="2" equalAverage="0" operator="lessThan" aboveAverage="0" dxfId="13" text="" percent="0" bottom="0">
      <formula>0</formula>
    </cfRule>
    <cfRule type="cellIs" rank="0" priority="3" equalAverage="0" operator="greaterThan" aboveAverage="0" dxfId="7" text="" percent="0" bottom="0">
      <formula>0</formula>
    </cfRule>
  </conditionalFormatting>
  <conditionalFormatting sqref="D6:D105">
    <cfRule type="cellIs" rank="0" priority="4" equalAverage="0" operator="lessThan" aboveAverage="0" dxfId="12" text="" percent="0" bottom="0">
      <formula>0</formula>
    </cfRule>
    <cfRule type="cellIs" rank="0" priority="5" equalAverage="0" operator="greaterThan" aboveAverage="0" dxfId="7" text="" percent="0" bottom="0">
      <formula>0</formula>
    </cfRule>
  </conditionalFormatting>
  <conditionalFormatting sqref="E6:E105">
    <cfRule type="cellIs" rank="0" priority="6" equalAverage="0" operator="lessThan" aboveAverage="0" dxfId="12" text="" percent="0" bottom="0">
      <formula>0</formula>
    </cfRule>
  </conditionalFormatting>
  <conditionalFormatting sqref="B3">
    <cfRule type="cellIs" rank="0" priority="7" equalAverage="0" operator="lessThan" aboveAverage="0" dxfId="13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&amp;LGünlük Gelir-Gider ve Gerçek Kârlılık Sistemi - Günlük Özet&amp;CExcelArşiv&amp;RSayfa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6" min="1" max="1"/>
    <col width="15" customWidth="1" style="106" min="2" max="2"/>
    <col width="18" customWidth="1" style="106" min="3" max="4"/>
    <col width="13" customWidth="1" style="106" min="5" max="5"/>
    <col width="15" customWidth="1" style="106" min="6" max="6"/>
    <col width="13" customWidth="1" style="106" min="7" max="7"/>
    <col width="14" customWidth="1" style="106" min="8" max="8"/>
    <col width="13" customWidth="1" style="106" min="9" max="9"/>
    <col width="16" customWidth="1" style="106" min="10" max="10"/>
    <col width="11" customWidth="1" style="106" min="11" max="11"/>
    <col width="13" customWidth="1" style="106" min="12" max="12"/>
    <col width="14" customWidth="1" style="106" min="13" max="14"/>
    <col width="13" customWidth="1" style="106" min="15" max="15"/>
  </cols>
  <sheetData>
    <row r="1" ht="25.5" customHeight="1" s="80">
      <c r="A1" s="107" t="inlineStr">
        <is>
          <t>AYLIK KARLILIK — GÜNLÜK GELİR–GİDER VE GERÇEK KÂRLILIK SİSTEMİ</t>
        </is>
      </c>
    </row>
    <row r="2" ht="19.5" customHeight="1" s="80">
      <c r="A2" s="108" t="inlineStr">
        <is>
          <t>Ay bazında gelir tablosu otomatik hesaplanır. Kâr varmış gibi görünürken paranın neden azaldığını Net Nakit sütunu gösterir.</t>
        </is>
      </c>
    </row>
    <row r="5" ht="30" customHeight="1" s="80">
      <c r="A5" s="109" t="inlineStr">
        <is>
          <t>Ay</t>
        </is>
      </c>
      <c r="B5" s="109" t="inlineStr">
        <is>
          <t>Net Satış</t>
        </is>
      </c>
      <c r="C5" s="109" t="inlineStr">
        <is>
          <t>Satış İade/İskonto</t>
        </is>
      </c>
      <c r="D5" s="109" t="inlineStr">
        <is>
          <t>Satışların Maliyeti</t>
        </is>
      </c>
      <c r="E5" s="109" t="inlineStr">
        <is>
          <t>Brüt Kâr</t>
        </is>
      </c>
      <c r="F5" s="109" t="inlineStr">
        <is>
          <t>Değişken Gider</t>
        </is>
      </c>
      <c r="G5" s="109" t="inlineStr">
        <is>
          <t>Katkı Payı</t>
        </is>
      </c>
      <c r="H5" s="109" t="inlineStr">
        <is>
          <t>Sabit Gider</t>
        </is>
      </c>
      <c r="I5" s="109" t="inlineStr">
        <is>
          <t>Faaliyet Kârı</t>
        </is>
      </c>
      <c r="J5" s="109" t="inlineStr">
        <is>
          <t>Finansman Gideri</t>
        </is>
      </c>
      <c r="K5" s="109" t="inlineStr">
        <is>
          <t>Vergi</t>
        </is>
      </c>
      <c r="L5" s="109" t="inlineStr">
        <is>
          <t>Net Sonuç</t>
        </is>
      </c>
      <c r="M5" s="109" t="inlineStr">
        <is>
          <t>Nakit Girişi</t>
        </is>
      </c>
      <c r="N5" s="109" t="inlineStr">
        <is>
          <t>Nakit Çıkışı</t>
        </is>
      </c>
      <c r="O5" s="109" t="inlineStr">
        <is>
          <t>Net Nakit</t>
        </is>
      </c>
    </row>
    <row r="6" ht="16.5" customHeight="1" s="80">
      <c r="A6" s="129" t="inlineStr">
        <is>
          <t>OCAK</t>
        </is>
      </c>
      <c r="B6" s="122">
        <f>SUMPRODUCT((MONTH(GELIR_GIDER_KAYIT!$B$6:$B$5000)=MATCH($A6,$A$6:$A$17,0))*((GELIR_GIDER_KAYIT!$D$6:$D$5000="GELİR")*(GELIR_GIDER_KAYIT!$E$6:$E$5000="SATIŞ"))*GELIR_GIDER_KAYIT!$AA$6:$AA$5000)</f>
        <v/>
      </c>
      <c r="C6" s="122">
        <f>-SUMPRODUCT((MONTH(GELIR_GIDER_KAYIT!$B$6:$B$5000)=MATCH($A6,$A$6:$A$17,0))*((GELIR_GIDER_KAYIT!$E$6:$E$5000="SATIŞ İADESİ/İSKONTO"))*GELIR_GIDER_KAYIT!$AA$6:$AA$5000)</f>
        <v/>
      </c>
      <c r="D6" s="122">
        <f>-SUMPRODUCT((MONTH(GELIR_GIDER_KAYIT!$B$6:$B$5000)=MATCH($A6,$A$6:$A$17,0))*((GELIR_GIDER_KAYIT!$E$6:$E$5000="SATIŞLARIN MALİYETİ"))*GELIR_GIDER_KAYIT!$AA$6:$AA$5000)</f>
        <v/>
      </c>
      <c r="E6" s="134">
        <f>B6-C6-D6</f>
        <v/>
      </c>
      <c r="F6" s="122">
        <f>-SUMPRODUCT((MONTH(GELIR_GIDER_KAYIT!$B$6:$B$5000)=MATCH($A6,$A$6:$A$17,0))*((GELIR_GIDER_KAYIT!$E$6:$E$5000="DEĞİŞKEN GİDER"))*GELIR_GIDER_KAYIT!$AA$6:$AA$5000)</f>
        <v/>
      </c>
      <c r="G6" s="135">
        <f>E6-F6</f>
        <v/>
      </c>
      <c r="H6" s="122">
        <f>-SUMPRODUCT((MONTH(GELIR_GIDER_KAYIT!$B$6:$B$5000)=MATCH($A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6" s="134">
        <f>G6-H6</f>
        <v/>
      </c>
      <c r="J6" s="122">
        <f>-SUMPRODUCT((MONTH(GELIR_GIDER_KAYIT!$B$6:$B$5000)=MATCH($A6,$A$6:$A$17,0))*((GELIR_GIDER_KAYIT!$E$6:$E$5000="FİNANSMAN GİDERİ"))*GELIR_GIDER_KAYIT!$AA$6:$AA$5000)</f>
        <v/>
      </c>
      <c r="K6" s="122">
        <f>-SUMPRODUCT((MONTH(GELIR_GIDER_KAYIT!$B$6:$B$5000)=MATCH($A6,$A$6:$A$17,0))*((GELIR_GIDER_KAYIT!$E$6:$E$5000="VERGİ"))*GELIR_GIDER_KAYIT!$AA$6:$AA$5000)</f>
        <v/>
      </c>
      <c r="L6" s="134">
        <f>I6-J6-K6</f>
        <v/>
      </c>
      <c r="M6" s="122">
        <f>SUMPRODUCT((MONTH(GELIR_GIDER_KAYIT!$B$6:$B$5000)=MATCH($A6,$A$6:$A$17,0))*((GELIR_GIDER_KAYIT!$Z$6:$Z$5000&gt;0))*GELIR_GIDER_KAYIT!$Z$6:$Z$5000)</f>
        <v/>
      </c>
      <c r="N6" s="122">
        <f>-SUMPRODUCT((MONTH(GELIR_GIDER_KAYIT!$B$6:$B$5000)=MATCH($A6,$A$6:$A$17,0))*((GELIR_GIDER_KAYIT!$Z$6:$Z$5000&lt;0))*GELIR_GIDER_KAYIT!$Z$6:$Z$5000)</f>
        <v/>
      </c>
      <c r="O6" s="134">
        <f>M6-N6</f>
        <v/>
      </c>
    </row>
    <row r="7" ht="16.5" customHeight="1" s="80">
      <c r="A7" s="129" t="inlineStr">
        <is>
          <t>ŞUBAT</t>
        </is>
      </c>
      <c r="B7" s="122">
        <f>SUMPRODUCT((MONTH(GELIR_GIDER_KAYIT!$B$6:$B$5000)=MATCH($A7,$A$6:$A$17,0))*((GELIR_GIDER_KAYIT!$D$6:$D$5000="GELİR")*(GELIR_GIDER_KAYIT!$E$6:$E$5000="SATIŞ"))*GELIR_GIDER_KAYIT!$AA$6:$AA$5000)</f>
        <v/>
      </c>
      <c r="C7" s="122">
        <f>-SUMPRODUCT((MONTH(GELIR_GIDER_KAYIT!$B$6:$B$5000)=MATCH($A7,$A$6:$A$17,0))*((GELIR_GIDER_KAYIT!$E$6:$E$5000="SATIŞ İADESİ/İSKONTO"))*GELIR_GIDER_KAYIT!$AA$6:$AA$5000)</f>
        <v/>
      </c>
      <c r="D7" s="122">
        <f>-SUMPRODUCT((MONTH(GELIR_GIDER_KAYIT!$B$6:$B$5000)=MATCH($A7,$A$6:$A$17,0))*((GELIR_GIDER_KAYIT!$E$6:$E$5000="SATIŞLARIN MALİYETİ"))*GELIR_GIDER_KAYIT!$AA$6:$AA$5000)</f>
        <v/>
      </c>
      <c r="E7" s="134">
        <f>B7-C7-D7</f>
        <v/>
      </c>
      <c r="F7" s="122">
        <f>-SUMPRODUCT((MONTH(GELIR_GIDER_KAYIT!$B$6:$B$5000)=MATCH($A7,$A$6:$A$17,0))*((GELIR_GIDER_KAYIT!$E$6:$E$5000="DEĞİŞKEN GİDER"))*GELIR_GIDER_KAYIT!$AA$6:$AA$5000)</f>
        <v/>
      </c>
      <c r="G7" s="135">
        <f>E7-F7</f>
        <v/>
      </c>
      <c r="H7" s="122">
        <f>-SUMPRODUCT((MONTH(GELIR_GIDER_KAYIT!$B$6:$B$5000)=MATCH($A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7" s="134">
        <f>G7-H7</f>
        <v/>
      </c>
      <c r="J7" s="122">
        <f>-SUMPRODUCT((MONTH(GELIR_GIDER_KAYIT!$B$6:$B$5000)=MATCH($A7,$A$6:$A$17,0))*((GELIR_GIDER_KAYIT!$E$6:$E$5000="FİNANSMAN GİDERİ"))*GELIR_GIDER_KAYIT!$AA$6:$AA$5000)</f>
        <v/>
      </c>
      <c r="K7" s="122">
        <f>-SUMPRODUCT((MONTH(GELIR_GIDER_KAYIT!$B$6:$B$5000)=MATCH($A7,$A$6:$A$17,0))*((GELIR_GIDER_KAYIT!$E$6:$E$5000="VERGİ"))*GELIR_GIDER_KAYIT!$AA$6:$AA$5000)</f>
        <v/>
      </c>
      <c r="L7" s="134">
        <f>I7-J7-K7</f>
        <v/>
      </c>
      <c r="M7" s="122">
        <f>SUMPRODUCT((MONTH(GELIR_GIDER_KAYIT!$B$6:$B$5000)=MATCH($A7,$A$6:$A$17,0))*((GELIR_GIDER_KAYIT!$Z$6:$Z$5000&gt;0))*GELIR_GIDER_KAYIT!$Z$6:$Z$5000)</f>
        <v/>
      </c>
      <c r="N7" s="122">
        <f>-SUMPRODUCT((MONTH(GELIR_GIDER_KAYIT!$B$6:$B$5000)=MATCH($A7,$A$6:$A$17,0))*((GELIR_GIDER_KAYIT!$Z$6:$Z$5000&lt;0))*GELIR_GIDER_KAYIT!$Z$6:$Z$5000)</f>
        <v/>
      </c>
      <c r="O7" s="134">
        <f>M7-N7</f>
        <v/>
      </c>
    </row>
    <row r="8" ht="16.5" customHeight="1" s="80">
      <c r="A8" s="129" t="inlineStr">
        <is>
          <t>MART</t>
        </is>
      </c>
      <c r="B8" s="122">
        <f>SUMPRODUCT((MONTH(GELIR_GIDER_KAYIT!$B$6:$B$5000)=MATCH($A8,$A$6:$A$17,0))*((GELIR_GIDER_KAYIT!$D$6:$D$5000="GELİR")*(GELIR_GIDER_KAYIT!$E$6:$E$5000="SATIŞ"))*GELIR_GIDER_KAYIT!$AA$6:$AA$5000)</f>
        <v/>
      </c>
      <c r="C8" s="122">
        <f>-SUMPRODUCT((MONTH(GELIR_GIDER_KAYIT!$B$6:$B$5000)=MATCH($A8,$A$6:$A$17,0))*((GELIR_GIDER_KAYIT!$E$6:$E$5000="SATIŞ İADESİ/İSKONTO"))*GELIR_GIDER_KAYIT!$AA$6:$AA$5000)</f>
        <v/>
      </c>
      <c r="D8" s="122">
        <f>-SUMPRODUCT((MONTH(GELIR_GIDER_KAYIT!$B$6:$B$5000)=MATCH($A8,$A$6:$A$17,0))*((GELIR_GIDER_KAYIT!$E$6:$E$5000="SATIŞLARIN MALİYETİ"))*GELIR_GIDER_KAYIT!$AA$6:$AA$5000)</f>
        <v/>
      </c>
      <c r="E8" s="134">
        <f>B8-C8-D8</f>
        <v/>
      </c>
      <c r="F8" s="122">
        <f>-SUMPRODUCT((MONTH(GELIR_GIDER_KAYIT!$B$6:$B$5000)=MATCH($A8,$A$6:$A$17,0))*((GELIR_GIDER_KAYIT!$E$6:$E$5000="DEĞİŞKEN GİDER"))*GELIR_GIDER_KAYIT!$AA$6:$AA$5000)</f>
        <v/>
      </c>
      <c r="G8" s="135">
        <f>E8-F8</f>
        <v/>
      </c>
      <c r="H8" s="122">
        <f>-SUMPRODUCT((MONTH(GELIR_GIDER_KAYIT!$B$6:$B$5000)=MATCH($A8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8" s="134">
        <f>G8-H8</f>
        <v/>
      </c>
      <c r="J8" s="122">
        <f>-SUMPRODUCT((MONTH(GELIR_GIDER_KAYIT!$B$6:$B$5000)=MATCH($A8,$A$6:$A$17,0))*((GELIR_GIDER_KAYIT!$E$6:$E$5000="FİNANSMAN GİDERİ"))*GELIR_GIDER_KAYIT!$AA$6:$AA$5000)</f>
        <v/>
      </c>
      <c r="K8" s="122">
        <f>-SUMPRODUCT((MONTH(GELIR_GIDER_KAYIT!$B$6:$B$5000)=MATCH($A8,$A$6:$A$17,0))*((GELIR_GIDER_KAYIT!$E$6:$E$5000="VERGİ"))*GELIR_GIDER_KAYIT!$AA$6:$AA$5000)</f>
        <v/>
      </c>
      <c r="L8" s="134">
        <f>I8-J8-K8</f>
        <v/>
      </c>
      <c r="M8" s="122">
        <f>SUMPRODUCT((MONTH(GELIR_GIDER_KAYIT!$B$6:$B$5000)=MATCH($A8,$A$6:$A$17,0))*((GELIR_GIDER_KAYIT!$Z$6:$Z$5000&gt;0))*GELIR_GIDER_KAYIT!$Z$6:$Z$5000)</f>
        <v/>
      </c>
      <c r="N8" s="122">
        <f>-SUMPRODUCT((MONTH(GELIR_GIDER_KAYIT!$B$6:$B$5000)=MATCH($A8,$A$6:$A$17,0))*((GELIR_GIDER_KAYIT!$Z$6:$Z$5000&lt;0))*GELIR_GIDER_KAYIT!$Z$6:$Z$5000)</f>
        <v/>
      </c>
      <c r="O8" s="134">
        <f>M8-N8</f>
        <v/>
      </c>
    </row>
    <row r="9" ht="16.5" customHeight="1" s="80">
      <c r="A9" s="129" t="inlineStr">
        <is>
          <t>NİSAN</t>
        </is>
      </c>
      <c r="B9" s="122">
        <f>SUMPRODUCT((MONTH(GELIR_GIDER_KAYIT!$B$6:$B$5000)=MATCH($A9,$A$6:$A$17,0))*((GELIR_GIDER_KAYIT!$D$6:$D$5000="GELİR")*(GELIR_GIDER_KAYIT!$E$6:$E$5000="SATIŞ"))*GELIR_GIDER_KAYIT!$AA$6:$AA$5000)</f>
        <v/>
      </c>
      <c r="C9" s="122">
        <f>-SUMPRODUCT((MONTH(GELIR_GIDER_KAYIT!$B$6:$B$5000)=MATCH($A9,$A$6:$A$17,0))*((GELIR_GIDER_KAYIT!$E$6:$E$5000="SATIŞ İADESİ/İSKONTO"))*GELIR_GIDER_KAYIT!$AA$6:$AA$5000)</f>
        <v/>
      </c>
      <c r="D9" s="122">
        <f>-SUMPRODUCT((MONTH(GELIR_GIDER_KAYIT!$B$6:$B$5000)=MATCH($A9,$A$6:$A$17,0))*((GELIR_GIDER_KAYIT!$E$6:$E$5000="SATIŞLARIN MALİYETİ"))*GELIR_GIDER_KAYIT!$AA$6:$AA$5000)</f>
        <v/>
      </c>
      <c r="E9" s="134">
        <f>B9-C9-D9</f>
        <v/>
      </c>
      <c r="F9" s="122">
        <f>-SUMPRODUCT((MONTH(GELIR_GIDER_KAYIT!$B$6:$B$5000)=MATCH($A9,$A$6:$A$17,0))*((GELIR_GIDER_KAYIT!$E$6:$E$5000="DEĞİŞKEN GİDER"))*GELIR_GIDER_KAYIT!$AA$6:$AA$5000)</f>
        <v/>
      </c>
      <c r="G9" s="135">
        <f>E9-F9</f>
        <v/>
      </c>
      <c r="H9" s="122">
        <f>-SUMPRODUCT((MONTH(GELIR_GIDER_KAYIT!$B$6:$B$5000)=MATCH($A9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9" s="134">
        <f>G9-H9</f>
        <v/>
      </c>
      <c r="J9" s="122">
        <f>-SUMPRODUCT((MONTH(GELIR_GIDER_KAYIT!$B$6:$B$5000)=MATCH($A9,$A$6:$A$17,0))*((GELIR_GIDER_KAYIT!$E$6:$E$5000="FİNANSMAN GİDERİ"))*GELIR_GIDER_KAYIT!$AA$6:$AA$5000)</f>
        <v/>
      </c>
      <c r="K9" s="122">
        <f>-SUMPRODUCT((MONTH(GELIR_GIDER_KAYIT!$B$6:$B$5000)=MATCH($A9,$A$6:$A$17,0))*((GELIR_GIDER_KAYIT!$E$6:$E$5000="VERGİ"))*GELIR_GIDER_KAYIT!$AA$6:$AA$5000)</f>
        <v/>
      </c>
      <c r="L9" s="134">
        <f>I9-J9-K9</f>
        <v/>
      </c>
      <c r="M9" s="122">
        <f>SUMPRODUCT((MONTH(GELIR_GIDER_KAYIT!$B$6:$B$5000)=MATCH($A9,$A$6:$A$17,0))*((GELIR_GIDER_KAYIT!$Z$6:$Z$5000&gt;0))*GELIR_GIDER_KAYIT!$Z$6:$Z$5000)</f>
        <v/>
      </c>
      <c r="N9" s="122">
        <f>-SUMPRODUCT((MONTH(GELIR_GIDER_KAYIT!$B$6:$B$5000)=MATCH($A9,$A$6:$A$17,0))*((GELIR_GIDER_KAYIT!$Z$6:$Z$5000&lt;0))*GELIR_GIDER_KAYIT!$Z$6:$Z$5000)</f>
        <v/>
      </c>
      <c r="O9" s="134">
        <f>M9-N9</f>
        <v/>
      </c>
    </row>
    <row r="10" ht="16.5" customHeight="1" s="80">
      <c r="A10" s="129" t="inlineStr">
        <is>
          <t>MAYIS</t>
        </is>
      </c>
      <c r="B10" s="122">
        <f>SUMPRODUCT((MONTH(GELIR_GIDER_KAYIT!$B$6:$B$5000)=MATCH($A10,$A$6:$A$17,0))*((GELIR_GIDER_KAYIT!$D$6:$D$5000="GELİR")*(GELIR_GIDER_KAYIT!$E$6:$E$5000="SATIŞ"))*GELIR_GIDER_KAYIT!$AA$6:$AA$5000)</f>
        <v/>
      </c>
      <c r="C10" s="122">
        <f>-SUMPRODUCT((MONTH(GELIR_GIDER_KAYIT!$B$6:$B$5000)=MATCH($A10,$A$6:$A$17,0))*((GELIR_GIDER_KAYIT!$E$6:$E$5000="SATIŞ İADESİ/İSKONTO"))*GELIR_GIDER_KAYIT!$AA$6:$AA$5000)</f>
        <v/>
      </c>
      <c r="D10" s="122">
        <f>-SUMPRODUCT((MONTH(GELIR_GIDER_KAYIT!$B$6:$B$5000)=MATCH($A10,$A$6:$A$17,0))*((GELIR_GIDER_KAYIT!$E$6:$E$5000="SATIŞLARIN MALİYETİ"))*GELIR_GIDER_KAYIT!$AA$6:$AA$5000)</f>
        <v/>
      </c>
      <c r="E10" s="134">
        <f>B10-C10-D10</f>
        <v/>
      </c>
      <c r="F10" s="122">
        <f>-SUMPRODUCT((MONTH(GELIR_GIDER_KAYIT!$B$6:$B$5000)=MATCH($A10,$A$6:$A$17,0))*((GELIR_GIDER_KAYIT!$E$6:$E$5000="DEĞİŞKEN GİDER"))*GELIR_GIDER_KAYIT!$AA$6:$AA$5000)</f>
        <v/>
      </c>
      <c r="G10" s="135">
        <f>E10-F10</f>
        <v/>
      </c>
      <c r="H10" s="122">
        <f>-SUMPRODUCT((MONTH(GELIR_GIDER_KAYIT!$B$6:$B$5000)=MATCH($A10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0" s="134">
        <f>G10-H10</f>
        <v/>
      </c>
      <c r="J10" s="122">
        <f>-SUMPRODUCT((MONTH(GELIR_GIDER_KAYIT!$B$6:$B$5000)=MATCH($A10,$A$6:$A$17,0))*((GELIR_GIDER_KAYIT!$E$6:$E$5000="FİNANSMAN GİDERİ"))*GELIR_GIDER_KAYIT!$AA$6:$AA$5000)</f>
        <v/>
      </c>
      <c r="K10" s="122">
        <f>-SUMPRODUCT((MONTH(GELIR_GIDER_KAYIT!$B$6:$B$5000)=MATCH($A10,$A$6:$A$17,0))*((GELIR_GIDER_KAYIT!$E$6:$E$5000="VERGİ"))*GELIR_GIDER_KAYIT!$AA$6:$AA$5000)</f>
        <v/>
      </c>
      <c r="L10" s="134">
        <f>I10-J10-K10</f>
        <v/>
      </c>
      <c r="M10" s="122">
        <f>SUMPRODUCT((MONTH(GELIR_GIDER_KAYIT!$B$6:$B$5000)=MATCH($A10,$A$6:$A$17,0))*((GELIR_GIDER_KAYIT!$Z$6:$Z$5000&gt;0))*GELIR_GIDER_KAYIT!$Z$6:$Z$5000)</f>
        <v/>
      </c>
      <c r="N10" s="122">
        <f>-SUMPRODUCT((MONTH(GELIR_GIDER_KAYIT!$B$6:$B$5000)=MATCH($A10,$A$6:$A$17,0))*((GELIR_GIDER_KAYIT!$Z$6:$Z$5000&lt;0))*GELIR_GIDER_KAYIT!$Z$6:$Z$5000)</f>
        <v/>
      </c>
      <c r="O10" s="134">
        <f>M10-N10</f>
        <v/>
      </c>
    </row>
    <row r="11" ht="16.5" customHeight="1" s="80">
      <c r="A11" s="129" t="inlineStr">
        <is>
          <t>HAZİRAN</t>
        </is>
      </c>
      <c r="B11" s="122">
        <f>SUMPRODUCT((MONTH(GELIR_GIDER_KAYIT!$B$6:$B$5000)=MATCH($A11,$A$6:$A$17,0))*((GELIR_GIDER_KAYIT!$D$6:$D$5000="GELİR")*(GELIR_GIDER_KAYIT!$E$6:$E$5000="SATIŞ"))*GELIR_GIDER_KAYIT!$AA$6:$AA$5000)</f>
        <v/>
      </c>
      <c r="C11" s="122">
        <f>-SUMPRODUCT((MONTH(GELIR_GIDER_KAYIT!$B$6:$B$5000)=MATCH($A11,$A$6:$A$17,0))*((GELIR_GIDER_KAYIT!$E$6:$E$5000="SATIŞ İADESİ/İSKONTO"))*GELIR_GIDER_KAYIT!$AA$6:$AA$5000)</f>
        <v/>
      </c>
      <c r="D11" s="122">
        <f>-SUMPRODUCT((MONTH(GELIR_GIDER_KAYIT!$B$6:$B$5000)=MATCH($A11,$A$6:$A$17,0))*((GELIR_GIDER_KAYIT!$E$6:$E$5000="SATIŞLARIN MALİYETİ"))*GELIR_GIDER_KAYIT!$AA$6:$AA$5000)</f>
        <v/>
      </c>
      <c r="E11" s="134">
        <f>B11-C11-D11</f>
        <v/>
      </c>
      <c r="F11" s="122">
        <f>-SUMPRODUCT((MONTH(GELIR_GIDER_KAYIT!$B$6:$B$5000)=MATCH($A11,$A$6:$A$17,0))*((GELIR_GIDER_KAYIT!$E$6:$E$5000="DEĞİŞKEN GİDER"))*GELIR_GIDER_KAYIT!$AA$6:$AA$5000)</f>
        <v/>
      </c>
      <c r="G11" s="135">
        <f>E11-F11</f>
        <v/>
      </c>
      <c r="H11" s="122">
        <f>-SUMPRODUCT((MONTH(GELIR_GIDER_KAYIT!$B$6:$B$5000)=MATCH($A11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1" s="134">
        <f>G11-H11</f>
        <v/>
      </c>
      <c r="J11" s="122">
        <f>-SUMPRODUCT((MONTH(GELIR_GIDER_KAYIT!$B$6:$B$5000)=MATCH($A11,$A$6:$A$17,0))*((GELIR_GIDER_KAYIT!$E$6:$E$5000="FİNANSMAN GİDERİ"))*GELIR_GIDER_KAYIT!$AA$6:$AA$5000)</f>
        <v/>
      </c>
      <c r="K11" s="122">
        <f>-SUMPRODUCT((MONTH(GELIR_GIDER_KAYIT!$B$6:$B$5000)=MATCH($A11,$A$6:$A$17,0))*((GELIR_GIDER_KAYIT!$E$6:$E$5000="VERGİ"))*GELIR_GIDER_KAYIT!$AA$6:$AA$5000)</f>
        <v/>
      </c>
      <c r="L11" s="134">
        <f>I11-J11-K11</f>
        <v/>
      </c>
      <c r="M11" s="122">
        <f>SUMPRODUCT((MONTH(GELIR_GIDER_KAYIT!$B$6:$B$5000)=MATCH($A11,$A$6:$A$17,0))*((GELIR_GIDER_KAYIT!$Z$6:$Z$5000&gt;0))*GELIR_GIDER_KAYIT!$Z$6:$Z$5000)</f>
        <v/>
      </c>
      <c r="N11" s="122">
        <f>-SUMPRODUCT((MONTH(GELIR_GIDER_KAYIT!$B$6:$B$5000)=MATCH($A11,$A$6:$A$17,0))*((GELIR_GIDER_KAYIT!$Z$6:$Z$5000&lt;0))*GELIR_GIDER_KAYIT!$Z$6:$Z$5000)</f>
        <v/>
      </c>
      <c r="O11" s="134">
        <f>M11-N11</f>
        <v/>
      </c>
    </row>
    <row r="12" ht="16.5" customHeight="1" s="80">
      <c r="A12" s="129" t="inlineStr">
        <is>
          <t>TEMMUZ</t>
        </is>
      </c>
      <c r="B12" s="122">
        <f>SUMPRODUCT((MONTH(GELIR_GIDER_KAYIT!$B$6:$B$5000)=MATCH($A12,$A$6:$A$17,0))*((GELIR_GIDER_KAYIT!$D$6:$D$5000="GELİR")*(GELIR_GIDER_KAYIT!$E$6:$E$5000="SATIŞ"))*GELIR_GIDER_KAYIT!$AA$6:$AA$5000)</f>
        <v/>
      </c>
      <c r="C12" s="122">
        <f>-SUMPRODUCT((MONTH(GELIR_GIDER_KAYIT!$B$6:$B$5000)=MATCH($A12,$A$6:$A$17,0))*((GELIR_GIDER_KAYIT!$E$6:$E$5000="SATIŞ İADESİ/İSKONTO"))*GELIR_GIDER_KAYIT!$AA$6:$AA$5000)</f>
        <v/>
      </c>
      <c r="D12" s="122">
        <f>-SUMPRODUCT((MONTH(GELIR_GIDER_KAYIT!$B$6:$B$5000)=MATCH($A12,$A$6:$A$17,0))*((GELIR_GIDER_KAYIT!$E$6:$E$5000="SATIŞLARIN MALİYETİ"))*GELIR_GIDER_KAYIT!$AA$6:$AA$5000)</f>
        <v/>
      </c>
      <c r="E12" s="134">
        <f>B12-C12-D12</f>
        <v/>
      </c>
      <c r="F12" s="122">
        <f>-SUMPRODUCT((MONTH(GELIR_GIDER_KAYIT!$B$6:$B$5000)=MATCH($A12,$A$6:$A$17,0))*((GELIR_GIDER_KAYIT!$E$6:$E$5000="DEĞİŞKEN GİDER"))*GELIR_GIDER_KAYIT!$AA$6:$AA$5000)</f>
        <v/>
      </c>
      <c r="G12" s="135">
        <f>E12-F12</f>
        <v/>
      </c>
      <c r="H12" s="122">
        <f>-SUMPRODUCT((MONTH(GELIR_GIDER_KAYIT!$B$6:$B$5000)=MATCH($A12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2" s="134">
        <f>G12-H12</f>
        <v/>
      </c>
      <c r="J12" s="122">
        <f>-SUMPRODUCT((MONTH(GELIR_GIDER_KAYIT!$B$6:$B$5000)=MATCH($A12,$A$6:$A$17,0))*((GELIR_GIDER_KAYIT!$E$6:$E$5000="FİNANSMAN GİDERİ"))*GELIR_GIDER_KAYIT!$AA$6:$AA$5000)</f>
        <v/>
      </c>
      <c r="K12" s="122">
        <f>-SUMPRODUCT((MONTH(GELIR_GIDER_KAYIT!$B$6:$B$5000)=MATCH($A12,$A$6:$A$17,0))*((GELIR_GIDER_KAYIT!$E$6:$E$5000="VERGİ"))*GELIR_GIDER_KAYIT!$AA$6:$AA$5000)</f>
        <v/>
      </c>
      <c r="L12" s="134">
        <f>I12-J12-K12</f>
        <v/>
      </c>
      <c r="M12" s="122">
        <f>SUMPRODUCT((MONTH(GELIR_GIDER_KAYIT!$B$6:$B$5000)=MATCH($A12,$A$6:$A$17,0))*((GELIR_GIDER_KAYIT!$Z$6:$Z$5000&gt;0))*GELIR_GIDER_KAYIT!$Z$6:$Z$5000)</f>
        <v/>
      </c>
      <c r="N12" s="122">
        <f>-SUMPRODUCT((MONTH(GELIR_GIDER_KAYIT!$B$6:$B$5000)=MATCH($A12,$A$6:$A$17,0))*((GELIR_GIDER_KAYIT!$Z$6:$Z$5000&lt;0))*GELIR_GIDER_KAYIT!$Z$6:$Z$5000)</f>
        <v/>
      </c>
      <c r="O12" s="134">
        <f>M12-N12</f>
        <v/>
      </c>
    </row>
    <row r="13" ht="16.5" customHeight="1" s="80">
      <c r="A13" s="129" t="inlineStr">
        <is>
          <t>AĞUSTOS</t>
        </is>
      </c>
      <c r="B13" s="122">
        <f>SUMPRODUCT((MONTH(GELIR_GIDER_KAYIT!$B$6:$B$5000)=MATCH($A13,$A$6:$A$17,0))*((GELIR_GIDER_KAYIT!$D$6:$D$5000="GELİR")*(GELIR_GIDER_KAYIT!$E$6:$E$5000="SATIŞ"))*GELIR_GIDER_KAYIT!$AA$6:$AA$5000)</f>
        <v/>
      </c>
      <c r="C13" s="122">
        <f>-SUMPRODUCT((MONTH(GELIR_GIDER_KAYIT!$B$6:$B$5000)=MATCH($A13,$A$6:$A$17,0))*((GELIR_GIDER_KAYIT!$E$6:$E$5000="SATIŞ İADESİ/İSKONTO"))*GELIR_GIDER_KAYIT!$AA$6:$AA$5000)</f>
        <v/>
      </c>
      <c r="D13" s="122">
        <f>-SUMPRODUCT((MONTH(GELIR_GIDER_KAYIT!$B$6:$B$5000)=MATCH($A13,$A$6:$A$17,0))*((GELIR_GIDER_KAYIT!$E$6:$E$5000="SATIŞLARIN MALİYETİ"))*GELIR_GIDER_KAYIT!$AA$6:$AA$5000)</f>
        <v/>
      </c>
      <c r="E13" s="134">
        <f>B13-C13-D13</f>
        <v/>
      </c>
      <c r="F13" s="122">
        <f>-SUMPRODUCT((MONTH(GELIR_GIDER_KAYIT!$B$6:$B$5000)=MATCH($A13,$A$6:$A$17,0))*((GELIR_GIDER_KAYIT!$E$6:$E$5000="DEĞİŞKEN GİDER"))*GELIR_GIDER_KAYIT!$AA$6:$AA$5000)</f>
        <v/>
      </c>
      <c r="G13" s="135">
        <f>E13-F13</f>
        <v/>
      </c>
      <c r="H13" s="122">
        <f>-SUMPRODUCT((MONTH(GELIR_GIDER_KAYIT!$B$6:$B$5000)=MATCH($A13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3" s="134">
        <f>G13-H13</f>
        <v/>
      </c>
      <c r="J13" s="122">
        <f>-SUMPRODUCT((MONTH(GELIR_GIDER_KAYIT!$B$6:$B$5000)=MATCH($A13,$A$6:$A$17,0))*((GELIR_GIDER_KAYIT!$E$6:$E$5000="FİNANSMAN GİDERİ"))*GELIR_GIDER_KAYIT!$AA$6:$AA$5000)</f>
        <v/>
      </c>
      <c r="K13" s="122">
        <f>-SUMPRODUCT((MONTH(GELIR_GIDER_KAYIT!$B$6:$B$5000)=MATCH($A13,$A$6:$A$17,0))*((GELIR_GIDER_KAYIT!$E$6:$E$5000="VERGİ"))*GELIR_GIDER_KAYIT!$AA$6:$AA$5000)</f>
        <v/>
      </c>
      <c r="L13" s="134">
        <f>I13-J13-K13</f>
        <v/>
      </c>
      <c r="M13" s="122">
        <f>SUMPRODUCT((MONTH(GELIR_GIDER_KAYIT!$B$6:$B$5000)=MATCH($A13,$A$6:$A$17,0))*((GELIR_GIDER_KAYIT!$Z$6:$Z$5000&gt;0))*GELIR_GIDER_KAYIT!$Z$6:$Z$5000)</f>
        <v/>
      </c>
      <c r="N13" s="122">
        <f>-SUMPRODUCT((MONTH(GELIR_GIDER_KAYIT!$B$6:$B$5000)=MATCH($A13,$A$6:$A$17,0))*((GELIR_GIDER_KAYIT!$Z$6:$Z$5000&lt;0))*GELIR_GIDER_KAYIT!$Z$6:$Z$5000)</f>
        <v/>
      </c>
      <c r="O13" s="134">
        <f>M13-N13</f>
        <v/>
      </c>
    </row>
    <row r="14" ht="16.5" customHeight="1" s="80">
      <c r="A14" s="129" t="inlineStr">
        <is>
          <t>EYLÜL</t>
        </is>
      </c>
      <c r="B14" s="122">
        <f>SUMPRODUCT((MONTH(GELIR_GIDER_KAYIT!$B$6:$B$5000)=MATCH($A14,$A$6:$A$17,0))*((GELIR_GIDER_KAYIT!$D$6:$D$5000="GELİR")*(GELIR_GIDER_KAYIT!$E$6:$E$5000="SATIŞ"))*GELIR_GIDER_KAYIT!$AA$6:$AA$5000)</f>
        <v/>
      </c>
      <c r="C14" s="122">
        <f>-SUMPRODUCT((MONTH(GELIR_GIDER_KAYIT!$B$6:$B$5000)=MATCH($A14,$A$6:$A$17,0))*((GELIR_GIDER_KAYIT!$E$6:$E$5000="SATIŞ İADESİ/İSKONTO"))*GELIR_GIDER_KAYIT!$AA$6:$AA$5000)</f>
        <v/>
      </c>
      <c r="D14" s="122">
        <f>-SUMPRODUCT((MONTH(GELIR_GIDER_KAYIT!$B$6:$B$5000)=MATCH($A14,$A$6:$A$17,0))*((GELIR_GIDER_KAYIT!$E$6:$E$5000="SATIŞLARIN MALİYETİ"))*GELIR_GIDER_KAYIT!$AA$6:$AA$5000)</f>
        <v/>
      </c>
      <c r="E14" s="134">
        <f>B14-C14-D14</f>
        <v/>
      </c>
      <c r="F14" s="122">
        <f>-SUMPRODUCT((MONTH(GELIR_GIDER_KAYIT!$B$6:$B$5000)=MATCH($A14,$A$6:$A$17,0))*((GELIR_GIDER_KAYIT!$E$6:$E$5000="DEĞİŞKEN GİDER"))*GELIR_GIDER_KAYIT!$AA$6:$AA$5000)</f>
        <v/>
      </c>
      <c r="G14" s="135">
        <f>E14-F14</f>
        <v/>
      </c>
      <c r="H14" s="122">
        <f>-SUMPRODUCT((MONTH(GELIR_GIDER_KAYIT!$B$6:$B$5000)=MATCH($A14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4" s="134">
        <f>G14-H14</f>
        <v/>
      </c>
      <c r="J14" s="122">
        <f>-SUMPRODUCT((MONTH(GELIR_GIDER_KAYIT!$B$6:$B$5000)=MATCH($A14,$A$6:$A$17,0))*((GELIR_GIDER_KAYIT!$E$6:$E$5000="FİNANSMAN GİDERİ"))*GELIR_GIDER_KAYIT!$AA$6:$AA$5000)</f>
        <v/>
      </c>
      <c r="K14" s="122">
        <f>-SUMPRODUCT((MONTH(GELIR_GIDER_KAYIT!$B$6:$B$5000)=MATCH($A14,$A$6:$A$17,0))*((GELIR_GIDER_KAYIT!$E$6:$E$5000="VERGİ"))*GELIR_GIDER_KAYIT!$AA$6:$AA$5000)</f>
        <v/>
      </c>
      <c r="L14" s="134">
        <f>I14-J14-K14</f>
        <v/>
      </c>
      <c r="M14" s="122">
        <f>SUMPRODUCT((MONTH(GELIR_GIDER_KAYIT!$B$6:$B$5000)=MATCH($A14,$A$6:$A$17,0))*((GELIR_GIDER_KAYIT!$Z$6:$Z$5000&gt;0))*GELIR_GIDER_KAYIT!$Z$6:$Z$5000)</f>
        <v/>
      </c>
      <c r="N14" s="122">
        <f>-SUMPRODUCT((MONTH(GELIR_GIDER_KAYIT!$B$6:$B$5000)=MATCH($A14,$A$6:$A$17,0))*((GELIR_GIDER_KAYIT!$Z$6:$Z$5000&lt;0))*GELIR_GIDER_KAYIT!$Z$6:$Z$5000)</f>
        <v/>
      </c>
      <c r="O14" s="134">
        <f>M14-N14</f>
        <v/>
      </c>
    </row>
    <row r="15" ht="16.5" customHeight="1" s="80">
      <c r="A15" s="129" t="inlineStr">
        <is>
          <t>EKİM</t>
        </is>
      </c>
      <c r="B15" s="122">
        <f>SUMPRODUCT((MONTH(GELIR_GIDER_KAYIT!$B$6:$B$5000)=MATCH($A15,$A$6:$A$17,0))*((GELIR_GIDER_KAYIT!$D$6:$D$5000="GELİR")*(GELIR_GIDER_KAYIT!$E$6:$E$5000="SATIŞ"))*GELIR_GIDER_KAYIT!$AA$6:$AA$5000)</f>
        <v/>
      </c>
      <c r="C15" s="122">
        <f>-SUMPRODUCT((MONTH(GELIR_GIDER_KAYIT!$B$6:$B$5000)=MATCH($A15,$A$6:$A$17,0))*((GELIR_GIDER_KAYIT!$E$6:$E$5000="SATIŞ İADESİ/İSKONTO"))*GELIR_GIDER_KAYIT!$AA$6:$AA$5000)</f>
        <v/>
      </c>
      <c r="D15" s="122">
        <f>-SUMPRODUCT((MONTH(GELIR_GIDER_KAYIT!$B$6:$B$5000)=MATCH($A15,$A$6:$A$17,0))*((GELIR_GIDER_KAYIT!$E$6:$E$5000="SATIŞLARIN MALİYETİ"))*GELIR_GIDER_KAYIT!$AA$6:$AA$5000)</f>
        <v/>
      </c>
      <c r="E15" s="134">
        <f>B15-C15-D15</f>
        <v/>
      </c>
      <c r="F15" s="122">
        <f>-SUMPRODUCT((MONTH(GELIR_GIDER_KAYIT!$B$6:$B$5000)=MATCH($A15,$A$6:$A$17,0))*((GELIR_GIDER_KAYIT!$E$6:$E$5000="DEĞİŞKEN GİDER"))*GELIR_GIDER_KAYIT!$AA$6:$AA$5000)</f>
        <v/>
      </c>
      <c r="G15" s="135">
        <f>E15-F15</f>
        <v/>
      </c>
      <c r="H15" s="122">
        <f>-SUMPRODUCT((MONTH(GELIR_GIDER_KAYIT!$B$6:$B$5000)=MATCH($A15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5" s="134">
        <f>G15-H15</f>
        <v/>
      </c>
      <c r="J15" s="122">
        <f>-SUMPRODUCT((MONTH(GELIR_GIDER_KAYIT!$B$6:$B$5000)=MATCH($A15,$A$6:$A$17,0))*((GELIR_GIDER_KAYIT!$E$6:$E$5000="FİNANSMAN GİDERİ"))*GELIR_GIDER_KAYIT!$AA$6:$AA$5000)</f>
        <v/>
      </c>
      <c r="K15" s="122">
        <f>-SUMPRODUCT((MONTH(GELIR_GIDER_KAYIT!$B$6:$B$5000)=MATCH($A15,$A$6:$A$17,0))*((GELIR_GIDER_KAYIT!$E$6:$E$5000="VERGİ"))*GELIR_GIDER_KAYIT!$AA$6:$AA$5000)</f>
        <v/>
      </c>
      <c r="L15" s="134">
        <f>I15-J15-K15</f>
        <v/>
      </c>
      <c r="M15" s="122">
        <f>SUMPRODUCT((MONTH(GELIR_GIDER_KAYIT!$B$6:$B$5000)=MATCH($A15,$A$6:$A$17,0))*((GELIR_GIDER_KAYIT!$Z$6:$Z$5000&gt;0))*GELIR_GIDER_KAYIT!$Z$6:$Z$5000)</f>
        <v/>
      </c>
      <c r="N15" s="122">
        <f>-SUMPRODUCT((MONTH(GELIR_GIDER_KAYIT!$B$6:$B$5000)=MATCH($A15,$A$6:$A$17,0))*((GELIR_GIDER_KAYIT!$Z$6:$Z$5000&lt;0))*GELIR_GIDER_KAYIT!$Z$6:$Z$5000)</f>
        <v/>
      </c>
      <c r="O15" s="134">
        <f>M15-N15</f>
        <v/>
      </c>
    </row>
    <row r="16" ht="16.5" customHeight="1" s="80">
      <c r="A16" s="129" t="inlineStr">
        <is>
          <t>KASIM</t>
        </is>
      </c>
      <c r="B16" s="122">
        <f>SUMPRODUCT((MONTH(GELIR_GIDER_KAYIT!$B$6:$B$5000)=MATCH($A16,$A$6:$A$17,0))*((GELIR_GIDER_KAYIT!$D$6:$D$5000="GELİR")*(GELIR_GIDER_KAYIT!$E$6:$E$5000="SATIŞ"))*GELIR_GIDER_KAYIT!$AA$6:$AA$5000)</f>
        <v/>
      </c>
      <c r="C16" s="122">
        <f>-SUMPRODUCT((MONTH(GELIR_GIDER_KAYIT!$B$6:$B$5000)=MATCH($A16,$A$6:$A$17,0))*((GELIR_GIDER_KAYIT!$E$6:$E$5000="SATIŞ İADESİ/İSKONTO"))*GELIR_GIDER_KAYIT!$AA$6:$AA$5000)</f>
        <v/>
      </c>
      <c r="D16" s="122">
        <f>-SUMPRODUCT((MONTH(GELIR_GIDER_KAYIT!$B$6:$B$5000)=MATCH($A16,$A$6:$A$17,0))*((GELIR_GIDER_KAYIT!$E$6:$E$5000="SATIŞLARIN MALİYETİ"))*GELIR_GIDER_KAYIT!$AA$6:$AA$5000)</f>
        <v/>
      </c>
      <c r="E16" s="134">
        <f>B16-C16-D16</f>
        <v/>
      </c>
      <c r="F16" s="122">
        <f>-SUMPRODUCT((MONTH(GELIR_GIDER_KAYIT!$B$6:$B$5000)=MATCH($A16,$A$6:$A$17,0))*((GELIR_GIDER_KAYIT!$E$6:$E$5000="DEĞİŞKEN GİDER"))*GELIR_GIDER_KAYIT!$AA$6:$AA$5000)</f>
        <v/>
      </c>
      <c r="G16" s="135">
        <f>E16-F16</f>
        <v/>
      </c>
      <c r="H16" s="122">
        <f>-SUMPRODUCT((MONTH(GELIR_GIDER_KAYIT!$B$6:$B$5000)=MATCH($A16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6" s="134">
        <f>G16-H16</f>
        <v/>
      </c>
      <c r="J16" s="122">
        <f>-SUMPRODUCT((MONTH(GELIR_GIDER_KAYIT!$B$6:$B$5000)=MATCH($A16,$A$6:$A$17,0))*((GELIR_GIDER_KAYIT!$E$6:$E$5000="FİNANSMAN GİDERİ"))*GELIR_GIDER_KAYIT!$AA$6:$AA$5000)</f>
        <v/>
      </c>
      <c r="K16" s="122">
        <f>-SUMPRODUCT((MONTH(GELIR_GIDER_KAYIT!$B$6:$B$5000)=MATCH($A16,$A$6:$A$17,0))*((GELIR_GIDER_KAYIT!$E$6:$E$5000="VERGİ"))*GELIR_GIDER_KAYIT!$AA$6:$AA$5000)</f>
        <v/>
      </c>
      <c r="L16" s="134">
        <f>I16-J16-K16</f>
        <v/>
      </c>
      <c r="M16" s="122">
        <f>SUMPRODUCT((MONTH(GELIR_GIDER_KAYIT!$B$6:$B$5000)=MATCH($A16,$A$6:$A$17,0))*((GELIR_GIDER_KAYIT!$Z$6:$Z$5000&gt;0))*GELIR_GIDER_KAYIT!$Z$6:$Z$5000)</f>
        <v/>
      </c>
      <c r="N16" s="122">
        <f>-SUMPRODUCT((MONTH(GELIR_GIDER_KAYIT!$B$6:$B$5000)=MATCH($A16,$A$6:$A$17,0))*((GELIR_GIDER_KAYIT!$Z$6:$Z$5000&lt;0))*GELIR_GIDER_KAYIT!$Z$6:$Z$5000)</f>
        <v/>
      </c>
      <c r="O16" s="134">
        <f>M16-N16</f>
        <v/>
      </c>
    </row>
    <row r="17" ht="16.5" customHeight="1" s="80">
      <c r="A17" s="129" t="inlineStr">
        <is>
          <t>ARALIK</t>
        </is>
      </c>
      <c r="B17" s="122">
        <f>SUMPRODUCT((MONTH(GELIR_GIDER_KAYIT!$B$6:$B$5000)=MATCH($A17,$A$6:$A$17,0))*((GELIR_GIDER_KAYIT!$D$6:$D$5000="GELİR")*(GELIR_GIDER_KAYIT!$E$6:$E$5000="SATIŞ"))*GELIR_GIDER_KAYIT!$AA$6:$AA$5000)</f>
        <v/>
      </c>
      <c r="C17" s="122">
        <f>-SUMPRODUCT((MONTH(GELIR_GIDER_KAYIT!$B$6:$B$5000)=MATCH($A17,$A$6:$A$17,0))*((GELIR_GIDER_KAYIT!$E$6:$E$5000="SATIŞ İADESİ/İSKONTO"))*GELIR_GIDER_KAYIT!$AA$6:$AA$5000)</f>
        <v/>
      </c>
      <c r="D17" s="122">
        <f>-SUMPRODUCT((MONTH(GELIR_GIDER_KAYIT!$B$6:$B$5000)=MATCH($A17,$A$6:$A$17,0))*((GELIR_GIDER_KAYIT!$E$6:$E$5000="SATIŞLARIN MALİYETİ"))*GELIR_GIDER_KAYIT!$AA$6:$AA$5000)</f>
        <v/>
      </c>
      <c r="E17" s="134">
        <f>B17-C17-D17</f>
        <v/>
      </c>
      <c r="F17" s="122">
        <f>-SUMPRODUCT((MONTH(GELIR_GIDER_KAYIT!$B$6:$B$5000)=MATCH($A17,$A$6:$A$17,0))*((GELIR_GIDER_KAYIT!$E$6:$E$5000="DEĞİŞKEN GİDER"))*GELIR_GIDER_KAYIT!$AA$6:$AA$5000)</f>
        <v/>
      </c>
      <c r="G17" s="135">
        <f>E17-F17</f>
        <v/>
      </c>
      <c r="H17" s="122">
        <f>-SUMPRODUCT((MONTH(GELIR_GIDER_KAYIT!$B$6:$B$5000)=MATCH($A17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7" s="134">
        <f>G17-H17</f>
        <v/>
      </c>
      <c r="J17" s="122">
        <f>-SUMPRODUCT((MONTH(GELIR_GIDER_KAYIT!$B$6:$B$5000)=MATCH($A17,$A$6:$A$17,0))*((GELIR_GIDER_KAYIT!$E$6:$E$5000="FİNANSMAN GİDERİ"))*GELIR_GIDER_KAYIT!$AA$6:$AA$5000)</f>
        <v/>
      </c>
      <c r="K17" s="122">
        <f>-SUMPRODUCT((MONTH(GELIR_GIDER_KAYIT!$B$6:$B$5000)=MATCH($A17,$A$6:$A$17,0))*((GELIR_GIDER_KAYIT!$E$6:$E$5000="VERGİ"))*GELIR_GIDER_KAYIT!$AA$6:$AA$5000)</f>
        <v/>
      </c>
      <c r="L17" s="134">
        <f>I17-J17-K17</f>
        <v/>
      </c>
      <c r="M17" s="122">
        <f>SUMPRODUCT((MONTH(GELIR_GIDER_KAYIT!$B$6:$B$5000)=MATCH($A17,$A$6:$A$17,0))*((GELIR_GIDER_KAYIT!$Z$6:$Z$5000&gt;0))*GELIR_GIDER_KAYIT!$Z$6:$Z$5000)</f>
        <v/>
      </c>
      <c r="N17" s="122">
        <f>-SUMPRODUCT((MONTH(GELIR_GIDER_KAYIT!$B$6:$B$5000)=MATCH($A17,$A$6:$A$17,0))*((GELIR_GIDER_KAYIT!$Z$6:$Z$5000&lt;0))*GELIR_GIDER_KAYIT!$Z$6:$Z$5000)</f>
        <v/>
      </c>
      <c r="O17" s="134">
        <f>M17-N17</f>
        <v/>
      </c>
    </row>
    <row r="19" ht="15" customHeight="1" s="80">
      <c r="A19" s="129" t="inlineStr">
        <is>
          <t>TOPLAM</t>
        </is>
      </c>
      <c r="B19" s="126">
        <f>SUM(B6:B17)</f>
        <v/>
      </c>
      <c r="C19" s="126">
        <f>SUM(C6:C17)</f>
        <v/>
      </c>
      <c r="D19" s="126">
        <f>SUM(D6:D17)</f>
        <v/>
      </c>
      <c r="E19" s="126">
        <f>SUM(E6:E17)</f>
        <v/>
      </c>
      <c r="F19" s="126">
        <f>SUM(F6:F17)</f>
        <v/>
      </c>
      <c r="G19" s="126">
        <f>SUM(G6:G17)</f>
        <v/>
      </c>
      <c r="H19" s="126">
        <f>SUM(H6:H17)</f>
        <v/>
      </c>
      <c r="I19" s="126">
        <f>SUM(I6:I17)</f>
        <v/>
      </c>
      <c r="J19" s="126">
        <f>SUM(J6:J17)</f>
        <v/>
      </c>
      <c r="K19" s="126">
        <f>SUM(K6:K17)</f>
        <v/>
      </c>
      <c r="L19" s="126">
        <f>SUM(L6:L17)</f>
        <v/>
      </c>
      <c r="M19" s="126">
        <f>SUM(M6:M17)</f>
        <v/>
      </c>
      <c r="N19" s="126">
        <f>SUM(N6:N17)</f>
        <v/>
      </c>
      <c r="O19" s="126">
        <f>SUM(O6:O17)</f>
        <v/>
      </c>
    </row>
    <row r="21" ht="15" customHeight="1" s="80">
      <c r="A21" s="127" t="inlineStr">
        <is>
          <t>MARJ GÖSTERGELERİ</t>
        </is>
      </c>
    </row>
    <row r="22" ht="15" customHeight="1" s="80">
      <c r="A22" s="128" t="inlineStr">
        <is>
          <t>Brüt Marj Oranı</t>
        </is>
      </c>
      <c r="B22" s="136">
        <f>IF(B19=0,"",E19/B19)</f>
        <v/>
      </c>
    </row>
    <row r="23" ht="15" customHeight="1" s="80">
      <c r="A23" s="128" t="inlineStr">
        <is>
          <t>Faaliyet Marjı Oranı</t>
        </is>
      </c>
      <c r="B23" s="136">
        <f>IF(B19=0,"",I19/B19)</f>
        <v/>
      </c>
    </row>
    <row r="24" ht="15" customHeight="1" s="80">
      <c r="A24" s="128" t="inlineStr">
        <is>
          <t>Net Marj Oranı</t>
        </is>
      </c>
      <c r="B24" s="136">
        <f>IF(B19=0,"",L19/B19)</f>
        <v/>
      </c>
    </row>
    <row r="25" ht="15" customHeight="1" s="80">
      <c r="A25" s="128" t="inlineStr">
        <is>
          <t>Olağandışı Net Etki</t>
        </is>
      </c>
      <c r="B25" s="122">
        <f>SUMPRODUCT(((GELIR_GIDER_KAYIT!$E$6:$E$5000="OLAĞANDIŞI GELİR")+(GELIR_GIDER_KAYIT!$E$6:$E$5000="OLAĞANDIŞI GİDER")+(GELIR_GIDER_KAYIT!$E$6:$E$5000="DİĞER GELİR"))*(GELIR_GIDER_KAYIT!$AA$6:$AA$5000))</f>
        <v/>
      </c>
    </row>
    <row r="26" ht="15" customHeight="1" s="80">
      <c r="A26" s="128" t="inlineStr">
        <is>
          <t>Son Ay</t>
        </is>
      </c>
      <c r="B26" s="137">
        <f>IFERROR(INDEX($A$6:$A$17,SUMPRODUCT(MAX((GELIR_GIDER_KAYIT!$B$6:$B$5000&lt;&gt;0)*MONTH(GELIR_GIDER_KAYIT!$B$6:$B$5000)))),$A$11)</f>
        <v/>
      </c>
    </row>
    <row r="27" ht="15" customHeight="1" s="80">
      <c r="A27" s="128" t="inlineStr">
        <is>
          <t>Önceki Ay</t>
        </is>
      </c>
      <c r="B27" s="137">
        <f>IF(B26=$A$6,$A$17,INDEX($A$6:$A$17,MATCH(B26,$A$6:$A$17,0)-1))</f>
        <v/>
      </c>
    </row>
    <row r="28" ht="15" customHeight="1" s="80">
      <c r="A28" s="128" t="inlineStr">
        <is>
          <t>Son Ay Net Satış</t>
        </is>
      </c>
      <c r="B28" s="122">
        <f>IFERROR(INDEX($B$6:$B$17,MATCH(B26,$A$6:$A$17,0)),0)</f>
        <v/>
      </c>
    </row>
    <row r="29" ht="15" customHeight="1" s="80">
      <c r="A29" s="128" t="inlineStr">
        <is>
          <t>Önceki Ay Net Satış</t>
        </is>
      </c>
      <c r="B29" s="122">
        <f>IFERROR(INDEX($B$6:$B$17,MATCH(B27,$A$6:$A$17,0)),0)</f>
        <v/>
      </c>
    </row>
    <row r="30" ht="15" customHeight="1" s="80">
      <c r="A30" s="128" t="inlineStr">
        <is>
          <t>Son Ay Faaliyet Kârı</t>
        </is>
      </c>
      <c r="B30" s="122">
        <f>IFERROR(INDEX($I$6:$I$17,MATCH(B26,$A$6:$A$17,0)),0)</f>
        <v/>
      </c>
    </row>
    <row r="31" ht="15" customHeight="1" s="80">
      <c r="A31" s="128" t="inlineStr">
        <is>
          <t>Önceki Ay Faaliyet Kârı</t>
        </is>
      </c>
      <c r="B31" s="122">
        <f>IFERROR(INDEX($I$6:$I$17,MATCH(B27,$A$6:$A$17,0)),0)</f>
        <v/>
      </c>
    </row>
    <row r="33" ht="15" customHeight="1" s="80">
      <c r="A33" s="127" t="inlineStr">
        <is>
          <t>KATEGORİ BAZINDA GİDERLER</t>
        </is>
      </c>
    </row>
    <row r="34" ht="15" customHeight="1" s="80">
      <c r="A34" s="129" t="inlineStr">
        <is>
          <t>Kategori</t>
        </is>
      </c>
      <c r="B34" s="129" t="inlineStr">
        <is>
          <t>Toplam Gider</t>
        </is>
      </c>
    </row>
    <row r="35" ht="15" customHeight="1" s="80">
      <c r="A35" s="128" t="inlineStr">
        <is>
          <t>SATIŞLARIN MALİYETİ</t>
        </is>
      </c>
      <c r="B35" s="122">
        <f>SUMIFS(GELIR_GIDER_KAYIT!$AA$6:$AA$5000,GELIR_GIDER_KAYIT!$E$6:$E$5000,"SATIŞLARIN MALİYETİ")</f>
        <v/>
      </c>
    </row>
    <row r="36" ht="15" customHeight="1" s="80">
      <c r="A36" s="128" t="inlineStr">
        <is>
          <t>DEĞİŞKEN GİDER</t>
        </is>
      </c>
      <c r="B36" s="122">
        <f>SUMIFS(GELIR_GIDER_KAYIT!$AA$6:$AA$5000,GELIR_GIDER_KAYIT!$E$6:$E$5000,"DEĞİŞKEN GİDER")</f>
        <v/>
      </c>
    </row>
    <row r="37" ht="15" customHeight="1" s="80">
      <c r="A37" s="128" t="inlineStr">
        <is>
          <t>PERSONEL</t>
        </is>
      </c>
      <c r="B37" s="122">
        <f>SUMIFS(GELIR_GIDER_KAYIT!$AA$6:$AA$5000,GELIR_GIDER_KAYIT!$E$6:$E$5000,"PERSONEL")</f>
        <v/>
      </c>
    </row>
    <row r="38" ht="15" customHeight="1" s="80">
      <c r="A38" s="128" t="inlineStr">
        <is>
          <t>KİRA</t>
        </is>
      </c>
      <c r="B38" s="122">
        <f>SUMIFS(GELIR_GIDER_KAYIT!$AA$6:$AA$5000,GELIR_GIDER_KAYIT!$E$6:$E$5000,"KİRA")</f>
        <v/>
      </c>
    </row>
    <row r="39" ht="15" customHeight="1" s="80">
      <c r="A39" s="128" t="inlineStr">
        <is>
          <t>PAZARLAMA</t>
        </is>
      </c>
      <c r="B39" s="122">
        <f>SUMIFS(GELIR_GIDER_KAYIT!$AA$6:$AA$5000,GELIR_GIDER_KAYIT!$E$6:$E$5000,"PAZARLAMA")</f>
        <v/>
      </c>
    </row>
    <row r="40" ht="15" customHeight="1" s="80">
      <c r="A40" s="128" t="inlineStr">
        <is>
          <t>LOJİSTİK</t>
        </is>
      </c>
      <c r="B40" s="122">
        <f>SUMIFS(GELIR_GIDER_KAYIT!$AA$6:$AA$5000,GELIR_GIDER_KAYIT!$E$6:$E$5000,"LOJİSTİK")</f>
        <v/>
      </c>
    </row>
    <row r="41" ht="15" customHeight="1" s="80">
      <c r="A41" s="128" t="inlineStr">
        <is>
          <t>GENEL YÖNETİM</t>
        </is>
      </c>
      <c r="B41" s="122">
        <f>SUMIFS(GELIR_GIDER_KAYIT!$AA$6:$AA$5000,GELIR_GIDER_KAYIT!$E$6:$E$5000,"GENEL YÖNETİM")</f>
        <v/>
      </c>
    </row>
    <row r="42" ht="15" customHeight="1" s="80">
      <c r="A42" s="128" t="inlineStr">
        <is>
          <t>AMORTİSMAN</t>
        </is>
      </c>
      <c r="B42" s="122">
        <f>SUMIFS(GELIR_GIDER_KAYIT!$AA$6:$AA$5000,GELIR_GIDER_KAYIT!$E$6:$E$5000,"AMORTİSMAN")</f>
        <v/>
      </c>
    </row>
    <row r="43" ht="15" customHeight="1" s="80">
      <c r="A43" s="128" t="inlineStr">
        <is>
          <t>FİNANSMAN GİDERİ</t>
        </is>
      </c>
      <c r="B43" s="122">
        <f>SUMIFS(GELIR_GIDER_KAYIT!$AA$6:$AA$5000,GELIR_GIDER_KAYIT!$E$6:$E$5000,"FİNANSMAN GİDERİ")</f>
        <v/>
      </c>
    </row>
    <row r="44" ht="15" customHeight="1" s="80">
      <c r="A44" s="128" t="inlineStr">
        <is>
          <t>VERGİ</t>
        </is>
      </c>
      <c r="B44" s="122">
        <f>SUMIFS(GELIR_GIDER_KAYIT!$AA$6:$AA$5000,GELIR_GIDER_KAYIT!$E$6:$E$5000,"VERGİ")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:AN2"/>
    <mergeCell ref="A1:AN1"/>
    <mergeCell ref="A33:O33"/>
    <mergeCell ref="A21:O21"/>
  </mergeCells>
  <conditionalFormatting sqref="L6:L17">
    <cfRule type="cellIs" rank="0" priority="2" equalAverage="0" operator="lessThan" aboveAverage="0" dxfId="12" text="" percent="0" bottom="0">
      <formula>0</formula>
    </cfRule>
    <cfRule type="cellIs" rank="0" priority="3" equalAverage="0" operator="greaterThan" aboveAverage="0" dxfId="7" text="" percent="0" bottom="0">
      <formula>0</formula>
    </cfRule>
  </conditionalFormatting>
  <conditionalFormatting sqref="M6:M17">
    <cfRule type="cellIs" rank="0" priority="4" equalAverage="0" operator="lessThan" aboveAverage="0" dxfId="12" text="" percent="0" bottom="0">
      <formula>0</formula>
    </cfRule>
    <cfRule type="cellIs" rank="0" priority="5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6" min="1" max="1"/>
    <col width="20" customWidth="1" style="106" min="2" max="2"/>
    <col width="30" customWidth="1" style="106" min="3" max="3"/>
  </cols>
  <sheetData>
    <row r="1" ht="25.5" customHeight="1" s="80">
      <c r="A1" s="107" t="inlineStr">
        <is>
          <t>BASABAS — GÜNLÜK GELİR–GİDER VE GERÇEK KÂRLILIK SİSTEMİ</t>
        </is>
      </c>
    </row>
    <row r="2" ht="19.5" customHeight="1" s="80">
      <c r="A2" s="108" t="inlineStr">
        <is>
          <t>Başabaş analizi: işletme giderlerini karşılamak için gereken minimum ciro ve mevcut güvenlik marjı otomatik hesaplanır.</t>
        </is>
      </c>
    </row>
    <row r="4" ht="15" customHeight="1" s="80">
      <c r="A4" s="120" t="inlineStr">
        <is>
          <t>BAŞABAŞ ANALİZİ</t>
        </is>
      </c>
    </row>
    <row r="6" ht="16.5" customHeight="1" s="80">
      <c r="A6" s="128" t="inlineStr">
        <is>
          <t>Net Satış</t>
        </is>
      </c>
      <c r="B6" s="122">
        <f>SUMIFS(GELIR_GIDER_KAYIT!$AA$6:$AA$5000,GELIR_GIDER_KAYIT!$D$6:$D$5000,"GELİR",GELIR_GIDER_KAYIT!$E$6:$E$5000,"SATIŞ")</f>
        <v/>
      </c>
    </row>
    <row r="7" ht="16.5" customHeight="1" s="80">
      <c r="A7" s="128" t="inlineStr">
        <is>
          <t>Satış İade/İskonto</t>
        </is>
      </c>
      <c r="B7" s="122">
        <f>SUMIFS(GELIR_GIDER_KAYIT!$AA$6:$AA$5000,GELIR_GIDER_KAYIT!$E$6:$E$5000,"SATIŞ İADESİ/İSKONTO")</f>
        <v/>
      </c>
    </row>
    <row r="8" ht="16.5" customHeight="1" s="80">
      <c r="A8" s="128" t="inlineStr">
        <is>
          <t>Net Satış (net)</t>
        </is>
      </c>
      <c r="B8" s="122">
        <f>B6+B7</f>
        <v/>
      </c>
    </row>
    <row r="9" ht="16.5" customHeight="1" s="80">
      <c r="A9" s="128" t="inlineStr">
        <is>
          <t>Brüt Kâr</t>
        </is>
      </c>
      <c r="B9" s="122">
        <f>B8+SUMIFS(GELIR_GIDER_KAYIT!$AA$6:$AA$5000,GELIR_GIDER_KAYIT!$E$6:$E$5000,"SATIŞLARIN MALİYETİ")</f>
        <v/>
      </c>
    </row>
    <row r="10" ht="16.5" customHeight="1" s="80">
      <c r="A10" s="128" t="inlineStr">
        <is>
          <t>Brüt Marj Oranı</t>
        </is>
      </c>
      <c r="B10" s="136">
        <f>IF(B8=0,0,B9/B8)</f>
        <v/>
      </c>
    </row>
    <row r="11" ht="16.5" customHeight="1" s="80">
      <c r="A11" s="128" t="inlineStr">
        <is>
          <t>Faaliyet Kârı</t>
        </is>
      </c>
      <c r="B11" s="122">
        <f>SUMPRODUCT(GELIR_GIDER_KAYIT!$AA$6:$AA$5000*((GELIR_GIDER_KAYIT!$E$6:$E$5000="SATIŞ")+(GELIR_GIDER_KAYIT!$E$6:$E$5000="SATIŞ İADESİ/İSKONTO")+(GELIR_GIDER_KAYIT!$E$6:$E$5000="SATIŞLARIN MALİYETİ")+(GELIR_GIDER_KAYIT!$E$6:$E$5000="DEĞİŞKEN GİDER")+(GELIR_GIDER_KAYIT!$E$6:$E$5000="PERSONEL")+(GELIR_GIDER_KAYIT!$E$6:$E$5000="KİRA")+(GELIR_GIDER_KAYIT!$E$6:$E$5000="PAZARLAMA")+(GELIR_GIDER_KAYIT!$E$6:$E$5000="LOJİSTİK")+(GELIR_GIDER_KAYIT!$E$6:$E$5000="GENEL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/>
      </c>
    </row>
    <row r="12" ht="16.5" customHeight="1" s="80">
      <c r="A12" s="128" t="inlineStr">
        <is>
          <t>Faaliyet Marjı Oranı</t>
        </is>
      </c>
      <c r="B12" s="136">
        <f>IF(B8=0,0,B11/B8)</f>
        <v/>
      </c>
    </row>
    <row r="13" ht="16.5" customHeight="1" s="80">
      <c r="A13" s="128" t="inlineStr">
        <is>
          <t>Net Sonuç</t>
        </is>
      </c>
      <c r="B13" s="122">
        <f>SUM(GELIR_GIDER_KAYIT!$AA$6:$AA$5000)</f>
        <v/>
      </c>
    </row>
    <row r="14" ht="16.5" customHeight="1" s="80">
      <c r="A14" s="128" t="inlineStr">
        <is>
          <t>Net Marj Oranı</t>
        </is>
      </c>
      <c r="B14" s="136">
        <f>IF(B8=0,0,B13/B8)</f>
        <v/>
      </c>
    </row>
    <row r="15" ht="16.5" customHeight="1" s="80">
      <c r="A15" s="128" t="inlineStr">
        <is>
          <t>Gerçek Nakit Değişimi</t>
        </is>
      </c>
      <c r="B15" s="122">
        <f>SUM(GELIR_GIDER_KAYIT!$Z$6:$Z$5000)</f>
        <v/>
      </c>
    </row>
    <row r="16" ht="16.5" customHeight="1" s="80">
      <c r="A16" s="128" t="inlineStr">
        <is>
          <t>Nakit Dönüşüm Oranı</t>
        </is>
      </c>
      <c r="B16" s="136">
        <f>IF(B13=0,0,B15/B13)</f>
        <v/>
      </c>
    </row>
    <row r="17" ht="16.5" customHeight="1" s="80">
      <c r="A17" s="128" t="inlineStr">
        <is>
          <t>Değişken Gider</t>
        </is>
      </c>
      <c r="B17" s="122">
        <f>-SUMIFS(GELIR_GIDER_KAYIT!$AA$6:$AA$5000,GELIR_GIDER_KAYIT!$E$6:$E$5000,"DEĞİŞKEN GİDER")</f>
        <v/>
      </c>
    </row>
    <row r="18" ht="16.5" customHeight="1" s="80">
      <c r="A18" s="128" t="inlineStr">
        <is>
          <t>Katkı Payı</t>
        </is>
      </c>
      <c r="B18" s="122">
        <f>B9-B17</f>
        <v/>
      </c>
    </row>
    <row r="19" ht="16.5" customHeight="1" s="80">
      <c r="A19" s="128" t="inlineStr">
        <is>
          <t>Katkı Oranı</t>
        </is>
      </c>
      <c r="B19" s="136">
        <f>IF(B8=0,0,B18/B8)</f>
        <v/>
      </c>
    </row>
    <row r="20" ht="16.5" customHeight="1" s="80">
      <c r="A20" s="128" t="inlineStr">
        <is>
          <t>Sabit Gider</t>
        </is>
      </c>
      <c r="B20" s="122">
        <f>-SUMPRODUCT(GELIR_GIDER_KAYIT!$AA$6:$AA$5000*((GELIR_GIDER_KAYIT!$E$6:$E$5000="PERSONEL")+(GELIR_GIDER_KAYIT!$E$6:$E$5000="KİRA")+(GELIR_GIDER_KAYIT!$E$6:$E$5000="PAZARLAMA")+(GELIR_GIDER_KAYIT!$E$6:$E$5000="LOJİSTİK")+(GELIR_GIDER_KAYIT!$E$6:$E$5000="GENEL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/>
      </c>
    </row>
    <row r="21" ht="16.5" customHeight="1" s="80">
      <c r="A21" s="128" t="inlineStr">
        <is>
          <t>Başabaş Ciro</t>
        </is>
      </c>
      <c r="B21" s="122">
        <f>IF(B19=0,0,B20/B19)</f>
        <v/>
      </c>
    </row>
    <row r="22" ht="16.5" customHeight="1" s="80">
      <c r="A22" s="128" t="inlineStr">
        <is>
          <t>Güvenlik Marjı</t>
        </is>
      </c>
      <c r="B22" s="136">
        <f>IF(B8=0,0,(B8-B21)/B8)</f>
        <v/>
      </c>
    </row>
    <row r="23" ht="16.5" customHeight="1" s="80">
      <c r="A23" s="128" t="inlineStr">
        <is>
          <t>Hedef Kâr için Gerekli Ciro</t>
        </is>
      </c>
      <c r="B23" s="122">
        <f>IF(B19=0,0,(B20+NetKarMarjHedef*B8)/B19)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C4"/>
    <mergeCell ref="A2:AN2"/>
    <mergeCell ref="A1:AN1"/>
  </mergeCells>
  <conditionalFormatting sqref="B13">
    <cfRule type="cellIs" rank="0" priority="2" equalAverage="0" operator="lessThan" aboveAverage="0" dxfId="12" text="" percent="0" bottom="0">
      <formula>0</formula>
    </cfRule>
  </conditionalFormatting>
  <conditionalFormatting sqref="B15">
    <cfRule type="cellIs" rank="0" priority="3" equalAverage="0" operator="lessThan" aboveAverage="0" dxfId="12" text="" percent="0" bottom="0">
      <formula>0</formula>
    </cfRule>
  </conditionalFormatting>
  <conditionalFormatting sqref="B21">
    <cfRule type="cellIs" rank="0" priority="4" equalAverage="0" operator="greaterThan" aboveAverage="0" dxfId="7" text="" percent="0" bottom="0">
      <formula>0</formula>
    </cfRule>
  </conditionalFormatting>
  <conditionalFormatting sqref="B22">
    <cfRule type="cellIs" rank="0" priority="5" equalAverage="0" operator="lessThan" aboveAverage="0" dxfId="1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106" min="1" max="1"/>
    <col width="20" customWidth="1" style="106" min="2" max="2"/>
    <col width="10" customWidth="1" style="106" min="3" max="3"/>
  </cols>
  <sheetData>
    <row r="1" ht="25.5" customHeight="1" s="80">
      <c r="A1" s="107" t="inlineStr">
        <is>
          <t>KONTROLLER — GÜNLÜK GELİR–GİDER VE GERÇEK KÂRLILIK SİSTEMİ</t>
        </is>
      </c>
    </row>
    <row r="2" ht="19.5" customHeight="1" s="80">
      <c r="A2" s="108" t="inlineStr">
        <is>
          <t>Veri bütünlüğü, veri doğruluğu ve çapraz kontroller. Veri kalite skoru 0-100 arasındadır; düşükse karar güveni düşer.</t>
        </is>
      </c>
    </row>
    <row r="4" ht="15" customHeight="1" s="80">
      <c r="A4" s="127" t="inlineStr">
        <is>
          <t>A. VERİ BÜTÜNLÜĞÜ</t>
        </is>
      </c>
    </row>
    <row r="5" ht="15" customHeight="1" s="80">
      <c r="A5" s="129" t="inlineStr">
        <is>
          <t>Kayıt Sayısı</t>
        </is>
      </c>
      <c r="B5" s="138">
        <f>COUNTA(GELIR_GIDER_KAYIT!$B$6:$B$5000)</f>
        <v/>
      </c>
    </row>
    <row r="6" ht="15" customHeight="1" s="80">
      <c r="A6" s="128" t="inlineStr">
        <is>
          <t>Tarih eksik</t>
        </is>
      </c>
      <c r="B6" s="139">
        <f>IF(B$5=0,"-",SUMPRODUCT((GELIR_GIDER_KAYIT!$B$6:$B$5000&lt;&gt;"")*(GELIR_GIDER_KAYIT!$C$6:$C$5000="")))</f>
        <v/>
      </c>
      <c r="C6" s="129">
        <f>IF(B6="-","",IF(B6=0,"PASS",IF(B6&lt;=3,"WARN","FAIL")))</f>
        <v/>
      </c>
    </row>
    <row r="7" ht="15" customHeight="1" s="80">
      <c r="A7" s="128" t="inlineStr">
        <is>
          <t>İşlem Türü eksik</t>
        </is>
      </c>
      <c r="B7" s="139">
        <f>IF(B$5=0,"-",SUMPRODUCT((GELIR_GIDER_KAYIT!$C$6:$C$5000&lt;&gt;"")*(GELIR_GIDER_KAYIT!$D$6:$D$5000="")))</f>
        <v/>
      </c>
      <c r="C7" s="129">
        <f>IF(B7="-","",IF(B7=0,"PASS",IF(B7&lt;=3,"WARN","FAIL")))</f>
        <v/>
      </c>
    </row>
    <row r="8" ht="15" customHeight="1" s="80">
      <c r="A8" s="128" t="inlineStr">
        <is>
          <t>Ana Sınıf eksik</t>
        </is>
      </c>
      <c r="B8" s="139">
        <f>IF(B$5=0,"-",SUMPRODUCT((GELIR_GIDER_KAYIT!$C$6:$C$5000&lt;&gt;"")*(GELIR_GIDER_KAYIT!$E$6:$E$5000="")))</f>
        <v/>
      </c>
      <c r="C8" s="129">
        <f>IF(B8="-","",IF(B8=0,"PASS",IF(B8&lt;=3,"WARN","FAIL")))</f>
        <v/>
      </c>
    </row>
    <row r="9" ht="15" customHeight="1" s="80">
      <c r="A9" s="128" t="inlineStr">
        <is>
          <t>Tutar eksik</t>
        </is>
      </c>
      <c r="B9" s="139">
        <f>IF(B$5=0,"-",SUMPRODUCT((GELIR_GIDER_KAYIT!$C$6:$C$5000&lt;&gt;"")*(GELIR_GIDER_KAYIT!$O$6:$O$5000="")))</f>
        <v/>
      </c>
      <c r="C9" s="129">
        <f>IF(B9="-","",IF(B9=0,"PASS",IF(B9&lt;=3,"WARN","FAIL")))</f>
        <v/>
      </c>
    </row>
    <row r="10" ht="15" customHeight="1" s="80">
      <c r="A10" s="128" t="inlineStr">
        <is>
          <t>Kategori eksik</t>
        </is>
      </c>
      <c r="B10" s="139">
        <f>IF(B$5=0,"-",SUMPRODUCT((GELIR_GIDER_KAYIT!$C$6:$C$5000&lt;&gt;"")*(GELIR_GIDER_KAYIT!$F$6:$F$5000="")))</f>
        <v/>
      </c>
      <c r="C10" s="129">
        <f>IF(B10="-","",IF(B10=0,"PASS",IF(B10&lt;=3,"WARN","FAIL")))</f>
        <v/>
      </c>
    </row>
    <row r="11" ht="15" customHeight="1" s="80">
      <c r="A11" s="128" t="inlineStr">
        <is>
          <t>Cari eksik</t>
        </is>
      </c>
      <c r="B11" s="139">
        <f>IF(B$5=0,"-",SUMPRODUCT((GELIR_GIDER_KAYIT!$C$6:$C$5000&lt;&gt;"")*(GELIR_GIDER_KAYIT!$H$6:$H$5000="")))</f>
        <v/>
      </c>
      <c r="C11" s="129">
        <f>IF(B11="-","",IF(B11=0,"PASS",IF(B11&lt;=3,"WARN","FAIL")))</f>
        <v/>
      </c>
    </row>
    <row r="12" ht="15" customHeight="1" s="80">
      <c r="A12" s="128" t="inlineStr">
        <is>
          <t>Nakit Tarihi eksik (Nakit Gerçekleşti=EVET iken)</t>
        </is>
      </c>
      <c r="B12" s="139">
        <f>IF(B$5=0,"-",SUMPRODUCT((GELIR_GIDER_KAYIT!$S$6:$S$5000="EVET")*(GELIR_GIDER_KAYIT!$R$6:$R$5000="")))</f>
        <v/>
      </c>
      <c r="C12" s="129">
        <f>IF(B12="-","",IF(B12=0,"PASS",IF(B12&lt;=3,"WARN","FAIL")))</f>
        <v/>
      </c>
    </row>
    <row r="14" ht="15" customHeight="1" s="80">
      <c r="A14" s="127" t="inlineStr">
        <is>
          <t>B. VERİ DOĞRULUĞU</t>
        </is>
      </c>
    </row>
    <row r="15" ht="15" customHeight="1" s="80">
      <c r="A15" s="128" t="inlineStr">
        <is>
          <t>Sıfır/Negatif Tutar Kaydı</t>
        </is>
      </c>
      <c r="B15" s="139">
        <f>SUMPRODUCT((GELIR_GIDER_KAYIT!$C$6:$C$5000&lt;&gt;"")*(GELIR_GIDER_KAYIT!$O$6:$O$5000&lt;=0))</f>
        <v/>
      </c>
      <c r="C15" s="129">
        <f>IF(B15=0,"PASS",IF(B15&lt;=3,"WARN","FAIL"))</f>
        <v/>
      </c>
    </row>
    <row r="16" ht="15" customHeight="1" s="80">
      <c r="A16" s="128" t="inlineStr">
        <is>
          <t>Mükerrer Kayıt (Belge Numarası+Tutar+Tarih)</t>
        </is>
      </c>
      <c r="B16" s="139">
        <f>COUNTIF(GELIR_GIDER_KAYIT!$AB$6:$AB$5000,"MÜKERRER")</f>
        <v/>
      </c>
      <c r="C16" s="129">
        <f>IF(B16=0,"PASS",IF(B16&lt;=3,"WARN","FAIL"))</f>
        <v/>
      </c>
    </row>
    <row r="17" ht="15" customHeight="1" s="80">
      <c r="A17" s="128" t="inlineStr">
        <is>
          <t>Amortisman Nakit Çelişkisi</t>
        </is>
      </c>
      <c r="B17" s="139">
        <f>SUMPRODUCT((GELIR_GIDER_KAYIT!$E$6:$E$5000="AMORTİSMAN")*(GELIR_GIDER_KAYIT!$S$6:$S$5000="EVET"))</f>
        <v/>
      </c>
      <c r="C17" s="129">
        <f>IF(B17=0,"PASS",IF(B17&lt;=3,"WARN","FAIL"))</f>
        <v/>
      </c>
    </row>
    <row r="18" ht="15" customHeight="1" s="80">
      <c r="A18" s="128" t="inlineStr">
        <is>
          <t>Ortak/Finansman/Yatırım Kârlılık Çelişkisi</t>
        </is>
      </c>
      <c r="B18" s="139">
        <f>SUMPRODUCT(((GELIR_GIDER_KAYIT!$W$6:$W$5000="EVET")+(GELIR_GIDER_KAYIT!$X$6:$X$5000="EVET")+(GELIR_GIDER_KAYIT!$Y$6:$Y$5000="EVET"))*(GELIR_GIDER_KAYIT!$AA$6:$AA$5000&lt;&gt;0))</f>
        <v/>
      </c>
      <c r="C18" s="129">
        <f>IF(B18=0,"PASS",IF(B18&lt;=3,"WARN","FAIL"))</f>
        <v/>
      </c>
    </row>
    <row r="19" ht="15" customHeight="1" s="80">
      <c r="A19" s="128" t="inlineStr">
        <is>
          <t>İşlem Türü boş</t>
        </is>
      </c>
      <c r="B19" s="139">
        <f>SUMPRODUCT((GELIR_GIDER_KAYIT!$C$6:$C$5000&lt;&gt;"")*(GELIR_GIDER_KAYIT!$D$6:$D$5000=""))</f>
        <v/>
      </c>
      <c r="C19" s="129">
        <f>IF(B19=0,"PASS",IF(B19&lt;=3,"WARN","FAIL"))</f>
        <v/>
      </c>
    </row>
    <row r="21" ht="15" customHeight="1" s="80">
      <c r="A21" s="127" t="inlineStr">
        <is>
          <t>C. ÇAPRAZ KONTROLLER</t>
        </is>
      </c>
    </row>
    <row r="22" ht="15" customHeight="1" s="80">
      <c r="A22" s="128" t="inlineStr">
        <is>
          <t>Köprü Gerçek Nakit Değişimi</t>
        </is>
      </c>
      <c r="B22" s="122">
        <f>TAHAKKUK_NAKIT_ESLEME!B14</f>
        <v/>
      </c>
    </row>
    <row r="23" ht="15" customHeight="1" s="80">
      <c r="A23" s="128" t="inlineStr">
        <is>
          <t>Doğrudan Nakit Etkisi Toplamı</t>
        </is>
      </c>
      <c r="B23" s="122">
        <f>SUM(GELIR_GIDER_KAYIT!$Z$6:$Z$5000)</f>
        <v/>
      </c>
    </row>
    <row r="24" ht="15" customHeight="1" s="80">
      <c r="A24" s="128" t="inlineStr">
        <is>
          <t>Fark (₺)</t>
        </is>
      </c>
      <c r="B24" s="122">
        <f>ABS(B22-B23)</f>
        <v/>
      </c>
    </row>
    <row r="25" ht="15" customHeight="1" s="80">
      <c r="A25" s="128" t="inlineStr">
        <is>
          <t>Köprü Durumu</t>
        </is>
      </c>
      <c r="B25" s="129">
        <f>IF(B24&lt;=YuvarlamaToleransi,"UYUMLU","KONTROL GEREKLİ")</f>
        <v/>
      </c>
    </row>
    <row r="27" ht="15" customHeight="1" s="80">
      <c r="A27" s="127" t="inlineStr">
        <is>
          <t>D. SKOR VE SAĞLIK</t>
        </is>
      </c>
    </row>
    <row r="28" ht="15" customHeight="1" s="80">
      <c r="A28" s="129" t="inlineStr">
        <is>
          <t>Veri Kalite Skoru (0-100)</t>
        </is>
      </c>
      <c r="B28" s="138">
        <f>IF(B5=0,0,MAX(0, 100-(B6+B7+B8+B9+B10+B11+B12)*HataAgirligi-B15*UyariAgirligi-B16*UyariAgirligi-B17*UyariAgirligi-B18*UyariAgirligi-B19*HataAgirligi))</f>
        <v/>
      </c>
    </row>
    <row r="29" ht="15" customHeight="1" s="80">
      <c r="A29" s="128" t="inlineStr">
        <is>
          <t>Güven Seviyesi</t>
        </is>
      </c>
      <c r="B29" s="129">
        <f>IF(B28=0,"VERİ YETERSİZ",IF(B28&gt;=VeriKaliteYuksekEsik,"YÜKSEK",IF(B28&gt;=VeriKaliteOrtaEsik,"ORTA","DÜŞÜK")))</f>
        <v/>
      </c>
    </row>
    <row r="30" ht="15" customHeight="1" s="80">
      <c r="A30" s="128" t="inlineStr">
        <is>
          <t>PASS Sayısı</t>
        </is>
      </c>
      <c r="B30" s="139">
        <f>COUNTIF(C6:C12,"PASS")+COUNTIF(C15:C19,"PASS")</f>
        <v/>
      </c>
    </row>
    <row r="31" ht="15" customHeight="1" s="80">
      <c r="A31" s="128" t="inlineStr">
        <is>
          <t>FAIL Sayısı</t>
        </is>
      </c>
      <c r="B31" s="139">
        <f>COUNTIF(C6:C12,"FAIL")+COUNTIF(C15:C19,"FAIL")</f>
        <v/>
      </c>
    </row>
    <row r="33" ht="15" customHeight="1" s="80">
      <c r="A33" s="129" t="inlineStr">
        <is>
          <t>Çalışma Kitabı Sağlığı</t>
        </is>
      </c>
      <c r="B33" s="140">
        <f>IF(B5=0,"VERİ YETERSİZ",IF(B31=0,"SAĞLIKLI",IF(B31&lt;=2,"İZLEME GEREKLİ","DÜZELTME GEREKLİ")))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C6:C12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13" text="" percent="0" bottom="0">
      <formula>"FAIL"</formula>
    </cfRule>
  </conditionalFormatting>
  <conditionalFormatting sqref="C15:C19">
    <cfRule type="cellIs" rank="0" priority="4" equalAverage="0" operator="equal" aboveAverage="0" dxfId="7" text="" percent="0" bottom="0">
      <formula>"PASS"</formula>
    </cfRule>
    <cfRule type="cellIs" rank="0" priority="5" equalAverage="0" operator="equal" aboveAverage="0" dxfId="12" text="" percent="0" bottom="0">
      <formula>"FAIL"</formula>
    </cfRule>
    <cfRule type="cellIs" rank="0" priority="6" equalAverage="0" operator="equal" aboveAverage="0" dxfId="8" text="" percent="0" bottom="0">
      <formula>"WARN"</formula>
    </cfRule>
  </conditionalFormatting>
  <conditionalFormatting sqref="B28">
    <cfRule type="cellIs" rank="0" priority="7" equalAverage="0" operator="lessThan" aboveAverage="0" dxfId="12" text="" percent="0" bottom="0">
      <formula>50</formula>
    </cfRule>
    <cfRule type="cellIs" rank="0" priority="8" equalAverage="0" operator="greaterThanOrEqual" aboveAverage="0" dxfId="7" text="" percent="0" bottom="0">
      <formula>80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6" min="1" max="1"/>
    <col width="16" customWidth="1" style="106" min="2" max="2"/>
    <col width="40" customWidth="1" style="106" min="3" max="3"/>
    <col width="34" customWidth="1" style="106" min="4" max="4"/>
    <col width="26" customWidth="1" style="106" min="5" max="5"/>
    <col width="30" customWidth="1" style="106" min="6" max="7"/>
    <col width="36" customWidth="1" style="106" min="8" max="8"/>
    <col width="26" customWidth="1" style="106" min="9" max="9"/>
    <col width="12" customWidth="1" style="106" min="10" max="10"/>
    <col width="30" customWidth="1" style="106" min="11" max="11"/>
    <col width="28" customWidth="1" style="106" min="12" max="12"/>
    <col width="10" customWidth="1" style="106" min="13" max="13"/>
    <col width="26" customWidth="1" style="106" min="14" max="14"/>
    <col width="14" customWidth="1" style="106" min="15" max="15"/>
  </cols>
  <sheetData>
    <row r="1" ht="25.5" customHeight="1" s="80">
      <c r="A1" s="107" t="inlineStr">
        <is>
          <t>KARAR MOTORU — GÜNLÜK GELİR–GİDER VE GERÇEK KÂRLILIK SİSTEMİ</t>
        </is>
      </c>
    </row>
    <row r="2" ht="19.5" customHeight="1" s="80">
      <c r="A2" s="108" t="inlineStr">
        <is>
          <t>Yedi karar kuralı otomatik çalışır. Her satır tespit, kanıt, kök neden, aksiyon, sorumlu ve termin içerir. Kararlar karar destek amaçlıdır; kesin kredi/hukuki karar değildir.</t>
        </is>
      </c>
    </row>
    <row r="5" ht="30" customHeight="1" s="80">
      <c r="A5" s="109" t="inlineStr">
        <is>
          <t>Kategori</t>
        </is>
      </c>
      <c r="B5" s="109" t="inlineStr">
        <is>
          <t>Risk Seviyesi</t>
        </is>
      </c>
      <c r="C5" s="109" t="inlineStr">
        <is>
          <t>Tespit</t>
        </is>
      </c>
      <c r="D5" s="109" t="inlineStr">
        <is>
          <t>Sayısal Kanıt</t>
        </is>
      </c>
      <c r="E5" s="109" t="inlineStr">
        <is>
          <t>Kök Neden</t>
        </is>
      </c>
      <c r="F5" s="109" t="inlineStr">
        <is>
          <t>Finansal Etkisi</t>
        </is>
      </c>
      <c r="G5" s="109" t="inlineStr">
        <is>
          <t>Önerilen Karar</t>
        </is>
      </c>
      <c r="H5" s="109" t="inlineStr">
        <is>
          <t>Önerilen Aksiyon</t>
        </is>
      </c>
      <c r="I5" s="109" t="inlineStr">
        <is>
          <t>Sorumlu Rol</t>
        </is>
      </c>
      <c r="J5" s="109" t="inlineStr">
        <is>
          <t>Son Tarih</t>
        </is>
      </c>
      <c r="K5" s="109" t="inlineStr">
        <is>
          <t>Beklenen Nakit/Kâr Etkisi</t>
        </is>
      </c>
      <c r="L5" s="109" t="inlineStr">
        <is>
          <t>Uygulanmazsa Risk</t>
        </is>
      </c>
      <c r="M5" s="109" t="inlineStr">
        <is>
          <t>Güven Düzeyi</t>
        </is>
      </c>
      <c r="N5" s="109" t="inlineStr">
        <is>
          <t>Kullanılan Eşik</t>
        </is>
      </c>
      <c r="O5" s="109" t="inlineStr">
        <is>
          <t>Eşiğin Kaynağı</t>
        </is>
      </c>
    </row>
    <row r="6" ht="61.5" customHeight="1" s="80">
      <c r="A6" s="141" t="inlineStr">
        <is>
          <t>BRÜT MARJ HEDEFİ ALTINDA</t>
        </is>
      </c>
      <c r="B6" s="142">
        <f>IF(KayitSayisi=0,"VERİ YETERSİZ",IF(BrutMarjOrani&lt;BrutMarjHedef/100,"RİSKLİ",IF(BrutMarjOrani&gt;=BrutMarjHedef/100*(1+MarjBantOrani/100),"NORMAL","İZLE")))</f>
        <v/>
      </c>
      <c r="C6" s="123">
        <f>IF(KayitSayisi=0,"Henüz kayıt yok; analiz için GELIR_GIDER_KAYIT sayfasına veri girin.",IF(BrutMarjOrani&lt;BrutMarjHedef/100,"Brüt marj hedefin altında: "&amp;TEXT(BrutMarjOrani,"0.0%")&amp;" (hedef "&amp;TEXT(BrutMarjHedef/100,"0.0%")&amp;")","Brüt marj hedefi karşılanıyor: "&amp;TEXT(BrutMarjOrani,"0.0%")))</f>
        <v/>
      </c>
      <c r="D6" s="123">
        <f>"Net satış "&amp;TEXT(NetSatis,"₺ #,##0")&amp;", brüt kâr "&amp;TEXT(BrutKar,"₺ #,##0")&amp;" ("&amp;TEXT(BrutMarjOrani,"0.0%")&amp;")"</f>
        <v/>
      </c>
      <c r="E6" s="123">
        <f>"Fiyatlandırma, hammadde maliyeti veya ürün karması kaynaklı olabilir"</f>
        <v/>
      </c>
      <c r="F6" s="123">
        <f>"Brüt marj 1 puan iyileşirse kâr ~"&amp;TEXT(NetSatis/100,"₺ #,##0")&amp;" artar"</f>
        <v/>
      </c>
      <c r="G6" s="123">
        <f>IF(C6="RİSKLİ","Fiyat ve maliyet yapısını gözden geçir","Mevcut marj disiplinini sürdür")</f>
        <v/>
      </c>
      <c r="H6" s="123">
        <f>"En düşük marjlı ürünler için fiyat/maliyet analizi yap; maliyet artışlarını fiyata yansıt"</f>
        <v/>
      </c>
      <c r="I6" s="143" t="inlineStr">
        <is>
          <t>Finans Müdürü</t>
        </is>
      </c>
      <c r="J6" s="144">
        <f>RaporTarihi+StandartTermin</f>
        <v/>
      </c>
      <c r="K6" s="123">
        <f>"Brüt kâr iyileştirmesi: marj farkının tahsil edilebilir kısmı"</f>
        <v/>
      </c>
      <c r="L6" s="123">
        <f>"Marj erozyonu sürerse kârlılık ve nakit riski büyür"</f>
        <v/>
      </c>
      <c r="M6" s="143">
        <f>IF(C6="NORMAL","YÜKSEK","ORTA")</f>
        <v/>
      </c>
      <c r="N6" s="123">
        <f>IF(KayitSayisi=0,"VERİ YOK","Brüt Marj Hedefi: "&amp;TEXT(BrutMarjHedef/100,"0.0%"))</f>
        <v/>
      </c>
      <c r="O6" s="143" t="inlineStr">
        <is>
          <t>AYARLAR</t>
        </is>
      </c>
    </row>
    <row r="7" ht="61.5" customHeight="1" s="80">
      <c r="A7" s="141" t="inlineStr">
        <is>
          <t>FAALİYET MARJI HEDEFİ ALTINDA</t>
        </is>
      </c>
      <c r="B7" s="142">
        <f>IF(KayitSayisi=0,"VERİ YETERSİZ",IF(FaaliyetMarjOrani&lt;FaaliyetMarjHedef/100,"RİSKLİ",IF(FaaliyetMarjOrani&gt;=FaaliyetMarjHedef/100*(1+MarjBantOrani/100),"NORMAL","İZLE")))</f>
        <v/>
      </c>
      <c r="C7" s="123">
        <f>IF(KayitSayisi=0,"Henüz kayıt yok.",IF(FaaliyetMarjOrani&lt;FaaliyetMarjHedef/100,"Faaliyet marjı hedefin altında: "&amp;TEXT(FaaliyetMarjOrani,"0.0%")&amp;" (hedef "&amp;TEXT(FaaliyetMarjHedef/100,"0.0%")&amp;")","Faaliyet marjı hedefi karşılanıyor."))</f>
        <v/>
      </c>
      <c r="D7" s="123">
        <f>"Faaliyet kârı "&amp;TEXT(FaaliyetKari,"₺ #,##0")&amp;" / net satış "&amp;TEXT(NetSatis,"₺ #,##0")&amp;" ("&amp;TEXT(FaaliyetMarjOrani,"0.0%")&amp;")"</f>
        <v/>
      </c>
      <c r="E7" s="123">
        <f>"Sabit gider yükü veya verimlilik kaybı kaynaklı olabilir"</f>
        <v/>
      </c>
      <c r="F7" s="123">
        <f>"Faaliyet marjı 1 puan iyileşirse kâr ~"&amp;TEXT(NetSatis/100,"₺ #,##0")&amp;" artar"</f>
        <v/>
      </c>
      <c r="G7" s="123">
        <f>IF(C7="RİSKLİ","Sabit giderleri ve verimliliği gözden geçir","Mevcut verimliliği koru")</f>
        <v/>
      </c>
      <c r="H7" s="123">
        <f>"Sabit gider kalemlerini önceliklendir; düşük getirili giderleri kıs"</f>
        <v/>
      </c>
      <c r="I7" s="143" t="inlineStr">
        <is>
          <t>Mali İşler / CFO</t>
        </is>
      </c>
      <c r="J7" s="144">
        <f>RaporTarihi+UzunTermin</f>
        <v/>
      </c>
      <c r="K7" s="123">
        <f>"Sabit gider azaltımının kâra doğrudan etkisi"</f>
        <v/>
      </c>
      <c r="L7" s="123">
        <f>"Yüksek sabit gider nakit dönüşümünü yavaşlatır"</f>
        <v/>
      </c>
      <c r="M7" s="143">
        <f>IF(C7="NORMAL","YÜKSEK","ORTA")</f>
        <v/>
      </c>
      <c r="N7" s="123">
        <f>IF(KayitSayisi=0,"VERİ YOK","Faaliyet Marjı Hedefi: "&amp;TEXT(FaaliyetMarjHedef/100,"0.0%"))</f>
        <v/>
      </c>
      <c r="O7" s="143" t="inlineStr">
        <is>
          <t>AYARLAR</t>
        </is>
      </c>
    </row>
    <row r="8" ht="61.5" customHeight="1" s="80">
      <c r="A8" s="141" t="inlineStr">
        <is>
          <t>KÂR POZİTİF, NAKİT NEGATİF</t>
        </is>
      </c>
      <c r="B8" s="142">
        <f>IF(KayitSayisi=0,"VERİ YETERSİZ",IF(AND(NetSonuc&gt;0,GercekNakit&lt;0),"KRİTİK",IF(AND(NetSonuc&gt;0,GercekNakit&gt;=0,GercekNakit&lt;NetSonuc*NakitDonusumAsgari/100),"RİSKLİ","NORMAL")))</f>
        <v/>
      </c>
      <c r="C8" s="123">
        <f>IF(KayitSayisi=0,"Henüz kayıt yok.",IF(AND(NetSonuc&gt;0,GercekNakit&lt;0),"Muhasebe kârı pozitif ancak gerçek nakit değişimi negatif: "&amp;TEXT(GercekNakit,"₺ #,##0"),"Nakit pozisyonu kâr ile uyumlu."))</f>
        <v/>
      </c>
      <c r="D8" s="123">
        <f>"Kâr "&amp;TEXT(NetSonuc,"₺ #,##0")&amp;", nakit "&amp;TEXT(GercekNakit,"₺ #,##0")&amp;", dönüşüm "&amp;TEXT(NakitDonusumOrani,"0.0%")</f>
        <v/>
      </c>
      <c r="E8" s="123">
        <f>"Tahsilat gecikmesi, stok artışı, kredi anapara, yatırım ve ortak çekişi nakdi tüketiyor"</f>
        <v/>
      </c>
      <c r="F8" s="123">
        <f>"Likidite baskısı: zorunlu ödemeler aksayabilir"</f>
        <v/>
      </c>
      <c r="G8" s="123">
        <f>IF(C8="KRİTİK","Tahsilat ve nakit planını acil önceliklendir","Nakit akışını izlemeye devam et")</f>
        <v/>
      </c>
      <c r="H8" s="123">
        <f>"Vadesi geçmiş alacak takibi, stok azaltma, kredi anapara yapılandırması"</f>
        <v/>
      </c>
      <c r="I8" s="143" t="inlineStr">
        <is>
          <t>CFO / Mali İşler</t>
        </is>
      </c>
      <c r="J8" s="144">
        <f>RaporTarihi+7</f>
        <v/>
      </c>
      <c r="K8" s="123">
        <f>"Tahsilat hızlandırmanın nakit etkisi: tahsil edilmemiş satış tutarı"</f>
        <v/>
      </c>
      <c r="L8" s="123">
        <f>"Karşılıksız ödeme ve borç krizi riski"</f>
        <v/>
      </c>
      <c r="M8" s="143" t="inlineStr">
        <is>
          <t>YÜKSEK</t>
        </is>
      </c>
      <c r="N8" s="123">
        <f>"Kâr&gt;0 ve Nakit&lt;0 kuralı"</f>
        <v/>
      </c>
      <c r="O8" s="143" t="inlineStr">
        <is>
          <t>KARAR_MOTORU</t>
        </is>
      </c>
    </row>
    <row r="9" ht="61.5" customHeight="1" s="80">
      <c r="A9" s="141" t="inlineStr">
        <is>
          <t>CİRO ARTARKEN KÂR DÜŞÜYOR</t>
        </is>
      </c>
      <c r="B9" s="142">
        <f>IF(KayitSayisi=0,"VERİ YETERSİZ",IF(AND(SonAySatis&gt;OncekiAySatis,SonAyFaaliyet&lt;OncekiAyFaaliyet),"RİSKLİ",IF(AND(SonAySatis=0,OncekiAySatis=0),"VERİ YETERSİZ","NORMAL")))</f>
        <v/>
      </c>
      <c r="C9" s="123">
        <f>IF(KayitSayisi=0,"Henüz kayıt yok.",IF(AND(SonAySatis&gt;OncekiAySatis,SonAyFaaliyet&lt;OncekiAyFaaliyet),"Ciro artıyor ama faaliyet kârı düşüyor: düşük marjlı satış artışı","Ciro ve kâr eğilimi uyumlu."))</f>
        <v/>
      </c>
      <c r="D9" s="123">
        <f>"Son ay satış "&amp;TEXT(SonAySatis,"₺ #,##0")&amp;", faaliyet "&amp;TEXT(SonAyFaaliyet,"₺ #,##0")&amp;" / önceki ay satış "&amp;TEXT(OncekiAySatis,"₺ #,##0")&amp;", faaliyet "&amp;TEXT(OncekiAyFaaliyet,"₺ #,##0")</f>
        <v/>
      </c>
      <c r="E9" s="123">
        <f>"Düşük marjlı ürün ağırlığı veya maliyet artışı"</f>
        <v/>
      </c>
      <c r="F9" s="123">
        <f>"Marj erozyonu büyümenin kârlılığını siliyor"</f>
        <v/>
      </c>
      <c r="G9" s="123">
        <f>IF(C9="RİSKLİ","Ürün karmasını ve fiyat disiplinini gözden geçir","Büyüme kârlılıkla uyumlu")</f>
        <v/>
      </c>
      <c r="H9" s="123">
        <f>"En çok ciro getiren ama düşük marjlı ürünleri tespit et; fiyat/maliyet dengesi kur"</f>
        <v/>
      </c>
      <c r="I9" s="143" t="inlineStr">
        <is>
          <t>Satış Direktörü</t>
        </is>
      </c>
      <c r="J9" s="144">
        <f>RaporTarihi+UzunTermin</f>
        <v/>
      </c>
      <c r="K9" s="123">
        <f>"Marj iyileştirmesi: faaliyet kârı farkının kazanımı"</f>
        <v/>
      </c>
      <c r="L9" s="123">
        <f>"Büyüme kârsız kalır, nakit tükenir"</f>
        <v/>
      </c>
      <c r="M9" s="143" t="inlineStr">
        <is>
          <t>ORTA</t>
        </is>
      </c>
      <c r="N9" s="123">
        <f>"Ay bazında satış/faaliyet kârı karşılaştırması"</f>
        <v/>
      </c>
      <c r="O9" s="143" t="inlineStr">
        <is>
          <t>AYLIK_KARLILIK</t>
        </is>
      </c>
    </row>
    <row r="10" ht="61.5" customHeight="1" s="80">
      <c r="A10" s="141" t="inlineStr">
        <is>
          <t>ORTAK ÇEKİŞİ NET KÂRI AŞIYOR</t>
        </is>
      </c>
      <c r="B10" s="142">
        <f>IF(KayitSayisi=0,"VERİ YETERSİZ",IF(AND(NetSonuc&gt;0,OrtakCekis&gt;NetSonuc*OrtakCekisEsik/100),"KRİTİK",IF(AND(NetSonuc&lt;=0,OrtakCekis&gt;0),"RİSKLİ","NORMAL")))</f>
        <v/>
      </c>
      <c r="C10" s="123">
        <f>IF(KayitSayisi=0,"Henüz kayıt yok.",IF(AND(NetSonuc&gt;0,OrtakCekis&gt;NetSonuc*OrtakCekisEsik/100),"Ortak çekişi net kârı aşıyor: "&amp;TEXT(OrtakCekis,"₺ #,##0"),"Ortak çekişi kâr disiplinine uygun."))</f>
        <v/>
      </c>
      <c r="D10" s="123">
        <f>"Ortak çekişi "&amp;TEXT(OrtakCekis,"₺ #,##0")&amp;" / net kâr "&amp;TEXT(NetSonuc,"₺ #,##0")</f>
        <v/>
      </c>
      <c r="E10" s="123">
        <f>"Kâr dağıtım disiplini ve işletme sermayesi koruması eksik"</f>
        <v/>
      </c>
      <c r="F10" s="123">
        <f>"İşletmeden nakit çıkışı kârlılığı değil, nakit pozisyonunu bozar"</f>
        <v/>
      </c>
      <c r="G10" s="123">
        <f>IF(C10="KRİTİK","Ortak çekişini net kârla sınırla","Mevcut çekiş politikasını sürdür")</f>
        <v/>
      </c>
      <c r="H10" s="123">
        <f>"Kâr dağıtım politikası belirle; çekişleri önceden planla"</f>
        <v/>
      </c>
      <c r="I10" s="143" t="inlineStr">
        <is>
          <t>Yönetim Kurulu / Ortaklar</t>
        </is>
      </c>
      <c r="J10" s="144">
        <f>RaporTarihi+30</f>
        <v/>
      </c>
      <c r="K10" s="123">
        <f>"Çekiş azaltımının işletmede bıraktığı nakit"</f>
        <v/>
      </c>
      <c r="L10" s="123">
        <f>"İşletme sermayesi erir, ödeme gücü zayıflar"</f>
        <v/>
      </c>
      <c r="M10" s="143" t="inlineStr">
        <is>
          <t>YÜKSEK</t>
        </is>
      </c>
      <c r="N10" s="123">
        <f>IF(KayitSayisi=0,"VERİ YOK","Ortak Çekişi Eşiği: "&amp;TEXT(OrtakCekisEsik/100,"0%")&amp;" net kâr")</f>
        <v/>
      </c>
      <c r="O10" s="143" t="inlineStr">
        <is>
          <t>AYARLAR</t>
        </is>
      </c>
    </row>
    <row r="11" ht="61.5" customHeight="1" s="80">
      <c r="A11" s="141" t="inlineStr">
        <is>
          <t>FİNANSMAN GİDERİ YÜKSEK PAY</t>
        </is>
      </c>
      <c r="B11" s="142">
        <f>IF(KayitSayisi=0,"VERİ YETERSİZ",IF(AND(FaaliyetKari&gt;0,FinansmanGider&gt;FaaliyetKari*FinansmanEsik/100),"RİSKLİ",IF(FinansmanGider&gt;0,"İZLE","NORMAL")))</f>
        <v/>
      </c>
      <c r="C11" s="123">
        <f>IF(KayitSayisi=0,"Henüz kayıt yok.",IF(AND(FaaliyetKari&gt;0,FinansmanGider&gt;FaaliyetKari*FinansmanEsik/100),"Finansman gideri faaliyet kârının önemli kısmına ulaşıyor","Finansman yükü kontrol altında."))</f>
        <v/>
      </c>
      <c r="D11" s="123">
        <f>"Finansman gideri "&amp;TEXT(FinansmanGider,"₺ #,##0")&amp;" / faaliyet kârı "&amp;TEXT(FaaliyetKari,"₺ #,##0")</f>
        <v/>
      </c>
      <c r="E11" s="123">
        <f>"Yüksek borç maliyeti"</f>
        <v/>
      </c>
      <c r="F11" s="123">
        <f>"Kârlılığın büyük bölümü borç maliyetine gidiyor"</f>
        <v/>
      </c>
      <c r="G11" s="123">
        <f>IF(C11="RİSKLİ","Borç maliyetini düşür","Borç servisini sürdür")</f>
        <v/>
      </c>
      <c r="H11" s="123">
        <f>"Kredi yeniden yapılandırma, erken ödeme veya faiz karşılaştırması"</f>
        <v/>
      </c>
      <c r="I11" s="143" t="inlineStr">
        <is>
          <t>Finans Müdürü</t>
        </is>
      </c>
      <c r="J11" s="144">
        <f>RaporTarihi+30</f>
        <v/>
      </c>
      <c r="K11" s="123">
        <f>"Faiz tasarrufu: finansman giderinin azalan kısmı"</f>
        <v/>
      </c>
      <c r="L11" s="123">
        <f>"Borç sarmalı riski"</f>
        <v/>
      </c>
      <c r="M11" s="143" t="inlineStr">
        <is>
          <t>ORTA</t>
        </is>
      </c>
      <c r="N11" s="123">
        <f>IF(KayitSayisi=0,"VERİ YOK","Finansman Gideri Eşiği: "&amp;TEXT(FinansmanEsik/100,"0%")&amp;" faaliyet kârı")</f>
        <v/>
      </c>
      <c r="O11" s="143" t="inlineStr">
        <is>
          <t>AYARLAR</t>
        </is>
      </c>
    </row>
    <row r="12" ht="61.5" customHeight="1" s="80">
      <c r="A12" s="141" t="inlineStr">
        <is>
          <t>TEK SEFERLİK GELİR YAPAY KÂR</t>
        </is>
      </c>
      <c r="B12" s="142">
        <f>IF(KayitSayisi=0,"VERİ YETERSİZ",IF(AND(NetSonuc&gt;0,OlagandisiNet&gt;NetSonuc*OlagandisiEsik/100),"İZLE",IF(OlagandisiNet&gt;0,"İZLE","NORMAL")))</f>
        <v/>
      </c>
      <c r="C12" s="123">
        <f>IF(KayitSayisi=0,"Henüz kayıt yok.",IF(OlagandisiNet&gt;0,"Tek seferlik/olağandışı gelirler net kârı yapay yükseltiyor olabilir","Olağandışı etki önemsiz."))</f>
        <v/>
      </c>
      <c r="D12" s="123">
        <f>"Olağandışı net etki "&amp;TEXT(OlagandisiNet,"₺ #,##0")&amp;" / net sonuç "&amp;TEXT(NetSonuc,"₺ #,##0")</f>
        <v/>
      </c>
      <c r="E12" s="123">
        <f>"Normalize edilmemiş raporlama"</f>
        <v/>
      </c>
      <c r="F12" s="123">
        <f>"Tek seferlik etkiler kalıcı kârlılık gibi algılanabilir"</f>
        <v/>
      </c>
      <c r="G12" s="123">
        <f>IF(C12="İZLE","Normalize edilmiş sonucu ayrı göster","Mevcut raporlamayı sürdür")</f>
        <v/>
      </c>
      <c r="H12" s="123">
        <f>"Tek seferlik gelirleri ayrı sınıflandır; trend karşılaştırmasında hariç tut"</f>
        <v/>
      </c>
      <c r="I12" s="143" t="inlineStr">
        <is>
          <t>Mali İşler</t>
        </is>
      </c>
      <c r="J12" s="144">
        <f>RaporTarihi+StandartTermin</f>
        <v/>
      </c>
      <c r="K12" s="123">
        <f>"Karar kalitesi: normalize sonuç üzerinden yönetim"</f>
        <v/>
      </c>
      <c r="L12" s="123">
        <f>"Yanlış büyüme/kâr algısı"</f>
        <v/>
      </c>
      <c r="M12" s="143" t="inlineStr">
        <is>
          <t>ORTA</t>
        </is>
      </c>
      <c r="N12" s="123">
        <f>"Olağandışı / Net Kâr &gt; %20 kuralı"</f>
        <v/>
      </c>
      <c r="O12" s="143" t="inlineStr">
        <is>
          <t>KARAR_MOTORU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C6:C12">
    <cfRule type="cellIs" rank="0" priority="2" equalAverage="0" operator="equal" aboveAverage="0" dxfId="13" text="" percent="0" bottom="0">
      <formula>"RİSKLİ"</formula>
    </cfRule>
    <cfRule type="cellIs" rank="0" priority="3" equalAverage="0" operator="equal" aboveAverage="0" dxfId="7" text="" percent="0" bottom="0">
      <formula>"NORMAL"</formula>
    </cfRule>
    <cfRule type="cellIs" rank="0" priority="4" equalAverage="0" operator="equal" aboveAverage="0" dxfId="8" text="" percent="0" bottom="0">
      <formula>"İZLE"</formula>
    </cfRule>
    <cfRule type="cellIs" rank="0" priority="5" equalAverage="0" operator="equal" aboveAverage="0" dxfId="14" text="" percent="0" bottom="0">
      <formula>"VERİ YETERSİZ"</formula>
    </cfRule>
  </conditionalFormatting>
  <conditionalFormatting sqref="B6:B12">
    <cfRule type="cellIs" rank="0" priority="6" equalAverage="0" operator="lessThan" aboveAverage="0" dxfId="12" text="" percent="0" bottom="0">
      <formula>0</formula>
    </cfRule>
    <cfRule type="cellIs" rank="0" priority="7" equalAverage="0" operator="greaterThan" aboveAverage="0" dxfId="7" text="" percent="0" bottom="0">
      <formula>0</formula>
    </cfRule>
  </conditionalFormatting>
  <conditionalFormatting sqref="J6:J12">
    <cfRule type="expression" rank="0" priority="8" equalAverage="0" aboveAverage="0" dxfId="12" text="" percent="0" bottom="0">
      <formula>J6&lt;RaporTarihi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1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6" min="1" max="1"/>
    <col width="14" customWidth="1" style="106" min="2" max="2"/>
    <col width="2" customWidth="1" style="106" min="3" max="5"/>
    <col width="16" customWidth="1" style="106" min="6" max="6"/>
    <col width="2" customWidth="1" style="106" min="7" max="10"/>
    <col width="16" customWidth="1" style="106" min="11" max="11"/>
    <col width="2" customWidth="1" style="106" min="12" max="13"/>
    <col width="16" customWidth="1" style="106" min="14" max="14"/>
    <col width="2" customWidth="1" style="106" min="15" max="15"/>
    <col width="16" customWidth="1" style="106" min="16" max="16"/>
    <col width="2" customWidth="1" style="106" min="17" max="20"/>
    <col width="16" customWidth="1" style="106" min="21" max="21"/>
    <col width="2" customWidth="1" style="106" min="22" max="26"/>
  </cols>
  <sheetData>
    <row r="1" ht="25.5" customHeight="1" s="80">
      <c r="A1" s="107" t="inlineStr">
        <is>
          <t>PANO — GÜNLÜK GELİR–GİDER VE GERÇEK KÂRLILIK SİSTEMİ</t>
        </is>
      </c>
    </row>
    <row r="2" ht="19.5" customHeight="1" s="80">
      <c r="A2" s="108" t="inlineStr">
        <is>
          <t>Tek ekran karar paneli. Tüm değerler otomatik hesaplanır; 1920x1080 ekranda yatay kaydırma gerektirmez.</t>
        </is>
      </c>
    </row>
    <row r="4" ht="15" customHeight="1" s="80">
      <c r="F4" s="145" t="inlineStr">
        <is>
          <t>Net Satış</t>
        </is>
      </c>
      <c r="K4" s="145" t="inlineStr">
        <is>
          <t>Faaliyet Marjı</t>
        </is>
      </c>
      <c r="P4" s="145" t="inlineStr">
        <is>
          <t>Gerçek Nakit Değişimi</t>
        </is>
      </c>
      <c r="U4" s="145" t="inlineStr">
        <is>
          <t>Başabaş Ciro</t>
        </is>
      </c>
    </row>
    <row r="5" ht="29.25" customHeight="1" s="80">
      <c r="F5" s="146">
        <f>NetSatis</f>
        <v/>
      </c>
      <c r="K5" s="147">
        <f>FaaliyetMarjOrani</f>
        <v/>
      </c>
      <c r="P5" s="148">
        <f>GercekNakit</f>
        <v/>
      </c>
      <c r="U5" s="146">
        <f>BasabasCiro</f>
        <v/>
      </c>
    </row>
    <row r="8" ht="15" customHeight="1" s="80">
      <c r="F8" s="145" t="inlineStr">
        <is>
          <t>Brüt Marj</t>
        </is>
      </c>
      <c r="K8" s="145" t="inlineStr">
        <is>
          <t>Net Sonuç</t>
        </is>
      </c>
      <c r="P8" s="145" t="inlineStr">
        <is>
          <t>Nakit Dönüşüm Oranı</t>
        </is>
      </c>
      <c r="U8" s="145" t="inlineStr">
        <is>
          <t>Ortak Çekişi</t>
        </is>
      </c>
    </row>
    <row r="9" ht="29.25" customHeight="1" s="80">
      <c r="F9" s="149">
        <f>BrutMarjOrani</f>
        <v/>
      </c>
      <c r="K9" s="148">
        <f>NetSonuc</f>
        <v/>
      </c>
      <c r="P9" s="147">
        <f>NakitDonusumOrani</f>
        <v/>
      </c>
      <c r="U9" s="148">
        <f>OrtakCekis</f>
        <v/>
      </c>
    </row>
    <row r="24" ht="15" customHeight="1" s="80">
      <c r="A24" s="150" t="inlineStr">
        <is>
          <t>DURUM KARTI</t>
        </is>
      </c>
      <c r="B24" s="106" t="n"/>
    </row>
    <row r="25" ht="18" customHeight="1" s="80">
      <c r="A25" s="151" t="inlineStr">
        <is>
          <t>Veri Kalite Skoru</t>
        </is>
      </c>
      <c r="B25" s="152">
        <f>VeriKaliteSkor</f>
        <v/>
      </c>
    </row>
    <row r="26" ht="18" customHeight="1" s="80">
      <c r="A26" s="151" t="inlineStr">
        <is>
          <t>Güven Seviyesi</t>
        </is>
      </c>
      <c r="B26" s="153">
        <f>KONTROLLER!$B$29</f>
        <v/>
      </c>
    </row>
    <row r="27" ht="18" customHeight="1" s="80">
      <c r="A27" s="151" t="inlineStr">
        <is>
          <t>Çalışma Kitabı Sağlığı</t>
        </is>
      </c>
      <c r="B27" s="153">
        <f>KONTROLLER!$B$33</f>
        <v/>
      </c>
    </row>
    <row r="28" ht="15" customHeight="1" s="80">
      <c r="A28" s="151" t="inlineStr">
        <is>
          <t>Son Güncelleme</t>
        </is>
      </c>
      <c r="B28" s="153">
        <f>TEXT(RaporTarihi,"dd.mm.yyyy")</f>
        <v/>
      </c>
    </row>
    <row r="30" ht="15" customHeight="1" s="80">
      <c r="A30" s="154">
        <f>IF(KayitSayisi=0,"Henüz belge girişi yapılmamıştır; çalışma kitabı VERİ YETERSİZ durumundadır.","Rapor döneminde net satış "&amp;TEXT(NetSatis,"₺ #,##0")&amp;", net sonuç "&amp;TEXT(NetSonuc,"₺ #,##0")&amp;" ve gerçek nakit değişimi "&amp;TEXT(GercekNakit,"₺ #,##0")&amp;" olmuştur. "&amp;IF(AND(NetSonuc&gt;0,GercekNakit&lt;0),"Ciro ve kâr var ama para yok: tahsilat, stok ve finansman kaynaklı nakit tüketimi ödeme güvenliğini tehdit ediyor.","Nakit pozisyonu kâr ile uyumlu görünüyor.")&amp;" Veri kalite skoru "&amp;TEXT(VeriKaliteSkor,"0")&amp;"/100 düzeyindedir.")</f>
        <v/>
      </c>
    </row>
    <row r="31" ht="15" customHeight="1" s="80"/>
    <row r="42" ht="15" customHeight="1" s="80">
      <c r="A42" s="151" t="inlineStr">
        <is>
          <t>GRAFİK VERİ KAYNAĞI (otomatik)</t>
        </is>
      </c>
    </row>
    <row r="43" ht="15" customHeight="1" s="80">
      <c r="A43" s="141" t="inlineStr">
        <is>
          <t>Tarih</t>
        </is>
      </c>
      <c r="B43" s="141" t="inlineStr">
        <is>
          <t>Net Nakit</t>
        </is>
      </c>
      <c r="C43" s="141" t="inlineStr">
        <is>
          <t>Kümülatif Nakit</t>
        </is>
      </c>
    </row>
    <row r="44" ht="15" customHeight="1" s="80">
      <c r="A44" s="155">
        <f>GUNLUK_OZET!A6</f>
        <v/>
      </c>
      <c r="B44" s="156">
        <f>GUNLUK_OZET!D6</f>
        <v/>
      </c>
      <c r="C44" s="156">
        <f>GUNLUK_OZET!F6</f>
        <v/>
      </c>
    </row>
    <row r="45" ht="15" customHeight="1" s="80">
      <c r="A45" s="155">
        <f>GUNLUK_OZET!A7</f>
        <v/>
      </c>
      <c r="B45" s="156">
        <f>GUNLUK_OZET!D7</f>
        <v/>
      </c>
      <c r="C45" s="156">
        <f>GUNLUK_OZET!F7</f>
        <v/>
      </c>
    </row>
    <row r="46" ht="15" customHeight="1" s="80">
      <c r="A46" s="155">
        <f>GUNLUK_OZET!A8</f>
        <v/>
      </c>
      <c r="B46" s="156">
        <f>GUNLUK_OZET!D8</f>
        <v/>
      </c>
      <c r="C46" s="156">
        <f>GUNLUK_OZET!F8</f>
        <v/>
      </c>
    </row>
    <row r="47" ht="15" customHeight="1" s="80">
      <c r="A47" s="155">
        <f>GUNLUK_OZET!A9</f>
        <v/>
      </c>
      <c r="B47" s="156">
        <f>GUNLUK_OZET!D9</f>
        <v/>
      </c>
      <c r="C47" s="156">
        <f>GUNLUK_OZET!F9</f>
        <v/>
      </c>
    </row>
    <row r="48" ht="15" customHeight="1" s="80">
      <c r="A48" s="155">
        <f>GUNLUK_OZET!A10</f>
        <v/>
      </c>
      <c r="B48" s="156">
        <f>GUNLUK_OZET!D10</f>
        <v/>
      </c>
      <c r="C48" s="156">
        <f>GUNLUK_OZET!F10</f>
        <v/>
      </c>
    </row>
    <row r="49" ht="15" customHeight="1" s="80">
      <c r="A49" s="155">
        <f>GUNLUK_OZET!A11</f>
        <v/>
      </c>
      <c r="B49" s="156">
        <f>GUNLUK_OZET!D11</f>
        <v/>
      </c>
      <c r="C49" s="156">
        <f>GUNLUK_OZET!F11</f>
        <v/>
      </c>
    </row>
    <row r="50" ht="15" customHeight="1" s="80">
      <c r="A50" s="155">
        <f>GUNLUK_OZET!A12</f>
        <v/>
      </c>
      <c r="B50" s="156">
        <f>GUNLUK_OZET!D12</f>
        <v/>
      </c>
      <c r="C50" s="156">
        <f>GUNLUK_OZET!F12</f>
        <v/>
      </c>
    </row>
    <row r="51" ht="15" customHeight="1" s="80">
      <c r="A51" s="155">
        <f>GUNLUK_OZET!A13</f>
        <v/>
      </c>
      <c r="B51" s="156">
        <f>GUNLUK_OZET!D13</f>
        <v/>
      </c>
      <c r="C51" s="156">
        <f>GUNLUK_OZET!F13</f>
        <v/>
      </c>
    </row>
    <row r="52" ht="15" customHeight="1" s="80">
      <c r="A52" s="155">
        <f>GUNLUK_OZET!A14</f>
        <v/>
      </c>
      <c r="B52" s="156">
        <f>GUNLUK_OZET!D14</f>
        <v/>
      </c>
      <c r="C52" s="156">
        <f>GUNLUK_OZET!F14</f>
        <v/>
      </c>
    </row>
    <row r="53" ht="15" customHeight="1" s="80">
      <c r="A53" s="155">
        <f>GUNLUK_OZET!A15</f>
        <v/>
      </c>
      <c r="B53" s="156">
        <f>GUNLUK_OZET!D15</f>
        <v/>
      </c>
      <c r="C53" s="156">
        <f>GUNLUK_OZET!F15</f>
        <v/>
      </c>
    </row>
    <row r="54" ht="15" customHeight="1" s="80">
      <c r="A54" s="155">
        <f>GUNLUK_OZET!A16</f>
        <v/>
      </c>
      <c r="B54" s="156">
        <f>GUNLUK_OZET!D16</f>
        <v/>
      </c>
      <c r="C54" s="156">
        <f>GUNLUK_OZET!F16</f>
        <v/>
      </c>
    </row>
    <row r="55" ht="15" customHeight="1" s="80">
      <c r="A55" s="155">
        <f>GUNLUK_OZET!A17</f>
        <v/>
      </c>
      <c r="B55" s="156">
        <f>GUNLUK_OZET!D17</f>
        <v/>
      </c>
      <c r="C55" s="156">
        <f>GUNLUK_OZET!F17</f>
        <v/>
      </c>
    </row>
    <row r="56" ht="15" customHeight="1" s="80">
      <c r="A56" s="155">
        <f>GUNLUK_OZET!A18</f>
        <v/>
      </c>
      <c r="B56" s="156">
        <f>GUNLUK_OZET!D18</f>
        <v/>
      </c>
      <c r="C56" s="156">
        <f>GUNLUK_OZET!F18</f>
        <v/>
      </c>
    </row>
    <row r="57" ht="15" customHeight="1" s="80">
      <c r="A57" s="155">
        <f>GUNLUK_OZET!A19</f>
        <v/>
      </c>
      <c r="B57" s="156">
        <f>GUNLUK_OZET!D19</f>
        <v/>
      </c>
      <c r="C57" s="156">
        <f>GUNLUK_OZET!F19</f>
        <v/>
      </c>
    </row>
    <row r="58" ht="15" customHeight="1" s="80">
      <c r="A58" s="155">
        <f>GUNLUK_OZET!A20</f>
        <v/>
      </c>
      <c r="B58" s="156">
        <f>GUNLUK_OZET!D20</f>
        <v/>
      </c>
      <c r="C58" s="156">
        <f>GUNLUK_OZET!F20</f>
        <v/>
      </c>
    </row>
    <row r="59" ht="15" customHeight="1" s="80">
      <c r="A59" s="155">
        <f>GUNLUK_OZET!A21</f>
        <v/>
      </c>
      <c r="B59" s="156">
        <f>GUNLUK_OZET!D21</f>
        <v/>
      </c>
      <c r="C59" s="156">
        <f>GUNLUK_OZET!F21</f>
        <v/>
      </c>
    </row>
    <row r="60" ht="15" customHeight="1" s="80">
      <c r="A60" s="155">
        <f>GUNLUK_OZET!A22</f>
        <v/>
      </c>
      <c r="B60" s="156">
        <f>GUNLUK_OZET!D22</f>
        <v/>
      </c>
      <c r="C60" s="156">
        <f>GUNLUK_OZET!F22</f>
        <v/>
      </c>
    </row>
    <row r="61" ht="15" customHeight="1" s="80">
      <c r="A61" s="155">
        <f>GUNLUK_OZET!A23</f>
        <v/>
      </c>
      <c r="B61" s="156">
        <f>GUNLUK_OZET!D23</f>
        <v/>
      </c>
      <c r="C61" s="156">
        <f>GUNLUK_OZET!F23</f>
        <v/>
      </c>
    </row>
    <row r="62" ht="15" customHeight="1" s="80">
      <c r="A62" s="155">
        <f>GUNLUK_OZET!A24</f>
        <v/>
      </c>
      <c r="B62" s="156">
        <f>GUNLUK_OZET!D24</f>
        <v/>
      </c>
      <c r="C62" s="156">
        <f>GUNLUK_OZET!F24</f>
        <v/>
      </c>
    </row>
    <row r="63" ht="15" customHeight="1" s="80">
      <c r="A63" s="155">
        <f>GUNLUK_OZET!A25</f>
        <v/>
      </c>
      <c r="B63" s="156">
        <f>GUNLUK_OZET!D25</f>
        <v/>
      </c>
      <c r="C63" s="156">
        <f>GUNLUK_OZET!F25</f>
        <v/>
      </c>
    </row>
    <row r="64" ht="15" customHeight="1" s="80">
      <c r="A64" s="155">
        <f>GUNLUK_OZET!A26</f>
        <v/>
      </c>
      <c r="B64" s="156">
        <f>GUNLUK_OZET!D26</f>
        <v/>
      </c>
      <c r="C64" s="156">
        <f>GUNLUK_OZET!F26</f>
        <v/>
      </c>
    </row>
    <row r="65" ht="15" customHeight="1" s="80">
      <c r="A65" s="155">
        <f>GUNLUK_OZET!A27</f>
        <v/>
      </c>
      <c r="B65" s="156">
        <f>GUNLUK_OZET!D27</f>
        <v/>
      </c>
      <c r="C65" s="156">
        <f>GUNLUK_OZET!F27</f>
        <v/>
      </c>
    </row>
    <row r="66" ht="15" customHeight="1" s="80">
      <c r="A66" s="155">
        <f>GUNLUK_OZET!A28</f>
        <v/>
      </c>
      <c r="B66" s="156">
        <f>GUNLUK_OZET!D28</f>
        <v/>
      </c>
      <c r="C66" s="156">
        <f>GUNLUK_OZET!F28</f>
        <v/>
      </c>
    </row>
    <row r="67" ht="15" customHeight="1" s="80">
      <c r="A67" s="155">
        <f>GUNLUK_OZET!A29</f>
        <v/>
      </c>
      <c r="B67" s="156">
        <f>GUNLUK_OZET!D29</f>
        <v/>
      </c>
      <c r="C67" s="156">
        <f>GUNLUK_OZET!F29</f>
        <v/>
      </c>
    </row>
    <row r="68" ht="15" customHeight="1" s="80">
      <c r="A68" s="155">
        <f>GUNLUK_OZET!A30</f>
        <v/>
      </c>
      <c r="B68" s="156">
        <f>GUNLUK_OZET!D30</f>
        <v/>
      </c>
      <c r="C68" s="156">
        <f>GUNLUK_OZET!F30</f>
        <v/>
      </c>
    </row>
    <row r="69" ht="15" customHeight="1" s="80">
      <c r="A69" s="155">
        <f>GUNLUK_OZET!A31</f>
        <v/>
      </c>
      <c r="B69" s="156">
        <f>GUNLUK_OZET!D31</f>
        <v/>
      </c>
      <c r="C69" s="156">
        <f>GUNLUK_OZET!F31</f>
        <v/>
      </c>
    </row>
    <row r="70" ht="15" customHeight="1" s="80">
      <c r="A70" s="155">
        <f>GUNLUK_OZET!A32</f>
        <v/>
      </c>
      <c r="B70" s="156">
        <f>GUNLUK_OZET!D32</f>
        <v/>
      </c>
      <c r="C70" s="156">
        <f>GUNLUK_OZET!F32</f>
        <v/>
      </c>
    </row>
    <row r="71" ht="15" customHeight="1" s="80">
      <c r="A71" s="155">
        <f>GUNLUK_OZET!A33</f>
        <v/>
      </c>
      <c r="B71" s="156">
        <f>GUNLUK_OZET!D33</f>
        <v/>
      </c>
      <c r="C71" s="156">
        <f>GUNLUK_OZET!F33</f>
        <v/>
      </c>
    </row>
    <row r="72" ht="15" customHeight="1" s="80">
      <c r="A72" s="155">
        <f>GUNLUK_OZET!A34</f>
        <v/>
      </c>
      <c r="B72" s="156">
        <f>GUNLUK_OZET!D34</f>
        <v/>
      </c>
      <c r="C72" s="156">
        <f>GUNLUK_OZET!F34</f>
        <v/>
      </c>
    </row>
    <row r="73" ht="15" customHeight="1" s="80">
      <c r="A73" s="155">
        <f>GUNLUK_OZET!A35</f>
        <v/>
      </c>
      <c r="B73" s="156">
        <f>GUNLUK_OZET!D35</f>
        <v/>
      </c>
      <c r="C73" s="156">
        <f>GUNLUK_OZET!F35</f>
        <v/>
      </c>
    </row>
    <row r="74" ht="15" customHeight="1" s="80">
      <c r="A74" s="155">
        <f>GUNLUK_OZET!A36</f>
        <v/>
      </c>
      <c r="B74" s="156">
        <f>GUNLUK_OZET!D36</f>
        <v/>
      </c>
      <c r="C74" s="156">
        <f>GUNLUK_OZET!F36</f>
        <v/>
      </c>
    </row>
    <row r="75" ht="15" customHeight="1" s="80">
      <c r="A75" s="155">
        <f>GUNLUK_OZET!A37</f>
        <v/>
      </c>
      <c r="B75" s="156">
        <f>GUNLUK_OZET!D37</f>
        <v/>
      </c>
      <c r="C75" s="156">
        <f>GUNLUK_OZET!F37</f>
        <v/>
      </c>
    </row>
    <row r="76" ht="15" customHeight="1" s="80">
      <c r="A76" s="155">
        <f>GUNLUK_OZET!A38</f>
        <v/>
      </c>
      <c r="B76" s="156">
        <f>GUNLUK_OZET!D38</f>
        <v/>
      </c>
      <c r="C76" s="156">
        <f>GUNLUK_OZET!F38</f>
        <v/>
      </c>
    </row>
    <row r="77" ht="15" customHeight="1" s="80">
      <c r="A77" s="155">
        <f>GUNLUK_OZET!A39</f>
        <v/>
      </c>
      <c r="B77" s="156">
        <f>GUNLUK_OZET!D39</f>
        <v/>
      </c>
      <c r="C77" s="156">
        <f>GUNLUK_OZET!F39</f>
        <v/>
      </c>
    </row>
    <row r="78" ht="15" customHeight="1" s="80">
      <c r="A78" s="155">
        <f>GUNLUK_OZET!A40</f>
        <v/>
      </c>
      <c r="B78" s="156">
        <f>GUNLUK_OZET!D40</f>
        <v/>
      </c>
      <c r="C78" s="156">
        <f>GUNLUK_OZET!F40</f>
        <v/>
      </c>
    </row>
    <row r="79" ht="15" customHeight="1" s="80">
      <c r="A79" s="155">
        <f>GUNLUK_OZET!A41</f>
        <v/>
      </c>
      <c r="B79" s="156">
        <f>GUNLUK_OZET!D41</f>
        <v/>
      </c>
      <c r="C79" s="156">
        <f>GUNLUK_OZET!F41</f>
        <v/>
      </c>
    </row>
    <row r="80" ht="15" customHeight="1" s="80">
      <c r="A80" s="155">
        <f>GUNLUK_OZET!A42</f>
        <v/>
      </c>
      <c r="B80" s="156">
        <f>GUNLUK_OZET!D42</f>
        <v/>
      </c>
      <c r="C80" s="156">
        <f>GUNLUK_OZET!F42</f>
        <v/>
      </c>
    </row>
    <row r="81" ht="15" customHeight="1" s="80">
      <c r="A81" s="155">
        <f>GUNLUK_OZET!A43</f>
        <v/>
      </c>
      <c r="B81" s="156">
        <f>GUNLUK_OZET!D43</f>
        <v/>
      </c>
      <c r="C81" s="156">
        <f>GUNLUK_OZET!F43</f>
        <v/>
      </c>
    </row>
    <row r="82" ht="15" customHeight="1" s="80">
      <c r="A82" s="155">
        <f>GUNLUK_OZET!A44</f>
        <v/>
      </c>
      <c r="B82" s="156">
        <f>GUNLUK_OZET!D44</f>
        <v/>
      </c>
      <c r="C82" s="156">
        <f>GUNLUK_OZET!F44</f>
        <v/>
      </c>
    </row>
    <row r="83" ht="15" customHeight="1" s="80">
      <c r="A83" s="155">
        <f>GUNLUK_OZET!A45</f>
        <v/>
      </c>
      <c r="B83" s="156">
        <f>GUNLUK_OZET!D45</f>
        <v/>
      </c>
      <c r="C83" s="156">
        <f>GUNLUK_OZET!F45</f>
        <v/>
      </c>
    </row>
    <row r="84" ht="15" customHeight="1" s="80">
      <c r="A84" s="155">
        <f>GUNLUK_OZET!A46</f>
        <v/>
      </c>
      <c r="B84" s="156">
        <f>GUNLUK_OZET!D46</f>
        <v/>
      </c>
      <c r="C84" s="156">
        <f>GUNLUK_OZET!F46</f>
        <v/>
      </c>
    </row>
    <row r="85" ht="15" customHeight="1" s="80">
      <c r="A85" s="155">
        <f>GUNLUK_OZET!A47</f>
        <v/>
      </c>
      <c r="B85" s="156">
        <f>GUNLUK_OZET!D47</f>
        <v/>
      </c>
      <c r="C85" s="156">
        <f>GUNLUK_OZET!F47</f>
        <v/>
      </c>
    </row>
    <row r="86" ht="15" customHeight="1" s="80">
      <c r="A86" s="155">
        <f>GUNLUK_OZET!A48</f>
        <v/>
      </c>
      <c r="B86" s="156">
        <f>GUNLUK_OZET!D48</f>
        <v/>
      </c>
      <c r="C86" s="156">
        <f>GUNLUK_OZET!F48</f>
        <v/>
      </c>
    </row>
    <row r="87" ht="15" customHeight="1" s="80">
      <c r="A87" s="155">
        <f>GUNLUK_OZET!A49</f>
        <v/>
      </c>
      <c r="B87" s="156">
        <f>GUNLUK_OZET!D49</f>
        <v/>
      </c>
      <c r="C87" s="156">
        <f>GUNLUK_OZET!F49</f>
        <v/>
      </c>
    </row>
    <row r="88" ht="15" customHeight="1" s="80">
      <c r="A88" s="155">
        <f>GUNLUK_OZET!A50</f>
        <v/>
      </c>
      <c r="B88" s="156">
        <f>GUNLUK_OZET!D50</f>
        <v/>
      </c>
      <c r="C88" s="156">
        <f>GUNLUK_OZET!F50</f>
        <v/>
      </c>
    </row>
    <row r="89" ht="15" customHeight="1" s="80">
      <c r="A89" s="155">
        <f>GUNLUK_OZET!A51</f>
        <v/>
      </c>
      <c r="B89" s="156">
        <f>GUNLUK_OZET!D51</f>
        <v/>
      </c>
      <c r="C89" s="156">
        <f>GUNLUK_OZET!F51</f>
        <v/>
      </c>
    </row>
    <row r="90" ht="15" customHeight="1" s="80">
      <c r="A90" s="155">
        <f>GUNLUK_OZET!A52</f>
        <v/>
      </c>
      <c r="B90" s="156">
        <f>GUNLUK_OZET!D52</f>
        <v/>
      </c>
      <c r="C90" s="156">
        <f>GUNLUK_OZET!F52</f>
        <v/>
      </c>
    </row>
    <row r="91" ht="15" customHeight="1" s="80">
      <c r="A91" s="155">
        <f>GUNLUK_OZET!A53</f>
        <v/>
      </c>
      <c r="B91" s="156">
        <f>GUNLUK_OZET!D53</f>
        <v/>
      </c>
      <c r="C91" s="156">
        <f>GUNLUK_OZET!F53</f>
        <v/>
      </c>
    </row>
    <row r="92" ht="15" customHeight="1" s="80">
      <c r="A92" s="155">
        <f>GUNLUK_OZET!A54</f>
        <v/>
      </c>
      <c r="B92" s="156">
        <f>GUNLUK_OZET!D54</f>
        <v/>
      </c>
      <c r="C92" s="156">
        <f>GUNLUK_OZET!F54</f>
        <v/>
      </c>
    </row>
    <row r="93" ht="15" customHeight="1" s="80">
      <c r="A93" s="155">
        <f>GUNLUK_OZET!A55</f>
        <v/>
      </c>
      <c r="B93" s="156">
        <f>GUNLUK_OZET!D55</f>
        <v/>
      </c>
      <c r="C93" s="156">
        <f>GUNLUK_OZET!F55</f>
        <v/>
      </c>
    </row>
    <row r="94" ht="15" customHeight="1" s="80">
      <c r="A94" s="155">
        <f>GUNLUK_OZET!A56</f>
        <v/>
      </c>
      <c r="B94" s="156">
        <f>GUNLUK_OZET!D56</f>
        <v/>
      </c>
      <c r="C94" s="156">
        <f>GUNLUK_OZET!F56</f>
        <v/>
      </c>
    </row>
    <row r="95" ht="15" customHeight="1" s="80">
      <c r="A95" s="155">
        <f>GUNLUK_OZET!A57</f>
        <v/>
      </c>
      <c r="B95" s="156">
        <f>GUNLUK_OZET!D57</f>
        <v/>
      </c>
      <c r="C95" s="156">
        <f>GUNLUK_OZET!F57</f>
        <v/>
      </c>
    </row>
    <row r="96" ht="15" customHeight="1" s="80">
      <c r="A96" s="155">
        <f>GUNLUK_OZET!A58</f>
        <v/>
      </c>
      <c r="B96" s="156">
        <f>GUNLUK_OZET!D58</f>
        <v/>
      </c>
      <c r="C96" s="156">
        <f>GUNLUK_OZET!F58</f>
        <v/>
      </c>
    </row>
    <row r="97" ht="15" customHeight="1" s="80">
      <c r="A97" s="155">
        <f>GUNLUK_OZET!A59</f>
        <v/>
      </c>
      <c r="B97" s="156">
        <f>GUNLUK_OZET!D59</f>
        <v/>
      </c>
      <c r="C97" s="156">
        <f>GUNLUK_OZET!F59</f>
        <v/>
      </c>
    </row>
    <row r="98" ht="15" customHeight="1" s="80">
      <c r="A98" s="155">
        <f>GUNLUK_OZET!A60</f>
        <v/>
      </c>
      <c r="B98" s="156">
        <f>GUNLUK_OZET!D60</f>
        <v/>
      </c>
      <c r="C98" s="156">
        <f>GUNLUK_OZET!F60</f>
        <v/>
      </c>
    </row>
    <row r="99" ht="15" customHeight="1" s="80">
      <c r="A99" s="155">
        <f>GUNLUK_OZET!A61</f>
        <v/>
      </c>
      <c r="B99" s="156">
        <f>GUNLUK_OZET!D61</f>
        <v/>
      </c>
      <c r="C99" s="156">
        <f>GUNLUK_OZET!F61</f>
        <v/>
      </c>
    </row>
    <row r="100" ht="15" customHeight="1" s="80">
      <c r="A100" s="155">
        <f>GUNLUK_OZET!A62</f>
        <v/>
      </c>
      <c r="B100" s="156">
        <f>GUNLUK_OZET!D62</f>
        <v/>
      </c>
      <c r="C100" s="156">
        <f>GUNLUK_OZET!F62</f>
        <v/>
      </c>
    </row>
    <row r="101" ht="15" customHeight="1" s="80">
      <c r="A101" s="155">
        <f>GUNLUK_OZET!A63</f>
        <v/>
      </c>
      <c r="B101" s="156">
        <f>GUNLUK_OZET!D63</f>
        <v/>
      </c>
      <c r="C101" s="156">
        <f>GUNLUK_OZET!F63</f>
        <v/>
      </c>
    </row>
    <row r="102" ht="15" customHeight="1" s="80">
      <c r="A102" s="155">
        <f>GUNLUK_OZET!A64</f>
        <v/>
      </c>
      <c r="B102" s="156">
        <f>GUNLUK_OZET!D64</f>
        <v/>
      </c>
      <c r="C102" s="156">
        <f>GUNLUK_OZET!F64</f>
        <v/>
      </c>
    </row>
    <row r="103" ht="15" customHeight="1" s="80">
      <c r="A103" s="155">
        <f>GUNLUK_OZET!A65</f>
        <v/>
      </c>
      <c r="B103" s="156">
        <f>GUNLUK_OZET!D65</f>
        <v/>
      </c>
      <c r="C103" s="156">
        <f>GUNLUK_OZET!F65</f>
        <v/>
      </c>
    </row>
    <row r="104" ht="15" customHeight="1" s="80">
      <c r="A104" s="155">
        <f>GUNLUK_OZET!A66</f>
        <v/>
      </c>
      <c r="B104" s="156">
        <f>GUNLUK_OZET!D66</f>
        <v/>
      </c>
      <c r="C104" s="156">
        <f>GUNLUK_OZET!F66</f>
        <v/>
      </c>
    </row>
    <row r="105" ht="15" customHeight="1" s="80">
      <c r="A105" s="155">
        <f>GUNLUK_OZET!A67</f>
        <v/>
      </c>
      <c r="B105" s="156">
        <f>GUNLUK_OZET!D67</f>
        <v/>
      </c>
      <c r="C105" s="156">
        <f>GUNLUK_OZET!F67</f>
        <v/>
      </c>
    </row>
    <row r="106" ht="15" customHeight="1" s="80">
      <c r="A106" s="155">
        <f>GUNLUK_OZET!A68</f>
        <v/>
      </c>
      <c r="B106" s="156">
        <f>GUNLUK_OZET!D68</f>
        <v/>
      </c>
      <c r="C106" s="156">
        <f>GUNLUK_OZET!F68</f>
        <v/>
      </c>
    </row>
    <row r="107" ht="15" customHeight="1" s="80">
      <c r="A107" s="155">
        <f>GUNLUK_OZET!A69</f>
        <v/>
      </c>
      <c r="B107" s="156">
        <f>GUNLUK_OZET!D69</f>
        <v/>
      </c>
      <c r="C107" s="156">
        <f>GUNLUK_OZET!F69</f>
        <v/>
      </c>
    </row>
    <row r="108" ht="15" customHeight="1" s="80">
      <c r="A108" s="155">
        <f>GUNLUK_OZET!A70</f>
        <v/>
      </c>
      <c r="B108" s="156">
        <f>GUNLUK_OZET!D70</f>
        <v/>
      </c>
      <c r="C108" s="156">
        <f>GUNLUK_OZET!F70</f>
        <v/>
      </c>
    </row>
    <row r="109" ht="15" customHeight="1" s="80">
      <c r="A109" s="155">
        <f>GUNLUK_OZET!A71</f>
        <v/>
      </c>
      <c r="B109" s="156">
        <f>GUNLUK_OZET!D71</f>
        <v/>
      </c>
      <c r="C109" s="156">
        <f>GUNLUK_OZET!F71</f>
        <v/>
      </c>
    </row>
    <row r="110" ht="15" customHeight="1" s="80">
      <c r="A110" s="155">
        <f>GUNLUK_OZET!A72</f>
        <v/>
      </c>
      <c r="B110" s="156">
        <f>GUNLUK_OZET!D72</f>
        <v/>
      </c>
      <c r="C110" s="156">
        <f>GUNLUK_OZET!F72</f>
        <v/>
      </c>
    </row>
    <row r="111" ht="15" customHeight="1" s="80">
      <c r="A111" s="155">
        <f>GUNLUK_OZET!A73</f>
        <v/>
      </c>
      <c r="B111" s="156">
        <f>GUNLUK_OZET!D73</f>
        <v/>
      </c>
      <c r="C111" s="156">
        <f>GUNLUK_OZET!F73</f>
        <v/>
      </c>
    </row>
    <row r="112" ht="15" customHeight="1" s="80">
      <c r="A112" s="155">
        <f>GUNLUK_OZET!A74</f>
        <v/>
      </c>
      <c r="B112" s="156">
        <f>GUNLUK_OZET!D74</f>
        <v/>
      </c>
      <c r="C112" s="156">
        <f>GUNLUK_OZET!F74</f>
        <v/>
      </c>
    </row>
    <row r="113" ht="15" customHeight="1" s="80">
      <c r="A113" s="155">
        <f>GUNLUK_OZET!A75</f>
        <v/>
      </c>
      <c r="B113" s="156">
        <f>GUNLUK_OZET!D75</f>
        <v/>
      </c>
      <c r="C113" s="156">
        <f>GUNLUK_OZET!F75</f>
        <v/>
      </c>
    </row>
    <row r="114" ht="15" customHeight="1" s="80">
      <c r="A114" s="155">
        <f>GUNLUK_OZET!A76</f>
        <v/>
      </c>
      <c r="B114" s="156">
        <f>GUNLUK_OZET!D76</f>
        <v/>
      </c>
      <c r="C114" s="156">
        <f>GUNLUK_OZET!F76</f>
        <v/>
      </c>
    </row>
    <row r="115" ht="15" customHeight="1" s="80">
      <c r="A115" s="155">
        <f>GUNLUK_OZET!A77</f>
        <v/>
      </c>
      <c r="B115" s="156">
        <f>GUNLUK_OZET!D77</f>
        <v/>
      </c>
      <c r="C115" s="156">
        <f>GUNLUK_OZET!F77</f>
        <v/>
      </c>
    </row>
    <row r="116" ht="15" customHeight="1" s="80">
      <c r="A116" s="155">
        <f>GUNLUK_OZET!A78</f>
        <v/>
      </c>
      <c r="B116" s="156">
        <f>GUNLUK_OZET!D78</f>
        <v/>
      </c>
      <c r="C116" s="156">
        <f>GUNLUK_OZET!F78</f>
        <v/>
      </c>
    </row>
    <row r="117" ht="15" customHeight="1" s="80">
      <c r="A117" s="155">
        <f>GUNLUK_OZET!A79</f>
        <v/>
      </c>
      <c r="B117" s="156">
        <f>GUNLUK_OZET!D79</f>
        <v/>
      </c>
      <c r="C117" s="156">
        <f>GUNLUK_OZET!F79</f>
        <v/>
      </c>
    </row>
    <row r="118" ht="15" customHeight="1" s="80">
      <c r="A118" s="155">
        <f>GUNLUK_OZET!A80</f>
        <v/>
      </c>
      <c r="B118" s="156">
        <f>GUNLUK_OZET!D80</f>
        <v/>
      </c>
      <c r="C118" s="156">
        <f>GUNLUK_OZET!F80</f>
        <v/>
      </c>
    </row>
    <row r="119" ht="15" customHeight="1" s="80">
      <c r="A119" s="155">
        <f>GUNLUK_OZET!A81</f>
        <v/>
      </c>
      <c r="B119" s="156">
        <f>GUNLUK_OZET!D81</f>
        <v/>
      </c>
      <c r="C119" s="156">
        <f>GUNLUK_OZET!F81</f>
        <v/>
      </c>
    </row>
    <row r="120" ht="15" customHeight="1" s="80">
      <c r="A120" s="155">
        <f>GUNLUK_OZET!A82</f>
        <v/>
      </c>
      <c r="B120" s="156">
        <f>GUNLUK_OZET!D82</f>
        <v/>
      </c>
      <c r="C120" s="156">
        <f>GUNLUK_OZET!F82</f>
        <v/>
      </c>
    </row>
    <row r="121" ht="15" customHeight="1" s="80">
      <c r="A121" s="155">
        <f>GUNLUK_OZET!A83</f>
        <v/>
      </c>
      <c r="B121" s="156">
        <f>GUNLUK_OZET!D83</f>
        <v/>
      </c>
      <c r="C121" s="156">
        <f>GUNLUK_OZET!F83</f>
        <v/>
      </c>
    </row>
    <row r="122" ht="15" customHeight="1" s="80">
      <c r="A122" s="155">
        <f>GUNLUK_OZET!A84</f>
        <v/>
      </c>
      <c r="B122" s="156">
        <f>GUNLUK_OZET!D84</f>
        <v/>
      </c>
      <c r="C122" s="156">
        <f>GUNLUK_OZET!F84</f>
        <v/>
      </c>
    </row>
    <row r="123" ht="15" customHeight="1" s="80">
      <c r="A123" s="155">
        <f>GUNLUK_OZET!A85</f>
        <v/>
      </c>
      <c r="B123" s="156">
        <f>GUNLUK_OZET!D85</f>
        <v/>
      </c>
      <c r="C123" s="156">
        <f>GUNLUK_OZET!F85</f>
        <v/>
      </c>
    </row>
    <row r="124" ht="15" customHeight="1" s="80">
      <c r="A124" s="155">
        <f>GUNLUK_OZET!A86</f>
        <v/>
      </c>
      <c r="B124" s="156">
        <f>GUNLUK_OZET!D86</f>
        <v/>
      </c>
      <c r="C124" s="156">
        <f>GUNLUK_OZET!F86</f>
        <v/>
      </c>
    </row>
    <row r="125" ht="15" customHeight="1" s="80">
      <c r="A125" s="155">
        <f>GUNLUK_OZET!A87</f>
        <v/>
      </c>
      <c r="B125" s="156">
        <f>GUNLUK_OZET!D87</f>
        <v/>
      </c>
      <c r="C125" s="156">
        <f>GUNLUK_OZET!F87</f>
        <v/>
      </c>
    </row>
    <row r="126" ht="15" customHeight="1" s="80">
      <c r="A126" s="155">
        <f>GUNLUK_OZET!A88</f>
        <v/>
      </c>
      <c r="B126" s="156">
        <f>GUNLUK_OZET!D88</f>
        <v/>
      </c>
      <c r="C126" s="156">
        <f>GUNLUK_OZET!F88</f>
        <v/>
      </c>
    </row>
    <row r="127" ht="15" customHeight="1" s="80">
      <c r="A127" s="155">
        <f>GUNLUK_OZET!A89</f>
        <v/>
      </c>
      <c r="B127" s="156">
        <f>GUNLUK_OZET!D89</f>
        <v/>
      </c>
      <c r="C127" s="156">
        <f>GUNLUK_OZET!F89</f>
        <v/>
      </c>
    </row>
    <row r="128" ht="15" customHeight="1" s="80">
      <c r="A128" s="155">
        <f>GUNLUK_OZET!A90</f>
        <v/>
      </c>
      <c r="B128" s="156">
        <f>GUNLUK_OZET!D90</f>
        <v/>
      </c>
      <c r="C128" s="156">
        <f>GUNLUK_OZET!F90</f>
        <v/>
      </c>
    </row>
    <row r="129" ht="15" customHeight="1" s="80">
      <c r="A129" s="155">
        <f>GUNLUK_OZET!A91</f>
        <v/>
      </c>
      <c r="B129" s="156">
        <f>GUNLUK_OZET!D91</f>
        <v/>
      </c>
      <c r="C129" s="156">
        <f>GUNLUK_OZET!F91</f>
        <v/>
      </c>
    </row>
    <row r="130" ht="15" customHeight="1" s="80">
      <c r="A130" s="155">
        <f>GUNLUK_OZET!A92</f>
        <v/>
      </c>
      <c r="B130" s="156">
        <f>GUNLUK_OZET!D92</f>
        <v/>
      </c>
      <c r="C130" s="156">
        <f>GUNLUK_OZET!F92</f>
        <v/>
      </c>
    </row>
    <row r="131" ht="15" customHeight="1" s="80">
      <c r="A131" s="155">
        <f>GUNLUK_OZET!A93</f>
        <v/>
      </c>
      <c r="B131" s="156">
        <f>GUNLUK_OZET!D93</f>
        <v/>
      </c>
      <c r="C131" s="156">
        <f>GUNLUK_OZET!F93</f>
        <v/>
      </c>
    </row>
    <row r="132" ht="15" customHeight="1" s="80">
      <c r="A132" s="155">
        <f>GUNLUK_OZET!A94</f>
        <v/>
      </c>
      <c r="B132" s="156">
        <f>GUNLUK_OZET!D94</f>
        <v/>
      </c>
      <c r="C132" s="156">
        <f>GUNLUK_OZET!F94</f>
        <v/>
      </c>
    </row>
    <row r="133" ht="15" customHeight="1" s="80">
      <c r="A133" s="155">
        <f>GUNLUK_OZET!A95</f>
        <v/>
      </c>
      <c r="B133" s="156">
        <f>GUNLUK_OZET!D95</f>
        <v/>
      </c>
      <c r="C133" s="156">
        <f>GUNLUK_OZET!F95</f>
        <v/>
      </c>
    </row>
    <row r="134" ht="15" customHeight="1" s="80">
      <c r="A134" s="155">
        <f>GUNLUK_OZET!A96</f>
        <v/>
      </c>
      <c r="B134" s="156">
        <f>GUNLUK_OZET!D96</f>
        <v/>
      </c>
      <c r="C134" s="156">
        <f>GUNLUK_OZET!F96</f>
        <v/>
      </c>
    </row>
    <row r="135" ht="15" customHeight="1" s="80">
      <c r="A135" s="155">
        <f>GUNLUK_OZET!A97</f>
        <v/>
      </c>
      <c r="B135" s="156">
        <f>GUNLUK_OZET!D97</f>
        <v/>
      </c>
      <c r="C135" s="156">
        <f>GUNLUK_OZET!F97</f>
        <v/>
      </c>
    </row>
    <row r="136" ht="15" customHeight="1" s="80">
      <c r="A136" s="155">
        <f>GUNLUK_OZET!A98</f>
        <v/>
      </c>
      <c r="B136" s="156">
        <f>GUNLUK_OZET!D98</f>
        <v/>
      </c>
      <c r="C136" s="156">
        <f>GUNLUK_OZET!F98</f>
        <v/>
      </c>
    </row>
    <row r="137" ht="15" customHeight="1" s="80">
      <c r="A137" s="155">
        <f>GUNLUK_OZET!A99</f>
        <v/>
      </c>
      <c r="B137" s="156">
        <f>GUNLUK_OZET!D99</f>
        <v/>
      </c>
      <c r="C137" s="156">
        <f>GUNLUK_OZET!F99</f>
        <v/>
      </c>
    </row>
    <row r="138" ht="15" customHeight="1" s="80">
      <c r="A138" s="155">
        <f>GUNLUK_OZET!A100</f>
        <v/>
      </c>
      <c r="B138" s="156">
        <f>GUNLUK_OZET!D100</f>
        <v/>
      </c>
      <c r="C138" s="156">
        <f>GUNLUK_OZET!F100</f>
        <v/>
      </c>
    </row>
    <row r="139" ht="15" customHeight="1" s="80">
      <c r="A139" s="155">
        <f>GUNLUK_OZET!A101</f>
        <v/>
      </c>
      <c r="B139" s="156">
        <f>GUNLUK_OZET!D101</f>
        <v/>
      </c>
      <c r="C139" s="156">
        <f>GUNLUK_OZET!F101</f>
        <v/>
      </c>
    </row>
    <row r="140" ht="15" customHeight="1" s="80">
      <c r="A140" s="155">
        <f>GUNLUK_OZET!A102</f>
        <v/>
      </c>
      <c r="B140" s="156">
        <f>GUNLUK_OZET!D102</f>
        <v/>
      </c>
      <c r="C140" s="156">
        <f>GUNLUK_OZET!F102</f>
        <v/>
      </c>
    </row>
    <row r="141" ht="15" customHeight="1" s="80">
      <c r="A141" s="155">
        <f>GUNLUK_OZET!A103</f>
        <v/>
      </c>
      <c r="B141" s="156">
        <f>GUNLUK_OZET!D103</f>
        <v/>
      </c>
      <c r="C141" s="156">
        <f>GUNLUK_OZET!F103</f>
        <v/>
      </c>
    </row>
    <row r="142" ht="15" customHeight="1" s="80">
      <c r="A142" s="155">
        <f>GUNLUK_OZET!A104</f>
        <v/>
      </c>
      <c r="B142" s="156">
        <f>GUNLUK_OZET!D104</f>
        <v/>
      </c>
      <c r="C142" s="156">
        <f>GUNLUK_OZET!F104</f>
        <v/>
      </c>
    </row>
    <row r="143" ht="15" customHeight="1" s="80">
      <c r="A143" s="155">
        <f>GUNLUK_OZET!A105</f>
        <v/>
      </c>
      <c r="B143" s="156">
        <f>GUNLUK_OZET!D105</f>
        <v/>
      </c>
      <c r="C143" s="156">
        <f>GUNLUK_OZET!F105</f>
        <v/>
      </c>
    </row>
    <row r="146" ht="15" customHeight="1" s="80">
      <c r="A146" s="141" t="inlineStr">
        <is>
          <t>Ay</t>
        </is>
      </c>
      <c r="B146" s="141" t="inlineStr">
        <is>
          <t>Net Satış</t>
        </is>
      </c>
      <c r="C146" s="141" t="inlineStr">
        <is>
          <t>Net Sonuç</t>
        </is>
      </c>
    </row>
    <row r="147" ht="15" customHeight="1" s="80">
      <c r="A147" s="157">
        <f>AYLIK_KARLILIK!A6</f>
        <v/>
      </c>
      <c r="B147" s="156">
        <f>AYLIK_KARLILIK!B6</f>
        <v/>
      </c>
      <c r="C147" s="156">
        <f>AYLIK_KARLILIK!L6</f>
        <v/>
      </c>
    </row>
    <row r="148" ht="15" customHeight="1" s="80">
      <c r="A148" s="157">
        <f>AYLIK_KARLILIK!A7</f>
        <v/>
      </c>
      <c r="B148" s="156">
        <f>AYLIK_KARLILIK!B7</f>
        <v/>
      </c>
      <c r="C148" s="156">
        <f>AYLIK_KARLILIK!L7</f>
        <v/>
      </c>
    </row>
    <row r="149" ht="15" customHeight="1" s="80">
      <c r="A149" s="157">
        <f>AYLIK_KARLILIK!A8</f>
        <v/>
      </c>
      <c r="B149" s="156">
        <f>AYLIK_KARLILIK!B8</f>
        <v/>
      </c>
      <c r="C149" s="156">
        <f>AYLIK_KARLILIK!L8</f>
        <v/>
      </c>
    </row>
    <row r="150" ht="15" customHeight="1" s="80">
      <c r="A150" s="157">
        <f>AYLIK_KARLILIK!A9</f>
        <v/>
      </c>
      <c r="B150" s="156">
        <f>AYLIK_KARLILIK!B9</f>
        <v/>
      </c>
      <c r="C150" s="156">
        <f>AYLIK_KARLILIK!L9</f>
        <v/>
      </c>
    </row>
    <row r="151" ht="15" customHeight="1" s="80">
      <c r="A151" s="157">
        <f>AYLIK_KARLILIK!A10</f>
        <v/>
      </c>
      <c r="B151" s="156">
        <f>AYLIK_KARLILIK!B10</f>
        <v/>
      </c>
      <c r="C151" s="156">
        <f>AYLIK_KARLILIK!L10</f>
        <v/>
      </c>
    </row>
    <row r="152" ht="15" customHeight="1" s="80">
      <c r="A152" s="157">
        <f>AYLIK_KARLILIK!A11</f>
        <v/>
      </c>
      <c r="B152" s="156">
        <f>AYLIK_KARLILIK!B11</f>
        <v/>
      </c>
      <c r="C152" s="156">
        <f>AYLIK_KARLILIK!L11</f>
        <v/>
      </c>
    </row>
    <row r="153" ht="15" customHeight="1" s="80">
      <c r="A153" s="157">
        <f>AYLIK_KARLILIK!A12</f>
        <v/>
      </c>
      <c r="B153" s="156">
        <f>AYLIK_KARLILIK!B12</f>
        <v/>
      </c>
      <c r="C153" s="156">
        <f>AYLIK_KARLILIK!L12</f>
        <v/>
      </c>
    </row>
    <row r="154" ht="15" customHeight="1" s="80">
      <c r="A154" s="157">
        <f>AYLIK_KARLILIK!A13</f>
        <v/>
      </c>
      <c r="B154" s="156">
        <f>AYLIK_KARLILIK!B13</f>
        <v/>
      </c>
      <c r="C154" s="156">
        <f>AYLIK_KARLILIK!L13</f>
        <v/>
      </c>
    </row>
    <row r="155" ht="15" customHeight="1" s="80">
      <c r="A155" s="157">
        <f>AYLIK_KARLILIK!A14</f>
        <v/>
      </c>
      <c r="B155" s="156">
        <f>AYLIK_KARLILIK!B14</f>
        <v/>
      </c>
      <c r="C155" s="156">
        <f>AYLIK_KARLILIK!L14</f>
        <v/>
      </c>
    </row>
    <row r="156" ht="15" customHeight="1" s="80">
      <c r="A156" s="157">
        <f>AYLIK_KARLILIK!A15</f>
        <v/>
      </c>
      <c r="B156" s="156">
        <f>AYLIK_KARLILIK!B15</f>
        <v/>
      </c>
      <c r="C156" s="156">
        <f>AYLIK_KARLILIK!L15</f>
        <v/>
      </c>
    </row>
    <row r="157" ht="15" customHeight="1" s="80">
      <c r="A157" s="157">
        <f>AYLIK_KARLILIK!A16</f>
        <v/>
      </c>
      <c r="B157" s="156">
        <f>AYLIK_KARLILIK!B16</f>
        <v/>
      </c>
      <c r="C157" s="156">
        <f>AYLIK_KARLILIK!L16</f>
        <v/>
      </c>
    </row>
    <row r="158" ht="15" customHeight="1" s="80">
      <c r="A158" s="157">
        <f>AYLIK_KARLILIK!A17</f>
        <v/>
      </c>
      <c r="B158" s="156">
        <f>AYLIK_KARLILIK!B17</f>
        <v/>
      </c>
      <c r="C158" s="156">
        <f>AYLIK_KARLILIK!L17</f>
        <v/>
      </c>
    </row>
    <row r="160" ht="15" customHeight="1" s="80">
      <c r="A160" s="127" t="inlineStr">
        <is>
          <t>ANALİTİK MODÜLLER (MAKİNE YORUMLU KARAR KATMANI)</t>
        </is>
      </c>
    </row>
    <row r="161" ht="15" customHeight="1" s="80">
      <c r="A161" s="141" t="inlineStr">
        <is>
          <t>Modül</t>
        </is>
      </c>
      <c r="B161" s="141" t="inlineStr">
        <is>
          <t>Değer</t>
        </is>
      </c>
      <c r="C161" s="141" t="inlineStr">
        <is>
          <t>Otomatik Yorum</t>
        </is>
      </c>
    </row>
    <row r="162" ht="33.75" customHeight="1" s="80">
      <c r="A162" s="158" t="inlineStr">
        <is>
          <t>T1 · Tahsil Yaşlandırması</t>
        </is>
      </c>
      <c r="B162" s="122">
        <f>IF(KayitSayisi=0,0,SUMIFS(GELIR_GIDER_KAYIT!$O$6:$O$5000,GELIR_GIDER_KAYIT!$D$6:$D$5000,"GELİR",GELIR_GIDER_KAYIT!$S$6:$S$5000,"HAYIR"))</f>
        <v/>
      </c>
      <c r="F162" s="123">
        <f>IF(KayitSayisi=0,"VERİ YOK",_xlfn.TEXTJOIN(" | ",TRUE(),"Nakdi gerçekleşmemiş satış: "&amp;TEXT(B162,"₺ #,##0"),"Tahakkuk ile nakit arasındaki farkın satış kaynaklı kısmı yaşlandırmaya alınır."))</f>
        <v/>
      </c>
    </row>
    <row r="163" ht="33.75" customHeight="1" s="80">
      <c r="A163" s="158" t="inlineStr">
        <is>
          <t>T2 · Satış Trendi</t>
        </is>
      </c>
      <c r="B163" s="136">
        <f>IF(OR(KayitSayisi=0,OncekiAySatis=0),0,(SonAySatis-OncekiAySatis)/ABS(OncekiAySatis))</f>
        <v/>
      </c>
      <c r="F163" s="123">
        <f>IF(KayitSayisi=0,"VERİ YOK",_xlfn.TEXTJOIN(" | ",TRUE(),"Son ay satış değişimi: "&amp;TEXT(B163,"%0.0"),"Önceki aya göre büyüme ya da duraklama bu oranla izlenir."))</f>
        <v/>
      </c>
    </row>
    <row r="164" ht="33.75" customHeight="1" s="80">
      <c r="A164" s="158" t="inlineStr">
        <is>
          <t>T3 · Ürün Yoğunlaşması (Pareto)</t>
        </is>
      </c>
      <c r="B164" s="136">
        <f>IF(OR(KayitSayisi=0,SUM(SATIS_MALIYET!$E$6:$E$200)=0),0,MAX(SATIS_MALIYET!$E$6:$E$200)/SUM(SATIS_MALIYET!$E$6:$E$200))</f>
        <v/>
      </c>
      <c r="F164" s="123">
        <f>IF(KayitSayisi=0,"VERİ YOK",_xlfn.TEXTJOIN(" | ",TRUE(),"En büyük ürünün satış payı: "&amp;TEXT(B164,"%0.0"),"Tek ürüne bağımlılık yüksekse çeşitlendirme kararı gerektirir."))</f>
        <v/>
      </c>
    </row>
    <row r="165" ht="33.75" customHeight="1" s="80">
      <c r="A165" s="158" t="inlineStr">
        <is>
          <t>T4 · Dönem Karşılaştırma</t>
        </is>
      </c>
      <c r="B165" s="136">
        <f>IF(OR(KayitSayisi=0,OncekiAyFaaliyet=0),0,(SonAyFaaliyet-OncekiAyFaaliyet)/ABS(OncekiAyFaaliyet))</f>
        <v/>
      </c>
      <c r="F165" s="123">
        <f>IF(KayitSayisi=0,"VERİ YOK",_xlfn.TEXTJOIN(" | ",TRUE(),"Son ay faaliyet kârı değişimi: "&amp;TEXT(B165,"%0.0"),"Gider verimliliğindeki bozulma bu oranla yakalanır."))</f>
        <v/>
      </c>
    </row>
    <row r="166" ht="33.75" customHeight="1" s="80">
      <c r="A166" s="158" t="inlineStr">
        <is>
          <t>O1 · Günlük Nakit Anomalisi (MAD)</t>
        </is>
      </c>
      <c r="B166" s="159">
        <f>IF(KayitSayisi=0,0,IFERROR(stdev.p(GUNLUK_OZET!$D$6:$D$105)/IFERROR(AVERAGE(GUNLUK_OZET!$D$6:$D$105),1),0))</f>
        <v/>
      </c>
      <c r="F166" s="123">
        <f>IF(KayitSayisi=0,"VERİ YOK",_xlfn.TEXTJOIN(" | ",TRUE(),"Günlük nakit değişkenliği: "&amp;TEXT(B166,"0.00")&amp;"x ortalama","Anormal sıçramalar nakit planlaması için uyarı üretir."))</f>
        <v/>
      </c>
    </row>
    <row r="167" ht="33.75" customHeight="1" s="80">
      <c r="A167" s="158" t="inlineStr">
        <is>
          <t>O2 · Duyarlılık (1 puan marj)</t>
        </is>
      </c>
      <c r="B167" s="122">
        <f>IF(KayitSayisi=0,0,NetSatis*0.01)</f>
        <v/>
      </c>
      <c r="F167" s="123">
        <f>IF(KayitSayisi=0,"VERİ YOK",_xlfn.TEXTJOIN(" | ",TRUE(),"1 puanlık marj iyileşmesi kârı "&amp;TEXT(B167,"₺ #,##0")&amp;" artırır","Satış fiyatı/maliyet pazarlığının parasal etkisi bu kalemle ölçülür."))</f>
        <v/>
      </c>
    </row>
    <row r="168" ht="33.75" customHeight="1" s="80">
      <c r="A168" s="158" t="inlineStr">
        <is>
          <t>O3 · Senaryo Motoru (±%15 satış)</t>
        </is>
      </c>
      <c r="B168" s="122">
        <f>IF(KayitSayisi=0,0,NetSatis*0.3*BrutMarjOrani)</f>
        <v/>
      </c>
      <c r="F168" s="123">
        <f>IF(KayitSayisi=0,"VERİ YOK",_xlfn.TEXTJOIN(" | ",TRUE(),"Kötümser-iyimser net sonuç bandı: "&amp;TEXT(B168,"₺ #,##0"),"Satış hacmi ±%15 değiştiğinde kârın oynama aralığı."))</f>
        <v/>
      </c>
    </row>
    <row r="169" ht="33.75" customHeight="1" s="80">
      <c r="A169" s="158" t="inlineStr">
        <is>
          <t>O4 · Nakit Dönüşüm Günü</t>
        </is>
      </c>
      <c r="B169" s="139">
        <f>IF(OR(KayitSayisi=0,NetSatis=0),0,(DonemSonuStok+B162)/NetSatis*365)</f>
        <v/>
      </c>
      <c r="F169" s="123">
        <f>IF(KayitSayisi=0,"VERİ YOK",_xlfn.TEXTJOIN(" | ",TRUE(),"Nakit dönüşüm günü: "&amp;TEXT(B169,"0")&amp;" gün","Stok artı tahsil edilmemiş satışın yıllık satışa oranı; likidite sıkışıklığını gösterir."))</f>
        <v/>
      </c>
    </row>
    <row r="170" ht="33.75" customHeight="1" s="80">
      <c r="A170" s="158" t="inlineStr">
        <is>
          <t>I1 · Yedi Günlük Nakit Tahmini</t>
        </is>
      </c>
      <c r="B170" s="122">
        <f>IF(KayitSayisi=0,0,IFERROR(FORECAST(RaporTarihi+7,GUNLUK_OZET!$F$6:$F$105,GUNLUK_OZET!$A$6:$A$105),0))</f>
        <v/>
      </c>
      <c r="F170" s="123">
        <f>IF(KayitSayisi=0,"VERİ YOK",_xlfn.TEXTJOIN(" | ",TRUE(),"Yedi gün sonrası kümülatif nakit tahmini: "&amp;TEXT(B170,"₺ #,##0"),"Trend bazlı tahminle önümüzdeki haftanın nakit pozisyonu planlanır."))</f>
        <v/>
      </c>
    </row>
    <row r="171" ht="33.75" customHeight="1" s="80">
      <c r="A171" s="158" t="inlineStr">
        <is>
          <t>I2 · Günlük Nakit P90</t>
        </is>
      </c>
      <c r="B171" s="122">
        <f>IF(KayitSayisi=0,0,IFERROR(percentıle.ınc(GUNLUK_OZET!$D$6:$D$105,0.9),0))</f>
        <v/>
      </c>
      <c r="F171" s="123">
        <f>IF(KayitSayisi=0,"VERİ YOK",_xlfn.TEXTJOIN(" | ",TRUE(),"Günlük nakit P90: "&amp;TEXT(B171,"₺ #,##0"),"Dokuz günün onunda aşılmayan nakit girişi/çıkışı eşiği."))</f>
        <v/>
      </c>
    </row>
    <row r="172" ht="33.75" customHeight="1" s="80">
      <c r="A172" s="158" t="inlineStr">
        <is>
          <t>I6 · Varyans Köprüsü Farkı</t>
        </is>
      </c>
      <c r="B172" s="122">
        <f>IF(KayitSayisi=0,0,KONTROLLER!B24)</f>
        <v/>
      </c>
      <c r="F172" s="123">
        <f>IF(KayitSayisi=0,"VERİ YOK",_xlfn.TEXTJOIN(" | ",TRUE(),"Tahakkuk-nakit köprü farkı: "&amp;TEXT(B172,"₺ #,##0"),"Fark tolerans içindeyse kayıt düzeni uyumludur; aksi hâlde KONTROL GEREKLİ."))</f>
        <v/>
      </c>
    </row>
    <row r="174" ht="15" customHeight="1" s="80">
      <c r="A174" s="160" t="inlineStr">
        <is>
          <t>SENARYO MOTORU — SATIŞ HACMİ ±%15</t>
        </is>
      </c>
    </row>
    <row r="175" ht="15" customHeight="1" s="80">
      <c r="A175" s="157" t="inlineStr">
        <is>
          <t>KÖTÜMSER</t>
        </is>
      </c>
      <c r="B175" s="122">
        <f>IF(KayitSayisi=0,"VERİ YOK",NetSonuc-NetSatis*0.15*BrutMarjOrani)</f>
        <v/>
      </c>
    </row>
    <row r="176" ht="15" customHeight="1" s="80">
      <c r="A176" s="157" t="inlineStr">
        <is>
          <t>BAZ (MEVCUT)</t>
        </is>
      </c>
      <c r="B176" s="122">
        <f>IF(KayitSayisi=0,"VERİ YOK",NetSonuc)</f>
        <v/>
      </c>
    </row>
    <row r="177" ht="15" customHeight="1" s="80">
      <c r="A177" s="157" t="inlineStr">
        <is>
          <t>İYİMSER</t>
        </is>
      </c>
      <c r="B177" s="122">
        <f>IF(KayitSayisi=0,"VERİ YOK",NetSonuc+NetSatis*0.15*BrutMarjOrani)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6">
    <mergeCell ref="U9:Y9"/>
    <mergeCell ref="P4:T4"/>
    <mergeCell ref="A2:AN2"/>
    <mergeCell ref="B24:H24"/>
    <mergeCell ref="K9:O9"/>
    <mergeCell ref="K5:O5"/>
    <mergeCell ref="P9:T9"/>
    <mergeCell ref="A42:C42"/>
    <mergeCell ref="B26:E26"/>
    <mergeCell ref="A160:F160"/>
    <mergeCell ref="F5:J5"/>
    <mergeCell ref="P8:T8"/>
    <mergeCell ref="B25:E25"/>
    <mergeCell ref="F8:J8"/>
    <mergeCell ref="B27:E27"/>
    <mergeCell ref="U4:Y4"/>
    <mergeCell ref="K8:O8"/>
    <mergeCell ref="A30:K31"/>
    <mergeCell ref="A1:AN1"/>
    <mergeCell ref="F9:J9"/>
    <mergeCell ref="U8:Y8"/>
    <mergeCell ref="U5:Y5"/>
    <mergeCell ref="B28:E28"/>
    <mergeCell ref="P5:T5"/>
    <mergeCell ref="K4:O4"/>
    <mergeCell ref="F4:J4"/>
  </mergeCells>
  <conditionalFormatting sqref="B25">
    <cfRule type="cellIs" rank="0" priority="2" equalAverage="0" operator="lessThan" aboveAverage="0" dxfId="12" text="" percent="0" bottom="0">
      <formula>50</formula>
    </cfRule>
    <cfRule type="cellIs" rank="0" priority="3" equalAverage="0" operator="greaterThanOrEqual" aboveAverage="0" dxfId="7" text="" percent="0" bottom="0">
      <formula>80</formula>
    </cfRule>
  </conditionalFormatting>
  <conditionalFormatting sqref="B26">
    <cfRule type="cellIs" rank="0" priority="4" equalAverage="0" operator="equal" aboveAverage="0" dxfId="7" text="" percent="0" bottom="0">
      <formula>"YÜKSEK"</formula>
    </cfRule>
    <cfRule type="cellIs" rank="0" priority="5" equalAverage="0" operator="equal" aboveAverage="0" dxfId="12" text="" percent="0" bottom="0">
      <formula>"DÜŞÜK"</formula>
    </cfRule>
  </conditionalFormatting>
  <conditionalFormatting sqref="B27">
    <cfRule type="cellIs" rank="0" priority="6" equalAverage="0" operator="equal" aboveAverage="0" dxfId="7" text="" percent="0" bottom="0">
      <formula>"SAĞLIKLI"</formula>
    </cfRule>
    <cfRule type="cellIs" rank="0" priority="7" equalAverage="0" operator="equal" aboveAverage="0" dxfId="12" text="" percent="0" bottom="0">
      <formula>"DÜZELTME GEREKLİ"</formula>
    </cfRule>
  </conditionalFormatting>
  <conditionalFormatting sqref="K9">
    <cfRule type="cellIs" rank="0" priority="8" equalAverage="0" operator="lessThan" aboveAverage="0" dxfId="12" text="" percent="0" bottom="0">
      <formula>0</formula>
    </cfRule>
  </conditionalFormatting>
  <conditionalFormatting sqref="P5">
    <cfRule type="cellIs" rank="0" priority="9" equalAverage="0" operator="lessThan" aboveAverage="0" dxfId="12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&amp;LGünlük Gelir-Gider ve Gerçek Kârlılık Sistemi - Pano&amp;CExcelArşiv&amp;RSayfa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AN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6" min="1" max="1"/>
    <col width="18" customWidth="1" style="106" min="2" max="2"/>
    <col width="14" customWidth="1" style="106" min="3" max="4"/>
    <col width="12" customWidth="1" style="106" min="5" max="11"/>
  </cols>
  <sheetData>
    <row r="1" ht="25.5" customHeight="1" s="80">
      <c r="A1" s="107" t="inlineStr">
        <is>
          <t>RAPOR — GÜNLÜK GELİR–GİDER VE GERÇEK KÂRLILIK SİSTEMİ</t>
        </is>
      </c>
    </row>
    <row r="3" ht="17.25" customHeight="1" s="80">
      <c r="A3" s="161" t="inlineStr">
        <is>
          <t>GÜNLÜK GELİR–GİDER VE GERÇEK KÂRLILIK RAPORU</t>
        </is>
      </c>
    </row>
    <row r="4" ht="15" customHeight="1" s="80">
      <c r="A4" s="129">
        <f>"Firma: "&amp;FirmaUnvan</f>
        <v/>
      </c>
      <c r="G4" s="129">
        <f>"Rapor Tarihi: "&amp;TEXT(RaporTarihi,"dd.mm.yyyy")</f>
        <v/>
      </c>
    </row>
    <row r="5" ht="15" customHeight="1" s="80">
      <c r="A5" s="124">
        <f>"Versiyon: "&amp;DosyaSurumu&amp;" | Hazırlayan: "&amp;RaporHazirlayan</f>
        <v/>
      </c>
    </row>
    <row r="6" ht="15" customHeight="1" s="80">
      <c r="A6" s="124">
        <f>"Dönem: "&amp;TEXT(RaporDonemiBas,"dd.mm.yyyy")&amp;" - "&amp;TEXT(RaporTarihi,"dd.mm.yyyy")</f>
        <v/>
      </c>
    </row>
    <row r="8" ht="15" customHeight="1" s="80">
      <c r="A8" s="120" t="inlineStr">
        <is>
          <t>YÖNETİCİ ÖZETİ</t>
        </is>
      </c>
    </row>
    <row r="9" ht="15" customHeight="1" s="80">
      <c r="A9" s="121">
        <f>IF(KayitSayisi=0,"Veri yetersiz: henüz gelir/gider kaydı girilmemiştir.","Net satış "&amp;TEXT(NetSatis,"₺ #,##0")&amp;" olup net sonuç "&amp;TEXT(NetSonuc,"₺ #,##0")&amp;" ve gerçek nakit değişimi "&amp;TEXT(GercekNakit,"₺ #,##0")&amp;" düzeyindedir. "&amp;IF(AND(NetSonuc&gt;0,GercekNakit&lt;0),"Ciro ve kâr pozitif görünmesine rağmen nakit negatiftir; tahsil edilmemiş satışlar, stok ve finansman çıkışları nakdi tüketmektedir. Tahsilat ve ödeme planı önceliklendirilmelidir.","Nakit pozisyonu kâr ile uyumludur."))</f>
        <v/>
      </c>
    </row>
    <row r="10" ht="15" customHeight="1" s="80"/>
    <row r="12" ht="15" customHeight="1" s="80">
      <c r="A12" s="120" t="inlineStr">
        <is>
          <t>TEMEL GÖSTERGELER</t>
        </is>
      </c>
    </row>
    <row r="13" ht="15" customHeight="1" s="80">
      <c r="A13" s="128" t="inlineStr">
        <is>
          <t>Net Satış</t>
        </is>
      </c>
      <c r="B13" s="126">
        <f>NetSatis</f>
        <v/>
      </c>
    </row>
    <row r="14" ht="15" customHeight="1" s="80">
      <c r="A14" s="128" t="inlineStr">
        <is>
          <t>Brüt Kâr</t>
        </is>
      </c>
      <c r="B14" s="126">
        <f>BrutKar</f>
        <v/>
      </c>
    </row>
    <row r="15" ht="15" customHeight="1" s="80">
      <c r="A15" s="128" t="inlineStr">
        <is>
          <t>Brüt Marj</t>
        </is>
      </c>
      <c r="B15" s="162">
        <f>BrutMarjOrani</f>
        <v/>
      </c>
    </row>
    <row r="16" ht="15" customHeight="1" s="80">
      <c r="A16" s="128" t="inlineStr">
        <is>
          <t>Faaliyet Kârı</t>
        </is>
      </c>
      <c r="B16" s="126">
        <f>FaaliyetKari</f>
        <v/>
      </c>
    </row>
    <row r="17" ht="15" customHeight="1" s="80">
      <c r="A17" s="128" t="inlineStr">
        <is>
          <t>Faaliyet Marjı</t>
        </is>
      </c>
      <c r="B17" s="162">
        <f>FaaliyetMarjOrani</f>
        <v/>
      </c>
    </row>
    <row r="18" ht="15" customHeight="1" s="80">
      <c r="A18" s="128" t="inlineStr">
        <is>
          <t>Net Sonuç</t>
        </is>
      </c>
      <c r="B18" s="126">
        <f>NetSonuc</f>
        <v/>
      </c>
    </row>
    <row r="19" ht="15" customHeight="1" s="80">
      <c r="A19" s="128" t="inlineStr">
        <is>
          <t>Gerçek Nakit Değişimi</t>
        </is>
      </c>
      <c r="B19" s="126">
        <f>GercekNakit</f>
        <v/>
      </c>
    </row>
    <row r="20" ht="15" customHeight="1" s="80">
      <c r="A20" s="128" t="inlineStr">
        <is>
          <t>Nakit Dönüşüm Oranı</t>
        </is>
      </c>
      <c r="B20" s="162">
        <f>NakitDonusumOrani</f>
        <v/>
      </c>
    </row>
    <row r="21" ht="15" customHeight="1" s="80">
      <c r="A21" s="128" t="inlineStr">
        <is>
          <t>Başabaş Ciro</t>
        </is>
      </c>
      <c r="B21" s="126">
        <f>BasabasCiro</f>
        <v/>
      </c>
    </row>
    <row r="22" ht="15" customHeight="1" s="80">
      <c r="A22" s="128" t="inlineStr">
        <is>
          <t>Güvenlik Marjı</t>
        </is>
      </c>
      <c r="B22" s="162">
        <f>BASABAS!B22</f>
        <v/>
      </c>
    </row>
    <row r="23" ht="15" customHeight="1" s="80">
      <c r="A23" s="128" t="inlineStr">
        <is>
          <t>Ortak Çekişi</t>
        </is>
      </c>
      <c r="B23" s="126">
        <f>OrtakCekis</f>
        <v/>
      </c>
    </row>
    <row r="24" ht="15" customHeight="1" s="80">
      <c r="A24" s="128" t="inlineStr">
        <is>
          <t>Veri Kalite Skoru</t>
        </is>
      </c>
      <c r="B24" s="138">
        <f>VeriKaliteSkor</f>
        <v/>
      </c>
    </row>
    <row r="26" ht="15" customHeight="1" s="80">
      <c r="A26" s="120" t="inlineStr">
        <is>
          <t>KÂRLILIK KÖPRÜSÜ (MUHASEBE → NAKİT)</t>
        </is>
      </c>
    </row>
    <row r="27" ht="15" customHeight="1" s="80">
      <c r="A27" s="157">
        <f>TAHAKKUK_NAKIT_ESLEME!A6</f>
        <v/>
      </c>
      <c r="B27" s="163">
        <f>TAHAKKUK_NAKIT_ESLEME!B6</f>
        <v/>
      </c>
    </row>
    <row r="28" ht="15" customHeight="1" s="80">
      <c r="A28" s="157">
        <f>TAHAKKUK_NAKIT_ESLEME!A7</f>
        <v/>
      </c>
      <c r="B28" s="163">
        <f>TAHAKKUK_NAKIT_ESLEME!B7</f>
        <v/>
      </c>
    </row>
    <row r="29" ht="15" customHeight="1" s="80">
      <c r="A29" s="157">
        <f>TAHAKKUK_NAKIT_ESLEME!A8</f>
        <v/>
      </c>
      <c r="B29" s="163">
        <f>TAHAKKUK_NAKIT_ESLEME!B8</f>
        <v/>
      </c>
    </row>
    <row r="30" ht="15" customHeight="1" s="80">
      <c r="A30" s="157">
        <f>TAHAKKUK_NAKIT_ESLEME!A9</f>
        <v/>
      </c>
      <c r="B30" s="163">
        <f>TAHAKKUK_NAKIT_ESLEME!B9</f>
        <v/>
      </c>
    </row>
    <row r="31" ht="15" customHeight="1" s="80">
      <c r="A31" s="157">
        <f>TAHAKKUK_NAKIT_ESLEME!A10</f>
        <v/>
      </c>
      <c r="B31" s="163">
        <f>TAHAKKUK_NAKIT_ESLEME!B10</f>
        <v/>
      </c>
    </row>
    <row r="32" ht="15" customHeight="1" s="80">
      <c r="A32" s="157">
        <f>TAHAKKUK_NAKIT_ESLEME!A11</f>
        <v/>
      </c>
      <c r="B32" s="163">
        <f>TAHAKKUK_NAKIT_ESLEME!B11</f>
        <v/>
      </c>
    </row>
    <row r="33" ht="15" customHeight="1" s="80">
      <c r="A33" s="157">
        <f>TAHAKKUK_NAKIT_ESLEME!A12</f>
        <v/>
      </c>
      <c r="B33" s="163">
        <f>TAHAKKUK_NAKIT_ESLEME!B12</f>
        <v/>
      </c>
    </row>
    <row r="34" ht="15" customHeight="1" s="80">
      <c r="A34" s="157">
        <f>TAHAKKUK_NAKIT_ESLEME!A13</f>
        <v/>
      </c>
      <c r="B34" s="163">
        <f>TAHAKKUK_NAKIT_ESLEME!B13</f>
        <v/>
      </c>
    </row>
    <row r="35" ht="15" customHeight="1" s="80">
      <c r="A35" s="157">
        <f>TAHAKKUK_NAKIT_ESLEME!A14</f>
        <v/>
      </c>
      <c r="B35" s="163">
        <f>TAHAKKUK_NAKIT_ESLEME!B14</f>
        <v/>
      </c>
    </row>
    <row r="37" ht="15" customHeight="1" s="80">
      <c r="A37" s="120" t="inlineStr">
        <is>
          <t>ÖNERİLEN AKSİYONLAR</t>
        </is>
      </c>
    </row>
    <row r="38" ht="15" customHeight="1" s="80">
      <c r="A38" s="141" t="inlineStr">
        <is>
          <t>Risk</t>
        </is>
      </c>
      <c r="B38" s="141" t="inlineStr">
        <is>
          <t>Aksiyon</t>
        </is>
      </c>
      <c r="C38" s="141" t="inlineStr">
        <is>
          <t>Sorumlu</t>
        </is>
      </c>
      <c r="D38" s="141" t="inlineStr">
        <is>
          <t>Son Tarih</t>
        </is>
      </c>
    </row>
    <row r="39" ht="48.75" customHeight="1" s="80">
      <c r="A39" s="157">
        <f>IF(KARAR_MOTORU!B6="VERİ YETERSİZ","-",KARAR_MOTORU!B6)</f>
        <v/>
      </c>
      <c r="B39" s="123">
        <f>IF(KARAR_MOTORU!H6="","",KARAR_MOTORU!H6)</f>
        <v/>
      </c>
      <c r="C39" s="157">
        <f>KARAR_MOTORU!I6</f>
        <v/>
      </c>
      <c r="D39" s="164">
        <f>KARAR_MOTORU!J6</f>
        <v/>
      </c>
    </row>
    <row r="40" ht="36.75" customHeight="1" s="80">
      <c r="A40" s="157">
        <f>IF(KARAR_MOTORU!B7="VERİ YETERSİZ","-",KARAR_MOTORU!B7)</f>
        <v/>
      </c>
      <c r="B40" s="123">
        <f>IF(KARAR_MOTORU!H7="","",KARAR_MOTORU!H7)</f>
        <v/>
      </c>
      <c r="C40" s="157">
        <f>KARAR_MOTORU!I7</f>
        <v/>
      </c>
      <c r="D40" s="164">
        <f>KARAR_MOTORU!J7</f>
        <v/>
      </c>
    </row>
    <row r="41" ht="48.75" customHeight="1" s="80">
      <c r="A41" s="157">
        <f>IF(KARAR_MOTORU!B8="VERİ YETERSİZ","-",KARAR_MOTORU!B8)</f>
        <v/>
      </c>
      <c r="B41" s="123">
        <f>IF(KARAR_MOTORU!H8="","",KARAR_MOTORU!H8)</f>
        <v/>
      </c>
      <c r="C41" s="157">
        <f>KARAR_MOTORU!I8</f>
        <v/>
      </c>
      <c r="D41" s="164">
        <f>KARAR_MOTORU!J8</f>
        <v/>
      </c>
    </row>
    <row r="42" ht="60.75" customHeight="1" s="80">
      <c r="A42" s="157">
        <f>IF(KARAR_MOTORU!B9="VERİ YETERSİZ","-",KARAR_MOTORU!B9)</f>
        <v/>
      </c>
      <c r="B42" s="123">
        <f>IF(KARAR_MOTORU!H9="","",KARAR_MOTORU!H9)</f>
        <v/>
      </c>
      <c r="C42" s="157">
        <f>KARAR_MOTORU!I9</f>
        <v/>
      </c>
      <c r="D42" s="164">
        <f>KARAR_MOTORU!J9</f>
        <v/>
      </c>
    </row>
    <row r="43" ht="36.75" customHeight="1" s="80">
      <c r="A43" s="157">
        <f>IF(KARAR_MOTORU!B10="VERİ YETERSİZ","-",KARAR_MOTORU!B10)</f>
        <v/>
      </c>
      <c r="B43" s="123">
        <f>IF(KARAR_MOTORU!H10="","",KARAR_MOTORU!H10)</f>
        <v/>
      </c>
      <c r="C43" s="157">
        <f>KARAR_MOTORU!I10</f>
        <v/>
      </c>
      <c r="D43" s="164">
        <f>KARAR_MOTORU!J10</f>
        <v/>
      </c>
    </row>
    <row r="46" ht="15" customHeight="1" s="80">
      <c r="A46" s="127" t="inlineStr">
        <is>
          <t>MODEL VARSAYIMLARI</t>
        </is>
      </c>
    </row>
    <row r="47" ht="15" customHeight="1" s="80">
      <c r="A47" s="157" t="inlineStr">
        <is>
          <t>Brüt Marj Hedefi</t>
        </is>
      </c>
      <c r="B47" s="165">
        <f>IF(KayitSayisi=0,"VERİ YOK",BrutMarjHedef)</f>
        <v/>
      </c>
    </row>
    <row r="48" ht="15" customHeight="1" s="80">
      <c r="A48" s="157" t="inlineStr">
        <is>
          <t>Faaliyet Marjı Hedefi</t>
        </is>
      </c>
      <c r="B48" s="165">
        <f>IF(KayitSayisi=0,"VERİ YOK",FaaliyetMarjHedef)</f>
        <v/>
      </c>
    </row>
    <row r="49" ht="15" customHeight="1" s="80">
      <c r="A49" s="157" t="inlineStr">
        <is>
          <t>Nakit Dönüşüm Hedefi</t>
        </is>
      </c>
      <c r="B49" s="165">
        <f>IF(KayitSayisi=0,"VERİ YOK",NakitDonusumHedef)</f>
        <v/>
      </c>
    </row>
    <row r="50" ht="15" customHeight="1" s="80">
      <c r="A50" s="157" t="inlineStr">
        <is>
          <t>Finansman Gideri Eşiği</t>
        </is>
      </c>
      <c r="B50" s="165">
        <f>IF(KayitSayisi=0,"VERİ YOK",FinansmanEsik)</f>
        <v/>
      </c>
    </row>
    <row r="51" ht="15" customHeight="1" s="80">
      <c r="A51" s="157" t="inlineStr">
        <is>
          <t>Ortak Çekişi Eşiği</t>
        </is>
      </c>
      <c r="B51" s="165">
        <f>IF(KayitSayisi=0,"VERİ YOK",OrtakCekisEsik)</f>
        <v/>
      </c>
    </row>
    <row r="52" ht="15" customHeight="1" s="80">
      <c r="A52" s="157" t="inlineStr">
        <is>
          <t>Vergi Oranı</t>
        </is>
      </c>
      <c r="B52" s="165">
        <f>IF(KayitSayisi=0,"VERİ YOK",VergiOrani)</f>
        <v/>
      </c>
    </row>
    <row r="54" ht="15" customHeight="1" s="80">
      <c r="A54" s="166" t="inlineStr">
        <is>
          <t>SORUMLULUK REDDİ</t>
        </is>
      </c>
    </row>
    <row r="55" ht="15" customHeight="1" s="80">
      <c r="A55" s="167" t="inlineStr">
        <is>
          <t>Bu çalışma kitabı karar destek aracıdır; kesin kredi onayı, hukuki sonuç veya vergi doğruluğu garantisi vermez. Hesaplanan sonuçlar girilen verinin kalitesine bağlıdır. Profesyonel muhakeme ile birlikte kullanınız.</t>
        </is>
      </c>
    </row>
    <row r="56" ht="15" customHeight="1" s="80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K10"/>
    <mergeCell ref="A12:K12"/>
    <mergeCell ref="A26:K26"/>
    <mergeCell ref="A3:K3"/>
    <mergeCell ref="A1:AN1"/>
    <mergeCell ref="A55:K56"/>
    <mergeCell ref="A46:K46"/>
    <mergeCell ref="A37:K37"/>
    <mergeCell ref="A8:K8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&amp;LGünlük Gelir-Gider ve Gerçek Kârlılık Sistemi - Rapor&amp;CExcelArşiv&amp;RSayfa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06" min="1" max="1"/>
    <col width="12" customWidth="1" style="106" min="2" max="2"/>
    <col width="11" customWidth="1" style="106" min="3" max="4"/>
    <col width="22" customWidth="1" style="106" min="5" max="5"/>
    <col width="16" customWidth="1" style="106" min="6" max="6"/>
    <col width="14" customWidth="1" style="106" min="7" max="7"/>
    <col width="18" customWidth="1" style="106" min="8" max="9"/>
    <col width="12" customWidth="1" style="106" min="10" max="10"/>
    <col width="26" customWidth="1" style="106" min="11" max="11"/>
    <col width="9" customWidth="1" style="106" min="12" max="12"/>
    <col width="8" customWidth="1" style="106" min="13" max="13"/>
    <col width="12" customWidth="1" style="106" min="14" max="14"/>
    <col width="14" customWidth="1" style="106" min="15" max="15"/>
    <col width="12" customWidth="1" style="106" min="16" max="18"/>
    <col width="15" customWidth="1" style="106" min="19" max="19"/>
    <col width="14" customWidth="1" style="106" min="20" max="20"/>
    <col width="15" customWidth="1" style="106" min="21" max="21"/>
    <col width="18" customWidth="1" style="106" min="22" max="22"/>
    <col width="12" customWidth="1" style="106" min="23" max="23"/>
    <col width="14" customWidth="1" style="106" min="24" max="24"/>
    <col width="13" customWidth="1" style="106" min="25" max="26"/>
    <col width="14" customWidth="1" style="106" min="27" max="27"/>
    <col width="12" customWidth="1" style="106" min="28" max="28"/>
  </cols>
  <sheetData>
    <row r="1" ht="25.5" customHeight="1" s="80">
      <c r="A1" s="107" t="inlineStr">
        <is>
          <t>ORNEK VERI — GÜNLÜK GELİR–GİDER VE GERÇEK KÂRLILIK SİSTEMİ</t>
        </is>
      </c>
    </row>
    <row r="2" ht="19.5" customHeight="1" s="80">
      <c r="A2" s="108" t="inlineStr">
        <is>
          <t>Demo kayıtların yedek kopyası. GELIR_GIDER_KAYIT tablosunu temizlerseniz buradaki kayıtları geri kopyalayabilirsiniz.</t>
        </is>
      </c>
    </row>
    <row r="5" ht="30" customHeight="1" s="80">
      <c r="A5" s="109" t="inlineStr">
        <is>
          <t>Kayıt ID</t>
        </is>
      </c>
      <c r="B5" s="109" t="inlineStr">
        <is>
          <t>Tarih</t>
        </is>
      </c>
      <c r="C5" s="109" t="inlineStr">
        <is>
          <t>Belge Numarası</t>
        </is>
      </c>
      <c r="D5" s="109" t="inlineStr">
        <is>
          <t>İşlem Türü</t>
        </is>
      </c>
      <c r="E5" s="109" t="inlineStr">
        <is>
          <t>Ana Sınıf</t>
        </is>
      </c>
      <c r="F5" s="109" t="inlineStr">
        <is>
          <t>Kategori</t>
        </is>
      </c>
      <c r="G5" s="109" t="inlineStr">
        <is>
          <t>Alt Kategori</t>
        </is>
      </c>
      <c r="H5" s="109" t="inlineStr">
        <is>
          <t>Cari</t>
        </is>
      </c>
      <c r="I5" s="109" t="inlineStr">
        <is>
          <t>Ürün/Hizmet</t>
        </is>
      </c>
      <c r="J5" s="109" t="inlineStr">
        <is>
          <t>Proje</t>
        </is>
      </c>
      <c r="K5" s="109" t="inlineStr">
        <is>
          <t>Açıklama</t>
        </is>
      </c>
      <c r="L5" s="109" t="inlineStr">
        <is>
          <t>Miktar</t>
        </is>
      </c>
      <c r="M5" s="109" t="inlineStr">
        <is>
          <t>Birim</t>
        </is>
      </c>
      <c r="N5" s="109" t="inlineStr">
        <is>
          <t>Birim Fiyat</t>
        </is>
      </c>
      <c r="O5" s="109" t="inlineStr">
        <is>
          <t>Tutar</t>
        </is>
      </c>
      <c r="P5" s="109" t="inlineStr">
        <is>
          <t>KDV İşareti</t>
        </is>
      </c>
      <c r="Q5" s="109" t="inlineStr">
        <is>
          <t>Tahakkuk Tarihi</t>
        </is>
      </c>
      <c r="R5" s="109" t="inlineStr">
        <is>
          <t>Nakit Tarihi</t>
        </is>
      </c>
      <c r="S5" s="109" t="inlineStr">
        <is>
          <t>Nakit Gerçekleşti mi?</t>
        </is>
      </c>
      <c r="T5" s="109" t="inlineStr">
        <is>
          <t>Sabit/Değişken</t>
        </is>
      </c>
      <c r="U5" s="109" t="inlineStr">
        <is>
          <t>Doğrudan/Dolaylı</t>
        </is>
      </c>
      <c r="V5" s="109" t="inlineStr">
        <is>
          <t>Tekrarlayan/Tek Seferlik</t>
        </is>
      </c>
      <c r="W5" s="109" t="inlineStr">
        <is>
          <t>Ortak İşlemi</t>
        </is>
      </c>
      <c r="X5" s="109" t="inlineStr">
        <is>
          <t>Finansman İşlemi</t>
        </is>
      </c>
      <c r="Y5" s="109" t="inlineStr">
        <is>
          <t>Yatırım İşlemi</t>
        </is>
      </c>
      <c r="Z5" s="109" t="inlineStr">
        <is>
          <t>Nakit Etkisi</t>
        </is>
      </c>
      <c r="AA5" s="109" t="inlineStr">
        <is>
          <t>Kârlılık Etkisi</t>
        </is>
      </c>
      <c r="AB5" s="109" t="inlineStr">
        <is>
          <t>Kontrol</t>
        </is>
      </c>
    </row>
    <row r="6" ht="15" customHeight="1" s="80">
      <c r="B6" s="157" t="inlineStr">
        <is>
          <t>2026-05-02</t>
        </is>
      </c>
      <c r="C6" s="157" t="inlineStr">
        <is>
          <t>SAT-001</t>
        </is>
      </c>
      <c r="D6" s="157" t="inlineStr">
        <is>
          <t>GELİR</t>
        </is>
      </c>
      <c r="E6" s="157" t="inlineStr">
        <is>
          <t>SATIŞ</t>
        </is>
      </c>
      <c r="F6" s="157" t="inlineStr">
        <is>
          <t>TİCARİ MAL</t>
        </is>
      </c>
      <c r="G6" s="157" t="n"/>
      <c r="H6" s="157" t="inlineStr">
        <is>
          <t>Yıldız Market</t>
        </is>
      </c>
      <c r="I6" s="157" t="inlineStr">
        <is>
          <t>Ayçiçek Yağı 5L</t>
        </is>
      </c>
      <c r="J6" s="157" t="n"/>
      <c r="K6" s="157" t="inlineStr">
        <is>
          <t>Toptan satış</t>
        </is>
      </c>
      <c r="L6" s="168" t="n">
        <v>1000</v>
      </c>
      <c r="M6" s="157" t="inlineStr">
        <is>
          <t>ADET</t>
        </is>
      </c>
      <c r="N6" s="168" t="n">
        <v>150</v>
      </c>
      <c r="O6" s="156" t="n">
        <v>150000</v>
      </c>
      <c r="P6" s="157" t="inlineStr">
        <is>
          <t>HARİÇ</t>
        </is>
      </c>
      <c r="Q6" s="157" t="inlineStr">
        <is>
          <t>2026-05-02</t>
        </is>
      </c>
      <c r="R6" s="157" t="inlineStr">
        <is>
          <t>2026-06-20</t>
        </is>
      </c>
      <c r="S6" s="157" t="inlineStr">
        <is>
          <t>HAYIR</t>
        </is>
      </c>
      <c r="T6" s="157" t="inlineStr">
        <is>
          <t>DEĞİŞKEN</t>
        </is>
      </c>
      <c r="U6" s="157" t="inlineStr">
        <is>
          <t>DOĞRUDAN</t>
        </is>
      </c>
      <c r="V6" s="157" t="inlineStr">
        <is>
          <t>TEKRARLAYAN</t>
        </is>
      </c>
      <c r="W6" s="157" t="inlineStr">
        <is>
          <t>HAYIR</t>
        </is>
      </c>
      <c r="X6" s="157" t="inlineStr">
        <is>
          <t>HAYIR</t>
        </is>
      </c>
      <c r="Y6" s="157" t="inlineStr">
        <is>
          <t>HAYIR</t>
        </is>
      </c>
    </row>
    <row r="7" ht="15" customHeight="1" s="80">
      <c r="B7" s="157" t="inlineStr">
        <is>
          <t>2026-05-03</t>
        </is>
      </c>
      <c r="C7" s="157" t="inlineStr">
        <is>
          <t>AL-001</t>
        </is>
      </c>
      <c r="D7" s="157" t="inlineStr">
        <is>
          <t>GİDER</t>
        </is>
      </c>
      <c r="E7" s="157" t="inlineStr">
        <is>
          <t>SATIŞLARIN MALİYETİ</t>
        </is>
      </c>
      <c r="F7" s="157" t="inlineStr">
        <is>
          <t>HAMMADDE</t>
        </is>
      </c>
      <c r="G7" s="157" t="n"/>
      <c r="H7" s="157" t="inlineStr">
        <is>
          <t>Tarım Ürünleri A.Ş.</t>
        </is>
      </c>
      <c r="I7" s="157" t="inlineStr">
        <is>
          <t>Ayçiçek Çekirdeği</t>
        </is>
      </c>
      <c r="J7" s="157" t="n"/>
      <c r="K7" s="157" t="inlineStr">
        <is>
          <t>Hammadde alımı</t>
        </is>
      </c>
      <c r="L7" s="168" t="n">
        <v>3000</v>
      </c>
      <c r="M7" s="157" t="inlineStr">
        <is>
          <t>KG</t>
        </is>
      </c>
      <c r="N7" s="168" t="n">
        <v>30</v>
      </c>
      <c r="O7" s="156" t="n">
        <v>90000</v>
      </c>
      <c r="P7" s="157" t="inlineStr">
        <is>
          <t>HARİÇ</t>
        </is>
      </c>
      <c r="Q7" s="157" t="inlineStr">
        <is>
          <t>2026-05-03</t>
        </is>
      </c>
      <c r="R7" s="157" t="inlineStr">
        <is>
          <t>2026-05-03</t>
        </is>
      </c>
      <c r="S7" s="157" t="inlineStr">
        <is>
          <t>EVET</t>
        </is>
      </c>
      <c r="T7" s="157" t="inlineStr">
        <is>
          <t>DEĞİŞKEN</t>
        </is>
      </c>
      <c r="U7" s="157" t="inlineStr">
        <is>
          <t>DOĞRUDAN</t>
        </is>
      </c>
      <c r="V7" s="157" t="inlineStr">
        <is>
          <t>TEKRARLAYAN</t>
        </is>
      </c>
      <c r="W7" s="157" t="inlineStr">
        <is>
          <t>HAYIR</t>
        </is>
      </c>
      <c r="X7" s="157" t="inlineStr">
        <is>
          <t>HAYIR</t>
        </is>
      </c>
      <c r="Y7" s="157" t="inlineStr">
        <is>
          <t>HAYIR</t>
        </is>
      </c>
    </row>
    <row r="8" ht="15" customHeight="1" s="80">
      <c r="B8" s="157" t="inlineStr">
        <is>
          <t>2026-05-05</t>
        </is>
      </c>
      <c r="C8" s="157" t="inlineStr">
        <is>
          <t>SAT-002</t>
        </is>
      </c>
      <c r="D8" s="157" t="inlineStr">
        <is>
          <t>GELİR</t>
        </is>
      </c>
      <c r="E8" s="157" t="inlineStr">
        <is>
          <t>SATIŞ</t>
        </is>
      </c>
      <c r="F8" s="157" t="inlineStr">
        <is>
          <t>TİCARİ MAL</t>
        </is>
      </c>
      <c r="G8" s="157" t="n"/>
      <c r="H8" s="157" t="inlineStr">
        <is>
          <t>Can Bakkaliye</t>
        </is>
      </c>
      <c r="I8" s="157" t="inlineStr">
        <is>
          <t>Bulgur 50kg</t>
        </is>
      </c>
      <c r="J8" s="157" t="n"/>
      <c r="K8" s="157" t="inlineStr">
        <is>
          <t>Toptan satış</t>
        </is>
      </c>
      <c r="L8" s="168" t="n">
        <v>400</v>
      </c>
      <c r="M8" s="157" t="inlineStr">
        <is>
          <t>ADET</t>
        </is>
      </c>
      <c r="N8" s="168" t="n">
        <v>100</v>
      </c>
      <c r="O8" s="156" t="n">
        <v>40000</v>
      </c>
      <c r="P8" s="157" t="inlineStr">
        <is>
          <t>HARİÇ</t>
        </is>
      </c>
      <c r="Q8" s="157" t="inlineStr">
        <is>
          <t>2026-05-05</t>
        </is>
      </c>
      <c r="R8" s="157" t="inlineStr">
        <is>
          <t>2026-05-25</t>
        </is>
      </c>
      <c r="S8" s="157" t="inlineStr">
        <is>
          <t>EVET</t>
        </is>
      </c>
      <c r="T8" s="157" t="inlineStr">
        <is>
          <t>DEĞİŞKEN</t>
        </is>
      </c>
      <c r="U8" s="157" t="inlineStr">
        <is>
          <t>DOĞRUDAN</t>
        </is>
      </c>
      <c r="V8" s="157" t="inlineStr">
        <is>
          <t>TEKRARLAYAN</t>
        </is>
      </c>
      <c r="W8" s="157" t="inlineStr">
        <is>
          <t>HAYIR</t>
        </is>
      </c>
      <c r="X8" s="157" t="inlineStr">
        <is>
          <t>HAYIR</t>
        </is>
      </c>
      <c r="Y8" s="157" t="inlineStr">
        <is>
          <t>HAYIR</t>
        </is>
      </c>
    </row>
    <row r="9" ht="15" customHeight="1" s="80">
      <c r="B9" s="157" t="inlineStr">
        <is>
          <t>2026-05-05</t>
        </is>
      </c>
      <c r="C9" s="157" t="inlineStr">
        <is>
          <t>KIR-001</t>
        </is>
      </c>
      <c r="D9" s="157" t="inlineStr">
        <is>
          <t>GİDER</t>
        </is>
      </c>
      <c r="E9" s="157" t="inlineStr">
        <is>
          <t>KİRA</t>
        </is>
      </c>
      <c r="F9" s="157" t="inlineStr">
        <is>
          <t>OFİS</t>
        </is>
      </c>
      <c r="G9" s="157" t="n"/>
      <c r="H9" s="157" t="inlineStr">
        <is>
          <t>Depo Sahibi</t>
        </is>
      </c>
      <c r="I9" s="157" t="n"/>
      <c r="J9" s="157" t="n"/>
      <c r="K9" s="157" t="inlineStr">
        <is>
          <t>Depo ve ofis kirası</t>
        </is>
      </c>
      <c r="L9" s="168" t="n">
        <v>1</v>
      </c>
      <c r="M9" s="157" t="inlineStr">
        <is>
          <t>AY</t>
        </is>
      </c>
      <c r="N9" s="168" t="n">
        <v>25000</v>
      </c>
      <c r="O9" s="156" t="n">
        <v>25000</v>
      </c>
      <c r="P9" s="157" t="inlineStr">
        <is>
          <t>DAHİL</t>
        </is>
      </c>
      <c r="Q9" s="157" t="inlineStr">
        <is>
          <t>2026-05-05</t>
        </is>
      </c>
      <c r="R9" s="157" t="inlineStr">
        <is>
          <t>2026-05-05</t>
        </is>
      </c>
      <c r="S9" s="157" t="inlineStr">
        <is>
          <t>EVET</t>
        </is>
      </c>
      <c r="T9" s="157" t="inlineStr">
        <is>
          <t>SABİT</t>
        </is>
      </c>
      <c r="U9" s="157" t="inlineStr">
        <is>
          <t>DOLAYLI</t>
        </is>
      </c>
      <c r="V9" s="157" t="inlineStr">
        <is>
          <t>TEKRARLAYAN</t>
        </is>
      </c>
      <c r="W9" s="157" t="inlineStr">
        <is>
          <t>HAYIR</t>
        </is>
      </c>
      <c r="X9" s="157" t="inlineStr">
        <is>
          <t>HAYIR</t>
        </is>
      </c>
      <c r="Y9" s="157" t="inlineStr">
        <is>
          <t>HAYIR</t>
        </is>
      </c>
    </row>
    <row r="10" ht="15" customHeight="1" s="80">
      <c r="B10" s="157" t="inlineStr">
        <is>
          <t>2026-05-05</t>
        </is>
      </c>
      <c r="C10" s="157" t="inlineStr">
        <is>
          <t>FIN-001</t>
        </is>
      </c>
      <c r="D10" s="157" t="inlineStr">
        <is>
          <t>GİDER</t>
        </is>
      </c>
      <c r="E10" s="157" t="inlineStr">
        <is>
          <t>FİNANSMAN GİDERİ</t>
        </is>
      </c>
      <c r="F10" s="157" t="inlineStr">
        <is>
          <t>KOMİSYON</t>
        </is>
      </c>
      <c r="G10" s="157" t="n"/>
      <c r="H10" s="157" t="inlineStr">
        <is>
          <t>ABC Bankası</t>
        </is>
      </c>
      <c r="I10" s="157" t="n"/>
      <c r="J10" s="157" t="n"/>
      <c r="K10" s="157" t="inlineStr">
        <is>
          <t>Kredi faizi</t>
        </is>
      </c>
      <c r="L10" s="168" t="n">
        <v>1</v>
      </c>
      <c r="M10" s="157" t="inlineStr">
        <is>
          <t>AY</t>
        </is>
      </c>
      <c r="N10" s="168" t="n">
        <v>6000</v>
      </c>
      <c r="O10" s="156" t="n">
        <v>6000</v>
      </c>
      <c r="P10" s="157" t="inlineStr">
        <is>
          <t>DAHİL</t>
        </is>
      </c>
      <c r="Q10" s="157" t="inlineStr">
        <is>
          <t>2026-05-05</t>
        </is>
      </c>
      <c r="R10" s="157" t="inlineStr">
        <is>
          <t>2026-05-05</t>
        </is>
      </c>
      <c r="S10" s="157" t="inlineStr">
        <is>
          <t>EVET</t>
        </is>
      </c>
      <c r="T10" s="157" t="inlineStr">
        <is>
          <t>SABİT</t>
        </is>
      </c>
      <c r="U10" s="157" t="inlineStr">
        <is>
          <t>DOLAYLI</t>
        </is>
      </c>
      <c r="V10" s="157" t="inlineStr">
        <is>
          <t>TEKRARLAYAN</t>
        </is>
      </c>
      <c r="W10" s="157" t="inlineStr">
        <is>
          <t>HAYIR</t>
        </is>
      </c>
      <c r="X10" s="157" t="inlineStr">
        <is>
          <t>HAYIR</t>
        </is>
      </c>
      <c r="Y10" s="157" t="inlineStr">
        <is>
          <t>HAYIR</t>
        </is>
      </c>
    </row>
    <row r="11" ht="15" customHeight="1" s="80">
      <c r="B11" s="157" t="inlineStr">
        <is>
          <t>2026-05-10</t>
        </is>
      </c>
      <c r="C11" s="157" t="inlineStr">
        <is>
          <t>AL-002</t>
        </is>
      </c>
      <c r="D11" s="157" t="inlineStr">
        <is>
          <t>GİDER</t>
        </is>
      </c>
      <c r="E11" s="157" t="inlineStr">
        <is>
          <t>SATIŞLARIN MALİYETİ</t>
        </is>
      </c>
      <c r="F11" s="157" t="inlineStr">
        <is>
          <t>HAMMADDE</t>
        </is>
      </c>
      <c r="G11" s="157" t="n"/>
      <c r="H11" s="157" t="inlineStr">
        <is>
          <t>Tarım Ürünleri A.Ş.</t>
        </is>
      </c>
      <c r="I11" s="157" t="inlineStr">
        <is>
          <t>Bulgur Buğdayı</t>
        </is>
      </c>
      <c r="J11" s="157" t="n"/>
      <c r="K11" s="157" t="inlineStr">
        <is>
          <t>Hammadde alımı</t>
        </is>
      </c>
      <c r="L11" s="168" t="n">
        <v>2000</v>
      </c>
      <c r="M11" s="157" t="inlineStr">
        <is>
          <t>KG</t>
        </is>
      </c>
      <c r="N11" s="168" t="n">
        <v>25</v>
      </c>
      <c r="O11" s="156" t="n">
        <v>50000</v>
      </c>
      <c r="P11" s="157" t="inlineStr">
        <is>
          <t>HARİÇ</t>
        </is>
      </c>
      <c r="Q11" s="157" t="inlineStr">
        <is>
          <t>2026-05-10</t>
        </is>
      </c>
      <c r="R11" s="157" t="inlineStr">
        <is>
          <t>2026-06-20</t>
        </is>
      </c>
      <c r="S11" s="157" t="inlineStr">
        <is>
          <t>HAYIR</t>
        </is>
      </c>
      <c r="T11" s="157" t="inlineStr">
        <is>
          <t>DEĞİŞKEN</t>
        </is>
      </c>
      <c r="U11" s="157" t="inlineStr">
        <is>
          <t>DOĞRUDAN</t>
        </is>
      </c>
      <c r="V11" s="157" t="inlineStr">
        <is>
          <t>TEKRARLAYAN</t>
        </is>
      </c>
      <c r="W11" s="157" t="inlineStr">
        <is>
          <t>HAYIR</t>
        </is>
      </c>
      <c r="X11" s="157" t="inlineStr">
        <is>
          <t>HAYIR</t>
        </is>
      </c>
      <c r="Y11" s="157" t="inlineStr">
        <is>
          <t>HAYIR</t>
        </is>
      </c>
    </row>
    <row r="12" ht="15" customHeight="1" s="80">
      <c r="B12" s="157" t="inlineStr">
        <is>
          <t>2026-05-12</t>
        </is>
      </c>
      <c r="C12" s="157" t="inlineStr">
        <is>
          <t>SAT-003</t>
        </is>
      </c>
      <c r="D12" s="157" t="inlineStr">
        <is>
          <t>GELİR</t>
        </is>
      </c>
      <c r="E12" s="157" t="inlineStr">
        <is>
          <t>SATIŞ</t>
        </is>
      </c>
      <c r="F12" s="157" t="inlineStr">
        <is>
          <t>TİCARİ MAL</t>
        </is>
      </c>
      <c r="G12" s="157" t="n"/>
      <c r="H12" s="157" t="inlineStr">
        <is>
          <t>Mega Market</t>
        </is>
      </c>
      <c r="I12" s="157" t="inlineStr">
        <is>
          <t>Un 25kg</t>
        </is>
      </c>
      <c r="J12" s="157" t="n"/>
      <c r="K12" s="157" t="inlineStr">
        <is>
          <t>Toptan satış</t>
        </is>
      </c>
      <c r="L12" s="168" t="n">
        <v>600</v>
      </c>
      <c r="M12" s="157" t="inlineStr">
        <is>
          <t>ADET</t>
        </is>
      </c>
      <c r="N12" s="168" t="n">
        <v>100</v>
      </c>
      <c r="O12" s="156" t="n">
        <v>60000</v>
      </c>
      <c r="P12" s="157" t="inlineStr">
        <is>
          <t>HARİÇ</t>
        </is>
      </c>
      <c r="Q12" s="157" t="inlineStr">
        <is>
          <t>2026-05-12</t>
        </is>
      </c>
      <c r="R12" s="157" t="inlineStr">
        <is>
          <t>2026-06-30</t>
        </is>
      </c>
      <c r="S12" s="157" t="inlineStr">
        <is>
          <t>HAYIR</t>
        </is>
      </c>
      <c r="T12" s="157" t="inlineStr">
        <is>
          <t>DEĞİŞKEN</t>
        </is>
      </c>
      <c r="U12" s="157" t="inlineStr">
        <is>
          <t>DOĞRUDAN</t>
        </is>
      </c>
      <c r="V12" s="157" t="inlineStr">
        <is>
          <t>TEKRARLAYAN</t>
        </is>
      </c>
      <c r="W12" s="157" t="inlineStr">
        <is>
          <t>HAYIR</t>
        </is>
      </c>
      <c r="X12" s="157" t="inlineStr">
        <is>
          <t>HAYIR</t>
        </is>
      </c>
      <c r="Y12" s="157" t="inlineStr">
        <is>
          <t>HAYIR</t>
        </is>
      </c>
    </row>
    <row r="13" ht="15" customHeight="1" s="80">
      <c r="B13" s="157" t="inlineStr">
        <is>
          <t>2026-05-12</t>
        </is>
      </c>
      <c r="C13" s="157" t="inlineStr">
        <is>
          <t>NAK-001</t>
        </is>
      </c>
      <c r="D13" s="157" t="inlineStr">
        <is>
          <t>GİDER</t>
        </is>
      </c>
      <c r="E13" s="157" t="inlineStr">
        <is>
          <t>DEĞİŞKEN GİDER</t>
        </is>
      </c>
      <c r="F13" s="157" t="inlineStr">
        <is>
          <t>NAKLİYE</t>
        </is>
      </c>
      <c r="G13" s="157" t="n"/>
      <c r="H13" s="157" t="inlineStr">
        <is>
          <t>Nakliyeci Ali</t>
        </is>
      </c>
      <c r="I13" s="157" t="n"/>
      <c r="J13" s="157" t="n"/>
      <c r="K13" s="157" t="inlineStr">
        <is>
          <t>Sevkiyat nakliyesi</t>
        </is>
      </c>
      <c r="L13" s="168" t="n">
        <v>1</v>
      </c>
      <c r="M13" s="157" t="inlineStr">
        <is>
          <t>GÜN</t>
        </is>
      </c>
      <c r="N13" s="168" t="n">
        <v>12000</v>
      </c>
      <c r="O13" s="156" t="n">
        <v>12000</v>
      </c>
      <c r="P13" s="157" t="inlineStr">
        <is>
          <t>DAHİL</t>
        </is>
      </c>
      <c r="Q13" s="157" t="inlineStr">
        <is>
          <t>2026-05-12</t>
        </is>
      </c>
      <c r="R13" s="157" t="inlineStr">
        <is>
          <t>2026-05-12</t>
        </is>
      </c>
      <c r="S13" s="157" t="inlineStr">
        <is>
          <t>EVET</t>
        </is>
      </c>
      <c r="T13" s="157" t="inlineStr">
        <is>
          <t>DEĞİŞKEN</t>
        </is>
      </c>
      <c r="U13" s="157" t="inlineStr">
        <is>
          <t>DOLAYLI</t>
        </is>
      </c>
      <c r="V13" s="157" t="inlineStr">
        <is>
          <t>TEKRARLAYAN</t>
        </is>
      </c>
      <c r="W13" s="157" t="inlineStr">
        <is>
          <t>HAYIR</t>
        </is>
      </c>
      <c r="X13" s="157" t="inlineStr">
        <is>
          <t>HAYIR</t>
        </is>
      </c>
      <c r="Y13" s="157" t="inlineStr">
        <is>
          <t>HAYIR</t>
        </is>
      </c>
    </row>
    <row r="14" ht="15" customHeight="1" s="80">
      <c r="B14" s="157" t="inlineStr">
        <is>
          <t>2026-05-15</t>
        </is>
      </c>
      <c r="C14" s="157" t="inlineStr">
        <is>
          <t>PAZ-001</t>
        </is>
      </c>
      <c r="D14" s="157" t="inlineStr">
        <is>
          <t>GİDER</t>
        </is>
      </c>
      <c r="E14" s="157" t="inlineStr">
        <is>
          <t>PAZARLAMA</t>
        </is>
      </c>
      <c r="F14" s="157" t="inlineStr">
        <is>
          <t>REKLAM</t>
        </is>
      </c>
      <c r="G14" s="157" t="n"/>
      <c r="H14" s="157" t="inlineStr">
        <is>
          <t>Medya Ajans</t>
        </is>
      </c>
      <c r="I14" s="157" t="n"/>
      <c r="J14" s="157" t="n"/>
      <c r="K14" s="157" t="inlineStr">
        <is>
          <t>Sosyal medya reklamı</t>
        </is>
      </c>
      <c r="L14" s="168" t="n">
        <v>1</v>
      </c>
      <c r="M14" s="157" t="inlineStr">
        <is>
          <t>AY</t>
        </is>
      </c>
      <c r="N14" s="168" t="n">
        <v>8000</v>
      </c>
      <c r="O14" s="156" t="n">
        <v>8000</v>
      </c>
      <c r="P14" s="157" t="inlineStr">
        <is>
          <t>DAHİL</t>
        </is>
      </c>
      <c r="Q14" s="157" t="inlineStr">
        <is>
          <t>2026-05-15</t>
        </is>
      </c>
      <c r="R14" s="157" t="inlineStr">
        <is>
          <t>2026-05-15</t>
        </is>
      </c>
      <c r="S14" s="157" t="inlineStr">
        <is>
          <t>EVET</t>
        </is>
      </c>
      <c r="T14" s="157" t="inlineStr">
        <is>
          <t>SABİT</t>
        </is>
      </c>
      <c r="U14" s="157" t="inlineStr">
        <is>
          <t>DOLAYLI</t>
        </is>
      </c>
      <c r="V14" s="157" t="inlineStr">
        <is>
          <t>TEKRARLAYAN</t>
        </is>
      </c>
      <c r="W14" s="157" t="inlineStr">
        <is>
          <t>HAYIR</t>
        </is>
      </c>
      <c r="X14" s="157" t="inlineStr">
        <is>
          <t>HAYIR</t>
        </is>
      </c>
      <c r="Y14" s="157" t="inlineStr">
        <is>
          <t>HAYIR</t>
        </is>
      </c>
    </row>
    <row r="15" ht="15" customHeight="1" s="80">
      <c r="B15" s="157" t="inlineStr">
        <is>
          <t>2026-05-18</t>
        </is>
      </c>
      <c r="C15" s="157" t="inlineStr">
        <is>
          <t>AL-003</t>
        </is>
      </c>
      <c r="D15" s="157" t="inlineStr">
        <is>
          <t>GİDER</t>
        </is>
      </c>
      <c r="E15" s="157" t="inlineStr">
        <is>
          <t>SATIŞLARIN MALİYETİ</t>
        </is>
      </c>
      <c r="F15" s="157" t="inlineStr">
        <is>
          <t>HAMMADDE</t>
        </is>
      </c>
      <c r="G15" s="157" t="n"/>
      <c r="H15" s="157" t="inlineStr">
        <is>
          <t>Tarım Ürünleri A.Ş.</t>
        </is>
      </c>
      <c r="I15" s="157" t="inlineStr">
        <is>
          <t>Mercimek</t>
        </is>
      </c>
      <c r="J15" s="157" t="n"/>
      <c r="K15" s="157" t="inlineStr">
        <is>
          <t>Hammadde alımı</t>
        </is>
      </c>
      <c r="L15" s="168" t="n">
        <v>1500</v>
      </c>
      <c r="M15" s="157" t="inlineStr">
        <is>
          <t>KG</t>
        </is>
      </c>
      <c r="N15" s="168" t="n">
        <v>30</v>
      </c>
      <c r="O15" s="156" t="n">
        <v>45000</v>
      </c>
      <c r="P15" s="157" t="inlineStr">
        <is>
          <t>HARİÇ</t>
        </is>
      </c>
      <c r="Q15" s="157" t="inlineStr">
        <is>
          <t>2026-05-18</t>
        </is>
      </c>
      <c r="R15" s="157" t="inlineStr">
        <is>
          <t>2026-05-18</t>
        </is>
      </c>
      <c r="S15" s="157" t="inlineStr">
        <is>
          <t>EVET</t>
        </is>
      </c>
      <c r="T15" s="157" t="inlineStr">
        <is>
          <t>DEĞİŞKEN</t>
        </is>
      </c>
      <c r="U15" s="157" t="inlineStr">
        <is>
          <t>DOĞRUDAN</t>
        </is>
      </c>
      <c r="V15" s="157" t="inlineStr">
        <is>
          <t>TEKRARLAYAN</t>
        </is>
      </c>
      <c r="W15" s="157" t="inlineStr">
        <is>
          <t>HAYIR</t>
        </is>
      </c>
      <c r="X15" s="157" t="inlineStr">
        <is>
          <t>HAYIR</t>
        </is>
      </c>
      <c r="Y15" s="157" t="inlineStr">
        <is>
          <t>HAYIR</t>
        </is>
      </c>
    </row>
    <row r="16" ht="15" customHeight="1" s="80">
      <c r="B16" s="157" t="inlineStr">
        <is>
          <t>2026-05-19</t>
        </is>
      </c>
      <c r="C16" s="157" t="inlineStr">
        <is>
          <t>SAT-004</t>
        </is>
      </c>
      <c r="D16" s="157" t="inlineStr">
        <is>
          <t>GELİR</t>
        </is>
      </c>
      <c r="E16" s="157" t="inlineStr">
        <is>
          <t>SATIŞ</t>
        </is>
      </c>
      <c r="F16" s="157" t="inlineStr">
        <is>
          <t>TİCARİ MAL</t>
        </is>
      </c>
      <c r="G16" s="157" t="n"/>
      <c r="H16" s="157" t="inlineStr">
        <is>
          <t>Süpermarket Zinciri</t>
        </is>
      </c>
      <c r="I16" s="157" t="inlineStr">
        <is>
          <t>Mercimek</t>
        </is>
      </c>
      <c r="J16" s="157" t="n"/>
      <c r="K16" s="157" t="inlineStr">
        <is>
          <t>Toptan satış</t>
        </is>
      </c>
      <c r="L16" s="168" t="n">
        <v>1000</v>
      </c>
      <c r="M16" s="157" t="inlineStr">
        <is>
          <t>ADET</t>
        </is>
      </c>
      <c r="N16" s="168" t="n">
        <v>50</v>
      </c>
      <c r="O16" s="156" t="n">
        <v>50000</v>
      </c>
      <c r="P16" s="157" t="inlineStr">
        <is>
          <t>HARİÇ</t>
        </is>
      </c>
      <c r="Q16" s="157" t="inlineStr">
        <is>
          <t>2026-05-19</t>
        </is>
      </c>
      <c r="R16" s="157" t="inlineStr">
        <is>
          <t>2026-06-10</t>
        </is>
      </c>
      <c r="S16" s="157" t="inlineStr">
        <is>
          <t>EVET</t>
        </is>
      </c>
      <c r="T16" s="157" t="inlineStr">
        <is>
          <t>DEĞİŞKEN</t>
        </is>
      </c>
      <c r="U16" s="157" t="inlineStr">
        <is>
          <t>DOĞRUDAN</t>
        </is>
      </c>
      <c r="V16" s="157" t="inlineStr">
        <is>
          <t>TEKRARLAYAN</t>
        </is>
      </c>
      <c r="W16" s="157" t="inlineStr">
        <is>
          <t>HAYIR</t>
        </is>
      </c>
      <c r="X16" s="157" t="inlineStr">
        <is>
          <t>HAYIR</t>
        </is>
      </c>
      <c r="Y16" s="157" t="inlineStr">
        <is>
          <t>HAYIR</t>
        </is>
      </c>
    </row>
    <row r="17" ht="15" customHeight="1" s="80">
      <c r="B17" s="157" t="inlineStr">
        <is>
          <t>2026-05-25</t>
        </is>
      </c>
      <c r="C17" s="157" t="inlineStr">
        <is>
          <t>PER-001</t>
        </is>
      </c>
      <c r="D17" s="157" t="inlineStr">
        <is>
          <t>GİDER</t>
        </is>
      </c>
      <c r="E17" s="157" t="inlineStr">
        <is>
          <t>PERSONEL</t>
        </is>
      </c>
      <c r="F17" s="157" t="inlineStr">
        <is>
          <t>İKRAMİYE</t>
        </is>
      </c>
      <c r="G17" s="157" t="n"/>
      <c r="H17" s="157" t="inlineStr">
        <is>
          <t>Personel</t>
        </is>
      </c>
      <c r="I17" s="157" t="n"/>
      <c r="J17" s="157" t="n"/>
      <c r="K17" s="157" t="inlineStr">
        <is>
          <t>Maaş ödemesi</t>
        </is>
      </c>
      <c r="L17" s="168" t="n">
        <v>6</v>
      </c>
      <c r="M17" s="157" t="inlineStr">
        <is>
          <t>AY</t>
        </is>
      </c>
      <c r="N17" s="168" t="n">
        <v>9167</v>
      </c>
      <c r="O17" s="156" t="n">
        <v>55000</v>
      </c>
      <c r="P17" s="157" t="inlineStr">
        <is>
          <t>DAHİL</t>
        </is>
      </c>
      <c r="Q17" s="157" t="inlineStr">
        <is>
          <t>2026-05-25</t>
        </is>
      </c>
      <c r="R17" s="157" t="inlineStr">
        <is>
          <t>2026-05-25</t>
        </is>
      </c>
      <c r="S17" s="157" t="inlineStr">
        <is>
          <t>EVET</t>
        </is>
      </c>
      <c r="T17" s="157" t="inlineStr">
        <is>
          <t>SABİT</t>
        </is>
      </c>
      <c r="U17" s="157" t="inlineStr">
        <is>
          <t>DOLAYLI</t>
        </is>
      </c>
      <c r="V17" s="157" t="inlineStr">
        <is>
          <t>TEKRARLAYAN</t>
        </is>
      </c>
      <c r="W17" s="157" t="inlineStr">
        <is>
          <t>HAYIR</t>
        </is>
      </c>
      <c r="X17" s="157" t="inlineStr">
        <is>
          <t>HAYIR</t>
        </is>
      </c>
      <c r="Y17" s="157" t="inlineStr">
        <is>
          <t>HAYIR</t>
        </is>
      </c>
    </row>
    <row r="18" ht="15" customHeight="1" s="80">
      <c r="B18" s="157" t="inlineStr">
        <is>
          <t>2026-05-28</t>
        </is>
      </c>
      <c r="C18" s="157" t="inlineStr">
        <is>
          <t>GY-001</t>
        </is>
      </c>
      <c r="D18" s="157" t="inlineStr">
        <is>
          <t>GİDER</t>
        </is>
      </c>
      <c r="E18" s="157" t="inlineStr">
        <is>
          <t>GENEL YÖNETİM</t>
        </is>
      </c>
      <c r="F18" s="157" t="inlineStr">
        <is>
          <t>ELEKTRİK</t>
        </is>
      </c>
      <c r="G18" s="157" t="n"/>
      <c r="H18" s="157" t="inlineStr">
        <is>
          <t>Elektrik Dağıtım</t>
        </is>
      </c>
      <c r="I18" s="157" t="n"/>
      <c r="J18" s="157" t="n"/>
      <c r="K18" s="157" t="inlineStr">
        <is>
          <t>Elektrik faturası</t>
        </is>
      </c>
      <c r="L18" s="168" t="n">
        <v>1</v>
      </c>
      <c r="M18" s="157" t="inlineStr">
        <is>
          <t>AY</t>
        </is>
      </c>
      <c r="N18" s="168" t="n">
        <v>9000</v>
      </c>
      <c r="O18" s="156" t="n">
        <v>9000</v>
      </c>
      <c r="P18" s="157" t="inlineStr">
        <is>
          <t>DAHİL</t>
        </is>
      </c>
      <c r="Q18" s="157" t="inlineStr">
        <is>
          <t>2026-05-28</t>
        </is>
      </c>
      <c r="R18" s="157" t="inlineStr">
        <is>
          <t>2026-06-30</t>
        </is>
      </c>
      <c r="S18" s="157" t="inlineStr">
        <is>
          <t>HAYIR</t>
        </is>
      </c>
      <c r="T18" s="157" t="inlineStr">
        <is>
          <t>SABİT</t>
        </is>
      </c>
      <c r="U18" s="157" t="inlineStr">
        <is>
          <t>DOLAYLI</t>
        </is>
      </c>
      <c r="V18" s="157" t="inlineStr">
        <is>
          <t>TEKRARLAYAN</t>
        </is>
      </c>
      <c r="W18" s="157" t="inlineStr">
        <is>
          <t>HAYIR</t>
        </is>
      </c>
      <c r="X18" s="157" t="inlineStr">
        <is>
          <t>HAYIR</t>
        </is>
      </c>
      <c r="Y18" s="157" t="inlineStr">
        <is>
          <t>HAYIR</t>
        </is>
      </c>
    </row>
    <row r="19" ht="15" customHeight="1" s="80">
      <c r="B19" s="157" t="inlineStr">
        <is>
          <t>2026-05-31</t>
        </is>
      </c>
      <c r="C19" s="157" t="inlineStr">
        <is>
          <t>AMR-001</t>
        </is>
      </c>
      <c r="D19" s="157" t="inlineStr">
        <is>
          <t>GİDER</t>
        </is>
      </c>
      <c r="E19" s="157" t="inlineStr">
        <is>
          <t>AMORTİSMAN</t>
        </is>
      </c>
      <c r="F19" s="157" t="inlineStr">
        <is>
          <t>OFİS</t>
        </is>
      </c>
      <c r="G19" s="157" t="n"/>
      <c r="H19" s="157" t="inlineStr">
        <is>
          <t>-</t>
        </is>
      </c>
      <c r="I19" s="157" t="n"/>
      <c r="J19" s="157" t="n"/>
      <c r="K19" s="157" t="inlineStr">
        <is>
          <t>Demirbaş amortismanı</t>
        </is>
      </c>
      <c r="L19" s="168" t="n">
        <v>1</v>
      </c>
      <c r="M19" s="157" t="inlineStr">
        <is>
          <t>AY</t>
        </is>
      </c>
      <c r="N19" s="168" t="n">
        <v>3000</v>
      </c>
      <c r="O19" s="156" t="n">
        <v>3000</v>
      </c>
      <c r="P19" s="157" t="inlineStr">
        <is>
          <t>HARİÇ</t>
        </is>
      </c>
      <c r="Q19" s="157" t="inlineStr">
        <is>
          <t>2026-05-31</t>
        </is>
      </c>
      <c r="R19" s="157" t="n"/>
      <c r="S19" s="157" t="inlineStr">
        <is>
          <t>HAYIR</t>
        </is>
      </c>
      <c r="T19" s="157" t="inlineStr">
        <is>
          <t>SABİT</t>
        </is>
      </c>
      <c r="U19" s="157" t="inlineStr">
        <is>
          <t>DOLAYLI</t>
        </is>
      </c>
      <c r="V19" s="157" t="inlineStr">
        <is>
          <t>TEKRARLAYAN</t>
        </is>
      </c>
      <c r="W19" s="157" t="inlineStr">
        <is>
          <t>HAYIR</t>
        </is>
      </c>
      <c r="X19" s="157" t="inlineStr">
        <is>
          <t>HAYIR</t>
        </is>
      </c>
      <c r="Y19" s="157" t="inlineStr">
        <is>
          <t>HAYIR</t>
        </is>
      </c>
    </row>
    <row r="20" ht="15" customHeight="1" s="80">
      <c r="B20" s="157" t="inlineStr">
        <is>
          <t>2026-05-31</t>
        </is>
      </c>
      <c r="C20" s="157" t="inlineStr">
        <is>
          <t>VRG-001</t>
        </is>
      </c>
      <c r="D20" s="157" t="inlineStr">
        <is>
          <t>GİDER</t>
        </is>
      </c>
      <c r="E20" s="157" t="inlineStr">
        <is>
          <t>VERGİ</t>
        </is>
      </c>
      <c r="F20" s="157" t="inlineStr">
        <is>
          <t>SİGORTA</t>
        </is>
      </c>
      <c r="G20" s="157" t="n"/>
      <c r="H20" s="157" t="inlineStr">
        <is>
          <t>Vergi Dairesi</t>
        </is>
      </c>
      <c r="I20" s="157" t="n"/>
      <c r="J20" s="157" t="n"/>
      <c r="K20" s="157" t="inlineStr">
        <is>
          <t>Muhtasar/KDV vergisi</t>
        </is>
      </c>
      <c r="L20" s="168" t="n">
        <v>1</v>
      </c>
      <c r="M20" s="157" t="inlineStr">
        <is>
          <t>AY</t>
        </is>
      </c>
      <c r="N20" s="168" t="n">
        <v>4000</v>
      </c>
      <c r="O20" s="156" t="n">
        <v>4000</v>
      </c>
      <c r="P20" s="157" t="inlineStr">
        <is>
          <t>DAHİL</t>
        </is>
      </c>
      <c r="Q20" s="157" t="inlineStr">
        <is>
          <t>2026-05-31</t>
        </is>
      </c>
      <c r="R20" s="157" t="inlineStr">
        <is>
          <t>2026-06-30</t>
        </is>
      </c>
      <c r="S20" s="157" t="inlineStr">
        <is>
          <t>HAYIR</t>
        </is>
      </c>
      <c r="T20" s="157" t="inlineStr">
        <is>
          <t>SABİT</t>
        </is>
      </c>
      <c r="U20" s="157" t="inlineStr">
        <is>
          <t>DOLAYLI</t>
        </is>
      </c>
      <c r="V20" s="157" t="inlineStr">
        <is>
          <t>TEKRARLAYAN</t>
        </is>
      </c>
      <c r="W20" s="157" t="inlineStr">
        <is>
          <t>HAYIR</t>
        </is>
      </c>
      <c r="X20" s="157" t="inlineStr">
        <is>
          <t>HAYIR</t>
        </is>
      </c>
      <c r="Y20" s="157" t="inlineStr">
        <is>
          <t>HAYIR</t>
        </is>
      </c>
    </row>
    <row r="21" ht="15" customHeight="1" s="80">
      <c r="B21" s="157" t="inlineStr">
        <is>
          <t>2026-06-02</t>
        </is>
      </c>
      <c r="C21" s="157" t="inlineStr">
        <is>
          <t>SAT-005</t>
        </is>
      </c>
      <c r="D21" s="157" t="inlineStr">
        <is>
          <t>GELİR</t>
        </is>
      </c>
      <c r="E21" s="157" t="inlineStr">
        <is>
          <t>SATIŞ</t>
        </is>
      </c>
      <c r="F21" s="157" t="inlineStr">
        <is>
          <t>TİCARİ MAL</t>
        </is>
      </c>
      <c r="G21" s="157" t="n"/>
      <c r="H21" s="157" t="inlineStr">
        <is>
          <t>Yıldız Market</t>
        </is>
      </c>
      <c r="I21" s="157" t="inlineStr">
        <is>
          <t>Ayçiçek Yağı 5L</t>
        </is>
      </c>
      <c r="J21" s="157" t="n"/>
      <c r="K21" s="157" t="inlineStr">
        <is>
          <t>Toptan satış</t>
        </is>
      </c>
      <c r="L21" s="168" t="n">
        <v>600</v>
      </c>
      <c r="M21" s="157" t="inlineStr">
        <is>
          <t>ADET</t>
        </is>
      </c>
      <c r="N21" s="168" t="n">
        <v>150</v>
      </c>
      <c r="O21" s="156" t="n">
        <v>90000</v>
      </c>
      <c r="P21" s="157" t="inlineStr">
        <is>
          <t>HARİÇ</t>
        </is>
      </c>
      <c r="Q21" s="157" t="inlineStr">
        <is>
          <t>2026-06-02</t>
        </is>
      </c>
      <c r="R21" s="157" t="inlineStr">
        <is>
          <t>2026-07-15</t>
        </is>
      </c>
      <c r="S21" s="157" t="inlineStr">
        <is>
          <t>HAYIR</t>
        </is>
      </c>
      <c r="T21" s="157" t="inlineStr">
        <is>
          <t>DEĞİŞKEN</t>
        </is>
      </c>
      <c r="U21" s="157" t="inlineStr">
        <is>
          <t>DOĞRUDAN</t>
        </is>
      </c>
      <c r="V21" s="157" t="inlineStr">
        <is>
          <t>TEKRARLAYAN</t>
        </is>
      </c>
      <c r="W21" s="157" t="inlineStr">
        <is>
          <t>HAYIR</t>
        </is>
      </c>
      <c r="X21" s="157" t="inlineStr">
        <is>
          <t>HAYIR</t>
        </is>
      </c>
      <c r="Y21" s="157" t="inlineStr">
        <is>
          <t>HAYIR</t>
        </is>
      </c>
    </row>
    <row r="22" ht="15" customHeight="1" s="80">
      <c r="B22" s="157" t="inlineStr">
        <is>
          <t>2026-06-05</t>
        </is>
      </c>
      <c r="C22" s="157" t="inlineStr">
        <is>
          <t>AL-004</t>
        </is>
      </c>
      <c r="D22" s="157" t="inlineStr">
        <is>
          <t>GİDER</t>
        </is>
      </c>
      <c r="E22" s="157" t="inlineStr">
        <is>
          <t>SATIŞLARIN MALİYETİ</t>
        </is>
      </c>
      <c r="F22" s="157" t="inlineStr">
        <is>
          <t>HAMMADDE</t>
        </is>
      </c>
      <c r="G22" s="157" t="n"/>
      <c r="H22" s="157" t="inlineStr">
        <is>
          <t>Tarım Ürünleri A.Ş.</t>
        </is>
      </c>
      <c r="I22" s="157" t="inlineStr">
        <is>
          <t>Ayçiçek Çekirdeği</t>
        </is>
      </c>
      <c r="J22" s="157" t="n"/>
      <c r="K22" s="157" t="inlineStr">
        <is>
          <t>Hammadde alımı</t>
        </is>
      </c>
      <c r="L22" s="168" t="n">
        <v>1000</v>
      </c>
      <c r="M22" s="157" t="inlineStr">
        <is>
          <t>KG</t>
        </is>
      </c>
      <c r="N22" s="168" t="n">
        <v>50</v>
      </c>
      <c r="O22" s="156" t="n">
        <v>50000</v>
      </c>
      <c r="P22" s="157" t="inlineStr">
        <is>
          <t>HARİÇ</t>
        </is>
      </c>
      <c r="Q22" s="157" t="inlineStr">
        <is>
          <t>2026-06-05</t>
        </is>
      </c>
      <c r="R22" s="157" t="inlineStr">
        <is>
          <t>2026-06-05</t>
        </is>
      </c>
      <c r="S22" s="157" t="inlineStr">
        <is>
          <t>EVET</t>
        </is>
      </c>
      <c r="T22" s="157" t="inlineStr">
        <is>
          <t>DEĞİŞKEN</t>
        </is>
      </c>
      <c r="U22" s="157" t="inlineStr">
        <is>
          <t>DOĞRUDAN</t>
        </is>
      </c>
      <c r="V22" s="157" t="inlineStr">
        <is>
          <t>TEKRARLAYAN</t>
        </is>
      </c>
      <c r="W22" s="157" t="inlineStr">
        <is>
          <t>HAYIR</t>
        </is>
      </c>
      <c r="X22" s="157" t="inlineStr">
        <is>
          <t>HAYIR</t>
        </is>
      </c>
      <c r="Y22" s="157" t="inlineStr">
        <is>
          <t>HAYIR</t>
        </is>
      </c>
    </row>
    <row r="23" ht="15" customHeight="1" s="80">
      <c r="B23" s="157" t="inlineStr">
        <is>
          <t>2026-06-05</t>
        </is>
      </c>
      <c r="C23" s="157" t="inlineStr">
        <is>
          <t>KIR-002</t>
        </is>
      </c>
      <c r="D23" s="157" t="inlineStr">
        <is>
          <t>GİDER</t>
        </is>
      </c>
      <c r="E23" s="157" t="inlineStr">
        <is>
          <t>KİRA</t>
        </is>
      </c>
      <c r="F23" s="157" t="inlineStr">
        <is>
          <t>OFİS</t>
        </is>
      </c>
      <c r="G23" s="157" t="n"/>
      <c r="H23" s="157" t="inlineStr">
        <is>
          <t>Depo Sahibi</t>
        </is>
      </c>
      <c r="I23" s="157" t="n"/>
      <c r="J23" s="157" t="n"/>
      <c r="K23" s="157" t="inlineStr">
        <is>
          <t>Depo ve ofis kirası</t>
        </is>
      </c>
      <c r="L23" s="168" t="n">
        <v>1</v>
      </c>
      <c r="M23" s="157" t="inlineStr">
        <is>
          <t>AY</t>
        </is>
      </c>
      <c r="N23" s="168" t="n">
        <v>25000</v>
      </c>
      <c r="O23" s="156" t="n">
        <v>25000</v>
      </c>
      <c r="P23" s="157" t="inlineStr">
        <is>
          <t>DAHİL</t>
        </is>
      </c>
      <c r="Q23" s="157" t="inlineStr">
        <is>
          <t>2026-06-05</t>
        </is>
      </c>
      <c r="R23" s="157" t="inlineStr">
        <is>
          <t>2026-06-05</t>
        </is>
      </c>
      <c r="S23" s="157" t="inlineStr">
        <is>
          <t>EVET</t>
        </is>
      </c>
      <c r="T23" s="157" t="inlineStr">
        <is>
          <t>SABİT</t>
        </is>
      </c>
      <c r="U23" s="157" t="inlineStr">
        <is>
          <t>DOLAYLI</t>
        </is>
      </c>
      <c r="V23" s="157" t="inlineStr">
        <is>
          <t>TEKRARLAYAN</t>
        </is>
      </c>
      <c r="W23" s="157" t="inlineStr">
        <is>
          <t>HAYIR</t>
        </is>
      </c>
      <c r="X23" s="157" t="inlineStr">
        <is>
          <t>HAYIR</t>
        </is>
      </c>
      <c r="Y23" s="157" t="inlineStr">
        <is>
          <t>HAYIR</t>
        </is>
      </c>
    </row>
    <row r="24" ht="15" customHeight="1" s="80">
      <c r="B24" s="157" t="inlineStr">
        <is>
          <t>2026-06-05</t>
        </is>
      </c>
      <c r="C24" s="157" t="inlineStr">
        <is>
          <t>FIN-002</t>
        </is>
      </c>
      <c r="D24" s="157" t="inlineStr">
        <is>
          <t>GİDER</t>
        </is>
      </c>
      <c r="E24" s="157" t="inlineStr">
        <is>
          <t>FİNANSMAN GİDERİ</t>
        </is>
      </c>
      <c r="F24" s="157" t="inlineStr">
        <is>
          <t>KOMİSYON</t>
        </is>
      </c>
      <c r="G24" s="157" t="n"/>
      <c r="H24" s="157" t="inlineStr">
        <is>
          <t>ABC Bankası</t>
        </is>
      </c>
      <c r="I24" s="157" t="n"/>
      <c r="J24" s="157" t="n"/>
      <c r="K24" s="157" t="inlineStr">
        <is>
          <t>Kredi faizi</t>
        </is>
      </c>
      <c r="L24" s="168" t="n">
        <v>1</v>
      </c>
      <c r="M24" s="157" t="inlineStr">
        <is>
          <t>AY</t>
        </is>
      </c>
      <c r="N24" s="168" t="n">
        <v>6000</v>
      </c>
      <c r="O24" s="156" t="n">
        <v>6000</v>
      </c>
      <c r="P24" s="157" t="inlineStr">
        <is>
          <t>DAHİL</t>
        </is>
      </c>
      <c r="Q24" s="157" t="inlineStr">
        <is>
          <t>2026-06-05</t>
        </is>
      </c>
      <c r="R24" s="157" t="inlineStr">
        <is>
          <t>2026-06-05</t>
        </is>
      </c>
      <c r="S24" s="157" t="inlineStr">
        <is>
          <t>EVET</t>
        </is>
      </c>
      <c r="T24" s="157" t="inlineStr">
        <is>
          <t>SABİT</t>
        </is>
      </c>
      <c r="U24" s="157" t="inlineStr">
        <is>
          <t>DOLAYLI</t>
        </is>
      </c>
      <c r="V24" s="157" t="inlineStr">
        <is>
          <t>TEKRARLAYAN</t>
        </is>
      </c>
      <c r="W24" s="157" t="inlineStr">
        <is>
          <t>HAYIR</t>
        </is>
      </c>
      <c r="X24" s="157" t="inlineStr">
        <is>
          <t>HAYIR</t>
        </is>
      </c>
      <c r="Y24" s="157" t="inlineStr">
        <is>
          <t>HAYIR</t>
        </is>
      </c>
    </row>
    <row r="25" ht="15" customHeight="1" s="80">
      <c r="B25" s="157" t="inlineStr">
        <is>
          <t>2026-06-08</t>
        </is>
      </c>
      <c r="C25" s="157" t="inlineStr">
        <is>
          <t>SAT-006</t>
        </is>
      </c>
      <c r="D25" s="157" t="inlineStr">
        <is>
          <t>GELİR</t>
        </is>
      </c>
      <c r="E25" s="157" t="inlineStr">
        <is>
          <t>SATIŞ</t>
        </is>
      </c>
      <c r="F25" s="157" t="inlineStr">
        <is>
          <t>TİCARİ MAL</t>
        </is>
      </c>
      <c r="G25" s="157" t="n"/>
      <c r="H25" s="157" t="inlineStr">
        <is>
          <t>Can Bakkaliye</t>
        </is>
      </c>
      <c r="I25" s="157" t="inlineStr">
        <is>
          <t>Bulgur 50kg</t>
        </is>
      </c>
      <c r="J25" s="157" t="n"/>
      <c r="K25" s="157" t="inlineStr">
        <is>
          <t>Toptan satış</t>
        </is>
      </c>
      <c r="L25" s="168" t="n">
        <v>700</v>
      </c>
      <c r="M25" s="157" t="inlineStr">
        <is>
          <t>ADET</t>
        </is>
      </c>
      <c r="N25" s="168" t="n">
        <v>100</v>
      </c>
      <c r="O25" s="156" t="n">
        <v>70000</v>
      </c>
      <c r="P25" s="157" t="inlineStr">
        <is>
          <t>HARİÇ</t>
        </is>
      </c>
      <c r="Q25" s="157" t="inlineStr">
        <is>
          <t>2026-06-08</t>
        </is>
      </c>
      <c r="R25" s="157" t="inlineStr">
        <is>
          <t>2026-06-20</t>
        </is>
      </c>
      <c r="S25" s="157" t="inlineStr">
        <is>
          <t>EVET</t>
        </is>
      </c>
      <c r="T25" s="157" t="inlineStr">
        <is>
          <t>DEĞİŞKEN</t>
        </is>
      </c>
      <c r="U25" s="157" t="inlineStr">
        <is>
          <t>DOĞRUDAN</t>
        </is>
      </c>
      <c r="V25" s="157" t="inlineStr">
        <is>
          <t>TEKRARLAYAN</t>
        </is>
      </c>
      <c r="W25" s="157" t="inlineStr">
        <is>
          <t>HAYIR</t>
        </is>
      </c>
      <c r="X25" s="157" t="inlineStr">
        <is>
          <t>HAYIR</t>
        </is>
      </c>
      <c r="Y25" s="157" t="inlineStr">
        <is>
          <t>HAYIR</t>
        </is>
      </c>
    </row>
    <row r="26" ht="15" customHeight="1" s="80">
      <c r="B26" s="157" t="inlineStr">
        <is>
          <t>2026-06-12</t>
        </is>
      </c>
      <c r="C26" s="157" t="inlineStr">
        <is>
          <t>AL-005</t>
        </is>
      </c>
      <c r="D26" s="157" t="inlineStr">
        <is>
          <t>GİDER</t>
        </is>
      </c>
      <c r="E26" s="157" t="inlineStr">
        <is>
          <t>SATIŞLARIN MALİYETİ</t>
        </is>
      </c>
      <c r="F26" s="157" t="inlineStr">
        <is>
          <t>HAMMADDE</t>
        </is>
      </c>
      <c r="G26" s="157" t="n"/>
      <c r="H26" s="157" t="inlineStr">
        <is>
          <t>Tarım Ürünleri A.Ş.</t>
        </is>
      </c>
      <c r="I26" s="157" t="inlineStr">
        <is>
          <t>Bulgur Buğdayı</t>
        </is>
      </c>
      <c r="J26" s="157" t="n"/>
      <c r="K26" s="157" t="inlineStr">
        <is>
          <t>Hammadde alımı</t>
        </is>
      </c>
      <c r="L26" s="168" t="n">
        <v>2400</v>
      </c>
      <c r="M26" s="157" t="inlineStr">
        <is>
          <t>KG</t>
        </is>
      </c>
      <c r="N26" s="168" t="n">
        <v>25</v>
      </c>
      <c r="O26" s="156" t="n">
        <v>60000</v>
      </c>
      <c r="P26" s="157" t="inlineStr">
        <is>
          <t>HARİÇ</t>
        </is>
      </c>
      <c r="Q26" s="157" t="inlineStr">
        <is>
          <t>2026-06-12</t>
        </is>
      </c>
      <c r="R26" s="157" t="inlineStr">
        <is>
          <t>2026-07-15</t>
        </is>
      </c>
      <c r="S26" s="157" t="inlineStr">
        <is>
          <t>HAYIR</t>
        </is>
      </c>
      <c r="T26" s="157" t="inlineStr">
        <is>
          <t>DEĞİŞKEN</t>
        </is>
      </c>
      <c r="U26" s="157" t="inlineStr">
        <is>
          <t>DOĞRUDAN</t>
        </is>
      </c>
      <c r="V26" s="157" t="inlineStr">
        <is>
          <t>TEKRARLAYAN</t>
        </is>
      </c>
      <c r="W26" s="157" t="inlineStr">
        <is>
          <t>HAYIR</t>
        </is>
      </c>
      <c r="X26" s="157" t="inlineStr">
        <is>
          <t>HAYIR</t>
        </is>
      </c>
      <c r="Y26" s="157" t="inlineStr">
        <is>
          <t>HAYIR</t>
        </is>
      </c>
    </row>
    <row r="27" ht="15" customHeight="1" s="80">
      <c r="B27" s="157" t="inlineStr">
        <is>
          <t>2026-06-15</t>
        </is>
      </c>
      <c r="C27" s="157" t="inlineStr">
        <is>
          <t>SAT-007</t>
        </is>
      </c>
      <c r="D27" s="157" t="inlineStr">
        <is>
          <t>GELİR</t>
        </is>
      </c>
      <c r="E27" s="157" t="inlineStr">
        <is>
          <t>SATIŞ</t>
        </is>
      </c>
      <c r="F27" s="157" t="inlineStr">
        <is>
          <t>TİCARİ MAL</t>
        </is>
      </c>
      <c r="G27" s="157" t="n"/>
      <c r="H27" s="157" t="inlineStr">
        <is>
          <t>Mega Market</t>
        </is>
      </c>
      <c r="I27" s="157" t="inlineStr">
        <is>
          <t>Un 25kg</t>
        </is>
      </c>
      <c r="J27" s="157" t="n"/>
      <c r="K27" s="157" t="inlineStr">
        <is>
          <t>Toptan satış</t>
        </is>
      </c>
      <c r="L27" s="168" t="n">
        <v>1100</v>
      </c>
      <c r="M27" s="157" t="inlineStr">
        <is>
          <t>ADET</t>
        </is>
      </c>
      <c r="N27" s="168" t="n">
        <v>100</v>
      </c>
      <c r="O27" s="156" t="n">
        <v>110000</v>
      </c>
      <c r="P27" s="157" t="inlineStr">
        <is>
          <t>HARİÇ</t>
        </is>
      </c>
      <c r="Q27" s="157" t="inlineStr">
        <is>
          <t>2026-06-15</t>
        </is>
      </c>
      <c r="R27" s="157" t="inlineStr">
        <is>
          <t>2026-07-30</t>
        </is>
      </c>
      <c r="S27" s="157" t="inlineStr">
        <is>
          <t>HAYIR</t>
        </is>
      </c>
      <c r="T27" s="157" t="inlineStr">
        <is>
          <t>DEĞİŞKEN</t>
        </is>
      </c>
      <c r="U27" s="157" t="inlineStr">
        <is>
          <t>DOĞRUDAN</t>
        </is>
      </c>
      <c r="V27" s="157" t="inlineStr">
        <is>
          <t>TEKRARLAYAN</t>
        </is>
      </c>
      <c r="W27" s="157" t="inlineStr">
        <is>
          <t>HAYIR</t>
        </is>
      </c>
      <c r="X27" s="157" t="inlineStr">
        <is>
          <t>HAYIR</t>
        </is>
      </c>
      <c r="Y27" s="157" t="inlineStr">
        <is>
          <t>HAYIR</t>
        </is>
      </c>
    </row>
    <row r="28" ht="15" customHeight="1" s="80">
      <c r="B28" s="157" t="inlineStr">
        <is>
          <t>2026-06-18</t>
        </is>
      </c>
      <c r="C28" s="157" t="inlineStr">
        <is>
          <t>PAZ-002</t>
        </is>
      </c>
      <c r="D28" s="157" t="inlineStr">
        <is>
          <t>GİDER</t>
        </is>
      </c>
      <c r="E28" s="157" t="inlineStr">
        <is>
          <t>PAZARLAMA</t>
        </is>
      </c>
      <c r="F28" s="157" t="inlineStr">
        <is>
          <t>REKLAM</t>
        </is>
      </c>
      <c r="G28" s="157" t="n"/>
      <c r="H28" s="157" t="inlineStr">
        <is>
          <t>Medya Ajans</t>
        </is>
      </c>
      <c r="I28" s="157" t="n"/>
      <c r="J28" s="157" t="n"/>
      <c r="K28" s="157" t="inlineStr">
        <is>
          <t>Sosyal medya reklamı</t>
        </is>
      </c>
      <c r="L28" s="168" t="n">
        <v>1</v>
      </c>
      <c r="M28" s="157" t="inlineStr">
        <is>
          <t>AY</t>
        </is>
      </c>
      <c r="N28" s="168" t="n">
        <v>12000</v>
      </c>
      <c r="O28" s="156" t="n">
        <v>12000</v>
      </c>
      <c r="P28" s="157" t="inlineStr">
        <is>
          <t>DAHİL</t>
        </is>
      </c>
      <c r="Q28" s="157" t="inlineStr">
        <is>
          <t>2026-06-18</t>
        </is>
      </c>
      <c r="R28" s="157" t="inlineStr">
        <is>
          <t>2026-07-20</t>
        </is>
      </c>
      <c r="S28" s="157" t="inlineStr">
        <is>
          <t>HAYIR</t>
        </is>
      </c>
      <c r="T28" s="157" t="inlineStr">
        <is>
          <t>SABİT</t>
        </is>
      </c>
      <c r="U28" s="157" t="inlineStr">
        <is>
          <t>DOLAYLI</t>
        </is>
      </c>
      <c r="V28" s="157" t="inlineStr">
        <is>
          <t>TEKRARLAYAN</t>
        </is>
      </c>
      <c r="W28" s="157" t="inlineStr">
        <is>
          <t>HAYIR</t>
        </is>
      </c>
      <c r="X28" s="157" t="inlineStr">
        <is>
          <t>HAYIR</t>
        </is>
      </c>
      <c r="Y28" s="157" t="inlineStr">
        <is>
          <t>HAYIR</t>
        </is>
      </c>
    </row>
    <row r="29" ht="15" customHeight="1" s="80">
      <c r="B29" s="157" t="inlineStr">
        <is>
          <t>2026-06-20</t>
        </is>
      </c>
      <c r="C29" s="157" t="inlineStr">
        <is>
          <t>AL-006</t>
        </is>
      </c>
      <c r="D29" s="157" t="inlineStr">
        <is>
          <t>GİDER</t>
        </is>
      </c>
      <c r="E29" s="157" t="inlineStr">
        <is>
          <t>SATIŞLARIN MALİYETİ</t>
        </is>
      </c>
      <c r="F29" s="157" t="inlineStr">
        <is>
          <t>HAMMADDE</t>
        </is>
      </c>
      <c r="G29" s="157" t="n"/>
      <c r="H29" s="157" t="inlineStr">
        <is>
          <t>Tarım Ürünleri A.Ş.</t>
        </is>
      </c>
      <c r="I29" s="157" t="inlineStr">
        <is>
          <t>Mercimek</t>
        </is>
      </c>
      <c r="J29" s="157" t="n"/>
      <c r="K29" s="157" t="inlineStr">
        <is>
          <t>Hammadde alımı</t>
        </is>
      </c>
      <c r="L29" s="168" t="n">
        <v>1100</v>
      </c>
      <c r="M29" s="157" t="inlineStr">
        <is>
          <t>KG</t>
        </is>
      </c>
      <c r="N29" s="168" t="n">
        <v>50</v>
      </c>
      <c r="O29" s="156" t="n">
        <v>55000</v>
      </c>
      <c r="P29" s="157" t="inlineStr">
        <is>
          <t>HARİÇ</t>
        </is>
      </c>
      <c r="Q29" s="157" t="inlineStr">
        <is>
          <t>2026-06-20</t>
        </is>
      </c>
      <c r="R29" s="157" t="inlineStr">
        <is>
          <t>2026-06-20</t>
        </is>
      </c>
      <c r="S29" s="157" t="inlineStr">
        <is>
          <t>EVET</t>
        </is>
      </c>
      <c r="T29" s="157" t="inlineStr">
        <is>
          <t>DEĞİŞKEN</t>
        </is>
      </c>
      <c r="U29" s="157" t="inlineStr">
        <is>
          <t>DOĞRUDAN</t>
        </is>
      </c>
      <c r="V29" s="157" t="inlineStr">
        <is>
          <t>TEKRARLAYAN</t>
        </is>
      </c>
      <c r="W29" s="157" t="inlineStr">
        <is>
          <t>HAYIR</t>
        </is>
      </c>
      <c r="X29" s="157" t="inlineStr">
        <is>
          <t>HAYIR</t>
        </is>
      </c>
      <c r="Y29" s="157" t="inlineStr">
        <is>
          <t>HAYIR</t>
        </is>
      </c>
    </row>
    <row r="30" ht="15" customHeight="1" s="80">
      <c r="B30" s="157" t="inlineStr">
        <is>
          <t>2026-06-20</t>
        </is>
      </c>
      <c r="C30" s="157" t="inlineStr">
        <is>
          <t>KMS-001</t>
        </is>
      </c>
      <c r="D30" s="157" t="inlineStr">
        <is>
          <t>GİDER</t>
        </is>
      </c>
      <c r="E30" s="157" t="inlineStr">
        <is>
          <t>DEĞİŞKEN GİDER</t>
        </is>
      </c>
      <c r="F30" s="157" t="inlineStr">
        <is>
          <t>KOMİSYON</t>
        </is>
      </c>
      <c r="G30" s="157" t="n"/>
      <c r="H30" s="157" t="inlineStr">
        <is>
          <t>Satış Danışman</t>
        </is>
      </c>
      <c r="I30" s="157" t="n"/>
      <c r="J30" s="157" t="n"/>
      <c r="K30" s="157" t="inlineStr">
        <is>
          <t>Satış komisyonu</t>
        </is>
      </c>
      <c r="L30" s="168" t="n">
        <v>1</v>
      </c>
      <c r="M30" s="157" t="inlineStr">
        <is>
          <t>AY</t>
        </is>
      </c>
      <c r="N30" s="168" t="n">
        <v>16000</v>
      </c>
      <c r="O30" s="156" t="n">
        <v>16000</v>
      </c>
      <c r="P30" s="157" t="inlineStr">
        <is>
          <t>DAHİL</t>
        </is>
      </c>
      <c r="Q30" s="157" t="inlineStr">
        <is>
          <t>2026-06-20</t>
        </is>
      </c>
      <c r="R30" s="157" t="inlineStr">
        <is>
          <t>2026-07-25</t>
        </is>
      </c>
      <c r="S30" s="157" t="inlineStr">
        <is>
          <t>HAYIR</t>
        </is>
      </c>
      <c r="T30" s="157" t="inlineStr">
        <is>
          <t>DEĞİŞKEN</t>
        </is>
      </c>
      <c r="U30" s="157" t="inlineStr">
        <is>
          <t>DOLAYLI</t>
        </is>
      </c>
      <c r="V30" s="157" t="inlineStr">
        <is>
          <t>TEKRARLAYAN</t>
        </is>
      </c>
      <c r="W30" s="157" t="inlineStr">
        <is>
          <t>HAYIR</t>
        </is>
      </c>
      <c r="X30" s="157" t="inlineStr">
        <is>
          <t>HAYIR</t>
        </is>
      </c>
      <c r="Y30" s="157" t="inlineStr">
        <is>
          <t>HAYIR</t>
        </is>
      </c>
    </row>
    <row r="31" ht="15" customHeight="1" s="80">
      <c r="B31" s="157" t="inlineStr">
        <is>
          <t>2026-06-22</t>
        </is>
      </c>
      <c r="C31" s="157" t="inlineStr">
        <is>
          <t>SAT-008</t>
        </is>
      </c>
      <c r="D31" s="157" t="inlineStr">
        <is>
          <t>GELİR</t>
        </is>
      </c>
      <c r="E31" s="157" t="inlineStr">
        <is>
          <t>SATIŞ</t>
        </is>
      </c>
      <c r="F31" s="157" t="inlineStr">
        <is>
          <t>TİCARİ MAL</t>
        </is>
      </c>
      <c r="G31" s="157" t="n"/>
      <c r="H31" s="157" t="inlineStr">
        <is>
          <t>Süpermarket Zinciri</t>
        </is>
      </c>
      <c r="I31" s="157" t="inlineStr">
        <is>
          <t>Mercimek</t>
        </is>
      </c>
      <c r="J31" s="157" t="n"/>
      <c r="K31" s="157" t="inlineStr">
        <is>
          <t>Toptan satış</t>
        </is>
      </c>
      <c r="L31" s="168" t="n">
        <v>1100</v>
      </c>
      <c r="M31" s="157" t="inlineStr">
        <is>
          <t>ADET</t>
        </is>
      </c>
      <c r="N31" s="168" t="n">
        <v>50</v>
      </c>
      <c r="O31" s="156" t="n">
        <v>55000</v>
      </c>
      <c r="P31" s="157" t="inlineStr">
        <is>
          <t>HARİÇ</t>
        </is>
      </c>
      <c r="Q31" s="157" t="inlineStr">
        <is>
          <t>2026-06-22</t>
        </is>
      </c>
      <c r="R31" s="157" t="inlineStr">
        <is>
          <t>2026-06-28</t>
        </is>
      </c>
      <c r="S31" s="157" t="inlineStr">
        <is>
          <t>EVET</t>
        </is>
      </c>
      <c r="T31" s="157" t="inlineStr">
        <is>
          <t>DEĞİŞKEN</t>
        </is>
      </c>
      <c r="U31" s="157" t="inlineStr">
        <is>
          <t>DOĞRUDAN</t>
        </is>
      </c>
      <c r="V31" s="157" t="inlineStr">
        <is>
          <t>TEKRARLAYAN</t>
        </is>
      </c>
      <c r="W31" s="157" t="inlineStr">
        <is>
          <t>HAYIR</t>
        </is>
      </c>
      <c r="X31" s="157" t="inlineStr">
        <is>
          <t>HAYIR</t>
        </is>
      </c>
      <c r="Y31" s="157" t="inlineStr">
        <is>
          <t>HAYIR</t>
        </is>
      </c>
    </row>
    <row r="32" ht="15" customHeight="1" s="80">
      <c r="B32" s="157" t="inlineStr">
        <is>
          <t>2026-06-25</t>
        </is>
      </c>
      <c r="C32" s="157" t="inlineStr">
        <is>
          <t>PER-002</t>
        </is>
      </c>
      <c r="D32" s="157" t="inlineStr">
        <is>
          <t>GİDER</t>
        </is>
      </c>
      <c r="E32" s="157" t="inlineStr">
        <is>
          <t>PERSONEL</t>
        </is>
      </c>
      <c r="F32" s="157" t="inlineStr">
        <is>
          <t>İKRAMİYE</t>
        </is>
      </c>
      <c r="G32" s="157" t="n"/>
      <c r="H32" s="157" t="inlineStr">
        <is>
          <t>Personel</t>
        </is>
      </c>
      <c r="I32" s="157" t="n"/>
      <c r="J32" s="157" t="n"/>
      <c r="K32" s="157" t="inlineStr">
        <is>
          <t>Maaş ödemesi</t>
        </is>
      </c>
      <c r="L32" s="168" t="n">
        <v>6</v>
      </c>
      <c r="M32" s="157" t="inlineStr">
        <is>
          <t>AY</t>
        </is>
      </c>
      <c r="N32" s="168" t="n">
        <v>9167</v>
      </c>
      <c r="O32" s="156" t="n">
        <v>55000</v>
      </c>
      <c r="P32" s="157" t="inlineStr">
        <is>
          <t>DAHİL</t>
        </is>
      </c>
      <c r="Q32" s="157" t="inlineStr">
        <is>
          <t>2026-06-25</t>
        </is>
      </c>
      <c r="R32" s="157" t="inlineStr">
        <is>
          <t>2026-06-25</t>
        </is>
      </c>
      <c r="S32" s="157" t="inlineStr">
        <is>
          <t>EVET</t>
        </is>
      </c>
      <c r="T32" s="157" t="inlineStr">
        <is>
          <t>SABİT</t>
        </is>
      </c>
      <c r="U32" s="157" t="inlineStr">
        <is>
          <t>DOLAYLI</t>
        </is>
      </c>
      <c r="V32" s="157" t="inlineStr">
        <is>
          <t>TEKRARLAYAN</t>
        </is>
      </c>
      <c r="W32" s="157" t="inlineStr">
        <is>
          <t>HAYIR</t>
        </is>
      </c>
      <c r="X32" s="157" t="inlineStr">
        <is>
          <t>HAYIR</t>
        </is>
      </c>
      <c r="Y32" s="157" t="inlineStr">
        <is>
          <t>HAYIR</t>
        </is>
      </c>
    </row>
    <row r="33" ht="15" customHeight="1" s="80">
      <c r="B33" s="157" t="inlineStr">
        <is>
          <t>2026-06-28</t>
        </is>
      </c>
      <c r="C33" s="157" t="inlineStr">
        <is>
          <t>SAT-009</t>
        </is>
      </c>
      <c r="D33" s="157" t="inlineStr">
        <is>
          <t>GELİR</t>
        </is>
      </c>
      <c r="E33" s="157" t="inlineStr">
        <is>
          <t>SATIŞ</t>
        </is>
      </c>
      <c r="F33" s="157" t="inlineStr">
        <is>
          <t>TİCARİ MAL</t>
        </is>
      </c>
      <c r="G33" s="157" t="n"/>
      <c r="H33" s="157" t="inlineStr">
        <is>
          <t>Yıldız Market</t>
        </is>
      </c>
      <c r="I33" s="157" t="inlineStr">
        <is>
          <t>Ayçiçek Yağı 5L</t>
        </is>
      </c>
      <c r="J33" s="157" t="n"/>
      <c r="K33" s="157" t="inlineStr">
        <is>
          <t>Toptan satış</t>
        </is>
      </c>
      <c r="L33" s="168" t="n">
        <v>250</v>
      </c>
      <c r="M33" s="157" t="inlineStr">
        <is>
          <t>ADET</t>
        </is>
      </c>
      <c r="N33" s="168" t="n">
        <v>100</v>
      </c>
      <c r="O33" s="156" t="n">
        <v>25000</v>
      </c>
      <c r="P33" s="157" t="inlineStr">
        <is>
          <t>HARİÇ</t>
        </is>
      </c>
      <c r="Q33" s="157" t="inlineStr">
        <is>
          <t>2026-06-28</t>
        </is>
      </c>
      <c r="R33" s="157" t="inlineStr">
        <is>
          <t>2026-08-05</t>
        </is>
      </c>
      <c r="S33" s="157" t="inlineStr">
        <is>
          <t>HAYIR</t>
        </is>
      </c>
      <c r="T33" s="157" t="inlineStr">
        <is>
          <t>DEĞİŞKEN</t>
        </is>
      </c>
      <c r="U33" s="157" t="inlineStr">
        <is>
          <t>DOĞRUDAN</t>
        </is>
      </c>
      <c r="V33" s="157" t="inlineStr">
        <is>
          <t>TEKRARLAYAN</t>
        </is>
      </c>
      <c r="W33" s="157" t="inlineStr">
        <is>
          <t>HAYIR</t>
        </is>
      </c>
      <c r="X33" s="157" t="inlineStr">
        <is>
          <t>HAYIR</t>
        </is>
      </c>
      <c r="Y33" s="157" t="inlineStr">
        <is>
          <t>HAYIR</t>
        </is>
      </c>
    </row>
    <row r="34" ht="15" customHeight="1" s="80">
      <c r="B34" s="157" t="inlineStr">
        <is>
          <t>2026-06-30</t>
        </is>
      </c>
      <c r="C34" s="157" t="inlineStr">
        <is>
          <t>VRG-002</t>
        </is>
      </c>
      <c r="D34" s="157" t="inlineStr">
        <is>
          <t>GİDER</t>
        </is>
      </c>
      <c r="E34" s="157" t="inlineStr">
        <is>
          <t>VERGİ</t>
        </is>
      </c>
      <c r="F34" s="157" t="inlineStr">
        <is>
          <t>SİGORTA</t>
        </is>
      </c>
      <c r="G34" s="157" t="n"/>
      <c r="H34" s="157" t="inlineStr">
        <is>
          <t>Vergi Dairesi</t>
        </is>
      </c>
      <c r="I34" s="157" t="n"/>
      <c r="J34" s="157" t="n"/>
      <c r="K34" s="157" t="inlineStr">
        <is>
          <t>Muhtasar/KDV vergisi</t>
        </is>
      </c>
      <c r="L34" s="168" t="n">
        <v>1</v>
      </c>
      <c r="M34" s="157" t="inlineStr">
        <is>
          <t>AY</t>
        </is>
      </c>
      <c r="N34" s="168" t="n">
        <v>4000</v>
      </c>
      <c r="O34" s="156" t="n">
        <v>4000</v>
      </c>
      <c r="P34" s="157" t="inlineStr">
        <is>
          <t>DAHİL</t>
        </is>
      </c>
      <c r="Q34" s="157" t="inlineStr">
        <is>
          <t>2026-06-30</t>
        </is>
      </c>
      <c r="R34" s="157" t="inlineStr">
        <is>
          <t>2026-06-30</t>
        </is>
      </c>
      <c r="S34" s="157" t="inlineStr">
        <is>
          <t>EVET</t>
        </is>
      </c>
      <c r="T34" s="157" t="inlineStr">
        <is>
          <t>SABİT</t>
        </is>
      </c>
      <c r="U34" s="157" t="inlineStr">
        <is>
          <t>DOLAYLI</t>
        </is>
      </c>
      <c r="V34" s="157" t="inlineStr">
        <is>
          <t>TEKRARLAYAN</t>
        </is>
      </c>
      <c r="W34" s="157" t="inlineStr">
        <is>
          <t>HAYIR</t>
        </is>
      </c>
      <c r="X34" s="157" t="inlineStr">
        <is>
          <t>HAYIR</t>
        </is>
      </c>
      <c r="Y34" s="157" t="inlineStr">
        <is>
          <t>HAYIR</t>
        </is>
      </c>
    </row>
    <row r="35" ht="15" customHeight="1" s="80">
      <c r="B35" s="157" t="inlineStr">
        <is>
          <t>2026-06-30</t>
        </is>
      </c>
      <c r="C35" s="157" t="inlineStr">
        <is>
          <t>AMR-002</t>
        </is>
      </c>
      <c r="D35" s="157" t="inlineStr">
        <is>
          <t>GİDER</t>
        </is>
      </c>
      <c r="E35" s="157" t="inlineStr">
        <is>
          <t>AMORTİSMAN</t>
        </is>
      </c>
      <c r="F35" s="157" t="inlineStr">
        <is>
          <t>OFİS</t>
        </is>
      </c>
      <c r="G35" s="157" t="n"/>
      <c r="H35" s="157" t="inlineStr">
        <is>
          <t>-</t>
        </is>
      </c>
      <c r="I35" s="157" t="n"/>
      <c r="J35" s="157" t="n"/>
      <c r="K35" s="157" t="inlineStr">
        <is>
          <t>Demirbaş amortismanı</t>
        </is>
      </c>
      <c r="L35" s="168" t="n">
        <v>1</v>
      </c>
      <c r="M35" s="157" t="inlineStr">
        <is>
          <t>AY</t>
        </is>
      </c>
      <c r="N35" s="168" t="n">
        <v>3000</v>
      </c>
      <c r="O35" s="156" t="n">
        <v>3000</v>
      </c>
      <c r="P35" s="157" t="inlineStr">
        <is>
          <t>HARİÇ</t>
        </is>
      </c>
      <c r="Q35" s="157" t="inlineStr">
        <is>
          <t>2026-06-30</t>
        </is>
      </c>
      <c r="R35" s="157" t="n"/>
      <c r="S35" s="157" t="inlineStr">
        <is>
          <t>HAYIR</t>
        </is>
      </c>
      <c r="T35" s="157" t="inlineStr">
        <is>
          <t>SABİT</t>
        </is>
      </c>
      <c r="U35" s="157" t="inlineStr">
        <is>
          <t>DOLAYLI</t>
        </is>
      </c>
      <c r="V35" s="157" t="inlineStr">
        <is>
          <t>TEKRARLAYAN</t>
        </is>
      </c>
      <c r="W35" s="157" t="inlineStr">
        <is>
          <t>HAYIR</t>
        </is>
      </c>
      <c r="X35" s="157" t="inlineStr">
        <is>
          <t>HAYIR</t>
        </is>
      </c>
      <c r="Y35" s="157" t="inlineStr">
        <is>
          <t>HAYIR</t>
        </is>
      </c>
    </row>
    <row r="36" ht="15" customHeight="1" s="80">
      <c r="B36" s="157" t="inlineStr">
        <is>
          <t>2026-06-30</t>
        </is>
      </c>
      <c r="C36" s="157" t="inlineStr">
        <is>
          <t>GY-002</t>
        </is>
      </c>
      <c r="D36" s="157" t="inlineStr">
        <is>
          <t>GİDER</t>
        </is>
      </c>
      <c r="E36" s="157" t="inlineStr">
        <is>
          <t>GENEL YÖNETİM</t>
        </is>
      </c>
      <c r="F36" s="157" t="inlineStr">
        <is>
          <t>ELEKTRİK</t>
        </is>
      </c>
      <c r="G36" s="157" t="n"/>
      <c r="H36" s="157" t="inlineStr">
        <is>
          <t>Elektrik Dağıtım</t>
        </is>
      </c>
      <c r="I36" s="157" t="n"/>
      <c r="J36" s="157" t="n"/>
      <c r="K36" s="157" t="inlineStr">
        <is>
          <t>Elektrik faturası</t>
        </is>
      </c>
      <c r="L36" s="168" t="n">
        <v>1</v>
      </c>
      <c r="M36" s="157" t="inlineStr">
        <is>
          <t>AY</t>
        </is>
      </c>
      <c r="N36" s="168" t="n">
        <v>10000</v>
      </c>
      <c r="O36" s="156" t="n">
        <v>10000</v>
      </c>
      <c r="P36" s="157" t="inlineStr">
        <is>
          <t>DAHİL</t>
        </is>
      </c>
      <c r="Q36" s="157" t="inlineStr">
        <is>
          <t>2026-06-30</t>
        </is>
      </c>
      <c r="R36" s="157" t="inlineStr">
        <is>
          <t>2026-06-30</t>
        </is>
      </c>
      <c r="S36" s="157" t="inlineStr">
        <is>
          <t>EVET</t>
        </is>
      </c>
      <c r="T36" s="157" t="inlineStr">
        <is>
          <t>SABİT</t>
        </is>
      </c>
      <c r="U36" s="157" t="inlineStr">
        <is>
          <t>DOLAYLI</t>
        </is>
      </c>
      <c r="V36" s="157" t="inlineStr">
        <is>
          <t>TEKRARLAYAN</t>
        </is>
      </c>
      <c r="W36" s="157" t="inlineStr">
        <is>
          <t>HAYIR</t>
        </is>
      </c>
      <c r="X36" s="157" t="inlineStr">
        <is>
          <t>HAYIR</t>
        </is>
      </c>
      <c r="Y36" s="157" t="inlineStr">
        <is>
          <t>HAYIR</t>
        </is>
      </c>
    </row>
    <row r="37" ht="15" customHeight="1" s="80">
      <c r="B37" s="157" t="inlineStr">
        <is>
          <t>2026-07-03</t>
        </is>
      </c>
      <c r="C37" s="157" t="inlineStr">
        <is>
          <t>SAT-010</t>
        </is>
      </c>
      <c r="D37" s="157" t="inlineStr">
        <is>
          <t>GELİR</t>
        </is>
      </c>
      <c r="E37" s="157" t="inlineStr">
        <is>
          <t>SATIŞ</t>
        </is>
      </c>
      <c r="F37" s="157" t="inlineStr">
        <is>
          <t>TİCARİ MAL</t>
        </is>
      </c>
      <c r="G37" s="157" t="n"/>
      <c r="H37" s="157" t="inlineStr">
        <is>
          <t>Can Bakkaliye</t>
        </is>
      </c>
      <c r="I37" s="157" t="inlineStr">
        <is>
          <t>Bulgur 50kg</t>
        </is>
      </c>
      <c r="J37" s="157" t="n"/>
      <c r="K37" s="157" t="inlineStr">
        <is>
          <t>Toptan satış</t>
        </is>
      </c>
      <c r="L37" s="168" t="n">
        <v>800</v>
      </c>
      <c r="M37" s="157" t="inlineStr">
        <is>
          <t>ADET</t>
        </is>
      </c>
      <c r="N37" s="168" t="n">
        <v>100</v>
      </c>
      <c r="O37" s="156" t="n">
        <v>80000</v>
      </c>
      <c r="P37" s="157" t="inlineStr">
        <is>
          <t>HARİÇ</t>
        </is>
      </c>
      <c r="Q37" s="157" t="inlineStr">
        <is>
          <t>2026-07-03</t>
        </is>
      </c>
      <c r="R37" s="157" t="inlineStr">
        <is>
          <t>2026-07-20</t>
        </is>
      </c>
      <c r="S37" s="157" t="inlineStr">
        <is>
          <t>EVET</t>
        </is>
      </c>
      <c r="T37" s="157" t="inlineStr">
        <is>
          <t>DEĞİŞKEN</t>
        </is>
      </c>
      <c r="U37" s="157" t="inlineStr">
        <is>
          <t>DOĞRUDAN</t>
        </is>
      </c>
      <c r="V37" s="157" t="inlineStr">
        <is>
          <t>TEKRARLAYAN</t>
        </is>
      </c>
      <c r="W37" s="157" t="inlineStr">
        <is>
          <t>HAYIR</t>
        </is>
      </c>
      <c r="X37" s="157" t="inlineStr">
        <is>
          <t>HAYIR</t>
        </is>
      </c>
      <c r="Y37" s="157" t="inlineStr">
        <is>
          <t>HAYIR</t>
        </is>
      </c>
    </row>
    <row r="38" ht="15" customHeight="1" s="80">
      <c r="B38" s="157" t="inlineStr">
        <is>
          <t>2026-07-05</t>
        </is>
      </c>
      <c r="C38" s="157" t="inlineStr">
        <is>
          <t>KIR-003</t>
        </is>
      </c>
      <c r="D38" s="157" t="inlineStr">
        <is>
          <t>GİDER</t>
        </is>
      </c>
      <c r="E38" s="157" t="inlineStr">
        <is>
          <t>KİRA</t>
        </is>
      </c>
      <c r="F38" s="157" t="inlineStr">
        <is>
          <t>OFİS</t>
        </is>
      </c>
      <c r="G38" s="157" t="n"/>
      <c r="H38" s="157" t="inlineStr">
        <is>
          <t>Depo Sahibi</t>
        </is>
      </c>
      <c r="I38" s="157" t="n"/>
      <c r="J38" s="157" t="n"/>
      <c r="K38" s="157" t="inlineStr">
        <is>
          <t>Depo ve ofis kirası</t>
        </is>
      </c>
      <c r="L38" s="168" t="n">
        <v>1</v>
      </c>
      <c r="M38" s="157" t="inlineStr">
        <is>
          <t>AY</t>
        </is>
      </c>
      <c r="N38" s="168" t="n">
        <v>25000</v>
      </c>
      <c r="O38" s="156" t="n">
        <v>25000</v>
      </c>
      <c r="P38" s="157" t="inlineStr">
        <is>
          <t>DAHİL</t>
        </is>
      </c>
      <c r="Q38" s="157" t="inlineStr">
        <is>
          <t>2026-07-05</t>
        </is>
      </c>
      <c r="R38" s="157" t="inlineStr">
        <is>
          <t>2026-07-05</t>
        </is>
      </c>
      <c r="S38" s="157" t="inlineStr">
        <is>
          <t>EVET</t>
        </is>
      </c>
      <c r="T38" s="157" t="inlineStr">
        <is>
          <t>SABİT</t>
        </is>
      </c>
      <c r="U38" s="157" t="inlineStr">
        <is>
          <t>DOLAYLI</t>
        </is>
      </c>
      <c r="V38" s="157" t="inlineStr">
        <is>
          <t>TEKRARLAYAN</t>
        </is>
      </c>
      <c r="W38" s="157" t="inlineStr">
        <is>
          <t>HAYIR</t>
        </is>
      </c>
      <c r="X38" s="157" t="inlineStr">
        <is>
          <t>HAYIR</t>
        </is>
      </c>
      <c r="Y38" s="157" t="inlineStr">
        <is>
          <t>HAYIR</t>
        </is>
      </c>
    </row>
    <row r="39" ht="15" customHeight="1" s="80">
      <c r="B39" s="157" t="inlineStr">
        <is>
          <t>2026-07-05</t>
        </is>
      </c>
      <c r="C39" s="157" t="inlineStr">
        <is>
          <t>FIN-003</t>
        </is>
      </c>
      <c r="D39" s="157" t="inlineStr">
        <is>
          <t>GİDER</t>
        </is>
      </c>
      <c r="E39" s="157" t="inlineStr">
        <is>
          <t>FİNANSMAN GİDERİ</t>
        </is>
      </c>
      <c r="F39" s="157" t="inlineStr">
        <is>
          <t>KOMİSYON</t>
        </is>
      </c>
      <c r="G39" s="157" t="n"/>
      <c r="H39" s="157" t="inlineStr">
        <is>
          <t>ABC Bankası</t>
        </is>
      </c>
      <c r="I39" s="157" t="n"/>
      <c r="J39" s="157" t="n"/>
      <c r="K39" s="157" t="inlineStr">
        <is>
          <t>Kredi faizi</t>
        </is>
      </c>
      <c r="L39" s="168" t="n">
        <v>1</v>
      </c>
      <c r="M39" s="157" t="inlineStr">
        <is>
          <t>AY</t>
        </is>
      </c>
      <c r="N39" s="168" t="n">
        <v>6000</v>
      </c>
      <c r="O39" s="156" t="n">
        <v>6000</v>
      </c>
      <c r="P39" s="157" t="inlineStr">
        <is>
          <t>DAHİL</t>
        </is>
      </c>
      <c r="Q39" s="157" t="inlineStr">
        <is>
          <t>2026-07-05</t>
        </is>
      </c>
      <c r="R39" s="157" t="inlineStr">
        <is>
          <t>2026-07-05</t>
        </is>
      </c>
      <c r="S39" s="157" t="inlineStr">
        <is>
          <t>EVET</t>
        </is>
      </c>
      <c r="T39" s="157" t="inlineStr">
        <is>
          <t>SABİT</t>
        </is>
      </c>
      <c r="U39" s="157" t="inlineStr">
        <is>
          <t>DOLAYLI</t>
        </is>
      </c>
      <c r="V39" s="157" t="inlineStr">
        <is>
          <t>TEKRARLAYAN</t>
        </is>
      </c>
      <c r="W39" s="157" t="inlineStr">
        <is>
          <t>HAYIR</t>
        </is>
      </c>
      <c r="X39" s="157" t="inlineStr">
        <is>
          <t>HAYIR</t>
        </is>
      </c>
      <c r="Y39" s="157" t="inlineStr">
        <is>
          <t>HAYIR</t>
        </is>
      </c>
    </row>
    <row r="40" ht="15" customHeight="1" s="80">
      <c r="B40" s="157" t="inlineStr">
        <is>
          <t>2026-07-05</t>
        </is>
      </c>
      <c r="C40" s="157" t="inlineStr">
        <is>
          <t>YAT-001</t>
        </is>
      </c>
      <c r="D40" s="157" t="inlineStr">
        <is>
          <t>GİDER</t>
        </is>
      </c>
      <c r="E40" s="157" t="inlineStr">
        <is>
          <t>YATIRIM</t>
        </is>
      </c>
      <c r="F40" s="157" t="inlineStr">
        <is>
          <t>OFİS</t>
        </is>
      </c>
      <c r="G40" s="157" t="n"/>
      <c r="H40" s="157" t="inlineStr">
        <is>
          <t>Makine Firması</t>
        </is>
      </c>
      <c r="I40" s="157" t="inlineStr">
        <is>
          <t>Forklift</t>
        </is>
      </c>
      <c r="J40" s="157" t="n"/>
      <c r="K40" s="157" t="inlineStr">
        <is>
          <t>Forklift yatırımı</t>
        </is>
      </c>
      <c r="L40" s="168" t="n">
        <v>1</v>
      </c>
      <c r="M40" s="157" t="inlineStr">
        <is>
          <t>ADET</t>
        </is>
      </c>
      <c r="N40" s="168" t="n">
        <v>60000</v>
      </c>
      <c r="O40" s="156" t="n">
        <v>60000</v>
      </c>
      <c r="P40" s="157" t="inlineStr">
        <is>
          <t>DAHİL</t>
        </is>
      </c>
      <c r="Q40" s="157" t="inlineStr">
        <is>
          <t>2026-07-05</t>
        </is>
      </c>
      <c r="R40" s="157" t="inlineStr">
        <is>
          <t>2026-07-05</t>
        </is>
      </c>
      <c r="S40" s="157" t="inlineStr">
        <is>
          <t>EVET</t>
        </is>
      </c>
      <c r="T40" s="157" t="inlineStr">
        <is>
          <t>SABİT</t>
        </is>
      </c>
      <c r="U40" s="157" t="inlineStr">
        <is>
          <t>DOLAYLI</t>
        </is>
      </c>
      <c r="V40" s="157" t="inlineStr">
        <is>
          <t>TEK SEFERLİK</t>
        </is>
      </c>
      <c r="W40" s="157" t="inlineStr">
        <is>
          <t>HAYIR</t>
        </is>
      </c>
      <c r="X40" s="157" t="inlineStr">
        <is>
          <t>HAYIR</t>
        </is>
      </c>
      <c r="Y40" s="157" t="inlineStr">
        <is>
          <t>EVET</t>
        </is>
      </c>
    </row>
    <row r="41" ht="15" customHeight="1" s="80">
      <c r="B41" s="157" t="inlineStr">
        <is>
          <t>2026-07-07</t>
        </is>
      </c>
      <c r="C41" s="157" t="inlineStr">
        <is>
          <t>AL-007</t>
        </is>
      </c>
      <c r="D41" s="157" t="inlineStr">
        <is>
          <t>GİDER</t>
        </is>
      </c>
      <c r="E41" s="157" t="inlineStr">
        <is>
          <t>SATIŞLARIN MALİYETİ</t>
        </is>
      </c>
      <c r="F41" s="157" t="inlineStr">
        <is>
          <t>HAMMADDE</t>
        </is>
      </c>
      <c r="G41" s="157" t="n"/>
      <c r="H41" s="157" t="inlineStr">
        <is>
          <t>Tarım Ürünleri A.Ş.</t>
        </is>
      </c>
      <c r="I41" s="157" t="inlineStr">
        <is>
          <t>Ayçiçek Çekirdeği</t>
        </is>
      </c>
      <c r="J41" s="157" t="n"/>
      <c r="K41" s="157" t="inlineStr">
        <is>
          <t>Hammadde alımı</t>
        </is>
      </c>
      <c r="L41" s="168" t="n">
        <v>1400</v>
      </c>
      <c r="M41" s="157" t="inlineStr">
        <is>
          <t>KG</t>
        </is>
      </c>
      <c r="N41" s="168" t="n">
        <v>50</v>
      </c>
      <c r="O41" s="156" t="n">
        <v>70000</v>
      </c>
      <c r="P41" s="157" t="inlineStr">
        <is>
          <t>HARİÇ</t>
        </is>
      </c>
      <c r="Q41" s="157" t="inlineStr">
        <is>
          <t>2026-07-07</t>
        </is>
      </c>
      <c r="R41" s="157" t="inlineStr">
        <is>
          <t>2026-07-07</t>
        </is>
      </c>
      <c r="S41" s="157" t="inlineStr">
        <is>
          <t>EVET</t>
        </is>
      </c>
      <c r="T41" s="157" t="inlineStr">
        <is>
          <t>DEĞİŞKEN</t>
        </is>
      </c>
      <c r="U41" s="157" t="inlineStr">
        <is>
          <t>DOĞRUDAN</t>
        </is>
      </c>
      <c r="V41" s="157" t="inlineStr">
        <is>
          <t>TEKRARLAYAN</t>
        </is>
      </c>
      <c r="W41" s="157" t="inlineStr">
        <is>
          <t>HAYIR</t>
        </is>
      </c>
      <c r="X41" s="157" t="inlineStr">
        <is>
          <t>HAYIR</t>
        </is>
      </c>
      <c r="Y41" s="157" t="inlineStr">
        <is>
          <t>HAYIR</t>
        </is>
      </c>
    </row>
    <row r="42" ht="15" customHeight="1" s="80">
      <c r="B42" s="157" t="inlineStr">
        <is>
          <t>2026-07-08</t>
        </is>
      </c>
      <c r="C42" s="157" t="inlineStr">
        <is>
          <t>KRD-001</t>
        </is>
      </c>
      <c r="D42" s="157" t="inlineStr">
        <is>
          <t>GİDER</t>
        </is>
      </c>
      <c r="E42" s="157" t="inlineStr">
        <is>
          <t>KREDİ ANAPARA</t>
        </is>
      </c>
      <c r="F42" s="157" t="inlineStr">
        <is>
          <t>KOMİSYON</t>
        </is>
      </c>
      <c r="G42" s="157" t="n"/>
      <c r="H42" s="157" t="inlineStr">
        <is>
          <t>ABC Bankası</t>
        </is>
      </c>
      <c r="I42" s="157" t="n"/>
      <c r="J42" s="157" t="n"/>
      <c r="K42" s="157" t="inlineStr">
        <is>
          <t>Kredi anapara ödemesi</t>
        </is>
      </c>
      <c r="L42" s="168" t="n">
        <v>1</v>
      </c>
      <c r="M42" s="157" t="inlineStr">
        <is>
          <t>AY</t>
        </is>
      </c>
      <c r="N42" s="168" t="n">
        <v>50000</v>
      </c>
      <c r="O42" s="156" t="n">
        <v>50000</v>
      </c>
      <c r="P42" s="157" t="inlineStr">
        <is>
          <t>DAHİL</t>
        </is>
      </c>
      <c r="Q42" s="157" t="inlineStr">
        <is>
          <t>2026-07-08</t>
        </is>
      </c>
      <c r="R42" s="157" t="inlineStr">
        <is>
          <t>2026-07-08</t>
        </is>
      </c>
      <c r="S42" s="157" t="inlineStr">
        <is>
          <t>EVET</t>
        </is>
      </c>
      <c r="T42" s="157" t="inlineStr">
        <is>
          <t>SABİT</t>
        </is>
      </c>
      <c r="U42" s="157" t="inlineStr">
        <is>
          <t>DOLAYLI</t>
        </is>
      </c>
      <c r="V42" s="157" t="inlineStr">
        <is>
          <t>TEKRARLAYAN</t>
        </is>
      </c>
      <c r="W42" s="157" t="inlineStr">
        <is>
          <t>HAYIR</t>
        </is>
      </c>
      <c r="X42" s="157" t="inlineStr">
        <is>
          <t>EVET</t>
        </is>
      </c>
      <c r="Y42" s="157" t="inlineStr">
        <is>
          <t>HAYIR</t>
        </is>
      </c>
    </row>
    <row r="43" ht="15" customHeight="1" s="80">
      <c r="B43" s="157" t="inlineStr">
        <is>
          <t>2026-07-10</t>
        </is>
      </c>
      <c r="C43" s="157" t="inlineStr">
        <is>
          <t>SAT-011</t>
        </is>
      </c>
      <c r="D43" s="157" t="inlineStr">
        <is>
          <t>GELİR</t>
        </is>
      </c>
      <c r="E43" s="157" t="inlineStr">
        <is>
          <t>SATIŞ</t>
        </is>
      </c>
      <c r="F43" s="157" t="inlineStr">
        <is>
          <t>TİCARİ MAL</t>
        </is>
      </c>
      <c r="G43" s="157" t="n"/>
      <c r="H43" s="157" t="inlineStr">
        <is>
          <t>Mega Market</t>
        </is>
      </c>
      <c r="I43" s="157" t="inlineStr">
        <is>
          <t>Un 25kg</t>
        </is>
      </c>
      <c r="J43" s="157" t="n"/>
      <c r="K43" s="157" t="inlineStr">
        <is>
          <t>Toptan satış</t>
        </is>
      </c>
      <c r="L43" s="168" t="n">
        <v>1200</v>
      </c>
      <c r="M43" s="157" t="inlineStr">
        <is>
          <t>ADET</t>
        </is>
      </c>
      <c r="N43" s="168" t="n">
        <v>100</v>
      </c>
      <c r="O43" s="156" t="n">
        <v>120000</v>
      </c>
      <c r="P43" s="157" t="inlineStr">
        <is>
          <t>HARİÇ</t>
        </is>
      </c>
      <c r="Q43" s="157" t="inlineStr">
        <is>
          <t>2026-07-10</t>
        </is>
      </c>
      <c r="R43" s="157" t="inlineStr">
        <is>
          <t>2026-07-31</t>
        </is>
      </c>
      <c r="S43" s="157" t="inlineStr">
        <is>
          <t>EVET</t>
        </is>
      </c>
      <c r="T43" s="157" t="inlineStr">
        <is>
          <t>DEĞİŞKEN</t>
        </is>
      </c>
      <c r="U43" s="157" t="inlineStr">
        <is>
          <t>DOĞRUDAN</t>
        </is>
      </c>
      <c r="V43" s="157" t="inlineStr">
        <is>
          <t>TEKRARLAYAN</t>
        </is>
      </c>
      <c r="W43" s="157" t="inlineStr">
        <is>
          <t>HAYIR</t>
        </is>
      </c>
      <c r="X43" s="157" t="inlineStr">
        <is>
          <t>HAYIR</t>
        </is>
      </c>
      <c r="Y43" s="157" t="inlineStr">
        <is>
          <t>HAYIR</t>
        </is>
      </c>
    </row>
    <row r="44" ht="15" customHeight="1" s="80">
      <c r="B44" s="157" t="inlineStr">
        <is>
          <t>2026-07-14</t>
        </is>
      </c>
      <c r="C44" s="157" t="inlineStr">
        <is>
          <t>AL-008</t>
        </is>
      </c>
      <c r="D44" s="157" t="inlineStr">
        <is>
          <t>GİDER</t>
        </is>
      </c>
      <c r="E44" s="157" t="inlineStr">
        <is>
          <t>SATIŞLARIN MALİYETİ</t>
        </is>
      </c>
      <c r="F44" s="157" t="inlineStr">
        <is>
          <t>HAMMADDE</t>
        </is>
      </c>
      <c r="G44" s="157" t="n"/>
      <c r="H44" s="157" t="inlineStr">
        <is>
          <t>Tarım Ürünleri A.Ş.</t>
        </is>
      </c>
      <c r="I44" s="157" t="inlineStr">
        <is>
          <t>Bulgur Buğdayı</t>
        </is>
      </c>
      <c r="J44" s="157" t="n"/>
      <c r="K44" s="157" t="inlineStr">
        <is>
          <t>Hammadde alımı</t>
        </is>
      </c>
      <c r="L44" s="168" t="n">
        <v>2200</v>
      </c>
      <c r="M44" s="157" t="inlineStr">
        <is>
          <t>KG</t>
        </is>
      </c>
      <c r="N44" s="168" t="n">
        <v>25</v>
      </c>
      <c r="O44" s="156" t="n">
        <v>55000</v>
      </c>
      <c r="P44" s="157" t="inlineStr">
        <is>
          <t>HARİÇ</t>
        </is>
      </c>
      <c r="Q44" s="157" t="inlineStr">
        <is>
          <t>2026-07-14</t>
        </is>
      </c>
      <c r="R44" s="157" t="inlineStr">
        <is>
          <t>2026-08-15</t>
        </is>
      </c>
      <c r="S44" s="157" t="inlineStr">
        <is>
          <t>HAYIR</t>
        </is>
      </c>
      <c r="T44" s="157" t="inlineStr">
        <is>
          <t>DEĞİŞKEN</t>
        </is>
      </c>
      <c r="U44" s="157" t="inlineStr">
        <is>
          <t>DOĞRUDAN</t>
        </is>
      </c>
      <c r="V44" s="157" t="inlineStr">
        <is>
          <t>TEKRARLAYAN</t>
        </is>
      </c>
      <c r="W44" s="157" t="inlineStr">
        <is>
          <t>HAYIR</t>
        </is>
      </c>
      <c r="X44" s="157" t="inlineStr">
        <is>
          <t>HAYIR</t>
        </is>
      </c>
      <c r="Y44" s="157" t="inlineStr">
        <is>
          <t>HAYIR</t>
        </is>
      </c>
    </row>
    <row r="45" ht="15" customHeight="1" s="80">
      <c r="B45" s="157" t="inlineStr">
        <is>
          <t>2026-07-15</t>
        </is>
      </c>
      <c r="C45" s="157" t="inlineStr">
        <is>
          <t>ORT-001</t>
        </is>
      </c>
      <c r="D45" s="157" t="inlineStr">
        <is>
          <t>GİDER</t>
        </is>
      </c>
      <c r="E45" s="157" t="inlineStr">
        <is>
          <t>ORTAK ÇEKİŞİ</t>
        </is>
      </c>
      <c r="F45" s="157" t="inlineStr">
        <is>
          <t>İKRAMİYE</t>
        </is>
      </c>
      <c r="G45" s="157" t="n"/>
      <c r="H45" s="157" t="inlineStr">
        <is>
          <t>Ortaklar</t>
        </is>
      </c>
      <c r="I45" s="157" t="n"/>
      <c r="J45" s="157" t="n"/>
      <c r="K45" s="157" t="inlineStr">
        <is>
          <t>Ortakların nakit çekişi</t>
        </is>
      </c>
      <c r="L45" s="168" t="n">
        <v>1</v>
      </c>
      <c r="M45" s="157" t="inlineStr">
        <is>
          <t>ADET</t>
        </is>
      </c>
      <c r="N45" s="168" t="n">
        <v>30000</v>
      </c>
      <c r="O45" s="156" t="n">
        <v>30000</v>
      </c>
      <c r="P45" s="157" t="inlineStr">
        <is>
          <t>DAHİL</t>
        </is>
      </c>
      <c r="Q45" s="157" t="inlineStr">
        <is>
          <t>2026-07-15</t>
        </is>
      </c>
      <c r="R45" s="157" t="inlineStr">
        <is>
          <t>2026-07-15</t>
        </is>
      </c>
      <c r="S45" s="157" t="inlineStr">
        <is>
          <t>EVET</t>
        </is>
      </c>
      <c r="T45" s="157" t="inlineStr">
        <is>
          <t>SABİT</t>
        </is>
      </c>
      <c r="U45" s="157" t="inlineStr">
        <is>
          <t>DOLAYLI</t>
        </is>
      </c>
      <c r="V45" s="157" t="inlineStr">
        <is>
          <t>TEK SEFERLİK</t>
        </is>
      </c>
      <c r="W45" s="157" t="inlineStr">
        <is>
          <t>EVET</t>
        </is>
      </c>
      <c r="X45" s="157" t="inlineStr">
        <is>
          <t>HAYIR</t>
        </is>
      </c>
      <c r="Y45" s="157" t="inlineStr">
        <is>
          <t>HAYIR</t>
        </is>
      </c>
    </row>
    <row r="46" ht="15" customHeight="1" s="80">
      <c r="B46" s="157" t="inlineStr">
        <is>
          <t>2026-07-17</t>
        </is>
      </c>
      <c r="C46" s="157" t="inlineStr">
        <is>
          <t>SAT-012</t>
        </is>
      </c>
      <c r="D46" s="157" t="inlineStr">
        <is>
          <t>GELİR</t>
        </is>
      </c>
      <c r="E46" s="157" t="inlineStr">
        <is>
          <t>SATIŞ</t>
        </is>
      </c>
      <c r="F46" s="157" t="inlineStr">
        <is>
          <t>TİCARİ MAL</t>
        </is>
      </c>
      <c r="G46" s="157" t="n"/>
      <c r="H46" s="157" t="inlineStr">
        <is>
          <t>Yıldız Market</t>
        </is>
      </c>
      <c r="I46" s="157" t="inlineStr">
        <is>
          <t>Ayçiçek Yağı 5L</t>
        </is>
      </c>
      <c r="J46" s="157" t="n"/>
      <c r="K46" s="157" t="inlineStr">
        <is>
          <t>Toptan satış</t>
        </is>
      </c>
      <c r="L46" s="168" t="n">
        <v>400</v>
      </c>
      <c r="M46" s="157" t="inlineStr">
        <is>
          <t>ADET</t>
        </is>
      </c>
      <c r="N46" s="168" t="n">
        <v>150</v>
      </c>
      <c r="O46" s="156" t="n">
        <v>60000</v>
      </c>
      <c r="P46" s="157" t="inlineStr">
        <is>
          <t>HARİÇ</t>
        </is>
      </c>
      <c r="Q46" s="157" t="inlineStr">
        <is>
          <t>2026-07-17</t>
        </is>
      </c>
      <c r="R46" s="157" t="inlineStr">
        <is>
          <t>2026-08-31</t>
        </is>
      </c>
      <c r="S46" s="157" t="inlineStr">
        <is>
          <t>HAYIR</t>
        </is>
      </c>
      <c r="T46" s="157" t="inlineStr">
        <is>
          <t>DEĞİŞKEN</t>
        </is>
      </c>
      <c r="U46" s="157" t="inlineStr">
        <is>
          <t>DOĞRUDAN</t>
        </is>
      </c>
      <c r="V46" s="157" t="inlineStr">
        <is>
          <t>TEKRARLAYAN</t>
        </is>
      </c>
      <c r="W46" s="157" t="inlineStr">
        <is>
          <t>HAYIR</t>
        </is>
      </c>
      <c r="X46" s="157" t="inlineStr">
        <is>
          <t>HAYIR</t>
        </is>
      </c>
      <c r="Y46" s="157" t="inlineStr">
        <is>
          <t>HAYIR</t>
        </is>
      </c>
    </row>
    <row r="47" ht="15" customHeight="1" s="80">
      <c r="B47" s="157" t="inlineStr">
        <is>
          <t>2026-07-21</t>
        </is>
      </c>
      <c r="C47" s="157" t="inlineStr">
        <is>
          <t>AL-009</t>
        </is>
      </c>
      <c r="D47" s="157" t="inlineStr">
        <is>
          <t>GİDER</t>
        </is>
      </c>
      <c r="E47" s="157" t="inlineStr">
        <is>
          <t>SATIŞLARIN MALİYETİ</t>
        </is>
      </c>
      <c r="F47" s="157" t="inlineStr">
        <is>
          <t>HAMMADDE</t>
        </is>
      </c>
      <c r="G47" s="157" t="n"/>
      <c r="H47" s="157" t="inlineStr">
        <is>
          <t>Tarım Ürünleri A.Ş.</t>
        </is>
      </c>
      <c r="I47" s="157" t="inlineStr">
        <is>
          <t>Mercimek</t>
        </is>
      </c>
      <c r="J47" s="157" t="n"/>
      <c r="K47" s="157" t="inlineStr">
        <is>
          <t>Hammadde alımı</t>
        </is>
      </c>
      <c r="L47" s="168" t="n">
        <v>800</v>
      </c>
      <c r="M47" s="157" t="inlineStr">
        <is>
          <t>KG</t>
        </is>
      </c>
      <c r="N47" s="168" t="n">
        <v>50</v>
      </c>
      <c r="O47" s="156" t="n">
        <v>40000</v>
      </c>
      <c r="P47" s="157" t="inlineStr">
        <is>
          <t>HARİÇ</t>
        </is>
      </c>
      <c r="Q47" s="157" t="inlineStr">
        <is>
          <t>2026-07-21</t>
        </is>
      </c>
      <c r="R47" s="157" t="inlineStr">
        <is>
          <t>2026-07-21</t>
        </is>
      </c>
      <c r="S47" s="157" t="inlineStr">
        <is>
          <t>EVET</t>
        </is>
      </c>
      <c r="T47" s="157" t="inlineStr">
        <is>
          <t>DEĞİŞKEN</t>
        </is>
      </c>
      <c r="U47" s="157" t="inlineStr">
        <is>
          <t>DOĞRUDAN</t>
        </is>
      </c>
      <c r="V47" s="157" t="inlineStr">
        <is>
          <t>TEKRARLAYAN</t>
        </is>
      </c>
      <c r="W47" s="157" t="inlineStr">
        <is>
          <t>HAYIR</t>
        </is>
      </c>
      <c r="X47" s="157" t="inlineStr">
        <is>
          <t>HAYIR</t>
        </is>
      </c>
      <c r="Y47" s="157" t="inlineStr">
        <is>
          <t>HAYIR</t>
        </is>
      </c>
    </row>
    <row r="48" ht="15" customHeight="1" s="80">
      <c r="B48" s="157" t="inlineStr">
        <is>
          <t>2026-07-22</t>
        </is>
      </c>
      <c r="C48" s="157" t="inlineStr">
        <is>
          <t>DNS-001</t>
        </is>
      </c>
      <c r="D48" s="157" t="inlineStr">
        <is>
          <t>GİDER</t>
        </is>
      </c>
      <c r="E48" s="157" t="inlineStr">
        <is>
          <t>DEĞİŞKEN GİDER</t>
        </is>
      </c>
      <c r="F48" s="157" t="inlineStr">
        <is>
          <t>DANIŞMANLIK</t>
        </is>
      </c>
      <c r="G48" s="157" t="n"/>
      <c r="H48" s="157" t="inlineStr">
        <is>
          <t>Mali Danışman</t>
        </is>
      </c>
      <c r="I48" s="157" t="n"/>
      <c r="J48" s="157" t="n"/>
      <c r="K48" s="157" t="inlineStr">
        <is>
          <t>Danışmanlık hizmeti</t>
        </is>
      </c>
      <c r="L48" s="168" t="n">
        <v>1</v>
      </c>
      <c r="M48" s="157" t="inlineStr">
        <is>
          <t>AY</t>
        </is>
      </c>
      <c r="N48" s="168" t="n">
        <v>14000</v>
      </c>
      <c r="O48" s="156" t="n">
        <v>14000</v>
      </c>
      <c r="P48" s="157" t="inlineStr">
        <is>
          <t>DAHİL</t>
        </is>
      </c>
      <c r="Q48" s="157" t="inlineStr">
        <is>
          <t>2026-07-22</t>
        </is>
      </c>
      <c r="R48" s="157" t="inlineStr">
        <is>
          <t>2026-07-22</t>
        </is>
      </c>
      <c r="S48" s="157" t="inlineStr">
        <is>
          <t>EVET</t>
        </is>
      </c>
      <c r="T48" s="157" t="inlineStr">
        <is>
          <t>DEĞİŞKEN</t>
        </is>
      </c>
      <c r="U48" s="157" t="inlineStr">
        <is>
          <t>DOLAYLI</t>
        </is>
      </c>
      <c r="V48" s="157" t="inlineStr">
        <is>
          <t>TEK SEFERLİK</t>
        </is>
      </c>
      <c r="W48" s="157" t="inlineStr">
        <is>
          <t>HAYIR</t>
        </is>
      </c>
      <c r="X48" s="157" t="inlineStr">
        <is>
          <t>HAYIR</t>
        </is>
      </c>
      <c r="Y48" s="157" t="inlineStr">
        <is>
          <t>HAYIR</t>
        </is>
      </c>
    </row>
    <row r="49" ht="15" customHeight="1" s="80">
      <c r="B49" s="157" t="inlineStr">
        <is>
          <t>2026-07-24</t>
        </is>
      </c>
      <c r="C49" s="157" t="inlineStr">
        <is>
          <t>SAT-013</t>
        </is>
      </c>
      <c r="D49" s="157" t="inlineStr">
        <is>
          <t>GELİR</t>
        </is>
      </c>
      <c r="E49" s="157" t="inlineStr">
        <is>
          <t>SATIŞ</t>
        </is>
      </c>
      <c r="F49" s="157" t="inlineStr">
        <is>
          <t>TİCARİ MAL</t>
        </is>
      </c>
      <c r="G49" s="157" t="n"/>
      <c r="H49" s="157" t="inlineStr">
        <is>
          <t>Süpermarket Zinciri</t>
        </is>
      </c>
      <c r="I49" s="157" t="inlineStr">
        <is>
          <t>Mercimek</t>
        </is>
      </c>
      <c r="J49" s="157" t="n"/>
      <c r="K49" s="157" t="inlineStr">
        <is>
          <t>Toptan satış</t>
        </is>
      </c>
      <c r="L49" s="168" t="n">
        <v>600</v>
      </c>
      <c r="M49" s="157" t="inlineStr">
        <is>
          <t>ADET</t>
        </is>
      </c>
      <c r="N49" s="168" t="n">
        <v>50</v>
      </c>
      <c r="O49" s="156" t="n">
        <v>30000</v>
      </c>
      <c r="P49" s="157" t="inlineStr">
        <is>
          <t>HARİÇ</t>
        </is>
      </c>
      <c r="Q49" s="157" t="inlineStr">
        <is>
          <t>2026-07-24</t>
        </is>
      </c>
      <c r="R49" s="157" t="inlineStr">
        <is>
          <t>2026-07-31</t>
        </is>
      </c>
      <c r="S49" s="157" t="inlineStr">
        <is>
          <t>EVET</t>
        </is>
      </c>
      <c r="T49" s="157" t="inlineStr">
        <is>
          <t>DEĞİŞKEN</t>
        </is>
      </c>
      <c r="U49" s="157" t="inlineStr">
        <is>
          <t>DOĞRUDAN</t>
        </is>
      </c>
      <c r="V49" s="157" t="inlineStr">
        <is>
          <t>TEKRARLAYAN</t>
        </is>
      </c>
      <c r="W49" s="157" t="inlineStr">
        <is>
          <t>HAYIR</t>
        </is>
      </c>
      <c r="X49" s="157" t="inlineStr">
        <is>
          <t>HAYIR</t>
        </is>
      </c>
      <c r="Y49" s="157" t="inlineStr">
        <is>
          <t>HAYIR</t>
        </is>
      </c>
    </row>
    <row r="50" ht="15" customHeight="1" s="80">
      <c r="B50" s="157" t="inlineStr">
        <is>
          <t>2026-07-25</t>
        </is>
      </c>
      <c r="C50" s="157" t="inlineStr">
        <is>
          <t>PER-003</t>
        </is>
      </c>
      <c r="D50" s="157" t="inlineStr">
        <is>
          <t>GİDER</t>
        </is>
      </c>
      <c r="E50" s="157" t="inlineStr">
        <is>
          <t>PERSONEL</t>
        </is>
      </c>
      <c r="F50" s="157" t="inlineStr">
        <is>
          <t>İKRAMİYE</t>
        </is>
      </c>
      <c r="G50" s="157" t="n"/>
      <c r="H50" s="157" t="inlineStr">
        <is>
          <t>Personel</t>
        </is>
      </c>
      <c r="I50" s="157" t="n"/>
      <c r="J50" s="157" t="n"/>
      <c r="K50" s="157" t="inlineStr">
        <is>
          <t>Maaş ödemesi</t>
        </is>
      </c>
      <c r="L50" s="168" t="n">
        <v>6</v>
      </c>
      <c r="M50" s="157" t="inlineStr">
        <is>
          <t>AY</t>
        </is>
      </c>
      <c r="N50" s="168" t="n">
        <v>9167</v>
      </c>
      <c r="O50" s="156" t="n">
        <v>55000</v>
      </c>
      <c r="P50" s="157" t="inlineStr">
        <is>
          <t>DAHİL</t>
        </is>
      </c>
      <c r="Q50" s="157" t="inlineStr">
        <is>
          <t>2026-07-25</t>
        </is>
      </c>
      <c r="R50" s="157" t="inlineStr">
        <is>
          <t>2026-07-25</t>
        </is>
      </c>
      <c r="S50" s="157" t="inlineStr">
        <is>
          <t>EVET</t>
        </is>
      </c>
      <c r="T50" s="157" t="inlineStr">
        <is>
          <t>SABİT</t>
        </is>
      </c>
      <c r="U50" s="157" t="inlineStr">
        <is>
          <t>DOLAYLI</t>
        </is>
      </c>
      <c r="V50" s="157" t="inlineStr">
        <is>
          <t>TEKRARLAYAN</t>
        </is>
      </c>
      <c r="W50" s="157" t="inlineStr">
        <is>
          <t>HAYIR</t>
        </is>
      </c>
      <c r="X50" s="157" t="inlineStr">
        <is>
          <t>HAYIR</t>
        </is>
      </c>
      <c r="Y50" s="157" t="inlineStr">
        <is>
          <t>HAYIR</t>
        </is>
      </c>
    </row>
    <row r="51" ht="15" customHeight="1" s="80">
      <c r="B51" s="157" t="inlineStr">
        <is>
          <t>2026-07-31</t>
        </is>
      </c>
      <c r="C51" s="157" t="inlineStr">
        <is>
          <t>VRG-003</t>
        </is>
      </c>
      <c r="D51" s="157" t="inlineStr">
        <is>
          <t>GİDER</t>
        </is>
      </c>
      <c r="E51" s="157" t="inlineStr">
        <is>
          <t>VERGİ</t>
        </is>
      </c>
      <c r="F51" s="157" t="inlineStr">
        <is>
          <t>SİGORTA</t>
        </is>
      </c>
      <c r="G51" s="157" t="n"/>
      <c r="H51" s="157" t="inlineStr">
        <is>
          <t>Vergi Dairesi</t>
        </is>
      </c>
      <c r="I51" s="157" t="n"/>
      <c r="J51" s="157" t="n"/>
      <c r="K51" s="157" t="inlineStr">
        <is>
          <t>Muhtasar/KDV vergisi</t>
        </is>
      </c>
      <c r="L51" s="168" t="n">
        <v>1</v>
      </c>
      <c r="M51" s="157" t="inlineStr">
        <is>
          <t>AY</t>
        </is>
      </c>
      <c r="N51" s="168" t="n">
        <v>4000</v>
      </c>
      <c r="O51" s="156" t="n">
        <v>4000</v>
      </c>
      <c r="P51" s="157" t="inlineStr">
        <is>
          <t>DAHİL</t>
        </is>
      </c>
      <c r="Q51" s="157" t="inlineStr">
        <is>
          <t>2026-07-31</t>
        </is>
      </c>
      <c r="R51" s="157" t="inlineStr">
        <is>
          <t>2026-07-31</t>
        </is>
      </c>
      <c r="S51" s="157" t="inlineStr">
        <is>
          <t>EVET</t>
        </is>
      </c>
      <c r="T51" s="157" t="inlineStr">
        <is>
          <t>SABİT</t>
        </is>
      </c>
      <c r="U51" s="157" t="inlineStr">
        <is>
          <t>DOLAYLI</t>
        </is>
      </c>
      <c r="V51" s="157" t="inlineStr">
        <is>
          <t>TEKRARLAYAN</t>
        </is>
      </c>
      <c r="W51" s="157" t="inlineStr">
        <is>
          <t>HAYIR</t>
        </is>
      </c>
      <c r="X51" s="157" t="inlineStr">
        <is>
          <t>HAYIR</t>
        </is>
      </c>
      <c r="Y51" s="157" t="inlineStr">
        <is>
          <t>HAYIR</t>
        </is>
      </c>
    </row>
    <row r="52" ht="15" customHeight="1" s="80">
      <c r="B52" s="157" t="inlineStr">
        <is>
          <t>2026-07-31</t>
        </is>
      </c>
      <c r="C52" s="157" t="inlineStr">
        <is>
          <t>AMR-003</t>
        </is>
      </c>
      <c r="D52" s="157" t="inlineStr">
        <is>
          <t>GİDER</t>
        </is>
      </c>
      <c r="E52" s="157" t="inlineStr">
        <is>
          <t>AMORTİSMAN</t>
        </is>
      </c>
      <c r="F52" s="157" t="inlineStr">
        <is>
          <t>OFİS</t>
        </is>
      </c>
      <c r="G52" s="157" t="n"/>
      <c r="H52" s="157" t="inlineStr">
        <is>
          <t>-</t>
        </is>
      </c>
      <c r="I52" s="157" t="n"/>
      <c r="J52" s="157" t="n"/>
      <c r="K52" s="157" t="inlineStr">
        <is>
          <t>Demirbaş amortismanı</t>
        </is>
      </c>
      <c r="L52" s="168" t="n">
        <v>1</v>
      </c>
      <c r="M52" s="157" t="inlineStr">
        <is>
          <t>AY</t>
        </is>
      </c>
      <c r="N52" s="168" t="n">
        <v>3000</v>
      </c>
      <c r="O52" s="156" t="n">
        <v>3000</v>
      </c>
      <c r="P52" s="157" t="inlineStr">
        <is>
          <t>HARİÇ</t>
        </is>
      </c>
      <c r="Q52" s="157" t="inlineStr">
        <is>
          <t>2026-07-31</t>
        </is>
      </c>
      <c r="R52" s="157" t="n"/>
      <c r="S52" s="157" t="inlineStr">
        <is>
          <t>HAYIR</t>
        </is>
      </c>
      <c r="T52" s="157" t="inlineStr">
        <is>
          <t>SABİT</t>
        </is>
      </c>
      <c r="U52" s="157" t="inlineStr">
        <is>
          <t>DOLAYLI</t>
        </is>
      </c>
      <c r="V52" s="157" t="inlineStr">
        <is>
          <t>TEKRARLAYAN</t>
        </is>
      </c>
      <c r="W52" s="157" t="inlineStr">
        <is>
          <t>HAYIR</t>
        </is>
      </c>
      <c r="X52" s="157" t="inlineStr">
        <is>
          <t>HAYIR</t>
        </is>
      </c>
      <c r="Y52" s="157" t="inlineStr">
        <is>
          <t>HAYIR</t>
        </is>
      </c>
    </row>
    <row r="53" ht="15" customHeight="1" s="80">
      <c r="B53" s="157" t="inlineStr">
        <is>
          <t>2026-07-31</t>
        </is>
      </c>
      <c r="C53" s="157" t="inlineStr">
        <is>
          <t>GY-003</t>
        </is>
      </c>
      <c r="D53" s="157" t="inlineStr">
        <is>
          <t>GİDER</t>
        </is>
      </c>
      <c r="E53" s="157" t="inlineStr">
        <is>
          <t>GENEL YÖNETİM</t>
        </is>
      </c>
      <c r="F53" s="157" t="inlineStr">
        <is>
          <t>ELEKTRİK</t>
        </is>
      </c>
      <c r="G53" s="157" t="n"/>
      <c r="H53" s="157" t="inlineStr">
        <is>
          <t>Elektrik Dağıtım</t>
        </is>
      </c>
      <c r="I53" s="157" t="n"/>
      <c r="J53" s="157" t="n"/>
      <c r="K53" s="157" t="inlineStr">
        <is>
          <t>Elektrik faturası</t>
        </is>
      </c>
      <c r="L53" s="168" t="n">
        <v>1</v>
      </c>
      <c r="M53" s="157" t="inlineStr">
        <is>
          <t>AY</t>
        </is>
      </c>
      <c r="N53" s="168" t="n">
        <v>9000</v>
      </c>
      <c r="O53" s="156" t="n">
        <v>9000</v>
      </c>
      <c r="P53" s="157" t="inlineStr">
        <is>
          <t>DAHİL</t>
        </is>
      </c>
      <c r="Q53" s="157" t="inlineStr">
        <is>
          <t>2026-07-31</t>
        </is>
      </c>
      <c r="R53" s="157" t="inlineStr">
        <is>
          <t>2026-07-31</t>
        </is>
      </c>
      <c r="S53" s="157" t="inlineStr">
        <is>
          <t>EVET</t>
        </is>
      </c>
      <c r="T53" s="157" t="inlineStr">
        <is>
          <t>SABİT</t>
        </is>
      </c>
      <c r="U53" s="157" t="inlineStr">
        <is>
          <t>DOLAYLI</t>
        </is>
      </c>
      <c r="V53" s="157" t="inlineStr">
        <is>
          <t>TEKRARLAYAN</t>
        </is>
      </c>
      <c r="W53" s="157" t="inlineStr">
        <is>
          <t>HAYIR</t>
        </is>
      </c>
      <c r="X53" s="157" t="inlineStr">
        <is>
          <t>HAYIR</t>
        </is>
      </c>
      <c r="Y53" s="157" t="inlineStr">
        <is>
          <t>HAYIR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6" min="1" max="1"/>
    <col width="30" customWidth="1" style="106" min="2" max="2"/>
    <col width="34" customWidth="1" style="106" min="3" max="4"/>
    <col width="10" customWidth="1" style="106" min="5" max="5"/>
    <col width="26" customWidth="1" style="106" min="6" max="6"/>
  </cols>
  <sheetData>
    <row r="1" ht="25.5" customHeight="1" s="80">
      <c r="A1" s="107" t="inlineStr">
        <is>
          <t>TESTLER — GÜNLÜK GELİR–GİDER VE GERÇEK KÂRLILIK SİSTEMİ</t>
        </is>
      </c>
    </row>
    <row r="2" ht="19.5" customHeight="1" s="80">
      <c r="A2" s="108" t="inlineStr">
        <is>
          <t>Kalite test senaryoları. Gerçek sonuç formüllerle hesaplanır; PASS/FAIL durumu otomatik üretilir.</t>
        </is>
      </c>
    </row>
    <row r="5" ht="30" customHeight="1" s="80">
      <c r="A5" s="109" t="inlineStr">
        <is>
          <t>Test</t>
        </is>
      </c>
      <c r="B5" s="109" t="inlineStr">
        <is>
          <t>Test Girdisi</t>
        </is>
      </c>
      <c r="C5" s="109" t="inlineStr">
        <is>
          <t>Beklenen Sonuç</t>
        </is>
      </c>
      <c r="D5" s="109" t="inlineStr">
        <is>
          <t>Gerçek Sonuç</t>
        </is>
      </c>
      <c r="E5" s="109" t="inlineStr">
        <is>
          <t>Sonuç</t>
        </is>
      </c>
      <c r="F5" s="109" t="inlineStr">
        <is>
          <t>Açıklama</t>
        </is>
      </c>
    </row>
    <row r="6" ht="33.75" customHeight="1" s="80">
      <c r="A6" s="157" t="inlineStr">
        <is>
          <t>Sıfır Veri</t>
        </is>
      </c>
      <c r="B6" s="123" t="inlineStr">
        <is>
          <t>Tüm giriş sayfaları boş</t>
        </is>
      </c>
      <c r="C6" s="123" t="inlineStr">
        <is>
          <t>PANO VERİ YETERSİZ gösterir</t>
        </is>
      </c>
      <c r="D6" s="169">
        <f>IF(KayitSayisi=0,"VERİ YETERSİZ","VERİ VAR")</f>
        <v/>
      </c>
      <c r="E6" s="141">
        <f>IF(ISNUMBER(D6),"PASS",IF(D6="PASS","PASS",IF(OR(D6="VERİ YETERSİZ",D6="KONTROL"),"WARN","FAIL")))</f>
        <v/>
      </c>
      <c r="F6" s="124" t="inlineStr">
        <is>
          <t>Otomatik değerlendirme</t>
        </is>
      </c>
    </row>
    <row r="7" ht="33.75" customHeight="1" s="80">
      <c r="A7" s="157" t="inlineStr">
        <is>
          <t>Tek Kayıt</t>
        </is>
      </c>
      <c r="B7" s="123" t="inlineStr">
        <is>
          <t>Bir adet satış kaydı</t>
        </is>
      </c>
      <c r="C7" s="123" t="inlineStr">
        <is>
          <t>Net satış tek kaydı yansıtır</t>
        </is>
      </c>
      <c r="D7" s="169">
        <f>IF(KayitSayisi=1,"BEKLENEN","KONTROL")</f>
        <v/>
      </c>
      <c r="E7" s="141">
        <f>IF(ISNUMBER(D7),"PASS",IF(D7="PASS","PASS",IF(OR(D7="VERİ YETERSİZ",D7="KONTROL"),"WARN","FAIL")))</f>
        <v/>
      </c>
      <c r="F7" s="124" t="inlineStr">
        <is>
          <t>Otomatik değerlendirme</t>
        </is>
      </c>
    </row>
    <row r="8" ht="33.75" customHeight="1" s="80">
      <c r="A8" s="157" t="inlineStr">
        <is>
          <t>Eksik Zorunlu Alan</t>
        </is>
      </c>
      <c r="B8" s="123" t="inlineStr">
        <is>
          <t>İşlem Türü boş bırakılır</t>
        </is>
      </c>
      <c r="C8" s="123" t="inlineStr">
        <is>
          <t>KONTROLLER eksik gösterir</t>
        </is>
      </c>
      <c r="D8" s="169">
        <f>IF(B7&gt;0,"TESPİT EDİLDİ","TESPİT EDİLMEDİ")</f>
        <v/>
      </c>
      <c r="E8" s="141">
        <f>IF(ISNUMBER(D8),"PASS",IF(D8="PASS","PASS",IF(OR(D8="VERİ YETERSİZ",D8="KONTROL"),"WARN","FAIL")))</f>
        <v/>
      </c>
      <c r="F8" s="124" t="inlineStr">
        <is>
          <t>Otomatik değerlendirme</t>
        </is>
      </c>
    </row>
    <row r="9" ht="33.75" customHeight="1" s="80">
      <c r="A9" s="157" t="inlineStr">
        <is>
          <t>Mükerrer Kayıt</t>
        </is>
      </c>
      <c r="B9" s="123" t="inlineStr">
        <is>
          <t>Aynı Belge Numarası+Tutar+Tarih</t>
        </is>
      </c>
      <c r="C9" s="123" t="inlineStr">
        <is>
          <t>MÜKERRER uyarısı</t>
        </is>
      </c>
      <c r="D9" s="169">
        <f>IF(B16&gt;0,"TESPİT EDİLDİ","TESPİT EDİLMEDİ")</f>
        <v/>
      </c>
      <c r="E9" s="141">
        <f>IF(ISNUMBER(D9),"PASS",IF(D9="PASS","PASS",IF(OR(D9="VERİ YETERSİZ",D9="KONTROL"),"WARN","FAIL")))</f>
        <v/>
      </c>
      <c r="F9" s="124" t="inlineStr">
        <is>
          <t>Otomatik değerlendirme</t>
        </is>
      </c>
    </row>
    <row r="10" ht="33.75" customHeight="1" s="80">
      <c r="A10" s="157" t="inlineStr">
        <is>
          <t>Negatif Tutar</t>
        </is>
      </c>
      <c r="B10" s="123" t="inlineStr">
        <is>
          <t>Tutar sıfır veya negatif</t>
        </is>
      </c>
      <c r="C10" s="123" t="inlineStr">
        <is>
          <t>Kontrol uyarısı</t>
        </is>
      </c>
      <c r="D10" s="169">
        <f>IF(B15&gt;0,"TESPİT EDİLDİ","TESPİT EDİLMEDİ")</f>
        <v/>
      </c>
      <c r="E10" s="141">
        <f>IF(ISNUMBER(D10),"PASS",IF(D10="PASS","PASS",IF(OR(D10="VERİ YETERSİZ",D10="KONTROL"),"WARN","FAIL")))</f>
        <v/>
      </c>
      <c r="F10" s="124" t="inlineStr">
        <is>
          <t>Otomatik değerlendirme</t>
        </is>
      </c>
    </row>
    <row r="11" ht="33.75" customHeight="1" s="80">
      <c r="A11" s="157" t="inlineStr">
        <is>
          <t>Aşırı Yüksek Tutar</t>
        </is>
      </c>
      <c r="B11" s="123" t="inlineStr">
        <is>
          <t>Tutar 1.000.000.000 TL</t>
        </is>
      </c>
      <c r="C11" s="123" t="inlineStr">
        <is>
          <t>Veri doğrulama engeller</t>
        </is>
      </c>
      <c r="D11" s="169">
        <f>IFERROR(IF(O6&gt;0,"KONTROL","VERİ YETERSİZ"),"KONTROL")</f>
        <v/>
      </c>
      <c r="E11" s="141">
        <f>IF(ISNUMBER(D11),"PASS",IF(D11="PASS","PASS",IF(OR(D11="VERİ YETERSİZ",D11="KONTROL"),"WARN","FAIL")))</f>
        <v/>
      </c>
      <c r="F11" s="124" t="inlineStr">
        <is>
          <t>Otomatik değerlendirme</t>
        </is>
      </c>
    </row>
    <row r="12" ht="33.75" customHeight="1" s="80">
      <c r="A12" s="157" t="inlineStr">
        <is>
          <t>Vade Geçmiş Kayıt</t>
        </is>
      </c>
      <c r="B12" s="123" t="inlineStr">
        <is>
          <t>Geçmiş tarihli kayıt</t>
        </is>
      </c>
      <c r="C12" s="123" t="inlineStr">
        <is>
          <t>Tarih kabul edilir</t>
        </is>
      </c>
      <c r="D12" s="169">
        <f>IFERROR(IF(MIN(GELIR_GIDER_KAYIT!$B$6:$B$5000)&lt;TODAY(),"KABUL","KONTROL"),"KONTROL")</f>
        <v/>
      </c>
      <c r="E12" s="141">
        <f>IF(ISNUMBER(D12),"PASS",IF(D12="PASS","PASS",IF(OR(D12="VERİ YETERSİZ",D12="KONTROL"),"WARN","FAIL")))</f>
        <v/>
      </c>
      <c r="F12" s="124" t="inlineStr">
        <is>
          <t>Otomatik değerlendirme</t>
        </is>
      </c>
    </row>
    <row r="13" ht="33.75" customHeight="1" s="80">
      <c r="A13" s="157" t="inlineStr">
        <is>
          <t>Gelecek Tarihli Kayıt</t>
        </is>
      </c>
      <c r="B13" s="123" t="inlineStr">
        <is>
          <t>Gelecek tarihli kayıt</t>
        </is>
      </c>
      <c r="C13" s="123" t="inlineStr">
        <is>
          <t>Tarih kabul edilir</t>
        </is>
      </c>
      <c r="D13" s="169">
        <f>IFERROR(IF(MAX(GELIR_GIDER_KAYIT!$B$6:$B$5000)&gt;TODAY(),"KABUL","KONTROL"),"KONTROL")</f>
        <v/>
      </c>
      <c r="E13" s="141">
        <f>IF(ISNUMBER(D13),"PASS",IF(D13="PASS","PASS",IF(OR(D13="VERİ YETERSİZ",D13="KONTROL"),"WARN","FAIL")))</f>
        <v/>
      </c>
      <c r="F13" s="124" t="inlineStr">
        <is>
          <t>Otomatik değerlendirme</t>
        </is>
      </c>
    </row>
    <row r="14" ht="33.75" customHeight="1" s="80">
      <c r="A14" s="157" t="inlineStr">
        <is>
          <t>Ay ve Yıl Sonu Geçişi</t>
        </is>
      </c>
      <c r="B14" s="123" t="inlineStr">
        <is>
          <t>31.12 / 01.01 tarih aralığı</t>
        </is>
      </c>
      <c r="C14" s="123" t="inlineStr">
        <is>
          <t>Tarih formatı korunur</t>
        </is>
      </c>
      <c r="D14" s="169" t="inlineStr">
        <is>
          <t>@</t>
        </is>
      </c>
      <c r="E14" s="141">
        <f>IF(ISNUMBER(D14),"PASS",IF(D14="PASS","PASS",IF(OR(D14="VERİ YETERSİZ",D14="KONTROL"),"WARN","FAIL")))</f>
        <v/>
      </c>
      <c r="F14" s="124" t="inlineStr">
        <is>
          <t>Otomatik değerlendirme</t>
        </is>
      </c>
    </row>
    <row r="15" ht="33.75" customHeight="1" s="80">
      <c r="A15" s="157" t="inlineStr">
        <is>
          <t>29 Şubat</t>
        </is>
      </c>
      <c r="B15" s="123" t="inlineStr">
        <is>
          <t>Artık yıl tarihi</t>
        </is>
      </c>
      <c r="C15" s="123" t="inlineStr">
        <is>
          <t>Tarih doğrulaması kabul eder</t>
        </is>
      </c>
      <c r="D15" s="169" t="inlineStr">
        <is>
          <t>@</t>
        </is>
      </c>
      <c r="E15" s="141">
        <f>IF(ISNUMBER(D15),"PASS",IF(D15="PASS","PASS",IF(OR(D15="VERİ YETERSİZ",D15="KONTROL"),"WARN","FAIL")))</f>
        <v/>
      </c>
      <c r="F15" s="124" t="inlineStr">
        <is>
          <t>Otomatik değerlendirme</t>
        </is>
      </c>
    </row>
    <row r="16" ht="33.75" customHeight="1" s="80">
      <c r="A16" s="157" t="inlineStr">
        <is>
          <t>Sıfıra Bölme</t>
        </is>
      </c>
      <c r="B16" s="123" t="inlineStr">
        <is>
          <t>Net satış sıfır</t>
        </is>
      </c>
      <c r="C16" s="123" t="inlineStr">
        <is>
          <t>Marj hesapları boş gösterir</t>
        </is>
      </c>
      <c r="D16" s="169">
        <f>IF(NetSatis=0,"GÜVENLİ","KONTROL")</f>
        <v/>
      </c>
      <c r="E16" s="141">
        <f>IF(ISNUMBER(D16),"PASS",IF(D16="PASS","PASS",IF(OR(D16="VERİ YETERSİZ",D16="KONTROL"),"WARN","FAIL")))</f>
        <v/>
      </c>
      <c r="F16" s="124" t="inlineStr">
        <is>
          <t>Otomatik değerlendirme</t>
        </is>
      </c>
    </row>
    <row r="17" ht="33.75" customHeight="1" s="80">
      <c r="A17" s="157" t="inlineStr">
        <is>
          <t>Boş veya Silinmiş Kategori</t>
        </is>
      </c>
      <c r="B17" s="123" t="inlineStr">
        <is>
          <t>Listeden değer kaldırılır</t>
        </is>
      </c>
      <c r="C17" s="123" t="inlineStr">
        <is>
          <t>Liste dışı giriş engellenir</t>
        </is>
      </c>
      <c r="D17" s="169" t="inlineStr">
        <is>
          <t>@</t>
        </is>
      </c>
      <c r="E17" s="141">
        <f>IF(ISNUMBER(D17),"PASS",IF(D17="PASS","PASS",IF(OR(D17="VERİ YETERSİZ",D17="KONTROL"),"WARN","FAIL")))</f>
        <v/>
      </c>
      <c r="F17" s="124" t="inlineStr">
        <is>
          <t>Otomatik değerlendirme</t>
        </is>
      </c>
    </row>
    <row r="18" ht="33.75" customHeight="1" s="80">
      <c r="A18" s="157" t="inlineStr">
        <is>
          <t>Filtre Sonrası Toplam</t>
        </is>
      </c>
      <c r="B18" s="123" t="inlineStr">
        <is>
          <t>Tablo filtrelenir</t>
        </is>
      </c>
      <c r="C18" s="123" t="inlineStr">
        <is>
          <t>Alt toplamlar doğru kalır</t>
        </is>
      </c>
      <c r="D18" s="169" t="inlineStr">
        <is>
          <t>@</t>
        </is>
      </c>
      <c r="E18" s="141">
        <f>IF(ISNUMBER(D18),"PASS",IF(D18="PASS","PASS",IF(OR(D18="VERİ YETERSİZ",D18="KONTROL"),"WARN","FAIL")))</f>
        <v/>
      </c>
      <c r="F18" s="124" t="inlineStr">
        <is>
          <t>Otomatik değerlendirme</t>
        </is>
      </c>
    </row>
    <row r="19" ht="33.75" customHeight="1" s="80">
      <c r="A19" s="157" t="inlineStr">
        <is>
          <t>5.000 Satır Performansı</t>
        </is>
      </c>
      <c r="B19" s="123" t="inlineStr">
        <is>
          <t>5000 kayıt eklenir</t>
        </is>
      </c>
      <c r="C19" s="123" t="inlineStr">
        <is>
          <t>SUMIFS taraması 5000 satırı kapsar</t>
        </is>
      </c>
      <c r="D19" s="169" t="inlineStr">
        <is>
          <t>@</t>
        </is>
      </c>
      <c r="E19" s="141">
        <f>IF(ISNUMBER(D19),"PASS",IF(D19="PASS","PASS",IF(OR(D19="VERİ YETERSİZ",D19="KONTROL"),"WARN","FAIL")))</f>
        <v/>
      </c>
      <c r="F19" s="124" t="inlineStr">
        <is>
          <t>Otomatik değerlendirme</t>
        </is>
      </c>
    </row>
    <row r="20" ht="33.75" customHeight="1" s="80">
      <c r="A20" s="157" t="inlineStr">
        <is>
          <t>Kopyala-Yapıştır</t>
        </is>
      </c>
      <c r="B20" s="123" t="inlineStr">
        <is>
          <t>Değerler yapıştırılır</t>
        </is>
      </c>
      <c r="C20" s="123" t="inlineStr">
        <is>
          <t>Veri doğrulama korunur</t>
        </is>
      </c>
      <c r="D20" s="169" t="inlineStr">
        <is>
          <t>@</t>
        </is>
      </c>
      <c r="E20" s="141">
        <f>IF(ISNUMBER(D20),"PASS",IF(D20="PASS","PASS",IF(OR(D20="VERİ YETERSİZ",D20="KONTROL"),"WARN","FAIL")))</f>
        <v/>
      </c>
      <c r="F20" s="124" t="inlineStr">
        <is>
          <t>Otomatik değerlendirme</t>
        </is>
      </c>
    </row>
    <row r="21" ht="33.75" customHeight="1" s="80">
      <c r="A21" s="157" t="inlineStr">
        <is>
          <t>Risk Eşiği Tam Altı/Üstü</t>
        </is>
      </c>
      <c r="B21" s="123" t="inlineStr">
        <is>
          <t>Brüt marj eşik civarı</t>
        </is>
      </c>
      <c r="C21" s="123" t="inlineStr">
        <is>
          <t>Karar motoru doğru sınıflar</t>
        </is>
      </c>
      <c r="D21" s="169">
        <f>IF(BrutMarjOrani="","KONTROL",IF(BrutMarjOrani&lt;BrutMarjHedef/100,"RİSKLİ","NORMAL"))</f>
        <v/>
      </c>
      <c r="E21" s="141">
        <f>IF(ISNUMBER(D21),"PASS",IF(D21="PASS","PASS",IF(OR(D21="VERİ YETERSİZ",D21="KONTROL"),"WARN","FAIL")))</f>
        <v/>
      </c>
      <c r="F21" s="124" t="inlineStr">
        <is>
          <t>Otomatik değerlendirme</t>
        </is>
      </c>
    </row>
    <row r="22" ht="33.75" customHeight="1" s="80">
      <c r="A22" s="157" t="inlineStr">
        <is>
          <t>Formül Sütununa Yazma</t>
        </is>
      </c>
      <c r="B22" s="123" t="inlineStr">
        <is>
          <t>Nakit Etkisi elle yazılır</t>
        </is>
      </c>
      <c r="C22" s="123" t="inlineStr">
        <is>
          <t>Kilitli hücre engeller</t>
        </is>
      </c>
      <c r="D22" s="169" t="inlineStr">
        <is>
          <t>@</t>
        </is>
      </c>
      <c r="E22" s="141">
        <f>IF(ISNUMBER(D22),"PASS",IF(D22="PASS","PASS",IF(OR(D22="VERİ YETERSİZ",D22="KONTROL"),"WARN","FAIL")))</f>
        <v/>
      </c>
      <c r="F22" s="124" t="inlineStr">
        <is>
          <t>Otomatik değerlendirme</t>
        </is>
      </c>
    </row>
    <row r="23" ht="33.75" customHeight="1" s="80">
      <c r="A23" s="157" t="inlineStr">
        <is>
          <t>Para Birimi ve Ondalık</t>
        </is>
      </c>
      <c r="B23" s="123" t="inlineStr">
        <is>
          <t>TL ve ondalık değerler</t>
        </is>
      </c>
      <c r="C23" s="123" t="inlineStr">
        <is>
          <t>Format korunur</t>
        </is>
      </c>
      <c r="D23" s="169" t="inlineStr">
        <is>
          <t>@</t>
        </is>
      </c>
      <c r="E23" s="141">
        <f>IF(ISNUMBER(D23),"PASS",IF(D23="PASS","PASS",IF(OR(D23="VERİ YETERSİZ",D23="KONTROL"),"WARN","FAIL")))</f>
        <v/>
      </c>
      <c r="F23" s="124" t="inlineStr">
        <is>
          <t>Otomatik değerlendirme</t>
        </is>
      </c>
    </row>
    <row r="24" ht="33.75" customHeight="1" s="80">
      <c r="A24" s="157" t="inlineStr">
        <is>
          <t>Yazdırma Önizlemesi</t>
        </is>
      </c>
      <c r="B24" s="123" t="inlineStr">
        <is>
          <t>RAPOR yazdırma alanı</t>
        </is>
      </c>
      <c r="C24" s="123" t="inlineStr">
        <is>
          <t>A4 yatay düzen</t>
        </is>
      </c>
      <c r="D24" s="169" t="inlineStr">
        <is>
          <t>@</t>
        </is>
      </c>
      <c r="E24" s="141">
        <f>IF(ISNUMBER(D24),"PASS",IF(D24="PASS","PASS",IF(OR(D24="VERİ YETERSİZ",D24="KONTROL"),"WARN","FAIL")))</f>
        <v/>
      </c>
      <c r="F24" s="124" t="inlineStr">
        <is>
          <t>Otomatik değerlendirme</t>
        </is>
      </c>
    </row>
    <row r="25" ht="33.75" customHeight="1" s="80">
      <c r="A25" s="157" t="inlineStr">
        <is>
          <t>Tüm Grafiklerin Kaynağı</t>
        </is>
      </c>
      <c r="B25" s="123" t="inlineStr">
        <is>
          <t>Grafikler veriye bağlı</t>
        </is>
      </c>
      <c r="C25" s="123" t="inlineStr">
        <is>
          <t>Veri kaynakları güncel</t>
        </is>
      </c>
      <c r="D25" s="169" t="inlineStr">
        <is>
          <t>@</t>
        </is>
      </c>
      <c r="E25" s="141">
        <f>IF(ISNUMBER(D25),"PASS",IF(D25="PASS","PASS",IF(OR(D25="VERİ YETERSİZ",D25="KONTROL"),"WARN","FAIL")))</f>
        <v/>
      </c>
      <c r="F25" s="124" t="inlineStr">
        <is>
          <t>Otomatik değerlendirme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6" min="1" max="1"/>
    <col width="28" customWidth="1" style="106" min="2" max="2"/>
    <col width="16" customWidth="1" style="106" min="3" max="3"/>
    <col width="28" customWidth="1" style="106" min="4" max="4"/>
  </cols>
  <sheetData>
    <row r="1" ht="15" customHeight="1" s="80">
      <c r="A1" s="106" t="inlineStr">
        <is>
          <t>ANAHTAR — GunlukGelirGiderKarlilikSistemi</t>
        </is>
      </c>
    </row>
    <row r="3" ht="15" customHeight="1" s="80">
      <c r="A3" s="106" t="inlineStr">
        <is>
          <t>ham_anahtar</t>
        </is>
      </c>
      <c r="B3" s="106" t="inlineStr">
        <is>
          <t>norm_anahtar</t>
        </is>
      </c>
      <c r="C3" s="106" t="inlineStr">
        <is>
          <t>duplike_sayisi</t>
        </is>
      </c>
      <c r="D3" s="106" t="inlineStr">
        <is>
          <t>not</t>
        </is>
      </c>
    </row>
    <row r="4" ht="15" customHeight="1" s="80">
      <c r="A4" s="106" t="inlineStr">
        <is>
          <t>ORNEK-001</t>
        </is>
      </c>
      <c r="B4" s="106">
        <f>UPPER(SUBSTITUTE(A4," ",""))</f>
        <v/>
      </c>
      <c r="C4" s="106">
        <f>COUNTIF($A$4:$A$1000,A4)</f>
        <v/>
      </c>
      <c r="D4" s="106" t="inlineStr">
        <is>
          <t>normalize + duplike izi</t>
        </is>
      </c>
    </row>
    <row r="5" ht="15" customHeight="1" s="80">
      <c r="A5" s="106" t="inlineStr">
        <is>
          <t>ORNEK-002</t>
        </is>
      </c>
      <c r="B5" s="106">
        <f>UPPER(SUBSTITUTE(A5," ",""))</f>
        <v/>
      </c>
      <c r="C5" s="106">
        <f>COUNTIF($A$4:$A$1000,A5)</f>
        <v/>
      </c>
      <c r="D5" s="106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6" min="1" max="1"/>
    <col width="28" customWidth="1" style="106" min="2" max="2"/>
    <col width="12" customWidth="1" style="106" min="3" max="4"/>
  </cols>
  <sheetData>
    <row r="1" ht="15" customHeight="1" s="80">
      <c r="A1" s="106" t="inlineStr">
        <is>
          <t>ESLESTIRME — GunlukGelirGiderKarlilikSistemi</t>
        </is>
      </c>
    </row>
    <row r="3" ht="15" customHeight="1" s="80">
      <c r="A3" s="106" t="inlineStr">
        <is>
          <t>kova</t>
        </is>
      </c>
      <c r="B3" s="106" t="inlineStr">
        <is>
          <t>aciklama</t>
        </is>
      </c>
      <c r="C3" s="106" t="inlineStr">
        <is>
          <t>tutar</t>
        </is>
      </c>
      <c r="D3" s="106" t="inlineStr">
        <is>
          <t>tolerans</t>
        </is>
      </c>
    </row>
    <row r="4" ht="15" customHeight="1" s="80">
      <c r="A4" s="106" t="inlineStr">
        <is>
          <t>ESLESEN</t>
        </is>
      </c>
      <c r="B4" s="106" t="inlineStr">
        <is>
          <t>Tam eşleşen kayıtlar</t>
        </is>
      </c>
      <c r="C4" s="170" t="n">
        <v>0</v>
      </c>
      <c r="D4" s="170" t="n">
        <v>0</v>
      </c>
    </row>
    <row r="5" ht="15" customHeight="1" s="80">
      <c r="A5" s="106" t="inlineStr">
        <is>
          <t>TOLERANS</t>
        </is>
      </c>
      <c r="B5" s="106" t="inlineStr">
        <is>
          <t>Tolerans içi fark</t>
        </is>
      </c>
      <c r="C5" s="170" t="n">
        <v>0</v>
      </c>
      <c r="D5" s="170" t="n">
        <v>0.01</v>
      </c>
    </row>
    <row r="6" ht="15" customHeight="1" s="80">
      <c r="A6" s="106" t="inlineStr">
        <is>
          <t>TUTARSIZ</t>
        </is>
      </c>
      <c r="B6" s="106" t="inlineStr">
        <is>
          <t>Tutar uyuşmazlığı</t>
        </is>
      </c>
      <c r="C6" s="170" t="n">
        <v>0</v>
      </c>
      <c r="D6" s="170" t="n">
        <v>0</v>
      </c>
    </row>
    <row r="7" ht="15" customHeight="1" s="80">
      <c r="A7" s="106" t="inlineStr">
        <is>
          <t>ESLESMEYEN</t>
        </is>
      </c>
      <c r="B7" s="106" t="inlineStr">
        <is>
          <t>Eşleşmeyen kayıtlar</t>
        </is>
      </c>
      <c r="C7" s="170" t="n">
        <v>0</v>
      </c>
      <c r="D7" s="170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6" min="1" max="1"/>
    <col width="42" customWidth="1" style="106" min="2" max="2"/>
    <col width="18" customWidth="1" style="106" min="3" max="3"/>
  </cols>
  <sheetData>
    <row r="1" ht="15" customHeight="1" s="80">
      <c r="A1" s="106" t="inlineStr">
        <is>
          <t>KOK_NEDEN — GunlukGelirGiderKarlilikSistemi</t>
        </is>
      </c>
    </row>
    <row r="3" ht="15" customHeight="1" s="80">
      <c r="A3" s="106" t="inlineStr">
        <is>
          <t>kova</t>
        </is>
      </c>
      <c r="B3" s="106" t="inlineStr">
        <is>
          <t>kok_neden</t>
        </is>
      </c>
      <c r="C3" s="106" t="inlineStr">
        <is>
          <t>aksiyon</t>
        </is>
      </c>
    </row>
    <row r="4" ht="15" customHeight="1" s="80">
      <c r="A4" s="106" t="inlineStr">
        <is>
          <t>TANIMSIZ</t>
        </is>
      </c>
      <c r="B4" s="106" t="inlineStr">
        <is>
          <t>Sınıflandırılamayan kayıt — elle incele</t>
        </is>
      </c>
      <c r="C4" s="106" t="inlineStr">
        <is>
          <t>Manuel inceleme</t>
        </is>
      </c>
    </row>
    <row r="5" ht="15" customHeight="1" s="80">
      <c r="A5" s="106" t="inlineStr">
        <is>
          <t>ESLESMEYEN</t>
        </is>
      </c>
      <c r="B5" s="106" t="inlineStr">
        <is>
          <t>Karşı tarafta yok</t>
        </is>
      </c>
      <c r="C5" s="106" t="inlineStr">
        <is>
          <t>Veri tamamlama</t>
        </is>
      </c>
    </row>
    <row r="6" ht="15" customHeight="1" s="80">
      <c r="A6" s="106" t="inlineStr">
        <is>
          <t>TUTARSIZ</t>
        </is>
      </c>
      <c r="B6" s="106" t="inlineStr">
        <is>
          <t>Tutar farkı</t>
        </is>
      </c>
      <c r="C6" s="106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06" min="1" max="1"/>
    <col width="14" customWidth="1" style="106" min="2" max="2"/>
    <col width="60" customWidth="1" style="106" min="3" max="3"/>
    <col width="16" customWidth="1" style="106" min="4" max="4"/>
  </cols>
  <sheetData>
    <row r="1" ht="25.5" customHeight="1" s="80">
      <c r="A1" s="107" t="inlineStr">
        <is>
          <t>DEGISIKLIK KAYDI — GÜNLÜK GELİR–GİDER VE GERÇEK KÂRLILIK SİSTEMİ</t>
        </is>
      </c>
    </row>
    <row r="2" ht="19.5" customHeight="1" s="80">
      <c r="A2" s="108" t="inlineStr">
        <is>
          <t>Sürüm geçmişi ve değişiklik kayıtları.</t>
        </is>
      </c>
    </row>
    <row r="5" ht="30" customHeight="1" s="80">
      <c r="A5" s="109" t="inlineStr">
        <is>
          <t>Sürüm</t>
        </is>
      </c>
      <c r="B5" s="109" t="inlineStr">
        <is>
          <t>Tarih</t>
        </is>
      </c>
      <c r="C5" s="109" t="inlineStr">
        <is>
          <t>Açıklama</t>
        </is>
      </c>
      <c r="D5" s="109" t="inlineStr">
        <is>
          <t>Değiştiren</t>
        </is>
      </c>
    </row>
    <row r="6" ht="15" customHeight="1" s="80">
      <c r="A6" s="128" t="inlineStr">
        <is>
          <t>1.0</t>
        </is>
      </c>
      <c r="B6" s="128" t="inlineStr">
        <is>
          <t>06.08.2026</t>
        </is>
      </c>
      <c r="C6" s="128" t="inlineStr">
        <is>
          <t>İlk sürüm: Günlük Gelir-Gider ve Gerçek Kârlılık Sistemi yayımlandı.</t>
        </is>
      </c>
      <c r="D6" s="128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6" min="1" max="1"/>
    <col width="30" customWidth="1" style="106" min="2" max="2"/>
    <col width="20" customWidth="1" style="106" min="3" max="3"/>
    <col width="12" customWidth="1" style="106" min="4" max="4"/>
    <col width="18" customWidth="1" style="106" min="5" max="5"/>
    <col width="20" customWidth="1" style="106" min="6" max="7"/>
    <col width="14" customWidth="1" style="106" min="8" max="8"/>
    <col width="12" customWidth="1" style="106" min="9" max="9"/>
  </cols>
  <sheetData>
    <row r="1" ht="25.5" customHeight="1" s="80">
      <c r="A1" s="107" t="inlineStr">
        <is>
          <t>LISTELER — GÜNLÜK GELİR–GİDER VE GERÇEK KÂRLILIK SİSTEMİ</t>
        </is>
      </c>
    </row>
    <row r="2" ht="19.5" customHeight="1" s="80">
      <c r="A2" s="108" t="inlineStr">
        <is>
          <t>Açılır menü kaynakları. Değer ekledikçe veri doğrulamaları otomatik genişler.</t>
        </is>
      </c>
    </row>
    <row r="3" ht="15" customHeight="1" s="80">
      <c r="A3" s="171" t="inlineStr">
        <is>
          <t>İşlem Türü</t>
        </is>
      </c>
      <c r="B3" s="171" t="inlineStr">
        <is>
          <t>Ana Sınıf</t>
        </is>
      </c>
      <c r="C3" s="171" t="inlineStr">
        <is>
          <t>Kategori</t>
        </is>
      </c>
      <c r="D3" s="171" t="inlineStr">
        <is>
          <t>Birim</t>
        </is>
      </c>
      <c r="E3" s="171" t="inlineStr">
        <is>
          <t>Sabit/Değişken</t>
        </is>
      </c>
      <c r="F3" s="171" t="inlineStr">
        <is>
          <t>Doğrudan/Dolaylı</t>
        </is>
      </c>
      <c r="G3" s="171" t="inlineStr">
        <is>
          <t>Tekrarlayan</t>
        </is>
      </c>
      <c r="H3" s="171" t="inlineStr">
        <is>
          <t>EVET/HAYIR</t>
        </is>
      </c>
      <c r="I3" s="171" t="inlineStr">
        <is>
          <t>KDV İşareti</t>
        </is>
      </c>
    </row>
    <row r="4" ht="15" customHeight="1" s="80">
      <c r="A4" s="110" t="inlineStr">
        <is>
          <t>GELİR</t>
        </is>
      </c>
      <c r="B4" s="110" t="inlineStr">
        <is>
          <t>SATIŞ</t>
        </is>
      </c>
      <c r="C4" s="110" t="inlineStr">
        <is>
          <t>HAMMADDE</t>
        </is>
      </c>
      <c r="D4" s="110" t="inlineStr">
        <is>
          <t>ADET</t>
        </is>
      </c>
      <c r="E4" s="110" t="inlineStr">
        <is>
          <t>SABİT</t>
        </is>
      </c>
      <c r="F4" s="110" t="inlineStr">
        <is>
          <t>DOĞRUDAN</t>
        </is>
      </c>
      <c r="G4" s="110" t="inlineStr">
        <is>
          <t>TEKRARLAYAN</t>
        </is>
      </c>
      <c r="H4" s="110" t="inlineStr">
        <is>
          <t>EVET</t>
        </is>
      </c>
      <c r="I4" s="110" t="inlineStr">
        <is>
          <t>DAHİL</t>
        </is>
      </c>
    </row>
    <row r="5" ht="15" customHeight="1" s="80">
      <c r="A5" s="110" t="inlineStr">
        <is>
          <t>GİDER</t>
        </is>
      </c>
      <c r="B5" s="110" t="inlineStr">
        <is>
          <t>SATIŞ İADESİ/İSKONTO</t>
        </is>
      </c>
      <c r="C5" s="110" t="inlineStr">
        <is>
          <t>TİCARİ MAL</t>
        </is>
      </c>
      <c r="D5" s="110" t="inlineStr">
        <is>
          <t>KG</t>
        </is>
      </c>
      <c r="E5" s="110" t="inlineStr">
        <is>
          <t>DEĞİŞKEN</t>
        </is>
      </c>
      <c r="F5" s="110" t="inlineStr">
        <is>
          <t>DOLAYLI</t>
        </is>
      </c>
      <c r="G5" s="110" t="inlineStr">
        <is>
          <t>TEK SEFERLİK</t>
        </is>
      </c>
      <c r="H5" s="110" t="inlineStr">
        <is>
          <t>HAYIR</t>
        </is>
      </c>
      <c r="I5" s="110" t="inlineStr">
        <is>
          <t>HARİÇ</t>
        </is>
      </c>
    </row>
    <row r="6" ht="15" customHeight="1" s="80">
      <c r="B6" s="110" t="inlineStr">
        <is>
          <t>DİĞER GELİR</t>
        </is>
      </c>
      <c r="C6" s="110" t="inlineStr">
        <is>
          <t>ÜRETİM</t>
        </is>
      </c>
      <c r="D6" s="110" t="inlineStr">
        <is>
          <t>LT</t>
        </is>
      </c>
    </row>
    <row r="7" ht="15" customHeight="1" s="80">
      <c r="B7" s="110" t="inlineStr">
        <is>
          <t>OLAĞANDIŞI GELİR</t>
        </is>
      </c>
      <c r="C7" s="110" t="inlineStr">
        <is>
          <t>NAKLİYE</t>
        </is>
      </c>
      <c r="D7" s="110" t="inlineStr">
        <is>
          <t>MT</t>
        </is>
      </c>
    </row>
    <row r="8" ht="15" customHeight="1" s="80">
      <c r="B8" s="110" t="inlineStr">
        <is>
          <t>SATIŞLARIN MALİYETİ</t>
        </is>
      </c>
      <c r="C8" s="110" t="inlineStr">
        <is>
          <t>REKLAM</t>
        </is>
      </c>
      <c r="D8" s="110" t="inlineStr">
        <is>
          <t>SAAT</t>
        </is>
      </c>
    </row>
    <row r="9" ht="15" customHeight="1" s="80">
      <c r="B9" s="110" t="inlineStr">
        <is>
          <t>DEĞİŞKEN GİDER</t>
        </is>
      </c>
      <c r="C9" s="110" t="inlineStr">
        <is>
          <t>OFİS</t>
        </is>
      </c>
      <c r="D9" s="110" t="inlineStr">
        <is>
          <t>GÜN</t>
        </is>
      </c>
    </row>
    <row r="10" ht="15" customHeight="1" s="80">
      <c r="B10" s="110" t="inlineStr">
        <is>
          <t>PERSONEL</t>
        </is>
      </c>
      <c r="C10" s="110" t="inlineStr">
        <is>
          <t>ELEKTRİK</t>
        </is>
      </c>
      <c r="D10" s="110" t="inlineStr">
        <is>
          <t>AY</t>
        </is>
      </c>
    </row>
    <row r="11" ht="15" customHeight="1" s="80">
      <c r="B11" s="110" t="inlineStr">
        <is>
          <t>KİRA</t>
        </is>
      </c>
      <c r="C11" s="110" t="inlineStr">
        <is>
          <t>SU</t>
        </is>
      </c>
      <c r="D11" s="110" t="inlineStr">
        <is>
          <t>PAKET</t>
        </is>
      </c>
    </row>
    <row r="12" ht="15" customHeight="1" s="80">
      <c r="B12" s="110" t="inlineStr">
        <is>
          <t>PAZARLAMA</t>
        </is>
      </c>
      <c r="C12" s="110" t="inlineStr">
        <is>
          <t>İLETİŞİM</t>
        </is>
      </c>
      <c r="D12" s="110" t="inlineStr">
        <is>
          <t>KOLİ</t>
        </is>
      </c>
    </row>
    <row r="13" ht="15" customHeight="1" s="80">
      <c r="B13" s="110" t="inlineStr">
        <is>
          <t>LOJİSTİK</t>
        </is>
      </c>
      <c r="C13" s="110" t="inlineStr">
        <is>
          <t>BAKIM</t>
        </is>
      </c>
    </row>
    <row r="14" ht="15" customHeight="1" s="80">
      <c r="B14" s="110" t="inlineStr">
        <is>
          <t>GENEL YÖNETİM</t>
        </is>
      </c>
      <c r="C14" s="110" t="inlineStr">
        <is>
          <t>DANIŞMANLIK</t>
        </is>
      </c>
    </row>
    <row r="15" ht="15" customHeight="1" s="80">
      <c r="B15" s="110" t="inlineStr">
        <is>
          <t>AMORTİSMAN</t>
        </is>
      </c>
      <c r="C15" s="110" t="inlineStr">
        <is>
          <t>KOMİSYON</t>
        </is>
      </c>
    </row>
    <row r="16" ht="15" customHeight="1" s="80">
      <c r="B16" s="110" t="inlineStr">
        <is>
          <t>FİNANSMAN GİDERİ</t>
        </is>
      </c>
      <c r="C16" s="110" t="inlineStr">
        <is>
          <t>SİGORTA</t>
        </is>
      </c>
    </row>
    <row r="17" ht="15" customHeight="1" s="80">
      <c r="B17" s="110" t="inlineStr">
        <is>
          <t>VERGİ</t>
        </is>
      </c>
      <c r="C17" s="110" t="inlineStr">
        <is>
          <t>YAKIT</t>
        </is>
      </c>
    </row>
    <row r="18" ht="15" customHeight="1" s="80">
      <c r="B18" s="110" t="inlineStr">
        <is>
          <t>OLAĞANDIŞI GİDER</t>
        </is>
      </c>
      <c r="C18" s="110" t="inlineStr">
        <is>
          <t>İKRAMİYE</t>
        </is>
      </c>
    </row>
    <row r="19" ht="15" customHeight="1" s="80">
      <c r="B19" s="110" t="inlineStr">
        <is>
          <t>ORTAK ÇEKİŞİ</t>
        </is>
      </c>
      <c r="C19" s="110" t="inlineStr">
        <is>
          <t>ABONELİK</t>
        </is>
      </c>
    </row>
    <row r="20" ht="15" customHeight="1" s="80">
      <c r="B20" s="110" t="inlineStr">
        <is>
          <t>KREDİ ANAPARA</t>
        </is>
      </c>
      <c r="C20" s="110" t="inlineStr">
        <is>
          <t>DİĞER</t>
        </is>
      </c>
    </row>
    <row r="21" ht="15" customHeight="1" s="80">
      <c r="B21" s="110" t="inlineStr">
        <is>
          <t>YATIRIM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N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6" min="1" max="1"/>
    <col width="22" customWidth="1" style="106" min="2" max="2"/>
    <col width="10" customWidth="1" style="106" min="3" max="3"/>
    <col width="8" customWidth="1" style="106" min="4" max="5"/>
    <col width="50" customWidth="1" style="106" min="6" max="6"/>
    <col width="12" customWidth="1" style="106" min="7" max="7"/>
    <col width="14" customWidth="1" style="106" min="8" max="9"/>
  </cols>
  <sheetData>
    <row r="1" ht="25.5" customHeight="1" s="80">
      <c r="A1" s="107" t="inlineStr">
        <is>
          <t>AYARLAR — GÜNLÜK GELİR–GİDER VE GERÇEK KÂRLILIK SİSTEMİ</t>
        </is>
      </c>
    </row>
    <row r="2" ht="19.5" customHeight="1" s="80">
      <c r="A2" s="108" t="inlineStr">
        <is>
          <t>Tüm sabitler ve eşikler tek kaynaktan (SSOT) bu sayfadan yönetilir. Sarı hücreler kullanıcı tarafından güncellenebilir; formüller buraya bağlıdır.</t>
        </is>
      </c>
    </row>
    <row r="4" ht="30" customHeight="1" s="80">
      <c r="A4" s="109" t="inlineStr">
        <is>
          <t>anahtar</t>
        </is>
      </c>
      <c r="B4" s="109" t="inlineStr">
        <is>
          <t>deger</t>
        </is>
      </c>
      <c r="C4" s="109" t="inlineStr">
        <is>
          <t>birim</t>
        </is>
      </c>
      <c r="D4" s="109" t="inlineStr">
        <is>
          <t>alt</t>
        </is>
      </c>
      <c r="E4" s="109" t="inlineStr">
        <is>
          <t>ust</t>
        </is>
      </c>
      <c r="F4" s="109" t="inlineStr">
        <is>
          <t>aciklama</t>
        </is>
      </c>
      <c r="G4" s="109" t="inlineStr">
        <is>
          <t>kaynak</t>
        </is>
      </c>
      <c r="H4" s="109" t="inlineStr">
        <is>
          <t>yururluk_tarihi</t>
        </is>
      </c>
      <c r="I4" s="109" t="inlineStr">
        <is>
          <t>dogrulama_tarihi</t>
        </is>
      </c>
    </row>
    <row r="5" ht="24" customHeight="1" s="80">
      <c r="A5" s="172" t="inlineStr">
        <is>
          <t>Firma Unvanı</t>
        </is>
      </c>
      <c r="B5" s="173" t="inlineStr">
        <is>
          <t>Anadolu Tarım Gıda Ltd. Şti.</t>
        </is>
      </c>
      <c r="C5" s="124" t="inlineStr">
        <is>
          <t>Metin</t>
        </is>
      </c>
      <c r="D5" s="174" t="n"/>
      <c r="E5" s="174" t="n"/>
      <c r="F5" s="175" t="inlineStr">
        <is>
          <t>Rapor ve kapakta görünen firma adı.</t>
        </is>
      </c>
      <c r="G5" s="124" t="inlineStr">
        <is>
          <t>Kullanıcı</t>
        </is>
      </c>
      <c r="H5" s="176" t="n">
        <v>46023</v>
      </c>
      <c r="I5" s="176" t="n">
        <v>46240</v>
      </c>
    </row>
    <row r="6" ht="24" customHeight="1" s="80">
      <c r="A6" s="172" t="inlineStr">
        <is>
          <t>Vergi Numarası</t>
        </is>
      </c>
      <c r="B6" s="173" t="inlineStr">
        <is>
          <t>1234567890</t>
        </is>
      </c>
      <c r="C6" s="124" t="inlineStr">
        <is>
          <t>Metin</t>
        </is>
      </c>
      <c r="D6" s="174" t="n"/>
      <c r="E6" s="174" t="n"/>
      <c r="F6" s="175" t="inlineStr">
        <is>
          <t>Rapor başlığında görünen vergi numarası (opsiyonel).</t>
        </is>
      </c>
      <c r="G6" s="124" t="inlineStr">
        <is>
          <t>Kullanıcı</t>
        </is>
      </c>
      <c r="H6" s="176" t="n">
        <v>46023</v>
      </c>
      <c r="I6" s="176" t="n">
        <v>46240</v>
      </c>
    </row>
    <row r="7" ht="24" customHeight="1" s="80">
      <c r="A7" s="172" t="inlineStr">
        <is>
          <t>Rapor Tarihi</t>
        </is>
      </c>
      <c r="B7" s="177" t="n">
        <v>46234</v>
      </c>
      <c r="C7" s="124" t="inlineStr">
        <is>
          <t>Tarih</t>
        </is>
      </c>
      <c r="D7" s="174" t="n"/>
      <c r="E7" s="174" t="n"/>
      <c r="F7" s="175" t="inlineStr">
        <is>
          <t>Tüm hesapların ve kararların alındığı analiz tarihi.</t>
        </is>
      </c>
      <c r="G7" s="124" t="inlineStr">
        <is>
          <t>Kullanıcı</t>
        </is>
      </c>
      <c r="H7" s="176" t="n">
        <v>46023</v>
      </c>
      <c r="I7" s="176" t="n">
        <v>46240</v>
      </c>
    </row>
    <row r="8" ht="24" customHeight="1" s="80">
      <c r="A8" s="172" t="inlineStr">
        <is>
          <t>Para Birimi</t>
        </is>
      </c>
      <c r="B8" s="173" t="inlineStr">
        <is>
          <t>₺ TL</t>
        </is>
      </c>
      <c r="C8" s="124" t="inlineStr">
        <is>
          <t>Metin</t>
        </is>
      </c>
      <c r="D8" s="174" t="n"/>
      <c r="E8" s="174" t="n"/>
      <c r="F8" s="175" t="inlineStr">
        <is>
          <t>Tüm rapor ve panoda kullanılan para birimi.</t>
        </is>
      </c>
      <c r="G8" s="124" t="inlineStr">
        <is>
          <t>Kullanıcı</t>
        </is>
      </c>
      <c r="H8" s="176" t="n">
        <v>46023</v>
      </c>
      <c r="I8" s="176" t="n">
        <v>46240</v>
      </c>
    </row>
    <row r="9" ht="24" customHeight="1" s="80">
      <c r="A9" s="172" t="inlineStr">
        <is>
          <t>Dosya Sürümü</t>
        </is>
      </c>
      <c r="B9" s="173" t="inlineStr">
        <is>
          <t>1.0</t>
        </is>
      </c>
      <c r="C9" s="124" t="inlineStr">
        <is>
          <t>Metin</t>
        </is>
      </c>
      <c r="D9" s="174" t="n"/>
      <c r="E9" s="174" t="n"/>
      <c r="F9" s="175" t="inlineStr">
        <is>
          <t>Ürün sürüm bilgisi; rapor alt bilgisinde görünür.</t>
        </is>
      </c>
      <c r="G9" s="124" t="inlineStr">
        <is>
          <t>Kullanıcı</t>
        </is>
      </c>
      <c r="H9" s="176" t="n">
        <v>46023</v>
      </c>
      <c r="I9" s="176" t="n">
        <v>46240</v>
      </c>
    </row>
    <row r="10" ht="24" customHeight="1" s="80">
      <c r="A10" s="172" t="inlineStr">
        <is>
          <t>Lisans Kodu</t>
        </is>
      </c>
      <c r="B10" s="173" t="inlineStr">
        <is>
          <t>EA-2026-0006</t>
        </is>
      </c>
      <c r="C10" s="124" t="inlineStr">
        <is>
          <t>Kod</t>
        </is>
      </c>
      <c r="D10" s="174" t="n"/>
      <c r="E10" s="174" t="n"/>
      <c r="F10" s="175" t="inlineStr">
        <is>
          <t>Ürüne özel lisans izi.</t>
        </is>
      </c>
      <c r="G10" s="124" t="inlineStr">
        <is>
          <t>Kullanıcı</t>
        </is>
      </c>
      <c r="H10" s="176" t="n">
        <v>46023</v>
      </c>
      <c r="I10" s="176" t="n">
        <v>46240</v>
      </c>
    </row>
    <row r="11" ht="24" customHeight="1" s="80">
      <c r="A11" s="172" t="inlineStr">
        <is>
          <t>Rapor Dönemi Başlangıcı</t>
        </is>
      </c>
      <c r="B11" s="177" t="n">
        <v>46143</v>
      </c>
      <c r="C11" s="124" t="inlineStr">
        <is>
          <t>Tarih</t>
        </is>
      </c>
      <c r="D11" s="174" t="n"/>
      <c r="E11" s="174" t="n"/>
      <c r="F11" s="175" t="inlineStr">
        <is>
          <t>Günlük özet ve dönemsel raporların başlangıç tarihi.</t>
        </is>
      </c>
      <c r="G11" s="124" t="inlineStr">
        <is>
          <t>Kullanıcı</t>
        </is>
      </c>
      <c r="H11" s="176" t="n">
        <v>46023</v>
      </c>
      <c r="I11" s="176" t="n">
        <v>46240</v>
      </c>
    </row>
    <row r="12" ht="24" customHeight="1" s="80">
      <c r="A12" s="172" t="inlineStr">
        <is>
          <t>Veri Başlangıç Satırı</t>
        </is>
      </c>
      <c r="B12" s="178" t="n">
        <v>5</v>
      </c>
      <c r="C12" s="124" t="inlineStr">
        <is>
          <t>Skor</t>
        </is>
      </c>
      <c r="D12" s="174" t="n"/>
      <c r="E12" s="174" t="n"/>
      <c r="F12" s="175" t="inlineStr">
        <is>
          <t>Kayıt ID hesabında kullanılan ilk veri satırı.</t>
        </is>
      </c>
      <c r="G12" s="124" t="inlineStr">
        <is>
          <t>Kullanıcı</t>
        </is>
      </c>
      <c r="H12" s="176" t="n">
        <v>46023</v>
      </c>
      <c r="I12" s="176" t="n">
        <v>46240</v>
      </c>
    </row>
    <row r="14" ht="24" customHeight="1" s="80">
      <c r="A14" s="172" t="inlineStr">
        <is>
          <t>Brüt Marj Hedefi</t>
        </is>
      </c>
      <c r="B14" s="178" t="n">
        <v>35</v>
      </c>
      <c r="C14" s="124" t="inlineStr">
        <is>
          <t>Yüzde</t>
        </is>
      </c>
      <c r="D14" s="174" t="n">
        <v>0</v>
      </c>
      <c r="E14" s="174" t="n">
        <v>100</v>
      </c>
      <c r="F14" s="175" t="inlineStr">
        <is>
          <t>Brüt marjın altına inilirse KARAR_MOTORU RİSKLİ üretir.</t>
        </is>
      </c>
      <c r="G14" s="124" t="inlineStr">
        <is>
          <t>Varsayım</t>
        </is>
      </c>
      <c r="H14" s="176" t="n">
        <v>46023</v>
      </c>
      <c r="I14" s="176" t="n">
        <v>46240</v>
      </c>
    </row>
    <row r="15" ht="24" customHeight="1" s="80">
      <c r="A15" s="172" t="inlineStr">
        <is>
          <t>Faaliyet Marjı Hedefi</t>
        </is>
      </c>
      <c r="B15" s="178" t="n">
        <v>10</v>
      </c>
      <c r="C15" s="124" t="inlineStr">
        <is>
          <t>Yüzde</t>
        </is>
      </c>
      <c r="D15" s="174" t="n">
        <v>0</v>
      </c>
      <c r="E15" s="174" t="n">
        <v>100</v>
      </c>
      <c r="F15" s="175" t="inlineStr">
        <is>
          <t>Faaliyet marjı hedefi; sabit gider verimliliğini ölçer.</t>
        </is>
      </c>
      <c r="G15" s="124" t="inlineStr">
        <is>
          <t>Varsayım</t>
        </is>
      </c>
      <c r="H15" s="176" t="n">
        <v>46023</v>
      </c>
      <c r="I15" s="176" t="n">
        <v>46240</v>
      </c>
    </row>
    <row r="16" ht="24" customHeight="1" s="80">
      <c r="A16" s="172" t="inlineStr">
        <is>
          <t>Net Kâr Marjı Hedefi</t>
        </is>
      </c>
      <c r="B16" s="178" t="n">
        <v>5</v>
      </c>
      <c r="C16" s="124" t="inlineStr">
        <is>
          <t>Yüzde</t>
        </is>
      </c>
      <c r="D16" s="174" t="n">
        <v>0</v>
      </c>
      <c r="E16" s="174" t="n">
        <v>100</v>
      </c>
      <c r="F16" s="175" t="inlineStr">
        <is>
          <t>Net kârlılık hedefi; hedef kâr ciro hesabında kullanılır.</t>
        </is>
      </c>
      <c r="G16" s="124" t="inlineStr">
        <is>
          <t>Varsayım</t>
        </is>
      </c>
      <c r="H16" s="176" t="n">
        <v>46023</v>
      </c>
      <c r="I16" s="176" t="n">
        <v>46240</v>
      </c>
    </row>
    <row r="17" ht="24" customHeight="1" s="80">
      <c r="A17" s="172" t="inlineStr">
        <is>
          <t>Nakit Dönüşüm Hedefi</t>
        </is>
      </c>
      <c r="B17" s="178" t="n">
        <v>80</v>
      </c>
      <c r="C17" s="124" t="inlineStr">
        <is>
          <t>Yüzde</t>
        </is>
      </c>
      <c r="D17" s="174" t="n">
        <v>0</v>
      </c>
      <c r="E17" s="174" t="n">
        <v>100</v>
      </c>
      <c r="F17" s="175" t="inlineStr">
        <is>
          <t>Nakit/kâr dönüşüm hedefi; kârın nakde dönüşme oranı.</t>
        </is>
      </c>
      <c r="G17" s="124" t="inlineStr">
        <is>
          <t>Varsayım</t>
        </is>
      </c>
      <c r="H17" s="176" t="n">
        <v>46023</v>
      </c>
      <c r="I17" s="176" t="n">
        <v>46240</v>
      </c>
    </row>
    <row r="18" ht="24" customHeight="1" s="80">
      <c r="A18" s="172" t="inlineStr">
        <is>
          <t>Finansman Gideri Eşiği</t>
        </is>
      </c>
      <c r="B18" s="178" t="n">
        <v>30</v>
      </c>
      <c r="C18" s="124" t="inlineStr">
        <is>
          <t>Yüzde</t>
        </is>
      </c>
      <c r="D18" s="174" t="n">
        <v>0</v>
      </c>
      <c r="E18" s="174" t="n">
        <v>100</v>
      </c>
      <c r="F18" s="175" t="inlineStr">
        <is>
          <t>Finansman giderinin faaliyet kârına oranı eşiği.</t>
        </is>
      </c>
      <c r="G18" s="124" t="inlineStr">
        <is>
          <t>Varsayım</t>
        </is>
      </c>
      <c r="H18" s="176" t="n">
        <v>46023</v>
      </c>
      <c r="I18" s="176" t="n">
        <v>46240</v>
      </c>
    </row>
    <row r="19" ht="24" customHeight="1" s="80">
      <c r="A19" s="172" t="inlineStr">
        <is>
          <t>Ortak Çekişi Eşiği</t>
        </is>
      </c>
      <c r="B19" s="178" t="n">
        <v>100</v>
      </c>
      <c r="C19" s="124" t="inlineStr">
        <is>
          <t>Yüzde</t>
        </is>
      </c>
      <c r="D19" s="174" t="n">
        <v>0</v>
      </c>
      <c r="E19" s="174" t="n">
        <v>500</v>
      </c>
      <c r="F19" s="175" t="inlineStr">
        <is>
          <t>Ortak çekişinin net kâra oranı üst eşiği.</t>
        </is>
      </c>
      <c r="G19" s="124" t="inlineStr">
        <is>
          <t>Varsayım</t>
        </is>
      </c>
      <c r="H19" s="176" t="n">
        <v>46023</v>
      </c>
      <c r="I19" s="176" t="n">
        <v>46240</v>
      </c>
    </row>
    <row r="20" ht="24" customHeight="1" s="80">
      <c r="A20" s="172" t="inlineStr">
        <is>
          <t>Vergi Oranı</t>
        </is>
      </c>
      <c r="B20" s="178" t="n">
        <v>20</v>
      </c>
      <c r="C20" s="124" t="inlineStr">
        <is>
          <t>Yüzde</t>
        </is>
      </c>
      <c r="D20" s="174" t="n">
        <v>0</v>
      </c>
      <c r="E20" s="174" t="n">
        <v>60</v>
      </c>
      <c r="F20" s="175" t="inlineStr">
        <is>
          <t>Vergi oranı varsayımı; kullanıcı günceller.</t>
        </is>
      </c>
      <c r="G20" s="124" t="inlineStr">
        <is>
          <t>Varsayım</t>
        </is>
      </c>
      <c r="H20" s="176" t="n">
        <v>46023</v>
      </c>
      <c r="I20" s="176" t="n">
        <v>46240</v>
      </c>
    </row>
    <row r="23" ht="24" customHeight="1" s="80">
      <c r="A23" s="172" t="inlineStr">
        <is>
          <t>Dönem Başı Stok</t>
        </is>
      </c>
      <c r="B23" s="132" t="n">
        <v>120000</v>
      </c>
      <c r="C23" s="124" t="inlineStr">
        <is>
          <t>TL</t>
        </is>
      </c>
      <c r="D23" s="174" t="n">
        <v>0</v>
      </c>
      <c r="E23" s="174" t="n">
        <v>1000000000</v>
      </c>
      <c r="F23" s="175" t="inlineStr">
        <is>
          <t>Kârlılık köprüsünde stok artışı hesabı.</t>
        </is>
      </c>
      <c r="G23" s="124" t="inlineStr">
        <is>
          <t>Kullanıcı</t>
        </is>
      </c>
      <c r="H23" s="176" t="n">
        <v>46023</v>
      </c>
      <c r="I23" s="176" t="n">
        <v>46240</v>
      </c>
    </row>
    <row r="24" ht="24" customHeight="1" s="80">
      <c r="A24" s="172" t="inlineStr">
        <is>
          <t>Dönem Sonu Stok</t>
        </is>
      </c>
      <c r="B24" s="132" t="n">
        <v>120000</v>
      </c>
      <c r="C24" s="124" t="inlineStr">
        <is>
          <t>TL</t>
        </is>
      </c>
      <c r="D24" s="174" t="n">
        <v>0</v>
      </c>
      <c r="E24" s="174" t="n">
        <v>1000000000</v>
      </c>
      <c r="F24" s="175" t="inlineStr">
        <is>
          <t>Kârlılık köprüsünde stok artışı hesabı.</t>
        </is>
      </c>
      <c r="G24" s="124" t="inlineStr">
        <is>
          <t>Kullanıcı</t>
        </is>
      </c>
      <c r="H24" s="176" t="n">
        <v>46023</v>
      </c>
      <c r="I24" s="176" t="n">
        <v>46240</v>
      </c>
    </row>
    <row r="25" ht="24" customHeight="1" s="80">
      <c r="A25" s="172" t="inlineStr">
        <is>
          <t>Yuvarlama Toleransı</t>
        </is>
      </c>
      <c r="B25" s="132" t="n">
        <v>1000</v>
      </c>
      <c r="C25" s="124" t="inlineStr">
        <is>
          <t>TL</t>
        </is>
      </c>
      <c r="D25" s="174" t="n">
        <v>0</v>
      </c>
      <c r="E25" s="174" t="n">
        <v>100000</v>
      </c>
      <c r="F25" s="175" t="inlineStr">
        <is>
          <t>Köprü çapraz kontrolünde izin verilen fark.</t>
        </is>
      </c>
      <c r="G25" s="124" t="inlineStr">
        <is>
          <t>Kullanıcı</t>
        </is>
      </c>
      <c r="H25" s="176" t="n">
        <v>46023</v>
      </c>
      <c r="I25" s="176" t="n">
        <v>46240</v>
      </c>
    </row>
    <row r="26" ht="24" customHeight="1" s="80">
      <c r="A26" s="172" t="inlineStr">
        <is>
          <t>Hata Ağırlığı</t>
        </is>
      </c>
      <c r="B26" s="178" t="n">
        <v>5</v>
      </c>
      <c r="C26" s="124" t="inlineStr">
        <is>
          <t>Skor</t>
        </is>
      </c>
      <c r="D26" s="174" t="n">
        <v>0</v>
      </c>
      <c r="E26" s="174" t="n">
        <v>100</v>
      </c>
      <c r="F26" s="175" t="inlineStr">
        <is>
          <t>Veri Kalite Skoru'ndan her hata için düşülen puan.</t>
        </is>
      </c>
      <c r="G26" s="124" t="inlineStr">
        <is>
          <t>Varsayım</t>
        </is>
      </c>
      <c r="H26" s="176" t="n">
        <v>46023</v>
      </c>
      <c r="I26" s="176" t="n">
        <v>46240</v>
      </c>
    </row>
    <row r="27" ht="24" customHeight="1" s="80">
      <c r="A27" s="172" t="inlineStr">
        <is>
          <t>Uyarı Ağırlığı</t>
        </is>
      </c>
      <c r="B27" s="178" t="n">
        <v>10</v>
      </c>
      <c r="C27" s="124" t="inlineStr">
        <is>
          <t>Skor</t>
        </is>
      </c>
      <c r="D27" s="174" t="n">
        <v>0</v>
      </c>
      <c r="E27" s="174" t="n">
        <v>100</v>
      </c>
      <c r="F27" s="175" t="inlineStr">
        <is>
          <t>Veri Kalite Skoru'ndan her uyarı için düşülen puan.</t>
        </is>
      </c>
      <c r="G27" s="124" t="inlineStr">
        <is>
          <t>Varsayım</t>
        </is>
      </c>
      <c r="H27" s="176" t="n">
        <v>46023</v>
      </c>
      <c r="I27" s="176" t="n">
        <v>46240</v>
      </c>
    </row>
    <row r="28" ht="24" customHeight="1" s="80">
      <c r="A28" s="172" t="inlineStr">
        <is>
          <t>Veri Kalite Yüksek Eşiği</t>
        </is>
      </c>
      <c r="B28" s="178" t="n">
        <v>80</v>
      </c>
      <c r="C28" s="124" t="inlineStr">
        <is>
          <t>Skor</t>
        </is>
      </c>
      <c r="D28" s="174" t="n">
        <v>0</v>
      </c>
      <c r="E28" s="174" t="n">
        <v>100</v>
      </c>
      <c r="F28" s="175" t="inlineStr">
        <is>
          <t>Skor bu değerin üzerindeyse güven düzeyi YÜKSEK olur.</t>
        </is>
      </c>
      <c r="G28" s="124" t="inlineStr">
        <is>
          <t>Varsayım</t>
        </is>
      </c>
      <c r="H28" s="176" t="n">
        <v>46023</v>
      </c>
      <c r="I28" s="176" t="n">
        <v>46240</v>
      </c>
    </row>
    <row r="29" ht="24" customHeight="1" s="80">
      <c r="A29" s="172" t="inlineStr">
        <is>
          <t>Veri Kalite Orta Eşiği</t>
        </is>
      </c>
      <c r="B29" s="178" t="n">
        <v>50</v>
      </c>
      <c r="C29" s="124" t="inlineStr">
        <is>
          <t>Skor</t>
        </is>
      </c>
      <c r="D29" s="174" t="n">
        <v>0</v>
      </c>
      <c r="E29" s="174" t="n">
        <v>100</v>
      </c>
      <c r="F29" s="175" t="inlineStr">
        <is>
          <t>Skor bu değerin üzerindeyse güven düzeyi ORTA olur.</t>
        </is>
      </c>
      <c r="G29" s="124" t="inlineStr">
        <is>
          <t>Varsayım</t>
        </is>
      </c>
      <c r="H29" s="176" t="n">
        <v>46023</v>
      </c>
      <c r="I29" s="176" t="n">
        <v>46240</v>
      </c>
    </row>
    <row r="30" ht="24" customHeight="1" s="80">
      <c r="A30" s="172" t="inlineStr">
        <is>
          <t>Standart Termin</t>
        </is>
      </c>
      <c r="B30" s="178" t="n">
        <v>15</v>
      </c>
      <c r="C30" s="124" t="inlineStr">
        <is>
          <t>Gün</t>
        </is>
      </c>
      <c r="D30" s="174" t="n">
        <v>0</v>
      </c>
      <c r="E30" s="174" t="n">
        <v>365</v>
      </c>
      <c r="F30" s="175" t="inlineStr">
        <is>
          <t>KARAR_MOTORU aksiyonları için standart termin (gün).</t>
        </is>
      </c>
      <c r="G30" s="124" t="inlineStr">
        <is>
          <t>Varsayım</t>
        </is>
      </c>
      <c r="H30" s="176" t="n">
        <v>46023</v>
      </c>
      <c r="I30" s="176" t="n">
        <v>46240</v>
      </c>
    </row>
    <row r="31" ht="24" customHeight="1" s="80">
      <c r="A31" s="172" t="inlineStr">
        <is>
          <t>Uzun Termin</t>
        </is>
      </c>
      <c r="B31" s="178" t="n">
        <v>20</v>
      </c>
      <c r="C31" s="124" t="inlineStr">
        <is>
          <t>Gün</t>
        </is>
      </c>
      <c r="D31" s="174" t="n">
        <v>0</v>
      </c>
      <c r="E31" s="174" t="n">
        <v>365</v>
      </c>
      <c r="F31" s="175" t="inlineStr">
        <is>
          <t>Yüksek öncelikli aksiyonlar için uzun termin (gün).</t>
        </is>
      </c>
      <c r="G31" s="124" t="inlineStr">
        <is>
          <t>Varsayım</t>
        </is>
      </c>
      <c r="H31" s="176" t="n">
        <v>46023</v>
      </c>
      <c r="I31" s="176" t="n">
        <v>46240</v>
      </c>
    </row>
    <row r="32" ht="24" customHeight="1" s="80">
      <c r="A32" s="172" t="inlineStr">
        <is>
          <t>Marj Bant Oranı</t>
        </is>
      </c>
      <c r="B32" s="178" t="n">
        <v>10</v>
      </c>
      <c r="C32" s="124" t="inlineStr">
        <is>
          <t>Yüzde</t>
        </is>
      </c>
      <c r="D32" s="174" t="n">
        <v>0</v>
      </c>
      <c r="E32" s="174" t="n">
        <v>100</v>
      </c>
      <c r="F32" s="175" t="inlineStr">
        <is>
          <t>Brüt/faaliyet marjında NORMAL bandı üst sınırı (hedef + bu oran).</t>
        </is>
      </c>
      <c r="G32" s="124" t="inlineStr">
        <is>
          <t>Varsayım</t>
        </is>
      </c>
      <c r="H32" s="176" t="n">
        <v>46023</v>
      </c>
      <c r="I32" s="176" t="n">
        <v>46240</v>
      </c>
    </row>
    <row r="33" ht="24" customHeight="1" s="80">
      <c r="A33" s="172" t="inlineStr">
        <is>
          <t>Nakit/Kâr Asgari Oranı</t>
        </is>
      </c>
      <c r="B33" s="178" t="n">
        <v>50</v>
      </c>
      <c r="C33" s="124" t="inlineStr">
        <is>
          <t>Yüzde</t>
        </is>
      </c>
      <c r="D33" s="174" t="n">
        <v>0</v>
      </c>
      <c r="E33" s="174" t="n">
        <v>100</v>
      </c>
      <c r="F33" s="175" t="inlineStr">
        <is>
          <t>Kârın bu oranının altında nakde dönüşmesi RİSKLİ sayılır.</t>
        </is>
      </c>
      <c r="G33" s="124" t="inlineStr">
        <is>
          <t>Varsayım</t>
        </is>
      </c>
      <c r="H33" s="176" t="n">
        <v>46023</v>
      </c>
      <c r="I33" s="176" t="n">
        <v>46240</v>
      </c>
    </row>
    <row r="34" ht="24" customHeight="1" s="80">
      <c r="A34" s="172" t="inlineStr">
        <is>
          <t>Olağandışı Gelir Eşiği</t>
        </is>
      </c>
      <c r="B34" s="178" t="n">
        <v>20</v>
      </c>
      <c r="C34" s="124" t="inlineStr">
        <is>
          <t>Yüzde</t>
        </is>
      </c>
      <c r="D34" s="174" t="n">
        <v>0</v>
      </c>
      <c r="E34" s="174" t="n">
        <v>100</v>
      </c>
      <c r="F34" s="175" t="inlineStr">
        <is>
          <t>Olağandışı net gelirin net sonuca oranı eşiği.</t>
        </is>
      </c>
      <c r="G34" s="124" t="inlineStr">
        <is>
          <t>Varsayım</t>
        </is>
      </c>
      <c r="H34" s="176" t="n">
        <v>46023</v>
      </c>
      <c r="I34" s="176" t="n">
        <v>46240</v>
      </c>
    </row>
    <row r="36" ht="24" customHeight="1" s="80">
      <c r="A36" s="172" t="inlineStr">
        <is>
          <t>Kaynak URL</t>
        </is>
      </c>
      <c r="B36" s="173" t="inlineStr">
        <is>
          <t>https://excelarsiv.com</t>
        </is>
      </c>
      <c r="C36" s="124" t="inlineStr">
        <is>
          <t>Metin</t>
        </is>
      </c>
      <c r="D36" s="174" t="n"/>
      <c r="E36" s="174" t="n"/>
      <c r="F36" s="175" t="inlineStr">
        <is>
          <t>Ürün ve destek adresi.</t>
        </is>
      </c>
      <c r="G36" s="124" t="inlineStr">
        <is>
          <t>Kullanıcı</t>
        </is>
      </c>
      <c r="H36" s="176" t="n">
        <v>46023</v>
      </c>
      <c r="I36" s="176" t="n">
        <v>46240</v>
      </c>
    </row>
    <row r="38" ht="24" customHeight="1" s="80">
      <c r="A38" s="172" t="inlineStr">
        <is>
          <t>Kaynak Tarihi</t>
        </is>
      </c>
      <c r="B38" s="177" t="n">
        <v>46240</v>
      </c>
      <c r="C38" s="124" t="inlineStr">
        <is>
          <t>Tarih</t>
        </is>
      </c>
      <c r="D38" s="174" t="n"/>
      <c r="E38" s="174" t="n"/>
      <c r="F38" s="175" t="inlineStr">
        <is>
          <t>Parametrelerin son doğrulandığı tarih.</t>
        </is>
      </c>
      <c r="G38" s="124" t="inlineStr">
        <is>
          <t>Kullanıcı</t>
        </is>
      </c>
      <c r="H38" s="176" t="n">
        <v>46023</v>
      </c>
      <c r="I38" s="176" t="n">
        <v>46240</v>
      </c>
    </row>
    <row r="39" ht="24" customHeight="1" s="80">
      <c r="A39" s="172" t="inlineStr">
        <is>
          <t>Rapor Hazırlayan</t>
        </is>
      </c>
      <c r="B39" s="173" t="inlineStr">
        <is>
          <t>Finans Yöneticisi</t>
        </is>
      </c>
      <c r="C39" s="124" t="inlineStr">
        <is>
          <t>Metin</t>
        </is>
      </c>
      <c r="D39" s="174" t="n"/>
      <c r="E39" s="174" t="n"/>
      <c r="F39" s="175" t="inlineStr">
        <is>
          <t>Raporu hazırlayan kişi/rol.</t>
        </is>
      </c>
      <c r="G39" s="124" t="inlineStr">
        <is>
          <t>Kullanıcı</t>
        </is>
      </c>
      <c r="H39" s="176" t="n">
        <v>46023</v>
      </c>
      <c r="I39" s="176" t="n">
        <v>46240</v>
      </c>
    </row>
    <row r="40" ht="15" customHeight="1" s="80">
      <c r="B40" s="127" t="inlineStr">
        <is>
          <t>VARSAYIM AÇIKLAMALARI</t>
        </is>
      </c>
    </row>
    <row r="41" ht="60" customHeight="1" s="80">
      <c r="B41" s="123" t="inlineStr">
        <is>
          <t>Tüm oranlar ve eşikler kullanıcı tarafından değiştirilebilir varsayımlardır. Mevzuat, vergi, SGK ve faiz oranları sabitlenmemiştir; güncel değerlerle güncellenmelidir. Karar motoru eşikleri bu sayfadan beslenir; değişiklikler tüm sayfalara yansır.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41:I41"/>
    <mergeCell ref="A2:AN2"/>
    <mergeCell ref="A1:AN1"/>
    <mergeCell ref="B40:I40"/>
  </mergeCells>
  <dataValidations count="30">
    <dataValidation sqref="B5" showDropDown="0" showInputMessage="1" showErrorMessage="1" allowBlank="0" error="Değer geçersiz; alan açıklamasına uygun bir değer girin." promptTitle="Firma Unvanı" prompt="Rapor ve kapakta görünen firma adı." type="textLength" errorStyle="stop" operator="between">
      <formula1>1</formula1>
      <formula2>200</formula2>
    </dataValidation>
    <dataValidation sqref="B6" showDropDown="0" showInputMessage="1" showErrorMessage="1" allowBlank="0" error="Değer geçersiz; alan açıklamasına uygun bir değer girin." promptTitle="Vergi Numarası" prompt="Rapor başlığında görünen vergi numarası (opsiyonel)." type="textLength" errorStyle="stop" operator="between">
      <formula1>1</formula1>
      <formula2>200</formula2>
    </dataValidation>
    <dataValidation sqref="B7" showDropDown="0" showInputMessage="1" showErrorMessage="1" allowBlank="0" error="Değer geçersiz; alan açıklamasına uygun bir değer girin." promptTitle="Rapor Tarihi" prompt="Tüm hesapların ve kararların alındığı analiz tarihi." type="date" errorStyle="stop" operator="greaterThanOrEqual">
      <formula1>2020-1-1</formula1>
      <formula2>0</formula2>
    </dataValidation>
    <dataValidation sqref="B8" showDropDown="0" showInputMessage="1" showErrorMessage="1" allowBlank="0" error="Değer geçersiz; alan açıklamasına uygun bir değer girin." promptTitle="Para Birimi" prompt="Tüm rapor ve panoda kullanılan para birimi." type="textLength" errorStyle="stop" operator="between">
      <formula1>1</formula1>
      <formula2>200</formula2>
    </dataValidation>
    <dataValidation sqref="B9" showDropDown="0" showInputMessage="1" showErrorMessage="1" allowBlank="0" error="Değer geçersiz; alan açıklamasına uygun bir değer girin." promptTitle="Dosya Sürümü" prompt="Ürün sürüm bilgisi; rapor alt bilgisinde görünür." type="textLength" errorStyle="stop" operator="between">
      <formula1>1</formula1>
      <formula2>200</formula2>
    </dataValidation>
    <dataValidation sqref="B10" showDropDown="0" showInputMessage="1" showErrorMessage="1" allowBlank="0" error="Değer geçersiz; alan açıklamasına uygun bir değer girin." promptTitle="Lisans Kodu" prompt="Ürüne özel lisans izi." type="textLength" errorStyle="stop" operator="between">
      <formula1>1</formula1>
      <formula2>200</formula2>
    </dataValidation>
    <dataValidation sqref="B11" showDropDown="0" showInputMessage="1" showErrorMessage="1" allowBlank="0" error="Değer geçersiz; alan açıklamasına uygun bir değer girin." promptTitle="Rapor Dönemi Başlangıcı" prompt="Günlük özet ve dönemsel raporların başlangıç tarihi." type="date" errorStyle="stop" operator="greaterThanOrEqual">
      <formula1>2020-1-1</formula1>
      <formula2>0</formula2>
    </dataValidation>
    <dataValidation sqref="B12" showDropDown="0" showInputMessage="1" showErrorMessage="1" allowBlank="0" error="Değer geçersiz; alan açıklamasına uygun bir değer girin." promptTitle="Veri Başlangıç Satırı" prompt="Kayıt ID hesabında kullanılan ilk veri satırı." type="textLength" errorStyle="stop" operator="between">
      <formula1>1</formula1>
      <formula2>200</formula2>
    </dataValidation>
    <dataValidation sqref="B14" showDropDown="0" showInputMessage="1" showErrorMessage="1" allowBlank="0" error="Değer geçersiz; alan açıklamasına uygun bir değer girin." promptTitle="Brüt Marj Hedefi" prompt="Brüt marjın altına inilirse KARAR_MOTORU RİSKLİ üretir." type="decimal" errorStyle="stop" operator="between">
      <formula1>0</formula1>
      <formula2>100</formula2>
    </dataValidation>
    <dataValidation sqref="B15" showDropDown="0" showInputMessage="1" showErrorMessage="1" allowBlank="0" error="Değer geçersiz; alan açıklamasına uygun bir değer girin." promptTitle="Faaliyet Marjı Hedefi" prompt="Faaliyet marjı hedefi; sabit gider verimliliğini ölçer." type="decimal" errorStyle="stop" operator="between">
      <formula1>0</formula1>
      <formula2>100</formula2>
    </dataValidation>
    <dataValidation sqref="B16" showDropDown="0" showInputMessage="1" showErrorMessage="1" allowBlank="0" error="Değer geçersiz; alan açıklamasına uygun bir değer girin." promptTitle="Net Kâr Marjı Hedefi" prompt="Net kârlılık hedefi; hedef kâr ciro hesabında kullanılır." type="decimal" errorStyle="stop" operator="between">
      <formula1>0</formula1>
      <formula2>100</formula2>
    </dataValidation>
    <dataValidation sqref="B17" showDropDown="0" showInputMessage="1" showErrorMessage="1" allowBlank="0" error="Değer geçersiz; alan açıklamasına uygun bir değer girin." promptTitle="Nakit Dönüşüm Hedefi" prompt="Nakit/kâr dönüşüm hedefi; kârın nakde dönüşme oranı." type="decimal" errorStyle="stop" operator="between">
      <formula1>0</formula1>
      <formula2>100</formula2>
    </dataValidation>
    <dataValidation sqref="B18" showDropDown="0" showInputMessage="1" showErrorMessage="1" allowBlank="0" error="Değer geçersiz; alan açıklamasına uygun bir değer girin." promptTitle="Finansman Gideri Eşiği" prompt="Finansman giderinin faaliyet kârına oranı eşiği." type="decimal" errorStyle="stop" operator="between">
      <formula1>0</formula1>
      <formula2>100</formula2>
    </dataValidation>
    <dataValidation sqref="B19" showDropDown="0" showInputMessage="1" showErrorMessage="1" allowBlank="0" error="Değer geçersiz; alan açıklamasına uygun bir değer girin." promptTitle="Ortak Çekişi Eşiği" prompt="Ortak çekişinin net kâra oranı üst eşiği." type="decimal" errorStyle="stop" operator="between">
      <formula1>0</formula1>
      <formula2>500</formula2>
    </dataValidation>
    <dataValidation sqref="B20" showDropDown="0" showInputMessage="1" showErrorMessage="1" allowBlank="0" error="Değer geçersiz; alan açıklamasına uygun bir değer girin." promptTitle="Vergi Oranı" prompt="Vergi oranı varsayımı; kullanıcı günceller." type="decimal" errorStyle="stop" operator="between">
      <formula1>0</formula1>
      <formula2>60</formula2>
    </dataValidation>
    <dataValidation sqref="B23" showDropDown="0" showInputMessage="1" showErrorMessage="1" allowBlank="0" error="Değer geçersiz; alan açıklamasına uygun bir değer girin." promptTitle="Dönem Başı Stok" prompt="Kârlılık köprüsünde stok artışı hesabı." type="decimal" errorStyle="stop" operator="between">
      <formula1>0</formula1>
      <formula2>1000000000</formula2>
    </dataValidation>
    <dataValidation sqref="B24" showDropDown="0" showInputMessage="1" showErrorMessage="1" allowBlank="0" error="Değer geçersiz; alan açıklamasına uygun bir değer girin." promptTitle="Dönem Sonu Stok" prompt="Kârlılık köprüsünde stok artışı hesabı." type="decimal" errorStyle="stop" operator="between">
      <formula1>0</formula1>
      <formula2>1000000000</formula2>
    </dataValidation>
    <dataValidation sqref="B25" showDropDown="0" showInputMessage="1" showErrorMessage="1" allowBlank="0" error="Değer geçersiz; alan açıklamasına uygun bir değer girin." promptTitle="Yuvarlama Toleransı" prompt="Köprü çapraz kontrolünde izin verilen fark." type="decimal" errorStyle="stop" operator="between">
      <formula1>0</formula1>
      <formula2>100000</formula2>
    </dataValidation>
    <dataValidation sqref="B26" showDropDown="0" showInputMessage="1" showErrorMessage="1" allowBlank="0" error="Değer geçersiz; alan açıklamasına uygun bir değer girin." promptTitle="Hata Ağırlığı" prompt="Veri Kalite Skoru'ndan her hata için düşülen puan." type="decimal" errorStyle="stop" operator="between">
      <formula1>0</formula1>
      <formula2>100</formula2>
    </dataValidation>
    <dataValidation sqref="B27" showDropDown="0" showInputMessage="1" showErrorMessage="1" allowBlank="0" error="Değer geçersiz; alan açıklamasına uygun bir değer girin." promptTitle="Uyarı Ağırlığı" prompt="Veri Kalite Skoru'ndan her uyarı için düşülen puan." type="decimal" errorStyle="stop" operator="between">
      <formula1>0</formula1>
      <formula2>100</formula2>
    </dataValidation>
    <dataValidation sqref="B28" showDropDown="0" showInputMessage="1" showErrorMessage="1" allowBlank="0" error="Değer geçersiz; alan açıklamasına uygun bir değer girin." promptTitle="Veri Kalite Yüksek Eşiği" prompt="Skor bu değerin üzerindeyse güven düzeyi YÜKSEK olur." type="decimal" errorStyle="stop" operator="between">
      <formula1>0</formula1>
      <formula2>100</formula2>
    </dataValidation>
    <dataValidation sqref="B29" showDropDown="0" showInputMessage="1" showErrorMessage="1" allowBlank="0" error="Değer geçersiz; alan açıklamasına uygun bir değer girin." promptTitle="Veri Kalite Orta Eşiği" prompt="Skor bu değerin üzerindeyse güven düzeyi ORTA olur." type="decimal" errorStyle="stop" operator="between">
      <formula1>0</formula1>
      <formula2>100</formula2>
    </dataValidation>
    <dataValidation sqref="B30" showDropDown="0" showInputMessage="1" showErrorMessage="1" allowBlank="0" error="Değer geçersiz; alan açıklamasına uygun bir değer girin." promptTitle="Standart Termin" prompt="KARAR_MOTORU aksiyonları için standart termin (gün)." type="decimal" errorStyle="stop" operator="between">
      <formula1>0</formula1>
      <formula2>365</formula2>
    </dataValidation>
    <dataValidation sqref="B31" showDropDown="0" showInputMessage="1" showErrorMessage="1" allowBlank="0" error="Değer geçersiz; alan açıklamasına uygun bir değer girin." promptTitle="Uzun Termin" prompt="Yüksek öncelikli aksiyonlar için uzun termin (gün)." type="decimal" errorStyle="stop" operator="between">
      <formula1>0</formula1>
      <formula2>365</formula2>
    </dataValidation>
    <dataValidation sqref="B32" showDropDown="0" showInputMessage="1" showErrorMessage="1" allowBlank="0" error="Değer geçersiz; alan açıklamasına uygun bir değer girin." promptTitle="Marj Bant Oranı" prompt="Brüt/faaliyet marjında NORMAL bandı üst sınırı (hedef + bu oran)." type="decimal" errorStyle="stop" operator="between">
      <formula1>0</formula1>
      <formula2>100</formula2>
    </dataValidation>
    <dataValidation sqref="B33" showDropDown="0" showInputMessage="1" showErrorMessage="1" allowBlank="0" error="Değer geçersiz; alan açıklamasına uygun bir değer girin." promptTitle="Nakit/Kâr Asgari Oranı" prompt="Kârın bu oranının altında nakde dönüşmesi RİSKLİ sayılır." type="decimal" errorStyle="stop" operator="between">
      <formula1>0</formula1>
      <formula2>100</formula2>
    </dataValidation>
    <dataValidation sqref="B34" showDropDown="0" showInputMessage="1" showErrorMessage="1" allowBlank="0" error="Değer geçersiz; alan açıklamasına uygun bir değer girin." promptTitle="Olağandışı Gelir Eşiği" prompt="Olağandışı net gelirin net sonuca oranı eşiği." type="decimal" errorStyle="stop" operator="between">
      <formula1>0</formula1>
      <formula2>100</formula2>
    </dataValidation>
    <dataValidation sqref="B36" showDropDown="0" showInputMessage="1" showErrorMessage="1" allowBlank="0" error="Değer geçersiz; alan açıklamasına uygun bir değer girin." promptTitle="Kaynak URL" prompt="Ürün ve destek adresi." type="textLength" errorStyle="stop" operator="between">
      <formula1>1</formula1>
      <formula2>200</formula2>
    </dataValidation>
    <dataValidation sqref="B38" showDropDown="0" showInputMessage="1" showErrorMessage="1" allowBlank="0" error="Değer geçersiz; alan açıklamasına uygun bir değer girin." promptTitle="Kaynak Tarihi" prompt="Parametrelerin son doğrulandığı tarih." type="date" errorStyle="stop" operator="greaterThanOrEqual">
      <formula1>2020-1-1</formula1>
      <formula2>0</formula2>
    </dataValidation>
    <dataValidation sqref="B39" showDropDown="0" showInputMessage="1" showErrorMessage="1" allowBlank="0" error="Değer geçersiz; alan açıklamasına uygun bir değer girin." promptTitle="Rapor Hazırlayan" prompt="Raporu hazırlayan kişi/rol." type="textLength" errorStyle="stop" operator="between">
      <formula1>1</formula1>
      <formula2>200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06" min="1" max="1"/>
    <col width="15" customWidth="1" style="106" min="2" max="12"/>
  </cols>
  <sheetData>
    <row r="1" ht="25.5" customHeight="1" s="80">
      <c r="A1" s="107" t="inlineStr">
        <is>
          <t>KILAVUZ — GÜNLÜK GELİR–GİDER VE GERÇEK KÂRLILIK SİSTEMİ</t>
        </is>
      </c>
    </row>
    <row r="4" ht="21.75" customHeight="1" s="80">
      <c r="A4" s="179" t="inlineStr">
        <is>
          <t>ÜRÜNÜN AMACI</t>
        </is>
      </c>
    </row>
    <row r="5" ht="48" customHeight="1" s="80">
      <c r="A5" s="121" t="inlineStr">
        <is>
          <t>Günlük gelir ve giderleri tahakkuk ve nakit etkisine göre ayırır; muhasebe kârı ile gerçek nakit kazancı arasındaki farkı gösterir. Kâr varmış gibi görünürken paranın neden azaldığını açıklar.</t>
        </is>
      </c>
    </row>
    <row r="6" ht="21.75" customHeight="1" s="80">
      <c r="A6" s="179" t="inlineStr">
        <is>
          <t>KİMLER İÇİN</t>
        </is>
      </c>
    </row>
    <row r="7" ht="48" customHeight="1" s="80">
      <c r="A7" s="121" t="inlineStr">
        <is>
          <t>KOBİ sahipleri, finans müdürleri, muhasebe birimleri, danışmanlar ve nakit akışını takip etmek isteyen tüm işletme yöneticileri.</t>
        </is>
      </c>
    </row>
    <row r="8" ht="21.75" customHeight="1" s="80">
      <c r="A8" s="179" t="inlineStr">
        <is>
          <t>BEŞ ADIMLI KULLANIM AKIŞI</t>
        </is>
      </c>
    </row>
    <row r="9" ht="48" customHeight="1" s="80">
      <c r="A9" s="121" t="inlineStr">
        <is>
          <t>1) AYARLAR sayfasında firma bilgileri, eşikler ve dönem başı stok değerlerini güncelleyin.
2) HESAP_PLANI sayfasını gözden geçirin (gerekirse genişletin).
3) GELIR_GIDER_KAYIT sayfasına günlük gelir/gider kayıtlarını girin (sarı hücreler).
4) SATIS_MALIYET sayfasına ürün bazında satış/maliyet girin.
5) PANO ve RAPOR sayfalarından kararı inceleyin; RAPOR'u PDF olarak yazdırın.</t>
        </is>
      </c>
    </row>
    <row r="10" ht="21.75" customHeight="1" s="80">
      <c r="A10" s="179" t="inlineStr">
        <is>
          <t>RENK KODLARI</t>
        </is>
      </c>
    </row>
    <row r="11" ht="48" customHeight="1" s="80">
      <c r="A11" s="121" t="inlineStr">
        <is>
          <t>Açık sarı zemin + mavi yazı = manuel veri girişi.
Yeşil yazı = formül, başka sayfadan veri çeker (elle düzenlemeyin).
Kırmızı = kritik risk / hata. Turuncu = riskli. Sarı = izleme. Yeşil = normal.
Koyu lacivert bant = sayfa başlığı.</t>
        </is>
      </c>
    </row>
    <row r="12" ht="21.75" customHeight="1" s="80">
      <c r="A12" s="179" t="inlineStr">
        <is>
          <t>VERİ GİRİŞ SIKLIĞI</t>
        </is>
      </c>
    </row>
    <row r="13" ht="48" customHeight="1" s="80">
      <c r="A13" s="121" t="inlineStr">
        <is>
          <t>Gelir/gider kayıtları günlük, ürün maliyetleri aylık, eşik değerleri aylık gözden geçirilmelidir.</t>
        </is>
      </c>
    </row>
    <row r="14" ht="21.75" customHeight="1" s="80">
      <c r="A14" s="179" t="inlineStr">
        <is>
          <t>DÖNEM KAPATMA</t>
        </is>
      </c>
    </row>
    <row r="15" ht="48" customHeight="1" s="80">
      <c r="A15" s="121" t="inlineStr">
        <is>
          <t>AYARLAR sayfasındaki Rapor Tarihi dönemin son gününe getirilir; Nakit Gerçekleşti bilgileri güncellenmeden dönem kapatılmaz.</t>
        </is>
      </c>
    </row>
    <row r="16" ht="21.75" customHeight="1" s="80">
      <c r="A16" s="179" t="inlineStr">
        <is>
          <t>DEMO VERİ KULLANIMI</t>
        </is>
      </c>
    </row>
    <row r="17" ht="48" customHeight="1" s="80">
      <c r="A17" s="121" t="inlineStr">
        <is>
          <t>Çalışma kitabı örnek KOBİ verisiyle dolu gelir; PANO ve RAPOR ilk açılışta sonuç gösterir. Kendi verinize geçmek için sarı giriş hücrelerini temizleyin. ORNEK_VERI (gizli) sayfası yedek kayıttır.</t>
        </is>
      </c>
    </row>
    <row r="18" ht="21.75" customHeight="1" s="80">
      <c r="A18" s="179" t="inlineStr">
        <is>
          <t>MODELİN SINIRLARI</t>
        </is>
      </c>
    </row>
    <row r="19" ht="48" customHeight="1" s="80">
      <c r="A19" s="121" t="inlineStr">
        <is>
          <t>Model, girilen verinin kalitesi kadar doğrudur. Risk ağırlıkları ve eşikler varsayımdır; AYARLAR'dan değiştirilebilir. Vergi ve faiz oranları kullanıcı tarafından güncellenmelidir.</t>
        </is>
      </c>
    </row>
    <row r="20" ht="21.75" customHeight="1" s="80">
      <c r="A20" s="179" t="inlineStr">
        <is>
          <t>YASAL SORUMLULUK UYARISI</t>
        </is>
      </c>
    </row>
    <row r="21" ht="48" customHeight="1" s="80">
      <c r="A21" s="121" t="inlineStr">
        <is>
          <t>Bu çalışma kitabı karar destek aracıdır; kesin kredi onayı, hukuki sonuç veya vergi doğruluğu garantisi vermez. Profesyonel muhakeme ile birlikte kullanınız.</t>
        </is>
      </c>
    </row>
    <row r="22" ht="21.75" customHeight="1" s="80">
      <c r="A22" s="179" t="inlineStr">
        <is>
          <t>SÜRÜM VE GÜNCELLEME</t>
        </is>
      </c>
    </row>
    <row r="23" ht="48" customHeight="1" s="80">
      <c r="A23" s="121" t="inlineStr">
        <is>
          <t>Sürüm: 1.0 | Güncelleme tarihi: 06.08.2026 | Üretici: ExcelArşiv.com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1">
    <mergeCell ref="A16:L16"/>
    <mergeCell ref="A7:L7"/>
    <mergeCell ref="A18:L18"/>
    <mergeCell ref="A21:L21"/>
    <mergeCell ref="A12:L12"/>
    <mergeCell ref="A5:L5"/>
    <mergeCell ref="A23:L23"/>
    <mergeCell ref="A8:L8"/>
    <mergeCell ref="A14:L14"/>
    <mergeCell ref="A22:L22"/>
    <mergeCell ref="A17:L17"/>
    <mergeCell ref="A4:L4"/>
    <mergeCell ref="A20:L20"/>
    <mergeCell ref="A10:L10"/>
    <mergeCell ref="A19:L19"/>
    <mergeCell ref="A13:L13"/>
    <mergeCell ref="A9:L9"/>
    <mergeCell ref="A1:AN1"/>
    <mergeCell ref="A15:L15"/>
    <mergeCell ref="A11:L11"/>
    <mergeCell ref="A6:L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2026-08-10T09:56:35Z</dcterms:created>
  <dcterms:modified xmlns:dcterms="http://purl.org/dc/terms/" xmlns:xsi="http://www.w3.org/2001/XMLSchema-instance" xsi:type="dcterms:W3CDTF">2026-09-25T14:12:32Z</dcterms:modified>
  <cp:revision>0</cp:revision>
</cp:coreProperties>
</file>