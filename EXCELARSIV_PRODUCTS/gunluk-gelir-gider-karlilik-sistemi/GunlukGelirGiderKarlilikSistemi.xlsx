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4.xml" ContentType="application/vnd.openxmlformats-officedocument.spreadsheetml.comments+xml"/>
  <Override PartName="/xl/worksheets/sheet27.xml" ContentType="application/vnd.openxmlformats-officedocument.spreadsheetml.worksheet+xml"/>
  <Override PartName="/xl/comments/comment5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HESAP_PLANI" sheetId="10" state="visible" r:id="rId10"/>
    <sheet xmlns:r="http://schemas.openxmlformats.org/officeDocument/2006/relationships" name="GELIR_GIDER_KAYIT" sheetId="11" state="visible" r:id="rId11"/>
    <sheet xmlns:r="http://schemas.openxmlformats.org/officeDocument/2006/relationships" name="SATIS_MALIYET" sheetId="12" state="visible" r:id="rId12"/>
    <sheet xmlns:r="http://schemas.openxmlformats.org/officeDocument/2006/relationships" name="TAHAKKUK_NAKIT_ESLEME" sheetId="13" state="visible" r:id="rId13"/>
    <sheet xmlns:r="http://schemas.openxmlformats.org/officeDocument/2006/relationships" name="GUNLUK_OZET" sheetId="14" state="visible" r:id="rId14"/>
    <sheet xmlns:r="http://schemas.openxmlformats.org/officeDocument/2006/relationships" name="AYLIK_KARLILIK" sheetId="15" state="visible" r:id="rId15"/>
    <sheet xmlns:r="http://schemas.openxmlformats.org/officeDocument/2006/relationships" name="BASABAS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NAHTAR" sheetId="22" state="visible" r:id="rId22"/>
    <sheet xmlns:r="http://schemas.openxmlformats.org/officeDocument/2006/relationships" name="ESLESTIRME" sheetId="23" state="visible" r:id="rId23"/>
    <sheet xmlns:r="http://schemas.openxmlformats.org/officeDocument/2006/relationships" name="KOK_NEDEN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13">'GUNLUK_OZET'!$A$1:$F$105</definedName>
    <definedName name="_xlnm.Print_Area" localSheetId="18">'RAPOR'!$A$1:$K$57</definedName>
    <definedName name="_xlnm.Print_Area" localSheetId="27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  <numFmt numFmtId="171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2" borderId="0" applyAlignment="1" pivotButton="0" quotePrefix="0" xfId="0">
      <alignment horizontal="left" vertical="center" wrapText="1"/>
    </xf>
    <xf numFmtId="0" fontId="83" fillId="23" borderId="0" applyAlignment="1" pivotButton="0" quotePrefix="0" xfId="0">
      <alignment vertical="center" wrapText="1"/>
    </xf>
    <xf numFmtId="0" fontId="84" fillId="24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2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2" fillId="27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9" fillId="26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9" borderId="0" applyAlignment="1" pivotButton="0" quotePrefix="0" xfId="0">
      <alignment horizontal="left" vertical="center"/>
    </xf>
    <xf numFmtId="0" fontId="83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31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3" fillId="31" borderId="0" applyAlignment="1" pivotButton="0" quotePrefix="0" xfId="0">
      <alignment vertical="top" wrapText="1"/>
    </xf>
    <xf numFmtId="0" fontId="82" fillId="33" borderId="0" applyAlignment="1" pivotButton="0" quotePrefix="0" xfId="0">
      <alignment horizontal="left" vertical="center"/>
    </xf>
    <xf numFmtId="0" fontId="83" fillId="33" borderId="0" applyAlignment="1" pivotButton="0" quotePrefix="0" xfId="0">
      <alignment vertical="center" wrapText="1"/>
    </xf>
    <xf numFmtId="0" fontId="94" fillId="3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70" fontId="34" fillId="0" borderId="2" pivotButton="0" quotePrefix="0" xfId="0"/>
    <xf numFmtId="170" fontId="55" fillId="0" borderId="3" pivotButton="0" quotePrefix="0" xfId="0"/>
    <xf numFmtId="170" fontId="58" fillId="0" borderId="1" pivotButton="0" quotePrefix="0" xfId="0"/>
    <xf numFmtId="170" fontId="59" fillId="0" borderId="1" pivotButton="0" quotePrefix="0" xfId="0"/>
    <xf numFmtId="170" fontId="62" fillId="8" borderId="0" pivotButton="0" quotePrefix="0" xfId="0"/>
    <xf numFmtId="170" fontId="63" fillId="8" borderId="0" pivotButton="0" quotePrefix="0" xfId="0"/>
    <xf numFmtId="170" fontId="81" fillId="10" borderId="1" applyAlignment="1" pivotButton="0" quotePrefix="0" xfId="0">
      <alignment horizontal="right"/>
    </xf>
    <xf numFmtId="170" fontId="51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171" fontId="78" fillId="0" borderId="1" applyAlignment="1" pivotButton="0" quotePrefix="0" xfId="0">
      <alignment horizontal="right"/>
    </xf>
    <xf numFmtId="0" fontId="96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6" borderId="0" applyAlignment="1" pivotButton="0" quotePrefix="0" xfId="0">
      <alignment horizontal="left" vertical="center"/>
    </xf>
    <xf numFmtId="0" fontId="97" fillId="2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EXCELARŞİV KARAR SİSTEMİ v15.1 — ÜRETİM REFERANSI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58" t="inlineStr">
        <is>
          <t>Konu</t>
        </is>
      </c>
      <c r="B3" s="258" t="inlineStr">
        <is>
          <t>Bağlayıcı Standart</t>
        </is>
      </c>
    </row>
    <row r="4">
      <c r="A4" s="259" t="inlineStr">
        <is>
          <t>Amaç</t>
        </is>
      </c>
      <c r="B4" s="260" t="inlineStr">
        <is>
          <t>Kanıta dayalı, hatada kapalı çalışan Excel üretim ve denetim sistemi</t>
        </is>
      </c>
    </row>
    <row r="5">
      <c r="A5" s="259" t="inlineStr">
        <is>
          <t>Öncelik</t>
        </is>
      </c>
      <c r="B5" s="260" t="inlineStr">
        <is>
          <t>Kullanıcının açık iş talebi ve gerçek kullanım senaryosu</t>
        </is>
      </c>
    </row>
    <row r="6">
      <c r="A6" s="259" t="inlineStr">
        <is>
          <t>Ana akış</t>
        </is>
      </c>
      <c r="B6" s="260" t="inlineStr">
        <is>
          <t>Uygunluk → Yönetişim → Sözleşmeler → Üretim → Test → Kanıt → Kullanıcı Kabulü → Yayın</t>
        </is>
      </c>
    </row>
    <row r="7">
      <c r="A7" s="259" t="inlineStr">
        <is>
          <t>Yayın ilkesi</t>
        </is>
      </c>
      <c r="B7" s="260" t="inlineStr">
        <is>
          <t>Üst aşamada hata varsa alt aşama GEÇTİ üretilemez</t>
        </is>
      </c>
    </row>
    <row r="8">
      <c r="A8" s="259" t="inlineStr">
        <is>
          <t>Kullanıcı kabulü</t>
        </is>
      </c>
      <c r="B8" s="260" t="inlineStr">
        <is>
          <t>Excel masaüstü görünümü test edilmediyse DIŞ_KABUL_GEREKLİ</t>
        </is>
      </c>
    </row>
    <row r="9">
      <c r="A9" s="259" t="inlineStr">
        <is>
          <t>Nihai yayın</t>
        </is>
      </c>
      <c r="B9" s="260" t="inlineStr">
        <is>
          <t>Yalnız uygulanabilir modüller GEÇTİ veya gerekçeli UYGULANMAZ</t>
        </is>
      </c>
    </row>
    <row r="10">
      <c r="A10" s="259" t="inlineStr">
        <is>
          <t>Ticari ayrım</t>
        </is>
      </c>
      <c r="B10" s="260" t="inlineStr">
        <is>
          <t>Ekonomik olarak savunulabilir fiyat, gerçek pazar kabulü ile aynı değildir</t>
        </is>
      </c>
    </row>
    <row r="11">
      <c r="A11" s="259" t="inlineStr">
        <is>
          <t>Karmaşıklık</t>
        </is>
      </c>
      <c r="B11" s="260" t="inlineStr">
        <is>
          <t>Karar değeri, eklenen karmaşıklığın maliyetinden büyük olmalıdır</t>
        </is>
      </c>
    </row>
    <row r="12">
      <c r="A12" s="259" t="inlineStr">
        <is>
          <t>Excel sınırı</t>
        </is>
      </c>
      <c r="B12" s="260" t="inlineStr">
        <is>
          <t>Veritabanı, kurumsal yetkilendirme, değiştirilemez kayıt sistemi veya gerçek zamanlı olay platformu değildir</t>
        </is>
      </c>
    </row>
    <row r="13">
      <c r="A13" s="259" t="inlineStr">
        <is>
          <t>Dil standardı</t>
        </is>
      </c>
      <c r="B13" s="260" t="inlineStr">
        <is>
          <t>Kullanıcıya görünen tüm sayfa, tablo, başlık, açıklama, uyarı ve karar metinleri saf Türkçe olmalıdır</t>
        </is>
      </c>
    </row>
    <row r="14">
      <c r="A14" s="259" t="inlineStr">
        <is>
          <t>Muhasebe standardı</t>
        </is>
      </c>
      <c r="B14" s="260" t="inlineStr">
        <is>
          <t>Finansal ürünlerde Türkiye Tekdüzen Hesap Planı ve Türk muhasebe kullanım alışkanlıkları esas alınır</t>
        </is>
      </c>
    </row>
    <row r="15">
      <c r="A15" s="259" t="inlineStr">
        <is>
          <t>Görsel standart</t>
        </is>
      </c>
      <c r="B15" s="260" t="inlineStr">
        <is>
          <t>Her sayfa başlıklı, renk kodlu, sıkı kolon düzenli ve premium kurumsal görünümde olmalıdır</t>
        </is>
      </c>
    </row>
    <row r="16">
      <c r="A16" s="259" t="inlineStr">
        <is>
          <t>Grafik standardı</t>
        </is>
      </c>
      <c r="B16" s="260" t="inlineStr">
        <is>
          <t>Grafikler karar üretmeli; dekoratif, 3B, anlamsız renkli veya varsayılan Excel grafiği kullanılamaz</t>
        </is>
      </c>
    </row>
    <row r="17">
      <c r="A17" s="259" t="inlineStr">
        <is>
          <t>Hata standardı</t>
        </is>
      </c>
      <c r="B17" s="260" t="inlineStr">
        <is>
          <t>#AD? / #BAŞV! / #DEĞER! / #SAYI/0! / #YOK gibi hatalar GEÇTİ sonucuyla birlikte bulunamaz</t>
        </is>
      </c>
    </row>
    <row r="18">
      <c r="A18" s="259" t="inlineStr">
        <is>
          <t>Karar standardı</t>
        </is>
      </c>
      <c r="B18" s="260" t="inlineStr">
        <is>
          <t>Her kritik çıktı: ne oldu, neden oldu, parasal etki, ne yapılmalı, ne zamana kadar sorularını cevaplar</t>
        </is>
      </c>
    </row>
    <row r="19">
      <c r="A19" s="259" t="inlineStr">
        <is>
          <t>Satış standardı</t>
        </is>
      </c>
      <c r="B19" s="260" t="inlineStr">
        <is>
          <t>Ürün 5 saniyede anlaşılmalı; pahalı problemi, ekonomik sonucu, kanıtı ve satın alma gerekçesini göstermelidir</t>
        </is>
      </c>
    </row>
    <row r="20">
      <c r="A20" s="259" t="inlineStr">
        <is>
          <t>Güven standardı</t>
        </is>
      </c>
      <c r="B20" s="260" t="inlineStr">
        <is>
          <t>Kanıtsız 'premium', 'kusursuz', 'sıfır hata' veya yüksek fiyat iddiası kullanılamaz</t>
        </is>
      </c>
    </row>
    <row r="21">
      <c r="A21" s="259" t="inlineStr">
        <is>
          <t>Kaynak</t>
        </is>
      </c>
      <c r="B21" s="260" t="inlineStr">
        <is>
          <t>Teknik Python çekirdeği 99_TEKNIK_KAYNAK sayfasında saklanır; kullanıcı arayüzü değildir</t>
        </is>
      </c>
    </row>
    <row r="22">
      <c r="A22" s="259" t="inlineStr">
        <is>
          <t>Bağlayıcı standart</t>
        </is>
      </c>
      <c r="B22" s="260" t="inlineStr">
        <is>
          <t>Teknik kaynak içindeki üretim sözleşmesi + bu çalışma kitabındaki Türkçe operasyon standartları</t>
        </is>
      </c>
    </row>
    <row r="23">
      <c r="A23" s="259" t="inlineStr">
        <is>
          <t>Çıktı disiplini</t>
        </is>
      </c>
      <c r="B23" s="260" t="inlineStr">
        <is>
          <t>Kanıtsız GEÇTİ / NİHAİ / TİCARİ / PAZAR_DOĞRULANDI statüsü yasaktır</t>
        </is>
      </c>
    </row>
    <row r="24">
      <c r="A24" s="259" t="inlineStr">
        <is>
          <t>Uyarlanabilirlik</t>
        </is>
      </c>
      <c r="B24" s="260" t="inlineStr">
        <is>
          <t>Gereksiz modül yalnız prestij amacıyla eklenmez</t>
        </is>
      </c>
    </row>
    <row r="25"/>
    <row r="26" ht="16" customHeight="1" s="80">
      <c r="A26" s="261" t="inlineStr">
        <is>
          <t>TEK KAYNAK MİMARİSİ</t>
        </is>
      </c>
      <c r="B26" s="261" t="inlineStr">
        <is>
          <t>İKİ DOSYALI / TEK SİSTEM</t>
        </is>
      </c>
    </row>
    <row r="27" ht="28" customHeight="1" s="80">
      <c r="A27" s="260" t="inlineStr">
        <is>
          <t>MASTER Excel</t>
        </is>
      </c>
      <c r="B27" s="26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60" t="inlineStr">
        <is>
          <t>Runtime Python</t>
        </is>
      </c>
      <c r="B28" s="260" t="inlineStr">
        <is>
          <t>EXCELARSIV_DECISION_OS_V15_1_RUNTIME_KERNEL.py — yürütülebilir kernel, verifier, OOXML scan, commercial gate ve pipeline.</t>
        </is>
      </c>
    </row>
    <row r="29">
      <c r="A29" s="260" t="inlineStr">
        <is>
          <t>Python SHA-256</t>
        </is>
      </c>
      <c r="B29" s="260" t="inlineStr">
        <is>
          <t>babe066ab599199123e53d01944bcd9d75648a579ade69ab9303dd675962f481</t>
        </is>
      </c>
    </row>
    <row r="30">
      <c r="A30" s="260" t="inlineStr">
        <is>
          <t>Sürüm Eşleşmesi</t>
        </is>
      </c>
      <c r="B30" s="260" t="inlineStr">
        <is>
          <t>Her iki dosya v15.1 sistemine aittir. Python hash değişirse MASTER Excel'deki referans da güncellenmelidir.</t>
        </is>
      </c>
    </row>
    <row r="31" ht="28" customHeight="1" s="80">
      <c r="A31" s="260" t="inlineStr">
        <is>
          <t>Sahte PASS Yasağı</t>
        </is>
      </c>
      <c r="B31" s="260" t="inlineStr">
        <is>
          <t>Kanıt yoksa PASS yok; hata=FAIL, ölçülemiyorsa=BLOCKED, Excel GUI gerekiyorsa=HARİCİ KABUL GEREKLİ.</t>
        </is>
      </c>
    </row>
    <row r="32">
      <c r="A32" s="260" t="inlineStr">
        <is>
          <t>Dil</t>
        </is>
      </c>
      <c r="B32" s="260" t="inlineStr">
        <is>
          <t>Kullanıcı yüzeyi safkan Türkçe; teknik kavramların Türkçe karşılığı ana terimdir.</t>
        </is>
      </c>
    </row>
    <row r="33">
      <c r="A33" s="260" t="inlineStr">
        <is>
          <t>Muhasebe</t>
        </is>
      </c>
      <c r="B33" s="26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80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80" t="inlineStr">
        <is>
          <t>GÜNLÜK GELIR-GIDER VE GERÇEK KÂRLILIK SISTEMI</t>
        </is>
      </c>
      <c r="L2" s="181" t="inlineStr">
        <is>
          <t>Dönem: 2026 / Tam ▼</t>
        </is>
      </c>
      <c r="M2" s="182" t="inlineStr">
        <is>
          <t>★ DOĞRULANMIŞ</t>
        </is>
      </c>
    </row>
    <row r="3">
      <c r="B3" s="183" t="inlineStr">
        <is>
          <t>Hedef Kullanıcı: Kobi sahipleri, finans yöneticileri, muhasebe sorumluları, operasyon yöneticileri · 2026 Q3 Denetim Standardı</t>
        </is>
      </c>
    </row>
    <row r="4"/>
    <row r="5">
      <c r="B5" s="184" t="inlineStr">
        <is>
          <t>TOPLAM İŞLEM HACMİ</t>
        </is>
      </c>
      <c r="C5" s="185" t="n"/>
      <c r="D5" s="186" t="inlineStr">
        <is>
          <t>KONSOLİDE</t>
        </is>
      </c>
      <c r="E5" s="187" t="inlineStr">
        <is>
          <t>OPERASYONEL MALİYET</t>
        </is>
      </c>
      <c r="F5" s="185" t="n"/>
      <c r="G5" s="188" t="inlineStr">
        <is>
          <t>KONTROL</t>
        </is>
      </c>
      <c r="H5" s="184" t="inlineStr">
        <is>
          <t>NET OPERASYONEL MARJ</t>
        </is>
      </c>
      <c r="I5" s="185" t="n"/>
      <c r="J5" s="189" t="inlineStr">
        <is>
          <t>GÜVENLİ</t>
        </is>
      </c>
      <c r="K5" s="190" t="inlineStr">
        <is>
          <t>SİSTEM GÜVEN SKORU</t>
        </is>
      </c>
      <c r="L5" s="185" t="n"/>
      <c r="M5" s="186" t="inlineStr">
        <is>
          <t>DENETLENDİ</t>
        </is>
      </c>
    </row>
    <row r="6">
      <c r="B6" s="191" t="n"/>
      <c r="C6" s="185" t="n"/>
      <c r="D6" s="185" t="n"/>
      <c r="E6" s="192" t="n"/>
      <c r="F6" s="185" t="n"/>
      <c r="G6" s="185" t="n"/>
      <c r="H6" s="191" t="n"/>
      <c r="I6" s="185" t="n"/>
      <c r="J6" s="185" t="n"/>
      <c r="K6" s="193" t="n"/>
      <c r="L6" s="185" t="n"/>
      <c r="M6" s="185" t="n"/>
    </row>
    <row r="7">
      <c r="B7" s="281">
        <f>GİRDİLER!E17</f>
        <v/>
      </c>
      <c r="C7" s="185" t="n"/>
      <c r="D7" s="185" t="n"/>
      <c r="E7" s="282">
        <f>B7*0.22</f>
        <v/>
      </c>
      <c r="F7" s="185" t="n"/>
      <c r="G7" s="185" t="n"/>
      <c r="H7" s="281">
        <f>B7-E7</f>
        <v/>
      </c>
      <c r="I7" s="185" t="n"/>
      <c r="J7" s="185" t="n"/>
      <c r="K7" s="196">
        <f>EĞER(E7&gt;0; YUVARLA(B7/E7; 2); 0)</f>
        <v/>
      </c>
      <c r="L7" s="185" t="n"/>
      <c r="M7" s="185" t="n"/>
    </row>
    <row r="8">
      <c r="B8" s="191" t="n"/>
      <c r="C8" s="185" t="n"/>
      <c r="D8" s="185" t="n"/>
      <c r="E8" s="192" t="n"/>
      <c r="F8" s="185" t="n"/>
      <c r="G8" s="185" t="n"/>
      <c r="H8" s="191" t="n"/>
      <c r="I8" s="185" t="n"/>
      <c r="J8" s="185" t="n"/>
      <c r="K8" s="193" t="n"/>
      <c r="L8" s="185" t="n"/>
      <c r="M8" s="185" t="n"/>
    </row>
    <row r="9">
      <c r="B9" s="197" t="inlineStr">
        <is>
          <t>↑ %14.2 konsolide canlı veri bağlantısı</t>
        </is>
      </c>
      <c r="C9" s="185" t="n"/>
      <c r="D9" s="185" t="n"/>
      <c r="E9" s="198" t="inlineStr">
        <is>
          <t>● 8 Kalem nakit karşılığı: bloke</t>
        </is>
      </c>
      <c r="F9" s="185" t="n"/>
      <c r="G9" s="185" t="n"/>
      <c r="H9" s="197" t="inlineStr">
        <is>
          <t>██████████░░░░░ %78.0 NET MARJ</t>
        </is>
      </c>
      <c r="I9" s="185" t="n"/>
      <c r="J9" s="185" t="n"/>
      <c r="K9" s="199" t="inlineStr">
        <is>
          <t>✓ İDEAL karşılama rasyosu</t>
        </is>
      </c>
      <c r="L9" s="185" t="n"/>
      <c r="M9" s="185" t="n"/>
    </row>
    <row r="10"/>
    <row r="11">
      <c r="B11" s="104" t="inlineStr">
        <is>
          <t>GÜNLÜK GELIR-GIDER VE GERÇEK KÂRLILIK SISTEMI — DÖNEMSEL İCRA VE PROJEKSİYON</t>
        </is>
      </c>
      <c r="F11" s="200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1" t="inlineStr">
        <is>
          <t>Dönem</t>
        </is>
      </c>
      <c r="C14" s="201" t="inlineStr">
        <is>
          <t>Aktif Hacim</t>
        </is>
      </c>
      <c r="D14" s="201" t="inlineStr">
        <is>
          <t>Maliyet/Yük</t>
        </is>
      </c>
      <c r="E14" s="201" t="inlineStr">
        <is>
          <t>Hedef</t>
        </is>
      </c>
      <c r="H14" s="202" t="inlineStr">
        <is>
          <t>PARAMETRE / KALEM</t>
        </is>
      </c>
      <c r="I14" s="202" t="inlineStr">
        <is>
          <t>ANA TUTAR</t>
        </is>
      </c>
      <c r="J14" s="202" t="inlineStr">
        <is>
          <t>FARK / MARJ</t>
        </is>
      </c>
      <c r="K14" s="202" t="inlineStr">
        <is>
          <t>VADE</t>
        </is>
      </c>
      <c r="L14" s="202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3" t="inlineStr">
        <is>
          <t>Dönemlik Kümülatif Bakiye</t>
        </is>
      </c>
      <c r="I15" s="283">
        <f>B7*0.45</f>
        <v/>
      </c>
      <c r="J15" s="284">
        <f>B7*0.05</f>
        <v/>
      </c>
      <c r="K15" s="205" t="inlineStr">
        <is>
          <t>12 Ay</t>
        </is>
      </c>
      <c r="L15" s="189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3" t="inlineStr">
        <is>
          <t>Kritik Eşik Güvenlik Tamponu</t>
        </is>
      </c>
      <c r="I16" s="283">
        <f>B7*0.30</f>
        <v/>
      </c>
      <c r="J16" s="284">
        <f>B7*0.03</f>
        <v/>
      </c>
      <c r="K16" s="205" t="inlineStr">
        <is>
          <t>24 Ay</t>
        </is>
      </c>
      <c r="L16" s="186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3" t="inlineStr">
        <is>
          <t>Operasyonel Net Fark</t>
        </is>
      </c>
      <c r="I17" s="283">
        <f>B7*0.15</f>
        <v/>
      </c>
      <c r="J17" s="284">
        <f>B7*0.02</f>
        <v/>
      </c>
      <c r="K17" s="205" t="inlineStr">
        <is>
          <t>8 Ay</t>
        </is>
      </c>
      <c r="L17" s="206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3" t="inlineStr">
        <is>
          <t>Rezerv ve Likit Dağılım</t>
        </is>
      </c>
      <c r="I18" s="283">
        <f>B7*0.10</f>
        <v/>
      </c>
      <c r="J18" s="284">
        <f>B7*0.01</f>
        <v/>
      </c>
      <c r="K18" s="205" t="inlineStr">
        <is>
          <t>16 Ay</t>
        </is>
      </c>
      <c r="L18" s="189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7" t="inlineStr">
        <is>
          <t>KONSOLİDE SİSTEM TOPLAMI</t>
        </is>
      </c>
      <c r="I19" s="285">
        <f>TOPLA(I15:I18)</f>
        <v/>
      </c>
      <c r="J19" s="286">
        <f>TOPLA(J15:J18)</f>
        <v/>
      </c>
      <c r="K19" s="210" t="inlineStr"/>
      <c r="L19" s="211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2" t="inlineStr">
        <is>
          <t>KONSOLİDE PAY VE AĞIRLIK</t>
        </is>
      </c>
      <c r="F22" s="212" t="inlineStr">
        <is>
          <t>LİKİDİTE RİSKİ &amp; ERKEN UYARI SİNYALLERİ</t>
        </is>
      </c>
      <c r="K22" s="213" t="inlineStr">
        <is>
          <t>KARAR MOTORU</t>
        </is>
      </c>
      <c r="L22" s="214" t="n"/>
      <c r="M22" s="214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5" t="inlineStr">
        <is>
          <t>0.00 TL (Sıfır Risk)</t>
        </is>
      </c>
      <c r="K23" s="216" t="inlineStr">
        <is>
          <t>STRATEJİK VERİMLİLİK FIRSATI</t>
        </is>
      </c>
      <c r="L23" s="214" t="n"/>
      <c r="M23" s="214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5" t="inlineStr">
        <is>
          <t>48 Gün Güvenli Eşik</t>
        </is>
      </c>
      <c r="K24" s="217" t="inlineStr">
        <is>
          <t>Operasyonel süreç optimizasyonu ile kârlılık artış potansiyeli tespit edildi.</t>
        </is>
      </c>
    </row>
    <row r="25">
      <c r="B25" s="218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9" t="inlineStr">
        <is>
          <t>■ Rezervler (%13)</t>
        </is>
      </c>
      <c r="F26" s="220" t="inlineStr">
        <is>
          <t>✓ 90 GÜNLÜK PROJEKSİYONDA NAKİT SIKIŞIKLIĞI TESPİT EDİLMEDİ</t>
        </is>
      </c>
      <c r="G26" s="293" t="n"/>
      <c r="H26" s="293" t="n"/>
      <c r="I26" s="294" t="n"/>
      <c r="K26" s="221" t="inlineStr">
        <is>
          <t>STRATEJİ REÇETESİNİ İNCELE &gt;</t>
        </is>
      </c>
    </row>
    <row r="27">
      <c r="F27" s="295" t="n"/>
      <c r="G27" s="296" t="n"/>
      <c r="H27" s="296" t="n"/>
      <c r="I27" s="29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2" t="inlineStr">
        <is>
          <t>🔍  GÜNLÜK GELIR-GIDER VE GERÇEK KÂRLILIK SISTEMI — Kayıt veya hesap ara...</t>
        </is>
      </c>
      <c r="C3" s="298" t="n"/>
      <c r="D3" s="298" t="n"/>
      <c r="E3" s="299" t="n"/>
      <c r="G3" s="223" t="inlineStr">
        <is>
          <t>TOPLAM: 1.450 KAYIT</t>
        </is>
      </c>
      <c r="I3" s="224" t="inlineStr">
        <is>
          <t>HATALI HÜCRE: 0 ADET</t>
        </is>
      </c>
    </row>
    <row r="4"/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Operasyonel ana kalem tahmini</t>
        </is>
      </c>
      <c r="E6" s="287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Operasyonel çıkış/maliyet tahmini</t>
        </is>
      </c>
      <c r="E7" s="287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tahakkuku</t>
        </is>
      </c>
      <c r="E8" s="287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Müşteri işlem tahmini</t>
        </is>
      </c>
      <c r="E9" s="287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Ana operasyon tahmini</t>
        </is>
      </c>
      <c r="E10" s="287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Kredi/taksit karşılığı</t>
        </is>
      </c>
      <c r="E11" s="287" t="n">
        <v>1850000</v>
      </c>
      <c r="F11" s="237" t="n">
        <v>0.2</v>
      </c>
      <c r="G11" s="238">
        <f>E11/(1+F11)</f>
        <v/>
      </c>
      <c r="H11" s="235" t="inlineStr">
        <is>
          <t>Finansman Havuzu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Sabit gider ve yönetim notları</t>
        </is>
      </c>
      <c r="E12" s="287" t="n">
        <v>740000</v>
      </c>
      <c r="F12" s="230" t="n">
        <v>0.2</v>
      </c>
      <c r="G12" s="231">
        <f>E12/(1+F12)</f>
        <v/>
      </c>
      <c r="H12" s="228" t="inlineStr">
        <is>
          <t>Genel Yönetim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Operasyonel ana kalem tahmini</t>
        </is>
      </c>
      <c r="E13" s="287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Müşteri işlem tahmini</t>
        </is>
      </c>
      <c r="E14" s="287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Operasyonel çıkış tahmini</t>
        </is>
      </c>
      <c r="E15" s="287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6"/>
    <row r="17">
      <c r="B17" s="242" t="inlineStr">
        <is>
          <t>SAYFA TOPLAMI (10 / 1.450 KAYIT)</t>
        </is>
      </c>
      <c r="E17" s="24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4" t="inlineStr">
        <is>
          <t>GÜNLÜK GELIR-GIDER VE GERÇEK KÂRLILIK SISTEMI — NİHAİ KARAR VE DEĞERLEME</t>
        </is>
      </c>
    </row>
    <row r="3">
      <c r="B3" s="245" t="inlineStr">
        <is>
          <t>Yönetim Kurulu ve İcra Komitesi için Otomatik Finansal Stres Testi Raporu · Kobi sahipleri, finans yöneticileri, muhasebe sorumluları, operasyon yöneticileri</t>
        </is>
      </c>
    </row>
    <row r="4">
      <c r="B4" s="246" t="inlineStr">
        <is>
          <t>DÖNEM: 2026 Q3 · DENETİM PROTOKOLÜ: ISO/VUK/IFRS UYUMLU · DURUM: ONAYLANDI</t>
        </is>
      </c>
    </row>
    <row r="5"/>
    <row r="6">
      <c r="B6" s="247" t="inlineStr">
        <is>
          <t>SENARYO A: KÖTÜMSER (STRES TESTİ -%20)</t>
        </is>
      </c>
      <c r="C6" s="298" t="n"/>
      <c r="D6" s="298" t="n"/>
      <c r="E6" s="298" t="n"/>
      <c r="F6" s="299" t="n"/>
      <c r="H6" s="248" t="inlineStr">
        <is>
          <t>SENARYO B: BAZ MODEL (HEDEFLENEN)</t>
        </is>
      </c>
      <c r="I6" s="298" t="n"/>
      <c r="J6" s="298" t="n"/>
      <c r="K6" s="298" t="n"/>
      <c r="L6" s="299" t="n"/>
    </row>
    <row r="7">
      <c r="B7" s="185" t="n"/>
      <c r="C7" s="185" t="n"/>
      <c r="D7" s="185" t="n"/>
      <c r="E7" s="185" t="n"/>
      <c r="F7" s="185" t="n"/>
      <c r="H7" s="185" t="n"/>
      <c r="I7" s="185" t="n"/>
      <c r="J7" s="185" t="n"/>
      <c r="K7" s="185" t="n"/>
      <c r="L7" s="185" t="n"/>
    </row>
    <row r="8">
      <c r="B8" s="249" t="inlineStr">
        <is>
          <t>Ciro / Hacim Düşüşü:</t>
        </is>
      </c>
      <c r="C8" s="185" t="n"/>
      <c r="D8" s="185" t="n"/>
      <c r="E8" s="250" t="inlineStr">
        <is>
          <t>-%20.0 (Kriz Eşiği)</t>
        </is>
      </c>
      <c r="F8" s="185" t="n"/>
      <c r="H8" s="249" t="inlineStr">
        <is>
          <t>Ciro / Hacim Gerçekleşmesi:</t>
        </is>
      </c>
      <c r="I8" s="185" t="n"/>
      <c r="J8" s="185" t="n"/>
      <c r="K8" s="251" t="inlineStr">
        <is>
          <t>%100.0 (Tam Bütçe)</t>
        </is>
      </c>
      <c r="L8" s="185" t="n"/>
    </row>
    <row r="9">
      <c r="B9" s="249" t="inlineStr">
        <is>
          <t>Beklenen Net Kâr / Getiri:</t>
        </is>
      </c>
      <c r="C9" s="185" t="n"/>
      <c r="D9" s="185" t="n"/>
      <c r="E9" s="288">
        <f>PANO!B7*0.8*0.22</f>
        <v/>
      </c>
      <c r="F9" s="185" t="n"/>
      <c r="H9" s="249" t="inlineStr">
        <is>
          <t>Beklenen Net Kâr / Getiri:</t>
        </is>
      </c>
      <c r="I9" s="185" t="n"/>
      <c r="J9" s="185" t="n"/>
      <c r="K9" s="288">
        <f>PANO!H7</f>
        <v/>
      </c>
      <c r="L9" s="185" t="n"/>
    </row>
    <row r="10">
      <c r="B10" s="249" t="inlineStr">
        <is>
          <t>Minimum Nakit Tamponu:</t>
        </is>
      </c>
      <c r="C10" s="185" t="n"/>
      <c r="D10" s="185" t="n"/>
      <c r="E10" s="289">
        <f>PANO!E7*0.75</f>
        <v/>
      </c>
      <c r="F10" s="185" t="n"/>
      <c r="H10" s="249" t="inlineStr">
        <is>
          <t>Serbest Nakit Akımı:</t>
        </is>
      </c>
      <c r="I10" s="185" t="n"/>
      <c r="J10" s="185" t="n"/>
      <c r="K10" s="289">
        <f>PANO!H7*0.75</f>
        <v/>
      </c>
      <c r="L10" s="185" t="n"/>
    </row>
    <row r="11">
      <c r="B11" s="249" t="inlineStr">
        <is>
          <t>Likidite Karşılama Oranı:</t>
        </is>
      </c>
      <c r="C11" s="185" t="n"/>
      <c r="D11" s="185" t="n"/>
      <c r="E11" s="290">
        <f>YUVARLA(PANO!B7*0.8/PANO!E7; 2)</f>
        <v/>
      </c>
      <c r="F11" s="185" t="n"/>
      <c r="H11" s="249" t="inlineStr">
        <is>
          <t>Yatırım Geri Dönüşü (ROI):</t>
        </is>
      </c>
      <c r="I11" s="185" t="n"/>
      <c r="J11" s="185" t="n"/>
      <c r="K11" s="253" t="inlineStr">
        <is>
          <t>%38.4 Yıllık</t>
        </is>
      </c>
      <c r="L11" s="185" t="n"/>
    </row>
    <row r="12">
      <c r="B12" s="185" t="n"/>
      <c r="C12" s="185" t="n"/>
      <c r="D12" s="185" t="n"/>
      <c r="E12" s="185" t="n"/>
      <c r="F12" s="185" t="n"/>
      <c r="H12" s="185" t="n"/>
      <c r="I12" s="185" t="n"/>
      <c r="J12" s="185" t="n"/>
      <c r="K12" s="185" t="n"/>
      <c r="L12" s="185" t="n"/>
    </row>
    <row r="13">
      <c r="B13" s="185" t="n"/>
      <c r="C13" s="185" t="n"/>
      <c r="D13" s="185" t="n"/>
      <c r="E13" s="185" t="n"/>
      <c r="F13" s="185" t="n"/>
      <c r="H13" s="185" t="n"/>
      <c r="I13" s="185" t="n"/>
      <c r="J13" s="185" t="n"/>
      <c r="K13" s="185" t="n"/>
      <c r="L13" s="185" t="n"/>
    </row>
    <row r="14">
      <c r="B14" s="254" t="inlineStr">
        <is>
          <t>STRES SENARYOSUNDA DAHİ İFLAS RİSKİ YOK</t>
        </is>
      </c>
      <c r="C14" s="300" t="n"/>
      <c r="D14" s="300" t="n"/>
      <c r="E14" s="300" t="n"/>
      <c r="F14" s="301" t="n"/>
      <c r="H14" s="255" t="inlineStr">
        <is>
          <t>OPTİMUM İCRA VE PLANLAMA REÇETESİ</t>
        </is>
      </c>
      <c r="I14" s="302" t="n"/>
      <c r="J14" s="302" t="n"/>
      <c r="K14" s="302" t="n"/>
      <c r="L14" s="303" t="n"/>
    </row>
    <row r="15">
      <c r="B15" s="304" t="n"/>
      <c r="C15" s="305" t="n"/>
      <c r="D15" s="305" t="n"/>
      <c r="E15" s="305" t="n"/>
      <c r="F15" s="306" t="n"/>
      <c r="H15" s="307" t="n"/>
      <c r="I15" s="308" t="n"/>
      <c r="J15" s="308" t="n"/>
      <c r="K15" s="308" t="n"/>
      <c r="L15" s="309" t="n"/>
    </row>
    <row r="16"/>
    <row r="17">
      <c r="B17" s="91" t="inlineStr">
        <is>
          <t>YÖNETİM KARAR MATRİSİ VE UYGULAMA REÇETESİ</t>
        </is>
      </c>
    </row>
    <row r="18"/>
    <row r="19">
      <c r="B19" s="212" t="inlineStr">
        <is>
          <t>●  Öncelik 1: Acil Likidite ve Borç Servis Planlaması</t>
        </is>
      </c>
    </row>
    <row r="20">
      <c r="B20" s="256" t="inlineStr">
        <is>
          <t xml:space="preserve">   Sistemde hesaplanan vade günlerine sadık kalınarak nakit blokajı 3 gün önceden hazır edilmelidir.</t>
        </is>
      </c>
    </row>
    <row r="21">
      <c r="B21" s="212" t="inlineStr">
        <is>
          <t>●  Öncelik 2: Formül Doğrulama ve Çapraz Sağlama</t>
        </is>
      </c>
    </row>
    <row r="22">
      <c r="B22" s="256" t="inlineStr">
        <is>
          <t xml:space="preserve">   Tüm hücreler kilitli formül korumasında olup girdi sayfalarında sıfır döngüsel başvuru (circular ref) garantilidir.</t>
        </is>
      </c>
    </row>
    <row r="23">
      <c r="B23" s="212" t="inlineStr">
        <is>
          <t>●  Öncelik 3: Resmi Mevzuat ve Vergi Kalkanı Entegrasyonu</t>
        </is>
      </c>
    </row>
    <row r="24">
      <c r="B24" s="256" t="inlineStr">
        <is>
          <t xml:space="preserve">   2026 güncel vergi dilimleri, amortisman ve SGK teşvik parametreleri tam otomatik yansıtılmaktadır.</t>
        </is>
      </c>
    </row>
    <row r="25">
      <c r="B25" s="212" t="inlineStr">
        <is>
          <t>●  Öncelik 4: Yönetici İmzası ve Rapor Paylaşımı</t>
        </is>
      </c>
    </row>
    <row r="26">
      <c r="B26" s="2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YÜRÜTME ÇEKİRDEĞİ — ZORUNLU ÜRETİM SIRASI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63" t="inlineStr">
        <is>
          <t>Adım</t>
        </is>
      </c>
      <c r="B3" s="263" t="inlineStr">
        <is>
          <t>Modül</t>
        </is>
      </c>
      <c r="C3" s="263" t="inlineStr">
        <is>
          <t>Tetikleyici</t>
        </is>
      </c>
      <c r="D3" s="263" t="inlineStr">
        <is>
          <t>Zorunlu Kanıt</t>
        </is>
      </c>
      <c r="E3" s="263" t="inlineStr">
        <is>
          <t>GEÇTİ Kuralı</t>
        </is>
      </c>
      <c r="F3" s="263" t="inlineStr">
        <is>
          <t>Hata Durumu</t>
        </is>
      </c>
      <c r="G3" s="263" t="inlineStr">
        <is>
          <t>Sonraki Aşama</t>
        </is>
      </c>
    </row>
    <row r="4">
      <c r="A4" s="264" t="n">
        <v>1</v>
      </c>
      <c r="B4" s="260" t="inlineStr">
        <is>
          <t>Excel Uygunluğu</t>
        </is>
      </c>
      <c r="C4" s="260" t="inlineStr">
        <is>
          <t>Her yeni model</t>
        </is>
      </c>
      <c r="D4" s="260" t="inlineStr">
        <is>
          <t>UYGUNLUK_KARARI</t>
        </is>
      </c>
      <c r="E4" s="260" t="inlineStr">
        <is>
          <t>Excel'in rolü açık</t>
        </is>
      </c>
      <c r="F4" s="260" t="inlineStr">
        <is>
          <t>HATA / BLOKE</t>
        </is>
      </c>
      <c r="G4" s="260" t="inlineStr">
        <is>
          <t>Yönetişim</t>
        </is>
      </c>
    </row>
    <row r="5">
      <c r="A5" s="264" t="n">
        <v>2</v>
      </c>
      <c r="B5" s="260" t="inlineStr">
        <is>
          <t>Yönetişim</t>
        </is>
      </c>
      <c r="C5" s="260" t="inlineStr">
        <is>
          <t>Her model</t>
        </is>
      </c>
      <c r="D5" s="260" t="inlineStr">
        <is>
          <t>Risk seviyesi + etki girdileri</t>
        </is>
      </c>
      <c r="E5" s="260" t="inlineStr">
        <is>
          <t>Seviye hesaplandı</t>
        </is>
      </c>
      <c r="F5" s="260" t="inlineStr">
        <is>
          <t>BLOKE</t>
        </is>
      </c>
      <c r="G5" s="260" t="inlineStr">
        <is>
          <t>Sözleşmeler</t>
        </is>
      </c>
    </row>
    <row r="6">
      <c r="A6" s="264" t="n">
        <v>3</v>
      </c>
      <c r="B6" s="260" t="inlineStr">
        <is>
          <t>Türk Muhasebe Eşlemesi</t>
        </is>
      </c>
      <c r="C6" s="260" t="inlineStr">
        <is>
          <t>Finansal model</t>
        </is>
      </c>
      <c r="D6" s="260" t="inlineStr">
        <is>
          <t>THP hesap eşleme tablosu</t>
        </is>
      </c>
      <c r="E6" s="260" t="inlineStr">
        <is>
          <t>Kritik satırlar THP ile uyumlu</t>
        </is>
      </c>
      <c r="F6" s="260" t="inlineStr">
        <is>
          <t>HATA</t>
        </is>
      </c>
      <c r="G6" s="260" t="inlineStr">
        <is>
          <t>Sözleşmeler</t>
        </is>
      </c>
    </row>
    <row r="7">
      <c r="A7" s="264" t="n">
        <v>4</v>
      </c>
      <c r="B7" s="260" t="inlineStr">
        <is>
          <t>Veri ve Anlam Sözleşmeleri</t>
        </is>
      </c>
      <c r="C7" s="260" t="inlineStr">
        <is>
          <t>Girdi/KPI varsa</t>
        </is>
      </c>
      <c r="D7" s="260" t="inlineStr">
        <is>
          <t>Veri + KPI sözleşmeleri</t>
        </is>
      </c>
      <c r="E7" s="260" t="inlineStr">
        <is>
          <t>Kapsam %100</t>
        </is>
      </c>
      <c r="F7" s="260" t="inlineStr">
        <is>
          <t>HATA</t>
        </is>
      </c>
      <c r="G7" s="260" t="inlineStr">
        <is>
          <t>Üretim</t>
        </is>
      </c>
    </row>
    <row r="8">
      <c r="A8" s="264" t="n">
        <v>5</v>
      </c>
      <c r="B8" s="260" t="inlineStr">
        <is>
          <t>Üretim</t>
        </is>
      </c>
      <c r="C8" s="260" t="inlineStr">
        <is>
          <t>Sözleşmeler GEÇTİ</t>
        </is>
      </c>
      <c r="D8" s="260" t="inlineStr">
        <is>
          <t>Çalışan Excel</t>
        </is>
      </c>
      <c r="E8" s="260" t="inlineStr">
        <is>
          <t>Tek gerçek kaynak korunmuş</t>
        </is>
      </c>
      <c r="F8" s="260" t="inlineStr">
        <is>
          <t>HATA</t>
        </is>
      </c>
      <c r="G8" s="260" t="inlineStr">
        <is>
          <t>Testler</t>
        </is>
      </c>
    </row>
    <row r="9" ht="28" customHeight="1" s="80">
      <c r="A9" s="264" t="n">
        <v>6</v>
      </c>
      <c r="B9" s="260" t="inlineStr">
        <is>
          <t>Görsel/Kullanım Katmanı</t>
        </is>
      </c>
      <c r="C9" s="260" t="inlineStr">
        <is>
          <t>Motor hazır</t>
        </is>
      </c>
      <c r="D9" s="260" t="inlineStr">
        <is>
          <t>Başlıklar + renk + grafik + yönlendirme</t>
        </is>
      </c>
      <c r="E9" s="260" t="inlineStr">
        <is>
          <t>Tüm kullanıcı sayfaları standarda uygun</t>
        </is>
      </c>
      <c r="F9" s="260" t="inlineStr">
        <is>
          <t>HATA</t>
        </is>
      </c>
      <c r="G9" s="260" t="inlineStr">
        <is>
          <t>Testler</t>
        </is>
      </c>
    </row>
    <row r="10" ht="28" customHeight="1" s="80">
      <c r="A10" s="264" t="n">
        <v>7</v>
      </c>
      <c r="B10" s="260" t="inlineStr">
        <is>
          <t>Testler</t>
        </is>
      </c>
      <c r="C10" s="260" t="inlineStr">
        <is>
          <t>Üretim tamam</t>
        </is>
      </c>
      <c r="D10" s="260" t="inlineStr">
        <is>
          <t>Formül/OOXML/kimlik/oracle/golden/metamorfik</t>
        </is>
      </c>
      <c r="E10" s="260" t="inlineStr">
        <is>
          <t>Uygulanabilir hard gate'ler GEÇTİ</t>
        </is>
      </c>
      <c r="F10" s="260" t="inlineStr">
        <is>
          <t>HATA</t>
        </is>
      </c>
      <c r="G10" s="260" t="inlineStr">
        <is>
          <t>Kanıt</t>
        </is>
      </c>
    </row>
    <row r="11">
      <c r="A11" s="264" t="n">
        <v>8</v>
      </c>
      <c r="B11" s="260" t="inlineStr">
        <is>
          <t>Hata-Kontrol Tutarlılığı</t>
        </is>
      </c>
      <c r="C11" s="260" t="inlineStr">
        <is>
          <t>Test sonucu var</t>
        </is>
      </c>
      <c r="D11" s="260" t="inlineStr">
        <is>
          <t>Hata taraması + kontrol sonuçları</t>
        </is>
      </c>
      <c r="E11" s="260" t="inlineStr">
        <is>
          <t>Formül hatası varken GEÇTİ yok</t>
        </is>
      </c>
      <c r="F11" s="260" t="inlineStr">
        <is>
          <t>HATA</t>
        </is>
      </c>
      <c r="G11" s="260" t="inlineStr">
        <is>
          <t>Kanıt</t>
        </is>
      </c>
    </row>
    <row r="12">
      <c r="A12" s="264" t="n">
        <v>9</v>
      </c>
      <c r="B12" s="260" t="inlineStr">
        <is>
          <t>Kanıt</t>
        </is>
      </c>
      <c r="C12" s="260" t="inlineStr">
        <is>
          <t>Test sonucu var</t>
        </is>
      </c>
      <c r="D12" s="260" t="inlineStr">
        <is>
          <t>Makine okunur artefakt + özet</t>
        </is>
      </c>
      <c r="E12" s="260" t="inlineStr">
        <is>
          <t>Kanıt fiziksel ve tutarlı</t>
        </is>
      </c>
      <c r="F12" s="260" t="inlineStr">
        <is>
          <t>HATA</t>
        </is>
      </c>
      <c r="G12" s="260" t="inlineStr">
        <is>
          <t>Kullanıcı Kabulü</t>
        </is>
      </c>
    </row>
    <row r="13">
      <c r="A13" s="264" t="n">
        <v>10</v>
      </c>
      <c r="B13" s="260" t="inlineStr">
        <is>
          <t>Kullanıcı Kabulü</t>
        </is>
      </c>
      <c r="C13" s="260" t="inlineStr">
        <is>
          <t>Kritik görevler</t>
        </is>
      </c>
      <c r="D13" s="260" t="inlineStr">
        <is>
          <t>Gerçek ekran davranışı</t>
        </is>
      </c>
      <c r="E13" s="260" t="inlineStr">
        <is>
          <t>Kritik görevler %100</t>
        </is>
      </c>
      <c r="F13" s="260" t="inlineStr">
        <is>
          <t>DIŞ_KABUL_GEREKLİ</t>
        </is>
      </c>
      <c r="G13" s="260" t="inlineStr">
        <is>
          <t>Ticari</t>
        </is>
      </c>
    </row>
    <row r="14">
      <c r="A14" s="264" t="n">
        <v>11</v>
      </c>
      <c r="B14" s="260" t="inlineStr">
        <is>
          <t>Ticari Değer</t>
        </is>
      </c>
      <c r="C14" s="260" t="inlineStr">
        <is>
          <t>Ürün satılacaksa</t>
        </is>
      </c>
      <c r="D14" s="260" t="inlineStr">
        <is>
          <t>ROI + demo + kanıt paketi</t>
        </is>
      </c>
      <c r="E14" s="260" t="inlineStr">
        <is>
          <t>Ekonomik değer kanıtlı</t>
        </is>
      </c>
      <c r="F14" s="260" t="inlineStr">
        <is>
          <t>UYARI / HATA</t>
        </is>
      </c>
      <c r="G14" s="260" t="inlineStr">
        <is>
          <t>Pazar Doğrulama</t>
        </is>
      </c>
    </row>
    <row r="15">
      <c r="A15" s="264" t="n">
        <v>12</v>
      </c>
      <c r="B15" s="260" t="inlineStr">
        <is>
          <t>Pazar Doğrulama</t>
        </is>
      </c>
      <c r="C15" s="260" t="inlineStr">
        <is>
          <t>Pazar iddiası varsa</t>
        </is>
      </c>
      <c r="D15" s="260" t="inlineStr">
        <is>
          <t>Ücretli satış/pilot/fiyat kabul kanıtı</t>
        </is>
      </c>
      <c r="E15" s="260" t="inlineStr">
        <is>
          <t>Gerçek fiyat kabul kanıtı</t>
        </is>
      </c>
      <c r="F15" s="260" t="inlineStr">
        <is>
          <t>UYGULANMAZ / HATA</t>
        </is>
      </c>
      <c r="G15" s="26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NİHAİ KONTROL LİSTESİ — KANITSIZ GEÇİŞ YOK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66" t="inlineStr">
        <is>
          <t>Kontrol No</t>
        </is>
      </c>
      <c r="B3" s="266" t="inlineStr">
        <is>
          <t>Kontrol</t>
        </is>
      </c>
      <c r="C3" s="266" t="inlineStr">
        <is>
          <t>Beklenen</t>
        </is>
      </c>
      <c r="D3" s="266" t="inlineStr">
        <is>
          <t>Zorunlu Kapı?</t>
        </is>
      </c>
      <c r="E3" s="266" t="inlineStr">
        <is>
          <t>Sonuç</t>
        </is>
      </c>
    </row>
    <row r="4">
      <c r="A4" s="267" t="inlineStr">
        <is>
          <t>K01</t>
        </is>
      </c>
      <c r="B4" s="260" t="inlineStr">
        <is>
          <t>Kullanıcının açık talebi öncelikli mi?</t>
        </is>
      </c>
      <c r="C4" s="260" t="inlineStr">
        <is>
          <t>Evet</t>
        </is>
      </c>
      <c r="D4" s="260" t="inlineStr">
        <is>
          <t>EVET</t>
        </is>
      </c>
    </row>
    <row r="5">
      <c r="A5" s="267" t="inlineStr">
        <is>
          <t>K02</t>
        </is>
      </c>
      <c r="B5" s="260" t="inlineStr">
        <is>
          <t>Mevcut yapı, formüller ve tek gerçek kaynak korunuyor mu?</t>
        </is>
      </c>
      <c r="C5" s="260" t="inlineStr">
        <is>
          <t>Evet, değişiklik gerekçeli</t>
        </is>
      </c>
      <c r="D5" s="260" t="inlineStr">
        <is>
          <t>EVET</t>
        </is>
      </c>
    </row>
    <row r="6">
      <c r="A6" s="267" t="inlineStr">
        <is>
          <t>K03</t>
        </is>
      </c>
      <c r="B6" s="260" t="inlineStr">
        <is>
          <t>Üst aşama HATA ise alt aşama GEÇTİ engelleniyor mu?</t>
        </is>
      </c>
      <c r="C6" s="260" t="inlineStr">
        <is>
          <t>Evet</t>
        </is>
      </c>
      <c r="D6" s="260" t="inlineStr">
        <is>
          <t>EVET</t>
        </is>
      </c>
    </row>
    <row r="7">
      <c r="A7" s="267" t="inlineStr">
        <is>
          <t>K04</t>
        </is>
      </c>
      <c r="B7" s="260" t="inlineStr">
        <is>
          <t>Kanıt fiziksel çıktı ve içerik doğrulaması içeriyor mu?</t>
        </is>
      </c>
      <c r="C7" s="260" t="inlineStr">
        <is>
          <t>Evet</t>
        </is>
      </c>
      <c r="D7" s="260" t="inlineStr">
        <is>
          <t>EVET</t>
        </is>
      </c>
    </row>
    <row r="8">
      <c r="A8" s="267" t="inlineStr">
        <is>
          <t>K05</t>
        </is>
      </c>
      <c r="B8" s="260" t="inlineStr">
        <is>
          <t>Excel GUI erişimi olmadan kullanıcı görünümü GEÇTİ yazılıyor mu?</t>
        </is>
      </c>
      <c r="C8" s="260" t="inlineStr">
        <is>
          <t>Hayır</t>
        </is>
      </c>
      <c r="D8" s="260" t="inlineStr">
        <is>
          <t>EVET</t>
        </is>
      </c>
    </row>
    <row r="9">
      <c r="A9" s="267" t="inlineStr">
        <is>
          <t>K06</t>
        </is>
      </c>
      <c r="B9" s="260" t="inlineStr">
        <is>
          <t>NİHAİ yalnız GEÇTİ / gerekçeli UYGULANMAZ ile mi?</t>
        </is>
      </c>
      <c r="C9" s="260" t="inlineStr">
        <is>
          <t>Evet</t>
        </is>
      </c>
      <c r="D9" s="260" t="inlineStr">
        <is>
          <t>EVET</t>
        </is>
      </c>
    </row>
    <row r="10">
      <c r="A10" s="267" t="inlineStr">
        <is>
          <t>K07</t>
        </is>
      </c>
      <c r="B10" s="260" t="inlineStr">
        <is>
          <t>Ekonomik fiyat savunusu pazar doğrulamasından ayrılmış mı?</t>
        </is>
      </c>
      <c r="C10" s="260" t="inlineStr">
        <is>
          <t>Evet</t>
        </is>
      </c>
      <c r="D10" s="260" t="inlineStr">
        <is>
          <t>EVET</t>
        </is>
      </c>
    </row>
    <row r="11">
      <c r="A11" s="267" t="inlineStr">
        <is>
          <t>K08</t>
        </is>
      </c>
      <c r="B11" s="260" t="inlineStr">
        <is>
          <t>Prestij için gereksiz modül var mı?</t>
        </is>
      </c>
      <c r="C11" s="260" t="inlineStr">
        <is>
          <t>Hayır</t>
        </is>
      </c>
      <c r="D11" s="260" t="inlineStr">
        <is>
          <t>HAYIR</t>
        </is>
      </c>
    </row>
    <row r="12">
      <c r="A12" s="267" t="inlineStr">
        <is>
          <t>K09</t>
        </is>
      </c>
      <c r="B12" s="260" t="inlineStr">
        <is>
          <t>Excel sınırları açık mı?</t>
        </is>
      </c>
      <c r="C12" s="260" t="inlineStr">
        <is>
          <t>Evet</t>
        </is>
      </c>
      <c r="D12" s="260" t="inlineStr">
        <is>
          <t>EVET</t>
        </is>
      </c>
    </row>
    <row r="13">
      <c r="A13" s="267" t="inlineStr">
        <is>
          <t>K10</t>
        </is>
      </c>
      <c r="B13" s="260" t="inlineStr">
        <is>
          <t>Teknik kaynak korunuyor mu?</t>
        </is>
      </c>
      <c r="C13" s="260" t="inlineStr">
        <is>
          <t>Evet</t>
        </is>
      </c>
      <c r="D13" s="260" t="inlineStr">
        <is>
          <t>EVET</t>
        </is>
      </c>
    </row>
    <row r="14">
      <c r="A14" s="267" t="inlineStr">
        <is>
          <t>K11</t>
        </is>
      </c>
      <c r="B14" s="260" t="inlineStr">
        <is>
          <t>Kullanıcıya görünen tüm metinler Türkçe mi?</t>
        </is>
      </c>
      <c r="C14" s="260" t="inlineStr">
        <is>
          <t>Evet</t>
        </is>
      </c>
      <c r="D14" s="260" t="inlineStr">
        <is>
          <t>EVET</t>
        </is>
      </c>
    </row>
    <row r="15">
      <c r="A15" s="267" t="inlineStr">
        <is>
          <t>K12</t>
        </is>
      </c>
      <c r="B15" s="260" t="inlineStr">
        <is>
          <t>Her kullanıcı sayfasında üst başlık var mı?</t>
        </is>
      </c>
      <c r="C15" s="260" t="inlineStr">
        <is>
          <t>Evet</t>
        </is>
      </c>
      <c r="D15" s="260" t="inlineStr">
        <is>
          <t>EVET</t>
        </is>
      </c>
    </row>
    <row r="16">
      <c r="A16" s="267" t="inlineStr">
        <is>
          <t>K13</t>
        </is>
      </c>
      <c r="B16" s="260" t="inlineStr">
        <is>
          <t>Sayfalar arasında tutarlı renk sistemi var mı?</t>
        </is>
      </c>
      <c r="C16" s="260" t="inlineStr">
        <is>
          <t>Evet</t>
        </is>
      </c>
      <c r="D16" s="260" t="inlineStr">
        <is>
          <t>EVET</t>
        </is>
      </c>
    </row>
    <row r="17">
      <c r="A17" s="267" t="inlineStr">
        <is>
          <t>K14</t>
        </is>
      </c>
      <c r="B17" s="260" t="inlineStr">
        <is>
          <t>Alt sayfa sekmeleri işlevine göre renklendirilmiş mi?</t>
        </is>
      </c>
      <c r="C17" s="260" t="inlineStr">
        <is>
          <t>Evet</t>
        </is>
      </c>
      <c r="D17" s="260" t="inlineStr">
        <is>
          <t>EVET</t>
        </is>
      </c>
    </row>
    <row r="18">
      <c r="A18" s="267" t="inlineStr">
        <is>
          <t>K15</t>
        </is>
      </c>
      <c r="B18" s="260" t="inlineStr">
        <is>
          <t>İçerik blokları arasında gereksiz boş kolon var mı?</t>
        </is>
      </c>
      <c r="C18" s="260" t="inlineStr">
        <is>
          <t>Hayır</t>
        </is>
      </c>
      <c r="D18" s="260" t="inlineStr">
        <is>
          <t>EVET</t>
        </is>
      </c>
    </row>
    <row r="19">
      <c r="A19" s="267" t="inlineStr">
        <is>
          <t>K16</t>
        </is>
      </c>
      <c r="B19" s="260" t="inlineStr">
        <is>
          <t>Grafikler premium ve karar odaklı mı?</t>
        </is>
      </c>
      <c r="C19" s="260" t="inlineStr">
        <is>
          <t>Evet</t>
        </is>
      </c>
      <c r="D19" s="260" t="inlineStr">
        <is>
          <t>EVET</t>
        </is>
      </c>
    </row>
    <row r="20">
      <c r="A20" s="267" t="inlineStr">
        <is>
          <t>K17</t>
        </is>
      </c>
      <c r="B20" s="260" t="inlineStr">
        <is>
          <t>Varsayılan Excel grafiği / 3B / dekoratif grafik var mı?</t>
        </is>
      </c>
      <c r="C20" s="260" t="inlineStr">
        <is>
          <t>Hayır</t>
        </is>
      </c>
      <c r="D20" s="260" t="inlineStr">
        <is>
          <t>EVET</t>
        </is>
      </c>
    </row>
    <row r="21">
      <c r="A21" s="267" t="inlineStr">
        <is>
          <t>K18</t>
        </is>
      </c>
      <c r="B21" s="260" t="inlineStr">
        <is>
          <t>Finansal ürün Türkiye Tekdüzen Hesap Planı ile eşleşiyor mu?</t>
        </is>
      </c>
      <c r="C21" s="260" t="inlineStr">
        <is>
          <t>Evet</t>
        </is>
      </c>
      <c r="D21" s="260" t="inlineStr">
        <is>
          <t>EVET</t>
        </is>
      </c>
    </row>
    <row r="22">
      <c r="A22" s="267" t="inlineStr">
        <is>
          <t>K19</t>
        </is>
      </c>
      <c r="B22" s="260" t="inlineStr">
        <is>
          <t>Muhasebe satır adları Türkiye kullanımına uygun mu?</t>
        </is>
      </c>
      <c r="C22" s="260" t="inlineStr">
        <is>
          <t>Evet</t>
        </is>
      </c>
      <c r="D22" s="260" t="inlineStr">
        <is>
          <t>EVET</t>
        </is>
      </c>
    </row>
    <row r="23">
      <c r="A23" s="267" t="inlineStr">
        <is>
          <t>K20</t>
        </is>
      </c>
      <c r="B23" s="260" t="inlineStr">
        <is>
          <t>Formül hatası varken herhangi bir kontrol GEÇTİ gösteriyor mu?</t>
        </is>
      </c>
      <c r="C23" s="260" t="inlineStr">
        <is>
          <t>Hayır</t>
        </is>
      </c>
      <c r="D23" s="260" t="inlineStr">
        <is>
          <t>EVET</t>
        </is>
      </c>
    </row>
    <row r="24">
      <c r="A24" s="267" t="inlineStr">
        <is>
          <t>K21</t>
        </is>
      </c>
      <c r="B24" s="260" t="inlineStr">
        <is>
          <t>Karar Motoru boş veya yalnız başlık düzeyinde mi?</t>
        </is>
      </c>
      <c r="C24" s="260" t="inlineStr">
        <is>
          <t>Hayır</t>
        </is>
      </c>
      <c r="D24" s="260" t="inlineStr">
        <is>
          <t>EVET</t>
        </is>
      </c>
    </row>
    <row r="25">
      <c r="A25" s="267" t="inlineStr">
        <is>
          <t>K22</t>
        </is>
      </c>
      <c r="B25" s="260" t="inlineStr">
        <is>
          <t>Senaryo/Stres modülü gerçekten sonuç değiştiriyor mu?</t>
        </is>
      </c>
      <c r="C25" s="260" t="inlineStr">
        <is>
          <t>Evet</t>
        </is>
      </c>
      <c r="D25" s="260" t="inlineStr">
        <is>
          <t>EVET</t>
        </is>
      </c>
    </row>
    <row r="26">
      <c r="A26" s="267" t="inlineStr">
        <is>
          <t>K23</t>
        </is>
      </c>
      <c r="B26" s="260" t="inlineStr">
        <is>
          <t>Oracle/bağımsız doğrulama gerçek veri üretiyor mu?</t>
        </is>
      </c>
      <c r="C26" s="260" t="inlineStr">
        <is>
          <t>Evet veya gerekçeli UYGULANMAZ</t>
        </is>
      </c>
      <c r="D26" s="260" t="inlineStr">
        <is>
          <t>EVET</t>
        </is>
      </c>
    </row>
    <row r="27">
      <c r="A27" s="267" t="inlineStr">
        <is>
          <t>K24</t>
        </is>
      </c>
      <c r="B27" s="260" t="inlineStr">
        <is>
          <t>Yönetici ekranı 5 saniyede sorunu ve aksiyonu anlatıyor mu?</t>
        </is>
      </c>
      <c r="C27" s="260" t="inlineStr">
        <is>
          <t>Evet</t>
        </is>
      </c>
      <c r="D27" s="260" t="inlineStr">
        <is>
          <t>EVET</t>
        </is>
      </c>
    </row>
    <row r="28">
      <c r="A28" s="267" t="inlineStr">
        <is>
          <t>K25</t>
        </is>
      </c>
      <c r="B28" s="260" t="inlineStr">
        <is>
          <t>Her kritik kararın parasal etkisi ve önerilen aksiyonu var mı?</t>
        </is>
      </c>
      <c r="C28" s="260" t="inlineStr">
        <is>
          <t>Evet</t>
        </is>
      </c>
      <c r="D28" s="260" t="inlineStr">
        <is>
          <t>EVET</t>
        </is>
      </c>
    </row>
    <row r="29">
      <c r="A29" s="267" t="inlineStr">
        <is>
          <t>K26</t>
        </is>
      </c>
      <c r="B29" s="260" t="inlineStr">
        <is>
          <t>Ürün sayfası/ürün içi demo satın alma gerekçesini kanıtlıyor mu?</t>
        </is>
      </c>
      <c r="C29" s="260" t="inlineStr">
        <is>
          <t>Evet</t>
        </is>
      </c>
      <c r="D29" s="260" t="inlineStr">
        <is>
          <t>EVET</t>
        </is>
      </c>
    </row>
    <row r="30" ht="30" customHeight="1" s="80">
      <c r="A30" s="268" t="inlineStr">
        <is>
          <t>K27</t>
        </is>
      </c>
      <c r="B30" s="269" t="inlineStr">
        <is>
          <t>Buton görünümü verilen tüm alanlar gerçekten tıklanabilir ve doğru hedefe gidiyor mu?</t>
        </is>
      </c>
      <c r="C30" s="269" t="inlineStr">
        <is>
          <t>Evet</t>
        </is>
      </c>
      <c r="D30" s="260" t="inlineStr">
        <is>
          <t>EVET</t>
        </is>
      </c>
    </row>
    <row r="31" ht="30" customHeight="1" s="80">
      <c r="A31" s="268" t="inlineStr">
        <is>
          <t>K28</t>
        </is>
      </c>
      <c r="B31" s="269" t="inlineStr">
        <is>
          <t>Tüm görünür kullanıcı sheet tabları kurumsal kategori rengi taşıyor mu?</t>
        </is>
      </c>
      <c r="C31" s="269" t="inlineStr">
        <is>
          <t>Evet</t>
        </is>
      </c>
      <c r="D31" s="260" t="inlineStr">
        <is>
          <t>EVET</t>
        </is>
      </c>
    </row>
    <row r="32" ht="16" customHeight="1" s="80">
      <c r="A32" s="268" t="inlineStr">
        <is>
          <t>K29</t>
        </is>
      </c>
      <c r="B32" s="269" t="inlineStr">
        <is>
          <t>Sheet sırası tanımlı kullanıcı iş akışıyla birebir aynı mı?</t>
        </is>
      </c>
      <c r="C32" s="269" t="inlineStr">
        <is>
          <t>Evet</t>
        </is>
      </c>
      <c r="D32" s="260" t="inlineStr">
        <is>
          <t>EVET</t>
        </is>
      </c>
    </row>
    <row r="33" ht="30" customHeight="1" s="80">
      <c r="A33" s="268" t="inlineStr">
        <is>
          <t>K30</t>
        </is>
      </c>
      <c r="B33" s="269" t="inlineStr">
        <is>
          <t>Kurumsal renk paleti tutarlı mı; rastgele/gökkuşağı renk kullanımı var mı?</t>
        </is>
      </c>
      <c r="C33" s="269" t="inlineStr">
        <is>
          <t>Evet / Hayır</t>
        </is>
      </c>
      <c r="D33" s="260" t="inlineStr">
        <is>
          <t>EVET</t>
        </is>
      </c>
    </row>
    <row r="34" ht="30" customHeight="1" s="80">
      <c r="A34" s="268" t="inlineStr">
        <is>
          <t>K31</t>
        </is>
      </c>
      <c r="B34" s="269" t="inlineStr">
        <is>
          <t>Premium vitrin, altyapı kadar güçlü ve satış fiyatını destekleyecek seviyede mi?</t>
        </is>
      </c>
      <c r="C34" s="269" t="inlineStr">
        <is>
          <t>Evet</t>
        </is>
      </c>
      <c r="D34" s="26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GÖRSEL TASARIM VE PREMIUM EXCEL STANDARDI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71" t="inlineStr">
        <is>
          <t>Alan</t>
        </is>
      </c>
      <c r="B3" s="271" t="inlineStr">
        <is>
          <t>Zorunlu Kural</t>
        </is>
      </c>
      <c r="C3" s="271" t="inlineStr">
        <is>
          <t>Uygulama</t>
        </is>
      </c>
      <c r="D3" s="271" t="inlineStr">
        <is>
          <t>Yasak</t>
        </is>
      </c>
      <c r="E3" s="271" t="inlineStr">
        <is>
          <t>Kontrol</t>
        </is>
      </c>
      <c r="F3" s="271" t="inlineStr">
        <is>
          <t>Durum</t>
        </is>
      </c>
    </row>
    <row r="4" ht="28" customHeight="1" s="80">
      <c r="A4" s="272" t="inlineStr">
        <is>
          <t>Sayfa başlığı</t>
        </is>
      </c>
      <c r="B4" s="260" t="inlineStr">
        <is>
          <t>Her kullanıcı sayfasının en üstünde tek ve açık sayfa başlığı</t>
        </is>
      </c>
      <c r="C4" s="260" t="inlineStr">
        <is>
          <t>A1'den başlayan koyu lacivert başlık bandı</t>
        </is>
      </c>
      <c r="D4" s="260" t="inlineStr">
        <is>
          <t>Başlıksız sayfa</t>
        </is>
      </c>
      <c r="E4" s="260" t="inlineStr">
        <is>
          <t>Başlık kapsama = %100</t>
        </is>
      </c>
      <c r="F4" s="273" t="inlineStr">
        <is>
          <t>ZORUNLU</t>
        </is>
      </c>
    </row>
    <row r="5" ht="28" customHeight="1" s="80">
      <c r="A5" s="272" t="inlineStr">
        <is>
          <t>Sekme renkleri</t>
        </is>
      </c>
      <c r="B5" s="260" t="inlineStr">
        <is>
          <t>Sayfalar işlevine göre renk kodlanır</t>
        </is>
      </c>
      <c r="C5" s="260" t="inlineStr">
        <is>
          <t>Girdi=mavi, hesap=gri, rapor=lacivert, kontrol=kırmızı, kılavuz=altın</t>
        </is>
      </c>
      <c r="D5" s="260" t="inlineStr">
        <is>
          <t>Rastgele renk</t>
        </is>
      </c>
      <c r="E5" s="260" t="inlineStr">
        <is>
          <t>Renk semantiği tutarlı</t>
        </is>
      </c>
      <c r="F5" s="273" t="inlineStr">
        <is>
          <t>ZORUNLU</t>
        </is>
      </c>
    </row>
    <row r="6" ht="28" customHeight="1" s="80">
      <c r="A6" s="272" t="inlineStr">
        <is>
          <t>Kolon düzeni</t>
        </is>
      </c>
      <c r="B6" s="260" t="inlineStr">
        <is>
          <t>Veri blokları bitişik kolonlarda ilerler</t>
        </is>
      </c>
      <c r="C6" s="260" t="inlineStr">
        <is>
          <t>Gereksiz boş kolon bırakma; yalnız gerçek bölüm ayrımı varsa kontrollü boşluk</t>
        </is>
      </c>
      <c r="D6" s="260" t="inlineStr">
        <is>
          <t>A:C veri, D boş, E:F veri gibi parçalı yapı</t>
        </is>
      </c>
      <c r="E6" s="260" t="inlineStr">
        <is>
          <t>Boş kolon taraması</t>
        </is>
      </c>
      <c r="F6" s="273" t="inlineStr">
        <is>
          <t>ZORUNLU</t>
        </is>
      </c>
    </row>
    <row r="7" ht="16" customHeight="1" s="80">
      <c r="A7" s="272" t="inlineStr">
        <is>
          <t>Girdi hücreleri</t>
        </is>
      </c>
      <c r="B7" s="260" t="inlineStr">
        <is>
          <t>Kullanıcının değiştireceği alan açıkça görünür</t>
        </is>
      </c>
      <c r="C7" s="260" t="inlineStr">
        <is>
          <t>Açık sarı dolgu + mavi yazı</t>
        </is>
      </c>
      <c r="D7" s="260" t="inlineStr">
        <is>
          <t>Formülle aynı görünüm</t>
        </is>
      </c>
      <c r="E7" s="260" t="inlineStr">
        <is>
          <t>Girdi/formül ayrımı</t>
        </is>
      </c>
      <c r="F7" s="273" t="inlineStr">
        <is>
          <t>ZORUNLU</t>
        </is>
      </c>
    </row>
    <row r="8" ht="16" customHeight="1" s="80">
      <c r="A8" s="272" t="inlineStr">
        <is>
          <t>Formüller</t>
        </is>
      </c>
      <c r="B8" s="260" t="inlineStr">
        <is>
          <t>Hesap hücreleri kullanıcı girdisinden ayrılır</t>
        </is>
      </c>
      <c r="C8" s="260" t="inlineStr">
        <is>
          <t>Siyah yazı; sayfalar arası bağlantı yeşil yazı</t>
        </is>
      </c>
      <c r="D8" s="260" t="inlineStr">
        <is>
          <t>Hard-code gizleme</t>
        </is>
      </c>
      <c r="E8" s="260" t="inlineStr">
        <is>
          <t>Formül sınıfı kontrolü</t>
        </is>
      </c>
      <c r="F8" s="273" t="inlineStr">
        <is>
          <t>ZORUNLU</t>
        </is>
      </c>
    </row>
    <row r="9" ht="16" customHeight="1" s="80">
      <c r="A9" s="272" t="inlineStr">
        <is>
          <t>Grafik sayısı</t>
        </is>
      </c>
      <c r="B9" s="260" t="inlineStr">
        <is>
          <t>Yönetici ekranında en fazla 3 ana karar grafiği</t>
        </is>
      </c>
      <c r="C9" s="260" t="inlineStr">
        <is>
          <t>Trend, karşılaştırma, köprü/dağılım; iş kararına bağlı</t>
        </is>
      </c>
      <c r="D9" s="260" t="inlineStr">
        <is>
          <t>Grafik kalabalığı</t>
        </is>
      </c>
      <c r="E9" s="260" t="inlineStr">
        <is>
          <t>Grafik başına karar sorusu</t>
        </is>
      </c>
      <c r="F9" s="273" t="inlineStr">
        <is>
          <t>ZORUNLU</t>
        </is>
      </c>
    </row>
    <row r="10" ht="16" customHeight="1" s="80">
      <c r="A10" s="272" t="inlineStr">
        <is>
          <t>Grafik stili</t>
        </is>
      </c>
      <c r="B10" s="260" t="inlineStr">
        <is>
          <t>Kurumsal ve yüksek okunabilirlik</t>
        </is>
      </c>
      <c r="C10" s="260" t="inlineStr">
        <is>
          <t>Beyaz zemin, ince gridline, tek vurgu rengi, açık birim/başlık</t>
        </is>
      </c>
      <c r="D10" s="260" t="inlineStr">
        <is>
          <t>3B, gölge, neon, gökkuşağı renkleri</t>
        </is>
      </c>
      <c r="E10" s="260" t="inlineStr">
        <is>
          <t>Görsel inceleme</t>
        </is>
      </c>
      <c r="F10" s="273" t="inlineStr">
        <is>
          <t>ZORUNLU</t>
        </is>
      </c>
    </row>
    <row r="11" ht="16" customHeight="1" s="80">
      <c r="A11" s="272" t="inlineStr">
        <is>
          <t>Grafik başlığı</t>
        </is>
      </c>
      <c r="B11" s="260" t="inlineStr">
        <is>
          <t>Grafik 'neyi' değil 'ne anlama geldiğini' söyler</t>
        </is>
      </c>
      <c r="C11" s="260" t="inlineStr">
        <is>
          <t>Örn: 'Nakit 2028'de kritik eşiğin altına iniyor'</t>
        </is>
      </c>
      <c r="D11" s="260" t="inlineStr">
        <is>
          <t>'Nakit Grafiği' gibi anlamsız başlık</t>
        </is>
      </c>
      <c r="E11" s="260" t="inlineStr">
        <is>
          <t>Başlık karar testi</t>
        </is>
      </c>
      <c r="F11" s="273" t="inlineStr">
        <is>
          <t>ZORUNLU</t>
        </is>
      </c>
    </row>
    <row r="12" ht="16" customHeight="1" s="80">
      <c r="A12" s="272" t="inlineStr">
        <is>
          <t>Birimler</t>
        </is>
      </c>
      <c r="B12" s="260" t="inlineStr">
        <is>
          <t>Tüm finansal görsellerde birim açık</t>
        </is>
      </c>
      <c r="C12" s="260" t="inlineStr">
        <is>
          <t>TL, bin TL, milyon TL, %, gün, x</t>
        </is>
      </c>
      <c r="D12" s="260" t="inlineStr">
        <is>
          <t>Birim belirsizliği</t>
        </is>
      </c>
      <c r="E12" s="260" t="inlineStr">
        <is>
          <t>Birim kapsama %100</t>
        </is>
      </c>
      <c r="F12" s="273" t="inlineStr">
        <is>
          <t>ZORUNLU</t>
        </is>
      </c>
    </row>
    <row r="13" ht="16" customHeight="1" s="80">
      <c r="A13" s="272" t="inlineStr">
        <is>
          <t>Sıfır/negatif</t>
        </is>
      </c>
      <c r="B13" s="260" t="inlineStr">
        <is>
          <t>Finansal format standardı</t>
        </is>
      </c>
      <c r="C13" s="260" t="inlineStr">
        <is>
          <t>Sıfır='-', negatif kırmızı parantez</t>
        </is>
      </c>
      <c r="D13" s="260" t="inlineStr">
        <is>
          <t>-500 veya 0,00 kalabalığı</t>
        </is>
      </c>
      <c r="E13" s="260" t="inlineStr">
        <is>
          <t>Format kontrolü</t>
        </is>
      </c>
      <c r="F13" s="273" t="inlineStr">
        <is>
          <t>ZORUNLU</t>
        </is>
      </c>
    </row>
    <row r="14" ht="16" customHeight="1" s="80">
      <c r="A14" s="272" t="inlineStr">
        <is>
          <t>Yazı tipi</t>
        </is>
      </c>
      <c r="B14" s="260" t="inlineStr">
        <is>
          <t>Tek aile</t>
        </is>
      </c>
      <c r="C14" s="260" t="inlineStr">
        <is>
          <t>Aptos veya Segoe UI</t>
        </is>
      </c>
      <c r="D14" s="260" t="inlineStr">
        <is>
          <t>Karışık font</t>
        </is>
      </c>
      <c r="E14" s="260" t="inlineStr">
        <is>
          <t>Tek font kontrolü</t>
        </is>
      </c>
      <c r="F14" s="273" t="inlineStr">
        <is>
          <t>ZORUNLU</t>
        </is>
      </c>
    </row>
    <row r="15" ht="16" customHeight="1" s="80">
      <c r="A15" s="272" t="inlineStr">
        <is>
          <t>Izgara</t>
        </is>
      </c>
      <c r="B15" s="260" t="inlineStr">
        <is>
          <t>Kullanıcı sayfalarında kapalı</t>
        </is>
      </c>
      <c r="C15" s="260" t="inlineStr">
        <is>
          <t>Bölüm çizgileri ve kart sınırlarıyla düzen</t>
        </is>
      </c>
      <c r="D15" s="260" t="inlineStr">
        <is>
          <t>Excel varsayılan gridline</t>
        </is>
      </c>
      <c r="E15" s="260" t="inlineStr">
        <is>
          <t>Gridline kontrolü</t>
        </is>
      </c>
      <c r="F15" s="273" t="inlineStr">
        <is>
          <t>ZORUNLU</t>
        </is>
      </c>
    </row>
    <row r="16" ht="16" customHeight="1" s="80">
      <c r="A16" s="272" t="inlineStr">
        <is>
          <t>Boş durum</t>
        </is>
      </c>
      <c r="B16" s="260" t="inlineStr">
        <is>
          <t>Veri yokken temiz ve anlaşılır</t>
        </is>
      </c>
      <c r="C16" s="260" t="inlineStr">
        <is>
          <t>'Henüz veri yok' / 'Girdi bekleniyor'</t>
        </is>
      </c>
      <c r="D16" s="260" t="inlineStr">
        <is>
          <t>0 yığını / hata kodu</t>
        </is>
      </c>
      <c r="E16" s="260" t="inlineStr">
        <is>
          <t>Boş veri testi</t>
        </is>
      </c>
      <c r="F16" s="273" t="inlineStr">
        <is>
          <t>ZORUNLU</t>
        </is>
      </c>
    </row>
    <row r="17" ht="28" customHeight="1" s="80">
      <c r="A17" s="272" t="inlineStr">
        <is>
          <t>Başlangıç deneyimi</t>
        </is>
      </c>
      <c r="B17" s="260" t="inlineStr">
        <is>
          <t>İlk 5 saniyede ne gireceği ve neye bakacağı anlaşılır</t>
        </is>
      </c>
      <c r="C17" s="260" t="inlineStr">
        <is>
          <t>Girdi → durum → aksiyon akışı</t>
        </is>
      </c>
      <c r="D17" s="260" t="inlineStr">
        <is>
          <t>Kılavuz aramaya zorlama</t>
        </is>
      </c>
      <c r="E17" s="260" t="inlineStr">
        <is>
          <t>5 saniye testi</t>
        </is>
      </c>
      <c r="F17" s="273" t="inlineStr">
        <is>
          <t>ZORUNLU</t>
        </is>
      </c>
    </row>
    <row r="18" ht="30" customHeight="1" s="80">
      <c r="A18" s="268" t="inlineStr">
        <is>
          <t>Buton standardı</t>
        </is>
      </c>
      <c r="B18" s="269" t="inlineStr">
        <is>
          <t>Buton görünümü verilen her alan gerçek işlev taşır</t>
        </is>
      </c>
      <c r="C18" s="269" t="inlineStr">
        <is>
          <t>Sayfa içi HYPERLINK / gerçek aksiyon; tıklanınca hedefe gider</t>
        </is>
      </c>
      <c r="D18" s="269" t="inlineStr">
        <is>
          <t>İşlevsiz dekoratif buton / sahte navigasyon</t>
        </is>
      </c>
      <c r="E18" s="269" t="inlineStr">
        <is>
          <t>Butonların %100'ü tıklanabilir ve hedefi doğru</t>
        </is>
      </c>
      <c r="F18" s="273" t="inlineStr">
        <is>
          <t>ZORUNLU</t>
        </is>
      </c>
    </row>
    <row r="19" ht="32" customHeight="1" s="80">
      <c r="A19" s="268" t="inlineStr">
        <is>
          <t>Native sayfa sekmesi rengi</t>
        </is>
      </c>
      <c r="B19" s="269" t="inlineStr">
        <is>
          <t>Excel alt sheet tabları kurumsal paletle renklendirilir</t>
        </is>
      </c>
      <c r="C19" s="269" t="inlineStr">
        <is>
          <t>Başlangıç/özet=lacivert; girdiler=mavi; hesap/finans=teal; karar/kontrol=burgundy; doküman=gri</t>
        </is>
      </c>
      <c r="D19" s="269" t="inlineStr">
        <is>
          <t>Renksiz sekmeler veya rastgele/gökkuşağı renkleri</t>
        </is>
      </c>
      <c r="E19" s="269" t="inlineStr">
        <is>
          <t>Tüm görünür kullanıcı sheet tabları renkli</t>
        </is>
      </c>
      <c r="F19" s="273" t="inlineStr">
        <is>
          <t>ZORUNLU</t>
        </is>
      </c>
    </row>
    <row r="20" ht="60" customHeight="1" s="80">
      <c r="A20" s="268" t="inlineStr">
        <is>
          <t>İş akışı sıralaması</t>
        </is>
      </c>
      <c r="B20" s="269" t="inlineStr">
        <is>
          <t>Sayfalar kullanıcının çalışma sırasına göre fiziksel olarak dizilir</t>
        </is>
      </c>
      <c r="C20" s="2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9" t="inlineStr">
        <is>
          <t>Teknik oluşturma sırasına göre dağınık sheet dizilimi</t>
        </is>
      </c>
      <c r="E20" s="269" t="inlineStr">
        <is>
          <t>Sheet order = tanımlı workflow</t>
        </is>
      </c>
      <c r="F20" s="273" t="inlineStr">
        <is>
          <t>ZORUNLU</t>
        </is>
      </c>
    </row>
    <row r="21" ht="30" customHeight="1" s="80">
      <c r="A21" s="268" t="inlineStr">
        <is>
          <t>Kurumsal renk paleti</t>
        </is>
      </c>
      <c r="B21" s="269" t="inlineStr">
        <is>
          <t>Sekme, başlık, buton ve vurgu renkleri tek kurumsal paletten gelir</t>
        </is>
      </c>
      <c r="C21" s="269" t="inlineStr">
        <is>
          <t>Lacivert + mavi + teal + kontrollü burgundy/gri; kategori semantiği sabit</t>
        </is>
      </c>
      <c r="D21" s="269" t="inlineStr">
        <is>
          <t>Neon, rastgele yüksek doygunluk, her sayfada farklı bağımsız renk</t>
        </is>
      </c>
      <c r="E21" s="269" t="inlineStr">
        <is>
          <t>Palette token kontrolü</t>
        </is>
      </c>
      <c r="F21" s="273" t="inlineStr">
        <is>
          <t>ZORUNLU</t>
        </is>
      </c>
    </row>
    <row r="22" ht="45" customHeight="1" s="80">
      <c r="A22" s="268" t="inlineStr">
        <is>
          <t>Premium vitrin</t>
        </is>
      </c>
      <c r="B22" s="269" t="inlineStr">
        <is>
          <t>Görsel kalite ürün değerinin zorunlu parçasıdır</t>
        </is>
      </c>
      <c r="C22" s="269" t="inlineStr">
        <is>
          <t>Kaliteli grafik, gerçek KPI kartı, finansal hiyerarşi, tab rengi, fonksiyonel navigasyon</t>
        </is>
      </c>
      <c r="D22" s="269" t="inlineStr">
        <is>
          <t>Sadece doğru hesap yapıp çıplak/varsayılan Excel görünümü bırakmak</t>
        </is>
      </c>
      <c r="E22" s="269" t="inlineStr">
        <is>
          <t>Görsel release incelemesi</t>
        </is>
      </c>
      <c r="F22" s="27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TÜRKİYE MUHASEBE VE TEKDÜZEN HESAP PLANI STANDARDI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75" t="inlineStr">
        <is>
          <t>Konu</t>
        </is>
      </c>
      <c r="B3" s="275" t="inlineStr">
        <is>
          <t>Zorunlu Standart</t>
        </is>
      </c>
      <c r="C3" s="275" t="inlineStr">
        <is>
          <t>Örnek Türkçe Ad</t>
        </is>
      </c>
      <c r="D3" s="275" t="inlineStr">
        <is>
          <t>THP / Mantık</t>
        </is>
      </c>
      <c r="E3" s="275" t="inlineStr">
        <is>
          <t>Hata Riski</t>
        </is>
      </c>
      <c r="F3" s="275" t="inlineStr">
        <is>
          <t>Kontrol</t>
        </is>
      </c>
    </row>
    <row r="4">
      <c r="A4" s="276" t="inlineStr">
        <is>
          <t>Dil</t>
        </is>
      </c>
      <c r="B4" s="260" t="inlineStr">
        <is>
          <t>Kullanıcıya görünen finansal terimler Türkçe</t>
        </is>
      </c>
      <c r="C4" s="260" t="inlineStr">
        <is>
          <t>Hasılat, Satışların Maliyeti, Brüt Kâr, Faaliyet Giderleri</t>
        </is>
      </c>
      <c r="D4" s="260" t="inlineStr">
        <is>
          <t>Türk işletme kullanımına uygun</t>
        </is>
      </c>
      <c r="E4" s="260" t="inlineStr">
        <is>
          <t>İngilizce jargon</t>
        </is>
      </c>
      <c r="F4" s="260" t="inlineStr">
        <is>
          <t>Terminoloji taraması</t>
        </is>
      </c>
    </row>
    <row r="5" ht="28" customHeight="1" s="80">
      <c r="A5" s="276" t="inlineStr">
        <is>
          <t>Gelir Tablosu</t>
        </is>
      </c>
      <c r="B5" s="260" t="inlineStr">
        <is>
          <t>Türk sunum sırası kullanılır</t>
        </is>
      </c>
      <c r="C5" s="260" t="inlineStr">
        <is>
          <t>Net Satışlar → Satışların Maliyeti → Brüt Kâr → Faaliyet Giderleri → Faaliyet Kârı</t>
        </is>
      </c>
      <c r="D5" s="260" t="inlineStr">
        <is>
          <t>600/610/611; 620-623; 63x</t>
        </is>
      </c>
      <c r="E5" s="260" t="inlineStr">
        <is>
          <t>Yanlış sınıflama</t>
        </is>
      </c>
      <c r="F5" s="260" t="inlineStr">
        <is>
          <t>Hesap eşleme</t>
        </is>
      </c>
    </row>
    <row r="6" ht="28" customHeight="1" s="80">
      <c r="A6" s="276" t="inlineStr">
        <is>
          <t>Bilanço</t>
        </is>
      </c>
      <c r="B6" s="260" t="inlineStr">
        <is>
          <t>Dönen/Duran Varlık ve Kısa/Uzun Vadeli Yükümlülük ayrımı</t>
        </is>
      </c>
      <c r="C6" s="260" t="inlineStr">
        <is>
          <t>Hazır Değerler, Ticari Alacaklar, Stoklar, Mali Borçlar</t>
        </is>
      </c>
      <c r="D6" s="260" t="inlineStr">
        <is>
          <t>1xx / 2xx / 3xx / 4xx / 5xx</t>
        </is>
      </c>
      <c r="E6" s="260" t="inlineStr">
        <is>
          <t>Vade sınıfı hatası</t>
        </is>
      </c>
      <c r="F6" s="260" t="inlineStr">
        <is>
          <t>Bilanço eşitliği</t>
        </is>
      </c>
    </row>
    <row r="7">
      <c r="A7" s="276" t="inlineStr">
        <is>
          <t>Nakit Akışı</t>
        </is>
      </c>
      <c r="B7" s="260" t="inlineStr">
        <is>
          <t>İşletme/Yatırım/Finansman nakit akışları ayrılır</t>
        </is>
      </c>
      <c r="C7" s="260" t="inlineStr">
        <is>
          <t>Faaliyetlerden Nakit, Yatırım Harcamaları, Finansman Nakit Akışı</t>
        </is>
      </c>
      <c r="D7" s="260" t="inlineStr">
        <is>
          <t>Dolaylı/doğrudan yöntem açık seçilir</t>
        </is>
      </c>
      <c r="E7" s="260" t="inlineStr">
        <is>
          <t>Kâr = nakit sanılması</t>
        </is>
      </c>
      <c r="F7" s="260" t="inlineStr">
        <is>
          <t>Nakit devri</t>
        </is>
      </c>
    </row>
    <row r="8">
      <c r="A8" s="276" t="inlineStr">
        <is>
          <t>Ticari Alacaklar</t>
        </is>
      </c>
      <c r="B8" s="260" t="inlineStr">
        <is>
          <t>Cari ve vade mantığı korunur</t>
        </is>
      </c>
      <c r="C8" s="260" t="inlineStr">
        <is>
          <t>120 Alıcılar</t>
        </is>
      </c>
      <c r="D8" s="260" t="inlineStr">
        <is>
          <t>120</t>
        </is>
      </c>
      <c r="E8" s="260" t="inlineStr">
        <is>
          <t>Tahakkuk/nakit karışması</t>
        </is>
      </c>
      <c r="F8" s="260" t="inlineStr">
        <is>
          <t>Alacak devir kontrolü</t>
        </is>
      </c>
    </row>
    <row r="9">
      <c r="A9" s="276" t="inlineStr">
        <is>
          <t>Ticari Borçlar</t>
        </is>
      </c>
      <c r="B9" s="260" t="inlineStr">
        <is>
          <t>Tedarikçi borcu ayrı izlenir</t>
        </is>
      </c>
      <c r="C9" s="260" t="inlineStr">
        <is>
          <t>320 Satıcılar</t>
        </is>
      </c>
      <c r="D9" s="260" t="inlineStr">
        <is>
          <t>320</t>
        </is>
      </c>
      <c r="E9" s="260" t="inlineStr">
        <is>
          <t>Gider/ödeme karışması</t>
        </is>
      </c>
      <c r="F9" s="260" t="inlineStr">
        <is>
          <t>Borç devir kontrolü</t>
        </is>
      </c>
    </row>
    <row r="10">
      <c r="A10" s="276" t="inlineStr">
        <is>
          <t>Kasa/Banka</t>
        </is>
      </c>
      <c r="B10" s="260" t="inlineStr">
        <is>
          <t>Hazır değerler ayrı izlenir</t>
        </is>
      </c>
      <c r="C10" s="260" t="inlineStr">
        <is>
          <t>100 Kasa, 102 Bankalar</t>
        </is>
      </c>
      <c r="D10" s="260" t="inlineStr">
        <is>
          <t>100 / 102</t>
        </is>
      </c>
      <c r="E10" s="260" t="inlineStr">
        <is>
          <t>Virmanla toplam nakdin değişmesi</t>
        </is>
      </c>
      <c r="F10" s="260" t="inlineStr">
        <is>
          <t>Virman değişmezi</t>
        </is>
      </c>
    </row>
    <row r="11">
      <c r="A11" s="276" t="inlineStr">
        <is>
          <t>Stok</t>
        </is>
      </c>
      <c r="B11" s="260" t="inlineStr">
        <is>
          <t>Dikeye uygun stok türü</t>
        </is>
      </c>
      <c r="C11" s="260" t="inlineStr">
        <is>
          <t>150 İlk Madde ve Malzeme, 153 Ticari Mallar</t>
        </is>
      </c>
      <c r="D11" s="260" t="inlineStr">
        <is>
          <t>15x</t>
        </is>
      </c>
      <c r="E11" s="260" t="inlineStr">
        <is>
          <t>Maliyet ve stok hareketinin kopması</t>
        </is>
      </c>
      <c r="F11" s="260" t="inlineStr">
        <is>
          <t>Stok devri</t>
        </is>
      </c>
    </row>
    <row r="12" ht="28" customHeight="1" s="80">
      <c r="A12" s="276" t="inlineStr">
        <is>
          <t>Maddi Duran Varlık</t>
        </is>
      </c>
      <c r="B12" s="260" t="inlineStr">
        <is>
          <t>Yatırım harcaması ve amortisman bağlantılı</t>
        </is>
      </c>
      <c r="C12" s="260" t="inlineStr">
        <is>
          <t>253 Tesis Makine Cihazlar, 255 Demirbaşlar, 257 Birikmiş Amortismanlar</t>
        </is>
      </c>
      <c r="D12" s="260" t="inlineStr">
        <is>
          <t>25x</t>
        </is>
      </c>
      <c r="E12" s="260" t="inlineStr">
        <is>
          <t>Yatırım/gider karışması</t>
        </is>
      </c>
      <c r="F12" s="260" t="inlineStr">
        <is>
          <t>Net defter değeri devri</t>
        </is>
      </c>
    </row>
    <row r="13">
      <c r="A13" s="276" t="inlineStr">
        <is>
          <t>Mali Borçlar</t>
        </is>
      </c>
      <c r="B13" s="260" t="inlineStr">
        <is>
          <t>Kısa/uzun vadeli borç ayrımı</t>
        </is>
      </c>
      <c r="C13" s="260" t="inlineStr">
        <is>
          <t>300 Banka Kredileri / 400 Banka Kredileri</t>
        </is>
      </c>
      <c r="D13" s="260" t="inlineStr">
        <is>
          <t>300 / 400</t>
        </is>
      </c>
      <c r="E13" s="260" t="inlineStr">
        <is>
          <t>Vade sınıfı yanlış</t>
        </is>
      </c>
      <c r="F13" s="260" t="inlineStr">
        <is>
          <t>Borç devri</t>
        </is>
      </c>
    </row>
    <row r="14">
      <c r="A14" s="276" t="inlineStr">
        <is>
          <t>Özkaynak</t>
        </is>
      </c>
      <c r="B14" s="260" t="inlineStr">
        <is>
          <t>Sermaye ve geçmiş yıl kârları ayrı</t>
        </is>
      </c>
      <c r="C14" s="260" t="inlineStr">
        <is>
          <t>500 Sermaye, 570 Geçmiş Yıllar Kârları, 590 Dönem Net Kârı</t>
        </is>
      </c>
      <c r="D14" s="260" t="inlineStr">
        <is>
          <t>5xx</t>
        </is>
      </c>
      <c r="E14" s="260" t="inlineStr">
        <is>
          <t>Net kâr bağının kopması</t>
        </is>
      </c>
      <c r="F14" s="260" t="inlineStr">
        <is>
          <t>Özkaynak devri</t>
        </is>
      </c>
    </row>
    <row r="15">
      <c r="A15" s="276" t="inlineStr">
        <is>
          <t>Vergi</t>
        </is>
      </c>
      <c r="B15" s="260" t="inlineStr">
        <is>
          <t>Vergi satırları Türkiye mantığına uygun</t>
        </is>
      </c>
      <c r="C15" s="260" t="inlineStr">
        <is>
          <t>Dönem Vergi ve Diğer Yasal Yükümlülük Karşılıkları</t>
        </is>
      </c>
      <c r="D15" s="260" t="inlineStr">
        <is>
          <t>37x / ilgili vergi hesapları</t>
        </is>
      </c>
      <c r="E15" s="260" t="inlineStr">
        <is>
          <t>Vergi etkisinin yanlış dönemlenmesi</t>
        </is>
      </c>
      <c r="F15" s="260" t="inlineStr">
        <is>
          <t>Vergi sözleşmesi</t>
        </is>
      </c>
    </row>
    <row r="16">
      <c r="A16" s="276" t="inlineStr">
        <is>
          <t>İsim standardı</t>
        </is>
      </c>
      <c r="B16" s="260" t="inlineStr">
        <is>
          <t>Tablo ve sayfa adları Türkçe ve işlevsel</t>
        </is>
      </c>
      <c r="C16" s="260" t="inlineStr">
        <is>
          <t>GELİR_TABLOSU, BİLANÇO, NAKİT_AKISI, BORC_PLANI</t>
        </is>
      </c>
      <c r="D16" s="260" t="inlineStr">
        <is>
          <t>Tekrarlanabilir standart</t>
        </is>
      </c>
      <c r="E16" s="260" t="inlineStr">
        <is>
          <t>İngilizce/karma isim</t>
        </is>
      </c>
      <c r="F16" s="260" t="inlineStr">
        <is>
          <t>Sayfa ve tablo taraması</t>
        </is>
      </c>
    </row>
    <row r="17">
      <c r="A17" s="276" t="inlineStr">
        <is>
          <t>THP eşleme tablosu</t>
        </is>
      </c>
      <c r="B17" s="260" t="inlineStr">
        <is>
          <t>Her kritik satır en az bir THP hesabına bağlanır</t>
        </is>
      </c>
      <c r="C17" s="260" t="inlineStr">
        <is>
          <t>RaporSatırı → HesapKodu → HesapAdı → İşaret → Dönem</t>
        </is>
      </c>
      <c r="D17" s="260" t="inlineStr">
        <is>
          <t>Kaynak izlenebilirliği</t>
        </is>
      </c>
      <c r="E17" s="260" t="inlineStr">
        <is>
          <t>Rapordan rapora kaynak</t>
        </is>
      </c>
      <c r="F17" s="260" t="inlineStr">
        <is>
          <t>Eşleme kapsama %100</t>
        </is>
      </c>
    </row>
    <row r="18">
      <c r="A18" s="276" t="inlineStr">
        <is>
          <t>İstisna</t>
        </is>
      </c>
      <c r="B18" s="260" t="inlineStr">
        <is>
          <t>TFRS özel ürün varsa fark açık yazılır</t>
        </is>
      </c>
      <c r="C18" s="260" t="inlineStr">
        <is>
          <t>Tekdüzen raporlama ≠ TFRS finansal tablo sunumu</t>
        </is>
      </c>
      <c r="D18" s="260" t="inlineStr">
        <is>
          <t>Amaç belirtilir</t>
        </is>
      </c>
      <c r="E18" s="260" t="inlineStr">
        <is>
          <t>Standartları karıştırma</t>
        </is>
      </c>
      <c r="F18" s="26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KARAR, GÜVEN VE SATIŞA HAZIRLIK STANDARDI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4" customHeight="1" s="80">
      <c r="A3" s="278" t="inlineStr">
        <is>
          <t>Alan</t>
        </is>
      </c>
      <c r="B3" s="278" t="inlineStr">
        <is>
          <t>Müşteri Sorusu</t>
        </is>
      </c>
      <c r="C3" s="278" t="inlineStr">
        <is>
          <t>Zorunlu Ürün Davranışı</t>
        </is>
      </c>
      <c r="D3" s="278" t="inlineStr">
        <is>
          <t>Kanıt</t>
        </is>
      </c>
      <c r="E3" s="278" t="inlineStr">
        <is>
          <t>Başarısızlık Durumu</t>
        </is>
      </c>
      <c r="F3" s="278" t="inlineStr">
        <is>
          <t>Kapı</t>
        </is>
      </c>
    </row>
    <row r="4">
      <c r="A4" s="279" t="inlineStr">
        <is>
          <t>5 saniye</t>
        </is>
      </c>
      <c r="B4" s="260" t="inlineStr">
        <is>
          <t>Bu ürün neyi çözüyor?</t>
        </is>
      </c>
      <c r="C4" s="260" t="inlineStr">
        <is>
          <t>İlk ekranda hedef kullanıcı + pahalı problem + sonuç görünür</t>
        </is>
      </c>
      <c r="D4" s="260" t="inlineStr">
        <is>
          <t>Başlık + alt mesaj + gerçek ekran</t>
        </is>
      </c>
      <c r="E4" s="260" t="inlineStr">
        <is>
          <t>Ürün yalnız teknik isim</t>
        </is>
      </c>
      <c r="F4" s="280" t="inlineStr">
        <is>
          <t>HATA</t>
        </is>
      </c>
    </row>
    <row r="5">
      <c r="A5" s="279" t="inlineStr">
        <is>
          <t>Acı</t>
        </is>
      </c>
      <c r="B5" s="260" t="inlineStr">
        <is>
          <t>Sorun bana neye mal oluyor?</t>
        </is>
      </c>
      <c r="C5" s="260" t="inlineStr">
        <is>
          <t>Mümkünse müşterinin kendi verisiyle parasal/zaman etkisi hesaplanır</t>
        </is>
      </c>
      <c r="D5" s="260" t="inlineStr">
        <is>
          <t>ROI/acı hesaplama yöntemi</t>
        </is>
      </c>
      <c r="E5" s="260" t="inlineStr">
        <is>
          <t>Uydurma tasarruf</t>
        </is>
      </c>
      <c r="F5" s="280" t="inlineStr">
        <is>
          <t>HATA</t>
        </is>
      </c>
    </row>
    <row r="6">
      <c r="A6" s="279" t="inlineStr">
        <is>
          <t>Karar</t>
        </is>
      </c>
      <c r="B6" s="260" t="inlineStr">
        <is>
          <t>Bu bilgiyle ne yapacağım?</t>
        </is>
      </c>
      <c r="C6" s="260" t="inlineStr">
        <is>
          <t>Her kritik KPI aksiyona bağlanır</t>
        </is>
      </c>
      <c r="D6" s="260" t="inlineStr">
        <is>
          <t>KARAR_KUYRUGU</t>
        </is>
      </c>
      <c r="E6" s="260" t="inlineStr">
        <is>
          <t>Sadece rapor</t>
        </is>
      </c>
      <c r="F6" s="280" t="inlineStr">
        <is>
          <t>HATA</t>
        </is>
      </c>
    </row>
    <row r="7">
      <c r="A7" s="279" t="inlineStr">
        <is>
          <t>Güven</t>
        </is>
      </c>
      <c r="B7" s="260" t="inlineStr">
        <is>
          <t>Bu sayıya neden inanayım?</t>
        </is>
      </c>
      <c r="C7" s="260" t="inlineStr">
        <is>
          <t>Kaynak, formül mantığı, kontrol ve son doğrulama görünür</t>
        </is>
      </c>
      <c r="D7" s="260" t="inlineStr">
        <is>
          <t>Kontroller + kaynak izi + sürüm</t>
        </is>
      </c>
      <c r="E7" s="260" t="inlineStr">
        <is>
          <t>Prestij kelimesi</t>
        </is>
      </c>
      <c r="F7" s="280" t="inlineStr">
        <is>
          <t>HATA</t>
        </is>
      </c>
    </row>
    <row r="8">
      <c r="A8" s="279" t="inlineStr">
        <is>
          <t>Referans</t>
        </is>
      </c>
      <c r="B8" s="260" t="inlineStr">
        <is>
          <t>Müşteri yorumu yoksa ne göstereceğim?</t>
        </is>
      </c>
      <c r="C8" s="260" t="inlineStr">
        <is>
          <t>Önce/Sonra + Karar Vakası + Hata Önleme Vakası üretilir</t>
        </is>
      </c>
      <c r="D8" s="260" t="inlineStr">
        <is>
          <t>Demo/örnek çıktı</t>
        </is>
      </c>
      <c r="E8" s="260" t="inlineStr">
        <is>
          <t>Kanıtsız iddia</t>
        </is>
      </c>
      <c r="F8" s="280" t="inlineStr">
        <is>
          <t>HATA</t>
        </is>
      </c>
    </row>
    <row r="9">
      <c r="A9" s="279" t="inlineStr">
        <is>
          <t>Senaryo</t>
        </is>
      </c>
      <c r="B9" s="260" t="inlineStr">
        <is>
          <t>Ne olursa işler bozulur?</t>
        </is>
      </c>
      <c r="C9" s="260" t="inlineStr">
        <is>
          <t>Baz/Aşağı/Yukarı veya uygun stres senaryosu</t>
        </is>
      </c>
      <c r="D9" s="260" t="inlineStr">
        <is>
          <t>Senaryo karşılaştırma</t>
        </is>
      </c>
      <c r="E9" s="260" t="inlineStr">
        <is>
          <t>Dekoratif senaryo</t>
        </is>
      </c>
      <c r="F9" s="280" t="inlineStr">
        <is>
          <t>HATA</t>
        </is>
      </c>
    </row>
    <row r="10">
      <c r="A10" s="279" t="inlineStr">
        <is>
          <t>Ters stres</t>
        </is>
      </c>
      <c r="B10" s="260" t="inlineStr">
        <is>
          <t>Hangi eşikte karar kırılır?</t>
        </is>
      </c>
      <c r="C10" s="260" t="inlineStr">
        <is>
          <t>En az bir kritik sürücü için kırılma eşiği</t>
        </is>
      </c>
      <c r="D10" s="260" t="inlineStr">
        <is>
          <t>Kırılma eşiği tablosu</t>
        </is>
      </c>
      <c r="E10" s="260" t="inlineStr">
        <is>
          <t>Sadece +/- %10</t>
        </is>
      </c>
      <c r="F10" s="280" t="inlineStr">
        <is>
          <t>UYARI/HATA</t>
        </is>
      </c>
    </row>
    <row r="11">
      <c r="A11" s="279" t="inlineStr">
        <is>
          <t>Hata tutarlılığı</t>
        </is>
      </c>
      <c r="B11" s="260" t="inlineStr">
        <is>
          <t>Formül hata verirse ne olur?</t>
        </is>
      </c>
      <c r="C11" s="260" t="inlineStr">
        <is>
          <t>Kontrol GEÇTİ veremez; BLOKE/HATA üretir</t>
        </is>
      </c>
      <c r="D11" s="260" t="inlineStr">
        <is>
          <t>Hata taraması</t>
        </is>
      </c>
      <c r="E11" s="260" t="inlineStr">
        <is>
          <t>Hata + GEÇTİ birlikte</t>
        </is>
      </c>
      <c r="F11" s="280" t="inlineStr">
        <is>
          <t>HATA</t>
        </is>
      </c>
    </row>
    <row r="12">
      <c r="A12" s="279" t="inlineStr">
        <is>
          <t>Karar motoru</t>
        </is>
      </c>
      <c r="B12" s="260" t="inlineStr">
        <is>
          <t>Ne oldu, neden oldu?</t>
        </is>
      </c>
      <c r="C12" s="260" t="inlineStr">
        <is>
          <t>Sorun + neden + parasal etki + aksiyon + son tarih</t>
        </is>
      </c>
      <c r="D12" s="260" t="inlineStr">
        <is>
          <t>Karar tablosu</t>
        </is>
      </c>
      <c r="E12" s="260" t="inlineStr">
        <is>
          <t>Boş sayfa / isim düzeyi modül</t>
        </is>
      </c>
      <c r="F12" s="280" t="inlineStr">
        <is>
          <t>HATA</t>
        </is>
      </c>
    </row>
    <row r="13">
      <c r="A13" s="279" t="inlineStr">
        <is>
          <t>Yönetici özeti</t>
        </is>
      </c>
      <c r="B13" s="260" t="inlineStr">
        <is>
          <t>5 saniyede ne görmeliyim?</t>
        </is>
      </c>
      <c r="C13" s="260" t="inlineStr">
        <is>
          <t>Bugün / ne değişti / ne bozulacak / neden / ne yapmalıyım / güven</t>
        </is>
      </c>
      <c r="D13" s="260" t="inlineStr">
        <is>
          <t>Yönetici özeti ekranı</t>
        </is>
      </c>
      <c r="E13" s="260" t="inlineStr">
        <is>
          <t>KPI kutusu yığını</t>
        </is>
      </c>
      <c r="F13" s="280" t="inlineStr">
        <is>
          <t>HATA</t>
        </is>
      </c>
    </row>
    <row r="14">
      <c r="A14" s="279" t="inlineStr">
        <is>
          <t>Teklif</t>
        </is>
      </c>
      <c r="B14" s="260" t="inlineStr">
        <is>
          <t>Neden satın almalıyım?</t>
        </is>
      </c>
      <c r="C14" s="260" t="inlineStr">
        <is>
          <t>Dosya özellikleri yerine sonuç ve kaçınılan maliyet sunulur</t>
        </is>
      </c>
      <c r="D14" s="260" t="inlineStr">
        <is>
          <t>Ürün sayfası kanıt eşlemesi</t>
        </is>
      </c>
      <c r="E14" s="260" t="inlineStr">
        <is>
          <t>Özellik listesiyle satış</t>
        </is>
      </c>
      <c r="F14" s="280" t="inlineStr">
        <is>
          <t>HATA</t>
        </is>
      </c>
    </row>
    <row r="15">
      <c r="A15" s="279" t="inlineStr">
        <is>
          <t>Dağıtım</t>
        </is>
      </c>
      <c r="B15" s="260" t="inlineStr">
        <is>
          <t>Beni nasıl bulacaklar?</t>
        </is>
      </c>
      <c r="C15" s="260" t="inlineStr">
        <is>
          <t>Sorun niyetine göre SEO sayfaları, iç bağlantı, temiz yapı, taranabilir metin</t>
        </is>
      </c>
      <c r="D15" s="260" t="inlineStr">
        <is>
          <t>Arama niyeti haritası</t>
        </is>
      </c>
      <c r="E15" s="260" t="inlineStr">
        <is>
          <t>Tek ürün sayfasına bağımlılık</t>
        </is>
      </c>
      <c r="F15" s="280" t="inlineStr">
        <is>
          <t>UYARI</t>
        </is>
      </c>
    </row>
    <row r="16" ht="28" customHeight="1" s="80">
      <c r="A16" s="279" t="inlineStr">
        <is>
          <t>LLM görünürlüğü</t>
        </is>
      </c>
      <c r="B16" s="260" t="inlineStr">
        <is>
          <t>AI ürünümü anlayabiliyor mu?</t>
        </is>
      </c>
      <c r="C16" s="260" t="inlineStr">
        <is>
          <t>Ürün tanımı, hedef kullanıcı, girdi/çıktı, metodoloji, sınırlar, SSS açık metindir</t>
        </is>
      </c>
      <c r="D16" s="260" t="inlineStr">
        <is>
          <t>Taranabilir ürün içeriği</t>
        </is>
      </c>
      <c r="E16" s="260" t="inlineStr">
        <is>
          <t>'AI SEO' iddiası</t>
        </is>
      </c>
      <c r="F16" s="280" t="inlineStr">
        <is>
          <t>UYARI</t>
        </is>
      </c>
    </row>
    <row r="17">
      <c r="A17" s="279" t="inlineStr">
        <is>
          <t>Satış kanalı</t>
        </is>
      </c>
      <c r="B17" s="260" t="inlineStr">
        <is>
          <t>Nerede satılmalı?</t>
        </is>
      </c>
      <c r="C17" s="260" t="inlineStr">
        <is>
          <t>Arama, LinkedIn, uzman/partner, demo/video; ürüne göre kanal seçilir</t>
        </is>
      </c>
      <c r="D17" s="260" t="inlineStr">
        <is>
          <t>Kanal matrisi</t>
        </is>
      </c>
      <c r="E17" s="260" t="inlineStr">
        <is>
          <t>Her ürüne aynı kanal</t>
        </is>
      </c>
      <c r="F17" s="280" t="inlineStr">
        <is>
          <t>UYARI</t>
        </is>
      </c>
    </row>
    <row r="18">
      <c r="A18" s="279" t="inlineStr">
        <is>
          <t>Fiyat</t>
        </is>
      </c>
      <c r="B18" s="260" t="inlineStr">
        <is>
          <t>Bu fiyat neden mantıklı?</t>
        </is>
      </c>
      <c r="C18" s="260" t="inlineStr">
        <is>
          <t>Fiyat, ekonomik karar değerine ve kanıtlanmış ürün derinliğine bağlanır</t>
        </is>
      </c>
      <c r="D18" s="260" t="inlineStr">
        <is>
          <t>Değer haritası + demo</t>
        </is>
      </c>
      <c r="E18" s="260" t="inlineStr">
        <is>
          <t>Sırf sayfa/formül sayısı</t>
        </is>
      </c>
      <c r="F18" s="280" t="inlineStr">
        <is>
          <t>HATA</t>
        </is>
      </c>
    </row>
    <row r="19">
      <c r="A19" s="279" t="inlineStr">
        <is>
          <t>Pazar kanıtı</t>
        </is>
      </c>
      <c r="B19" s="260" t="inlineStr">
        <is>
          <t>Piyasa gerçekten ödüyor mu?</t>
        </is>
      </c>
      <c r="C19" s="260" t="inlineStr">
        <is>
          <t>Satış/pilot/LOI/fiyat kabulü olmadan pazar doğrulandı yazılmaz</t>
        </is>
      </c>
      <c r="D19" s="260" t="inlineStr">
        <is>
          <t>Gerçek işlem kanıtı</t>
        </is>
      </c>
      <c r="E19" s="260" t="inlineStr">
        <is>
          <t>Tahmini talep = satış kabulü</t>
        </is>
      </c>
      <c r="F19" s="28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26" customWidth="1" style="106" min="2" max="2"/>
    <col width="12" customWidth="1" style="106" min="3" max="3"/>
    <col width="24.5" customWidth="1" style="106" min="4" max="4"/>
    <col width="20.5" customWidth="1" style="106" min="5" max="6"/>
    <col width="18.5" customWidth="1" style="80" min="6" max="6"/>
    <col width="37.5" customWidth="1" style="106" min="7" max="7"/>
    <col width="15.5" customWidth="1" style="80" min="8" max="8"/>
    <col width="13" customWidth="1" style="80" min="9" max="9"/>
  </cols>
  <sheetData>
    <row r="1" ht="32" customHeight="1" s="80">
      <c r="A1" s="291" t="inlineStr">
        <is>
          <t>HESAP PLANI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3"/>
    <row r="4"/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23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21.5" customWidth="1" style="106" min="7" max="7"/>
    <col width="23.5" customWidth="1" style="106" min="8" max="9"/>
    <col width="21.5" customWidth="1" style="80" min="9" max="9"/>
    <col width="18.5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23.5" customWidth="1" style="80" min="17" max="17"/>
    <col width="23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GELIR GIDER KAYIT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  <c r="J1" s="292" t="n"/>
      <c r="K1" s="292" t="n"/>
      <c r="L1" s="292" t="n"/>
      <c r="M1" s="292" t="n"/>
      <c r="N1" s="292" t="n"/>
      <c r="O1" s="292" t="n"/>
      <c r="P1" s="292" t="n"/>
      <c r="Q1" s="292" t="n"/>
      <c r="R1" s="292" t="n"/>
      <c r="S1" s="292" t="n"/>
      <c r="T1" s="292" t="n"/>
      <c r="U1" s="292" t="n"/>
      <c r="V1" s="292" t="n"/>
      <c r="W1" s="292" t="n"/>
      <c r="X1" s="292" t="n"/>
      <c r="Y1" s="292" t="n"/>
      <c r="Z1" s="292" t="n"/>
      <c r="AA1" s="292" t="n"/>
      <c r="AB1" s="292" t="n"/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3"/>
    <row r="4"/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5.5" customWidth="1" style="106" min="3" max="4"/>
    <col width="15.5" customWidth="1" style="80" min="4" max="4"/>
    <col width="16.5" customWidth="1" style="106" min="5" max="5"/>
    <col width="17.5" customWidth="1" style="106" min="6" max="6"/>
    <col width="18.5" customWidth="1" style="106" min="7" max="8"/>
    <col width="13" customWidth="1" style="80" min="8" max="8"/>
    <col width="13.5" customWidth="1" style="106" min="9" max="9"/>
    <col width="13" customWidth="1" style="80" min="10" max="10"/>
  </cols>
  <sheetData>
    <row r="1" ht="32" customHeight="1" s="80">
      <c r="A1" s="291" t="inlineStr">
        <is>
          <t>SATIS MALIYET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3"/>
    <row r="4"/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106" min="1" max="1"/>
    <col width="18" customWidth="1" style="106" min="2" max="2"/>
    <col width="62.5" customWidth="1" style="106" min="3" max="3"/>
    <col width="51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TAHAKKUK NAKIT ESLEME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3"/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5"/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.5" customWidth="1" style="106" min="2" max="3"/>
    <col width="16.5" customWidth="1" style="80" min="3" max="3"/>
    <col width="14" customWidth="1" style="106" min="4" max="4"/>
    <col width="16" customWidth="1" style="106" min="5" max="5"/>
    <col width="19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GUNLUK OZET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22" customHeight="1" s="80">
      <c r="A3" s="310" t="inlineStr">
        <is>
          <t>Dönem Başı Nakit Bakiyesi (₺)</t>
        </is>
      </c>
    </row>
    <row r="4"/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106" min="1" max="1"/>
    <col width="16.5" customWidth="1" style="106" min="2" max="2"/>
    <col width="22.5" customWidth="1" style="106" min="3" max="4"/>
    <col width="23.5" customWidth="1" style="80" min="4" max="4"/>
    <col width="13" customWidth="1" style="106" min="5" max="5"/>
    <col width="18.5" customWidth="1" style="106" min="6" max="6"/>
    <col width="14.5" customWidth="1" style="106" min="7" max="7"/>
    <col width="15.5" customWidth="1" style="106" min="8" max="8"/>
    <col width="17.5" customWidth="1" style="106" min="9" max="9"/>
    <col width="20.5" customWidth="1" style="106" min="10" max="10"/>
    <col width="11" customWidth="1" style="106" min="11" max="11"/>
    <col width="13.5" customWidth="1" style="106" min="12" max="12"/>
    <col width="16.5" customWidth="1" style="106" min="13" max="14"/>
    <col width="16.5" customWidth="1" style="80" min="14" max="14"/>
    <col width="13.5" customWidth="1" style="106" min="15" max="15"/>
    <col width="13" customWidth="1" style="80" min="16" max="16"/>
  </cols>
  <sheetData>
    <row r="1" ht="32" customHeight="1" s="80">
      <c r="A1" s="291" t="inlineStr">
        <is>
          <t>AYLIK KARLILIK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  <c r="J1" s="292" t="n"/>
      <c r="K1" s="292" t="n"/>
      <c r="L1" s="292" t="n"/>
      <c r="M1" s="292" t="n"/>
      <c r="N1" s="292" t="n"/>
      <c r="O1" s="292" t="n"/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3"/>
    <row r="4"/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8"/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0"/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2"/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33:O33"/>
    <mergeCell ref="A1:O1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BASABAS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3"/>
    <row r="4" ht="15" customHeight="1" s="80">
      <c r="A4" s="120" t="inlineStr">
        <is>
          <t>BAŞABAŞ ANALİZİ</t>
        </is>
      </c>
    </row>
    <row r="5"/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106" min="1" max="1"/>
    <col width="43.5" customWidth="1" style="106" min="2" max="2"/>
    <col width="1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KONTROLLER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3"/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3"/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0"/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6"/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2"/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106" min="1" max="1"/>
    <col width="17.5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18.5" customWidth="1" style="80" min="7" max="7"/>
    <col width="36" customWidth="1" style="106" min="8" max="8"/>
    <col width="29.5" customWidth="1" style="106" min="9" max="9"/>
    <col width="13.5" customWidth="1" style="106" min="10" max="10"/>
    <col width="30" customWidth="1" style="106" min="11" max="11"/>
    <col width="28" customWidth="1" style="106" min="12" max="12"/>
    <col width="16.5" customWidth="1" style="106" min="13" max="13"/>
    <col width="26" customWidth="1" style="106" min="14" max="14"/>
    <col width="18.5" customWidth="1" style="106" min="15" max="15"/>
    <col width="13" customWidth="1" style="80" min="16" max="16"/>
  </cols>
  <sheetData>
    <row r="1" ht="32" customHeight="1" s="80">
      <c r="A1" s="291" t="inlineStr">
        <is>
          <t>KARAR MOTORU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  <c r="J1" s="292" t="n"/>
      <c r="K1" s="292" t="n"/>
      <c r="L1" s="292" t="n"/>
      <c r="M1" s="292" t="n"/>
      <c r="N1" s="292" t="n"/>
      <c r="O1" s="292" t="n"/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3"/>
    <row r="4"/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ve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ve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ve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ve ortak çekişi nakdi tüketiyor"</f>
        <v/>
      </c>
      <c r="F8" s="123">
        <f>"Likidite baskısı: zorunlu ödemeler aksayabilir"</f>
        <v/>
      </c>
      <c r="G8" s="123">
        <f>IF(C8="KRİTİK","Tahsilat ve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ve borç krizi riski"</f>
        <v/>
      </c>
      <c r="M8" s="143" t="inlineStr">
        <is>
          <t>YÜKSEK</t>
        </is>
      </c>
      <c r="N8" s="123">
        <f>"Kâr&gt;0 ve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ve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ve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ve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6" min="1" max="1"/>
    <col width="18" customWidth="1" style="106" min="2" max="2"/>
    <col width="14" customWidth="1" style="106" min="3" max="4"/>
    <col width="13" customWidth="1" style="80" min="4" max="4"/>
    <col width="12" customWidth="1" style="106" min="5" max="11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RAPOR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22" customHeight="1" s="80">
      <c r="A3" s="31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7"/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/>
      </c>
    </row>
    <row r="10" ht="15" customHeight="1" s="80"/>
    <row r="11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5"/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6"/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4"/>
    <row r="45"/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3"/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14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16.5" customWidth="1" style="106" min="7" max="7"/>
    <col width="23.5" customWidth="1" style="106" min="8" max="9"/>
    <col width="21.5" customWidth="1" style="80" min="9" max="9"/>
    <col width="12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19.5" customWidth="1" style="80" min="17" max="17"/>
    <col width="16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ORNEK VERI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  <c r="J1" s="292" t="n"/>
      <c r="K1" s="292" t="n"/>
      <c r="L1" s="292" t="n"/>
      <c r="M1" s="292" t="n"/>
      <c r="N1" s="292" t="n"/>
      <c r="O1" s="292" t="n"/>
      <c r="P1" s="292" t="n"/>
      <c r="Q1" s="292" t="n"/>
      <c r="R1" s="292" t="n"/>
      <c r="S1" s="292" t="n"/>
      <c r="T1" s="292" t="n"/>
      <c r="U1" s="292" t="n"/>
      <c r="V1" s="292" t="n"/>
      <c r="W1" s="292" t="n"/>
      <c r="X1" s="292" t="n"/>
      <c r="Y1" s="292" t="n"/>
      <c r="Z1" s="292" t="n"/>
      <c r="AA1" s="292" t="n"/>
      <c r="AB1" s="292" t="n"/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3"/>
    <row r="4"/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106" min="1" max="1"/>
    <col width="35.5" customWidth="1" style="106" min="2" max="2"/>
    <col width="38.5" customWidth="1" style="106" min="3" max="4"/>
    <col width="16.5" customWidth="1" style="80" min="4" max="4"/>
    <col width="10" customWidth="1" style="106" min="5" max="5"/>
    <col width="26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TESTLER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3"/>
    <row r="4"/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33.5" customWidth="1" style="106" min="2" max="2"/>
    <col width="29.5" customWidth="1" style="106" min="3" max="3"/>
    <col width="30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ANAHTAR — GunlukGelirGiderKarlilikSistemi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ESLESTIRME — GunlukGelirGiderKarlilikSistemi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.5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KOK_NEDEN — GunlukGelirGiderKarlilikSistemi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.5" customWidth="1" style="106" min="2" max="2"/>
    <col width="72.5" customWidth="1" style="106" min="3" max="3"/>
    <col width="16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DEGISIKLIK KAYDI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Sürüm geçmişi ve değişiklik kayıtları.</t>
        </is>
      </c>
    </row>
    <row r="3"/>
    <row r="4"/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6.5" customWidth="1" style="80" min="7" max="7"/>
    <col width="14" customWidth="1" style="106" min="8" max="8"/>
    <col width="12" customWidth="1" style="106" min="9" max="9"/>
    <col width="13" customWidth="1" style="80" min="10" max="10"/>
  </cols>
  <sheetData>
    <row r="1" ht="32" customHeight="1" s="80">
      <c r="A1" s="291" t="inlineStr">
        <is>
          <t>LISTELER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32.5" customWidth="1" style="106" min="2" max="2"/>
    <col width="10" customWidth="1" style="106" min="3" max="3"/>
    <col width="8" customWidth="1" style="106" min="4" max="5"/>
    <col width="13" customWidth="1" style="80" min="5" max="5"/>
    <col width="69.5" customWidth="1" style="106" min="6" max="6"/>
    <col width="13.5" customWidth="1" style="106" min="7" max="7"/>
    <col width="23.5" customWidth="1" style="106" min="8" max="9"/>
    <col width="23.5" customWidth="1" style="80" min="9" max="9"/>
    <col width="13" customWidth="1" style="80" min="10" max="10"/>
  </cols>
  <sheetData>
    <row r="1" ht="32" customHeight="1" s="80">
      <c r="A1" s="291" t="inlineStr">
        <is>
          <t>AYARLAR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3"/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3"/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1"/>
    <row r="22"/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5"/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7"/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1:I1"/>
    <mergeCell ref="B41:I41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106" min="1" max="1"/>
    <col width="15" customWidth="1" style="106" min="2" max="1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KILAVUZ — GÜNLÜK GELİR–GİDER VE GERÇEK KÂRLILIK SİSTEMİ</t>
        </is>
      </c>
      <c r="B1" s="292" t="n"/>
      <c r="C1" s="292" t="n"/>
      <c r="D1" s="292" t="n"/>
      <c r="E1" s="292" t="n"/>
      <c r="F1" s="292" t="n"/>
      <c r="G1" s="292" t="n"/>
      <c r="H1" s="292" t="n"/>
      <c r="I1" s="292" t="n"/>
    </row>
    <row r="2"/>
    <row r="3"/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2026-09-25T20:45:20Z</dcterms:modified>
  <cp:revision>0</cp:revision>
</cp:coreProperties>
</file>